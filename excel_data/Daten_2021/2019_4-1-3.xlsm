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"/>
    </mc:Choice>
  </mc:AlternateContent>
  <xr:revisionPtr revIDLastSave="0" documentId="8_{AE23F0DF-B209-48AA-9F7D-80B93AA9A895}" xr6:coauthVersionLast="36" xr6:coauthVersionMax="36" xr10:uidLastSave="{00000000-0000-0000-0000-000000000000}"/>
  <bookViews>
    <workbookView xWindow="0" yWindow="0" windowWidth="28800" windowHeight="14025" activeTab="1" xr2:uid="{9DC495B2-0161-4939-90F9-5662E8FDB948}"/>
  </bookViews>
  <sheets>
    <sheet name="2020_4-1-3_CSV_Vorbereitung_fin" sheetId="26" r:id="rId1"/>
    <sheet name="2020_4-1-3_CSV_Export" sheetId="27" r:id="rId2"/>
    <sheet name="2020_B5" sheetId="21" r:id="rId3"/>
    <sheet name="Tabelle2" sheetId="25" r:id="rId4"/>
    <sheet name="2020_4-1-3_CSV_Vorbereitung" sheetId="23" r:id="rId5"/>
    <sheet name="2019_B5" sheetId="17" r:id="rId6"/>
    <sheet name="2019_B5_Roh" sheetId="13" r:id="rId7"/>
    <sheet name="2020_4-1-3_Rohdaten" sheetId="19" r:id="rId8"/>
    <sheet name="2020_4-1-3_bearbeitet (2)" sheetId="22" r:id="rId9"/>
    <sheet name="2020_4-1-3_bearbeitet" sheetId="20" r:id="rId10"/>
    <sheet name="2019_B5_bearbeitet" sheetId="16" r:id="rId11"/>
    <sheet name="2019_B5_Berechnung" sheetId="8" r:id="rId12"/>
    <sheet name="2019_B5 Ergänzung_Gö_Osterode" sheetId="18" r:id="rId13"/>
    <sheet name="2019_B5_Karte" sheetId="12" r:id="rId14"/>
    <sheet name="2013_B5_Roh" sheetId="2" r:id="rId15"/>
    <sheet name="2015_B5_Roh" sheetId="3" r:id="rId16"/>
    <sheet name="2016_B5_Roh" sheetId="4" r:id="rId17"/>
    <sheet name="2017_B5_Roh" sheetId="5" r:id="rId18"/>
    <sheet name="2018_B5_Roh" sheetId="6" r:id="rId19"/>
  </sheets>
  <externalReferences>
    <externalReference r:id="rId20"/>
    <externalReference r:id="rId21"/>
  </externalReferences>
  <definedNames>
    <definedName name="_xlnm._FilterDatabase" localSheetId="10" hidden="1">'2019_B5_bearbeitet'!$A$9:$Q$164</definedName>
    <definedName name="_xlnm._FilterDatabase" localSheetId="11" hidden="1">'2019_B5_Berechnung'!$A$18:$Q$330</definedName>
    <definedName name="_xlnm._FilterDatabase" localSheetId="0" hidden="1">'2020_4-1-3_CSV_Vorbereitung_fin'!$A$1:$G$2289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6" l="1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0" i="26"/>
  <c r="C331" i="26"/>
  <c r="C332" i="26"/>
  <c r="C333" i="26"/>
  <c r="C334" i="26"/>
  <c r="C335" i="26"/>
  <c r="C336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5" i="26"/>
  <c r="C376" i="26"/>
  <c r="C377" i="26"/>
  <c r="C378" i="26"/>
  <c r="C379" i="26"/>
  <c r="C380" i="26"/>
  <c r="C381" i="26"/>
  <c r="C382" i="26"/>
  <c r="C383" i="26"/>
  <c r="C384" i="26"/>
  <c r="C385" i="26"/>
  <c r="C386" i="26"/>
  <c r="C387" i="26"/>
  <c r="C388" i="26"/>
  <c r="C389" i="26"/>
  <c r="C390" i="26"/>
  <c r="C391" i="26"/>
  <c r="C392" i="26"/>
  <c r="C393" i="26"/>
  <c r="C394" i="26"/>
  <c r="C395" i="26"/>
  <c r="C396" i="26"/>
  <c r="C397" i="26"/>
  <c r="C398" i="26"/>
  <c r="C399" i="26"/>
  <c r="C400" i="26"/>
  <c r="C401" i="26"/>
  <c r="C402" i="26"/>
  <c r="C403" i="26"/>
  <c r="C404" i="26"/>
  <c r="C405" i="26"/>
  <c r="C406" i="26"/>
  <c r="C407" i="26"/>
  <c r="C408" i="26"/>
  <c r="C409" i="26"/>
  <c r="C410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1" i="26"/>
  <c r="C432" i="26"/>
  <c r="C433" i="26"/>
  <c r="C434" i="26"/>
  <c r="C435" i="26"/>
  <c r="C436" i="26"/>
  <c r="C437" i="26"/>
  <c r="C438" i="26"/>
  <c r="C439" i="26"/>
  <c r="C440" i="26"/>
  <c r="C441" i="26"/>
  <c r="C442" i="26"/>
  <c r="C443" i="26"/>
  <c r="C444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467" i="26"/>
  <c r="C468" i="26"/>
  <c r="C469" i="26"/>
  <c r="C470" i="26"/>
  <c r="C471" i="26"/>
  <c r="C472" i="26"/>
  <c r="C473" i="26"/>
  <c r="C474" i="26"/>
  <c r="C475" i="26"/>
  <c r="C476" i="26"/>
  <c r="C477" i="26"/>
  <c r="C478" i="26"/>
  <c r="C479" i="26"/>
  <c r="C480" i="26"/>
  <c r="C481" i="26"/>
  <c r="C482" i="26"/>
  <c r="C483" i="26"/>
  <c r="C484" i="26"/>
  <c r="C485" i="26"/>
  <c r="C486" i="26"/>
  <c r="C487" i="26"/>
  <c r="C488" i="26"/>
  <c r="C489" i="26"/>
  <c r="C490" i="26"/>
  <c r="C491" i="26"/>
  <c r="C492" i="26"/>
  <c r="C493" i="26"/>
  <c r="C494" i="26"/>
  <c r="C495" i="26"/>
  <c r="C496" i="26"/>
  <c r="C497" i="26"/>
  <c r="C498" i="26"/>
  <c r="C499" i="26"/>
  <c r="C500" i="26"/>
  <c r="C501" i="26"/>
  <c r="C502" i="26"/>
  <c r="C503" i="26"/>
  <c r="C504" i="26"/>
  <c r="C505" i="26"/>
  <c r="C506" i="26"/>
  <c r="C507" i="26"/>
  <c r="C508" i="26"/>
  <c r="C509" i="26"/>
  <c r="C510" i="26"/>
  <c r="C511" i="26"/>
  <c r="C512" i="26"/>
  <c r="C513" i="26"/>
  <c r="C514" i="26"/>
  <c r="C515" i="26"/>
  <c r="C516" i="26"/>
  <c r="C517" i="26"/>
  <c r="C518" i="26"/>
  <c r="C519" i="26"/>
  <c r="C520" i="26"/>
  <c r="C521" i="26"/>
  <c r="C522" i="26"/>
  <c r="C523" i="26"/>
  <c r="C524" i="26"/>
  <c r="C525" i="26"/>
  <c r="C526" i="26"/>
  <c r="C527" i="26"/>
  <c r="C528" i="26"/>
  <c r="C529" i="26"/>
  <c r="C530" i="26"/>
  <c r="C531" i="26"/>
  <c r="C532" i="26"/>
  <c r="C533" i="26"/>
  <c r="C534" i="26"/>
  <c r="C535" i="26"/>
  <c r="C536" i="26"/>
  <c r="C537" i="26"/>
  <c r="C538" i="26"/>
  <c r="C539" i="26"/>
  <c r="C540" i="26"/>
  <c r="C541" i="26"/>
  <c r="C542" i="26"/>
  <c r="C543" i="26"/>
  <c r="C544" i="26"/>
  <c r="C545" i="26"/>
  <c r="C546" i="26"/>
  <c r="C547" i="26"/>
  <c r="C548" i="26"/>
  <c r="C549" i="26"/>
  <c r="C550" i="26"/>
  <c r="C551" i="26"/>
  <c r="C552" i="26"/>
  <c r="C553" i="26"/>
  <c r="C554" i="26"/>
  <c r="C555" i="26"/>
  <c r="C556" i="26"/>
  <c r="C557" i="26"/>
  <c r="C558" i="26"/>
  <c r="C559" i="26"/>
  <c r="C560" i="26"/>
  <c r="C561" i="26"/>
  <c r="C562" i="26"/>
  <c r="C563" i="26"/>
  <c r="C564" i="26"/>
  <c r="C565" i="26"/>
  <c r="C566" i="26"/>
  <c r="C567" i="26"/>
  <c r="C568" i="26"/>
  <c r="C569" i="26"/>
  <c r="C570" i="26"/>
  <c r="C571" i="26"/>
  <c r="C572" i="26"/>
  <c r="C573" i="26"/>
  <c r="C574" i="26"/>
  <c r="C575" i="26"/>
  <c r="C576" i="26"/>
  <c r="C577" i="26"/>
  <c r="C578" i="26"/>
  <c r="C579" i="26"/>
  <c r="C580" i="26"/>
  <c r="C581" i="26"/>
  <c r="C582" i="26"/>
  <c r="C583" i="26"/>
  <c r="C584" i="26"/>
  <c r="C585" i="26"/>
  <c r="C586" i="26"/>
  <c r="C587" i="26"/>
  <c r="C588" i="26"/>
  <c r="C589" i="26"/>
  <c r="C590" i="26"/>
  <c r="C591" i="26"/>
  <c r="C592" i="26"/>
  <c r="C593" i="26"/>
  <c r="C594" i="26"/>
  <c r="C595" i="26"/>
  <c r="C596" i="26"/>
  <c r="C597" i="26"/>
  <c r="C598" i="26"/>
  <c r="C599" i="26"/>
  <c r="C600" i="26"/>
  <c r="C601" i="26"/>
  <c r="C602" i="26"/>
  <c r="C603" i="26"/>
  <c r="C604" i="26"/>
  <c r="C605" i="26"/>
  <c r="C606" i="26"/>
  <c r="C607" i="26"/>
  <c r="C608" i="26"/>
  <c r="C609" i="26"/>
  <c r="C610" i="26"/>
  <c r="C611" i="26"/>
  <c r="C612" i="26"/>
  <c r="C613" i="26"/>
  <c r="C614" i="26"/>
  <c r="C615" i="26"/>
  <c r="C616" i="26"/>
  <c r="C617" i="26"/>
  <c r="C618" i="26"/>
  <c r="C619" i="26"/>
  <c r="C620" i="26"/>
  <c r="C621" i="26"/>
  <c r="C622" i="26"/>
  <c r="C623" i="26"/>
  <c r="C624" i="26"/>
  <c r="C625" i="26"/>
  <c r="C626" i="26"/>
  <c r="C627" i="26"/>
  <c r="C628" i="26"/>
  <c r="C629" i="26"/>
  <c r="C630" i="26"/>
  <c r="C631" i="26"/>
  <c r="C632" i="26"/>
  <c r="C633" i="26"/>
  <c r="C634" i="26"/>
  <c r="C635" i="26"/>
  <c r="C636" i="26"/>
  <c r="C637" i="26"/>
  <c r="C638" i="26"/>
  <c r="C639" i="26"/>
  <c r="C640" i="26"/>
  <c r="C641" i="26"/>
  <c r="C642" i="26"/>
  <c r="C643" i="26"/>
  <c r="C644" i="26"/>
  <c r="C645" i="26"/>
  <c r="C646" i="26"/>
  <c r="C647" i="26"/>
  <c r="C648" i="26"/>
  <c r="C649" i="26"/>
  <c r="C650" i="26"/>
  <c r="C651" i="26"/>
  <c r="C652" i="26"/>
  <c r="C653" i="26"/>
  <c r="C654" i="26"/>
  <c r="C655" i="26"/>
  <c r="C656" i="26"/>
  <c r="C657" i="26"/>
  <c r="C658" i="26"/>
  <c r="C659" i="26"/>
  <c r="C660" i="26"/>
  <c r="C661" i="26"/>
  <c r="C662" i="26"/>
  <c r="C663" i="26"/>
  <c r="C664" i="26"/>
  <c r="C665" i="26"/>
  <c r="C666" i="26"/>
  <c r="C667" i="26"/>
  <c r="C668" i="26"/>
  <c r="C669" i="26"/>
  <c r="C670" i="26"/>
  <c r="C671" i="26"/>
  <c r="C672" i="26"/>
  <c r="C673" i="26"/>
  <c r="C674" i="26"/>
  <c r="C675" i="26"/>
  <c r="C676" i="26"/>
  <c r="C677" i="26"/>
  <c r="C678" i="26"/>
  <c r="C679" i="26"/>
  <c r="C680" i="26"/>
  <c r="C681" i="26"/>
  <c r="C682" i="26"/>
  <c r="C683" i="26"/>
  <c r="C684" i="26"/>
  <c r="C685" i="26"/>
  <c r="C686" i="26"/>
  <c r="C687" i="26"/>
  <c r="C688" i="26"/>
  <c r="C689" i="26"/>
  <c r="C690" i="26"/>
  <c r="C691" i="26"/>
  <c r="C692" i="26"/>
  <c r="C693" i="26"/>
  <c r="C694" i="26"/>
  <c r="C695" i="26"/>
  <c r="C696" i="26"/>
  <c r="C697" i="26"/>
  <c r="C698" i="26"/>
  <c r="C699" i="26"/>
  <c r="C700" i="26"/>
  <c r="C701" i="26"/>
  <c r="C702" i="26"/>
  <c r="C703" i="26"/>
  <c r="C704" i="26"/>
  <c r="C705" i="26"/>
  <c r="C706" i="26"/>
  <c r="C707" i="26"/>
  <c r="C708" i="26"/>
  <c r="C709" i="26"/>
  <c r="C710" i="26"/>
  <c r="C711" i="26"/>
  <c r="C712" i="26"/>
  <c r="C713" i="26"/>
  <c r="C714" i="26"/>
  <c r="C715" i="26"/>
  <c r="C716" i="26"/>
  <c r="C717" i="26"/>
  <c r="C718" i="26"/>
  <c r="C719" i="26"/>
  <c r="C720" i="26"/>
  <c r="C721" i="26"/>
  <c r="C722" i="26"/>
  <c r="C723" i="26"/>
  <c r="C724" i="26"/>
  <c r="C725" i="26"/>
  <c r="C726" i="26"/>
  <c r="C727" i="26"/>
  <c r="C728" i="26"/>
  <c r="C729" i="26"/>
  <c r="C730" i="26"/>
  <c r="C731" i="26"/>
  <c r="C732" i="26"/>
  <c r="C733" i="26"/>
  <c r="C734" i="26"/>
  <c r="C735" i="26"/>
  <c r="C736" i="26"/>
  <c r="C737" i="26"/>
  <c r="C738" i="26"/>
  <c r="C739" i="26"/>
  <c r="C740" i="26"/>
  <c r="C741" i="26"/>
  <c r="C742" i="26"/>
  <c r="C743" i="26"/>
  <c r="C744" i="26"/>
  <c r="C745" i="26"/>
  <c r="C746" i="26"/>
  <c r="C747" i="26"/>
  <c r="C748" i="26"/>
  <c r="C749" i="26"/>
  <c r="C750" i="26"/>
  <c r="C751" i="26"/>
  <c r="C752" i="26"/>
  <c r="C753" i="26"/>
  <c r="C754" i="26"/>
  <c r="C755" i="26"/>
  <c r="C756" i="26"/>
  <c r="C757" i="26"/>
  <c r="C758" i="26"/>
  <c r="C759" i="26"/>
  <c r="C760" i="26"/>
  <c r="C761" i="26"/>
  <c r="C762" i="26"/>
  <c r="C763" i="26"/>
  <c r="C764" i="26"/>
  <c r="C765" i="26"/>
  <c r="C766" i="26"/>
  <c r="C767" i="26"/>
  <c r="C768" i="26"/>
  <c r="C769" i="26"/>
  <c r="C770" i="26"/>
  <c r="C771" i="26"/>
  <c r="C772" i="26"/>
  <c r="C773" i="26"/>
  <c r="C774" i="26"/>
  <c r="C775" i="26"/>
  <c r="C776" i="26"/>
  <c r="C777" i="26"/>
  <c r="C778" i="26"/>
  <c r="C779" i="26"/>
  <c r="C780" i="26"/>
  <c r="C781" i="26"/>
  <c r="C782" i="26"/>
  <c r="C783" i="26"/>
  <c r="C784" i="26"/>
  <c r="C785" i="26"/>
  <c r="C786" i="26"/>
  <c r="C787" i="26"/>
  <c r="C788" i="26"/>
  <c r="C789" i="26"/>
  <c r="C790" i="26"/>
  <c r="C791" i="26"/>
  <c r="C792" i="26"/>
  <c r="C793" i="26"/>
  <c r="C794" i="26"/>
  <c r="C795" i="26"/>
  <c r="C796" i="26"/>
  <c r="C797" i="26"/>
  <c r="C798" i="26"/>
  <c r="C799" i="26"/>
  <c r="C800" i="26"/>
  <c r="C801" i="26"/>
  <c r="C802" i="26"/>
  <c r="C803" i="26"/>
  <c r="C804" i="26"/>
  <c r="C805" i="26"/>
  <c r="C806" i="26"/>
  <c r="C807" i="26"/>
  <c r="C808" i="26"/>
  <c r="C809" i="26"/>
  <c r="C810" i="26"/>
  <c r="C811" i="26"/>
  <c r="C812" i="26"/>
  <c r="C813" i="26"/>
  <c r="C814" i="26"/>
  <c r="C815" i="26"/>
  <c r="C816" i="26"/>
  <c r="C817" i="26"/>
  <c r="C818" i="26"/>
  <c r="C819" i="26"/>
  <c r="C820" i="26"/>
  <c r="C821" i="26"/>
  <c r="C822" i="26"/>
  <c r="C823" i="26"/>
  <c r="C824" i="26"/>
  <c r="C825" i="26"/>
  <c r="C826" i="26"/>
  <c r="C827" i="26"/>
  <c r="C828" i="26"/>
  <c r="C829" i="26"/>
  <c r="C830" i="26"/>
  <c r="C831" i="26"/>
  <c r="C832" i="26"/>
  <c r="C833" i="26"/>
  <c r="C834" i="26"/>
  <c r="C835" i="26"/>
  <c r="C836" i="26"/>
  <c r="C837" i="26"/>
  <c r="C838" i="26"/>
  <c r="C839" i="26"/>
  <c r="C840" i="26"/>
  <c r="C841" i="26"/>
  <c r="C842" i="26"/>
  <c r="C843" i="26"/>
  <c r="C844" i="26"/>
  <c r="C845" i="26"/>
  <c r="C846" i="26"/>
  <c r="C847" i="26"/>
  <c r="C848" i="26"/>
  <c r="C849" i="26"/>
  <c r="C850" i="26"/>
  <c r="C851" i="26"/>
  <c r="C852" i="26"/>
  <c r="C853" i="26"/>
  <c r="C854" i="26"/>
  <c r="C855" i="26"/>
  <c r="C856" i="26"/>
  <c r="C857" i="26"/>
  <c r="C858" i="26"/>
  <c r="C859" i="26"/>
  <c r="C860" i="26"/>
  <c r="C861" i="26"/>
  <c r="C862" i="26"/>
  <c r="C863" i="26"/>
  <c r="C864" i="26"/>
  <c r="C865" i="26"/>
  <c r="C866" i="26"/>
  <c r="C867" i="26"/>
  <c r="C868" i="26"/>
  <c r="C869" i="26"/>
  <c r="C870" i="26"/>
  <c r="C871" i="26"/>
  <c r="C872" i="26"/>
  <c r="C873" i="26"/>
  <c r="C874" i="26"/>
  <c r="C875" i="26"/>
  <c r="C876" i="26"/>
  <c r="C877" i="26"/>
  <c r="C878" i="26"/>
  <c r="C879" i="26"/>
  <c r="C880" i="26"/>
  <c r="C881" i="26"/>
  <c r="C882" i="26"/>
  <c r="C883" i="26"/>
  <c r="C884" i="26"/>
  <c r="C885" i="26"/>
  <c r="C886" i="26"/>
  <c r="C887" i="26"/>
  <c r="C888" i="26"/>
  <c r="C889" i="26"/>
  <c r="C890" i="26"/>
  <c r="C891" i="26"/>
  <c r="C892" i="26"/>
  <c r="C893" i="26"/>
  <c r="C894" i="26"/>
  <c r="C895" i="26"/>
  <c r="C896" i="26"/>
  <c r="C897" i="26"/>
  <c r="C898" i="26"/>
  <c r="C899" i="26"/>
  <c r="C900" i="26"/>
  <c r="C901" i="26"/>
  <c r="C902" i="26"/>
  <c r="C903" i="26"/>
  <c r="C904" i="26"/>
  <c r="C905" i="26"/>
  <c r="C906" i="26"/>
  <c r="C907" i="26"/>
  <c r="C908" i="26"/>
  <c r="C909" i="26"/>
  <c r="C910" i="26"/>
  <c r="C911" i="26"/>
  <c r="C912" i="26"/>
  <c r="C913" i="26"/>
  <c r="C914" i="26"/>
  <c r="C915" i="26"/>
  <c r="C916" i="26"/>
  <c r="C917" i="26"/>
  <c r="C918" i="26"/>
  <c r="C919" i="26"/>
  <c r="C920" i="26"/>
  <c r="C921" i="26"/>
  <c r="C922" i="26"/>
  <c r="C923" i="26"/>
  <c r="C924" i="26"/>
  <c r="C925" i="26"/>
  <c r="C926" i="26"/>
  <c r="C927" i="26"/>
  <c r="C928" i="26"/>
  <c r="C929" i="26"/>
  <c r="C930" i="26"/>
  <c r="C931" i="26"/>
  <c r="C932" i="26"/>
  <c r="C933" i="26"/>
  <c r="C934" i="26"/>
  <c r="C935" i="26"/>
  <c r="C936" i="26"/>
  <c r="C937" i="26"/>
  <c r="C938" i="26"/>
  <c r="C939" i="26"/>
  <c r="C940" i="26"/>
  <c r="C941" i="26"/>
  <c r="C942" i="26"/>
  <c r="C943" i="26"/>
  <c r="C944" i="26"/>
  <c r="C945" i="26"/>
  <c r="C946" i="26"/>
  <c r="C947" i="26"/>
  <c r="C948" i="26"/>
  <c r="C949" i="26"/>
  <c r="C950" i="26"/>
  <c r="C951" i="26"/>
  <c r="C952" i="26"/>
  <c r="C953" i="26"/>
  <c r="C954" i="26"/>
  <c r="C955" i="26"/>
  <c r="C956" i="26"/>
  <c r="C957" i="26"/>
  <c r="C958" i="26"/>
  <c r="C959" i="26"/>
  <c r="C960" i="26"/>
  <c r="C961" i="26"/>
  <c r="C962" i="26"/>
  <c r="C963" i="26"/>
  <c r="C964" i="26"/>
  <c r="C965" i="26"/>
  <c r="C966" i="26"/>
  <c r="C967" i="26"/>
  <c r="C968" i="26"/>
  <c r="C969" i="26"/>
  <c r="C970" i="26"/>
  <c r="C971" i="26"/>
  <c r="C972" i="26"/>
  <c r="C973" i="26"/>
  <c r="C974" i="26"/>
  <c r="C975" i="26"/>
  <c r="C976" i="26"/>
  <c r="C977" i="26"/>
  <c r="C978" i="26"/>
  <c r="C979" i="26"/>
  <c r="C980" i="26"/>
  <c r="C981" i="26"/>
  <c r="C982" i="26"/>
  <c r="C983" i="26"/>
  <c r="C984" i="26"/>
  <c r="C985" i="26"/>
  <c r="C986" i="26"/>
  <c r="C987" i="26"/>
  <c r="C988" i="26"/>
  <c r="C989" i="26"/>
  <c r="C990" i="26"/>
  <c r="C991" i="26"/>
  <c r="C992" i="26"/>
  <c r="C993" i="26"/>
  <c r="C994" i="26"/>
  <c r="C995" i="26"/>
  <c r="C996" i="26"/>
  <c r="C997" i="26"/>
  <c r="C998" i="26"/>
  <c r="C999" i="26"/>
  <c r="C1000" i="26"/>
  <c r="C1001" i="26"/>
  <c r="C1002" i="26"/>
  <c r="C1003" i="26"/>
  <c r="C1004" i="26"/>
  <c r="C1005" i="26"/>
  <c r="C1006" i="26"/>
  <c r="C1007" i="26"/>
  <c r="C1008" i="26"/>
  <c r="C1009" i="26"/>
  <c r="C1010" i="26"/>
  <c r="C1011" i="26"/>
  <c r="C1012" i="26"/>
  <c r="C1013" i="26"/>
  <c r="C1014" i="26"/>
  <c r="C1015" i="26"/>
  <c r="C1016" i="26"/>
  <c r="C1017" i="26"/>
  <c r="C1018" i="26"/>
  <c r="C1019" i="26"/>
  <c r="C1020" i="26"/>
  <c r="C1021" i="26"/>
  <c r="C1022" i="26"/>
  <c r="C1023" i="26"/>
  <c r="C1024" i="26"/>
  <c r="C1025" i="26"/>
  <c r="C1026" i="26"/>
  <c r="C1027" i="26"/>
  <c r="C1028" i="26"/>
  <c r="C1029" i="26"/>
  <c r="C1030" i="26"/>
  <c r="C1031" i="26"/>
  <c r="C1032" i="26"/>
  <c r="C1033" i="26"/>
  <c r="C1034" i="26"/>
  <c r="C1035" i="26"/>
  <c r="C1036" i="26"/>
  <c r="C1037" i="26"/>
  <c r="C1038" i="26"/>
  <c r="C1039" i="26"/>
  <c r="C1040" i="26"/>
  <c r="C1041" i="26"/>
  <c r="C1042" i="26"/>
  <c r="C1043" i="26"/>
  <c r="C1044" i="26"/>
  <c r="C1045" i="26"/>
  <c r="C1046" i="26"/>
  <c r="C1047" i="26"/>
  <c r="C1048" i="26"/>
  <c r="C1049" i="26"/>
  <c r="C1050" i="26"/>
  <c r="C1051" i="26"/>
  <c r="C1052" i="26"/>
  <c r="C1053" i="26"/>
  <c r="C1054" i="26"/>
  <c r="C1055" i="26"/>
  <c r="C1056" i="26"/>
  <c r="C1057" i="26"/>
  <c r="C1058" i="26"/>
  <c r="C1059" i="26"/>
  <c r="C1060" i="26"/>
  <c r="C1061" i="26"/>
  <c r="C1062" i="26"/>
  <c r="C1063" i="26"/>
  <c r="C1064" i="26"/>
  <c r="C1065" i="26"/>
  <c r="C1066" i="26"/>
  <c r="C1067" i="26"/>
  <c r="C1068" i="26"/>
  <c r="C1069" i="26"/>
  <c r="C1070" i="26"/>
  <c r="C1071" i="26"/>
  <c r="C1072" i="26"/>
  <c r="C1073" i="26"/>
  <c r="C1074" i="26"/>
  <c r="C1075" i="26"/>
  <c r="C1076" i="26"/>
  <c r="C1077" i="26"/>
  <c r="C1078" i="26"/>
  <c r="C1079" i="26"/>
  <c r="C1080" i="26"/>
  <c r="C1081" i="26"/>
  <c r="C1082" i="26"/>
  <c r="C1083" i="26"/>
  <c r="C1084" i="26"/>
  <c r="C1085" i="26"/>
  <c r="C1086" i="26"/>
  <c r="C1087" i="26"/>
  <c r="C1088" i="26"/>
  <c r="C1089" i="26"/>
  <c r="C1090" i="26"/>
  <c r="C1091" i="26"/>
  <c r="C1092" i="26"/>
  <c r="C1093" i="26"/>
  <c r="C1094" i="26"/>
  <c r="C1095" i="26"/>
  <c r="C1096" i="26"/>
  <c r="C1097" i="26"/>
  <c r="C1098" i="26"/>
  <c r="C1099" i="26"/>
  <c r="C1100" i="26"/>
  <c r="C1101" i="26"/>
  <c r="C1102" i="26"/>
  <c r="C1103" i="26"/>
  <c r="C1104" i="26"/>
  <c r="C1105" i="26"/>
  <c r="C1106" i="26"/>
  <c r="C1107" i="26"/>
  <c r="C1108" i="26"/>
  <c r="C1109" i="26"/>
  <c r="C1110" i="26"/>
  <c r="C1111" i="26"/>
  <c r="C1112" i="26"/>
  <c r="C1113" i="26"/>
  <c r="C1114" i="26"/>
  <c r="C1115" i="26"/>
  <c r="C1116" i="26"/>
  <c r="C1117" i="26"/>
  <c r="C1118" i="26"/>
  <c r="C1119" i="26"/>
  <c r="C1120" i="26"/>
  <c r="C1121" i="26"/>
  <c r="C1122" i="26"/>
  <c r="C1123" i="26"/>
  <c r="C1124" i="26"/>
  <c r="C1125" i="26"/>
  <c r="C1126" i="26"/>
  <c r="C1127" i="26"/>
  <c r="C1128" i="26"/>
  <c r="C1129" i="26"/>
  <c r="C1130" i="26"/>
  <c r="C1131" i="26"/>
  <c r="C1132" i="26"/>
  <c r="C1133" i="26"/>
  <c r="C1134" i="26"/>
  <c r="C1135" i="26"/>
  <c r="C1136" i="26"/>
  <c r="C1137" i="26"/>
  <c r="C1138" i="26"/>
  <c r="C1139" i="26"/>
  <c r="C1140" i="26"/>
  <c r="C1141" i="26"/>
  <c r="C1142" i="26"/>
  <c r="C1143" i="26"/>
  <c r="C1144" i="26"/>
  <c r="C1145" i="26"/>
  <c r="C1146" i="26"/>
  <c r="C1147" i="26"/>
  <c r="C1148" i="26"/>
  <c r="C1149" i="26"/>
  <c r="C1150" i="26"/>
  <c r="C1151" i="26"/>
  <c r="C1152" i="26"/>
  <c r="C1153" i="26"/>
  <c r="C1154" i="26"/>
  <c r="C1155" i="26"/>
  <c r="C1156" i="26"/>
  <c r="C1157" i="26"/>
  <c r="C1158" i="26"/>
  <c r="C1159" i="26"/>
  <c r="C1160" i="26"/>
  <c r="C1161" i="26"/>
  <c r="C1162" i="26"/>
  <c r="C1163" i="26"/>
  <c r="C1164" i="26"/>
  <c r="C1165" i="26"/>
  <c r="C1166" i="26"/>
  <c r="C1167" i="26"/>
  <c r="C1168" i="26"/>
  <c r="C1169" i="26"/>
  <c r="C1170" i="26"/>
  <c r="C1171" i="26"/>
  <c r="C1172" i="26"/>
  <c r="C1173" i="26"/>
  <c r="C1174" i="26"/>
  <c r="C1175" i="26"/>
  <c r="C1176" i="26"/>
  <c r="C1177" i="26"/>
  <c r="C1178" i="26"/>
  <c r="C1179" i="26"/>
  <c r="C1180" i="26"/>
  <c r="C1181" i="26"/>
  <c r="C1182" i="26"/>
  <c r="C1183" i="26"/>
  <c r="C1184" i="26"/>
  <c r="C1185" i="26"/>
  <c r="C1186" i="26"/>
  <c r="C1187" i="26"/>
  <c r="C1188" i="26"/>
  <c r="C1189" i="26"/>
  <c r="C1190" i="26"/>
  <c r="C1191" i="26"/>
  <c r="C1192" i="26"/>
  <c r="C1193" i="26"/>
  <c r="C1194" i="26"/>
  <c r="C1195" i="26"/>
  <c r="C1196" i="26"/>
  <c r="C1197" i="26"/>
  <c r="C1198" i="26"/>
  <c r="C1199" i="26"/>
  <c r="C1200" i="26"/>
  <c r="C1201" i="26"/>
  <c r="C1202" i="26"/>
  <c r="C1203" i="26"/>
  <c r="C1204" i="26"/>
  <c r="C1205" i="26"/>
  <c r="C1206" i="26"/>
  <c r="C1207" i="26"/>
  <c r="C1208" i="26"/>
  <c r="C1209" i="26"/>
  <c r="C1210" i="26"/>
  <c r="C1211" i="26"/>
  <c r="C1212" i="26"/>
  <c r="C1213" i="26"/>
  <c r="C1214" i="26"/>
  <c r="C1215" i="26"/>
  <c r="C1216" i="26"/>
  <c r="C1217" i="26"/>
  <c r="C1218" i="26"/>
  <c r="C1219" i="26"/>
  <c r="C1220" i="26"/>
  <c r="C1221" i="26"/>
  <c r="C1222" i="26"/>
  <c r="C1223" i="26"/>
  <c r="C1224" i="26"/>
  <c r="C1225" i="26"/>
  <c r="C1226" i="26"/>
  <c r="C1227" i="26"/>
  <c r="C1228" i="26"/>
  <c r="C1229" i="26"/>
  <c r="C1230" i="26"/>
  <c r="C1231" i="26"/>
  <c r="C1232" i="26"/>
  <c r="C1233" i="26"/>
  <c r="C1234" i="26"/>
  <c r="C1235" i="26"/>
  <c r="C1236" i="26"/>
  <c r="C1237" i="26"/>
  <c r="C1238" i="26"/>
  <c r="C1239" i="26"/>
  <c r="C1240" i="26"/>
  <c r="C1241" i="26"/>
  <c r="C1242" i="26"/>
  <c r="C1243" i="26"/>
  <c r="C1244" i="26"/>
  <c r="C1245" i="26"/>
  <c r="C1246" i="26"/>
  <c r="C1247" i="26"/>
  <c r="C1248" i="26"/>
  <c r="C1249" i="26"/>
  <c r="C1250" i="26"/>
  <c r="C1251" i="26"/>
  <c r="C1252" i="26"/>
  <c r="C1253" i="26"/>
  <c r="C1254" i="26"/>
  <c r="C1255" i="26"/>
  <c r="C1256" i="26"/>
  <c r="C1257" i="26"/>
  <c r="C1258" i="26"/>
  <c r="C1259" i="26"/>
  <c r="C1260" i="26"/>
  <c r="C1261" i="26"/>
  <c r="C1262" i="26"/>
  <c r="C1263" i="26"/>
  <c r="C1264" i="26"/>
  <c r="C1265" i="26"/>
  <c r="C1266" i="26"/>
  <c r="C1267" i="26"/>
  <c r="C1268" i="26"/>
  <c r="C1269" i="26"/>
  <c r="C1270" i="26"/>
  <c r="C1271" i="26"/>
  <c r="C1272" i="26"/>
  <c r="C1273" i="26"/>
  <c r="C1274" i="26"/>
  <c r="C1275" i="26"/>
  <c r="C1276" i="26"/>
  <c r="C1277" i="26"/>
  <c r="C1278" i="26"/>
  <c r="C1279" i="26"/>
  <c r="C1280" i="26"/>
  <c r="C1281" i="26"/>
  <c r="C1282" i="26"/>
  <c r="C1283" i="26"/>
  <c r="C1284" i="26"/>
  <c r="C1285" i="26"/>
  <c r="C1286" i="26"/>
  <c r="C1287" i="26"/>
  <c r="C1288" i="26"/>
  <c r="C1289" i="26"/>
  <c r="C1290" i="26"/>
  <c r="C1291" i="26"/>
  <c r="C1292" i="26"/>
  <c r="C1293" i="26"/>
  <c r="C1294" i="26"/>
  <c r="C1295" i="26"/>
  <c r="C1296" i="26"/>
  <c r="C1297" i="26"/>
  <c r="C1298" i="26"/>
  <c r="C1299" i="26"/>
  <c r="C1300" i="26"/>
  <c r="C1301" i="26"/>
  <c r="C1302" i="26"/>
  <c r="C1303" i="26"/>
  <c r="C1304" i="26"/>
  <c r="C1305" i="26"/>
  <c r="C1306" i="26"/>
  <c r="C1307" i="26"/>
  <c r="C1308" i="26"/>
  <c r="C1309" i="26"/>
  <c r="C1310" i="26"/>
  <c r="C1311" i="26"/>
  <c r="C1312" i="26"/>
  <c r="C1313" i="26"/>
  <c r="C1314" i="26"/>
  <c r="C1315" i="26"/>
  <c r="C1316" i="26"/>
  <c r="C1317" i="26"/>
  <c r="C1318" i="26"/>
  <c r="C1319" i="26"/>
  <c r="C1320" i="26"/>
  <c r="C1321" i="26"/>
  <c r="C1322" i="26"/>
  <c r="C1323" i="26"/>
  <c r="C1324" i="26"/>
  <c r="C1325" i="26"/>
  <c r="C1326" i="26"/>
  <c r="C1327" i="26"/>
  <c r="C1328" i="26"/>
  <c r="C1329" i="26"/>
  <c r="C1330" i="26"/>
  <c r="C1331" i="26"/>
  <c r="C1332" i="26"/>
  <c r="C1333" i="26"/>
  <c r="C1334" i="26"/>
  <c r="C1335" i="26"/>
  <c r="C1336" i="26"/>
  <c r="C1337" i="26"/>
  <c r="C1338" i="26"/>
  <c r="C1339" i="26"/>
  <c r="C1340" i="26"/>
  <c r="C1341" i="26"/>
  <c r="C1342" i="26"/>
  <c r="C1343" i="26"/>
  <c r="C1344" i="26"/>
  <c r="C1345" i="26"/>
  <c r="C1346" i="26"/>
  <c r="C1347" i="26"/>
  <c r="C1348" i="26"/>
  <c r="C1349" i="26"/>
  <c r="C1350" i="26"/>
  <c r="C1351" i="26"/>
  <c r="C1352" i="26"/>
  <c r="C1353" i="26"/>
  <c r="C1354" i="26"/>
  <c r="C1355" i="26"/>
  <c r="C1356" i="26"/>
  <c r="C1357" i="26"/>
  <c r="C1358" i="26"/>
  <c r="C1359" i="26"/>
  <c r="C1360" i="26"/>
  <c r="C1361" i="26"/>
  <c r="C1362" i="26"/>
  <c r="C1363" i="26"/>
  <c r="C1364" i="26"/>
  <c r="C1365" i="26"/>
  <c r="C1366" i="26"/>
  <c r="C1367" i="26"/>
  <c r="C1368" i="26"/>
  <c r="C1369" i="26"/>
  <c r="C1370" i="26"/>
  <c r="C1371" i="26"/>
  <c r="C1372" i="26"/>
  <c r="C1373" i="26"/>
  <c r="C1374" i="26"/>
  <c r="C1375" i="26"/>
  <c r="C1376" i="26"/>
  <c r="C1377" i="26"/>
  <c r="C1378" i="26"/>
  <c r="C1379" i="26"/>
  <c r="C1380" i="26"/>
  <c r="C1381" i="26"/>
  <c r="C1382" i="26"/>
  <c r="C1383" i="26"/>
  <c r="C1384" i="26"/>
  <c r="C1385" i="26"/>
  <c r="C1386" i="26"/>
  <c r="C1387" i="26"/>
  <c r="C1388" i="26"/>
  <c r="C1389" i="26"/>
  <c r="C1390" i="26"/>
  <c r="C1391" i="26"/>
  <c r="C1392" i="26"/>
  <c r="C1393" i="26"/>
  <c r="C1394" i="26"/>
  <c r="C1395" i="26"/>
  <c r="C1396" i="26"/>
  <c r="C1397" i="26"/>
  <c r="C1398" i="26"/>
  <c r="C1399" i="26"/>
  <c r="C1400" i="26"/>
  <c r="C1401" i="26"/>
  <c r="C1402" i="26"/>
  <c r="C1403" i="26"/>
  <c r="C1404" i="26"/>
  <c r="C1405" i="26"/>
  <c r="C1406" i="26"/>
  <c r="C1407" i="26"/>
  <c r="C1408" i="26"/>
  <c r="C1409" i="26"/>
  <c r="C1410" i="26"/>
  <c r="C1411" i="26"/>
  <c r="C1412" i="26"/>
  <c r="C1413" i="26"/>
  <c r="C1414" i="26"/>
  <c r="C1415" i="26"/>
  <c r="C1416" i="26"/>
  <c r="C1417" i="26"/>
  <c r="C1418" i="26"/>
  <c r="C1419" i="26"/>
  <c r="C1420" i="26"/>
  <c r="C1421" i="26"/>
  <c r="C1422" i="26"/>
  <c r="C1423" i="26"/>
  <c r="C1424" i="26"/>
  <c r="C1425" i="26"/>
  <c r="C1426" i="26"/>
  <c r="C1427" i="26"/>
  <c r="C1428" i="26"/>
  <c r="C1429" i="26"/>
  <c r="C1430" i="26"/>
  <c r="C1431" i="26"/>
  <c r="C1432" i="26"/>
  <c r="C1433" i="26"/>
  <c r="C1434" i="26"/>
  <c r="C1435" i="26"/>
  <c r="C1436" i="26"/>
  <c r="C1437" i="26"/>
  <c r="C1438" i="26"/>
  <c r="C1439" i="26"/>
  <c r="C1440" i="26"/>
  <c r="C1441" i="26"/>
  <c r="C1442" i="26"/>
  <c r="C1443" i="26"/>
  <c r="C1444" i="26"/>
  <c r="C1445" i="26"/>
  <c r="C1446" i="26"/>
  <c r="C1447" i="26"/>
  <c r="C1448" i="26"/>
  <c r="C1449" i="26"/>
  <c r="C1450" i="26"/>
  <c r="C1451" i="26"/>
  <c r="C1452" i="26"/>
  <c r="C1453" i="26"/>
  <c r="C1454" i="26"/>
  <c r="C1455" i="26"/>
  <c r="C1456" i="26"/>
  <c r="C1457" i="26"/>
  <c r="C1458" i="26"/>
  <c r="C1459" i="26"/>
  <c r="C1460" i="26"/>
  <c r="C1461" i="26"/>
  <c r="C1462" i="26"/>
  <c r="C1463" i="26"/>
  <c r="C1464" i="26"/>
  <c r="C1465" i="26"/>
  <c r="C1466" i="26"/>
  <c r="C1467" i="26"/>
  <c r="C1468" i="26"/>
  <c r="C1469" i="26"/>
  <c r="C1470" i="26"/>
  <c r="C1471" i="26"/>
  <c r="C1472" i="26"/>
  <c r="C1473" i="26"/>
  <c r="C1474" i="26"/>
  <c r="C1475" i="26"/>
  <c r="C1476" i="26"/>
  <c r="C1477" i="26"/>
  <c r="C1478" i="26"/>
  <c r="C1479" i="26"/>
  <c r="C1480" i="26"/>
  <c r="C1481" i="26"/>
  <c r="C1482" i="26"/>
  <c r="C1483" i="26"/>
  <c r="C1484" i="26"/>
  <c r="C1485" i="26"/>
  <c r="C1486" i="26"/>
  <c r="C1487" i="26"/>
  <c r="C1488" i="26"/>
  <c r="C1489" i="26"/>
  <c r="C1490" i="26"/>
  <c r="C1491" i="26"/>
  <c r="C1492" i="26"/>
  <c r="C1493" i="26"/>
  <c r="C1494" i="26"/>
  <c r="C1495" i="26"/>
  <c r="C1496" i="26"/>
  <c r="C1497" i="26"/>
  <c r="C1498" i="26"/>
  <c r="C1499" i="26"/>
  <c r="C1500" i="26"/>
  <c r="C1501" i="26"/>
  <c r="C1502" i="26"/>
  <c r="C1503" i="26"/>
  <c r="C1504" i="26"/>
  <c r="C1505" i="26"/>
  <c r="C1506" i="26"/>
  <c r="C1507" i="26"/>
  <c r="C1508" i="26"/>
  <c r="C1509" i="26"/>
  <c r="C1510" i="26"/>
  <c r="C1511" i="26"/>
  <c r="C1512" i="26"/>
  <c r="C1513" i="26"/>
  <c r="C1514" i="26"/>
  <c r="C1515" i="26"/>
  <c r="C1516" i="26"/>
  <c r="C1517" i="26"/>
  <c r="C1518" i="26"/>
  <c r="C1519" i="26"/>
  <c r="C1520" i="26"/>
  <c r="C1521" i="26"/>
  <c r="C1522" i="26"/>
  <c r="C1523" i="26"/>
  <c r="C1524" i="26"/>
  <c r="C1525" i="26"/>
  <c r="C1526" i="26"/>
  <c r="C1527" i="26"/>
  <c r="C1528" i="26"/>
  <c r="C1529" i="26"/>
  <c r="C1530" i="26"/>
  <c r="C1531" i="26"/>
  <c r="C1532" i="26"/>
  <c r="C1533" i="26"/>
  <c r="C1534" i="26"/>
  <c r="C1535" i="26"/>
  <c r="C1536" i="26"/>
  <c r="C1537" i="26"/>
  <c r="C1538" i="26"/>
  <c r="C1539" i="26"/>
  <c r="C1540" i="26"/>
  <c r="C1541" i="26"/>
  <c r="C1542" i="26"/>
  <c r="C1543" i="26"/>
  <c r="C1544" i="26"/>
  <c r="C1545" i="26"/>
  <c r="C1546" i="26"/>
  <c r="C1547" i="26"/>
  <c r="C1548" i="26"/>
  <c r="C1549" i="26"/>
  <c r="C1550" i="26"/>
  <c r="C1551" i="26"/>
  <c r="C1552" i="26"/>
  <c r="C1553" i="26"/>
  <c r="C1554" i="26"/>
  <c r="C1555" i="26"/>
  <c r="C1556" i="26"/>
  <c r="C1557" i="26"/>
  <c r="C1558" i="26"/>
  <c r="C1559" i="26"/>
  <c r="C1560" i="26"/>
  <c r="C1561" i="26"/>
  <c r="C1562" i="26"/>
  <c r="C1563" i="26"/>
  <c r="C1564" i="26"/>
  <c r="C1565" i="26"/>
  <c r="C1566" i="26"/>
  <c r="C1567" i="26"/>
  <c r="C1568" i="26"/>
  <c r="C1569" i="26"/>
  <c r="C1570" i="26"/>
  <c r="C1571" i="26"/>
  <c r="C1572" i="26"/>
  <c r="C1573" i="26"/>
  <c r="C1574" i="26"/>
  <c r="C1575" i="26"/>
  <c r="C1576" i="26"/>
  <c r="C1577" i="26"/>
  <c r="C1578" i="26"/>
  <c r="C1579" i="26"/>
  <c r="C1580" i="26"/>
  <c r="C1581" i="26"/>
  <c r="C1582" i="26"/>
  <c r="C1583" i="26"/>
  <c r="C1584" i="26"/>
  <c r="C1585" i="26"/>
  <c r="C1586" i="26"/>
  <c r="C1587" i="26"/>
  <c r="C1588" i="26"/>
  <c r="C1589" i="26"/>
  <c r="C1590" i="26"/>
  <c r="C1591" i="26"/>
  <c r="C1592" i="26"/>
  <c r="C1593" i="26"/>
  <c r="C1594" i="26"/>
  <c r="C1595" i="26"/>
  <c r="C1596" i="26"/>
  <c r="C1597" i="26"/>
  <c r="C1598" i="26"/>
  <c r="C1599" i="26"/>
  <c r="C1600" i="26"/>
  <c r="C1601" i="26"/>
  <c r="C1602" i="26"/>
  <c r="C1603" i="26"/>
  <c r="C1604" i="26"/>
  <c r="C1605" i="26"/>
  <c r="C1606" i="26"/>
  <c r="C1607" i="26"/>
  <c r="C1608" i="26"/>
  <c r="C1609" i="26"/>
  <c r="C1610" i="26"/>
  <c r="C1611" i="26"/>
  <c r="C1612" i="26"/>
  <c r="C1613" i="26"/>
  <c r="C1614" i="26"/>
  <c r="C1615" i="26"/>
  <c r="C1616" i="26"/>
  <c r="C1617" i="26"/>
  <c r="C1618" i="26"/>
  <c r="C1619" i="26"/>
  <c r="C1620" i="26"/>
  <c r="C1621" i="26"/>
  <c r="C1622" i="26"/>
  <c r="C1623" i="26"/>
  <c r="C1624" i="26"/>
  <c r="C1625" i="26"/>
  <c r="C1626" i="26"/>
  <c r="C1627" i="26"/>
  <c r="C1628" i="26"/>
  <c r="C1629" i="26"/>
  <c r="C1630" i="26"/>
  <c r="C1631" i="26"/>
  <c r="C1632" i="26"/>
  <c r="C1633" i="26"/>
  <c r="C1634" i="26"/>
  <c r="C1635" i="26"/>
  <c r="C1636" i="26"/>
  <c r="C1637" i="26"/>
  <c r="C1638" i="26"/>
  <c r="C1639" i="26"/>
  <c r="C1640" i="26"/>
  <c r="C1641" i="26"/>
  <c r="C1642" i="26"/>
  <c r="C1643" i="26"/>
  <c r="C1644" i="26"/>
  <c r="C1645" i="26"/>
  <c r="C1646" i="26"/>
  <c r="C1647" i="26"/>
  <c r="C1648" i="26"/>
  <c r="C1649" i="26"/>
  <c r="C1650" i="26"/>
  <c r="C1651" i="26"/>
  <c r="C1652" i="26"/>
  <c r="C1653" i="26"/>
  <c r="C1654" i="26"/>
  <c r="C1655" i="26"/>
  <c r="C1656" i="26"/>
  <c r="C1657" i="26"/>
  <c r="C1658" i="26"/>
  <c r="C1659" i="26"/>
  <c r="C1660" i="26"/>
  <c r="C1661" i="26"/>
  <c r="C1662" i="26"/>
  <c r="C1663" i="26"/>
  <c r="C1664" i="26"/>
  <c r="C1665" i="26"/>
  <c r="C1666" i="26"/>
  <c r="C1667" i="26"/>
  <c r="C1668" i="26"/>
  <c r="C1669" i="26"/>
  <c r="C1670" i="26"/>
  <c r="C1671" i="26"/>
  <c r="C1672" i="26"/>
  <c r="C1673" i="26"/>
  <c r="C1674" i="26"/>
  <c r="C1675" i="26"/>
  <c r="C1676" i="26"/>
  <c r="C1677" i="26"/>
  <c r="C1678" i="26"/>
  <c r="C1679" i="26"/>
  <c r="C1680" i="26"/>
  <c r="C1681" i="26"/>
  <c r="C1682" i="26"/>
  <c r="C1683" i="26"/>
  <c r="C1684" i="26"/>
  <c r="C1685" i="26"/>
  <c r="C1686" i="26"/>
  <c r="C1687" i="26"/>
  <c r="C1688" i="26"/>
  <c r="C1689" i="26"/>
  <c r="C1690" i="26"/>
  <c r="C1691" i="26"/>
  <c r="C1692" i="26"/>
  <c r="C1693" i="26"/>
  <c r="C1694" i="26"/>
  <c r="C1695" i="26"/>
  <c r="C1696" i="26"/>
  <c r="C1697" i="26"/>
  <c r="C1698" i="26"/>
  <c r="C1699" i="26"/>
  <c r="C1700" i="26"/>
  <c r="C1701" i="26"/>
  <c r="C1702" i="26"/>
  <c r="C1703" i="26"/>
  <c r="C1704" i="26"/>
  <c r="C1705" i="26"/>
  <c r="C1706" i="26"/>
  <c r="C1707" i="26"/>
  <c r="C1708" i="26"/>
  <c r="C1709" i="26"/>
  <c r="C1710" i="26"/>
  <c r="C1711" i="26"/>
  <c r="C1712" i="26"/>
  <c r="C1713" i="26"/>
  <c r="C1714" i="26"/>
  <c r="C1715" i="26"/>
  <c r="C1716" i="26"/>
  <c r="C1717" i="26"/>
  <c r="C1718" i="26"/>
  <c r="C1719" i="26"/>
  <c r="C1720" i="26"/>
  <c r="C1721" i="26"/>
  <c r="C1722" i="26"/>
  <c r="C1723" i="26"/>
  <c r="C1724" i="26"/>
  <c r="C1725" i="26"/>
  <c r="C1726" i="26"/>
  <c r="C1727" i="26"/>
  <c r="C1728" i="26"/>
  <c r="C1729" i="26"/>
  <c r="C1730" i="26"/>
  <c r="C1731" i="26"/>
  <c r="C1732" i="26"/>
  <c r="C1733" i="26"/>
  <c r="C1734" i="26"/>
  <c r="C1735" i="26"/>
  <c r="C1736" i="26"/>
  <c r="C1737" i="26"/>
  <c r="C1738" i="26"/>
  <c r="C1739" i="26"/>
  <c r="C1740" i="26"/>
  <c r="C1741" i="26"/>
  <c r="C1742" i="26"/>
  <c r="C1743" i="26"/>
  <c r="C1744" i="26"/>
  <c r="C1745" i="26"/>
  <c r="C1746" i="26"/>
  <c r="C1747" i="26"/>
  <c r="C1748" i="26"/>
  <c r="C1749" i="26"/>
  <c r="C1750" i="26"/>
  <c r="C1751" i="26"/>
  <c r="C1752" i="26"/>
  <c r="C1753" i="26"/>
  <c r="C1754" i="26"/>
  <c r="C1755" i="26"/>
  <c r="C1756" i="26"/>
  <c r="C1757" i="26"/>
  <c r="C1758" i="26"/>
  <c r="C1759" i="26"/>
  <c r="C1760" i="26"/>
  <c r="C1761" i="26"/>
  <c r="C1762" i="26"/>
  <c r="C1763" i="26"/>
  <c r="C1764" i="26"/>
  <c r="C1765" i="26"/>
  <c r="C1766" i="26"/>
  <c r="C1767" i="26"/>
  <c r="C1768" i="26"/>
  <c r="C1769" i="26"/>
  <c r="C1770" i="26"/>
  <c r="C1771" i="26"/>
  <c r="C1772" i="26"/>
  <c r="C1773" i="26"/>
  <c r="C1774" i="26"/>
  <c r="C1775" i="26"/>
  <c r="C1776" i="26"/>
  <c r="C1777" i="26"/>
  <c r="C1778" i="26"/>
  <c r="C1779" i="26"/>
  <c r="C1780" i="26"/>
  <c r="C1781" i="26"/>
  <c r="C1782" i="26"/>
  <c r="C1783" i="26"/>
  <c r="C1784" i="26"/>
  <c r="C1785" i="26"/>
  <c r="C1786" i="26"/>
  <c r="C1787" i="26"/>
  <c r="C1788" i="26"/>
  <c r="C1789" i="26"/>
  <c r="C1790" i="26"/>
  <c r="C1791" i="26"/>
  <c r="C1792" i="26"/>
  <c r="C1793" i="26"/>
  <c r="C1794" i="26"/>
  <c r="C1795" i="26"/>
  <c r="C1796" i="26"/>
  <c r="C1797" i="26"/>
  <c r="C1798" i="26"/>
  <c r="C1799" i="26"/>
  <c r="C1800" i="26"/>
  <c r="C1801" i="26"/>
  <c r="C1802" i="26"/>
  <c r="C1803" i="26"/>
  <c r="C1804" i="26"/>
  <c r="C1805" i="26"/>
  <c r="C1806" i="26"/>
  <c r="C1807" i="26"/>
  <c r="C1808" i="26"/>
  <c r="C1809" i="26"/>
  <c r="C1810" i="26"/>
  <c r="C1811" i="26"/>
  <c r="C1812" i="26"/>
  <c r="C1813" i="26"/>
  <c r="C1814" i="26"/>
  <c r="C1815" i="26"/>
  <c r="C1816" i="26"/>
  <c r="C1817" i="26"/>
  <c r="C1818" i="26"/>
  <c r="C1819" i="26"/>
  <c r="C1820" i="26"/>
  <c r="C1821" i="26"/>
  <c r="C1822" i="26"/>
  <c r="C1823" i="26"/>
  <c r="C1824" i="26"/>
  <c r="C1825" i="26"/>
  <c r="C1826" i="26"/>
  <c r="C1827" i="26"/>
  <c r="C1828" i="26"/>
  <c r="C1829" i="26"/>
  <c r="C1830" i="26"/>
  <c r="C1831" i="26"/>
  <c r="C1832" i="26"/>
  <c r="C1833" i="26"/>
  <c r="C1834" i="26"/>
  <c r="C1835" i="26"/>
  <c r="C1836" i="26"/>
  <c r="C1837" i="26"/>
  <c r="C1838" i="26"/>
  <c r="C1839" i="26"/>
  <c r="C1840" i="26"/>
  <c r="C1841" i="26"/>
  <c r="C1842" i="26"/>
  <c r="C1843" i="26"/>
  <c r="C1844" i="26"/>
  <c r="C1845" i="26"/>
  <c r="C1846" i="26"/>
  <c r="C1847" i="26"/>
  <c r="C1848" i="26"/>
  <c r="C1849" i="26"/>
  <c r="C1850" i="26"/>
  <c r="C1851" i="26"/>
  <c r="C1852" i="26"/>
  <c r="C1853" i="26"/>
  <c r="C1854" i="26"/>
  <c r="C1855" i="26"/>
  <c r="C1856" i="26"/>
  <c r="C1857" i="26"/>
  <c r="C1858" i="26"/>
  <c r="C1859" i="26"/>
  <c r="C1860" i="26"/>
  <c r="C1861" i="26"/>
  <c r="C1862" i="26"/>
  <c r="C1863" i="26"/>
  <c r="C1864" i="26"/>
  <c r="C1865" i="26"/>
  <c r="C1866" i="26"/>
  <c r="C1867" i="26"/>
  <c r="C1868" i="26"/>
  <c r="C1869" i="26"/>
  <c r="C1870" i="26"/>
  <c r="C1871" i="26"/>
  <c r="C1872" i="26"/>
  <c r="C1873" i="26"/>
  <c r="C1874" i="26"/>
  <c r="C1875" i="26"/>
  <c r="C1876" i="26"/>
  <c r="C1877" i="26"/>
  <c r="C1878" i="26"/>
  <c r="C1879" i="26"/>
  <c r="C1880" i="26"/>
  <c r="C1881" i="26"/>
  <c r="C1882" i="26"/>
  <c r="C1883" i="26"/>
  <c r="C1884" i="26"/>
  <c r="C1885" i="26"/>
  <c r="C1886" i="26"/>
  <c r="C1887" i="26"/>
  <c r="C1888" i="26"/>
  <c r="C1889" i="26"/>
  <c r="C1890" i="26"/>
  <c r="C1891" i="26"/>
  <c r="C1892" i="26"/>
  <c r="C1893" i="26"/>
  <c r="C1894" i="26"/>
  <c r="C1895" i="26"/>
  <c r="C1896" i="26"/>
  <c r="C1897" i="26"/>
  <c r="C1898" i="26"/>
  <c r="C1899" i="26"/>
  <c r="C1900" i="26"/>
  <c r="C1901" i="26"/>
  <c r="C1902" i="26"/>
  <c r="C1903" i="26"/>
  <c r="C1904" i="26"/>
  <c r="C1905" i="26"/>
  <c r="C1906" i="26"/>
  <c r="C1907" i="26"/>
  <c r="C1908" i="26"/>
  <c r="C1909" i="26"/>
  <c r="C1910" i="26"/>
  <c r="C1911" i="26"/>
  <c r="C1912" i="26"/>
  <c r="C1913" i="26"/>
  <c r="C1914" i="26"/>
  <c r="C1915" i="26"/>
  <c r="C1916" i="26"/>
  <c r="C1917" i="26"/>
  <c r="C1918" i="26"/>
  <c r="C1919" i="26"/>
  <c r="C1920" i="26"/>
  <c r="C1921" i="26"/>
  <c r="C1922" i="26"/>
  <c r="C1923" i="26"/>
  <c r="C1924" i="26"/>
  <c r="C1925" i="26"/>
  <c r="C1926" i="26"/>
  <c r="C1927" i="26"/>
  <c r="C1928" i="26"/>
  <c r="C1929" i="26"/>
  <c r="C1930" i="26"/>
  <c r="C1931" i="26"/>
  <c r="C1932" i="26"/>
  <c r="C1933" i="26"/>
  <c r="C1934" i="26"/>
  <c r="C1935" i="26"/>
  <c r="C1936" i="26"/>
  <c r="C1937" i="26"/>
  <c r="C1938" i="26"/>
  <c r="C1939" i="26"/>
  <c r="C1940" i="26"/>
  <c r="C1941" i="26"/>
  <c r="C1942" i="26"/>
  <c r="C1943" i="26"/>
  <c r="C1944" i="26"/>
  <c r="C1945" i="26"/>
  <c r="C1946" i="26"/>
  <c r="C1947" i="26"/>
  <c r="C1948" i="26"/>
  <c r="C1949" i="26"/>
  <c r="C1950" i="26"/>
  <c r="C1951" i="26"/>
  <c r="C1952" i="26"/>
  <c r="C1953" i="26"/>
  <c r="C1954" i="26"/>
  <c r="C1955" i="26"/>
  <c r="C1956" i="26"/>
  <c r="C1957" i="26"/>
  <c r="C1958" i="26"/>
  <c r="C1959" i="26"/>
  <c r="C1960" i="26"/>
  <c r="C1961" i="26"/>
  <c r="C1962" i="26"/>
  <c r="C1963" i="26"/>
  <c r="C1964" i="26"/>
  <c r="C1965" i="26"/>
  <c r="C1966" i="26"/>
  <c r="C1967" i="26"/>
  <c r="C1968" i="26"/>
  <c r="C1969" i="26"/>
  <c r="C1970" i="26"/>
  <c r="C1971" i="26"/>
  <c r="C1972" i="26"/>
  <c r="C1973" i="26"/>
  <c r="C1974" i="26"/>
  <c r="C1975" i="26"/>
  <c r="C1976" i="26"/>
  <c r="C1977" i="26"/>
  <c r="C1978" i="26"/>
  <c r="C1979" i="26"/>
  <c r="C1980" i="26"/>
  <c r="C1981" i="26"/>
  <c r="C1982" i="26"/>
  <c r="C1983" i="26"/>
  <c r="C1984" i="26"/>
  <c r="C1985" i="26"/>
  <c r="C1986" i="26"/>
  <c r="C1987" i="26"/>
  <c r="C1988" i="26"/>
  <c r="C1989" i="26"/>
  <c r="C1990" i="26"/>
  <c r="C1991" i="26"/>
  <c r="C1992" i="26"/>
  <c r="C1993" i="26"/>
  <c r="C1994" i="26"/>
  <c r="C1995" i="26"/>
  <c r="C1996" i="26"/>
  <c r="C1997" i="26"/>
  <c r="C1998" i="26"/>
  <c r="C1999" i="26"/>
  <c r="C2000" i="26"/>
  <c r="C2001" i="26"/>
  <c r="C2002" i="26"/>
  <c r="C2003" i="26"/>
  <c r="C2004" i="26"/>
  <c r="C2005" i="26"/>
  <c r="C2006" i="26"/>
  <c r="C2007" i="26"/>
  <c r="C2008" i="26"/>
  <c r="C2009" i="26"/>
  <c r="C2010" i="26"/>
  <c r="C2011" i="26"/>
  <c r="C2012" i="26"/>
  <c r="C2013" i="26"/>
  <c r="C2014" i="26"/>
  <c r="C2015" i="26"/>
  <c r="C2016" i="26"/>
  <c r="C2017" i="26"/>
  <c r="C2018" i="26"/>
  <c r="C2019" i="26"/>
  <c r="C2020" i="26"/>
  <c r="C2021" i="26"/>
  <c r="C2022" i="26"/>
  <c r="C2023" i="26"/>
  <c r="C2024" i="26"/>
  <c r="C2025" i="26"/>
  <c r="C2026" i="26"/>
  <c r="C2027" i="26"/>
  <c r="C2028" i="26"/>
  <c r="C2029" i="26"/>
  <c r="C2030" i="26"/>
  <c r="C2031" i="26"/>
  <c r="C2032" i="26"/>
  <c r="C2033" i="26"/>
  <c r="C2034" i="26"/>
  <c r="C2035" i="26"/>
  <c r="C2036" i="26"/>
  <c r="C2037" i="26"/>
  <c r="C2038" i="26"/>
  <c r="C2039" i="26"/>
  <c r="C2040" i="26"/>
  <c r="C2041" i="26"/>
  <c r="C2042" i="26"/>
  <c r="C2043" i="26"/>
  <c r="C2044" i="26"/>
  <c r="C2045" i="26"/>
  <c r="C2046" i="26"/>
  <c r="C2047" i="26"/>
  <c r="C2048" i="26"/>
  <c r="C2049" i="26"/>
  <c r="C2050" i="26"/>
  <c r="C2051" i="26"/>
  <c r="C2052" i="26"/>
  <c r="C2053" i="26"/>
  <c r="C2054" i="26"/>
  <c r="C2055" i="26"/>
  <c r="C2056" i="26"/>
  <c r="C2057" i="26"/>
  <c r="C2058" i="26"/>
  <c r="C2059" i="26"/>
  <c r="C2060" i="26"/>
  <c r="C2061" i="26"/>
  <c r="C2062" i="26"/>
  <c r="C2063" i="26"/>
  <c r="C2064" i="26"/>
  <c r="C2065" i="26"/>
  <c r="C2066" i="26"/>
  <c r="C2067" i="26"/>
  <c r="C2068" i="26"/>
  <c r="C2069" i="26"/>
  <c r="C2070" i="26"/>
  <c r="C2071" i="26"/>
  <c r="C2072" i="26"/>
  <c r="C2073" i="26"/>
  <c r="C2074" i="26"/>
  <c r="C2075" i="26"/>
  <c r="C2076" i="26"/>
  <c r="C2077" i="26"/>
  <c r="C2078" i="26"/>
  <c r="C2079" i="26"/>
  <c r="C2080" i="26"/>
  <c r="C2081" i="26"/>
  <c r="C2082" i="26"/>
  <c r="C2083" i="26"/>
  <c r="C2084" i="26"/>
  <c r="C2085" i="26"/>
  <c r="C2086" i="26"/>
  <c r="C2087" i="26"/>
  <c r="C2088" i="26"/>
  <c r="C2089" i="26"/>
  <c r="C2090" i="26"/>
  <c r="C2091" i="26"/>
  <c r="C2092" i="26"/>
  <c r="C2093" i="26"/>
  <c r="C2094" i="26"/>
  <c r="C2095" i="26"/>
  <c r="C2096" i="26"/>
  <c r="C2097" i="26"/>
  <c r="C2098" i="26"/>
  <c r="C2099" i="26"/>
  <c r="C2100" i="26"/>
  <c r="C2101" i="26"/>
  <c r="C2102" i="26"/>
  <c r="C2103" i="26"/>
  <c r="C2104" i="26"/>
  <c r="C2105" i="26"/>
  <c r="C2106" i="26"/>
  <c r="C2107" i="26"/>
  <c r="C2108" i="26"/>
  <c r="C2109" i="26"/>
  <c r="C2110" i="26"/>
  <c r="C2111" i="26"/>
  <c r="C2112" i="26"/>
  <c r="C2113" i="26"/>
  <c r="C2114" i="26"/>
  <c r="C2115" i="26"/>
  <c r="C2116" i="26"/>
  <c r="C2117" i="26"/>
  <c r="C2118" i="26"/>
  <c r="C2119" i="26"/>
  <c r="C2120" i="26"/>
  <c r="C2121" i="26"/>
  <c r="C2122" i="26"/>
  <c r="C2123" i="26"/>
  <c r="C2124" i="26"/>
  <c r="C2125" i="26"/>
  <c r="C2126" i="26"/>
  <c r="C2127" i="26"/>
  <c r="C2128" i="26"/>
  <c r="C2129" i="26"/>
  <c r="C2130" i="26"/>
  <c r="C2131" i="26"/>
  <c r="C2132" i="26"/>
  <c r="C2133" i="26"/>
  <c r="C2134" i="26"/>
  <c r="C2135" i="26"/>
  <c r="C2136" i="26"/>
  <c r="C2137" i="26"/>
  <c r="C2138" i="26"/>
  <c r="C2139" i="26"/>
  <c r="C2140" i="26"/>
  <c r="C2141" i="26"/>
  <c r="C2142" i="26"/>
  <c r="C2143" i="26"/>
  <c r="C2144" i="26"/>
  <c r="C2145" i="26"/>
  <c r="C2146" i="26"/>
  <c r="C2147" i="26"/>
  <c r="C2148" i="26"/>
  <c r="C2149" i="26"/>
  <c r="C2150" i="26"/>
  <c r="C2151" i="26"/>
  <c r="C2152" i="26"/>
  <c r="C2153" i="26"/>
  <c r="C2154" i="26"/>
  <c r="C2155" i="26"/>
  <c r="C2156" i="26"/>
  <c r="C2157" i="26"/>
  <c r="C2158" i="26"/>
  <c r="C2159" i="26"/>
  <c r="C2160" i="26"/>
  <c r="C2161" i="26"/>
  <c r="C2162" i="26"/>
  <c r="C2163" i="26"/>
  <c r="C2164" i="26"/>
  <c r="C2165" i="26"/>
  <c r="C2166" i="26"/>
  <c r="C2167" i="26"/>
  <c r="C2168" i="26"/>
  <c r="C2169" i="26"/>
  <c r="C2170" i="26"/>
  <c r="C2171" i="26"/>
  <c r="C2172" i="26"/>
  <c r="C2173" i="26"/>
  <c r="C2174" i="26"/>
  <c r="C2175" i="26"/>
  <c r="C2176" i="26"/>
  <c r="C2177" i="26"/>
  <c r="C2178" i="26"/>
  <c r="C2179" i="26"/>
  <c r="C2180" i="26"/>
  <c r="C2181" i="26"/>
  <c r="C2182" i="26"/>
  <c r="C2183" i="26"/>
  <c r="C2184" i="26"/>
  <c r="C2185" i="26"/>
  <c r="C2186" i="26"/>
  <c r="C2187" i="26"/>
  <c r="C2188" i="26"/>
  <c r="C2189" i="26"/>
  <c r="C2190" i="26"/>
  <c r="C2191" i="26"/>
  <c r="C2192" i="26"/>
  <c r="C2193" i="26"/>
  <c r="C2194" i="26"/>
  <c r="C2195" i="26"/>
  <c r="C2196" i="26"/>
  <c r="C2197" i="26"/>
  <c r="C2198" i="26"/>
  <c r="C2199" i="26"/>
  <c r="C2200" i="26"/>
  <c r="C2201" i="26"/>
  <c r="C2202" i="26"/>
  <c r="C2203" i="26"/>
  <c r="C2204" i="26"/>
  <c r="C2205" i="26"/>
  <c r="C2206" i="26"/>
  <c r="C2207" i="26"/>
  <c r="C2208" i="26"/>
  <c r="C2209" i="26"/>
  <c r="C2210" i="26"/>
  <c r="C2211" i="26"/>
  <c r="C2212" i="26"/>
  <c r="C2213" i="26"/>
  <c r="C2214" i="26"/>
  <c r="C2215" i="26"/>
  <c r="C2216" i="26"/>
  <c r="C2217" i="26"/>
  <c r="C2218" i="26"/>
  <c r="C2219" i="26"/>
  <c r="C2220" i="26"/>
  <c r="C2221" i="26"/>
  <c r="C2222" i="26"/>
  <c r="C2223" i="26"/>
  <c r="C2224" i="26"/>
  <c r="C2225" i="26"/>
  <c r="C2226" i="26"/>
  <c r="C2227" i="26"/>
  <c r="C2228" i="26"/>
  <c r="C2229" i="26"/>
  <c r="C2230" i="26"/>
  <c r="C2231" i="26"/>
  <c r="C2232" i="26"/>
  <c r="C2233" i="26"/>
  <c r="C2234" i="26"/>
  <c r="C2235" i="26"/>
  <c r="C2236" i="26"/>
  <c r="C2237" i="26"/>
  <c r="C2238" i="26"/>
  <c r="C2239" i="26"/>
  <c r="C2240" i="26"/>
  <c r="C2241" i="26"/>
  <c r="C2242" i="26"/>
  <c r="C2243" i="26"/>
  <c r="C2244" i="26"/>
  <c r="C2245" i="26"/>
  <c r="C2246" i="26"/>
  <c r="C2247" i="26"/>
  <c r="C2248" i="26"/>
  <c r="C2249" i="26"/>
  <c r="C2250" i="26"/>
  <c r="C2251" i="26"/>
  <c r="C2252" i="26"/>
  <c r="C2253" i="26"/>
  <c r="C2254" i="26"/>
  <c r="C2255" i="26"/>
  <c r="C2256" i="26"/>
  <c r="C2257" i="26"/>
  <c r="C2258" i="26"/>
  <c r="C2259" i="26"/>
  <c r="C2260" i="26"/>
  <c r="C2261" i="26"/>
  <c r="C2262" i="26"/>
  <c r="C2263" i="26"/>
  <c r="C2264" i="26"/>
  <c r="C2265" i="26"/>
  <c r="C2266" i="26"/>
  <c r="C2267" i="26"/>
  <c r="C2268" i="26"/>
  <c r="C2269" i="26"/>
  <c r="C2270" i="26"/>
  <c r="C2271" i="26"/>
  <c r="C2272" i="26"/>
  <c r="C2273" i="26"/>
  <c r="C2274" i="26"/>
  <c r="C2275" i="26"/>
  <c r="C2276" i="26"/>
  <c r="C2277" i="26"/>
  <c r="C2278" i="26"/>
  <c r="C2279" i="26"/>
  <c r="C2280" i="26"/>
  <c r="C2281" i="26"/>
  <c r="C2282" i="26"/>
  <c r="C2283" i="26"/>
  <c r="C2284" i="26"/>
  <c r="C2285" i="26"/>
  <c r="C2286" i="26"/>
  <c r="C2287" i="26"/>
  <c r="C2288" i="26"/>
  <c r="C2289" i="26"/>
  <c r="C2" i="26"/>
  <c r="F2289" i="26" l="1"/>
  <c r="F2288" i="26"/>
  <c r="F2287" i="26"/>
  <c r="F2286" i="26"/>
  <c r="F2285" i="26"/>
  <c r="F2284" i="26"/>
  <c r="F2283" i="26"/>
  <c r="F2282" i="26"/>
  <c r="F2281" i="26"/>
  <c r="F2280" i="26"/>
  <c r="F2279" i="26"/>
  <c r="F2278" i="26"/>
  <c r="F2277" i="26"/>
  <c r="F2276" i="26"/>
  <c r="F2275" i="26"/>
  <c r="F2274" i="26"/>
  <c r="F2273" i="26"/>
  <c r="F2272" i="26"/>
  <c r="F2271" i="26"/>
  <c r="F2270" i="26"/>
  <c r="F2269" i="26"/>
  <c r="F2268" i="26"/>
  <c r="F2267" i="26"/>
  <c r="F2266" i="26"/>
  <c r="F2265" i="26"/>
  <c r="F2264" i="26"/>
  <c r="F2263" i="26"/>
  <c r="F2262" i="26"/>
  <c r="F2261" i="26"/>
  <c r="F2260" i="26"/>
  <c r="F2259" i="26"/>
  <c r="F2258" i="26"/>
  <c r="F2257" i="26"/>
  <c r="F2256" i="26"/>
  <c r="F2255" i="26"/>
  <c r="F2254" i="26"/>
  <c r="F2253" i="26"/>
  <c r="F2252" i="26"/>
  <c r="F2251" i="26"/>
  <c r="F2250" i="26"/>
  <c r="F2249" i="26"/>
  <c r="F2248" i="26"/>
  <c r="F2247" i="26"/>
  <c r="F2246" i="26"/>
  <c r="F2245" i="26"/>
  <c r="F2244" i="26"/>
  <c r="F2243" i="26"/>
  <c r="F2242" i="26"/>
  <c r="F2241" i="26"/>
  <c r="F2240" i="26"/>
  <c r="F2239" i="26"/>
  <c r="F2238" i="26"/>
  <c r="F2237" i="26"/>
  <c r="F2236" i="26"/>
  <c r="F2235" i="26"/>
  <c r="F2234" i="26"/>
  <c r="F2233" i="26"/>
  <c r="F2232" i="26"/>
  <c r="F2231" i="26"/>
  <c r="F2230" i="26"/>
  <c r="F2229" i="26"/>
  <c r="F2228" i="26"/>
  <c r="F2227" i="26"/>
  <c r="F2226" i="26"/>
  <c r="F2225" i="26"/>
  <c r="F2224" i="26"/>
  <c r="F2223" i="26"/>
  <c r="F2222" i="26"/>
  <c r="F2221" i="26"/>
  <c r="F2220" i="26"/>
  <c r="F2219" i="26"/>
  <c r="F2218" i="26"/>
  <c r="F2217" i="26"/>
  <c r="F2216" i="26"/>
  <c r="F2215" i="26"/>
  <c r="F2214" i="26"/>
  <c r="F2213" i="26"/>
  <c r="F2212" i="26"/>
  <c r="F2211" i="26"/>
  <c r="F2210" i="26"/>
  <c r="F2209" i="26"/>
  <c r="F2208" i="26"/>
  <c r="F2207" i="26"/>
  <c r="F2206" i="26"/>
  <c r="F2205" i="26"/>
  <c r="F2204" i="26"/>
  <c r="F2203" i="26"/>
  <c r="F2202" i="26"/>
  <c r="F2201" i="26"/>
  <c r="F2200" i="26"/>
  <c r="F2199" i="26"/>
  <c r="F2198" i="26"/>
  <c r="F2197" i="26"/>
  <c r="F2196" i="26"/>
  <c r="F2195" i="26"/>
  <c r="F2194" i="26"/>
  <c r="F2193" i="26"/>
  <c r="F2192" i="26"/>
  <c r="F2191" i="26"/>
  <c r="F2190" i="26"/>
  <c r="F2189" i="26"/>
  <c r="F2188" i="26"/>
  <c r="F2187" i="26"/>
  <c r="F2186" i="26"/>
  <c r="F2185" i="26"/>
  <c r="F2184" i="26"/>
  <c r="F2183" i="26"/>
  <c r="F2182" i="26"/>
  <c r="F2181" i="26"/>
  <c r="F2180" i="26"/>
  <c r="F2179" i="26"/>
  <c r="F2178" i="26"/>
  <c r="F2177" i="26"/>
  <c r="F2176" i="26"/>
  <c r="F2175" i="26"/>
  <c r="F2174" i="26"/>
  <c r="F2173" i="26"/>
  <c r="F2172" i="26"/>
  <c r="F2171" i="26"/>
  <c r="F2170" i="26"/>
  <c r="F2169" i="26"/>
  <c r="F2168" i="26"/>
  <c r="F2167" i="26"/>
  <c r="F2166" i="26"/>
  <c r="F2165" i="26"/>
  <c r="F2164" i="26"/>
  <c r="F2163" i="26"/>
  <c r="F2162" i="26"/>
  <c r="F2161" i="26"/>
  <c r="F2160" i="26"/>
  <c r="F2159" i="26"/>
  <c r="F2158" i="26"/>
  <c r="F2157" i="26"/>
  <c r="F2156" i="26"/>
  <c r="F2155" i="26"/>
  <c r="F2154" i="26"/>
  <c r="F2153" i="26"/>
  <c r="F2152" i="26"/>
  <c r="F2151" i="26"/>
  <c r="F2150" i="26"/>
  <c r="F2149" i="26"/>
  <c r="F2148" i="26"/>
  <c r="F2147" i="26"/>
  <c r="F2146" i="26"/>
  <c r="F2145" i="26"/>
  <c r="F2144" i="26"/>
  <c r="F2143" i="26"/>
  <c r="F2142" i="26"/>
  <c r="F2141" i="26"/>
  <c r="F2140" i="26"/>
  <c r="F2139" i="26"/>
  <c r="F2138" i="26"/>
  <c r="F2137" i="26"/>
  <c r="F2136" i="26"/>
  <c r="F2135" i="26"/>
  <c r="F2134" i="26"/>
  <c r="F2133" i="26"/>
  <c r="F2132" i="26"/>
  <c r="F2131" i="26"/>
  <c r="F2130" i="26"/>
  <c r="F2129" i="26"/>
  <c r="F2128" i="26"/>
  <c r="F2127" i="26"/>
  <c r="F2126" i="26"/>
  <c r="F2125" i="26"/>
  <c r="F2124" i="26"/>
  <c r="F2123" i="26"/>
  <c r="F2122" i="26"/>
  <c r="F2121" i="26"/>
  <c r="F2120" i="26"/>
  <c r="F2119" i="26"/>
  <c r="F2118" i="26"/>
  <c r="F2117" i="26"/>
  <c r="F2116" i="26"/>
  <c r="F2115" i="26"/>
  <c r="F2114" i="26"/>
  <c r="F2113" i="26"/>
  <c r="F2112" i="26"/>
  <c r="F2111" i="26"/>
  <c r="F2110" i="26"/>
  <c r="F2109" i="26"/>
  <c r="F2108" i="26"/>
  <c r="F2107" i="26"/>
  <c r="F2106" i="26"/>
  <c r="F2105" i="26"/>
  <c r="F2104" i="26"/>
  <c r="F2103" i="26"/>
  <c r="F2102" i="26"/>
  <c r="F2101" i="26"/>
  <c r="F2100" i="26"/>
  <c r="F2099" i="26"/>
  <c r="F2098" i="26"/>
  <c r="F2097" i="26"/>
  <c r="F2096" i="26"/>
  <c r="F2095" i="26"/>
  <c r="F2094" i="26"/>
  <c r="F2093" i="26"/>
  <c r="F2092" i="26"/>
  <c r="F2091" i="26"/>
  <c r="F2090" i="26"/>
  <c r="F2089" i="26"/>
  <c r="F2088" i="26"/>
  <c r="F2087" i="26"/>
  <c r="F2086" i="26"/>
  <c r="F2085" i="26"/>
  <c r="F2084" i="26"/>
  <c r="F2083" i="26"/>
  <c r="F2082" i="26"/>
  <c r="F2081" i="26"/>
  <c r="F2080" i="26"/>
  <c r="F2079" i="26"/>
  <c r="F2078" i="26"/>
  <c r="F2077" i="26"/>
  <c r="F2076" i="26"/>
  <c r="F2075" i="26"/>
  <c r="F2074" i="26"/>
  <c r="F2073" i="26"/>
  <c r="F2072" i="26"/>
  <c r="F2071" i="26"/>
  <c r="F2070" i="26"/>
  <c r="F2069" i="26"/>
  <c r="F2068" i="26"/>
  <c r="F2067" i="26"/>
  <c r="F2066" i="26"/>
  <c r="F2065" i="26"/>
  <c r="F2064" i="26"/>
  <c r="F2063" i="26"/>
  <c r="F2062" i="26"/>
  <c r="F2061" i="26"/>
  <c r="F2060" i="26"/>
  <c r="F2059" i="26"/>
  <c r="F2058" i="26"/>
  <c r="F2057" i="26"/>
  <c r="F2056" i="26"/>
  <c r="F2055" i="26"/>
  <c r="F2054" i="26"/>
  <c r="F2053" i="26"/>
  <c r="F2052" i="26"/>
  <c r="F2051" i="26"/>
  <c r="F2050" i="26"/>
  <c r="F2049" i="26"/>
  <c r="F2048" i="26"/>
  <c r="F2047" i="26"/>
  <c r="F2046" i="26"/>
  <c r="F2045" i="26"/>
  <c r="F2044" i="26"/>
  <c r="F2043" i="26"/>
  <c r="F2042" i="26"/>
  <c r="F2041" i="26"/>
  <c r="F2040" i="26"/>
  <c r="F2039" i="26"/>
  <c r="F2038" i="26"/>
  <c r="F2037" i="26"/>
  <c r="F2036" i="26"/>
  <c r="F2035" i="26"/>
  <c r="F2034" i="26"/>
  <c r="F2033" i="26"/>
  <c r="F2032" i="26"/>
  <c r="F2031" i="26"/>
  <c r="F2030" i="26"/>
  <c r="F2029" i="26"/>
  <c r="F2028" i="26"/>
  <c r="F2027" i="26"/>
  <c r="F2026" i="26"/>
  <c r="F2025" i="26"/>
  <c r="F2024" i="26"/>
  <c r="F2023" i="26"/>
  <c r="F2022" i="26"/>
  <c r="F2021" i="26"/>
  <c r="F2020" i="26"/>
  <c r="F2019" i="26"/>
  <c r="F2018" i="26"/>
  <c r="F2017" i="26"/>
  <c r="F2016" i="26"/>
  <c r="F2015" i="26"/>
  <c r="F2014" i="26"/>
  <c r="F2013" i="26"/>
  <c r="F2012" i="26"/>
  <c r="F2011" i="26"/>
  <c r="F2010" i="26"/>
  <c r="F2009" i="26"/>
  <c r="F2008" i="26"/>
  <c r="F2007" i="26"/>
  <c r="F2006" i="26"/>
  <c r="F2005" i="26"/>
  <c r="F2004" i="26"/>
  <c r="F2003" i="26"/>
  <c r="F2002" i="26"/>
  <c r="F2001" i="26"/>
  <c r="F2000" i="26"/>
  <c r="F1999" i="26"/>
  <c r="F1998" i="26"/>
  <c r="F1997" i="26"/>
  <c r="F1996" i="26"/>
  <c r="F1995" i="26"/>
  <c r="F1994" i="26"/>
  <c r="F1993" i="26"/>
  <c r="F1992" i="26"/>
  <c r="F1991" i="26"/>
  <c r="F1990" i="26"/>
  <c r="F1989" i="26"/>
  <c r="F1988" i="26"/>
  <c r="F1987" i="26"/>
  <c r="F1986" i="26"/>
  <c r="F1985" i="26"/>
  <c r="F1984" i="26"/>
  <c r="F1983" i="26"/>
  <c r="F1982" i="26"/>
  <c r="F1981" i="26"/>
  <c r="F1980" i="26"/>
  <c r="F1979" i="26"/>
  <c r="F1978" i="26"/>
  <c r="F1977" i="26"/>
  <c r="F1976" i="26"/>
  <c r="F1975" i="26"/>
  <c r="F1974" i="26"/>
  <c r="F1973" i="26"/>
  <c r="F1972" i="26"/>
  <c r="F1971" i="26"/>
  <c r="F1970" i="26"/>
  <c r="F1969" i="26"/>
  <c r="F1968" i="26"/>
  <c r="F1967" i="26"/>
  <c r="F1966" i="26"/>
  <c r="F1965" i="26"/>
  <c r="F1964" i="26"/>
  <c r="F1963" i="26"/>
  <c r="F1962" i="26"/>
  <c r="F1961" i="26"/>
  <c r="F1960" i="26"/>
  <c r="F1959" i="26"/>
  <c r="F1958" i="26"/>
  <c r="F1957" i="26"/>
  <c r="F1956" i="26"/>
  <c r="F1955" i="26"/>
  <c r="F1954" i="26"/>
  <c r="F1953" i="26"/>
  <c r="F1952" i="26"/>
  <c r="F1951" i="26"/>
  <c r="F1950" i="26"/>
  <c r="F1949" i="26"/>
  <c r="F1948" i="26"/>
  <c r="F1947" i="26"/>
  <c r="F1946" i="26"/>
  <c r="F1945" i="26"/>
  <c r="F1944" i="26"/>
  <c r="F1943" i="26"/>
  <c r="F1942" i="26"/>
  <c r="F1941" i="26"/>
  <c r="F1940" i="26"/>
  <c r="F1939" i="26"/>
  <c r="F1938" i="26"/>
  <c r="F1937" i="26"/>
  <c r="F1936" i="26"/>
  <c r="F1935" i="26"/>
  <c r="F1934" i="26"/>
  <c r="F1933" i="26"/>
  <c r="F1932" i="26"/>
  <c r="F1931" i="26"/>
  <c r="F1930" i="26"/>
  <c r="F1929" i="26"/>
  <c r="F1928" i="26"/>
  <c r="F1927" i="26"/>
  <c r="F1926" i="26"/>
  <c r="F1925" i="26"/>
  <c r="F1924" i="26"/>
  <c r="F1923" i="26"/>
  <c r="F1922" i="26"/>
  <c r="F1921" i="26"/>
  <c r="F1920" i="26"/>
  <c r="F1919" i="26"/>
  <c r="F1918" i="26"/>
  <c r="F1917" i="26"/>
  <c r="F1916" i="26"/>
  <c r="F1915" i="26"/>
  <c r="F1914" i="26"/>
  <c r="F1913" i="26"/>
  <c r="F1912" i="26"/>
  <c r="F1911" i="26"/>
  <c r="F1910" i="26"/>
  <c r="F1909" i="26"/>
  <c r="F1908" i="26"/>
  <c r="F1907" i="26"/>
  <c r="F1906" i="26"/>
  <c r="F1905" i="26"/>
  <c r="F1904" i="26"/>
  <c r="F1903" i="26"/>
  <c r="F1902" i="26"/>
  <c r="F1901" i="26"/>
  <c r="F1900" i="26"/>
  <c r="F1899" i="26"/>
  <c r="F1898" i="26"/>
  <c r="F1897" i="26"/>
  <c r="F1896" i="26"/>
  <c r="F1895" i="26"/>
  <c r="F1894" i="26"/>
  <c r="F1893" i="26"/>
  <c r="F1892" i="26"/>
  <c r="F1891" i="26"/>
  <c r="F1890" i="26"/>
  <c r="F1889" i="26"/>
  <c r="F1888" i="26"/>
  <c r="F1887" i="26"/>
  <c r="F1886" i="26"/>
  <c r="F1885" i="26"/>
  <c r="F1884" i="26"/>
  <c r="F1883" i="26"/>
  <c r="F1882" i="26"/>
  <c r="F1881" i="26"/>
  <c r="F1880" i="26"/>
  <c r="F1879" i="26"/>
  <c r="F1878" i="26"/>
  <c r="F1877" i="26"/>
  <c r="F1876" i="26"/>
  <c r="F1875" i="26"/>
  <c r="F1874" i="26"/>
  <c r="F1873" i="26"/>
  <c r="F1872" i="26"/>
  <c r="F1871" i="26"/>
  <c r="F1870" i="26"/>
  <c r="F1869" i="26"/>
  <c r="F1868" i="26"/>
  <c r="F1867" i="26"/>
  <c r="F1866" i="26"/>
  <c r="F1865" i="26"/>
  <c r="F1864" i="26"/>
  <c r="F1863" i="26"/>
  <c r="F1862" i="26"/>
  <c r="F1861" i="26"/>
  <c r="F1860" i="26"/>
  <c r="F1859" i="26"/>
  <c r="F1858" i="26"/>
  <c r="F1857" i="26"/>
  <c r="F1856" i="26"/>
  <c r="F1855" i="26"/>
  <c r="F1854" i="26"/>
  <c r="F1853" i="26"/>
  <c r="F1852" i="26"/>
  <c r="F1851" i="26"/>
  <c r="F1850" i="26"/>
  <c r="F1849" i="26"/>
  <c r="F1848" i="26"/>
  <c r="F1847" i="26"/>
  <c r="F1846" i="26"/>
  <c r="F1845" i="26"/>
  <c r="F1844" i="26"/>
  <c r="F1843" i="26"/>
  <c r="F1842" i="26"/>
  <c r="F1841" i="26"/>
  <c r="F1840" i="26"/>
  <c r="F1839" i="26"/>
  <c r="F1838" i="26"/>
  <c r="F1837" i="26"/>
  <c r="F1836" i="26"/>
  <c r="F1835" i="26"/>
  <c r="F1834" i="26"/>
  <c r="F1833" i="26"/>
  <c r="F1832" i="26"/>
  <c r="F1831" i="26"/>
  <c r="F1830" i="26"/>
  <c r="F1829" i="26"/>
  <c r="F1828" i="26"/>
  <c r="F1827" i="26"/>
  <c r="F1826" i="26"/>
  <c r="F1825" i="26"/>
  <c r="F1824" i="26"/>
  <c r="F1823" i="26"/>
  <c r="F1822" i="26"/>
  <c r="F1821" i="26"/>
  <c r="F1820" i="26"/>
  <c r="F1819" i="26"/>
  <c r="F1818" i="26"/>
  <c r="F1817" i="26"/>
  <c r="F1816" i="26"/>
  <c r="F1815" i="26"/>
  <c r="F1814" i="26"/>
  <c r="F1813" i="26"/>
  <c r="F1812" i="26"/>
  <c r="F1811" i="26"/>
  <c r="F1810" i="26"/>
  <c r="F1809" i="26"/>
  <c r="F1808" i="26"/>
  <c r="F1807" i="26"/>
  <c r="F1806" i="26"/>
  <c r="F1805" i="26"/>
  <c r="F1804" i="26"/>
  <c r="F1803" i="26"/>
  <c r="F1802" i="26"/>
  <c r="F1801" i="26"/>
  <c r="F1800" i="26"/>
  <c r="F1799" i="26"/>
  <c r="F1798" i="26"/>
  <c r="F1797" i="26"/>
  <c r="F1796" i="26"/>
  <c r="F1795" i="26"/>
  <c r="F1794" i="26"/>
  <c r="F1793" i="26"/>
  <c r="F1792" i="26"/>
  <c r="F1791" i="26"/>
  <c r="F1790" i="26"/>
  <c r="F1789" i="26"/>
  <c r="F1788" i="26"/>
  <c r="F1787" i="26"/>
  <c r="F1786" i="26"/>
  <c r="F1785" i="26"/>
  <c r="F1784" i="26"/>
  <c r="F1783" i="26"/>
  <c r="F1782" i="26"/>
  <c r="F1781" i="26"/>
  <c r="F1780" i="26"/>
  <c r="F1779" i="26"/>
  <c r="F1778" i="26"/>
  <c r="F1777" i="26"/>
  <c r="F1776" i="26"/>
  <c r="F1775" i="26"/>
  <c r="F1774" i="26"/>
  <c r="F1773" i="26"/>
  <c r="F1772" i="26"/>
  <c r="F1771" i="26"/>
  <c r="F1770" i="26"/>
  <c r="F1769" i="26"/>
  <c r="F1768" i="26"/>
  <c r="F1767" i="26"/>
  <c r="F1766" i="26"/>
  <c r="F1765" i="26"/>
  <c r="F1764" i="26"/>
  <c r="F1763" i="26"/>
  <c r="F1762" i="26"/>
  <c r="F1761" i="26"/>
  <c r="F1760" i="26"/>
  <c r="F1759" i="26"/>
  <c r="F1758" i="26"/>
  <c r="F1757" i="26"/>
  <c r="F1756" i="26"/>
  <c r="F1755" i="26"/>
  <c r="F1754" i="26"/>
  <c r="F1753" i="26"/>
  <c r="F1752" i="26"/>
  <c r="F1751" i="26"/>
  <c r="F1750" i="26"/>
  <c r="F1749" i="26"/>
  <c r="F1748" i="26"/>
  <c r="F1747" i="26"/>
  <c r="F1746" i="26"/>
  <c r="F1745" i="26"/>
  <c r="F1744" i="26"/>
  <c r="F1743" i="26"/>
  <c r="F1742" i="26"/>
  <c r="F1741" i="26"/>
  <c r="F1740" i="26"/>
  <c r="F1739" i="26"/>
  <c r="F1738" i="26"/>
  <c r="F1737" i="26"/>
  <c r="F1736" i="26"/>
  <c r="F1735" i="26"/>
  <c r="F1734" i="26"/>
  <c r="F1733" i="26"/>
  <c r="F1732" i="26"/>
  <c r="F1731" i="26"/>
  <c r="F1730" i="26"/>
  <c r="F1729" i="26"/>
  <c r="F1728" i="26"/>
  <c r="F1727" i="26"/>
  <c r="F1726" i="26"/>
  <c r="F1725" i="26"/>
  <c r="F1724" i="26"/>
  <c r="F1723" i="26"/>
  <c r="F1722" i="26"/>
  <c r="F1721" i="26"/>
  <c r="F1720" i="26"/>
  <c r="F1719" i="26"/>
  <c r="F1718" i="26"/>
  <c r="F1717" i="26"/>
  <c r="F1716" i="26"/>
  <c r="F1715" i="26"/>
  <c r="F1714" i="26"/>
  <c r="F1713" i="26"/>
  <c r="F1712" i="26"/>
  <c r="F1711" i="26"/>
  <c r="F1710" i="26"/>
  <c r="F1709" i="26"/>
  <c r="F1708" i="26"/>
  <c r="F1707" i="26"/>
  <c r="F1706" i="26"/>
  <c r="F1705" i="26"/>
  <c r="F1704" i="26"/>
  <c r="F1703" i="26"/>
  <c r="F1702" i="26"/>
  <c r="F1701" i="26"/>
  <c r="F1700" i="26"/>
  <c r="F1699" i="26"/>
  <c r="F1698" i="26"/>
  <c r="F1697" i="26"/>
  <c r="F1696" i="26"/>
  <c r="F1695" i="26"/>
  <c r="F1694" i="26"/>
  <c r="F1693" i="26"/>
  <c r="F1692" i="26"/>
  <c r="F1691" i="26"/>
  <c r="F1690" i="26"/>
  <c r="F1689" i="26"/>
  <c r="F1688" i="26"/>
  <c r="F1687" i="26"/>
  <c r="F1686" i="26"/>
  <c r="F1685" i="26"/>
  <c r="F1684" i="26"/>
  <c r="F1683" i="26"/>
  <c r="F1682" i="26"/>
  <c r="F1681" i="26"/>
  <c r="F1680" i="26"/>
  <c r="F1679" i="26"/>
  <c r="F1678" i="26"/>
  <c r="F1677" i="26"/>
  <c r="F1676" i="26"/>
  <c r="F1675" i="26"/>
  <c r="F1674" i="26"/>
  <c r="F1673" i="26"/>
  <c r="F1672" i="26"/>
  <c r="F1671" i="26"/>
  <c r="F1670" i="26"/>
  <c r="F1669" i="26"/>
  <c r="F1668" i="26"/>
  <c r="F1667" i="26"/>
  <c r="F1666" i="26"/>
  <c r="F1665" i="26"/>
  <c r="F1664" i="26"/>
  <c r="F1663" i="26"/>
  <c r="F1662" i="26"/>
  <c r="F1661" i="26"/>
  <c r="F1660" i="26"/>
  <c r="F1659" i="26"/>
  <c r="F1658" i="26"/>
  <c r="F1657" i="26"/>
  <c r="F1656" i="26"/>
  <c r="F1655" i="26"/>
  <c r="F1654" i="26"/>
  <c r="F1653" i="26"/>
  <c r="F1652" i="26"/>
  <c r="F1651" i="26"/>
  <c r="F1650" i="26"/>
  <c r="F1649" i="26"/>
  <c r="F1648" i="26"/>
  <c r="F1647" i="26"/>
  <c r="F1646" i="26"/>
  <c r="F1645" i="26"/>
  <c r="F1644" i="26"/>
  <c r="F1643" i="26"/>
  <c r="F1642" i="26"/>
  <c r="F1641" i="26"/>
  <c r="F1640" i="26"/>
  <c r="F1639" i="26"/>
  <c r="F1638" i="26"/>
  <c r="F1637" i="26"/>
  <c r="F1636" i="26"/>
  <c r="F1635" i="26"/>
  <c r="F1634" i="26"/>
  <c r="F1633" i="26"/>
  <c r="F1632" i="26"/>
  <c r="F1631" i="26"/>
  <c r="F1630" i="26"/>
  <c r="F1629" i="26"/>
  <c r="F1628" i="26"/>
  <c r="F1627" i="26"/>
  <c r="F1626" i="26"/>
  <c r="F1625" i="26"/>
  <c r="F1624" i="26"/>
  <c r="F1623" i="26"/>
  <c r="F1622" i="26"/>
  <c r="F1621" i="26"/>
  <c r="F1620" i="26"/>
  <c r="F1619" i="26"/>
  <c r="F1618" i="26"/>
  <c r="F1617" i="26"/>
  <c r="F1616" i="26"/>
  <c r="F1615" i="26"/>
  <c r="F1614" i="26"/>
  <c r="F1613" i="26"/>
  <c r="F1612" i="26"/>
  <c r="F1611" i="26"/>
  <c r="F1610" i="26"/>
  <c r="F1609" i="26"/>
  <c r="F1608" i="26"/>
  <c r="F1607" i="26"/>
  <c r="F1606" i="26"/>
  <c r="F1605" i="26"/>
  <c r="F1604" i="26"/>
  <c r="F1603" i="26"/>
  <c r="F1602" i="26"/>
  <c r="F1601" i="26"/>
  <c r="F1600" i="26"/>
  <c r="F1599" i="26"/>
  <c r="F1598" i="26"/>
  <c r="F1597" i="26"/>
  <c r="F1596" i="26"/>
  <c r="F1595" i="26"/>
  <c r="F1594" i="26"/>
  <c r="F1593" i="26"/>
  <c r="F1592" i="26"/>
  <c r="F1591" i="26"/>
  <c r="F1590" i="26"/>
  <c r="F1589" i="26"/>
  <c r="F1588" i="26"/>
  <c r="F1587" i="26"/>
  <c r="F1586" i="26"/>
  <c r="F1585" i="26"/>
  <c r="F1584" i="26"/>
  <c r="F1583" i="26"/>
  <c r="F1582" i="26"/>
  <c r="F1581" i="26"/>
  <c r="F1580" i="26"/>
  <c r="F1579" i="26"/>
  <c r="F1578" i="26"/>
  <c r="F1577" i="26"/>
  <c r="F1576" i="26"/>
  <c r="F1575" i="26"/>
  <c r="F1574" i="26"/>
  <c r="F1573" i="26"/>
  <c r="F1572" i="26"/>
  <c r="F1571" i="26"/>
  <c r="F1570" i="26"/>
  <c r="F1569" i="26"/>
  <c r="F1568" i="26"/>
  <c r="F1567" i="26"/>
  <c r="F1566" i="26"/>
  <c r="F1565" i="26"/>
  <c r="F1564" i="26"/>
  <c r="F1563" i="26"/>
  <c r="F1562" i="26"/>
  <c r="F1561" i="26"/>
  <c r="F1560" i="26"/>
  <c r="F1559" i="26"/>
  <c r="F1558" i="26"/>
  <c r="F1557" i="26"/>
  <c r="F1556" i="26"/>
  <c r="F1555" i="26"/>
  <c r="F1554" i="26"/>
  <c r="F1553" i="26"/>
  <c r="F1552" i="26"/>
  <c r="F1551" i="26"/>
  <c r="F1550" i="26"/>
  <c r="F1549" i="26"/>
  <c r="F1548" i="26"/>
  <c r="F1547" i="26"/>
  <c r="F1546" i="26"/>
  <c r="F1545" i="26"/>
  <c r="F1544" i="26"/>
  <c r="F1543" i="26"/>
  <c r="F1542" i="26"/>
  <c r="F1541" i="26"/>
  <c r="F1540" i="26"/>
  <c r="F1539" i="26"/>
  <c r="F1538" i="26"/>
  <c r="F1537" i="26"/>
  <c r="F1536" i="26"/>
  <c r="F1535" i="26"/>
  <c r="F1534" i="26"/>
  <c r="F1533" i="26"/>
  <c r="F1532" i="26"/>
  <c r="F1531" i="26"/>
  <c r="F1530" i="26"/>
  <c r="F1529" i="26"/>
  <c r="F1528" i="26"/>
  <c r="F1527" i="26"/>
  <c r="F1526" i="26"/>
  <c r="F1525" i="26"/>
  <c r="F1524" i="26"/>
  <c r="F1523" i="26"/>
  <c r="F1522" i="26"/>
  <c r="F1521" i="26"/>
  <c r="F1520" i="26"/>
  <c r="F1519" i="26"/>
  <c r="F1518" i="26"/>
  <c r="F1517" i="26"/>
  <c r="F1516" i="26"/>
  <c r="F1515" i="26"/>
  <c r="F1514" i="26"/>
  <c r="F1513" i="26"/>
  <c r="F1512" i="26"/>
  <c r="F1511" i="26"/>
  <c r="F1510" i="26"/>
  <c r="F1509" i="26"/>
  <c r="F1508" i="26"/>
  <c r="F1507" i="26"/>
  <c r="F1506" i="26"/>
  <c r="F1505" i="26"/>
  <c r="F1504" i="26"/>
  <c r="F1503" i="26"/>
  <c r="F1502" i="26"/>
  <c r="F1501" i="26"/>
  <c r="F1500" i="26"/>
  <c r="F1499" i="26"/>
  <c r="F1498" i="26"/>
  <c r="F1497" i="26"/>
  <c r="F1496" i="26"/>
  <c r="F1495" i="26"/>
  <c r="F1494" i="26"/>
  <c r="F1493" i="26"/>
  <c r="F1492" i="26"/>
  <c r="F1491" i="26"/>
  <c r="F1490" i="26"/>
  <c r="F1489" i="26"/>
  <c r="F1488" i="26"/>
  <c r="F1487" i="26"/>
  <c r="F1486" i="26"/>
  <c r="F1485" i="26"/>
  <c r="F1484" i="26"/>
  <c r="F1483" i="26"/>
  <c r="F1482" i="26"/>
  <c r="F1481" i="26"/>
  <c r="F1480" i="26"/>
  <c r="F1479" i="26"/>
  <c r="F1478" i="26"/>
  <c r="F1477" i="26"/>
  <c r="F1476" i="26"/>
  <c r="F1475" i="26"/>
  <c r="F1474" i="26"/>
  <c r="F1473" i="26"/>
  <c r="F1472" i="26"/>
  <c r="F1471" i="26"/>
  <c r="F1470" i="26"/>
  <c r="F1469" i="26"/>
  <c r="F1468" i="26"/>
  <c r="F1467" i="26"/>
  <c r="F1466" i="26"/>
  <c r="F1465" i="26"/>
  <c r="F1464" i="26"/>
  <c r="F1463" i="26"/>
  <c r="F1462" i="26"/>
  <c r="F1461" i="26"/>
  <c r="F1460" i="26"/>
  <c r="F1459" i="26"/>
  <c r="F1458" i="26"/>
  <c r="F1457" i="26"/>
  <c r="F1456" i="26"/>
  <c r="F1455" i="26"/>
  <c r="F1454" i="26"/>
  <c r="F1453" i="26"/>
  <c r="F1452" i="26"/>
  <c r="F1451" i="26"/>
  <c r="F1450" i="26"/>
  <c r="F1449" i="26"/>
  <c r="F1448" i="26"/>
  <c r="F1447" i="26"/>
  <c r="F1446" i="26"/>
  <c r="F1445" i="26"/>
  <c r="F1444" i="26"/>
  <c r="F1443" i="26"/>
  <c r="F1442" i="26"/>
  <c r="F1441" i="26"/>
  <c r="F1440" i="26"/>
  <c r="F1439" i="26"/>
  <c r="F1438" i="26"/>
  <c r="F1437" i="26"/>
  <c r="F1436" i="26"/>
  <c r="F1435" i="26"/>
  <c r="F1434" i="26"/>
  <c r="F1433" i="26"/>
  <c r="F1432" i="26"/>
  <c r="F1431" i="26"/>
  <c r="F1430" i="26"/>
  <c r="F1429" i="26"/>
  <c r="F1428" i="26"/>
  <c r="F1427" i="26"/>
  <c r="F1426" i="26"/>
  <c r="F1425" i="26"/>
  <c r="F1424" i="26"/>
  <c r="F1423" i="26"/>
  <c r="F1422" i="26"/>
  <c r="F1421" i="26"/>
  <c r="F1420" i="26"/>
  <c r="F1419" i="26"/>
  <c r="F1418" i="26"/>
  <c r="F1417" i="26"/>
  <c r="F1416" i="26"/>
  <c r="F1415" i="26"/>
  <c r="F1414" i="26"/>
  <c r="F1413" i="26"/>
  <c r="F1412" i="26"/>
  <c r="F1411" i="26"/>
  <c r="F1410" i="26"/>
  <c r="F1409" i="26"/>
  <c r="F1408" i="26"/>
  <c r="F1407" i="26"/>
  <c r="F1406" i="26"/>
  <c r="F1405" i="26"/>
  <c r="F1404" i="26"/>
  <c r="F1403" i="26"/>
  <c r="F1402" i="26"/>
  <c r="F1401" i="26"/>
  <c r="F1400" i="26"/>
  <c r="F1399" i="26"/>
  <c r="F1398" i="26"/>
  <c r="F1397" i="26"/>
  <c r="F1396" i="26"/>
  <c r="F1395" i="26"/>
  <c r="F1394" i="26"/>
  <c r="F1393" i="26"/>
  <c r="F1392" i="26"/>
  <c r="F1391" i="26"/>
  <c r="F1390" i="26"/>
  <c r="F1389" i="26"/>
  <c r="F1388" i="26"/>
  <c r="F1387" i="26"/>
  <c r="F1386" i="26"/>
  <c r="F1385" i="26"/>
  <c r="F1384" i="26"/>
  <c r="F1383" i="26"/>
  <c r="F1382" i="26"/>
  <c r="F1381" i="26"/>
  <c r="F1380" i="26"/>
  <c r="F1379" i="26"/>
  <c r="F1378" i="26"/>
  <c r="F1377" i="26"/>
  <c r="F1376" i="26"/>
  <c r="F1375" i="26"/>
  <c r="F1374" i="26"/>
  <c r="F1373" i="26"/>
  <c r="F1372" i="26"/>
  <c r="F1371" i="26"/>
  <c r="F1370" i="26"/>
  <c r="F1369" i="26"/>
  <c r="F1368" i="26"/>
  <c r="F1367" i="26"/>
  <c r="F1366" i="26"/>
  <c r="F1365" i="26"/>
  <c r="F1364" i="26"/>
  <c r="F1363" i="26"/>
  <c r="F1362" i="26"/>
  <c r="F1361" i="26"/>
  <c r="F1360" i="26"/>
  <c r="F1359" i="26"/>
  <c r="F1358" i="26"/>
  <c r="F1357" i="26"/>
  <c r="F1356" i="26"/>
  <c r="F1355" i="26"/>
  <c r="F1354" i="26"/>
  <c r="F1353" i="26"/>
  <c r="F1352" i="26"/>
  <c r="F1351" i="26"/>
  <c r="F1350" i="26"/>
  <c r="F1349" i="26"/>
  <c r="F1348" i="26"/>
  <c r="F1347" i="26"/>
  <c r="F1346" i="26"/>
  <c r="F1345" i="26"/>
  <c r="F1344" i="26"/>
  <c r="F1343" i="26"/>
  <c r="F1342" i="26"/>
  <c r="F1341" i="26"/>
  <c r="F1340" i="26"/>
  <c r="F1339" i="26"/>
  <c r="F1338" i="26"/>
  <c r="F1337" i="26"/>
  <c r="F1336" i="26"/>
  <c r="F1335" i="26"/>
  <c r="F1334" i="26"/>
  <c r="F1333" i="26"/>
  <c r="F1332" i="26"/>
  <c r="F1331" i="26"/>
  <c r="F1330" i="26"/>
  <c r="F1329" i="26"/>
  <c r="F1328" i="26"/>
  <c r="F1327" i="26"/>
  <c r="F1326" i="26"/>
  <c r="F1325" i="26"/>
  <c r="F1324" i="26"/>
  <c r="F1323" i="26"/>
  <c r="F1322" i="26"/>
  <c r="F1321" i="26"/>
  <c r="F1320" i="26"/>
  <c r="F1319" i="26"/>
  <c r="F1318" i="26"/>
  <c r="F1317" i="26"/>
  <c r="F1316" i="26"/>
  <c r="F1315" i="26"/>
  <c r="F1314" i="26"/>
  <c r="F1313" i="26"/>
  <c r="F1312" i="26"/>
  <c r="F1311" i="26"/>
  <c r="F1310" i="26"/>
  <c r="F1309" i="26"/>
  <c r="F1308" i="26"/>
  <c r="F1307" i="26"/>
  <c r="F1306" i="26"/>
  <c r="F1305" i="26"/>
  <c r="F1304" i="26"/>
  <c r="F1303" i="26"/>
  <c r="F1302" i="26"/>
  <c r="F1301" i="26"/>
  <c r="F1300" i="26"/>
  <c r="F1299" i="26"/>
  <c r="F1298" i="26"/>
  <c r="F1297" i="26"/>
  <c r="F1296" i="26"/>
  <c r="F1295" i="26"/>
  <c r="F1294" i="26"/>
  <c r="F1293" i="26"/>
  <c r="F1292" i="26"/>
  <c r="F1291" i="26"/>
  <c r="F1290" i="26"/>
  <c r="F1289" i="26"/>
  <c r="F1288" i="26"/>
  <c r="F1287" i="26"/>
  <c r="F1286" i="26"/>
  <c r="F1285" i="26"/>
  <c r="F1284" i="26"/>
  <c r="F1283" i="26"/>
  <c r="F1282" i="26"/>
  <c r="F1281" i="26"/>
  <c r="F1280" i="26"/>
  <c r="F1279" i="26"/>
  <c r="F1278" i="26"/>
  <c r="F1277" i="26"/>
  <c r="F1276" i="26"/>
  <c r="F1275" i="26"/>
  <c r="F1274" i="26"/>
  <c r="F1273" i="26"/>
  <c r="F1272" i="26"/>
  <c r="F1271" i="26"/>
  <c r="F1270" i="26"/>
  <c r="F1269" i="26"/>
  <c r="F1268" i="26"/>
  <c r="F1267" i="26"/>
  <c r="F1266" i="26"/>
  <c r="F1265" i="26"/>
  <c r="F1264" i="26"/>
  <c r="F1263" i="26"/>
  <c r="F1262" i="26"/>
  <c r="F1261" i="26"/>
  <c r="F1260" i="26"/>
  <c r="F1259" i="26"/>
  <c r="F1258" i="26"/>
  <c r="F1257" i="26"/>
  <c r="F1256" i="26"/>
  <c r="F1255" i="26"/>
  <c r="F1254" i="26"/>
  <c r="F1253" i="26"/>
  <c r="F1252" i="26"/>
  <c r="F1251" i="26"/>
  <c r="F1250" i="26"/>
  <c r="F1249" i="26"/>
  <c r="F1248" i="26"/>
  <c r="F1247" i="26"/>
  <c r="F1246" i="26"/>
  <c r="F1245" i="26"/>
  <c r="F1244" i="26"/>
  <c r="F1243" i="26"/>
  <c r="F1242" i="26"/>
  <c r="F1241" i="26"/>
  <c r="F1240" i="26"/>
  <c r="F1239" i="26"/>
  <c r="F1238" i="26"/>
  <c r="F1237" i="26"/>
  <c r="F1236" i="26"/>
  <c r="F1235" i="26"/>
  <c r="F1234" i="26"/>
  <c r="F1233" i="26"/>
  <c r="F1232" i="26"/>
  <c r="F1231" i="26"/>
  <c r="F1230" i="26"/>
  <c r="F1229" i="26"/>
  <c r="F1228" i="26"/>
  <c r="F1227" i="26"/>
  <c r="F1226" i="26"/>
  <c r="F1225" i="26"/>
  <c r="F1224" i="26"/>
  <c r="F1223" i="26"/>
  <c r="F1222" i="26"/>
  <c r="F1221" i="26"/>
  <c r="F1220" i="26"/>
  <c r="F1219" i="26"/>
  <c r="F1218" i="26"/>
  <c r="F1217" i="26"/>
  <c r="F1216" i="26"/>
  <c r="F1215" i="26"/>
  <c r="F1214" i="26"/>
  <c r="F1213" i="26"/>
  <c r="F1212" i="26"/>
  <c r="F1211" i="26"/>
  <c r="F1210" i="26"/>
  <c r="F1209" i="26"/>
  <c r="F1208" i="26"/>
  <c r="F1207" i="26"/>
  <c r="F1206" i="26"/>
  <c r="F1205" i="26"/>
  <c r="F1204" i="26"/>
  <c r="F1203" i="26"/>
  <c r="F1202" i="26"/>
  <c r="F1201" i="26"/>
  <c r="F1200" i="26"/>
  <c r="F1199" i="26"/>
  <c r="F1198" i="26"/>
  <c r="F1197" i="26"/>
  <c r="F1196" i="26"/>
  <c r="F1195" i="26"/>
  <c r="F1194" i="26"/>
  <c r="F1193" i="26"/>
  <c r="F1192" i="26"/>
  <c r="F1191" i="26"/>
  <c r="F1190" i="26"/>
  <c r="F1189" i="26"/>
  <c r="F1188" i="26"/>
  <c r="F1187" i="26"/>
  <c r="F1186" i="26"/>
  <c r="F1185" i="26"/>
  <c r="F1184" i="26"/>
  <c r="F1183" i="26"/>
  <c r="F1182" i="26"/>
  <c r="F1181" i="26"/>
  <c r="F1180" i="26"/>
  <c r="F1179" i="26"/>
  <c r="F1178" i="26"/>
  <c r="F1177" i="26"/>
  <c r="F1176" i="26"/>
  <c r="F1175" i="26"/>
  <c r="F1174" i="26"/>
  <c r="F1173" i="26"/>
  <c r="F1172" i="26"/>
  <c r="F1171" i="26"/>
  <c r="F1170" i="26"/>
  <c r="F1169" i="26"/>
  <c r="F1168" i="26"/>
  <c r="F1167" i="26"/>
  <c r="F1166" i="26"/>
  <c r="F1165" i="26"/>
  <c r="F1164" i="26"/>
  <c r="F1163" i="26"/>
  <c r="F1162" i="26"/>
  <c r="F1161" i="26"/>
  <c r="F1160" i="26"/>
  <c r="F1159" i="26"/>
  <c r="F1158" i="26"/>
  <c r="F1157" i="26"/>
  <c r="F1156" i="26"/>
  <c r="F1155" i="26"/>
  <c r="F1154" i="26"/>
  <c r="F1153" i="26"/>
  <c r="F1152" i="26"/>
  <c r="F1151" i="26"/>
  <c r="F1150" i="26"/>
  <c r="F1149" i="26"/>
  <c r="F1148" i="26"/>
  <c r="F1147" i="26"/>
  <c r="F1146" i="26"/>
  <c r="F1145" i="26"/>
  <c r="F1144" i="26"/>
  <c r="F1143" i="26"/>
  <c r="F1142" i="26"/>
  <c r="F1141" i="26"/>
  <c r="F1140" i="26"/>
  <c r="F1139" i="26"/>
  <c r="F1138" i="26"/>
  <c r="F1137" i="26"/>
  <c r="F1136" i="26"/>
  <c r="F1135" i="26"/>
  <c r="F1134" i="26"/>
  <c r="F1133" i="26"/>
  <c r="F1132" i="26"/>
  <c r="F1131" i="26"/>
  <c r="F1130" i="26"/>
  <c r="F1129" i="26"/>
  <c r="F1128" i="26"/>
  <c r="F1127" i="26"/>
  <c r="F1126" i="26"/>
  <c r="F1125" i="26"/>
  <c r="F1124" i="26"/>
  <c r="F1123" i="26"/>
  <c r="F1122" i="26"/>
  <c r="F1121" i="26"/>
  <c r="F1120" i="26"/>
  <c r="F1119" i="26"/>
  <c r="F1118" i="26"/>
  <c r="F1117" i="26"/>
  <c r="F1116" i="26"/>
  <c r="F1115" i="26"/>
  <c r="F1114" i="26"/>
  <c r="F1113" i="26"/>
  <c r="F1112" i="26"/>
  <c r="F1111" i="26"/>
  <c r="F1110" i="26"/>
  <c r="F1109" i="26"/>
  <c r="F1108" i="26"/>
  <c r="F1107" i="26"/>
  <c r="F1106" i="26"/>
  <c r="F1105" i="26"/>
  <c r="F1104" i="26"/>
  <c r="F1103" i="26"/>
  <c r="F1102" i="26"/>
  <c r="F1101" i="26"/>
  <c r="F1100" i="26"/>
  <c r="F1099" i="26"/>
  <c r="F1098" i="26"/>
  <c r="F1097" i="26"/>
  <c r="F1096" i="26"/>
  <c r="F1095" i="26"/>
  <c r="F1094" i="26"/>
  <c r="F1093" i="26"/>
  <c r="F1092" i="26"/>
  <c r="F1091" i="26"/>
  <c r="F1090" i="26"/>
  <c r="F1089" i="26"/>
  <c r="F1088" i="26"/>
  <c r="F1087" i="26"/>
  <c r="F1086" i="26"/>
  <c r="F1085" i="26"/>
  <c r="F1084" i="26"/>
  <c r="F1083" i="26"/>
  <c r="F1082" i="26"/>
  <c r="F1081" i="26"/>
  <c r="F1080" i="26"/>
  <c r="F1079" i="26"/>
  <c r="F1078" i="26"/>
  <c r="F1077" i="26"/>
  <c r="F1076" i="26"/>
  <c r="F1075" i="26"/>
  <c r="F1074" i="26"/>
  <c r="F1073" i="26"/>
  <c r="F1072" i="26"/>
  <c r="F1071" i="26"/>
  <c r="F1070" i="26"/>
  <c r="F1069" i="26"/>
  <c r="F1068" i="26"/>
  <c r="F1067" i="26"/>
  <c r="F1066" i="26"/>
  <c r="F1065" i="26"/>
  <c r="F1064" i="26"/>
  <c r="F1063" i="26"/>
  <c r="F1062" i="26"/>
  <c r="F1061" i="26"/>
  <c r="F1060" i="26"/>
  <c r="F1059" i="26"/>
  <c r="F1058" i="26"/>
  <c r="F1057" i="26"/>
  <c r="F1056" i="26"/>
  <c r="F1055" i="26"/>
  <c r="F1054" i="26"/>
  <c r="F1053" i="26"/>
  <c r="F1052" i="26"/>
  <c r="F1051" i="26"/>
  <c r="F1050" i="26"/>
  <c r="F1049" i="26"/>
  <c r="F1048" i="26"/>
  <c r="F1047" i="26"/>
  <c r="F1046" i="26"/>
  <c r="F1045" i="26"/>
  <c r="F1044" i="26"/>
  <c r="F1043" i="26"/>
  <c r="F1042" i="26"/>
  <c r="F1041" i="26"/>
  <c r="F1040" i="26"/>
  <c r="F1039" i="26"/>
  <c r="F1038" i="26"/>
  <c r="F1037" i="26"/>
  <c r="F1036" i="26"/>
  <c r="F1035" i="26"/>
  <c r="F1034" i="26"/>
  <c r="F1033" i="26"/>
  <c r="F1032" i="26"/>
  <c r="F1031" i="26"/>
  <c r="F1030" i="26"/>
  <c r="F1029" i="26"/>
  <c r="F1028" i="26"/>
  <c r="F1027" i="26"/>
  <c r="F1026" i="26"/>
  <c r="F1025" i="26"/>
  <c r="F1024" i="26"/>
  <c r="F1023" i="26"/>
  <c r="F1022" i="26"/>
  <c r="F1021" i="26"/>
  <c r="F1020" i="26"/>
  <c r="F1019" i="26"/>
  <c r="F1018" i="26"/>
  <c r="F1017" i="26"/>
  <c r="F1016" i="26"/>
  <c r="F1015" i="26"/>
  <c r="F1014" i="26"/>
  <c r="F1013" i="26"/>
  <c r="F1012" i="26"/>
  <c r="F1011" i="26"/>
  <c r="F1010" i="26"/>
  <c r="F1009" i="26"/>
  <c r="F1008" i="26"/>
  <c r="F1007" i="26"/>
  <c r="F1006" i="26"/>
  <c r="F1005" i="26"/>
  <c r="F1004" i="26"/>
  <c r="F1003" i="26"/>
  <c r="F1002" i="26"/>
  <c r="F1001" i="26"/>
  <c r="F1000" i="26"/>
  <c r="F999" i="26"/>
  <c r="F998" i="26"/>
  <c r="F997" i="26"/>
  <c r="F996" i="26"/>
  <c r="F995" i="26"/>
  <c r="F994" i="26"/>
  <c r="F993" i="26"/>
  <c r="F992" i="26"/>
  <c r="F991" i="26"/>
  <c r="F990" i="26"/>
  <c r="F989" i="26"/>
  <c r="F988" i="26"/>
  <c r="F987" i="26"/>
  <c r="F986" i="26"/>
  <c r="F985" i="26"/>
  <c r="F984" i="26"/>
  <c r="F983" i="26"/>
  <c r="F982" i="26"/>
  <c r="F981" i="26"/>
  <c r="F980" i="26"/>
  <c r="F979" i="26"/>
  <c r="F978" i="26"/>
  <c r="F977" i="26"/>
  <c r="F976" i="26"/>
  <c r="F975" i="26"/>
  <c r="F974" i="26"/>
  <c r="F973" i="26"/>
  <c r="F972" i="26"/>
  <c r="F971" i="26"/>
  <c r="F970" i="26"/>
  <c r="F969" i="26"/>
  <c r="F968" i="26"/>
  <c r="F967" i="26"/>
  <c r="F966" i="26"/>
  <c r="F965" i="26"/>
  <c r="F964" i="26"/>
  <c r="F963" i="26"/>
  <c r="F962" i="26"/>
  <c r="F961" i="26"/>
  <c r="F960" i="26"/>
  <c r="F959" i="26"/>
  <c r="F958" i="26"/>
  <c r="F957" i="26"/>
  <c r="F956" i="26"/>
  <c r="F955" i="26"/>
  <c r="F954" i="26"/>
  <c r="F953" i="26"/>
  <c r="F952" i="26"/>
  <c r="F951" i="26"/>
  <c r="F950" i="26"/>
  <c r="F949" i="26"/>
  <c r="F948" i="26"/>
  <c r="F947" i="26"/>
  <c r="F946" i="26"/>
  <c r="F945" i="26"/>
  <c r="F944" i="26"/>
  <c r="F943" i="26"/>
  <c r="F942" i="26"/>
  <c r="F941" i="26"/>
  <c r="F940" i="26"/>
  <c r="F939" i="26"/>
  <c r="F938" i="26"/>
  <c r="F937" i="26"/>
  <c r="F936" i="26"/>
  <c r="F935" i="26"/>
  <c r="F934" i="26"/>
  <c r="F933" i="26"/>
  <c r="F932" i="26"/>
  <c r="F931" i="26"/>
  <c r="F930" i="26"/>
  <c r="F929" i="26"/>
  <c r="F928" i="26"/>
  <c r="F927" i="26"/>
  <c r="F926" i="26"/>
  <c r="F925" i="26"/>
  <c r="F924" i="26"/>
  <c r="F923" i="26"/>
  <c r="F922" i="26"/>
  <c r="F921" i="26"/>
  <c r="F920" i="26"/>
  <c r="F919" i="26"/>
  <c r="F918" i="26"/>
  <c r="F917" i="26"/>
  <c r="F916" i="26"/>
  <c r="F915" i="26"/>
  <c r="F914" i="26"/>
  <c r="F913" i="26"/>
  <c r="F912" i="26"/>
  <c r="F911" i="26"/>
  <c r="F910" i="26"/>
  <c r="F909" i="26"/>
  <c r="F908" i="26"/>
  <c r="F907" i="26"/>
  <c r="F906" i="26"/>
  <c r="F905" i="26"/>
  <c r="F904" i="26"/>
  <c r="F903" i="26"/>
  <c r="F902" i="26"/>
  <c r="F901" i="26"/>
  <c r="F900" i="26"/>
  <c r="F899" i="26"/>
  <c r="F898" i="26"/>
  <c r="F897" i="26"/>
  <c r="F896" i="26"/>
  <c r="F895" i="26"/>
  <c r="F894" i="26"/>
  <c r="F893" i="26"/>
  <c r="F892" i="26"/>
  <c r="F891" i="26"/>
  <c r="F890" i="26"/>
  <c r="F889" i="26"/>
  <c r="F888" i="26"/>
  <c r="F887" i="26"/>
  <c r="F886" i="26"/>
  <c r="F885" i="26"/>
  <c r="F884" i="26"/>
  <c r="F883" i="26"/>
  <c r="F882" i="26"/>
  <c r="F881" i="26"/>
  <c r="F880" i="26"/>
  <c r="F879" i="26"/>
  <c r="F878" i="26"/>
  <c r="F877" i="26"/>
  <c r="F876" i="26"/>
  <c r="F875" i="26"/>
  <c r="F874" i="26"/>
  <c r="F873" i="26"/>
  <c r="F872" i="26"/>
  <c r="F871" i="26"/>
  <c r="F870" i="26"/>
  <c r="F869" i="26"/>
  <c r="F868" i="26"/>
  <c r="F867" i="26"/>
  <c r="F866" i="26"/>
  <c r="F865" i="26"/>
  <c r="F864" i="26"/>
  <c r="F863" i="26"/>
  <c r="F862" i="26"/>
  <c r="F861" i="26"/>
  <c r="F860" i="26"/>
  <c r="F859" i="26"/>
  <c r="F858" i="26"/>
  <c r="F857" i="26"/>
  <c r="F856" i="26"/>
  <c r="F855" i="26"/>
  <c r="F854" i="26"/>
  <c r="F853" i="26"/>
  <c r="F852" i="26"/>
  <c r="F851" i="26"/>
  <c r="F850" i="26"/>
  <c r="F849" i="26"/>
  <c r="F848" i="26"/>
  <c r="F847" i="26"/>
  <c r="F846" i="26"/>
  <c r="F845" i="26"/>
  <c r="F844" i="26"/>
  <c r="F843" i="26"/>
  <c r="F842" i="26"/>
  <c r="F841" i="26"/>
  <c r="F840" i="26"/>
  <c r="F839" i="26"/>
  <c r="F838" i="26"/>
  <c r="F837" i="26"/>
  <c r="F836" i="26"/>
  <c r="F835" i="26"/>
  <c r="F834" i="26"/>
  <c r="F833" i="26"/>
  <c r="F832" i="26"/>
  <c r="F831" i="26"/>
  <c r="F830" i="26"/>
  <c r="F829" i="26"/>
  <c r="F828" i="26"/>
  <c r="F827" i="26"/>
  <c r="F826" i="26"/>
  <c r="F825" i="26"/>
  <c r="F824" i="26"/>
  <c r="F823" i="26"/>
  <c r="F822" i="26"/>
  <c r="F821" i="26"/>
  <c r="F820" i="26"/>
  <c r="F819" i="26"/>
  <c r="F818" i="26"/>
  <c r="F817" i="26"/>
  <c r="F816" i="26"/>
  <c r="F815" i="26"/>
  <c r="F814" i="26"/>
  <c r="F813" i="26"/>
  <c r="F812" i="26"/>
  <c r="F811" i="26"/>
  <c r="F810" i="26"/>
  <c r="F809" i="26"/>
  <c r="F808" i="26"/>
  <c r="F807" i="26"/>
  <c r="F806" i="26"/>
  <c r="F805" i="26"/>
  <c r="F804" i="26"/>
  <c r="F803" i="26"/>
  <c r="F802" i="26"/>
  <c r="F801" i="26"/>
  <c r="F800" i="26"/>
  <c r="F799" i="26"/>
  <c r="F798" i="26"/>
  <c r="F797" i="26"/>
  <c r="F796" i="26"/>
  <c r="F795" i="26"/>
  <c r="F794" i="26"/>
  <c r="F793" i="26"/>
  <c r="F792" i="26"/>
  <c r="F791" i="26"/>
  <c r="F790" i="26"/>
  <c r="F789" i="26"/>
  <c r="F788" i="26"/>
  <c r="F787" i="26"/>
  <c r="F786" i="26"/>
  <c r="F785" i="26"/>
  <c r="F784" i="26"/>
  <c r="F783" i="26"/>
  <c r="F782" i="26"/>
  <c r="F781" i="26"/>
  <c r="F780" i="26"/>
  <c r="F779" i="26"/>
  <c r="F778" i="26"/>
  <c r="F777" i="26"/>
  <c r="F776" i="26"/>
  <c r="F775" i="26"/>
  <c r="F774" i="26"/>
  <c r="F773" i="26"/>
  <c r="F772" i="26"/>
  <c r="F771" i="26"/>
  <c r="F770" i="26"/>
  <c r="F769" i="26"/>
  <c r="F768" i="26"/>
  <c r="F767" i="26"/>
  <c r="F766" i="26"/>
  <c r="F765" i="26"/>
  <c r="F764" i="26"/>
  <c r="F763" i="26"/>
  <c r="F762" i="26"/>
  <c r="F761" i="26"/>
  <c r="F760" i="26"/>
  <c r="F759" i="26"/>
  <c r="F758" i="26"/>
  <c r="F757" i="26"/>
  <c r="F756" i="26"/>
  <c r="F755" i="26"/>
  <c r="F754" i="26"/>
  <c r="F753" i="26"/>
  <c r="F752" i="26"/>
  <c r="F751" i="26"/>
  <c r="F750" i="26"/>
  <c r="F749" i="26"/>
  <c r="F748" i="26"/>
  <c r="F747" i="26"/>
  <c r="F746" i="26"/>
  <c r="F745" i="26"/>
  <c r="F744" i="26"/>
  <c r="F743" i="26"/>
  <c r="F742" i="26"/>
  <c r="F741" i="26"/>
  <c r="F740" i="26"/>
  <c r="F739" i="26"/>
  <c r="F738" i="26"/>
  <c r="F737" i="26"/>
  <c r="F736" i="26"/>
  <c r="F735" i="26"/>
  <c r="F734" i="26"/>
  <c r="F733" i="26"/>
  <c r="F732" i="26"/>
  <c r="F731" i="26"/>
  <c r="F730" i="26"/>
  <c r="F729" i="26"/>
  <c r="F728" i="26"/>
  <c r="F727" i="26"/>
  <c r="F726" i="26"/>
  <c r="F725" i="26"/>
  <c r="F724" i="26"/>
  <c r="F723" i="26"/>
  <c r="F722" i="26"/>
  <c r="F721" i="26"/>
  <c r="F720" i="26"/>
  <c r="F719" i="26"/>
  <c r="F718" i="26"/>
  <c r="F717" i="26"/>
  <c r="F716" i="26"/>
  <c r="F715" i="26"/>
  <c r="F714" i="26"/>
  <c r="F713" i="26"/>
  <c r="F712" i="26"/>
  <c r="F711" i="26"/>
  <c r="F710" i="26"/>
  <c r="F709" i="26"/>
  <c r="F708" i="26"/>
  <c r="F707" i="26"/>
  <c r="F706" i="26"/>
  <c r="F705" i="26"/>
  <c r="F704" i="26"/>
  <c r="F703" i="26"/>
  <c r="F702" i="26"/>
  <c r="F701" i="26"/>
  <c r="F700" i="26"/>
  <c r="F699" i="26"/>
  <c r="F698" i="26"/>
  <c r="F697" i="26"/>
  <c r="F696" i="26"/>
  <c r="F695" i="26"/>
  <c r="F694" i="26"/>
  <c r="F693" i="26"/>
  <c r="F692" i="26"/>
  <c r="F691" i="26"/>
  <c r="F690" i="26"/>
  <c r="F689" i="26"/>
  <c r="F688" i="26"/>
  <c r="F687" i="26"/>
  <c r="F686" i="26"/>
  <c r="F685" i="26"/>
  <c r="F684" i="26"/>
  <c r="F683" i="26"/>
  <c r="F682" i="26"/>
  <c r="F681" i="26"/>
  <c r="F680" i="26"/>
  <c r="F679" i="26"/>
  <c r="F678" i="26"/>
  <c r="F677" i="26"/>
  <c r="F676" i="26"/>
  <c r="F675" i="26"/>
  <c r="F674" i="26"/>
  <c r="F673" i="26"/>
  <c r="F672" i="26"/>
  <c r="F671" i="26"/>
  <c r="F670" i="26"/>
  <c r="F669" i="26"/>
  <c r="F668" i="26"/>
  <c r="F667" i="26"/>
  <c r="F666" i="26"/>
  <c r="F665" i="26"/>
  <c r="F664" i="26"/>
  <c r="F663" i="26"/>
  <c r="F662" i="26"/>
  <c r="F661" i="26"/>
  <c r="F660" i="26"/>
  <c r="F659" i="26"/>
  <c r="F658" i="26"/>
  <c r="F657" i="26"/>
  <c r="F656" i="26"/>
  <c r="F655" i="26"/>
  <c r="F654" i="26"/>
  <c r="F653" i="26"/>
  <c r="F652" i="26"/>
  <c r="F651" i="26"/>
  <c r="F650" i="26"/>
  <c r="F649" i="26"/>
  <c r="F648" i="26"/>
  <c r="F647" i="26"/>
  <c r="F646" i="26"/>
  <c r="F645" i="26"/>
  <c r="F644" i="26"/>
  <c r="F643" i="26"/>
  <c r="F642" i="26"/>
  <c r="F641" i="26"/>
  <c r="F640" i="26"/>
  <c r="F639" i="26"/>
  <c r="F638" i="26"/>
  <c r="F637" i="26"/>
  <c r="F636" i="26"/>
  <c r="F635" i="26"/>
  <c r="F634" i="26"/>
  <c r="F633" i="26"/>
  <c r="F632" i="26"/>
  <c r="F631" i="26"/>
  <c r="F630" i="26"/>
  <c r="F629" i="26"/>
  <c r="F628" i="26"/>
  <c r="F627" i="26"/>
  <c r="F626" i="26"/>
  <c r="F625" i="26"/>
  <c r="F624" i="26"/>
  <c r="F623" i="26"/>
  <c r="F622" i="26"/>
  <c r="F621" i="26"/>
  <c r="F620" i="26"/>
  <c r="F619" i="26"/>
  <c r="F618" i="26"/>
  <c r="F617" i="26"/>
  <c r="F616" i="26"/>
  <c r="F615" i="26"/>
  <c r="F614" i="26"/>
  <c r="F613" i="26"/>
  <c r="F612" i="26"/>
  <c r="F611" i="26"/>
  <c r="F610" i="26"/>
  <c r="F609" i="26"/>
  <c r="F608" i="26"/>
  <c r="F607" i="26"/>
  <c r="F606" i="26"/>
  <c r="F605" i="26"/>
  <c r="F604" i="26"/>
  <c r="F603" i="26"/>
  <c r="F602" i="26"/>
  <c r="F601" i="26"/>
  <c r="F600" i="26"/>
  <c r="F599" i="26"/>
  <c r="F598" i="26"/>
  <c r="F597" i="26"/>
  <c r="F596" i="26"/>
  <c r="F595" i="26"/>
  <c r="F594" i="26"/>
  <c r="F593" i="26"/>
  <c r="F592" i="26"/>
  <c r="F591" i="26"/>
  <c r="F590" i="26"/>
  <c r="F589" i="26"/>
  <c r="F588" i="26"/>
  <c r="F587" i="26"/>
  <c r="F586" i="26"/>
  <c r="F585" i="26"/>
  <c r="F584" i="26"/>
  <c r="F583" i="26"/>
  <c r="F582" i="26"/>
  <c r="F581" i="26"/>
  <c r="F580" i="26"/>
  <c r="F579" i="26"/>
  <c r="F578" i="26"/>
  <c r="F577" i="26"/>
  <c r="F576" i="26"/>
  <c r="F575" i="26"/>
  <c r="F574" i="26"/>
  <c r="F573" i="26"/>
  <c r="F572" i="26"/>
  <c r="F571" i="26"/>
  <c r="F570" i="26"/>
  <c r="F569" i="26"/>
  <c r="F568" i="26"/>
  <c r="F567" i="26"/>
  <c r="F566" i="26"/>
  <c r="F565" i="26"/>
  <c r="F564" i="26"/>
  <c r="F563" i="26"/>
  <c r="F562" i="26"/>
  <c r="F561" i="26"/>
  <c r="F560" i="26"/>
  <c r="F559" i="26"/>
  <c r="F558" i="26"/>
  <c r="F557" i="26"/>
  <c r="F556" i="26"/>
  <c r="F555" i="26"/>
  <c r="F554" i="26"/>
  <c r="F553" i="26"/>
  <c r="F552" i="26"/>
  <c r="F551" i="26"/>
  <c r="F550" i="26"/>
  <c r="F549" i="26"/>
  <c r="F548" i="26"/>
  <c r="F547" i="26"/>
  <c r="F546" i="26"/>
  <c r="F545" i="26"/>
  <c r="F544" i="26"/>
  <c r="F543" i="26"/>
  <c r="F542" i="26"/>
  <c r="F541" i="26"/>
  <c r="F540" i="26"/>
  <c r="F539" i="26"/>
  <c r="F538" i="26"/>
  <c r="F537" i="26"/>
  <c r="F536" i="26"/>
  <c r="F535" i="26"/>
  <c r="F534" i="26"/>
  <c r="F533" i="26"/>
  <c r="F532" i="26"/>
  <c r="F531" i="26"/>
  <c r="F530" i="26"/>
  <c r="F529" i="26"/>
  <c r="F528" i="26"/>
  <c r="F527" i="26"/>
  <c r="F526" i="26"/>
  <c r="F525" i="26"/>
  <c r="F524" i="26"/>
  <c r="F523" i="26"/>
  <c r="F522" i="26"/>
  <c r="F521" i="26"/>
  <c r="F520" i="26"/>
  <c r="F519" i="26"/>
  <c r="F518" i="26"/>
  <c r="F517" i="26"/>
  <c r="F516" i="26"/>
  <c r="F515" i="26"/>
  <c r="F514" i="26"/>
  <c r="F513" i="26"/>
  <c r="F512" i="26"/>
  <c r="F511" i="26"/>
  <c r="F510" i="26"/>
  <c r="F509" i="26"/>
  <c r="F508" i="26"/>
  <c r="F507" i="26"/>
  <c r="F506" i="26"/>
  <c r="F505" i="26"/>
  <c r="F504" i="26"/>
  <c r="F503" i="26"/>
  <c r="F502" i="26"/>
  <c r="F501" i="26"/>
  <c r="F500" i="26"/>
  <c r="F499" i="26"/>
  <c r="F498" i="26"/>
  <c r="F497" i="26"/>
  <c r="F496" i="26"/>
  <c r="F495" i="26"/>
  <c r="F494" i="26"/>
  <c r="F493" i="26"/>
  <c r="F492" i="26"/>
  <c r="F491" i="26"/>
  <c r="F490" i="26"/>
  <c r="F489" i="26"/>
  <c r="F488" i="26"/>
  <c r="F487" i="26"/>
  <c r="F486" i="26"/>
  <c r="F485" i="26"/>
  <c r="F484" i="26"/>
  <c r="F483" i="26"/>
  <c r="F482" i="26"/>
  <c r="F481" i="26"/>
  <c r="F480" i="26"/>
  <c r="F479" i="26"/>
  <c r="F478" i="26"/>
  <c r="F477" i="26"/>
  <c r="F476" i="26"/>
  <c r="F475" i="26"/>
  <c r="F474" i="26"/>
  <c r="F473" i="26"/>
  <c r="F472" i="26"/>
  <c r="F471" i="26"/>
  <c r="F470" i="26"/>
  <c r="F469" i="26"/>
  <c r="F468" i="26"/>
  <c r="F467" i="26"/>
  <c r="F466" i="26"/>
  <c r="F465" i="26"/>
  <c r="F464" i="26"/>
  <c r="F463" i="26"/>
  <c r="F462" i="26"/>
  <c r="F461" i="26"/>
  <c r="F460" i="26"/>
  <c r="F459" i="26"/>
  <c r="F458" i="26"/>
  <c r="F457" i="26"/>
  <c r="F456" i="26"/>
  <c r="F455" i="26"/>
  <c r="F454" i="26"/>
  <c r="F453" i="26"/>
  <c r="F452" i="26"/>
  <c r="F451" i="26"/>
  <c r="F450" i="26"/>
  <c r="F449" i="26"/>
  <c r="F448" i="26"/>
  <c r="F447" i="26"/>
  <c r="F446" i="26"/>
  <c r="F445" i="26"/>
  <c r="F444" i="26"/>
  <c r="F443" i="26"/>
  <c r="F442" i="26"/>
  <c r="F441" i="26"/>
  <c r="F440" i="26"/>
  <c r="F439" i="26"/>
  <c r="F438" i="26"/>
  <c r="F437" i="26"/>
  <c r="F436" i="26"/>
  <c r="F435" i="26"/>
  <c r="F434" i="26"/>
  <c r="F433" i="26"/>
  <c r="F432" i="26"/>
  <c r="F431" i="26"/>
  <c r="F430" i="26"/>
  <c r="F429" i="26"/>
  <c r="F428" i="26"/>
  <c r="F427" i="26"/>
  <c r="F426" i="26"/>
  <c r="F425" i="26"/>
  <c r="F424" i="26"/>
  <c r="F423" i="26"/>
  <c r="F422" i="26"/>
  <c r="F421" i="26"/>
  <c r="F420" i="26"/>
  <c r="F419" i="26"/>
  <c r="F418" i="26"/>
  <c r="F417" i="26"/>
  <c r="F416" i="26"/>
  <c r="F415" i="26"/>
  <c r="F414" i="26"/>
  <c r="F413" i="26"/>
  <c r="F412" i="26"/>
  <c r="F411" i="26"/>
  <c r="F410" i="26"/>
  <c r="F409" i="26"/>
  <c r="F408" i="26"/>
  <c r="F407" i="26"/>
  <c r="F406" i="26"/>
  <c r="F405" i="26"/>
  <c r="F404" i="26"/>
  <c r="F403" i="26"/>
  <c r="F402" i="26"/>
  <c r="F401" i="26"/>
  <c r="F400" i="26"/>
  <c r="F399" i="26"/>
  <c r="F398" i="26"/>
  <c r="F397" i="26"/>
  <c r="F396" i="26"/>
  <c r="F395" i="26"/>
  <c r="F394" i="26"/>
  <c r="F393" i="26"/>
  <c r="F392" i="26"/>
  <c r="F391" i="26"/>
  <c r="F390" i="26"/>
  <c r="F389" i="26"/>
  <c r="F388" i="26"/>
  <c r="F387" i="26"/>
  <c r="F386" i="26"/>
  <c r="F385" i="26"/>
  <c r="F384" i="26"/>
  <c r="F383" i="26"/>
  <c r="F382" i="26"/>
  <c r="F381" i="26"/>
  <c r="F380" i="26"/>
  <c r="F379" i="26"/>
  <c r="F378" i="26"/>
  <c r="F377" i="26"/>
  <c r="F376" i="26"/>
  <c r="F375" i="26"/>
  <c r="F374" i="26"/>
  <c r="F373" i="26"/>
  <c r="F372" i="26"/>
  <c r="F371" i="26"/>
  <c r="F370" i="26"/>
  <c r="F369" i="26"/>
  <c r="F368" i="26"/>
  <c r="F367" i="26"/>
  <c r="F366" i="26"/>
  <c r="F365" i="26"/>
  <c r="F364" i="26"/>
  <c r="F363" i="26"/>
  <c r="F362" i="26"/>
  <c r="F361" i="26"/>
  <c r="F360" i="26"/>
  <c r="F359" i="26"/>
  <c r="F358" i="26"/>
  <c r="F357" i="26"/>
  <c r="F356" i="26"/>
  <c r="F355" i="26"/>
  <c r="F354" i="26"/>
  <c r="F353" i="26"/>
  <c r="F352" i="26"/>
  <c r="F351" i="26"/>
  <c r="F350" i="26"/>
  <c r="F349" i="26"/>
  <c r="F348" i="26"/>
  <c r="F347" i="26"/>
  <c r="F346" i="26"/>
  <c r="F345" i="26"/>
  <c r="F344" i="26"/>
  <c r="F343" i="26"/>
  <c r="F342" i="26"/>
  <c r="F341" i="26"/>
  <c r="F340" i="26"/>
  <c r="F339" i="26"/>
  <c r="F338" i="26"/>
  <c r="F337" i="26"/>
  <c r="F336" i="26"/>
  <c r="F335" i="26"/>
  <c r="F334" i="26"/>
  <c r="F333" i="26"/>
  <c r="F332" i="26"/>
  <c r="F331" i="26"/>
  <c r="F330" i="26"/>
  <c r="F329" i="26"/>
  <c r="F328" i="26"/>
  <c r="F327" i="26"/>
  <c r="F326" i="26"/>
  <c r="F325" i="26"/>
  <c r="F324" i="26"/>
  <c r="F323" i="26"/>
  <c r="F322" i="26"/>
  <c r="F321" i="26"/>
  <c r="F320" i="26"/>
  <c r="F319" i="26"/>
  <c r="F318" i="26"/>
  <c r="F317" i="26"/>
  <c r="F316" i="26"/>
  <c r="F315" i="26"/>
  <c r="F314" i="26"/>
  <c r="F313" i="26"/>
  <c r="F312" i="26"/>
  <c r="F311" i="26"/>
  <c r="F310" i="26"/>
  <c r="F309" i="26"/>
  <c r="F308" i="26"/>
  <c r="F307" i="26"/>
  <c r="F306" i="26"/>
  <c r="F305" i="26"/>
  <c r="F304" i="26"/>
  <c r="F303" i="26"/>
  <c r="F302" i="26"/>
  <c r="F301" i="26"/>
  <c r="F300" i="26"/>
  <c r="F299" i="26"/>
  <c r="F298" i="26"/>
  <c r="F297" i="26"/>
  <c r="F296" i="26"/>
  <c r="F295" i="26"/>
  <c r="F294" i="26"/>
  <c r="F293" i="26"/>
  <c r="F292" i="26"/>
  <c r="F291" i="26"/>
  <c r="F290" i="26"/>
  <c r="F289" i="26"/>
  <c r="F288" i="26"/>
  <c r="F287" i="26"/>
  <c r="F286" i="26"/>
  <c r="F285" i="26"/>
  <c r="F284" i="26"/>
  <c r="F283" i="26"/>
  <c r="F282" i="26"/>
  <c r="F281" i="26"/>
  <c r="F280" i="26"/>
  <c r="F279" i="26"/>
  <c r="F278" i="26"/>
  <c r="F277" i="26"/>
  <c r="F276" i="26"/>
  <c r="F275" i="26"/>
  <c r="F274" i="26"/>
  <c r="F273" i="26"/>
  <c r="F272" i="26"/>
  <c r="F271" i="26"/>
  <c r="F270" i="26"/>
  <c r="F269" i="26"/>
  <c r="F268" i="26"/>
  <c r="F267" i="26"/>
  <c r="F266" i="26"/>
  <c r="F265" i="26"/>
  <c r="F264" i="26"/>
  <c r="F263" i="26"/>
  <c r="F262" i="26"/>
  <c r="F261" i="26"/>
  <c r="F260" i="26"/>
  <c r="F259" i="26"/>
  <c r="F258" i="26"/>
  <c r="F257" i="26"/>
  <c r="F256" i="26"/>
  <c r="F255" i="26"/>
  <c r="F254" i="26"/>
  <c r="F253" i="26"/>
  <c r="F252" i="26"/>
  <c r="F251" i="26"/>
  <c r="F250" i="26"/>
  <c r="F249" i="26"/>
  <c r="F248" i="26"/>
  <c r="F247" i="26"/>
  <c r="F246" i="26"/>
  <c r="F245" i="26"/>
  <c r="F244" i="26"/>
  <c r="F243" i="26"/>
  <c r="F242" i="26"/>
  <c r="F241" i="26"/>
  <c r="F240" i="26"/>
  <c r="F239" i="26"/>
  <c r="F238" i="26"/>
  <c r="F237" i="26"/>
  <c r="F236" i="26"/>
  <c r="F235" i="26"/>
  <c r="F234" i="26"/>
  <c r="F233" i="26"/>
  <c r="F232" i="26"/>
  <c r="F231" i="26"/>
  <c r="F230" i="26"/>
  <c r="F229" i="26"/>
  <c r="F228" i="26"/>
  <c r="F227" i="26"/>
  <c r="F226" i="26"/>
  <c r="F225" i="26"/>
  <c r="F224" i="26"/>
  <c r="F223" i="26"/>
  <c r="F222" i="26"/>
  <c r="F221" i="26"/>
  <c r="F220" i="26"/>
  <c r="F219" i="26"/>
  <c r="F218" i="26"/>
  <c r="F217" i="26"/>
  <c r="F216" i="26"/>
  <c r="F215" i="26"/>
  <c r="F214" i="26"/>
  <c r="F213" i="26"/>
  <c r="F212" i="26"/>
  <c r="F211" i="26"/>
  <c r="F210" i="26"/>
  <c r="F209" i="26"/>
  <c r="F208" i="26"/>
  <c r="F207" i="26"/>
  <c r="F206" i="26"/>
  <c r="F205" i="26"/>
  <c r="F204" i="26"/>
  <c r="F203" i="26"/>
  <c r="F202" i="26"/>
  <c r="F201" i="26"/>
  <c r="F200" i="26"/>
  <c r="F199" i="26"/>
  <c r="F198" i="26"/>
  <c r="F197" i="26"/>
  <c r="F196" i="26"/>
  <c r="F195" i="26"/>
  <c r="F194" i="26"/>
  <c r="F193" i="26"/>
  <c r="F192" i="26"/>
  <c r="F191" i="26"/>
  <c r="F190" i="26"/>
  <c r="F189" i="26"/>
  <c r="F188" i="26"/>
  <c r="F187" i="26"/>
  <c r="F186" i="26"/>
  <c r="F185" i="26"/>
  <c r="F184" i="26"/>
  <c r="F183" i="26"/>
  <c r="F182" i="26"/>
  <c r="F181" i="26"/>
  <c r="F180" i="26"/>
  <c r="F179" i="26"/>
  <c r="F178" i="26"/>
  <c r="F177" i="26"/>
  <c r="F176" i="26"/>
  <c r="F175" i="26"/>
  <c r="F174" i="26"/>
  <c r="F173" i="26"/>
  <c r="F172" i="26"/>
  <c r="F171" i="26"/>
  <c r="F170" i="26"/>
  <c r="F169" i="26"/>
  <c r="F168" i="26"/>
  <c r="F167" i="26"/>
  <c r="F166" i="26"/>
  <c r="F165" i="26"/>
  <c r="F164" i="26"/>
  <c r="F163" i="26"/>
  <c r="F162" i="26"/>
  <c r="F161" i="26"/>
  <c r="F160" i="26"/>
  <c r="F159" i="26"/>
  <c r="F158" i="26"/>
  <c r="F157" i="26"/>
  <c r="F156" i="26"/>
  <c r="F155" i="26"/>
  <c r="F154" i="26"/>
  <c r="F153" i="26"/>
  <c r="F152" i="26"/>
  <c r="F151" i="26"/>
  <c r="F150" i="26"/>
  <c r="F149" i="26"/>
  <c r="F148" i="26"/>
  <c r="F147" i="26"/>
  <c r="F146" i="26"/>
  <c r="F145" i="26"/>
  <c r="F144" i="26"/>
  <c r="F143" i="26"/>
  <c r="F142" i="26"/>
  <c r="F141" i="26"/>
  <c r="F140" i="26"/>
  <c r="F139" i="26"/>
  <c r="F138" i="26"/>
  <c r="F137" i="26"/>
  <c r="F136" i="26"/>
  <c r="F135" i="26"/>
  <c r="F134" i="26"/>
  <c r="F133" i="26"/>
  <c r="F132" i="26"/>
  <c r="F131" i="26"/>
  <c r="F130" i="26"/>
  <c r="F129" i="26"/>
  <c r="F128" i="26"/>
  <c r="F127" i="26"/>
  <c r="F126" i="26"/>
  <c r="F125" i="26"/>
  <c r="F124" i="26"/>
  <c r="F123" i="26"/>
  <c r="F122" i="26"/>
  <c r="F121" i="26"/>
  <c r="F120" i="26"/>
  <c r="F119" i="26"/>
  <c r="F118" i="26"/>
  <c r="F117" i="26"/>
  <c r="F116" i="26"/>
  <c r="F115" i="26"/>
  <c r="F114" i="26"/>
  <c r="F113" i="26"/>
  <c r="F112" i="26"/>
  <c r="F111" i="26"/>
  <c r="F110" i="26"/>
  <c r="F109" i="26"/>
  <c r="F108" i="26"/>
  <c r="F107" i="26"/>
  <c r="F106" i="26"/>
  <c r="F105" i="26"/>
  <c r="F104" i="26"/>
  <c r="F103" i="26"/>
  <c r="F102" i="26"/>
  <c r="F101" i="26"/>
  <c r="F100" i="26"/>
  <c r="F99" i="26"/>
  <c r="F98" i="26"/>
  <c r="F97" i="26"/>
  <c r="F96" i="26"/>
  <c r="F95" i="26"/>
  <c r="F94" i="26"/>
  <c r="F93" i="26"/>
  <c r="F92" i="26"/>
  <c r="F91" i="26"/>
  <c r="F90" i="26"/>
  <c r="F89" i="26"/>
  <c r="F88" i="26"/>
  <c r="F87" i="26"/>
  <c r="F86" i="26"/>
  <c r="F85" i="26"/>
  <c r="F84" i="26"/>
  <c r="F83" i="26"/>
  <c r="F82" i="26"/>
  <c r="F81" i="26"/>
  <c r="F80" i="26"/>
  <c r="F79" i="26"/>
  <c r="F78" i="26"/>
  <c r="F77" i="26"/>
  <c r="F76" i="26"/>
  <c r="F75" i="26"/>
  <c r="F74" i="26"/>
  <c r="F73" i="26"/>
  <c r="F72" i="26"/>
  <c r="F71" i="26"/>
  <c r="F70" i="26"/>
  <c r="F69" i="26"/>
  <c r="F68" i="26"/>
  <c r="F67" i="26"/>
  <c r="F66" i="26"/>
  <c r="F65" i="26"/>
  <c r="F64" i="26"/>
  <c r="F63" i="26"/>
  <c r="F62" i="26"/>
  <c r="F61" i="26"/>
  <c r="F60" i="26"/>
  <c r="F59" i="26"/>
  <c r="F58" i="26"/>
  <c r="F57" i="26"/>
  <c r="F56" i="26"/>
  <c r="F55" i="26"/>
  <c r="F54" i="26"/>
  <c r="F53" i="26"/>
  <c r="F52" i="26"/>
  <c r="F51" i="26"/>
  <c r="F50" i="26"/>
  <c r="F49" i="26"/>
  <c r="F48" i="26"/>
  <c r="F47" i="26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F3" i="26"/>
  <c r="F2" i="26"/>
  <c r="E3" i="23" l="1"/>
  <c r="E2" i="23" l="1"/>
  <c r="B678" i="23" l="1"/>
  <c r="B679" i="23"/>
  <c r="B680" i="23"/>
  <c r="B681" i="23"/>
  <c r="B682" i="23"/>
  <c r="B683" i="23"/>
  <c r="B684" i="23"/>
  <c r="B685" i="23"/>
  <c r="B686" i="23"/>
  <c r="B687" i="23"/>
  <c r="B688" i="23"/>
  <c r="B689" i="23"/>
  <c r="B690" i="23"/>
  <c r="B691" i="23"/>
  <c r="B692" i="23"/>
  <c r="B693" i="23"/>
  <c r="B694" i="23"/>
  <c r="B695" i="23"/>
  <c r="B696" i="23"/>
  <c r="B697" i="23"/>
  <c r="B698" i="23"/>
  <c r="B699" i="23"/>
  <c r="B700" i="23"/>
  <c r="B701" i="23"/>
  <c r="B702" i="23"/>
  <c r="B703" i="23"/>
  <c r="B704" i="23"/>
  <c r="B705" i="23"/>
  <c r="B706" i="23"/>
  <c r="B707" i="23"/>
  <c r="B708" i="23"/>
  <c r="B709" i="23"/>
  <c r="B710" i="23"/>
  <c r="B711" i="23"/>
  <c r="B712" i="23"/>
  <c r="B713" i="23"/>
  <c r="B714" i="23"/>
  <c r="B715" i="23"/>
  <c r="B716" i="23"/>
  <c r="B717" i="23"/>
  <c r="B718" i="23"/>
  <c r="B719" i="23"/>
  <c r="B720" i="23"/>
  <c r="B721" i="23"/>
  <c r="B722" i="23"/>
  <c r="B723" i="23"/>
  <c r="B724" i="23"/>
  <c r="B725" i="23"/>
  <c r="B726" i="23"/>
  <c r="B727" i="23"/>
  <c r="B728" i="23"/>
  <c r="B677" i="23"/>
  <c r="A678" i="23"/>
  <c r="E678" i="23" s="1"/>
  <c r="C678" i="23"/>
  <c r="F678" i="23"/>
  <c r="A679" i="23"/>
  <c r="E679" i="23" s="1"/>
  <c r="C679" i="23"/>
  <c r="F679" i="23"/>
  <c r="A680" i="23"/>
  <c r="C680" i="23"/>
  <c r="E680" i="23"/>
  <c r="F680" i="23"/>
  <c r="A681" i="23"/>
  <c r="E681" i="23" s="1"/>
  <c r="C681" i="23"/>
  <c r="F681" i="23"/>
  <c r="A682" i="23"/>
  <c r="C682" i="23"/>
  <c r="E682" i="23"/>
  <c r="F682" i="23"/>
  <c r="A683" i="23"/>
  <c r="E683" i="23" s="1"/>
  <c r="C683" i="23"/>
  <c r="F683" i="23"/>
  <c r="A684" i="23"/>
  <c r="C684" i="23"/>
  <c r="E684" i="23"/>
  <c r="F684" i="23"/>
  <c r="A685" i="23"/>
  <c r="E685" i="23" s="1"/>
  <c r="C685" i="23"/>
  <c r="F685" i="23"/>
  <c r="A686" i="23"/>
  <c r="E686" i="23" s="1"/>
  <c r="C686" i="23"/>
  <c r="F686" i="23"/>
  <c r="A687" i="23"/>
  <c r="E687" i="23" s="1"/>
  <c r="C687" i="23"/>
  <c r="F687" i="23"/>
  <c r="A688" i="23"/>
  <c r="C688" i="23"/>
  <c r="E688" i="23"/>
  <c r="F688" i="23"/>
  <c r="A689" i="23"/>
  <c r="E689" i="23" s="1"/>
  <c r="C689" i="23"/>
  <c r="F689" i="23"/>
  <c r="A690" i="23"/>
  <c r="C690" i="23"/>
  <c r="E690" i="23"/>
  <c r="F690" i="23"/>
  <c r="A691" i="23"/>
  <c r="E691" i="23" s="1"/>
  <c r="C691" i="23"/>
  <c r="F691" i="23"/>
  <c r="A692" i="23"/>
  <c r="C692" i="23"/>
  <c r="E692" i="23"/>
  <c r="F692" i="23"/>
  <c r="A693" i="23"/>
  <c r="E693" i="23" s="1"/>
  <c r="C693" i="23"/>
  <c r="F693" i="23"/>
  <c r="A694" i="23"/>
  <c r="E694" i="23" s="1"/>
  <c r="C694" i="23"/>
  <c r="F694" i="23"/>
  <c r="A695" i="23"/>
  <c r="E695" i="23" s="1"/>
  <c r="C695" i="23"/>
  <c r="F695" i="23"/>
  <c r="A696" i="23"/>
  <c r="C696" i="23"/>
  <c r="E696" i="23"/>
  <c r="F696" i="23"/>
  <c r="A697" i="23"/>
  <c r="E697" i="23" s="1"/>
  <c r="C697" i="23"/>
  <c r="F697" i="23"/>
  <c r="A698" i="23"/>
  <c r="C698" i="23"/>
  <c r="E698" i="23"/>
  <c r="F698" i="23"/>
  <c r="A699" i="23"/>
  <c r="E699" i="23" s="1"/>
  <c r="C699" i="23"/>
  <c r="F699" i="23"/>
  <c r="A700" i="23"/>
  <c r="C700" i="23"/>
  <c r="E700" i="23"/>
  <c r="F700" i="23"/>
  <c r="A701" i="23"/>
  <c r="E701" i="23" s="1"/>
  <c r="C701" i="23"/>
  <c r="F701" i="23"/>
  <c r="A702" i="23"/>
  <c r="E702" i="23" s="1"/>
  <c r="C702" i="23"/>
  <c r="F702" i="23"/>
  <c r="A703" i="23"/>
  <c r="E703" i="23" s="1"/>
  <c r="C703" i="23"/>
  <c r="F703" i="23"/>
  <c r="A704" i="23"/>
  <c r="C704" i="23"/>
  <c r="E704" i="23"/>
  <c r="F704" i="23"/>
  <c r="A705" i="23"/>
  <c r="E705" i="23" s="1"/>
  <c r="C705" i="23"/>
  <c r="F705" i="23"/>
  <c r="A706" i="23"/>
  <c r="C706" i="23"/>
  <c r="E706" i="23"/>
  <c r="F706" i="23"/>
  <c r="A707" i="23"/>
  <c r="E707" i="23" s="1"/>
  <c r="C707" i="23"/>
  <c r="F707" i="23"/>
  <c r="A708" i="23"/>
  <c r="C708" i="23"/>
  <c r="E708" i="23"/>
  <c r="F708" i="23"/>
  <c r="A709" i="23"/>
  <c r="E709" i="23" s="1"/>
  <c r="C709" i="23"/>
  <c r="F709" i="23"/>
  <c r="A710" i="23"/>
  <c r="E710" i="23" s="1"/>
  <c r="C710" i="23"/>
  <c r="F710" i="23"/>
  <c r="A711" i="23"/>
  <c r="E711" i="23" s="1"/>
  <c r="C711" i="23"/>
  <c r="F711" i="23"/>
  <c r="A712" i="23"/>
  <c r="C712" i="23"/>
  <c r="E712" i="23"/>
  <c r="F712" i="23"/>
  <c r="A713" i="23"/>
  <c r="E713" i="23" s="1"/>
  <c r="C713" i="23"/>
  <c r="F713" i="23"/>
  <c r="A714" i="23"/>
  <c r="C714" i="23"/>
  <c r="E714" i="23"/>
  <c r="F714" i="23"/>
  <c r="A715" i="23"/>
  <c r="E715" i="23" s="1"/>
  <c r="C715" i="23"/>
  <c r="F715" i="23"/>
  <c r="A716" i="23"/>
  <c r="C716" i="23"/>
  <c r="E716" i="23"/>
  <c r="F716" i="23"/>
  <c r="A717" i="23"/>
  <c r="E717" i="23" s="1"/>
  <c r="C717" i="23"/>
  <c r="F717" i="23"/>
  <c r="A718" i="23"/>
  <c r="E718" i="23" s="1"/>
  <c r="C718" i="23"/>
  <c r="F718" i="23"/>
  <c r="A719" i="23"/>
  <c r="E719" i="23" s="1"/>
  <c r="C719" i="23"/>
  <c r="F719" i="23"/>
  <c r="A720" i="23"/>
  <c r="C720" i="23"/>
  <c r="E720" i="23"/>
  <c r="F720" i="23"/>
  <c r="A721" i="23"/>
  <c r="E721" i="23" s="1"/>
  <c r="C721" i="23"/>
  <c r="F721" i="23"/>
  <c r="A722" i="23"/>
  <c r="C722" i="23"/>
  <c r="E722" i="23"/>
  <c r="F722" i="23"/>
  <c r="A723" i="23"/>
  <c r="E723" i="23" s="1"/>
  <c r="C723" i="23"/>
  <c r="F723" i="23"/>
  <c r="A724" i="23"/>
  <c r="C724" i="23"/>
  <c r="E724" i="23"/>
  <c r="F724" i="23"/>
  <c r="A725" i="23"/>
  <c r="E725" i="23" s="1"/>
  <c r="C725" i="23"/>
  <c r="F725" i="23"/>
  <c r="A726" i="23"/>
  <c r="E726" i="23" s="1"/>
  <c r="C726" i="23"/>
  <c r="F726" i="23"/>
  <c r="A727" i="23"/>
  <c r="E727" i="23" s="1"/>
  <c r="C727" i="23"/>
  <c r="F727" i="23"/>
  <c r="A728" i="23"/>
  <c r="C728" i="23"/>
  <c r="E728" i="23"/>
  <c r="F728" i="23"/>
  <c r="F677" i="23"/>
  <c r="A677" i="23"/>
  <c r="A626" i="23"/>
  <c r="E626" i="23" s="1"/>
  <c r="B626" i="23"/>
  <c r="C626" i="23"/>
  <c r="F626" i="23"/>
  <c r="A627" i="23"/>
  <c r="B627" i="23"/>
  <c r="C627" i="23"/>
  <c r="E627" i="23"/>
  <c r="F627" i="23"/>
  <c r="A628" i="23"/>
  <c r="B628" i="23"/>
  <c r="C628" i="23"/>
  <c r="E628" i="23"/>
  <c r="F628" i="23"/>
  <c r="A629" i="23"/>
  <c r="E629" i="23" s="1"/>
  <c r="B629" i="23"/>
  <c r="C629" i="23"/>
  <c r="F629" i="23"/>
  <c r="A630" i="23"/>
  <c r="B630" i="23"/>
  <c r="C630" i="23"/>
  <c r="E630" i="23"/>
  <c r="F630" i="23"/>
  <c r="A631" i="23"/>
  <c r="B631" i="23"/>
  <c r="C631" i="23"/>
  <c r="E631" i="23"/>
  <c r="F631" i="23"/>
  <c r="A632" i="23"/>
  <c r="B632" i="23"/>
  <c r="C632" i="23"/>
  <c r="E632" i="23"/>
  <c r="F632" i="23"/>
  <c r="A633" i="23"/>
  <c r="E633" i="23" s="1"/>
  <c r="B633" i="23"/>
  <c r="C633" i="23"/>
  <c r="F633" i="23"/>
  <c r="A634" i="23"/>
  <c r="E634" i="23" s="1"/>
  <c r="B634" i="23"/>
  <c r="C634" i="23"/>
  <c r="F634" i="23"/>
  <c r="A635" i="23"/>
  <c r="B635" i="23"/>
  <c r="C635" i="23"/>
  <c r="E635" i="23"/>
  <c r="F635" i="23"/>
  <c r="A636" i="23"/>
  <c r="B636" i="23"/>
  <c r="C636" i="23"/>
  <c r="E636" i="23"/>
  <c r="F636" i="23"/>
  <c r="A637" i="23"/>
  <c r="E637" i="23" s="1"/>
  <c r="B637" i="23"/>
  <c r="C637" i="23"/>
  <c r="F637" i="23"/>
  <c r="A638" i="23"/>
  <c r="B638" i="23"/>
  <c r="C638" i="23"/>
  <c r="E638" i="23"/>
  <c r="F638" i="23"/>
  <c r="A639" i="23"/>
  <c r="B639" i="23"/>
  <c r="C639" i="23"/>
  <c r="E639" i="23"/>
  <c r="F639" i="23"/>
  <c r="A640" i="23"/>
  <c r="B640" i="23"/>
  <c r="C640" i="23"/>
  <c r="E640" i="23"/>
  <c r="F640" i="23"/>
  <c r="A641" i="23"/>
  <c r="E641" i="23" s="1"/>
  <c r="B641" i="23"/>
  <c r="C641" i="23"/>
  <c r="F641" i="23"/>
  <c r="A642" i="23"/>
  <c r="E642" i="23" s="1"/>
  <c r="B642" i="23"/>
  <c r="C642" i="23"/>
  <c r="F642" i="23"/>
  <c r="A643" i="23"/>
  <c r="B643" i="23"/>
  <c r="C643" i="23"/>
  <c r="E643" i="23"/>
  <c r="F643" i="23"/>
  <c r="A644" i="23"/>
  <c r="B644" i="23"/>
  <c r="C644" i="23"/>
  <c r="E644" i="23"/>
  <c r="F644" i="23"/>
  <c r="A645" i="23"/>
  <c r="E645" i="23" s="1"/>
  <c r="B645" i="23"/>
  <c r="C645" i="23"/>
  <c r="F645" i="23"/>
  <c r="A646" i="23"/>
  <c r="B646" i="23"/>
  <c r="C646" i="23"/>
  <c r="E646" i="23"/>
  <c r="F646" i="23"/>
  <c r="A647" i="23"/>
  <c r="B647" i="23"/>
  <c r="C647" i="23"/>
  <c r="E647" i="23"/>
  <c r="F647" i="23"/>
  <c r="A648" i="23"/>
  <c r="B648" i="23"/>
  <c r="C648" i="23"/>
  <c r="E648" i="23"/>
  <c r="F648" i="23"/>
  <c r="A649" i="23"/>
  <c r="E649" i="23" s="1"/>
  <c r="B649" i="23"/>
  <c r="C649" i="23"/>
  <c r="F649" i="23"/>
  <c r="A650" i="23"/>
  <c r="E650" i="23" s="1"/>
  <c r="B650" i="23"/>
  <c r="C650" i="23"/>
  <c r="F650" i="23"/>
  <c r="A651" i="23"/>
  <c r="B651" i="23"/>
  <c r="C651" i="23"/>
  <c r="E651" i="23"/>
  <c r="F651" i="23"/>
  <c r="A652" i="23"/>
  <c r="B652" i="23"/>
  <c r="C652" i="23"/>
  <c r="E652" i="23"/>
  <c r="F652" i="23"/>
  <c r="A653" i="23"/>
  <c r="E653" i="23" s="1"/>
  <c r="B653" i="23"/>
  <c r="C653" i="23"/>
  <c r="F653" i="23"/>
  <c r="A654" i="23"/>
  <c r="B654" i="23"/>
  <c r="C654" i="23"/>
  <c r="E654" i="23"/>
  <c r="F654" i="23"/>
  <c r="A655" i="23"/>
  <c r="B655" i="23"/>
  <c r="C655" i="23"/>
  <c r="E655" i="23"/>
  <c r="F655" i="23"/>
  <c r="A656" i="23"/>
  <c r="B656" i="23"/>
  <c r="C656" i="23"/>
  <c r="E656" i="23"/>
  <c r="F656" i="23"/>
  <c r="A657" i="23"/>
  <c r="E657" i="23" s="1"/>
  <c r="B657" i="23"/>
  <c r="C657" i="23"/>
  <c r="F657" i="23"/>
  <c r="A658" i="23"/>
  <c r="E658" i="23" s="1"/>
  <c r="B658" i="23"/>
  <c r="C658" i="23"/>
  <c r="F658" i="23"/>
  <c r="A659" i="23"/>
  <c r="B659" i="23"/>
  <c r="C659" i="23"/>
  <c r="E659" i="23"/>
  <c r="F659" i="23"/>
  <c r="A660" i="23"/>
  <c r="B660" i="23"/>
  <c r="C660" i="23"/>
  <c r="E660" i="23"/>
  <c r="F660" i="23"/>
  <c r="A661" i="23"/>
  <c r="E661" i="23" s="1"/>
  <c r="B661" i="23"/>
  <c r="C661" i="23"/>
  <c r="F661" i="23"/>
  <c r="A662" i="23"/>
  <c r="B662" i="23"/>
  <c r="C662" i="23"/>
  <c r="E662" i="23"/>
  <c r="F662" i="23"/>
  <c r="A663" i="23"/>
  <c r="B663" i="23"/>
  <c r="C663" i="23"/>
  <c r="E663" i="23"/>
  <c r="F663" i="23"/>
  <c r="A664" i="23"/>
  <c r="B664" i="23"/>
  <c r="C664" i="23"/>
  <c r="E664" i="23"/>
  <c r="F664" i="23"/>
  <c r="A665" i="23"/>
  <c r="E665" i="23" s="1"/>
  <c r="B665" i="23"/>
  <c r="C665" i="23"/>
  <c r="F665" i="23"/>
  <c r="A666" i="23"/>
  <c r="E666" i="23" s="1"/>
  <c r="B666" i="23"/>
  <c r="C666" i="23"/>
  <c r="F666" i="23"/>
  <c r="A667" i="23"/>
  <c r="B667" i="23"/>
  <c r="C667" i="23"/>
  <c r="E667" i="23"/>
  <c r="F667" i="23"/>
  <c r="A668" i="23"/>
  <c r="B668" i="23"/>
  <c r="C668" i="23"/>
  <c r="E668" i="23"/>
  <c r="F668" i="23"/>
  <c r="A669" i="23"/>
  <c r="E669" i="23" s="1"/>
  <c r="B669" i="23"/>
  <c r="C669" i="23"/>
  <c r="F669" i="23"/>
  <c r="A670" i="23"/>
  <c r="B670" i="23"/>
  <c r="C670" i="23"/>
  <c r="E670" i="23"/>
  <c r="F670" i="23"/>
  <c r="A671" i="23"/>
  <c r="B671" i="23"/>
  <c r="C671" i="23"/>
  <c r="E671" i="23"/>
  <c r="F671" i="23"/>
  <c r="A672" i="23"/>
  <c r="B672" i="23"/>
  <c r="C672" i="23"/>
  <c r="E672" i="23"/>
  <c r="F672" i="23"/>
  <c r="A673" i="23"/>
  <c r="E673" i="23" s="1"/>
  <c r="B673" i="23"/>
  <c r="C673" i="23"/>
  <c r="F673" i="23"/>
  <c r="A674" i="23"/>
  <c r="E674" i="23" s="1"/>
  <c r="B674" i="23"/>
  <c r="C674" i="23"/>
  <c r="F674" i="23"/>
  <c r="A675" i="23"/>
  <c r="B675" i="23"/>
  <c r="C675" i="23"/>
  <c r="E675" i="23"/>
  <c r="F675" i="23"/>
  <c r="A676" i="23"/>
  <c r="B676" i="23"/>
  <c r="C676" i="23"/>
  <c r="E676" i="23"/>
  <c r="F676" i="23"/>
  <c r="B625" i="23"/>
  <c r="F625" i="23"/>
  <c r="A625" i="23"/>
  <c r="B574" i="23"/>
  <c r="B575" i="23"/>
  <c r="B576" i="23"/>
  <c r="B577" i="23"/>
  <c r="B578" i="23"/>
  <c r="B579" i="23"/>
  <c r="B580" i="23"/>
  <c r="B581" i="23"/>
  <c r="B582" i="23"/>
  <c r="B583" i="23"/>
  <c r="B584" i="23"/>
  <c r="B585" i="23"/>
  <c r="B586" i="23"/>
  <c r="B587" i="23"/>
  <c r="B588" i="23"/>
  <c r="B589" i="23"/>
  <c r="B590" i="23"/>
  <c r="B591" i="23"/>
  <c r="B592" i="23"/>
  <c r="B593" i="23"/>
  <c r="B594" i="23"/>
  <c r="B595" i="23"/>
  <c r="B596" i="23"/>
  <c r="B597" i="23"/>
  <c r="B598" i="23"/>
  <c r="B599" i="23"/>
  <c r="B600" i="23"/>
  <c r="B601" i="23"/>
  <c r="B602" i="23"/>
  <c r="B603" i="23"/>
  <c r="B604" i="23"/>
  <c r="B605" i="23"/>
  <c r="B606" i="23"/>
  <c r="B607" i="23"/>
  <c r="B608" i="23"/>
  <c r="B609" i="23"/>
  <c r="B610" i="23"/>
  <c r="B611" i="23"/>
  <c r="B612" i="23"/>
  <c r="B613" i="23"/>
  <c r="B614" i="23"/>
  <c r="B615" i="23"/>
  <c r="B616" i="23"/>
  <c r="B617" i="23"/>
  <c r="B618" i="23"/>
  <c r="B619" i="23"/>
  <c r="B620" i="23"/>
  <c r="B621" i="23"/>
  <c r="B622" i="23"/>
  <c r="B623" i="23"/>
  <c r="B624" i="23"/>
  <c r="B573" i="23"/>
  <c r="A574" i="23"/>
  <c r="E574" i="23" s="1"/>
  <c r="C574" i="23"/>
  <c r="F574" i="23"/>
  <c r="A575" i="23"/>
  <c r="C575" i="23"/>
  <c r="E575" i="23"/>
  <c r="F575" i="23"/>
  <c r="A576" i="23"/>
  <c r="E576" i="23" s="1"/>
  <c r="C576" i="23"/>
  <c r="F576" i="23"/>
  <c r="A577" i="23"/>
  <c r="E577" i="23" s="1"/>
  <c r="C577" i="23"/>
  <c r="F577" i="23"/>
  <c r="A578" i="23"/>
  <c r="C578" i="23"/>
  <c r="E578" i="23"/>
  <c r="F578" i="23"/>
  <c r="A579" i="23"/>
  <c r="E579" i="23" s="1"/>
  <c r="C579" i="23"/>
  <c r="F579" i="23"/>
  <c r="A580" i="23"/>
  <c r="E580" i="23" s="1"/>
  <c r="C580" i="23"/>
  <c r="F580" i="23"/>
  <c r="A581" i="23"/>
  <c r="C581" i="23"/>
  <c r="E581" i="23"/>
  <c r="F581" i="23"/>
  <c r="A582" i="23"/>
  <c r="E582" i="23" s="1"/>
  <c r="C582" i="23"/>
  <c r="F582" i="23"/>
  <c r="A583" i="23"/>
  <c r="C583" i="23"/>
  <c r="E583" i="23"/>
  <c r="F583" i="23"/>
  <c r="A584" i="23"/>
  <c r="C584" i="23"/>
  <c r="E584" i="23"/>
  <c r="F584" i="23"/>
  <c r="A585" i="23"/>
  <c r="E585" i="23" s="1"/>
  <c r="C585" i="23"/>
  <c r="F585" i="23"/>
  <c r="A586" i="23"/>
  <c r="C586" i="23"/>
  <c r="E586" i="23"/>
  <c r="F586" i="23"/>
  <c r="A587" i="23"/>
  <c r="E587" i="23" s="1"/>
  <c r="C587" i="23"/>
  <c r="F587" i="23"/>
  <c r="A588" i="23"/>
  <c r="E588" i="23" s="1"/>
  <c r="C588" i="23"/>
  <c r="F588" i="23"/>
  <c r="A589" i="23"/>
  <c r="C589" i="23"/>
  <c r="E589" i="23"/>
  <c r="F589" i="23"/>
  <c r="A590" i="23"/>
  <c r="E590" i="23" s="1"/>
  <c r="C590" i="23"/>
  <c r="F590" i="23"/>
  <c r="A591" i="23"/>
  <c r="C591" i="23"/>
  <c r="E591" i="23"/>
  <c r="F591" i="23"/>
  <c r="A592" i="23"/>
  <c r="C592" i="23"/>
  <c r="E592" i="23"/>
  <c r="F592" i="23"/>
  <c r="A593" i="23"/>
  <c r="E593" i="23" s="1"/>
  <c r="C593" i="23"/>
  <c r="F593" i="23"/>
  <c r="A594" i="23"/>
  <c r="C594" i="23"/>
  <c r="E594" i="23"/>
  <c r="F594" i="23"/>
  <c r="A595" i="23"/>
  <c r="E595" i="23" s="1"/>
  <c r="C595" i="23"/>
  <c r="F595" i="23"/>
  <c r="A596" i="23"/>
  <c r="E596" i="23" s="1"/>
  <c r="C596" i="23"/>
  <c r="F596" i="23"/>
  <c r="A597" i="23"/>
  <c r="C597" i="23"/>
  <c r="E597" i="23"/>
  <c r="F597" i="23"/>
  <c r="A598" i="23"/>
  <c r="E598" i="23" s="1"/>
  <c r="C598" i="23"/>
  <c r="F598" i="23"/>
  <c r="A599" i="23"/>
  <c r="C599" i="23"/>
  <c r="E599" i="23"/>
  <c r="F599" i="23"/>
  <c r="A600" i="23"/>
  <c r="C600" i="23"/>
  <c r="E600" i="23"/>
  <c r="F600" i="23"/>
  <c r="A601" i="23"/>
  <c r="E601" i="23" s="1"/>
  <c r="C601" i="23"/>
  <c r="F601" i="23"/>
  <c r="A602" i="23"/>
  <c r="C602" i="23"/>
  <c r="E602" i="23"/>
  <c r="F602" i="23"/>
  <c r="A603" i="23"/>
  <c r="E603" i="23" s="1"/>
  <c r="C603" i="23"/>
  <c r="F603" i="23"/>
  <c r="A604" i="23"/>
  <c r="E604" i="23" s="1"/>
  <c r="C604" i="23"/>
  <c r="F604" i="23"/>
  <c r="A605" i="23"/>
  <c r="C605" i="23"/>
  <c r="E605" i="23"/>
  <c r="F605" i="23"/>
  <c r="A606" i="23"/>
  <c r="E606" i="23" s="1"/>
  <c r="C606" i="23"/>
  <c r="F606" i="23"/>
  <c r="A607" i="23"/>
  <c r="C607" i="23"/>
  <c r="E607" i="23"/>
  <c r="F607" i="23"/>
  <c r="A608" i="23"/>
  <c r="C608" i="23"/>
  <c r="E608" i="23"/>
  <c r="F608" i="23"/>
  <c r="A609" i="23"/>
  <c r="E609" i="23" s="1"/>
  <c r="C609" i="23"/>
  <c r="F609" i="23"/>
  <c r="A610" i="23"/>
  <c r="C610" i="23"/>
  <c r="E610" i="23"/>
  <c r="F610" i="23"/>
  <c r="A611" i="23"/>
  <c r="E611" i="23" s="1"/>
  <c r="C611" i="23"/>
  <c r="F611" i="23"/>
  <c r="A612" i="23"/>
  <c r="E612" i="23" s="1"/>
  <c r="C612" i="23"/>
  <c r="F612" i="23"/>
  <c r="A613" i="23"/>
  <c r="C613" i="23"/>
  <c r="E613" i="23"/>
  <c r="F613" i="23"/>
  <c r="A614" i="23"/>
  <c r="E614" i="23" s="1"/>
  <c r="C614" i="23"/>
  <c r="F614" i="23"/>
  <c r="A615" i="23"/>
  <c r="C615" i="23"/>
  <c r="E615" i="23"/>
  <c r="F615" i="23"/>
  <c r="A616" i="23"/>
  <c r="C616" i="23"/>
  <c r="E616" i="23"/>
  <c r="F616" i="23"/>
  <c r="A617" i="23"/>
  <c r="E617" i="23" s="1"/>
  <c r="C617" i="23"/>
  <c r="F617" i="23"/>
  <c r="A618" i="23"/>
  <c r="C618" i="23"/>
  <c r="E618" i="23"/>
  <c r="F618" i="23"/>
  <c r="A619" i="23"/>
  <c r="E619" i="23" s="1"/>
  <c r="C619" i="23"/>
  <c r="F619" i="23"/>
  <c r="A620" i="23"/>
  <c r="E620" i="23" s="1"/>
  <c r="C620" i="23"/>
  <c r="F620" i="23"/>
  <c r="A621" i="23"/>
  <c r="C621" i="23"/>
  <c r="E621" i="23"/>
  <c r="F621" i="23"/>
  <c r="A622" i="23"/>
  <c r="E622" i="23" s="1"/>
  <c r="C622" i="23"/>
  <c r="F622" i="23"/>
  <c r="A623" i="23"/>
  <c r="C623" i="23"/>
  <c r="E623" i="23"/>
  <c r="F623" i="23"/>
  <c r="A624" i="23"/>
  <c r="C624" i="23"/>
  <c r="E624" i="23"/>
  <c r="F624" i="23"/>
  <c r="F573" i="23"/>
  <c r="A573" i="23"/>
  <c r="A522" i="23"/>
  <c r="E522" i="23" s="1"/>
  <c r="B522" i="23"/>
  <c r="C522" i="23"/>
  <c r="F522" i="23"/>
  <c r="A523" i="23"/>
  <c r="B523" i="23"/>
  <c r="C523" i="23"/>
  <c r="E523" i="23"/>
  <c r="F523" i="23"/>
  <c r="A524" i="23"/>
  <c r="E524" i="23" s="1"/>
  <c r="B524" i="23"/>
  <c r="C524" i="23"/>
  <c r="F524" i="23"/>
  <c r="A525" i="23"/>
  <c r="E525" i="23" s="1"/>
  <c r="B525" i="23"/>
  <c r="C525" i="23"/>
  <c r="F525" i="23"/>
  <c r="A526" i="23"/>
  <c r="B526" i="23"/>
  <c r="C526" i="23"/>
  <c r="E526" i="23"/>
  <c r="F526" i="23"/>
  <c r="A527" i="23"/>
  <c r="B527" i="23"/>
  <c r="C527" i="23"/>
  <c r="E527" i="23"/>
  <c r="F527" i="23"/>
  <c r="A528" i="23"/>
  <c r="E528" i="23" s="1"/>
  <c r="B528" i="23"/>
  <c r="C528" i="23"/>
  <c r="F528" i="23"/>
  <c r="A529" i="23"/>
  <c r="B529" i="23"/>
  <c r="C529" i="23"/>
  <c r="E529" i="23"/>
  <c r="F529" i="23"/>
  <c r="A530" i="23"/>
  <c r="E530" i="23" s="1"/>
  <c r="B530" i="23"/>
  <c r="C530" i="23"/>
  <c r="F530" i="23"/>
  <c r="A531" i="23"/>
  <c r="B531" i="23"/>
  <c r="C531" i="23"/>
  <c r="E531" i="23"/>
  <c r="F531" i="23"/>
  <c r="A532" i="23"/>
  <c r="B532" i="23"/>
  <c r="C532" i="23"/>
  <c r="E532" i="23"/>
  <c r="F532" i="23"/>
  <c r="A533" i="23"/>
  <c r="E533" i="23" s="1"/>
  <c r="B533" i="23"/>
  <c r="C533" i="23"/>
  <c r="F533" i="23"/>
  <c r="A534" i="23"/>
  <c r="B534" i="23"/>
  <c r="C534" i="23"/>
  <c r="E534" i="23"/>
  <c r="F534" i="23"/>
  <c r="A535" i="23"/>
  <c r="B535" i="23"/>
  <c r="C535" i="23"/>
  <c r="E535" i="23"/>
  <c r="F535" i="23"/>
  <c r="A536" i="23"/>
  <c r="E536" i="23" s="1"/>
  <c r="B536" i="23"/>
  <c r="C536" i="23"/>
  <c r="F536" i="23"/>
  <c r="A537" i="23"/>
  <c r="B537" i="23"/>
  <c r="C537" i="23"/>
  <c r="E537" i="23"/>
  <c r="F537" i="23"/>
  <c r="A538" i="23"/>
  <c r="E538" i="23" s="1"/>
  <c r="B538" i="23"/>
  <c r="C538" i="23"/>
  <c r="F538" i="23"/>
  <c r="A539" i="23"/>
  <c r="B539" i="23"/>
  <c r="C539" i="23"/>
  <c r="E539" i="23"/>
  <c r="F539" i="23"/>
  <c r="A540" i="23"/>
  <c r="B540" i="23"/>
  <c r="C540" i="23"/>
  <c r="E540" i="23"/>
  <c r="F540" i="23"/>
  <c r="A541" i="23"/>
  <c r="E541" i="23" s="1"/>
  <c r="B541" i="23"/>
  <c r="C541" i="23"/>
  <c r="F541" i="23"/>
  <c r="A542" i="23"/>
  <c r="B542" i="23"/>
  <c r="C542" i="23"/>
  <c r="E542" i="23"/>
  <c r="F542" i="23"/>
  <c r="A543" i="23"/>
  <c r="B543" i="23"/>
  <c r="C543" i="23"/>
  <c r="E543" i="23"/>
  <c r="F543" i="23"/>
  <c r="A544" i="23"/>
  <c r="E544" i="23" s="1"/>
  <c r="B544" i="23"/>
  <c r="C544" i="23"/>
  <c r="F544" i="23"/>
  <c r="A545" i="23"/>
  <c r="B545" i="23"/>
  <c r="C545" i="23"/>
  <c r="E545" i="23"/>
  <c r="F545" i="23"/>
  <c r="A546" i="23"/>
  <c r="E546" i="23" s="1"/>
  <c r="B546" i="23"/>
  <c r="C546" i="23"/>
  <c r="F546" i="23"/>
  <c r="A547" i="23"/>
  <c r="B547" i="23"/>
  <c r="C547" i="23"/>
  <c r="E547" i="23"/>
  <c r="F547" i="23"/>
  <c r="A548" i="23"/>
  <c r="B548" i="23"/>
  <c r="C548" i="23"/>
  <c r="E548" i="23"/>
  <c r="F548" i="23"/>
  <c r="A549" i="23"/>
  <c r="E549" i="23" s="1"/>
  <c r="B549" i="23"/>
  <c r="C549" i="23"/>
  <c r="F549" i="23"/>
  <c r="A550" i="23"/>
  <c r="B550" i="23"/>
  <c r="C550" i="23"/>
  <c r="E550" i="23"/>
  <c r="F550" i="23"/>
  <c r="A551" i="23"/>
  <c r="B551" i="23"/>
  <c r="C551" i="23"/>
  <c r="E551" i="23"/>
  <c r="F551" i="23"/>
  <c r="A552" i="23"/>
  <c r="E552" i="23" s="1"/>
  <c r="B552" i="23"/>
  <c r="C552" i="23"/>
  <c r="F552" i="23"/>
  <c r="A553" i="23"/>
  <c r="B553" i="23"/>
  <c r="C553" i="23"/>
  <c r="E553" i="23"/>
  <c r="F553" i="23"/>
  <c r="A554" i="23"/>
  <c r="E554" i="23" s="1"/>
  <c r="B554" i="23"/>
  <c r="C554" i="23"/>
  <c r="F554" i="23"/>
  <c r="A555" i="23"/>
  <c r="B555" i="23"/>
  <c r="C555" i="23"/>
  <c r="E555" i="23"/>
  <c r="F555" i="23"/>
  <c r="A556" i="23"/>
  <c r="B556" i="23"/>
  <c r="C556" i="23"/>
  <c r="E556" i="23"/>
  <c r="F556" i="23"/>
  <c r="A557" i="23"/>
  <c r="E557" i="23" s="1"/>
  <c r="B557" i="23"/>
  <c r="C557" i="23"/>
  <c r="F557" i="23"/>
  <c r="A558" i="23"/>
  <c r="B558" i="23"/>
  <c r="C558" i="23"/>
  <c r="E558" i="23"/>
  <c r="F558" i="23"/>
  <c r="A559" i="23"/>
  <c r="B559" i="23"/>
  <c r="C559" i="23"/>
  <c r="E559" i="23"/>
  <c r="F559" i="23"/>
  <c r="A560" i="23"/>
  <c r="E560" i="23" s="1"/>
  <c r="B560" i="23"/>
  <c r="C560" i="23"/>
  <c r="F560" i="23"/>
  <c r="A561" i="23"/>
  <c r="B561" i="23"/>
  <c r="C561" i="23"/>
  <c r="E561" i="23"/>
  <c r="F561" i="23"/>
  <c r="A562" i="23"/>
  <c r="E562" i="23" s="1"/>
  <c r="B562" i="23"/>
  <c r="C562" i="23"/>
  <c r="F562" i="23"/>
  <c r="A563" i="23"/>
  <c r="B563" i="23"/>
  <c r="C563" i="23"/>
  <c r="E563" i="23"/>
  <c r="F563" i="23"/>
  <c r="A564" i="23"/>
  <c r="B564" i="23"/>
  <c r="C564" i="23"/>
  <c r="E564" i="23"/>
  <c r="F564" i="23"/>
  <c r="A565" i="23"/>
  <c r="E565" i="23" s="1"/>
  <c r="B565" i="23"/>
  <c r="C565" i="23"/>
  <c r="F565" i="23"/>
  <c r="A566" i="23"/>
  <c r="B566" i="23"/>
  <c r="C566" i="23"/>
  <c r="E566" i="23"/>
  <c r="F566" i="23"/>
  <c r="A567" i="23"/>
  <c r="B567" i="23"/>
  <c r="C567" i="23"/>
  <c r="E567" i="23"/>
  <c r="F567" i="23"/>
  <c r="A568" i="23"/>
  <c r="E568" i="23" s="1"/>
  <c r="B568" i="23"/>
  <c r="C568" i="23"/>
  <c r="F568" i="23"/>
  <c r="A569" i="23"/>
  <c r="B569" i="23"/>
  <c r="C569" i="23"/>
  <c r="E569" i="23"/>
  <c r="F569" i="23"/>
  <c r="A570" i="23"/>
  <c r="E570" i="23" s="1"/>
  <c r="B570" i="23"/>
  <c r="C570" i="23"/>
  <c r="F570" i="23"/>
  <c r="A571" i="23"/>
  <c r="B571" i="23"/>
  <c r="C571" i="23"/>
  <c r="E571" i="23"/>
  <c r="F571" i="23"/>
  <c r="A572" i="23"/>
  <c r="B572" i="23"/>
  <c r="C572" i="23"/>
  <c r="E572" i="23"/>
  <c r="F572" i="23"/>
  <c r="B521" i="23"/>
  <c r="F521" i="23"/>
  <c r="A521" i="23"/>
  <c r="E521" i="23"/>
  <c r="F1144" i="23"/>
  <c r="C1144" i="23"/>
  <c r="B1144" i="23"/>
  <c r="A1144" i="23"/>
  <c r="E1144" i="23" s="1"/>
  <c r="F1143" i="23"/>
  <c r="E1143" i="23"/>
  <c r="C1143" i="23"/>
  <c r="B1143" i="23"/>
  <c r="A1143" i="23"/>
  <c r="F1142" i="23"/>
  <c r="C1142" i="23"/>
  <c r="B1142" i="23"/>
  <c r="A1142" i="23"/>
  <c r="E1142" i="23" s="1"/>
  <c r="F1141" i="23"/>
  <c r="E1141" i="23"/>
  <c r="C1141" i="23"/>
  <c r="B1141" i="23"/>
  <c r="A1141" i="23"/>
  <c r="F1140" i="23"/>
  <c r="C1140" i="23"/>
  <c r="B1140" i="23"/>
  <c r="A1140" i="23"/>
  <c r="E1140" i="23" s="1"/>
  <c r="F1139" i="23"/>
  <c r="E1139" i="23"/>
  <c r="C1139" i="23"/>
  <c r="B1139" i="23"/>
  <c r="A1139" i="23"/>
  <c r="F1138" i="23"/>
  <c r="E1138" i="23"/>
  <c r="C1138" i="23"/>
  <c r="B1138" i="23"/>
  <c r="A1138" i="23"/>
  <c r="F1137" i="23"/>
  <c r="C1137" i="23"/>
  <c r="B1137" i="23"/>
  <c r="A1137" i="23"/>
  <c r="E1137" i="23" s="1"/>
  <c r="F1136" i="23"/>
  <c r="C1136" i="23"/>
  <c r="B1136" i="23"/>
  <c r="A1136" i="23"/>
  <c r="E1136" i="23" s="1"/>
  <c r="F1135" i="23"/>
  <c r="E1135" i="23"/>
  <c r="C1135" i="23"/>
  <c r="B1135" i="23"/>
  <c r="A1135" i="23"/>
  <c r="F1134" i="23"/>
  <c r="C1134" i="23"/>
  <c r="B1134" i="23"/>
  <c r="A1134" i="23"/>
  <c r="E1134" i="23" s="1"/>
  <c r="F1133" i="23"/>
  <c r="E1133" i="23"/>
  <c r="C1133" i="23"/>
  <c r="B1133" i="23"/>
  <c r="A1133" i="23"/>
  <c r="F1132" i="23"/>
  <c r="C1132" i="23"/>
  <c r="B1132" i="23"/>
  <c r="A1132" i="23"/>
  <c r="E1132" i="23" s="1"/>
  <c r="F1131" i="23"/>
  <c r="E1131" i="23"/>
  <c r="C1131" i="23"/>
  <c r="B1131" i="23"/>
  <c r="A1131" i="23"/>
  <c r="F1130" i="23"/>
  <c r="E1130" i="23"/>
  <c r="C1130" i="23"/>
  <c r="B1130" i="23"/>
  <c r="A1130" i="23"/>
  <c r="F1129" i="23"/>
  <c r="C1129" i="23"/>
  <c r="B1129" i="23"/>
  <c r="A1129" i="23"/>
  <c r="E1129" i="23" s="1"/>
  <c r="F1128" i="23"/>
  <c r="C1128" i="23"/>
  <c r="B1128" i="23"/>
  <c r="A1128" i="23"/>
  <c r="E1128" i="23" s="1"/>
  <c r="F1127" i="23"/>
  <c r="E1127" i="23"/>
  <c r="C1127" i="23"/>
  <c r="B1127" i="23"/>
  <c r="A1127" i="23"/>
  <c r="F1126" i="23"/>
  <c r="C1126" i="23"/>
  <c r="B1126" i="23"/>
  <c r="A1126" i="23"/>
  <c r="E1126" i="23" s="1"/>
  <c r="F1125" i="23"/>
  <c r="E1125" i="23"/>
  <c r="C1125" i="23"/>
  <c r="B1125" i="23"/>
  <c r="A1125" i="23"/>
  <c r="F1124" i="23"/>
  <c r="C1124" i="23"/>
  <c r="B1124" i="23"/>
  <c r="A1124" i="23"/>
  <c r="E1124" i="23" s="1"/>
  <c r="F1123" i="23"/>
  <c r="E1123" i="23"/>
  <c r="C1123" i="23"/>
  <c r="B1123" i="23"/>
  <c r="A1123" i="23"/>
  <c r="F1122" i="23"/>
  <c r="E1122" i="23"/>
  <c r="C1122" i="23"/>
  <c r="B1122" i="23"/>
  <c r="A1122" i="23"/>
  <c r="F1121" i="23"/>
  <c r="C1121" i="23"/>
  <c r="B1121" i="23"/>
  <c r="A1121" i="23"/>
  <c r="E1121" i="23" s="1"/>
  <c r="F1120" i="23"/>
  <c r="C1120" i="23"/>
  <c r="B1120" i="23"/>
  <c r="A1120" i="23"/>
  <c r="E1120" i="23" s="1"/>
  <c r="F1119" i="23"/>
  <c r="E1119" i="23"/>
  <c r="C1119" i="23"/>
  <c r="B1119" i="23"/>
  <c r="A1119" i="23"/>
  <c r="F1118" i="23"/>
  <c r="C1118" i="23"/>
  <c r="B1118" i="23"/>
  <c r="A1118" i="23"/>
  <c r="E1118" i="23" s="1"/>
  <c r="F1117" i="23"/>
  <c r="E1117" i="23"/>
  <c r="C1117" i="23"/>
  <c r="B1117" i="23"/>
  <c r="A1117" i="23"/>
  <c r="F1116" i="23"/>
  <c r="C1116" i="23"/>
  <c r="B1116" i="23"/>
  <c r="A1116" i="23"/>
  <c r="E1116" i="23" s="1"/>
  <c r="F1115" i="23"/>
  <c r="E1115" i="23"/>
  <c r="C1115" i="23"/>
  <c r="B1115" i="23"/>
  <c r="A1115" i="23"/>
  <c r="F1114" i="23"/>
  <c r="E1114" i="23"/>
  <c r="C1114" i="23"/>
  <c r="B1114" i="23"/>
  <c r="A1114" i="23"/>
  <c r="F1113" i="23"/>
  <c r="C1113" i="23"/>
  <c r="B1113" i="23"/>
  <c r="A1113" i="23"/>
  <c r="E1113" i="23" s="1"/>
  <c r="F1112" i="23"/>
  <c r="C1112" i="23"/>
  <c r="B1112" i="23"/>
  <c r="A1112" i="23"/>
  <c r="E1112" i="23" s="1"/>
  <c r="F1111" i="23"/>
  <c r="E1111" i="23"/>
  <c r="C1111" i="23"/>
  <c r="B1111" i="23"/>
  <c r="A1111" i="23"/>
  <c r="F1110" i="23"/>
  <c r="C1110" i="23"/>
  <c r="B1110" i="23"/>
  <c r="A1110" i="23"/>
  <c r="E1110" i="23" s="1"/>
  <c r="F1109" i="23"/>
  <c r="E1109" i="23"/>
  <c r="C1109" i="23"/>
  <c r="B1109" i="23"/>
  <c r="A1109" i="23"/>
  <c r="F1108" i="23"/>
  <c r="C1108" i="23"/>
  <c r="B1108" i="23"/>
  <c r="A1108" i="23"/>
  <c r="E1108" i="23" s="1"/>
  <c r="F1107" i="23"/>
  <c r="E1107" i="23"/>
  <c r="C1107" i="23"/>
  <c r="B1107" i="23"/>
  <c r="A1107" i="23"/>
  <c r="F1106" i="23"/>
  <c r="E1106" i="23"/>
  <c r="C1106" i="23"/>
  <c r="B1106" i="23"/>
  <c r="A1106" i="23"/>
  <c r="F1105" i="23"/>
  <c r="C1105" i="23"/>
  <c r="B1105" i="23"/>
  <c r="A1105" i="23"/>
  <c r="E1105" i="23" s="1"/>
  <c r="F1104" i="23"/>
  <c r="C1104" i="23"/>
  <c r="B1104" i="23"/>
  <c r="A1104" i="23"/>
  <c r="E1104" i="23" s="1"/>
  <c r="F1103" i="23"/>
  <c r="E1103" i="23"/>
  <c r="C1103" i="23"/>
  <c r="B1103" i="23"/>
  <c r="A1103" i="23"/>
  <c r="F1102" i="23"/>
  <c r="C1102" i="23"/>
  <c r="B1102" i="23"/>
  <c r="A1102" i="23"/>
  <c r="E1102" i="23" s="1"/>
  <c r="F1101" i="23"/>
  <c r="E1101" i="23"/>
  <c r="C1101" i="23"/>
  <c r="B1101" i="23"/>
  <c r="A1101" i="23"/>
  <c r="F1100" i="23"/>
  <c r="C1100" i="23"/>
  <c r="B1100" i="23"/>
  <c r="A1100" i="23"/>
  <c r="E1100" i="23" s="1"/>
  <c r="F1099" i="23"/>
  <c r="E1099" i="23"/>
  <c r="C1099" i="23"/>
  <c r="B1099" i="23"/>
  <c r="A1099" i="23"/>
  <c r="F1098" i="23"/>
  <c r="E1098" i="23"/>
  <c r="C1098" i="23"/>
  <c r="B1098" i="23"/>
  <c r="A1098" i="23"/>
  <c r="F1097" i="23"/>
  <c r="C1097" i="23"/>
  <c r="B1097" i="23"/>
  <c r="A1097" i="23"/>
  <c r="E1097" i="23" s="1"/>
  <c r="F1096" i="23"/>
  <c r="C1096" i="23"/>
  <c r="B1096" i="23"/>
  <c r="A1096" i="23"/>
  <c r="E1096" i="23" s="1"/>
  <c r="F1095" i="23"/>
  <c r="E1095" i="23"/>
  <c r="C1095" i="23"/>
  <c r="B1095" i="23"/>
  <c r="A1095" i="23"/>
  <c r="F1094" i="23"/>
  <c r="C1094" i="23"/>
  <c r="B1094" i="23"/>
  <c r="A1094" i="23"/>
  <c r="E1094" i="23" s="1"/>
  <c r="F1093" i="23"/>
  <c r="E1093" i="23"/>
  <c r="C1093" i="23"/>
  <c r="B1093" i="23"/>
  <c r="A1093" i="23"/>
  <c r="F1092" i="23"/>
  <c r="C1092" i="23"/>
  <c r="B1092" i="23"/>
  <c r="A1092" i="23"/>
  <c r="E1092" i="23" s="1"/>
  <c r="F1091" i="23"/>
  <c r="E1091" i="23"/>
  <c r="C1091" i="23"/>
  <c r="B1091" i="23"/>
  <c r="A1091" i="23"/>
  <c r="F1090" i="23"/>
  <c r="E1090" i="23"/>
  <c r="C1090" i="23"/>
  <c r="B1090" i="23"/>
  <c r="A1090" i="23"/>
  <c r="F1089" i="23"/>
  <c r="C1089" i="23"/>
  <c r="B1089" i="23"/>
  <c r="A1089" i="23"/>
  <c r="E1089" i="23" s="1"/>
  <c r="F1088" i="23"/>
  <c r="C1088" i="23"/>
  <c r="B1088" i="23"/>
  <c r="A1088" i="23"/>
  <c r="E1088" i="23" s="1"/>
  <c r="F1087" i="23"/>
  <c r="E1087" i="23"/>
  <c r="C1087" i="23"/>
  <c r="B1087" i="23"/>
  <c r="A1087" i="23"/>
  <c r="F1086" i="23"/>
  <c r="C1086" i="23"/>
  <c r="B1086" i="23"/>
  <c r="A1086" i="23"/>
  <c r="E1086" i="23" s="1"/>
  <c r="F1085" i="23"/>
  <c r="E1085" i="23"/>
  <c r="C1085" i="23"/>
  <c r="B1085" i="23"/>
  <c r="A1085" i="23"/>
  <c r="F1084" i="23"/>
  <c r="C1084" i="23"/>
  <c r="B1084" i="23"/>
  <c r="A1084" i="23"/>
  <c r="E1084" i="23" s="1"/>
  <c r="F1083" i="23"/>
  <c r="E1083" i="23"/>
  <c r="C1083" i="23"/>
  <c r="B1083" i="23"/>
  <c r="A1083" i="23"/>
  <c r="F1082" i="23"/>
  <c r="E1082" i="23"/>
  <c r="C1082" i="23"/>
  <c r="B1082" i="23"/>
  <c r="A1082" i="23"/>
  <c r="F1081" i="23"/>
  <c r="C1081" i="23"/>
  <c r="B1081" i="23"/>
  <c r="A1081" i="23"/>
  <c r="E1081" i="23" s="1"/>
  <c r="F1080" i="23"/>
  <c r="C1080" i="23"/>
  <c r="B1080" i="23"/>
  <c r="A1080" i="23"/>
  <c r="E1080" i="23" s="1"/>
  <c r="F1079" i="23"/>
  <c r="E1079" i="23"/>
  <c r="C1079" i="23"/>
  <c r="B1079" i="23"/>
  <c r="A1079" i="23"/>
  <c r="F1078" i="23"/>
  <c r="C1078" i="23"/>
  <c r="B1078" i="23"/>
  <c r="A1078" i="23"/>
  <c r="E1078" i="23" s="1"/>
  <c r="F1077" i="23"/>
  <c r="E1077" i="23"/>
  <c r="C1077" i="23"/>
  <c r="B1077" i="23"/>
  <c r="A1077" i="23"/>
  <c r="F1076" i="23"/>
  <c r="C1076" i="23"/>
  <c r="B1076" i="23"/>
  <c r="A1076" i="23"/>
  <c r="E1076" i="23" s="1"/>
  <c r="F1075" i="23"/>
  <c r="E1075" i="23"/>
  <c r="C1075" i="23"/>
  <c r="B1075" i="23"/>
  <c r="A1075" i="23"/>
  <c r="F1074" i="23"/>
  <c r="E1074" i="23"/>
  <c r="C1074" i="23"/>
  <c r="B1074" i="23"/>
  <c r="A1074" i="23"/>
  <c r="F1073" i="23"/>
  <c r="C1073" i="23"/>
  <c r="B1073" i="23"/>
  <c r="A1073" i="23"/>
  <c r="E1073" i="23" s="1"/>
  <c r="F1072" i="23"/>
  <c r="C1072" i="23"/>
  <c r="B1072" i="23"/>
  <c r="A1072" i="23"/>
  <c r="E1072" i="23" s="1"/>
  <c r="F1071" i="23"/>
  <c r="E1071" i="23"/>
  <c r="C1071" i="23"/>
  <c r="B1071" i="23"/>
  <c r="A1071" i="23"/>
  <c r="F1070" i="23"/>
  <c r="C1070" i="23"/>
  <c r="B1070" i="23"/>
  <c r="A1070" i="23"/>
  <c r="E1070" i="23" s="1"/>
  <c r="F1069" i="23"/>
  <c r="E1069" i="23"/>
  <c r="C1069" i="23"/>
  <c r="B1069" i="23"/>
  <c r="A1069" i="23"/>
  <c r="F1068" i="23"/>
  <c r="C1068" i="23"/>
  <c r="B1068" i="23"/>
  <c r="A1068" i="23"/>
  <c r="E1068" i="23" s="1"/>
  <c r="F1067" i="23"/>
  <c r="E1067" i="23"/>
  <c r="C1067" i="23"/>
  <c r="B1067" i="23"/>
  <c r="A1067" i="23"/>
  <c r="F1066" i="23"/>
  <c r="E1066" i="23"/>
  <c r="C1066" i="23"/>
  <c r="B1066" i="23"/>
  <c r="A1066" i="23"/>
  <c r="F1065" i="23"/>
  <c r="C1065" i="23"/>
  <c r="B1065" i="23"/>
  <c r="A1065" i="23"/>
  <c r="E1065" i="23" s="1"/>
  <c r="F1064" i="23"/>
  <c r="C1064" i="23"/>
  <c r="B1064" i="23"/>
  <c r="A1064" i="23"/>
  <c r="E1064" i="23" s="1"/>
  <c r="F1063" i="23"/>
  <c r="E1063" i="23"/>
  <c r="C1063" i="23"/>
  <c r="B1063" i="23"/>
  <c r="A1063" i="23"/>
  <c r="F1062" i="23"/>
  <c r="C1062" i="23"/>
  <c r="B1062" i="23"/>
  <c r="A1062" i="23"/>
  <c r="E1062" i="23" s="1"/>
  <c r="F1061" i="23"/>
  <c r="E1061" i="23"/>
  <c r="C1061" i="23"/>
  <c r="B1061" i="23"/>
  <c r="A1061" i="23"/>
  <c r="F1060" i="23"/>
  <c r="C1060" i="23"/>
  <c r="B1060" i="23"/>
  <c r="A1060" i="23"/>
  <c r="E1060" i="23" s="1"/>
  <c r="F1059" i="23"/>
  <c r="E1059" i="23"/>
  <c r="C1059" i="23"/>
  <c r="B1059" i="23"/>
  <c r="A1059" i="23"/>
  <c r="F1058" i="23"/>
  <c r="E1058" i="23"/>
  <c r="C1058" i="23"/>
  <c r="B1058" i="23"/>
  <c r="A1058" i="23"/>
  <c r="F1057" i="23"/>
  <c r="C1057" i="23"/>
  <c r="B1057" i="23"/>
  <c r="A1057" i="23"/>
  <c r="E1057" i="23" s="1"/>
  <c r="F1056" i="23"/>
  <c r="C1056" i="23"/>
  <c r="B1056" i="23"/>
  <c r="A1056" i="23"/>
  <c r="E1056" i="23" s="1"/>
  <c r="F1055" i="23"/>
  <c r="E1055" i="23"/>
  <c r="C1055" i="23"/>
  <c r="B1055" i="23"/>
  <c r="A1055" i="23"/>
  <c r="F1054" i="23"/>
  <c r="C1054" i="23"/>
  <c r="B1054" i="23"/>
  <c r="A1054" i="23"/>
  <c r="E1054" i="23" s="1"/>
  <c r="F1053" i="23"/>
  <c r="E1053" i="23"/>
  <c r="C1053" i="23"/>
  <c r="B1053" i="23"/>
  <c r="A1053" i="23"/>
  <c r="F1052" i="23"/>
  <c r="C1052" i="23"/>
  <c r="B1052" i="23"/>
  <c r="A1052" i="23"/>
  <c r="E1052" i="23" s="1"/>
  <c r="F1051" i="23"/>
  <c r="E1051" i="23"/>
  <c r="C1051" i="23"/>
  <c r="B1051" i="23"/>
  <c r="A1051" i="23"/>
  <c r="F1050" i="23"/>
  <c r="E1050" i="23"/>
  <c r="C1050" i="23"/>
  <c r="B1050" i="23"/>
  <c r="A1050" i="23"/>
  <c r="F1049" i="23"/>
  <c r="C1049" i="23"/>
  <c r="B1049" i="23"/>
  <c r="A1049" i="23"/>
  <c r="E1049" i="23" s="1"/>
  <c r="F1048" i="23"/>
  <c r="C1048" i="23"/>
  <c r="B1048" i="23"/>
  <c r="A1048" i="23"/>
  <c r="E1048" i="23" s="1"/>
  <c r="F1047" i="23"/>
  <c r="E1047" i="23"/>
  <c r="C1047" i="23"/>
  <c r="B1047" i="23"/>
  <c r="A1047" i="23"/>
  <c r="F1046" i="23"/>
  <c r="C1046" i="23"/>
  <c r="B1046" i="23"/>
  <c r="A1046" i="23"/>
  <c r="E1046" i="23" s="1"/>
  <c r="F1045" i="23"/>
  <c r="E1045" i="23"/>
  <c r="C1045" i="23"/>
  <c r="B1045" i="23"/>
  <c r="A1045" i="23"/>
  <c r="F1044" i="23"/>
  <c r="C1044" i="23"/>
  <c r="B1044" i="23"/>
  <c r="A1044" i="23"/>
  <c r="E1044" i="23" s="1"/>
  <c r="F1043" i="23"/>
  <c r="E1043" i="23"/>
  <c r="C1043" i="23"/>
  <c r="B1043" i="23"/>
  <c r="A1043" i="23"/>
  <c r="F1042" i="23"/>
  <c r="E1042" i="23"/>
  <c r="C1042" i="23"/>
  <c r="B1042" i="23"/>
  <c r="A1042" i="23"/>
  <c r="F1041" i="23"/>
  <c r="C1041" i="23"/>
  <c r="B1041" i="23"/>
  <c r="A1041" i="23"/>
  <c r="E1041" i="23" s="1"/>
  <c r="F1040" i="23"/>
  <c r="E1040" i="23"/>
  <c r="C1040" i="23"/>
  <c r="B1040" i="23"/>
  <c r="A1040" i="23"/>
  <c r="F1039" i="23"/>
  <c r="E1039" i="23"/>
  <c r="C1039" i="23"/>
  <c r="B1039" i="23"/>
  <c r="A1039" i="23"/>
  <c r="F1038" i="23"/>
  <c r="E1038" i="23"/>
  <c r="C1038" i="23"/>
  <c r="B1038" i="23"/>
  <c r="A1038" i="23"/>
  <c r="F1037" i="23"/>
  <c r="E1037" i="23"/>
  <c r="C1037" i="23"/>
  <c r="B1037" i="23"/>
  <c r="A1037" i="23"/>
  <c r="F1036" i="23"/>
  <c r="E1036" i="23"/>
  <c r="C1036" i="23"/>
  <c r="B1036" i="23"/>
  <c r="A1036" i="23"/>
  <c r="F1035" i="23"/>
  <c r="E1035" i="23"/>
  <c r="C1035" i="23"/>
  <c r="B1035" i="23"/>
  <c r="A1035" i="23"/>
  <c r="F1034" i="23"/>
  <c r="E1034" i="23"/>
  <c r="C1034" i="23"/>
  <c r="B1034" i="23"/>
  <c r="A1034" i="23"/>
  <c r="F1033" i="23"/>
  <c r="E1033" i="23"/>
  <c r="C1033" i="23"/>
  <c r="B1033" i="23"/>
  <c r="A1033" i="23"/>
  <c r="F1032" i="23"/>
  <c r="E1032" i="23"/>
  <c r="C1032" i="23"/>
  <c r="B1032" i="23"/>
  <c r="A1032" i="23"/>
  <c r="F1031" i="23"/>
  <c r="E1031" i="23"/>
  <c r="C1031" i="23"/>
  <c r="B1031" i="23"/>
  <c r="A1031" i="23"/>
  <c r="F1030" i="23"/>
  <c r="E1030" i="23"/>
  <c r="C1030" i="23"/>
  <c r="B1030" i="23"/>
  <c r="A1030" i="23"/>
  <c r="F1029" i="23"/>
  <c r="E1029" i="23"/>
  <c r="C1029" i="23"/>
  <c r="B1029" i="23"/>
  <c r="A1029" i="23"/>
  <c r="F1028" i="23"/>
  <c r="E1028" i="23"/>
  <c r="C1028" i="23"/>
  <c r="B1028" i="23"/>
  <c r="A1028" i="23"/>
  <c r="F1027" i="23"/>
  <c r="E1027" i="23"/>
  <c r="C1027" i="23"/>
  <c r="B1027" i="23"/>
  <c r="A1027" i="23"/>
  <c r="F1026" i="23"/>
  <c r="E1026" i="23"/>
  <c r="C1026" i="23"/>
  <c r="B1026" i="23"/>
  <c r="A1026" i="23"/>
  <c r="F1025" i="23"/>
  <c r="E1025" i="23"/>
  <c r="C1025" i="23"/>
  <c r="B1025" i="23"/>
  <c r="A1025" i="23"/>
  <c r="F1024" i="23"/>
  <c r="E1024" i="23"/>
  <c r="C1024" i="23"/>
  <c r="B1024" i="23"/>
  <c r="A1024" i="23"/>
  <c r="F1023" i="23"/>
  <c r="E1023" i="23"/>
  <c r="C1023" i="23"/>
  <c r="B1023" i="23"/>
  <c r="A1023" i="23"/>
  <c r="F1022" i="23"/>
  <c r="E1022" i="23"/>
  <c r="C1022" i="23"/>
  <c r="B1022" i="23"/>
  <c r="A1022" i="23"/>
  <c r="F1021" i="23"/>
  <c r="E1021" i="23"/>
  <c r="C1021" i="23"/>
  <c r="B1021" i="23"/>
  <c r="A1021" i="23"/>
  <c r="F1020" i="23"/>
  <c r="E1020" i="23"/>
  <c r="C1020" i="23"/>
  <c r="B1020" i="23"/>
  <c r="A1020" i="23"/>
  <c r="F1019" i="23"/>
  <c r="E1019" i="23"/>
  <c r="C1019" i="23"/>
  <c r="B1019" i="23"/>
  <c r="A1019" i="23"/>
  <c r="F1018" i="23"/>
  <c r="E1018" i="23"/>
  <c r="C1018" i="23"/>
  <c r="B1018" i="23"/>
  <c r="A1018" i="23"/>
  <c r="F1017" i="23"/>
  <c r="E1017" i="23"/>
  <c r="C1017" i="23"/>
  <c r="B1017" i="23"/>
  <c r="A1017" i="23"/>
  <c r="F1016" i="23"/>
  <c r="E1016" i="23"/>
  <c r="C1016" i="23"/>
  <c r="B1016" i="23"/>
  <c r="A1016" i="23"/>
  <c r="F1015" i="23"/>
  <c r="E1015" i="23"/>
  <c r="C1015" i="23"/>
  <c r="B1015" i="23"/>
  <c r="A1015" i="23"/>
  <c r="F1014" i="23"/>
  <c r="E1014" i="23"/>
  <c r="C1014" i="23"/>
  <c r="B1014" i="23"/>
  <c r="A1014" i="23"/>
  <c r="F1013" i="23"/>
  <c r="E1013" i="23"/>
  <c r="C1013" i="23"/>
  <c r="B1013" i="23"/>
  <c r="A1013" i="23"/>
  <c r="F1012" i="23"/>
  <c r="E1012" i="23"/>
  <c r="C1012" i="23"/>
  <c r="B1012" i="23"/>
  <c r="A1012" i="23"/>
  <c r="F1011" i="23"/>
  <c r="E1011" i="23"/>
  <c r="C1011" i="23"/>
  <c r="B1011" i="23"/>
  <c r="A1011" i="23"/>
  <c r="F1010" i="23"/>
  <c r="E1010" i="23"/>
  <c r="C1010" i="23"/>
  <c r="B1010" i="23"/>
  <c r="A1010" i="23"/>
  <c r="F1009" i="23"/>
  <c r="E1009" i="23"/>
  <c r="C1009" i="23"/>
  <c r="B1009" i="23"/>
  <c r="A1009" i="23"/>
  <c r="F1008" i="23"/>
  <c r="E1008" i="23"/>
  <c r="C1008" i="23"/>
  <c r="B1008" i="23"/>
  <c r="A1008" i="23"/>
  <c r="F1007" i="23"/>
  <c r="E1007" i="23"/>
  <c r="C1007" i="23"/>
  <c r="B1007" i="23"/>
  <c r="A1007" i="23"/>
  <c r="F1006" i="23"/>
  <c r="E1006" i="23"/>
  <c r="C1006" i="23"/>
  <c r="B1006" i="23"/>
  <c r="A1006" i="23"/>
  <c r="F1005" i="23"/>
  <c r="E1005" i="23"/>
  <c r="C1005" i="23"/>
  <c r="B1005" i="23"/>
  <c r="A1005" i="23"/>
  <c r="F1004" i="23"/>
  <c r="E1004" i="23"/>
  <c r="C1004" i="23"/>
  <c r="B1004" i="23"/>
  <c r="A1004" i="23"/>
  <c r="F1003" i="23"/>
  <c r="E1003" i="23"/>
  <c r="C1003" i="23"/>
  <c r="B1003" i="23"/>
  <c r="A1003" i="23"/>
  <c r="F1002" i="23"/>
  <c r="E1002" i="23"/>
  <c r="C1002" i="23"/>
  <c r="B1002" i="23"/>
  <c r="A1002" i="23"/>
  <c r="F1001" i="23"/>
  <c r="E1001" i="23"/>
  <c r="C1001" i="23"/>
  <c r="B1001" i="23"/>
  <c r="A1001" i="23"/>
  <c r="F1000" i="23"/>
  <c r="E1000" i="23"/>
  <c r="C1000" i="23"/>
  <c r="B1000" i="23"/>
  <c r="A1000" i="23"/>
  <c r="F999" i="23"/>
  <c r="E999" i="23"/>
  <c r="C999" i="23"/>
  <c r="B999" i="23"/>
  <c r="A999" i="23"/>
  <c r="F998" i="23"/>
  <c r="E998" i="23"/>
  <c r="C998" i="23"/>
  <c r="B998" i="23"/>
  <c r="A998" i="23"/>
  <c r="F997" i="23"/>
  <c r="E997" i="23"/>
  <c r="C997" i="23"/>
  <c r="B997" i="23"/>
  <c r="A997" i="23"/>
  <c r="F996" i="23"/>
  <c r="E996" i="23"/>
  <c r="C996" i="23"/>
  <c r="B996" i="23"/>
  <c r="A996" i="23"/>
  <c r="F995" i="23"/>
  <c r="E995" i="23"/>
  <c r="C995" i="23"/>
  <c r="B995" i="23"/>
  <c r="A995" i="23"/>
  <c r="F994" i="23"/>
  <c r="E994" i="23"/>
  <c r="C994" i="23"/>
  <c r="B994" i="23"/>
  <c r="A994" i="23"/>
  <c r="F993" i="23"/>
  <c r="E993" i="23"/>
  <c r="C993" i="23"/>
  <c r="B993" i="23"/>
  <c r="A993" i="23"/>
  <c r="F992" i="23"/>
  <c r="E992" i="23"/>
  <c r="C992" i="23"/>
  <c r="B992" i="23"/>
  <c r="A992" i="23"/>
  <c r="F991" i="23"/>
  <c r="E991" i="23"/>
  <c r="C991" i="23"/>
  <c r="B991" i="23"/>
  <c r="A991" i="23"/>
  <c r="F990" i="23"/>
  <c r="E990" i="23"/>
  <c r="C990" i="23"/>
  <c r="B990" i="23"/>
  <c r="A990" i="23"/>
  <c r="F989" i="23"/>
  <c r="E989" i="23"/>
  <c r="C989" i="23"/>
  <c r="B989" i="23"/>
  <c r="A989" i="23"/>
  <c r="F988" i="23"/>
  <c r="E988" i="23"/>
  <c r="C988" i="23"/>
  <c r="B988" i="23"/>
  <c r="A988" i="23"/>
  <c r="F987" i="23"/>
  <c r="E987" i="23"/>
  <c r="C987" i="23"/>
  <c r="B987" i="23"/>
  <c r="A987" i="23"/>
  <c r="F986" i="23"/>
  <c r="E986" i="23"/>
  <c r="C986" i="23"/>
  <c r="B986" i="23"/>
  <c r="A986" i="23"/>
  <c r="F985" i="23"/>
  <c r="E985" i="23"/>
  <c r="C985" i="23"/>
  <c r="B985" i="23"/>
  <c r="A985" i="23"/>
  <c r="F984" i="23"/>
  <c r="E984" i="23"/>
  <c r="C984" i="23"/>
  <c r="B984" i="23"/>
  <c r="A984" i="23"/>
  <c r="F983" i="23"/>
  <c r="E983" i="23"/>
  <c r="C983" i="23"/>
  <c r="B983" i="23"/>
  <c r="A983" i="23"/>
  <c r="F982" i="23"/>
  <c r="E982" i="23"/>
  <c r="C982" i="23"/>
  <c r="B982" i="23"/>
  <c r="A982" i="23"/>
  <c r="F981" i="23"/>
  <c r="E981" i="23"/>
  <c r="C981" i="23"/>
  <c r="B981" i="23"/>
  <c r="A981" i="23"/>
  <c r="F980" i="23"/>
  <c r="E980" i="23"/>
  <c r="C980" i="23"/>
  <c r="B980" i="23"/>
  <c r="A980" i="23"/>
  <c r="F979" i="23"/>
  <c r="E979" i="23"/>
  <c r="C979" i="23"/>
  <c r="B979" i="23"/>
  <c r="A979" i="23"/>
  <c r="F978" i="23"/>
  <c r="E978" i="23"/>
  <c r="C978" i="23"/>
  <c r="B978" i="23"/>
  <c r="A978" i="23"/>
  <c r="F977" i="23"/>
  <c r="E977" i="23"/>
  <c r="C977" i="23"/>
  <c r="B977" i="23"/>
  <c r="A977" i="23"/>
  <c r="F976" i="23"/>
  <c r="E976" i="23"/>
  <c r="C976" i="23"/>
  <c r="B976" i="23"/>
  <c r="A976" i="23"/>
  <c r="F975" i="23"/>
  <c r="E975" i="23"/>
  <c r="C975" i="23"/>
  <c r="B975" i="23"/>
  <c r="A975" i="23"/>
  <c r="F974" i="23"/>
  <c r="E974" i="23"/>
  <c r="C974" i="23"/>
  <c r="B974" i="23"/>
  <c r="A974" i="23"/>
  <c r="F973" i="23"/>
  <c r="E973" i="23"/>
  <c r="C973" i="23"/>
  <c r="B973" i="23"/>
  <c r="A973" i="23"/>
  <c r="F972" i="23"/>
  <c r="E972" i="23"/>
  <c r="C972" i="23"/>
  <c r="B972" i="23"/>
  <c r="A972" i="23"/>
  <c r="F971" i="23"/>
  <c r="E971" i="23"/>
  <c r="C971" i="23"/>
  <c r="B971" i="23"/>
  <c r="A971" i="23"/>
  <c r="F970" i="23"/>
  <c r="E970" i="23"/>
  <c r="C970" i="23"/>
  <c r="B970" i="23"/>
  <c r="A970" i="23"/>
  <c r="F969" i="23"/>
  <c r="E969" i="23"/>
  <c r="C969" i="23"/>
  <c r="B969" i="23"/>
  <c r="A969" i="23"/>
  <c r="F968" i="23"/>
  <c r="E968" i="23"/>
  <c r="C968" i="23"/>
  <c r="B968" i="23"/>
  <c r="A968" i="23"/>
  <c r="F967" i="23"/>
  <c r="E967" i="23"/>
  <c r="C967" i="23"/>
  <c r="B967" i="23"/>
  <c r="A967" i="23"/>
  <c r="F966" i="23"/>
  <c r="E966" i="23"/>
  <c r="C966" i="23"/>
  <c r="B966" i="23"/>
  <c r="A966" i="23"/>
  <c r="F965" i="23"/>
  <c r="E965" i="23"/>
  <c r="C965" i="23"/>
  <c r="B965" i="23"/>
  <c r="A965" i="23"/>
  <c r="F964" i="23"/>
  <c r="E964" i="23"/>
  <c r="C964" i="23"/>
  <c r="B964" i="23"/>
  <c r="A964" i="23"/>
  <c r="F963" i="23"/>
  <c r="E963" i="23"/>
  <c r="C963" i="23"/>
  <c r="B963" i="23"/>
  <c r="A963" i="23"/>
  <c r="F962" i="23"/>
  <c r="E962" i="23"/>
  <c r="C962" i="23"/>
  <c r="B962" i="23"/>
  <c r="A962" i="23"/>
  <c r="F961" i="23"/>
  <c r="E961" i="23"/>
  <c r="C961" i="23"/>
  <c r="B961" i="23"/>
  <c r="A961" i="23"/>
  <c r="F960" i="23"/>
  <c r="E960" i="23"/>
  <c r="C960" i="23"/>
  <c r="B960" i="23"/>
  <c r="A960" i="23"/>
  <c r="F959" i="23"/>
  <c r="E959" i="23"/>
  <c r="C959" i="23"/>
  <c r="B959" i="23"/>
  <c r="A959" i="23"/>
  <c r="F958" i="23"/>
  <c r="E958" i="23"/>
  <c r="C958" i="23"/>
  <c r="B958" i="23"/>
  <c r="A958" i="23"/>
  <c r="F957" i="23"/>
  <c r="E957" i="23"/>
  <c r="C957" i="23"/>
  <c r="B957" i="23"/>
  <c r="A957" i="23"/>
  <c r="F956" i="23"/>
  <c r="E956" i="23"/>
  <c r="C956" i="23"/>
  <c r="B956" i="23"/>
  <c r="A956" i="23"/>
  <c r="F955" i="23"/>
  <c r="E955" i="23"/>
  <c r="C955" i="23"/>
  <c r="B955" i="23"/>
  <c r="A955" i="23"/>
  <c r="F954" i="23"/>
  <c r="E954" i="23"/>
  <c r="C954" i="23"/>
  <c r="B954" i="23"/>
  <c r="A954" i="23"/>
  <c r="F953" i="23"/>
  <c r="E953" i="23"/>
  <c r="C953" i="23"/>
  <c r="B953" i="23"/>
  <c r="A953" i="23"/>
  <c r="F952" i="23"/>
  <c r="E952" i="23"/>
  <c r="C952" i="23"/>
  <c r="B952" i="23"/>
  <c r="A952" i="23"/>
  <c r="F951" i="23"/>
  <c r="E951" i="23"/>
  <c r="C951" i="23"/>
  <c r="B951" i="23"/>
  <c r="A951" i="23"/>
  <c r="F950" i="23"/>
  <c r="E950" i="23"/>
  <c r="C950" i="23"/>
  <c r="B950" i="23"/>
  <c r="A950" i="23"/>
  <c r="F949" i="23"/>
  <c r="E949" i="23"/>
  <c r="C949" i="23"/>
  <c r="B949" i="23"/>
  <c r="A949" i="23"/>
  <c r="F948" i="23"/>
  <c r="E948" i="23"/>
  <c r="C948" i="23"/>
  <c r="B948" i="23"/>
  <c r="A948" i="23"/>
  <c r="F947" i="23"/>
  <c r="E947" i="23"/>
  <c r="C947" i="23"/>
  <c r="B947" i="23"/>
  <c r="A947" i="23"/>
  <c r="F946" i="23"/>
  <c r="E946" i="23"/>
  <c r="C946" i="23"/>
  <c r="B946" i="23"/>
  <c r="A946" i="23"/>
  <c r="F945" i="23"/>
  <c r="E945" i="23"/>
  <c r="C945" i="23"/>
  <c r="B945" i="23"/>
  <c r="A945" i="23"/>
  <c r="F944" i="23"/>
  <c r="E944" i="23"/>
  <c r="C944" i="23"/>
  <c r="B944" i="23"/>
  <c r="A944" i="23"/>
  <c r="F943" i="23"/>
  <c r="E943" i="23"/>
  <c r="C943" i="23"/>
  <c r="B943" i="23"/>
  <c r="A943" i="23"/>
  <c r="F942" i="23"/>
  <c r="E942" i="23"/>
  <c r="C942" i="23"/>
  <c r="B942" i="23"/>
  <c r="A942" i="23"/>
  <c r="F941" i="23"/>
  <c r="E941" i="23"/>
  <c r="C941" i="23"/>
  <c r="B941" i="23"/>
  <c r="A941" i="23"/>
  <c r="F940" i="23"/>
  <c r="E940" i="23"/>
  <c r="C940" i="23"/>
  <c r="B940" i="23"/>
  <c r="A940" i="23"/>
  <c r="F939" i="23"/>
  <c r="E939" i="23"/>
  <c r="C939" i="23"/>
  <c r="B939" i="23"/>
  <c r="A939" i="23"/>
  <c r="F938" i="23"/>
  <c r="E938" i="23"/>
  <c r="C938" i="23"/>
  <c r="B938" i="23"/>
  <c r="A938" i="23"/>
  <c r="F937" i="23"/>
  <c r="E937" i="23"/>
  <c r="C937" i="23"/>
  <c r="B937" i="23"/>
  <c r="A937" i="23"/>
  <c r="F936" i="23"/>
  <c r="E936" i="23"/>
  <c r="C936" i="23"/>
  <c r="B936" i="23"/>
  <c r="A936" i="23"/>
  <c r="F935" i="23"/>
  <c r="E935" i="23"/>
  <c r="C935" i="23"/>
  <c r="B935" i="23"/>
  <c r="A935" i="23"/>
  <c r="F934" i="23"/>
  <c r="E934" i="23"/>
  <c r="C934" i="23"/>
  <c r="B934" i="23"/>
  <c r="A934" i="23"/>
  <c r="F933" i="23"/>
  <c r="E933" i="23"/>
  <c r="C933" i="23"/>
  <c r="B933" i="23"/>
  <c r="A933" i="23"/>
  <c r="F932" i="23"/>
  <c r="E932" i="23"/>
  <c r="C932" i="23"/>
  <c r="B932" i="23"/>
  <c r="A932" i="23"/>
  <c r="F931" i="23"/>
  <c r="E931" i="23"/>
  <c r="C931" i="23"/>
  <c r="B931" i="23"/>
  <c r="A931" i="23"/>
  <c r="F930" i="23"/>
  <c r="E930" i="23"/>
  <c r="C930" i="23"/>
  <c r="B930" i="23"/>
  <c r="A930" i="23"/>
  <c r="F929" i="23"/>
  <c r="E929" i="23"/>
  <c r="C929" i="23"/>
  <c r="B929" i="23"/>
  <c r="A929" i="23"/>
  <c r="F928" i="23"/>
  <c r="E928" i="23"/>
  <c r="C928" i="23"/>
  <c r="B928" i="23"/>
  <c r="A928" i="23"/>
  <c r="F927" i="23"/>
  <c r="E927" i="23"/>
  <c r="C927" i="23"/>
  <c r="B927" i="23"/>
  <c r="A927" i="23"/>
  <c r="F926" i="23"/>
  <c r="E926" i="23"/>
  <c r="C926" i="23"/>
  <c r="B926" i="23"/>
  <c r="A926" i="23"/>
  <c r="F925" i="23"/>
  <c r="E925" i="23"/>
  <c r="C925" i="23"/>
  <c r="B925" i="23"/>
  <c r="A925" i="23"/>
  <c r="F924" i="23"/>
  <c r="E924" i="23"/>
  <c r="C924" i="23"/>
  <c r="B924" i="23"/>
  <c r="A924" i="23"/>
  <c r="F923" i="23"/>
  <c r="E923" i="23"/>
  <c r="C923" i="23"/>
  <c r="B923" i="23"/>
  <c r="A923" i="23"/>
  <c r="F922" i="23"/>
  <c r="E922" i="23"/>
  <c r="C922" i="23"/>
  <c r="B922" i="23"/>
  <c r="A922" i="23"/>
  <c r="F921" i="23"/>
  <c r="E921" i="23"/>
  <c r="C921" i="23"/>
  <c r="B921" i="23"/>
  <c r="A921" i="23"/>
  <c r="F920" i="23"/>
  <c r="E920" i="23"/>
  <c r="C920" i="23"/>
  <c r="B920" i="23"/>
  <c r="A920" i="23"/>
  <c r="F919" i="23"/>
  <c r="E919" i="23"/>
  <c r="C919" i="23"/>
  <c r="B919" i="23"/>
  <c r="A919" i="23"/>
  <c r="F918" i="23"/>
  <c r="E918" i="23"/>
  <c r="C918" i="23"/>
  <c r="B918" i="23"/>
  <c r="A918" i="23"/>
  <c r="F917" i="23"/>
  <c r="E917" i="23"/>
  <c r="C917" i="23"/>
  <c r="B917" i="23"/>
  <c r="A917" i="23"/>
  <c r="F916" i="23"/>
  <c r="E916" i="23"/>
  <c r="C916" i="23"/>
  <c r="B916" i="23"/>
  <c r="A916" i="23"/>
  <c r="F915" i="23"/>
  <c r="E915" i="23"/>
  <c r="C915" i="23"/>
  <c r="B915" i="23"/>
  <c r="A915" i="23"/>
  <c r="F914" i="23"/>
  <c r="E914" i="23"/>
  <c r="C914" i="23"/>
  <c r="B914" i="23"/>
  <c r="A914" i="23"/>
  <c r="F913" i="23"/>
  <c r="E913" i="23"/>
  <c r="C913" i="23"/>
  <c r="B913" i="23"/>
  <c r="A913" i="23"/>
  <c r="F912" i="23"/>
  <c r="E912" i="23"/>
  <c r="C912" i="23"/>
  <c r="B912" i="23"/>
  <c r="A912" i="23"/>
  <c r="F911" i="23"/>
  <c r="E911" i="23"/>
  <c r="C911" i="23"/>
  <c r="B911" i="23"/>
  <c r="A911" i="23"/>
  <c r="F910" i="23"/>
  <c r="E910" i="23"/>
  <c r="C910" i="23"/>
  <c r="B910" i="23"/>
  <c r="A910" i="23"/>
  <c r="F909" i="23"/>
  <c r="E909" i="23"/>
  <c r="C909" i="23"/>
  <c r="B909" i="23"/>
  <c r="A909" i="23"/>
  <c r="F908" i="23"/>
  <c r="E908" i="23"/>
  <c r="C908" i="23"/>
  <c r="B908" i="23"/>
  <c r="A908" i="23"/>
  <c r="F907" i="23"/>
  <c r="E907" i="23"/>
  <c r="C907" i="23"/>
  <c r="B907" i="23"/>
  <c r="A907" i="23"/>
  <c r="F906" i="23"/>
  <c r="E906" i="23"/>
  <c r="C906" i="23"/>
  <c r="B906" i="23"/>
  <c r="A906" i="23"/>
  <c r="F905" i="23"/>
  <c r="E905" i="23"/>
  <c r="C905" i="23"/>
  <c r="B905" i="23"/>
  <c r="A905" i="23"/>
  <c r="F904" i="23"/>
  <c r="E904" i="23"/>
  <c r="C904" i="23"/>
  <c r="B904" i="23"/>
  <c r="A904" i="23"/>
  <c r="F903" i="23"/>
  <c r="E903" i="23"/>
  <c r="C903" i="23"/>
  <c r="B903" i="23"/>
  <c r="A903" i="23"/>
  <c r="F902" i="23"/>
  <c r="E902" i="23"/>
  <c r="C902" i="23"/>
  <c r="B902" i="23"/>
  <c r="A902" i="23"/>
  <c r="F901" i="23"/>
  <c r="E901" i="23"/>
  <c r="C901" i="23"/>
  <c r="B901" i="23"/>
  <c r="A901" i="23"/>
  <c r="F900" i="23"/>
  <c r="E900" i="23"/>
  <c r="C900" i="23"/>
  <c r="B900" i="23"/>
  <c r="A900" i="23"/>
  <c r="F899" i="23"/>
  <c r="E899" i="23"/>
  <c r="C899" i="23"/>
  <c r="B899" i="23"/>
  <c r="A899" i="23"/>
  <c r="F898" i="23"/>
  <c r="E898" i="23"/>
  <c r="C898" i="23"/>
  <c r="B898" i="23"/>
  <c r="A898" i="23"/>
  <c r="F897" i="23"/>
  <c r="E897" i="23"/>
  <c r="C897" i="23"/>
  <c r="B897" i="23"/>
  <c r="A897" i="23"/>
  <c r="F896" i="23"/>
  <c r="E896" i="23"/>
  <c r="C896" i="23"/>
  <c r="B896" i="23"/>
  <c r="A896" i="23"/>
  <c r="F895" i="23"/>
  <c r="E895" i="23"/>
  <c r="C895" i="23"/>
  <c r="B895" i="23"/>
  <c r="A895" i="23"/>
  <c r="F894" i="23"/>
  <c r="E894" i="23"/>
  <c r="C894" i="23"/>
  <c r="B894" i="23"/>
  <c r="A894" i="23"/>
  <c r="F893" i="23"/>
  <c r="E893" i="23"/>
  <c r="C893" i="23"/>
  <c r="B893" i="23"/>
  <c r="A893" i="23"/>
  <c r="F892" i="23"/>
  <c r="E892" i="23"/>
  <c r="C892" i="23"/>
  <c r="B892" i="23"/>
  <c r="A892" i="23"/>
  <c r="F891" i="23"/>
  <c r="E891" i="23"/>
  <c r="C891" i="23"/>
  <c r="B891" i="23"/>
  <c r="A891" i="23"/>
  <c r="F890" i="23"/>
  <c r="E890" i="23"/>
  <c r="C890" i="23"/>
  <c r="B890" i="23"/>
  <c r="A890" i="23"/>
  <c r="F889" i="23"/>
  <c r="E889" i="23"/>
  <c r="C889" i="23"/>
  <c r="B889" i="23"/>
  <c r="A889" i="23"/>
  <c r="F888" i="23"/>
  <c r="E888" i="23"/>
  <c r="C888" i="23"/>
  <c r="B888" i="23"/>
  <c r="A888" i="23"/>
  <c r="F887" i="23"/>
  <c r="E887" i="23"/>
  <c r="C887" i="23"/>
  <c r="B887" i="23"/>
  <c r="A887" i="23"/>
  <c r="F886" i="23"/>
  <c r="E886" i="23"/>
  <c r="C886" i="23"/>
  <c r="B886" i="23"/>
  <c r="A886" i="23"/>
  <c r="F885" i="23"/>
  <c r="E885" i="23"/>
  <c r="C885" i="23"/>
  <c r="B885" i="23"/>
  <c r="A885" i="23"/>
  <c r="F884" i="23"/>
  <c r="E884" i="23"/>
  <c r="C884" i="23"/>
  <c r="B884" i="23"/>
  <c r="A884" i="23"/>
  <c r="F883" i="23"/>
  <c r="E883" i="23"/>
  <c r="C883" i="23"/>
  <c r="B883" i="23"/>
  <c r="A883" i="23"/>
  <c r="F882" i="23"/>
  <c r="E882" i="23"/>
  <c r="C882" i="23"/>
  <c r="B882" i="23"/>
  <c r="A882" i="23"/>
  <c r="F881" i="23"/>
  <c r="E881" i="23"/>
  <c r="C881" i="23"/>
  <c r="B881" i="23"/>
  <c r="A881" i="23"/>
  <c r="F880" i="23"/>
  <c r="E880" i="23"/>
  <c r="C880" i="23"/>
  <c r="B880" i="23"/>
  <c r="A880" i="23"/>
  <c r="F879" i="23"/>
  <c r="E879" i="23"/>
  <c r="C879" i="23"/>
  <c r="B879" i="23"/>
  <c r="A879" i="23"/>
  <c r="F878" i="23"/>
  <c r="E878" i="23"/>
  <c r="C878" i="23"/>
  <c r="B878" i="23"/>
  <c r="A878" i="23"/>
  <c r="F877" i="23"/>
  <c r="E877" i="23"/>
  <c r="C877" i="23"/>
  <c r="B877" i="23"/>
  <c r="A877" i="23"/>
  <c r="F876" i="23"/>
  <c r="E876" i="23"/>
  <c r="C876" i="23"/>
  <c r="B876" i="23"/>
  <c r="A876" i="23"/>
  <c r="F875" i="23"/>
  <c r="E875" i="23"/>
  <c r="C875" i="23"/>
  <c r="B875" i="23"/>
  <c r="A875" i="23"/>
  <c r="F874" i="23"/>
  <c r="E874" i="23"/>
  <c r="C874" i="23"/>
  <c r="B874" i="23"/>
  <c r="A874" i="23"/>
  <c r="F873" i="23"/>
  <c r="E873" i="23"/>
  <c r="C873" i="23"/>
  <c r="B873" i="23"/>
  <c r="A873" i="23"/>
  <c r="F872" i="23"/>
  <c r="E872" i="23"/>
  <c r="C872" i="23"/>
  <c r="B872" i="23"/>
  <c r="A872" i="23"/>
  <c r="F871" i="23"/>
  <c r="E871" i="23"/>
  <c r="C871" i="23"/>
  <c r="B871" i="23"/>
  <c r="A871" i="23"/>
  <c r="F870" i="23"/>
  <c r="E870" i="23"/>
  <c r="C870" i="23"/>
  <c r="B870" i="23"/>
  <c r="A870" i="23"/>
  <c r="F869" i="23"/>
  <c r="E869" i="23"/>
  <c r="C869" i="23"/>
  <c r="B869" i="23"/>
  <c r="A869" i="23"/>
  <c r="F868" i="23"/>
  <c r="E868" i="23"/>
  <c r="C868" i="23"/>
  <c r="B868" i="23"/>
  <c r="A868" i="23"/>
  <c r="F867" i="23"/>
  <c r="E867" i="23"/>
  <c r="C867" i="23"/>
  <c r="B867" i="23"/>
  <c r="A867" i="23"/>
  <c r="F866" i="23"/>
  <c r="E866" i="23"/>
  <c r="C866" i="23"/>
  <c r="B866" i="23"/>
  <c r="A866" i="23"/>
  <c r="F865" i="23"/>
  <c r="E865" i="23"/>
  <c r="C865" i="23"/>
  <c r="B865" i="23"/>
  <c r="A865" i="23"/>
  <c r="F864" i="23"/>
  <c r="E864" i="23"/>
  <c r="C864" i="23"/>
  <c r="B864" i="23"/>
  <c r="A864" i="23"/>
  <c r="F863" i="23"/>
  <c r="E863" i="23"/>
  <c r="C863" i="23"/>
  <c r="B863" i="23"/>
  <c r="A863" i="23"/>
  <c r="F862" i="23"/>
  <c r="E862" i="23"/>
  <c r="C862" i="23"/>
  <c r="B862" i="23"/>
  <c r="A862" i="23"/>
  <c r="F861" i="23"/>
  <c r="E861" i="23"/>
  <c r="C861" i="23"/>
  <c r="B861" i="23"/>
  <c r="A861" i="23"/>
  <c r="F860" i="23"/>
  <c r="E860" i="23"/>
  <c r="C860" i="23"/>
  <c r="B860" i="23"/>
  <c r="A860" i="23"/>
  <c r="F859" i="23"/>
  <c r="E859" i="23"/>
  <c r="C859" i="23"/>
  <c r="B859" i="23"/>
  <c r="A859" i="23"/>
  <c r="F858" i="23"/>
  <c r="E858" i="23"/>
  <c r="C858" i="23"/>
  <c r="B858" i="23"/>
  <c r="A858" i="23"/>
  <c r="F857" i="23"/>
  <c r="E857" i="23"/>
  <c r="C857" i="23"/>
  <c r="B857" i="23"/>
  <c r="A857" i="23"/>
  <c r="F856" i="23"/>
  <c r="E856" i="23"/>
  <c r="C856" i="23"/>
  <c r="B856" i="23"/>
  <c r="A856" i="23"/>
  <c r="F855" i="23"/>
  <c r="E855" i="23"/>
  <c r="C855" i="23"/>
  <c r="B855" i="23"/>
  <c r="A855" i="23"/>
  <c r="F854" i="23"/>
  <c r="E854" i="23"/>
  <c r="C854" i="23"/>
  <c r="B854" i="23"/>
  <c r="A854" i="23"/>
  <c r="F853" i="23"/>
  <c r="E853" i="23"/>
  <c r="C853" i="23"/>
  <c r="B853" i="23"/>
  <c r="A853" i="23"/>
  <c r="F852" i="23"/>
  <c r="E852" i="23"/>
  <c r="C852" i="23"/>
  <c r="B852" i="23"/>
  <c r="A852" i="23"/>
  <c r="F851" i="23"/>
  <c r="E851" i="23"/>
  <c r="C851" i="23"/>
  <c r="B851" i="23"/>
  <c r="A851" i="23"/>
  <c r="F850" i="23"/>
  <c r="E850" i="23"/>
  <c r="C850" i="23"/>
  <c r="B850" i="23"/>
  <c r="A850" i="23"/>
  <c r="F849" i="23"/>
  <c r="E849" i="23"/>
  <c r="C849" i="23"/>
  <c r="B849" i="23"/>
  <c r="A849" i="23"/>
  <c r="F848" i="23"/>
  <c r="E848" i="23"/>
  <c r="C848" i="23"/>
  <c r="B848" i="23"/>
  <c r="A848" i="23"/>
  <c r="F847" i="23"/>
  <c r="E847" i="23"/>
  <c r="C847" i="23"/>
  <c r="B847" i="23"/>
  <c r="A847" i="23"/>
  <c r="F846" i="23"/>
  <c r="E846" i="23"/>
  <c r="C846" i="23"/>
  <c r="B846" i="23"/>
  <c r="A846" i="23"/>
  <c r="F845" i="23"/>
  <c r="E845" i="23"/>
  <c r="C845" i="23"/>
  <c r="B845" i="23"/>
  <c r="A845" i="23"/>
  <c r="F844" i="23"/>
  <c r="E844" i="23"/>
  <c r="C844" i="23"/>
  <c r="B844" i="23"/>
  <c r="A844" i="23"/>
  <c r="F843" i="23"/>
  <c r="E843" i="23"/>
  <c r="C843" i="23"/>
  <c r="B843" i="23"/>
  <c r="A843" i="23"/>
  <c r="F842" i="23"/>
  <c r="E842" i="23"/>
  <c r="C842" i="23"/>
  <c r="B842" i="23"/>
  <c r="A842" i="23"/>
  <c r="F841" i="23"/>
  <c r="E841" i="23"/>
  <c r="C841" i="23"/>
  <c r="B841" i="23"/>
  <c r="A841" i="23"/>
  <c r="F840" i="23"/>
  <c r="E840" i="23"/>
  <c r="C840" i="23"/>
  <c r="B840" i="23"/>
  <c r="A840" i="23"/>
  <c r="F839" i="23"/>
  <c r="E839" i="23"/>
  <c r="C839" i="23"/>
  <c r="B839" i="23"/>
  <c r="A839" i="23"/>
  <c r="F838" i="23"/>
  <c r="E838" i="23"/>
  <c r="C838" i="23"/>
  <c r="B838" i="23"/>
  <c r="A838" i="23"/>
  <c r="F837" i="23"/>
  <c r="E837" i="23"/>
  <c r="C837" i="23"/>
  <c r="B837" i="23"/>
  <c r="A837" i="23"/>
  <c r="F836" i="23"/>
  <c r="E836" i="23"/>
  <c r="C836" i="23"/>
  <c r="B836" i="23"/>
  <c r="A836" i="23"/>
  <c r="F835" i="23"/>
  <c r="E835" i="23"/>
  <c r="C835" i="23"/>
  <c r="B835" i="23"/>
  <c r="A835" i="23"/>
  <c r="F834" i="23"/>
  <c r="E834" i="23"/>
  <c r="C834" i="23"/>
  <c r="B834" i="23"/>
  <c r="A834" i="23"/>
  <c r="F833" i="23"/>
  <c r="E833" i="23"/>
  <c r="C833" i="23"/>
  <c r="B833" i="23"/>
  <c r="A833" i="23"/>
  <c r="F832" i="23"/>
  <c r="E832" i="23"/>
  <c r="C832" i="23"/>
  <c r="B832" i="23"/>
  <c r="A832" i="23"/>
  <c r="F831" i="23"/>
  <c r="E831" i="23"/>
  <c r="C831" i="23"/>
  <c r="B831" i="23"/>
  <c r="A831" i="23"/>
  <c r="F830" i="23"/>
  <c r="E830" i="23"/>
  <c r="C830" i="23"/>
  <c r="B830" i="23"/>
  <c r="A830" i="23"/>
  <c r="F829" i="23"/>
  <c r="E829" i="23"/>
  <c r="C829" i="23"/>
  <c r="B829" i="23"/>
  <c r="A829" i="23"/>
  <c r="F828" i="23"/>
  <c r="E828" i="23"/>
  <c r="C828" i="23"/>
  <c r="B828" i="23"/>
  <c r="A828" i="23"/>
  <c r="F827" i="23"/>
  <c r="E827" i="23"/>
  <c r="C827" i="23"/>
  <c r="B827" i="23"/>
  <c r="A827" i="23"/>
  <c r="F826" i="23"/>
  <c r="E826" i="23"/>
  <c r="C826" i="23"/>
  <c r="B826" i="23"/>
  <c r="A826" i="23"/>
  <c r="F825" i="23"/>
  <c r="E825" i="23"/>
  <c r="C825" i="23"/>
  <c r="B825" i="23"/>
  <c r="A825" i="23"/>
  <c r="F824" i="23"/>
  <c r="E824" i="23"/>
  <c r="C824" i="23"/>
  <c r="B824" i="23"/>
  <c r="A824" i="23"/>
  <c r="F823" i="23"/>
  <c r="E823" i="23"/>
  <c r="C823" i="23"/>
  <c r="B823" i="23"/>
  <c r="A823" i="23"/>
  <c r="F822" i="23"/>
  <c r="E822" i="23"/>
  <c r="C822" i="23"/>
  <c r="B822" i="23"/>
  <c r="A822" i="23"/>
  <c r="F821" i="23"/>
  <c r="E821" i="23"/>
  <c r="C821" i="23"/>
  <c r="B821" i="23"/>
  <c r="A821" i="23"/>
  <c r="F820" i="23"/>
  <c r="E820" i="23"/>
  <c r="C820" i="23"/>
  <c r="B820" i="23"/>
  <c r="A820" i="23"/>
  <c r="F819" i="23"/>
  <c r="E819" i="23"/>
  <c r="C819" i="23"/>
  <c r="B819" i="23"/>
  <c r="A819" i="23"/>
  <c r="F818" i="23"/>
  <c r="E818" i="23"/>
  <c r="C818" i="23"/>
  <c r="B818" i="23"/>
  <c r="A818" i="23"/>
  <c r="F817" i="23"/>
  <c r="E817" i="23"/>
  <c r="C817" i="23"/>
  <c r="B817" i="23"/>
  <c r="A817" i="23"/>
  <c r="F816" i="23"/>
  <c r="E816" i="23"/>
  <c r="C816" i="23"/>
  <c r="B816" i="23"/>
  <c r="A816" i="23"/>
  <c r="F815" i="23"/>
  <c r="E815" i="23"/>
  <c r="C815" i="23"/>
  <c r="B815" i="23"/>
  <c r="A815" i="23"/>
  <c r="F814" i="23"/>
  <c r="E814" i="23"/>
  <c r="C814" i="23"/>
  <c r="B814" i="23"/>
  <c r="A814" i="23"/>
  <c r="F813" i="23"/>
  <c r="E813" i="23"/>
  <c r="C813" i="23"/>
  <c r="B813" i="23"/>
  <c r="A813" i="23"/>
  <c r="F812" i="23"/>
  <c r="E812" i="23"/>
  <c r="C812" i="23"/>
  <c r="B812" i="23"/>
  <c r="A812" i="23"/>
  <c r="F811" i="23"/>
  <c r="E811" i="23"/>
  <c r="C811" i="23"/>
  <c r="B811" i="23"/>
  <c r="A811" i="23"/>
  <c r="F810" i="23"/>
  <c r="E810" i="23"/>
  <c r="C810" i="23"/>
  <c r="B810" i="23"/>
  <c r="A810" i="23"/>
  <c r="F809" i="23"/>
  <c r="E809" i="23"/>
  <c r="C809" i="23"/>
  <c r="B809" i="23"/>
  <c r="A809" i="23"/>
  <c r="F808" i="23"/>
  <c r="E808" i="23"/>
  <c r="C808" i="23"/>
  <c r="B808" i="23"/>
  <c r="A808" i="23"/>
  <c r="F807" i="23"/>
  <c r="E807" i="23"/>
  <c r="C807" i="23"/>
  <c r="B807" i="23"/>
  <c r="A807" i="23"/>
  <c r="F806" i="23"/>
  <c r="E806" i="23"/>
  <c r="C806" i="23"/>
  <c r="B806" i="23"/>
  <c r="A806" i="23"/>
  <c r="F805" i="23"/>
  <c r="E805" i="23"/>
  <c r="C805" i="23"/>
  <c r="B805" i="23"/>
  <c r="A805" i="23"/>
  <c r="F804" i="23"/>
  <c r="E804" i="23"/>
  <c r="C804" i="23"/>
  <c r="B804" i="23"/>
  <c r="A804" i="23"/>
  <c r="F803" i="23"/>
  <c r="E803" i="23"/>
  <c r="C803" i="23"/>
  <c r="B803" i="23"/>
  <c r="A803" i="23"/>
  <c r="F802" i="23"/>
  <c r="E802" i="23"/>
  <c r="C802" i="23"/>
  <c r="B802" i="23"/>
  <c r="A802" i="23"/>
  <c r="F801" i="23"/>
  <c r="E801" i="23"/>
  <c r="C801" i="23"/>
  <c r="B801" i="23"/>
  <c r="A801" i="23"/>
  <c r="F800" i="23"/>
  <c r="E800" i="23"/>
  <c r="C800" i="23"/>
  <c r="B800" i="23"/>
  <c r="A800" i="23"/>
  <c r="F799" i="23"/>
  <c r="E799" i="23"/>
  <c r="C799" i="23"/>
  <c r="B799" i="23"/>
  <c r="A799" i="23"/>
  <c r="F798" i="23"/>
  <c r="E798" i="23"/>
  <c r="C798" i="23"/>
  <c r="B798" i="23"/>
  <c r="A798" i="23"/>
  <c r="F797" i="23"/>
  <c r="E797" i="23"/>
  <c r="C797" i="23"/>
  <c r="B797" i="23"/>
  <c r="A797" i="23"/>
  <c r="F796" i="23"/>
  <c r="E796" i="23"/>
  <c r="C796" i="23"/>
  <c r="B796" i="23"/>
  <c r="A796" i="23"/>
  <c r="F795" i="23"/>
  <c r="E795" i="23"/>
  <c r="C795" i="23"/>
  <c r="B795" i="23"/>
  <c r="A795" i="23"/>
  <c r="F794" i="23"/>
  <c r="E794" i="23"/>
  <c r="C794" i="23"/>
  <c r="B794" i="23"/>
  <c r="A794" i="23"/>
  <c r="F793" i="23"/>
  <c r="E793" i="23"/>
  <c r="C793" i="23"/>
  <c r="B793" i="23"/>
  <c r="A793" i="23"/>
  <c r="F792" i="23"/>
  <c r="E792" i="23"/>
  <c r="C792" i="23"/>
  <c r="B792" i="23"/>
  <c r="A792" i="23"/>
  <c r="F791" i="23"/>
  <c r="E791" i="23"/>
  <c r="C791" i="23"/>
  <c r="B791" i="23"/>
  <c r="A791" i="23"/>
  <c r="F790" i="23"/>
  <c r="E790" i="23"/>
  <c r="C790" i="23"/>
  <c r="B790" i="23"/>
  <c r="A790" i="23"/>
  <c r="F789" i="23"/>
  <c r="E789" i="23"/>
  <c r="C789" i="23"/>
  <c r="B789" i="23"/>
  <c r="A789" i="23"/>
  <c r="F788" i="23"/>
  <c r="E788" i="23"/>
  <c r="C788" i="23"/>
  <c r="B788" i="23"/>
  <c r="A788" i="23"/>
  <c r="F787" i="23"/>
  <c r="E787" i="23"/>
  <c r="C787" i="23"/>
  <c r="B787" i="23"/>
  <c r="A787" i="23"/>
  <c r="F786" i="23"/>
  <c r="E786" i="23"/>
  <c r="C786" i="23"/>
  <c r="B786" i="23"/>
  <c r="A786" i="23"/>
  <c r="F785" i="23"/>
  <c r="E785" i="23"/>
  <c r="C785" i="23"/>
  <c r="B785" i="23"/>
  <c r="A785" i="23"/>
  <c r="F784" i="23"/>
  <c r="E784" i="23"/>
  <c r="C784" i="23"/>
  <c r="B784" i="23"/>
  <c r="A784" i="23"/>
  <c r="F783" i="23"/>
  <c r="E783" i="23"/>
  <c r="C783" i="23"/>
  <c r="B783" i="23"/>
  <c r="A783" i="23"/>
  <c r="F782" i="23"/>
  <c r="E782" i="23"/>
  <c r="C782" i="23"/>
  <c r="B782" i="23"/>
  <c r="A782" i="23"/>
  <c r="F781" i="23"/>
  <c r="E781" i="23"/>
  <c r="C781" i="23"/>
  <c r="B781" i="23"/>
  <c r="A781" i="23"/>
  <c r="F780" i="23"/>
  <c r="E780" i="23"/>
  <c r="C780" i="23"/>
  <c r="B780" i="23"/>
  <c r="A780" i="23"/>
  <c r="F779" i="23"/>
  <c r="E779" i="23"/>
  <c r="C779" i="23"/>
  <c r="B779" i="23"/>
  <c r="A779" i="23"/>
  <c r="F778" i="23"/>
  <c r="E778" i="23"/>
  <c r="C778" i="23"/>
  <c r="B778" i="23"/>
  <c r="A778" i="23"/>
  <c r="F777" i="23"/>
  <c r="E777" i="23"/>
  <c r="C777" i="23"/>
  <c r="B777" i="23"/>
  <c r="A777" i="23"/>
  <c r="F776" i="23"/>
  <c r="E776" i="23"/>
  <c r="C776" i="23"/>
  <c r="B776" i="23"/>
  <c r="A776" i="23"/>
  <c r="F775" i="23"/>
  <c r="E775" i="23"/>
  <c r="C775" i="23"/>
  <c r="B775" i="23"/>
  <c r="A775" i="23"/>
  <c r="F774" i="23"/>
  <c r="E774" i="23"/>
  <c r="C774" i="23"/>
  <c r="B774" i="23"/>
  <c r="A774" i="23"/>
  <c r="F773" i="23"/>
  <c r="E773" i="23"/>
  <c r="C773" i="23"/>
  <c r="B773" i="23"/>
  <c r="A773" i="23"/>
  <c r="F772" i="23"/>
  <c r="E772" i="23"/>
  <c r="C772" i="23"/>
  <c r="B772" i="23"/>
  <c r="A772" i="23"/>
  <c r="F771" i="23"/>
  <c r="E771" i="23"/>
  <c r="C771" i="23"/>
  <c r="B771" i="23"/>
  <c r="A771" i="23"/>
  <c r="F770" i="23"/>
  <c r="E770" i="23"/>
  <c r="C770" i="23"/>
  <c r="B770" i="23"/>
  <c r="A770" i="23"/>
  <c r="F769" i="23"/>
  <c r="E769" i="23"/>
  <c r="C769" i="23"/>
  <c r="B769" i="23"/>
  <c r="A769" i="23"/>
  <c r="F768" i="23"/>
  <c r="E768" i="23"/>
  <c r="C768" i="23"/>
  <c r="B768" i="23"/>
  <c r="A768" i="23"/>
  <c r="F767" i="23"/>
  <c r="E767" i="23"/>
  <c r="C767" i="23"/>
  <c r="B767" i="23"/>
  <c r="A767" i="23"/>
  <c r="F766" i="23"/>
  <c r="E766" i="23"/>
  <c r="C766" i="23"/>
  <c r="B766" i="23"/>
  <c r="A766" i="23"/>
  <c r="F765" i="23"/>
  <c r="E765" i="23"/>
  <c r="C765" i="23"/>
  <c r="B765" i="23"/>
  <c r="A765" i="23"/>
  <c r="F764" i="23"/>
  <c r="E764" i="23"/>
  <c r="C764" i="23"/>
  <c r="B764" i="23"/>
  <c r="A764" i="23"/>
  <c r="F763" i="23"/>
  <c r="E763" i="23"/>
  <c r="C763" i="23"/>
  <c r="B763" i="23"/>
  <c r="A763" i="23"/>
  <c r="F762" i="23"/>
  <c r="E762" i="23"/>
  <c r="C762" i="23"/>
  <c r="B762" i="23"/>
  <c r="A762" i="23"/>
  <c r="F761" i="23"/>
  <c r="E761" i="23"/>
  <c r="C761" i="23"/>
  <c r="B761" i="23"/>
  <c r="A761" i="23"/>
  <c r="F760" i="23"/>
  <c r="E760" i="23"/>
  <c r="C760" i="23"/>
  <c r="B760" i="23"/>
  <c r="A760" i="23"/>
  <c r="F759" i="23"/>
  <c r="E759" i="23"/>
  <c r="C759" i="23"/>
  <c r="B759" i="23"/>
  <c r="A759" i="23"/>
  <c r="F758" i="23"/>
  <c r="E758" i="23"/>
  <c r="C758" i="23"/>
  <c r="B758" i="23"/>
  <c r="A758" i="23"/>
  <c r="F757" i="23"/>
  <c r="E757" i="23"/>
  <c r="C757" i="23"/>
  <c r="B757" i="23"/>
  <c r="A757" i="23"/>
  <c r="F756" i="23"/>
  <c r="E756" i="23"/>
  <c r="C756" i="23"/>
  <c r="B756" i="23"/>
  <c r="A756" i="23"/>
  <c r="F755" i="23"/>
  <c r="E755" i="23"/>
  <c r="C755" i="23"/>
  <c r="B755" i="23"/>
  <c r="A755" i="23"/>
  <c r="F754" i="23"/>
  <c r="E754" i="23"/>
  <c r="C754" i="23"/>
  <c r="B754" i="23"/>
  <c r="A754" i="23"/>
  <c r="F753" i="23"/>
  <c r="E753" i="23"/>
  <c r="C753" i="23"/>
  <c r="B753" i="23"/>
  <c r="A753" i="23"/>
  <c r="F752" i="23"/>
  <c r="E752" i="23"/>
  <c r="C752" i="23"/>
  <c r="B752" i="23"/>
  <c r="A752" i="23"/>
  <c r="F751" i="23"/>
  <c r="E751" i="23"/>
  <c r="C751" i="23"/>
  <c r="B751" i="23"/>
  <c r="A751" i="23"/>
  <c r="F750" i="23"/>
  <c r="E750" i="23"/>
  <c r="C750" i="23"/>
  <c r="B750" i="23"/>
  <c r="A750" i="23"/>
  <c r="F749" i="23"/>
  <c r="E749" i="23"/>
  <c r="C749" i="23"/>
  <c r="B749" i="23"/>
  <c r="A749" i="23"/>
  <c r="F748" i="23"/>
  <c r="E748" i="23"/>
  <c r="C748" i="23"/>
  <c r="B748" i="23"/>
  <c r="A748" i="23"/>
  <c r="F747" i="23"/>
  <c r="E747" i="23"/>
  <c r="C747" i="23"/>
  <c r="B747" i="23"/>
  <c r="A747" i="23"/>
  <c r="F746" i="23"/>
  <c r="E746" i="23"/>
  <c r="C746" i="23"/>
  <c r="B746" i="23"/>
  <c r="A746" i="23"/>
  <c r="F745" i="23"/>
  <c r="E745" i="23"/>
  <c r="C745" i="23"/>
  <c r="B745" i="23"/>
  <c r="A745" i="23"/>
  <c r="F744" i="23"/>
  <c r="E744" i="23"/>
  <c r="C744" i="23"/>
  <c r="B744" i="23"/>
  <c r="A744" i="23"/>
  <c r="F743" i="23"/>
  <c r="E743" i="23"/>
  <c r="C743" i="23"/>
  <c r="B743" i="23"/>
  <c r="A743" i="23"/>
  <c r="F742" i="23"/>
  <c r="E742" i="23"/>
  <c r="C742" i="23"/>
  <c r="B742" i="23"/>
  <c r="A742" i="23"/>
  <c r="F741" i="23"/>
  <c r="E741" i="23"/>
  <c r="C741" i="23"/>
  <c r="B741" i="23"/>
  <c r="A741" i="23"/>
  <c r="F740" i="23"/>
  <c r="E740" i="23"/>
  <c r="C740" i="23"/>
  <c r="B740" i="23"/>
  <c r="A740" i="23"/>
  <c r="F739" i="23"/>
  <c r="E739" i="23"/>
  <c r="C739" i="23"/>
  <c r="B739" i="23"/>
  <c r="A739" i="23"/>
  <c r="F738" i="23"/>
  <c r="E738" i="23"/>
  <c r="C738" i="23"/>
  <c r="B738" i="23"/>
  <c r="A738" i="23"/>
  <c r="F737" i="23"/>
  <c r="E737" i="23"/>
  <c r="C737" i="23"/>
  <c r="B737" i="23"/>
  <c r="A737" i="23"/>
  <c r="F736" i="23"/>
  <c r="E736" i="23"/>
  <c r="C736" i="23"/>
  <c r="B736" i="23"/>
  <c r="A736" i="23"/>
  <c r="F735" i="23"/>
  <c r="E735" i="23"/>
  <c r="C735" i="23"/>
  <c r="B735" i="23"/>
  <c r="A735" i="23"/>
  <c r="F734" i="23"/>
  <c r="E734" i="23"/>
  <c r="C734" i="23"/>
  <c r="B734" i="23"/>
  <c r="A734" i="23"/>
  <c r="F733" i="23"/>
  <c r="E733" i="23"/>
  <c r="C733" i="23"/>
  <c r="B733" i="23"/>
  <c r="A733" i="23"/>
  <c r="F732" i="23"/>
  <c r="E732" i="23"/>
  <c r="C732" i="23"/>
  <c r="B732" i="23"/>
  <c r="A732" i="23"/>
  <c r="F731" i="23"/>
  <c r="E731" i="23"/>
  <c r="C731" i="23"/>
  <c r="B731" i="23"/>
  <c r="A731" i="23"/>
  <c r="F730" i="23"/>
  <c r="E730" i="23"/>
  <c r="C730" i="23"/>
  <c r="B730" i="23"/>
  <c r="A730" i="23"/>
  <c r="F729" i="23"/>
  <c r="E729" i="23"/>
  <c r="C729" i="23"/>
  <c r="B729" i="23"/>
  <c r="A729" i="23"/>
  <c r="E677" i="23"/>
  <c r="C677" i="23"/>
  <c r="E625" i="23"/>
  <c r="C625" i="23"/>
  <c r="E573" i="23"/>
  <c r="C573" i="23"/>
  <c r="C521" i="23"/>
  <c r="A470" i="23"/>
  <c r="E470" i="23" s="1"/>
  <c r="B470" i="23"/>
  <c r="C470" i="23"/>
  <c r="F470" i="23"/>
  <c r="A471" i="23"/>
  <c r="B471" i="23"/>
  <c r="C471" i="23"/>
  <c r="E471" i="23"/>
  <c r="F471" i="23"/>
  <c r="A472" i="23"/>
  <c r="E472" i="23" s="1"/>
  <c r="B472" i="23"/>
  <c r="C472" i="23"/>
  <c r="F472" i="23"/>
  <c r="A473" i="23"/>
  <c r="E473" i="23" s="1"/>
  <c r="B473" i="23"/>
  <c r="C473" i="23"/>
  <c r="F473" i="23"/>
  <c r="A474" i="23"/>
  <c r="B474" i="23"/>
  <c r="C474" i="23"/>
  <c r="E474" i="23"/>
  <c r="F474" i="23"/>
  <c r="A475" i="23"/>
  <c r="B475" i="23"/>
  <c r="C475" i="23"/>
  <c r="E475" i="23"/>
  <c r="F475" i="23"/>
  <c r="A476" i="23"/>
  <c r="B476" i="23"/>
  <c r="C476" i="23"/>
  <c r="E476" i="23"/>
  <c r="F476" i="23"/>
  <c r="A477" i="23"/>
  <c r="B477" i="23"/>
  <c r="C477" i="23"/>
  <c r="E477" i="23"/>
  <c r="F477" i="23"/>
  <c r="A478" i="23"/>
  <c r="E478" i="23" s="1"/>
  <c r="B478" i="23"/>
  <c r="C478" i="23"/>
  <c r="F478" i="23"/>
  <c r="A479" i="23"/>
  <c r="B479" i="23"/>
  <c r="C479" i="23"/>
  <c r="E479" i="23"/>
  <c r="F479" i="23"/>
  <c r="A480" i="23"/>
  <c r="E480" i="23" s="1"/>
  <c r="B480" i="23"/>
  <c r="C480" i="23"/>
  <c r="F480" i="23"/>
  <c r="A481" i="23"/>
  <c r="E481" i="23" s="1"/>
  <c r="B481" i="23"/>
  <c r="C481" i="23"/>
  <c r="F481" i="23"/>
  <c r="A482" i="23"/>
  <c r="B482" i="23"/>
  <c r="C482" i="23"/>
  <c r="E482" i="23"/>
  <c r="F482" i="23"/>
  <c r="A483" i="23"/>
  <c r="B483" i="23"/>
  <c r="C483" i="23"/>
  <c r="E483" i="23"/>
  <c r="F483" i="23"/>
  <c r="A484" i="23"/>
  <c r="B484" i="23"/>
  <c r="C484" i="23"/>
  <c r="E484" i="23"/>
  <c r="F484" i="23"/>
  <c r="A485" i="23"/>
  <c r="B485" i="23"/>
  <c r="C485" i="23"/>
  <c r="E485" i="23"/>
  <c r="F485" i="23"/>
  <c r="A486" i="23"/>
  <c r="E486" i="23" s="1"/>
  <c r="B486" i="23"/>
  <c r="C486" i="23"/>
  <c r="F486" i="23"/>
  <c r="A487" i="23"/>
  <c r="B487" i="23"/>
  <c r="C487" i="23"/>
  <c r="E487" i="23"/>
  <c r="F487" i="23"/>
  <c r="A488" i="23"/>
  <c r="E488" i="23" s="1"/>
  <c r="B488" i="23"/>
  <c r="C488" i="23"/>
  <c r="F488" i="23"/>
  <c r="A489" i="23"/>
  <c r="E489" i="23" s="1"/>
  <c r="B489" i="23"/>
  <c r="C489" i="23"/>
  <c r="F489" i="23"/>
  <c r="A490" i="23"/>
  <c r="B490" i="23"/>
  <c r="C490" i="23"/>
  <c r="E490" i="23"/>
  <c r="F490" i="23"/>
  <c r="A491" i="23"/>
  <c r="B491" i="23"/>
  <c r="C491" i="23"/>
  <c r="E491" i="23"/>
  <c r="F491" i="23"/>
  <c r="A492" i="23"/>
  <c r="B492" i="23"/>
  <c r="C492" i="23"/>
  <c r="E492" i="23"/>
  <c r="F492" i="23"/>
  <c r="A493" i="23"/>
  <c r="B493" i="23"/>
  <c r="C493" i="23"/>
  <c r="E493" i="23"/>
  <c r="F493" i="23"/>
  <c r="A494" i="23"/>
  <c r="E494" i="23" s="1"/>
  <c r="B494" i="23"/>
  <c r="C494" i="23"/>
  <c r="F494" i="23"/>
  <c r="A495" i="23"/>
  <c r="B495" i="23"/>
  <c r="C495" i="23"/>
  <c r="E495" i="23"/>
  <c r="F495" i="23"/>
  <c r="A496" i="23"/>
  <c r="E496" i="23" s="1"/>
  <c r="B496" i="23"/>
  <c r="C496" i="23"/>
  <c r="F496" i="23"/>
  <c r="A497" i="23"/>
  <c r="E497" i="23" s="1"/>
  <c r="B497" i="23"/>
  <c r="C497" i="23"/>
  <c r="F497" i="23"/>
  <c r="A498" i="23"/>
  <c r="B498" i="23"/>
  <c r="C498" i="23"/>
  <c r="E498" i="23"/>
  <c r="F498" i="23"/>
  <c r="A499" i="23"/>
  <c r="B499" i="23"/>
  <c r="C499" i="23"/>
  <c r="E499" i="23"/>
  <c r="F499" i="23"/>
  <c r="A500" i="23"/>
  <c r="E500" i="23" s="1"/>
  <c r="B500" i="23"/>
  <c r="C500" i="23"/>
  <c r="F500" i="23"/>
  <c r="A501" i="23"/>
  <c r="B501" i="23"/>
  <c r="C501" i="23"/>
  <c r="E501" i="23"/>
  <c r="F501" i="23"/>
  <c r="A502" i="23"/>
  <c r="E502" i="23" s="1"/>
  <c r="B502" i="23"/>
  <c r="C502" i="23"/>
  <c r="F502" i="23"/>
  <c r="A503" i="23"/>
  <c r="B503" i="23"/>
  <c r="C503" i="23"/>
  <c r="E503" i="23"/>
  <c r="F503" i="23"/>
  <c r="A504" i="23"/>
  <c r="E504" i="23" s="1"/>
  <c r="B504" i="23"/>
  <c r="C504" i="23"/>
  <c r="F504" i="23"/>
  <c r="A505" i="23"/>
  <c r="E505" i="23" s="1"/>
  <c r="B505" i="23"/>
  <c r="C505" i="23"/>
  <c r="F505" i="23"/>
  <c r="A506" i="23"/>
  <c r="B506" i="23"/>
  <c r="C506" i="23"/>
  <c r="E506" i="23"/>
  <c r="F506" i="23"/>
  <c r="A507" i="23"/>
  <c r="B507" i="23"/>
  <c r="C507" i="23"/>
  <c r="E507" i="23"/>
  <c r="F507" i="23"/>
  <c r="A508" i="23"/>
  <c r="E508" i="23" s="1"/>
  <c r="B508" i="23"/>
  <c r="C508" i="23"/>
  <c r="F508" i="23"/>
  <c r="A509" i="23"/>
  <c r="B509" i="23"/>
  <c r="C509" i="23"/>
  <c r="E509" i="23"/>
  <c r="F509" i="23"/>
  <c r="A510" i="23"/>
  <c r="E510" i="23" s="1"/>
  <c r="B510" i="23"/>
  <c r="C510" i="23"/>
  <c r="F510" i="23"/>
  <c r="A511" i="23"/>
  <c r="B511" i="23"/>
  <c r="C511" i="23"/>
  <c r="E511" i="23"/>
  <c r="F511" i="23"/>
  <c r="A512" i="23"/>
  <c r="E512" i="23" s="1"/>
  <c r="B512" i="23"/>
  <c r="C512" i="23"/>
  <c r="F512" i="23"/>
  <c r="A513" i="23"/>
  <c r="E513" i="23" s="1"/>
  <c r="B513" i="23"/>
  <c r="C513" i="23"/>
  <c r="F513" i="23"/>
  <c r="A514" i="23"/>
  <c r="B514" i="23"/>
  <c r="C514" i="23"/>
  <c r="E514" i="23"/>
  <c r="F514" i="23"/>
  <c r="A515" i="23"/>
  <c r="B515" i="23"/>
  <c r="C515" i="23"/>
  <c r="E515" i="23"/>
  <c r="F515" i="23"/>
  <c r="A516" i="23"/>
  <c r="E516" i="23" s="1"/>
  <c r="B516" i="23"/>
  <c r="C516" i="23"/>
  <c r="F516" i="23"/>
  <c r="A517" i="23"/>
  <c r="B517" i="23"/>
  <c r="C517" i="23"/>
  <c r="E517" i="23"/>
  <c r="F517" i="23"/>
  <c r="A518" i="23"/>
  <c r="E518" i="23" s="1"/>
  <c r="B518" i="23"/>
  <c r="C518" i="23"/>
  <c r="F518" i="23"/>
  <c r="A519" i="23"/>
  <c r="B519" i="23"/>
  <c r="C519" i="23"/>
  <c r="E519" i="23"/>
  <c r="F519" i="23"/>
  <c r="A520" i="23"/>
  <c r="E520" i="23" s="1"/>
  <c r="B520" i="23"/>
  <c r="C520" i="23"/>
  <c r="F520" i="23"/>
  <c r="C469" i="23"/>
  <c r="F469" i="23"/>
  <c r="A469" i="23"/>
  <c r="E469" i="23" s="1"/>
  <c r="B469" i="23"/>
  <c r="A418" i="23"/>
  <c r="E418" i="23" s="1"/>
  <c r="B418" i="23"/>
  <c r="C418" i="23"/>
  <c r="F418" i="23"/>
  <c r="A419" i="23"/>
  <c r="B419" i="23"/>
  <c r="C419" i="23"/>
  <c r="E419" i="23"/>
  <c r="F419" i="23"/>
  <c r="A420" i="23"/>
  <c r="E420" i="23" s="1"/>
  <c r="B420" i="23"/>
  <c r="C420" i="23"/>
  <c r="F420" i="23"/>
  <c r="A421" i="23"/>
  <c r="E421" i="23" s="1"/>
  <c r="B421" i="23"/>
  <c r="C421" i="23"/>
  <c r="F421" i="23"/>
  <c r="A422" i="23"/>
  <c r="B422" i="23"/>
  <c r="C422" i="23"/>
  <c r="E422" i="23"/>
  <c r="F422" i="23"/>
  <c r="A423" i="23"/>
  <c r="E423" i="23" s="1"/>
  <c r="B423" i="23"/>
  <c r="C423" i="23"/>
  <c r="F423" i="23"/>
  <c r="A424" i="23"/>
  <c r="E424" i="23" s="1"/>
  <c r="B424" i="23"/>
  <c r="C424" i="23"/>
  <c r="F424" i="23"/>
  <c r="A425" i="23"/>
  <c r="B425" i="23"/>
  <c r="C425" i="23"/>
  <c r="E425" i="23"/>
  <c r="F425" i="23"/>
  <c r="A426" i="23"/>
  <c r="E426" i="23" s="1"/>
  <c r="B426" i="23"/>
  <c r="C426" i="23"/>
  <c r="F426" i="23"/>
  <c r="A427" i="23"/>
  <c r="B427" i="23"/>
  <c r="C427" i="23"/>
  <c r="E427" i="23"/>
  <c r="F427" i="23"/>
  <c r="A428" i="23"/>
  <c r="E428" i="23" s="1"/>
  <c r="B428" i="23"/>
  <c r="C428" i="23"/>
  <c r="F428" i="23"/>
  <c r="A429" i="23"/>
  <c r="E429" i="23" s="1"/>
  <c r="B429" i="23"/>
  <c r="C429" i="23"/>
  <c r="F429" i="23"/>
  <c r="A430" i="23"/>
  <c r="B430" i="23"/>
  <c r="C430" i="23"/>
  <c r="E430" i="23"/>
  <c r="F430" i="23"/>
  <c r="A431" i="23"/>
  <c r="E431" i="23" s="1"/>
  <c r="B431" i="23"/>
  <c r="C431" i="23"/>
  <c r="F431" i="23"/>
  <c r="A432" i="23"/>
  <c r="E432" i="23" s="1"/>
  <c r="B432" i="23"/>
  <c r="C432" i="23"/>
  <c r="F432" i="23"/>
  <c r="A433" i="23"/>
  <c r="B433" i="23"/>
  <c r="C433" i="23"/>
  <c r="E433" i="23"/>
  <c r="F433" i="23"/>
  <c r="A434" i="23"/>
  <c r="E434" i="23" s="1"/>
  <c r="B434" i="23"/>
  <c r="C434" i="23"/>
  <c r="F434" i="23"/>
  <c r="A435" i="23"/>
  <c r="B435" i="23"/>
  <c r="C435" i="23"/>
  <c r="E435" i="23"/>
  <c r="F435" i="23"/>
  <c r="A436" i="23"/>
  <c r="B436" i="23"/>
  <c r="C436" i="23"/>
  <c r="E436" i="23"/>
  <c r="F436" i="23"/>
  <c r="A437" i="23"/>
  <c r="E437" i="23" s="1"/>
  <c r="B437" i="23"/>
  <c r="C437" i="23"/>
  <c r="F437" i="23"/>
  <c r="A438" i="23"/>
  <c r="B438" i="23"/>
  <c r="C438" i="23"/>
  <c r="E438" i="23"/>
  <c r="F438" i="23"/>
  <c r="A439" i="23"/>
  <c r="E439" i="23" s="1"/>
  <c r="B439" i="23"/>
  <c r="C439" i="23"/>
  <c r="F439" i="23"/>
  <c r="A440" i="23"/>
  <c r="E440" i="23" s="1"/>
  <c r="B440" i="23"/>
  <c r="C440" i="23"/>
  <c r="F440" i="23"/>
  <c r="A441" i="23"/>
  <c r="B441" i="23"/>
  <c r="C441" i="23"/>
  <c r="E441" i="23"/>
  <c r="F441" i="23"/>
  <c r="A442" i="23"/>
  <c r="E442" i="23" s="1"/>
  <c r="B442" i="23"/>
  <c r="C442" i="23"/>
  <c r="F442" i="23"/>
  <c r="A443" i="23"/>
  <c r="B443" i="23"/>
  <c r="C443" i="23"/>
  <c r="E443" i="23"/>
  <c r="F443" i="23"/>
  <c r="A444" i="23"/>
  <c r="B444" i="23"/>
  <c r="C444" i="23"/>
  <c r="E444" i="23"/>
  <c r="F444" i="23"/>
  <c r="A445" i="23"/>
  <c r="E445" i="23" s="1"/>
  <c r="B445" i="23"/>
  <c r="C445" i="23"/>
  <c r="F445" i="23"/>
  <c r="A446" i="23"/>
  <c r="B446" i="23"/>
  <c r="C446" i="23"/>
  <c r="E446" i="23"/>
  <c r="F446" i="23"/>
  <c r="A447" i="23"/>
  <c r="E447" i="23" s="1"/>
  <c r="B447" i="23"/>
  <c r="C447" i="23"/>
  <c r="F447" i="23"/>
  <c r="A448" i="23"/>
  <c r="E448" i="23" s="1"/>
  <c r="B448" i="23"/>
  <c r="C448" i="23"/>
  <c r="F448" i="23"/>
  <c r="A449" i="23"/>
  <c r="B449" i="23"/>
  <c r="C449" i="23"/>
  <c r="E449" i="23"/>
  <c r="F449" i="23"/>
  <c r="A450" i="23"/>
  <c r="E450" i="23" s="1"/>
  <c r="B450" i="23"/>
  <c r="C450" i="23"/>
  <c r="F450" i="23"/>
  <c r="A451" i="23"/>
  <c r="B451" i="23"/>
  <c r="C451" i="23"/>
  <c r="E451" i="23"/>
  <c r="F451" i="23"/>
  <c r="A452" i="23"/>
  <c r="B452" i="23"/>
  <c r="C452" i="23"/>
  <c r="E452" i="23"/>
  <c r="F452" i="23"/>
  <c r="A453" i="23"/>
  <c r="E453" i="23" s="1"/>
  <c r="B453" i="23"/>
  <c r="C453" i="23"/>
  <c r="F453" i="23"/>
  <c r="A454" i="23"/>
  <c r="B454" i="23"/>
  <c r="C454" i="23"/>
  <c r="E454" i="23"/>
  <c r="F454" i="23"/>
  <c r="A455" i="23"/>
  <c r="E455" i="23" s="1"/>
  <c r="B455" i="23"/>
  <c r="C455" i="23"/>
  <c r="F455" i="23"/>
  <c r="A456" i="23"/>
  <c r="E456" i="23" s="1"/>
  <c r="B456" i="23"/>
  <c r="C456" i="23"/>
  <c r="F456" i="23"/>
  <c r="A457" i="23"/>
  <c r="B457" i="23"/>
  <c r="C457" i="23"/>
  <c r="E457" i="23"/>
  <c r="F457" i="23"/>
  <c r="A458" i="23"/>
  <c r="E458" i="23" s="1"/>
  <c r="B458" i="23"/>
  <c r="C458" i="23"/>
  <c r="F458" i="23"/>
  <c r="A459" i="23"/>
  <c r="B459" i="23"/>
  <c r="C459" i="23"/>
  <c r="E459" i="23"/>
  <c r="F459" i="23"/>
  <c r="A460" i="23"/>
  <c r="B460" i="23"/>
  <c r="C460" i="23"/>
  <c r="E460" i="23"/>
  <c r="F460" i="23"/>
  <c r="A461" i="23"/>
  <c r="E461" i="23" s="1"/>
  <c r="B461" i="23"/>
  <c r="C461" i="23"/>
  <c r="F461" i="23"/>
  <c r="A462" i="23"/>
  <c r="B462" i="23"/>
  <c r="C462" i="23"/>
  <c r="E462" i="23"/>
  <c r="F462" i="23"/>
  <c r="A463" i="23"/>
  <c r="E463" i="23" s="1"/>
  <c r="B463" i="23"/>
  <c r="C463" i="23"/>
  <c r="F463" i="23"/>
  <c r="A464" i="23"/>
  <c r="E464" i="23" s="1"/>
  <c r="B464" i="23"/>
  <c r="C464" i="23"/>
  <c r="F464" i="23"/>
  <c r="A465" i="23"/>
  <c r="B465" i="23"/>
  <c r="C465" i="23"/>
  <c r="E465" i="23"/>
  <c r="F465" i="23"/>
  <c r="A466" i="23"/>
  <c r="E466" i="23" s="1"/>
  <c r="B466" i="23"/>
  <c r="C466" i="23"/>
  <c r="F466" i="23"/>
  <c r="A467" i="23"/>
  <c r="B467" i="23"/>
  <c r="C467" i="23"/>
  <c r="E467" i="23"/>
  <c r="F467" i="23"/>
  <c r="A468" i="23"/>
  <c r="B468" i="23"/>
  <c r="C468" i="23"/>
  <c r="E468" i="23"/>
  <c r="F468" i="23"/>
  <c r="B417" i="23"/>
  <c r="B365" i="23"/>
  <c r="B366" i="23"/>
  <c r="B367" i="23"/>
  <c r="B368" i="23"/>
  <c r="B369" i="23"/>
  <c r="B370" i="23"/>
  <c r="B371" i="23"/>
  <c r="B372" i="23"/>
  <c r="B373" i="23"/>
  <c r="B374" i="23"/>
  <c r="B375" i="23"/>
  <c r="B376" i="23"/>
  <c r="B377" i="23"/>
  <c r="B378" i="23"/>
  <c r="B379" i="23"/>
  <c r="B380" i="23"/>
  <c r="B381" i="23"/>
  <c r="B382" i="23"/>
  <c r="B383" i="23"/>
  <c r="B384" i="23"/>
  <c r="B385" i="23"/>
  <c r="B386" i="23"/>
  <c r="B387" i="23"/>
  <c r="B388" i="23"/>
  <c r="B389" i="23"/>
  <c r="B390" i="23"/>
  <c r="B391" i="23"/>
  <c r="B392" i="23"/>
  <c r="B393" i="23"/>
  <c r="B394" i="23"/>
  <c r="B395" i="23"/>
  <c r="B396" i="23"/>
  <c r="B397" i="23"/>
  <c r="B398" i="23"/>
  <c r="B399" i="23"/>
  <c r="B400" i="23"/>
  <c r="B401" i="23"/>
  <c r="B402" i="23"/>
  <c r="B403" i="23"/>
  <c r="B404" i="23"/>
  <c r="B405" i="23"/>
  <c r="B406" i="23"/>
  <c r="B407" i="23"/>
  <c r="B408" i="23"/>
  <c r="B409" i="23"/>
  <c r="B410" i="23"/>
  <c r="B411" i="23"/>
  <c r="B412" i="23"/>
  <c r="B413" i="23"/>
  <c r="B414" i="23"/>
  <c r="B415" i="23"/>
  <c r="B416" i="23"/>
  <c r="F417" i="23"/>
  <c r="C417" i="23"/>
  <c r="A417" i="23"/>
  <c r="E417" i="23"/>
  <c r="A366" i="23"/>
  <c r="E366" i="23" s="1"/>
  <c r="C366" i="23"/>
  <c r="F366" i="23"/>
  <c r="A367" i="23"/>
  <c r="C367" i="23"/>
  <c r="E367" i="23"/>
  <c r="F367" i="23"/>
  <c r="A368" i="23"/>
  <c r="E368" i="23" s="1"/>
  <c r="C368" i="23"/>
  <c r="F368" i="23"/>
  <c r="A369" i="23"/>
  <c r="E369" i="23" s="1"/>
  <c r="C369" i="23"/>
  <c r="F369" i="23"/>
  <c r="A370" i="23"/>
  <c r="C370" i="23"/>
  <c r="E370" i="23"/>
  <c r="F370" i="23"/>
  <c r="A371" i="23"/>
  <c r="C371" i="23"/>
  <c r="E371" i="23"/>
  <c r="F371" i="23"/>
  <c r="A372" i="23"/>
  <c r="E372" i="23" s="1"/>
  <c r="C372" i="23"/>
  <c r="F372" i="23"/>
  <c r="A373" i="23"/>
  <c r="C373" i="23"/>
  <c r="E373" i="23"/>
  <c r="F373" i="23"/>
  <c r="A374" i="23"/>
  <c r="E374" i="23" s="1"/>
  <c r="C374" i="23"/>
  <c r="F374" i="23"/>
  <c r="A375" i="23"/>
  <c r="C375" i="23"/>
  <c r="E375" i="23"/>
  <c r="F375" i="23"/>
  <c r="A376" i="23"/>
  <c r="E376" i="23" s="1"/>
  <c r="C376" i="23"/>
  <c r="F376" i="23"/>
  <c r="A377" i="23"/>
  <c r="E377" i="23" s="1"/>
  <c r="C377" i="23"/>
  <c r="F377" i="23"/>
  <c r="A378" i="23"/>
  <c r="C378" i="23"/>
  <c r="E378" i="23"/>
  <c r="F378" i="23"/>
  <c r="A379" i="23"/>
  <c r="C379" i="23"/>
  <c r="E379" i="23"/>
  <c r="F379" i="23"/>
  <c r="A380" i="23"/>
  <c r="E380" i="23" s="1"/>
  <c r="C380" i="23"/>
  <c r="F380" i="23"/>
  <c r="A381" i="23"/>
  <c r="C381" i="23"/>
  <c r="E381" i="23"/>
  <c r="F381" i="23"/>
  <c r="A382" i="23"/>
  <c r="E382" i="23" s="1"/>
  <c r="C382" i="23"/>
  <c r="F382" i="23"/>
  <c r="A383" i="23"/>
  <c r="C383" i="23"/>
  <c r="E383" i="23"/>
  <c r="F383" i="23"/>
  <c r="A384" i="23"/>
  <c r="E384" i="23" s="1"/>
  <c r="C384" i="23"/>
  <c r="F384" i="23"/>
  <c r="A385" i="23"/>
  <c r="E385" i="23" s="1"/>
  <c r="C385" i="23"/>
  <c r="F385" i="23"/>
  <c r="A386" i="23"/>
  <c r="C386" i="23"/>
  <c r="E386" i="23"/>
  <c r="F386" i="23"/>
  <c r="A387" i="23"/>
  <c r="C387" i="23"/>
  <c r="E387" i="23"/>
  <c r="F387" i="23"/>
  <c r="A388" i="23"/>
  <c r="E388" i="23" s="1"/>
  <c r="C388" i="23"/>
  <c r="F388" i="23"/>
  <c r="A389" i="23"/>
  <c r="C389" i="23"/>
  <c r="E389" i="23"/>
  <c r="F389" i="23"/>
  <c r="A390" i="23"/>
  <c r="E390" i="23" s="1"/>
  <c r="C390" i="23"/>
  <c r="F390" i="23"/>
  <c r="A391" i="23"/>
  <c r="C391" i="23"/>
  <c r="E391" i="23"/>
  <c r="F391" i="23"/>
  <c r="A392" i="23"/>
  <c r="E392" i="23" s="1"/>
  <c r="C392" i="23"/>
  <c r="F392" i="23"/>
  <c r="A393" i="23"/>
  <c r="E393" i="23" s="1"/>
  <c r="C393" i="23"/>
  <c r="F393" i="23"/>
  <c r="A394" i="23"/>
  <c r="C394" i="23"/>
  <c r="E394" i="23"/>
  <c r="F394" i="23"/>
  <c r="A395" i="23"/>
  <c r="C395" i="23"/>
  <c r="E395" i="23"/>
  <c r="F395" i="23"/>
  <c r="A396" i="23"/>
  <c r="E396" i="23" s="1"/>
  <c r="C396" i="23"/>
  <c r="F396" i="23"/>
  <c r="A397" i="23"/>
  <c r="C397" i="23"/>
  <c r="E397" i="23"/>
  <c r="F397" i="23"/>
  <c r="A398" i="23"/>
  <c r="E398" i="23" s="1"/>
  <c r="C398" i="23"/>
  <c r="F398" i="23"/>
  <c r="A399" i="23"/>
  <c r="C399" i="23"/>
  <c r="E399" i="23"/>
  <c r="F399" i="23"/>
  <c r="A400" i="23"/>
  <c r="C400" i="23"/>
  <c r="E400" i="23"/>
  <c r="F400" i="23"/>
  <c r="A401" i="23"/>
  <c r="E401" i="23" s="1"/>
  <c r="C401" i="23"/>
  <c r="F401" i="23"/>
  <c r="A402" i="23"/>
  <c r="C402" i="23"/>
  <c r="E402" i="23"/>
  <c r="F402" i="23"/>
  <c r="A403" i="23"/>
  <c r="C403" i="23"/>
  <c r="E403" i="23"/>
  <c r="F403" i="23"/>
  <c r="A404" i="23"/>
  <c r="E404" i="23" s="1"/>
  <c r="C404" i="23"/>
  <c r="F404" i="23"/>
  <c r="A405" i="23"/>
  <c r="C405" i="23"/>
  <c r="E405" i="23"/>
  <c r="F405" i="23"/>
  <c r="A406" i="23"/>
  <c r="E406" i="23" s="1"/>
  <c r="C406" i="23"/>
  <c r="F406" i="23"/>
  <c r="A407" i="23"/>
  <c r="C407" i="23"/>
  <c r="E407" i="23"/>
  <c r="F407" i="23"/>
  <c r="A408" i="23"/>
  <c r="C408" i="23"/>
  <c r="E408" i="23"/>
  <c r="F408" i="23"/>
  <c r="A409" i="23"/>
  <c r="E409" i="23" s="1"/>
  <c r="C409" i="23"/>
  <c r="F409" i="23"/>
  <c r="A410" i="23"/>
  <c r="C410" i="23"/>
  <c r="E410" i="23"/>
  <c r="F410" i="23"/>
  <c r="A411" i="23"/>
  <c r="C411" i="23"/>
  <c r="E411" i="23"/>
  <c r="F411" i="23"/>
  <c r="A412" i="23"/>
  <c r="E412" i="23" s="1"/>
  <c r="C412" i="23"/>
  <c r="F412" i="23"/>
  <c r="A413" i="23"/>
  <c r="C413" i="23"/>
  <c r="E413" i="23"/>
  <c r="F413" i="23"/>
  <c r="A414" i="23"/>
  <c r="E414" i="23" s="1"/>
  <c r="C414" i="23"/>
  <c r="F414" i="23"/>
  <c r="A415" i="23"/>
  <c r="C415" i="23"/>
  <c r="E415" i="23"/>
  <c r="F415" i="23"/>
  <c r="A416" i="23"/>
  <c r="C416" i="23"/>
  <c r="E416" i="23"/>
  <c r="F416" i="23"/>
  <c r="F365" i="23"/>
  <c r="C365" i="23"/>
  <c r="A365" i="23"/>
  <c r="E365" i="23" s="1"/>
  <c r="A314" i="23"/>
  <c r="B314" i="23"/>
  <c r="C314" i="23"/>
  <c r="E314" i="23"/>
  <c r="F314" i="23"/>
  <c r="A315" i="23"/>
  <c r="B315" i="23"/>
  <c r="C315" i="23"/>
  <c r="E315" i="23"/>
  <c r="F315" i="23"/>
  <c r="A316" i="23"/>
  <c r="B316" i="23"/>
  <c r="C316" i="23"/>
  <c r="E316" i="23"/>
  <c r="F316" i="23"/>
  <c r="A317" i="23"/>
  <c r="B317" i="23"/>
  <c r="C317" i="23"/>
  <c r="E317" i="23"/>
  <c r="F317" i="23"/>
  <c r="A318" i="23"/>
  <c r="B318" i="23"/>
  <c r="C318" i="23"/>
  <c r="E318" i="23"/>
  <c r="F318" i="23"/>
  <c r="A319" i="23"/>
  <c r="B319" i="23"/>
  <c r="C319" i="23"/>
  <c r="E319" i="23"/>
  <c r="F319" i="23"/>
  <c r="A320" i="23"/>
  <c r="B320" i="23"/>
  <c r="C320" i="23"/>
  <c r="E320" i="23"/>
  <c r="F320" i="23"/>
  <c r="A321" i="23"/>
  <c r="B321" i="23"/>
  <c r="C321" i="23"/>
  <c r="E321" i="23"/>
  <c r="F321" i="23"/>
  <c r="A322" i="23"/>
  <c r="B322" i="23"/>
  <c r="C322" i="23"/>
  <c r="E322" i="23"/>
  <c r="F322" i="23"/>
  <c r="A323" i="23"/>
  <c r="B323" i="23"/>
  <c r="C323" i="23"/>
  <c r="E323" i="23"/>
  <c r="F323" i="23"/>
  <c r="A324" i="23"/>
  <c r="B324" i="23"/>
  <c r="C324" i="23"/>
  <c r="E324" i="23"/>
  <c r="F324" i="23"/>
  <c r="A325" i="23"/>
  <c r="B325" i="23"/>
  <c r="C325" i="23"/>
  <c r="E325" i="23"/>
  <c r="F325" i="23"/>
  <c r="A326" i="23"/>
  <c r="B326" i="23"/>
  <c r="C326" i="23"/>
  <c r="E326" i="23"/>
  <c r="F326" i="23"/>
  <c r="A327" i="23"/>
  <c r="B327" i="23"/>
  <c r="C327" i="23"/>
  <c r="E327" i="23"/>
  <c r="F327" i="23"/>
  <c r="A328" i="23"/>
  <c r="B328" i="23"/>
  <c r="C328" i="23"/>
  <c r="E328" i="23"/>
  <c r="F328" i="23"/>
  <c r="A329" i="23"/>
  <c r="B329" i="23"/>
  <c r="C329" i="23"/>
  <c r="E329" i="23"/>
  <c r="F329" i="23"/>
  <c r="A330" i="23"/>
  <c r="B330" i="23"/>
  <c r="C330" i="23"/>
  <c r="E330" i="23"/>
  <c r="F330" i="23"/>
  <c r="A331" i="23"/>
  <c r="B331" i="23"/>
  <c r="C331" i="23"/>
  <c r="E331" i="23"/>
  <c r="F331" i="23"/>
  <c r="A332" i="23"/>
  <c r="B332" i="23"/>
  <c r="C332" i="23"/>
  <c r="E332" i="23"/>
  <c r="F332" i="23"/>
  <c r="A333" i="23"/>
  <c r="B333" i="23"/>
  <c r="C333" i="23"/>
  <c r="E333" i="23"/>
  <c r="F333" i="23"/>
  <c r="A334" i="23"/>
  <c r="B334" i="23"/>
  <c r="C334" i="23"/>
  <c r="E334" i="23"/>
  <c r="F334" i="23"/>
  <c r="A335" i="23"/>
  <c r="B335" i="23"/>
  <c r="C335" i="23"/>
  <c r="E335" i="23"/>
  <c r="F335" i="23"/>
  <c r="A336" i="23"/>
  <c r="B336" i="23"/>
  <c r="C336" i="23"/>
  <c r="E336" i="23"/>
  <c r="F336" i="23"/>
  <c r="A337" i="23"/>
  <c r="B337" i="23"/>
  <c r="C337" i="23"/>
  <c r="E337" i="23"/>
  <c r="F337" i="23"/>
  <c r="A338" i="23"/>
  <c r="B338" i="23"/>
  <c r="C338" i="23"/>
  <c r="E338" i="23"/>
  <c r="F338" i="23"/>
  <c r="A339" i="23"/>
  <c r="B339" i="23"/>
  <c r="C339" i="23"/>
  <c r="E339" i="23"/>
  <c r="F339" i="23"/>
  <c r="A340" i="23"/>
  <c r="B340" i="23"/>
  <c r="C340" i="23"/>
  <c r="E340" i="23"/>
  <c r="F340" i="23"/>
  <c r="A341" i="23"/>
  <c r="B341" i="23"/>
  <c r="C341" i="23"/>
  <c r="E341" i="23"/>
  <c r="F341" i="23"/>
  <c r="A342" i="23"/>
  <c r="B342" i="23"/>
  <c r="C342" i="23"/>
  <c r="E342" i="23"/>
  <c r="F342" i="23"/>
  <c r="A343" i="23"/>
  <c r="B343" i="23"/>
  <c r="C343" i="23"/>
  <c r="E343" i="23"/>
  <c r="F343" i="23"/>
  <c r="A344" i="23"/>
  <c r="B344" i="23"/>
  <c r="C344" i="23"/>
  <c r="E344" i="23"/>
  <c r="F344" i="23"/>
  <c r="A345" i="23"/>
  <c r="B345" i="23"/>
  <c r="C345" i="23"/>
  <c r="E345" i="23"/>
  <c r="F345" i="23"/>
  <c r="A346" i="23"/>
  <c r="B346" i="23"/>
  <c r="C346" i="23"/>
  <c r="E346" i="23"/>
  <c r="F346" i="23"/>
  <c r="A347" i="23"/>
  <c r="B347" i="23"/>
  <c r="C347" i="23"/>
  <c r="E347" i="23"/>
  <c r="F347" i="23"/>
  <c r="A348" i="23"/>
  <c r="B348" i="23"/>
  <c r="C348" i="23"/>
  <c r="E348" i="23"/>
  <c r="F348" i="23"/>
  <c r="A349" i="23"/>
  <c r="B349" i="23"/>
  <c r="C349" i="23"/>
  <c r="E349" i="23"/>
  <c r="F349" i="23"/>
  <c r="A350" i="23"/>
  <c r="B350" i="23"/>
  <c r="C350" i="23"/>
  <c r="E350" i="23"/>
  <c r="F350" i="23"/>
  <c r="A351" i="23"/>
  <c r="B351" i="23"/>
  <c r="C351" i="23"/>
  <c r="E351" i="23"/>
  <c r="F351" i="23"/>
  <c r="A352" i="23"/>
  <c r="B352" i="23"/>
  <c r="C352" i="23"/>
  <c r="E352" i="23"/>
  <c r="F352" i="23"/>
  <c r="A353" i="23"/>
  <c r="B353" i="23"/>
  <c r="C353" i="23"/>
  <c r="E353" i="23"/>
  <c r="F353" i="23"/>
  <c r="A354" i="23"/>
  <c r="B354" i="23"/>
  <c r="C354" i="23"/>
  <c r="E354" i="23"/>
  <c r="F354" i="23"/>
  <c r="A355" i="23"/>
  <c r="B355" i="23"/>
  <c r="C355" i="23"/>
  <c r="E355" i="23"/>
  <c r="F355" i="23"/>
  <c r="A356" i="23"/>
  <c r="B356" i="23"/>
  <c r="C356" i="23"/>
  <c r="E356" i="23"/>
  <c r="F356" i="23"/>
  <c r="A357" i="23"/>
  <c r="B357" i="23"/>
  <c r="C357" i="23"/>
  <c r="E357" i="23"/>
  <c r="F357" i="23"/>
  <c r="A358" i="23"/>
  <c r="B358" i="23"/>
  <c r="C358" i="23"/>
  <c r="E358" i="23"/>
  <c r="F358" i="23"/>
  <c r="A359" i="23"/>
  <c r="B359" i="23"/>
  <c r="C359" i="23"/>
  <c r="E359" i="23"/>
  <c r="F359" i="23"/>
  <c r="A360" i="23"/>
  <c r="B360" i="23"/>
  <c r="C360" i="23"/>
  <c r="E360" i="23"/>
  <c r="F360" i="23"/>
  <c r="A361" i="23"/>
  <c r="B361" i="23"/>
  <c r="C361" i="23"/>
  <c r="E361" i="23"/>
  <c r="F361" i="23"/>
  <c r="A362" i="23"/>
  <c r="B362" i="23"/>
  <c r="C362" i="23"/>
  <c r="E362" i="23"/>
  <c r="F362" i="23"/>
  <c r="A363" i="23"/>
  <c r="B363" i="23"/>
  <c r="C363" i="23"/>
  <c r="E363" i="23"/>
  <c r="F363" i="23"/>
  <c r="A364" i="23"/>
  <c r="B364" i="23"/>
  <c r="C364" i="23"/>
  <c r="E364" i="23"/>
  <c r="F364" i="23"/>
  <c r="F313" i="23"/>
  <c r="C313" i="23"/>
  <c r="B313" i="23"/>
  <c r="A313" i="23"/>
  <c r="E313" i="23" s="1"/>
  <c r="A262" i="23"/>
  <c r="E262" i="23" s="1"/>
  <c r="B262" i="23"/>
  <c r="C262" i="23"/>
  <c r="F262" i="23"/>
  <c r="A263" i="23"/>
  <c r="B263" i="23"/>
  <c r="C263" i="23"/>
  <c r="E263" i="23"/>
  <c r="F263" i="23"/>
  <c r="A264" i="23"/>
  <c r="E264" i="23" s="1"/>
  <c r="B264" i="23"/>
  <c r="C264" i="23"/>
  <c r="F264" i="23"/>
  <c r="A265" i="23"/>
  <c r="E265" i="23" s="1"/>
  <c r="B265" i="23"/>
  <c r="C265" i="23"/>
  <c r="F265" i="23"/>
  <c r="A266" i="23"/>
  <c r="B266" i="23"/>
  <c r="C266" i="23"/>
  <c r="E266" i="23"/>
  <c r="F266" i="23"/>
  <c r="A267" i="23"/>
  <c r="B267" i="23"/>
  <c r="C267" i="23"/>
  <c r="E267" i="23"/>
  <c r="F267" i="23"/>
  <c r="A268" i="23"/>
  <c r="E268" i="23" s="1"/>
  <c r="B268" i="23"/>
  <c r="C268" i="23"/>
  <c r="F268" i="23"/>
  <c r="A269" i="23"/>
  <c r="B269" i="23"/>
  <c r="C269" i="23"/>
  <c r="E269" i="23"/>
  <c r="F269" i="23"/>
  <c r="A270" i="23"/>
  <c r="E270" i="23" s="1"/>
  <c r="B270" i="23"/>
  <c r="C270" i="23"/>
  <c r="F270" i="23"/>
  <c r="A271" i="23"/>
  <c r="B271" i="23"/>
  <c r="C271" i="23"/>
  <c r="E271" i="23"/>
  <c r="F271" i="23"/>
  <c r="A272" i="23"/>
  <c r="E272" i="23" s="1"/>
  <c r="B272" i="23"/>
  <c r="C272" i="23"/>
  <c r="F272" i="23"/>
  <c r="A273" i="23"/>
  <c r="E273" i="23" s="1"/>
  <c r="B273" i="23"/>
  <c r="C273" i="23"/>
  <c r="F273" i="23"/>
  <c r="A274" i="23"/>
  <c r="B274" i="23"/>
  <c r="C274" i="23"/>
  <c r="E274" i="23"/>
  <c r="F274" i="23"/>
  <c r="A275" i="23"/>
  <c r="B275" i="23"/>
  <c r="C275" i="23"/>
  <c r="E275" i="23"/>
  <c r="F275" i="23"/>
  <c r="A276" i="23"/>
  <c r="E276" i="23" s="1"/>
  <c r="B276" i="23"/>
  <c r="C276" i="23"/>
  <c r="F276" i="23"/>
  <c r="A277" i="23"/>
  <c r="B277" i="23"/>
  <c r="C277" i="23"/>
  <c r="E277" i="23"/>
  <c r="F277" i="23"/>
  <c r="A278" i="23"/>
  <c r="E278" i="23" s="1"/>
  <c r="B278" i="23"/>
  <c r="C278" i="23"/>
  <c r="F278" i="23"/>
  <c r="A279" i="23"/>
  <c r="B279" i="23"/>
  <c r="C279" i="23"/>
  <c r="E279" i="23"/>
  <c r="F279" i="23"/>
  <c r="A280" i="23"/>
  <c r="E280" i="23" s="1"/>
  <c r="B280" i="23"/>
  <c r="C280" i="23"/>
  <c r="F280" i="23"/>
  <c r="A281" i="23"/>
  <c r="E281" i="23" s="1"/>
  <c r="B281" i="23"/>
  <c r="C281" i="23"/>
  <c r="F281" i="23"/>
  <c r="A282" i="23"/>
  <c r="B282" i="23"/>
  <c r="C282" i="23"/>
  <c r="E282" i="23"/>
  <c r="F282" i="23"/>
  <c r="A283" i="23"/>
  <c r="B283" i="23"/>
  <c r="C283" i="23"/>
  <c r="E283" i="23"/>
  <c r="F283" i="23"/>
  <c r="A284" i="23"/>
  <c r="E284" i="23" s="1"/>
  <c r="B284" i="23"/>
  <c r="C284" i="23"/>
  <c r="F284" i="23"/>
  <c r="A285" i="23"/>
  <c r="B285" i="23"/>
  <c r="C285" i="23"/>
  <c r="E285" i="23"/>
  <c r="F285" i="23"/>
  <c r="A286" i="23"/>
  <c r="E286" i="23" s="1"/>
  <c r="B286" i="23"/>
  <c r="C286" i="23"/>
  <c r="F286" i="23"/>
  <c r="A287" i="23"/>
  <c r="B287" i="23"/>
  <c r="C287" i="23"/>
  <c r="E287" i="23"/>
  <c r="F287" i="23"/>
  <c r="A288" i="23"/>
  <c r="E288" i="23" s="1"/>
  <c r="B288" i="23"/>
  <c r="C288" i="23"/>
  <c r="F288" i="23"/>
  <c r="A289" i="23"/>
  <c r="E289" i="23" s="1"/>
  <c r="B289" i="23"/>
  <c r="C289" i="23"/>
  <c r="F289" i="23"/>
  <c r="A290" i="23"/>
  <c r="B290" i="23"/>
  <c r="C290" i="23"/>
  <c r="E290" i="23"/>
  <c r="F290" i="23"/>
  <c r="A291" i="23"/>
  <c r="B291" i="23"/>
  <c r="C291" i="23"/>
  <c r="E291" i="23"/>
  <c r="F291" i="23"/>
  <c r="A292" i="23"/>
  <c r="E292" i="23" s="1"/>
  <c r="B292" i="23"/>
  <c r="C292" i="23"/>
  <c r="F292" i="23"/>
  <c r="A293" i="23"/>
  <c r="B293" i="23"/>
  <c r="C293" i="23"/>
  <c r="E293" i="23"/>
  <c r="F293" i="23"/>
  <c r="A294" i="23"/>
  <c r="E294" i="23" s="1"/>
  <c r="B294" i="23"/>
  <c r="C294" i="23"/>
  <c r="F294" i="23"/>
  <c r="A295" i="23"/>
  <c r="B295" i="23"/>
  <c r="C295" i="23"/>
  <c r="E295" i="23"/>
  <c r="F295" i="23"/>
  <c r="A296" i="23"/>
  <c r="B296" i="23"/>
  <c r="C296" i="23"/>
  <c r="E296" i="23"/>
  <c r="F296" i="23"/>
  <c r="A297" i="23"/>
  <c r="E297" i="23" s="1"/>
  <c r="B297" i="23"/>
  <c r="C297" i="23"/>
  <c r="F297" i="23"/>
  <c r="A298" i="23"/>
  <c r="B298" i="23"/>
  <c r="C298" i="23"/>
  <c r="E298" i="23"/>
  <c r="F298" i="23"/>
  <c r="A299" i="23"/>
  <c r="B299" i="23"/>
  <c r="C299" i="23"/>
  <c r="E299" i="23"/>
  <c r="F299" i="23"/>
  <c r="A300" i="23"/>
  <c r="E300" i="23" s="1"/>
  <c r="B300" i="23"/>
  <c r="C300" i="23"/>
  <c r="F300" i="23"/>
  <c r="A301" i="23"/>
  <c r="B301" i="23"/>
  <c r="C301" i="23"/>
  <c r="E301" i="23"/>
  <c r="F301" i="23"/>
  <c r="A302" i="23"/>
  <c r="E302" i="23" s="1"/>
  <c r="B302" i="23"/>
  <c r="C302" i="23"/>
  <c r="F302" i="23"/>
  <c r="A303" i="23"/>
  <c r="B303" i="23"/>
  <c r="C303" i="23"/>
  <c r="E303" i="23"/>
  <c r="F303" i="23"/>
  <c r="A304" i="23"/>
  <c r="B304" i="23"/>
  <c r="C304" i="23"/>
  <c r="E304" i="23"/>
  <c r="F304" i="23"/>
  <c r="A305" i="23"/>
  <c r="E305" i="23" s="1"/>
  <c r="B305" i="23"/>
  <c r="C305" i="23"/>
  <c r="F305" i="23"/>
  <c r="A306" i="23"/>
  <c r="B306" i="23"/>
  <c r="C306" i="23"/>
  <c r="E306" i="23"/>
  <c r="F306" i="23"/>
  <c r="A307" i="23"/>
  <c r="B307" i="23"/>
  <c r="C307" i="23"/>
  <c r="E307" i="23"/>
  <c r="F307" i="23"/>
  <c r="A308" i="23"/>
  <c r="E308" i="23" s="1"/>
  <c r="B308" i="23"/>
  <c r="C308" i="23"/>
  <c r="F308" i="23"/>
  <c r="A309" i="23"/>
  <c r="B309" i="23"/>
  <c r="C309" i="23"/>
  <c r="E309" i="23"/>
  <c r="F309" i="23"/>
  <c r="A310" i="23"/>
  <c r="E310" i="23" s="1"/>
  <c r="B310" i="23"/>
  <c r="C310" i="23"/>
  <c r="F310" i="23"/>
  <c r="A311" i="23"/>
  <c r="B311" i="23"/>
  <c r="C311" i="23"/>
  <c r="E311" i="23"/>
  <c r="F311" i="23"/>
  <c r="A312" i="23"/>
  <c r="B312" i="23"/>
  <c r="C312" i="23"/>
  <c r="E312" i="23"/>
  <c r="F312" i="23"/>
  <c r="F261" i="23"/>
  <c r="B261" i="23"/>
  <c r="A261" i="23"/>
  <c r="E261" i="23" s="1"/>
  <c r="A210" i="23"/>
  <c r="B210" i="23"/>
  <c r="C210" i="23"/>
  <c r="E210" i="23"/>
  <c r="F210" i="23"/>
  <c r="A211" i="23"/>
  <c r="E211" i="23" s="1"/>
  <c r="B211" i="23"/>
  <c r="C211" i="23"/>
  <c r="F211" i="23"/>
  <c r="A212" i="23"/>
  <c r="B212" i="23"/>
  <c r="C212" i="23"/>
  <c r="E212" i="23"/>
  <c r="F212" i="23"/>
  <c r="A213" i="23"/>
  <c r="E213" i="23" s="1"/>
  <c r="B213" i="23"/>
  <c r="C213" i="23"/>
  <c r="F213" i="23"/>
  <c r="A214" i="23"/>
  <c r="B214" i="23"/>
  <c r="C214" i="23"/>
  <c r="E214" i="23"/>
  <c r="F214" i="23"/>
  <c r="A215" i="23"/>
  <c r="E215" i="23" s="1"/>
  <c r="B215" i="23"/>
  <c r="C215" i="23"/>
  <c r="F215" i="23"/>
  <c r="A216" i="23"/>
  <c r="B216" i="23"/>
  <c r="C216" i="23"/>
  <c r="E216" i="23"/>
  <c r="F216" i="23"/>
  <c r="A217" i="23"/>
  <c r="E217" i="23" s="1"/>
  <c r="B217" i="23"/>
  <c r="C217" i="23"/>
  <c r="F217" i="23"/>
  <c r="A218" i="23"/>
  <c r="B218" i="23"/>
  <c r="C218" i="23"/>
  <c r="E218" i="23"/>
  <c r="F218" i="23"/>
  <c r="A219" i="23"/>
  <c r="E219" i="23" s="1"/>
  <c r="B219" i="23"/>
  <c r="C219" i="23"/>
  <c r="F219" i="23"/>
  <c r="A220" i="23"/>
  <c r="B220" i="23"/>
  <c r="C220" i="23"/>
  <c r="E220" i="23"/>
  <c r="F220" i="23"/>
  <c r="A221" i="23"/>
  <c r="E221" i="23" s="1"/>
  <c r="B221" i="23"/>
  <c r="C221" i="23"/>
  <c r="F221" i="23"/>
  <c r="A222" i="23"/>
  <c r="B222" i="23"/>
  <c r="C222" i="23"/>
  <c r="E222" i="23"/>
  <c r="F222" i="23"/>
  <c r="A223" i="23"/>
  <c r="E223" i="23" s="1"/>
  <c r="B223" i="23"/>
  <c r="C223" i="23"/>
  <c r="F223" i="23"/>
  <c r="A224" i="23"/>
  <c r="B224" i="23"/>
  <c r="C224" i="23"/>
  <c r="E224" i="23"/>
  <c r="F224" i="23"/>
  <c r="A225" i="23"/>
  <c r="E225" i="23" s="1"/>
  <c r="B225" i="23"/>
  <c r="C225" i="23"/>
  <c r="F225" i="23"/>
  <c r="A226" i="23"/>
  <c r="B226" i="23"/>
  <c r="C226" i="23"/>
  <c r="E226" i="23"/>
  <c r="F226" i="23"/>
  <c r="A227" i="23"/>
  <c r="E227" i="23" s="1"/>
  <c r="B227" i="23"/>
  <c r="C227" i="23"/>
  <c r="F227" i="23"/>
  <c r="A228" i="23"/>
  <c r="B228" i="23"/>
  <c r="C228" i="23"/>
  <c r="E228" i="23"/>
  <c r="F228" i="23"/>
  <c r="A229" i="23"/>
  <c r="E229" i="23" s="1"/>
  <c r="B229" i="23"/>
  <c r="C229" i="23"/>
  <c r="F229" i="23"/>
  <c r="A230" i="23"/>
  <c r="B230" i="23"/>
  <c r="C230" i="23"/>
  <c r="E230" i="23"/>
  <c r="F230" i="23"/>
  <c r="A231" i="23"/>
  <c r="E231" i="23" s="1"/>
  <c r="B231" i="23"/>
  <c r="C231" i="23"/>
  <c r="F231" i="23"/>
  <c r="A232" i="23"/>
  <c r="B232" i="23"/>
  <c r="C232" i="23"/>
  <c r="E232" i="23"/>
  <c r="F232" i="23"/>
  <c r="A233" i="23"/>
  <c r="E233" i="23" s="1"/>
  <c r="B233" i="23"/>
  <c r="C233" i="23"/>
  <c r="F233" i="23"/>
  <c r="A234" i="23"/>
  <c r="B234" i="23"/>
  <c r="C234" i="23"/>
  <c r="E234" i="23"/>
  <c r="F234" i="23"/>
  <c r="A235" i="23"/>
  <c r="E235" i="23" s="1"/>
  <c r="B235" i="23"/>
  <c r="C235" i="23"/>
  <c r="F235" i="23"/>
  <c r="A236" i="23"/>
  <c r="B236" i="23"/>
  <c r="C236" i="23"/>
  <c r="E236" i="23"/>
  <c r="F236" i="23"/>
  <c r="A237" i="23"/>
  <c r="E237" i="23" s="1"/>
  <c r="B237" i="23"/>
  <c r="C237" i="23"/>
  <c r="F237" i="23"/>
  <c r="A238" i="23"/>
  <c r="B238" i="23"/>
  <c r="C238" i="23"/>
  <c r="E238" i="23"/>
  <c r="F238" i="23"/>
  <c r="A239" i="23"/>
  <c r="E239" i="23" s="1"/>
  <c r="B239" i="23"/>
  <c r="C239" i="23"/>
  <c r="F239" i="23"/>
  <c r="A240" i="23"/>
  <c r="B240" i="23"/>
  <c r="C240" i="23"/>
  <c r="E240" i="23"/>
  <c r="F240" i="23"/>
  <c r="A241" i="23"/>
  <c r="E241" i="23" s="1"/>
  <c r="B241" i="23"/>
  <c r="C241" i="23"/>
  <c r="F241" i="23"/>
  <c r="A242" i="23"/>
  <c r="B242" i="23"/>
  <c r="C242" i="23"/>
  <c r="E242" i="23"/>
  <c r="F242" i="23"/>
  <c r="A243" i="23"/>
  <c r="E243" i="23" s="1"/>
  <c r="B243" i="23"/>
  <c r="C243" i="23"/>
  <c r="F243" i="23"/>
  <c r="A244" i="23"/>
  <c r="B244" i="23"/>
  <c r="C244" i="23"/>
  <c r="E244" i="23"/>
  <c r="F244" i="23"/>
  <c r="A245" i="23"/>
  <c r="E245" i="23" s="1"/>
  <c r="B245" i="23"/>
  <c r="C245" i="23"/>
  <c r="F245" i="23"/>
  <c r="A246" i="23"/>
  <c r="B246" i="23"/>
  <c r="C246" i="23"/>
  <c r="E246" i="23"/>
  <c r="F246" i="23"/>
  <c r="A247" i="23"/>
  <c r="E247" i="23" s="1"/>
  <c r="B247" i="23"/>
  <c r="C247" i="23"/>
  <c r="F247" i="23"/>
  <c r="A248" i="23"/>
  <c r="B248" i="23"/>
  <c r="C248" i="23"/>
  <c r="E248" i="23"/>
  <c r="F248" i="23"/>
  <c r="A249" i="23"/>
  <c r="E249" i="23" s="1"/>
  <c r="B249" i="23"/>
  <c r="C249" i="23"/>
  <c r="F249" i="23"/>
  <c r="A250" i="23"/>
  <c r="B250" i="23"/>
  <c r="C250" i="23"/>
  <c r="E250" i="23"/>
  <c r="F250" i="23"/>
  <c r="A251" i="23"/>
  <c r="E251" i="23" s="1"/>
  <c r="B251" i="23"/>
  <c r="C251" i="23"/>
  <c r="F251" i="23"/>
  <c r="A252" i="23"/>
  <c r="B252" i="23"/>
  <c r="C252" i="23"/>
  <c r="E252" i="23"/>
  <c r="F252" i="23"/>
  <c r="A253" i="23"/>
  <c r="E253" i="23" s="1"/>
  <c r="B253" i="23"/>
  <c r="C253" i="23"/>
  <c r="F253" i="23"/>
  <c r="A254" i="23"/>
  <c r="B254" i="23"/>
  <c r="C254" i="23"/>
  <c r="E254" i="23"/>
  <c r="F254" i="23"/>
  <c r="A255" i="23"/>
  <c r="E255" i="23" s="1"/>
  <c r="B255" i="23"/>
  <c r="C255" i="23"/>
  <c r="F255" i="23"/>
  <c r="A256" i="23"/>
  <c r="B256" i="23"/>
  <c r="C256" i="23"/>
  <c r="E256" i="23"/>
  <c r="F256" i="23"/>
  <c r="A257" i="23"/>
  <c r="E257" i="23" s="1"/>
  <c r="B257" i="23"/>
  <c r="C257" i="23"/>
  <c r="F257" i="23"/>
  <c r="A258" i="23"/>
  <c r="B258" i="23"/>
  <c r="C258" i="23"/>
  <c r="E258" i="23"/>
  <c r="F258" i="23"/>
  <c r="A259" i="23"/>
  <c r="E259" i="23" s="1"/>
  <c r="B259" i="23"/>
  <c r="C259" i="23"/>
  <c r="F259" i="23"/>
  <c r="A260" i="23"/>
  <c r="B260" i="23"/>
  <c r="C260" i="23"/>
  <c r="E260" i="23"/>
  <c r="F260" i="23"/>
  <c r="B209" i="23"/>
  <c r="F209" i="23"/>
  <c r="A209" i="23"/>
  <c r="E209" i="23" s="1"/>
  <c r="C261" i="23"/>
  <c r="C209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157" i="23"/>
  <c r="A158" i="23"/>
  <c r="E158" i="23" s="1"/>
  <c r="C158" i="23"/>
  <c r="F158" i="23"/>
  <c r="A159" i="23"/>
  <c r="C159" i="23"/>
  <c r="E159" i="23"/>
  <c r="F159" i="23"/>
  <c r="A160" i="23"/>
  <c r="E160" i="23" s="1"/>
  <c r="C160" i="23"/>
  <c r="F160" i="23"/>
  <c r="A161" i="23"/>
  <c r="E161" i="23" s="1"/>
  <c r="C161" i="23"/>
  <c r="F161" i="23"/>
  <c r="A162" i="23"/>
  <c r="C162" i="23"/>
  <c r="E162" i="23"/>
  <c r="F162" i="23"/>
  <c r="A163" i="23"/>
  <c r="C163" i="23"/>
  <c r="E163" i="23"/>
  <c r="F163" i="23"/>
  <c r="A164" i="23"/>
  <c r="E164" i="23" s="1"/>
  <c r="C164" i="23"/>
  <c r="F164" i="23"/>
  <c r="A165" i="23"/>
  <c r="E165" i="23" s="1"/>
  <c r="C165" i="23"/>
  <c r="F165" i="23"/>
  <c r="A166" i="23"/>
  <c r="E166" i="23" s="1"/>
  <c r="C166" i="23"/>
  <c r="F166" i="23"/>
  <c r="A167" i="23"/>
  <c r="C167" i="23"/>
  <c r="E167" i="23"/>
  <c r="F167" i="23"/>
  <c r="A168" i="23"/>
  <c r="E168" i="23" s="1"/>
  <c r="C168" i="23"/>
  <c r="F168" i="23"/>
  <c r="A169" i="23"/>
  <c r="E169" i="23" s="1"/>
  <c r="C169" i="23"/>
  <c r="F169" i="23"/>
  <c r="A170" i="23"/>
  <c r="C170" i="23"/>
  <c r="E170" i="23"/>
  <c r="F170" i="23"/>
  <c r="A171" i="23"/>
  <c r="C171" i="23"/>
  <c r="E171" i="23"/>
  <c r="F171" i="23"/>
  <c r="A172" i="23"/>
  <c r="E172" i="23" s="1"/>
  <c r="C172" i="23"/>
  <c r="F172" i="23"/>
  <c r="A173" i="23"/>
  <c r="E173" i="23" s="1"/>
  <c r="C173" i="23"/>
  <c r="F173" i="23"/>
  <c r="A174" i="23"/>
  <c r="E174" i="23" s="1"/>
  <c r="C174" i="23"/>
  <c r="F174" i="23"/>
  <c r="A175" i="23"/>
  <c r="C175" i="23"/>
  <c r="E175" i="23"/>
  <c r="F175" i="23"/>
  <c r="A176" i="23"/>
  <c r="E176" i="23" s="1"/>
  <c r="C176" i="23"/>
  <c r="F176" i="23"/>
  <c r="A177" i="23"/>
  <c r="E177" i="23" s="1"/>
  <c r="C177" i="23"/>
  <c r="F177" i="23"/>
  <c r="A178" i="23"/>
  <c r="C178" i="23"/>
  <c r="E178" i="23"/>
  <c r="F178" i="23"/>
  <c r="A179" i="23"/>
  <c r="C179" i="23"/>
  <c r="E179" i="23"/>
  <c r="F179" i="23"/>
  <c r="A180" i="23"/>
  <c r="E180" i="23" s="1"/>
  <c r="C180" i="23"/>
  <c r="F180" i="23"/>
  <c r="A181" i="23"/>
  <c r="E181" i="23" s="1"/>
  <c r="C181" i="23"/>
  <c r="F181" i="23"/>
  <c r="A182" i="23"/>
  <c r="E182" i="23" s="1"/>
  <c r="C182" i="23"/>
  <c r="F182" i="23"/>
  <c r="A183" i="23"/>
  <c r="C183" i="23"/>
  <c r="E183" i="23"/>
  <c r="F183" i="23"/>
  <c r="A184" i="23"/>
  <c r="C184" i="23"/>
  <c r="E184" i="23"/>
  <c r="F184" i="23"/>
  <c r="A185" i="23"/>
  <c r="E185" i="23" s="1"/>
  <c r="C185" i="23"/>
  <c r="F185" i="23"/>
  <c r="A186" i="23"/>
  <c r="C186" i="23"/>
  <c r="E186" i="23"/>
  <c r="F186" i="23"/>
  <c r="A187" i="23"/>
  <c r="C187" i="23"/>
  <c r="E187" i="23"/>
  <c r="F187" i="23"/>
  <c r="A188" i="23"/>
  <c r="E188" i="23" s="1"/>
  <c r="C188" i="23"/>
  <c r="F188" i="23"/>
  <c r="A189" i="23"/>
  <c r="E189" i="23" s="1"/>
  <c r="C189" i="23"/>
  <c r="F189" i="23"/>
  <c r="A190" i="23"/>
  <c r="E190" i="23" s="1"/>
  <c r="C190" i="23"/>
  <c r="F190" i="23"/>
  <c r="A191" i="23"/>
  <c r="C191" i="23"/>
  <c r="E191" i="23"/>
  <c r="F191" i="23"/>
  <c r="A192" i="23"/>
  <c r="C192" i="23"/>
  <c r="E192" i="23"/>
  <c r="F192" i="23"/>
  <c r="A193" i="23"/>
  <c r="E193" i="23" s="1"/>
  <c r="C193" i="23"/>
  <c r="F193" i="23"/>
  <c r="A194" i="23"/>
  <c r="C194" i="23"/>
  <c r="E194" i="23"/>
  <c r="F194" i="23"/>
  <c r="A195" i="23"/>
  <c r="C195" i="23"/>
  <c r="E195" i="23"/>
  <c r="F195" i="23"/>
  <c r="A196" i="23"/>
  <c r="E196" i="23" s="1"/>
  <c r="C196" i="23"/>
  <c r="F196" i="23"/>
  <c r="A197" i="23"/>
  <c r="E197" i="23" s="1"/>
  <c r="C197" i="23"/>
  <c r="F197" i="23"/>
  <c r="A198" i="23"/>
  <c r="E198" i="23" s="1"/>
  <c r="C198" i="23"/>
  <c r="F198" i="23"/>
  <c r="A199" i="23"/>
  <c r="C199" i="23"/>
  <c r="E199" i="23"/>
  <c r="F199" i="23"/>
  <c r="A200" i="23"/>
  <c r="C200" i="23"/>
  <c r="E200" i="23"/>
  <c r="F200" i="23"/>
  <c r="A201" i="23"/>
  <c r="E201" i="23" s="1"/>
  <c r="C201" i="23"/>
  <c r="F201" i="23"/>
  <c r="A202" i="23"/>
  <c r="C202" i="23"/>
  <c r="E202" i="23"/>
  <c r="F202" i="23"/>
  <c r="A203" i="23"/>
  <c r="C203" i="23"/>
  <c r="E203" i="23"/>
  <c r="F203" i="23"/>
  <c r="A204" i="23"/>
  <c r="E204" i="23" s="1"/>
  <c r="C204" i="23"/>
  <c r="F204" i="23"/>
  <c r="A205" i="23"/>
  <c r="E205" i="23" s="1"/>
  <c r="C205" i="23"/>
  <c r="F205" i="23"/>
  <c r="A206" i="23"/>
  <c r="E206" i="23" s="1"/>
  <c r="C206" i="23"/>
  <c r="F206" i="23"/>
  <c r="A207" i="23"/>
  <c r="C207" i="23"/>
  <c r="E207" i="23"/>
  <c r="F207" i="23"/>
  <c r="A208" i="23"/>
  <c r="C208" i="23"/>
  <c r="E208" i="23"/>
  <c r="F208" i="23"/>
  <c r="F157" i="23"/>
  <c r="A157" i="23"/>
  <c r="E157" i="23" s="1"/>
  <c r="C157" i="23"/>
  <c r="B153" i="23"/>
  <c r="A106" i="23"/>
  <c r="E106" i="23" s="1"/>
  <c r="B106" i="23"/>
  <c r="C106" i="23"/>
  <c r="F106" i="23"/>
  <c r="A107" i="23"/>
  <c r="E107" i="23" s="1"/>
  <c r="B107" i="23"/>
  <c r="C107" i="23"/>
  <c r="F107" i="23"/>
  <c r="A108" i="23"/>
  <c r="B108" i="23"/>
  <c r="C108" i="23"/>
  <c r="E108" i="23"/>
  <c r="F108" i="23"/>
  <c r="A109" i="23"/>
  <c r="E109" i="23" s="1"/>
  <c r="B109" i="23"/>
  <c r="C109" i="23"/>
  <c r="F109" i="23"/>
  <c r="A110" i="23"/>
  <c r="E110" i="23" s="1"/>
  <c r="B110" i="23"/>
  <c r="C110" i="23"/>
  <c r="F110" i="23"/>
  <c r="A111" i="23"/>
  <c r="E111" i="23" s="1"/>
  <c r="B111" i="23"/>
  <c r="C111" i="23"/>
  <c r="F111" i="23"/>
  <c r="A112" i="23"/>
  <c r="B112" i="23"/>
  <c r="C112" i="23"/>
  <c r="E112" i="23"/>
  <c r="F112" i="23"/>
  <c r="A113" i="23"/>
  <c r="E113" i="23" s="1"/>
  <c r="B113" i="23"/>
  <c r="C113" i="23"/>
  <c r="F113" i="23"/>
  <c r="A114" i="23"/>
  <c r="E114" i="23" s="1"/>
  <c r="B114" i="23"/>
  <c r="C114" i="23"/>
  <c r="F114" i="23"/>
  <c r="A115" i="23"/>
  <c r="B115" i="23"/>
  <c r="C115" i="23"/>
  <c r="E115" i="23"/>
  <c r="F115" i="23"/>
  <c r="A116" i="23"/>
  <c r="B116" i="23"/>
  <c r="C116" i="23"/>
  <c r="E116" i="23"/>
  <c r="F116" i="23"/>
  <c r="A117" i="23"/>
  <c r="E117" i="23" s="1"/>
  <c r="B117" i="23"/>
  <c r="C117" i="23"/>
  <c r="F117" i="23"/>
  <c r="A118" i="23"/>
  <c r="E118" i="23" s="1"/>
  <c r="B118" i="23"/>
  <c r="C118" i="23"/>
  <c r="F118" i="23"/>
  <c r="A119" i="23"/>
  <c r="E119" i="23" s="1"/>
  <c r="B119" i="23"/>
  <c r="C119" i="23"/>
  <c r="F119" i="23"/>
  <c r="A120" i="23"/>
  <c r="B120" i="23"/>
  <c r="C120" i="23"/>
  <c r="E120" i="23"/>
  <c r="F120" i="23"/>
  <c r="A121" i="23"/>
  <c r="E121" i="23" s="1"/>
  <c r="B121" i="23"/>
  <c r="C121" i="23"/>
  <c r="F121" i="23"/>
  <c r="A122" i="23"/>
  <c r="E122" i="23" s="1"/>
  <c r="B122" i="23"/>
  <c r="C122" i="23"/>
  <c r="F122" i="23"/>
  <c r="A123" i="23"/>
  <c r="B123" i="23"/>
  <c r="C123" i="23"/>
  <c r="E123" i="23"/>
  <c r="F123" i="23"/>
  <c r="A124" i="23"/>
  <c r="B124" i="23"/>
  <c r="C124" i="23"/>
  <c r="E124" i="23"/>
  <c r="F124" i="23"/>
  <c r="A125" i="23"/>
  <c r="E125" i="23" s="1"/>
  <c r="B125" i="23"/>
  <c r="C125" i="23"/>
  <c r="F125" i="23"/>
  <c r="A126" i="23"/>
  <c r="E126" i="23" s="1"/>
  <c r="B126" i="23"/>
  <c r="C126" i="23"/>
  <c r="F126" i="23"/>
  <c r="A127" i="23"/>
  <c r="E127" i="23" s="1"/>
  <c r="B127" i="23"/>
  <c r="C127" i="23"/>
  <c r="F127" i="23"/>
  <c r="A128" i="23"/>
  <c r="B128" i="23"/>
  <c r="C128" i="23"/>
  <c r="E128" i="23"/>
  <c r="F128" i="23"/>
  <c r="A129" i="23"/>
  <c r="E129" i="23" s="1"/>
  <c r="B129" i="23"/>
  <c r="C129" i="23"/>
  <c r="F129" i="23"/>
  <c r="A130" i="23"/>
  <c r="E130" i="23" s="1"/>
  <c r="B130" i="23"/>
  <c r="C130" i="23"/>
  <c r="F130" i="23"/>
  <c r="A131" i="23"/>
  <c r="B131" i="23"/>
  <c r="C131" i="23"/>
  <c r="E131" i="23"/>
  <c r="F131" i="23"/>
  <c r="A132" i="23"/>
  <c r="B132" i="23"/>
  <c r="C132" i="23"/>
  <c r="E132" i="23"/>
  <c r="F132" i="23"/>
  <c r="A133" i="23"/>
  <c r="E133" i="23" s="1"/>
  <c r="B133" i="23"/>
  <c r="C133" i="23"/>
  <c r="F133" i="23"/>
  <c r="A134" i="23"/>
  <c r="E134" i="23" s="1"/>
  <c r="B134" i="23"/>
  <c r="C134" i="23"/>
  <c r="F134" i="23"/>
  <c r="A135" i="23"/>
  <c r="E135" i="23" s="1"/>
  <c r="B135" i="23"/>
  <c r="C135" i="23"/>
  <c r="F135" i="23"/>
  <c r="A136" i="23"/>
  <c r="B136" i="23"/>
  <c r="C136" i="23"/>
  <c r="E136" i="23"/>
  <c r="F136" i="23"/>
  <c r="A137" i="23"/>
  <c r="E137" i="23" s="1"/>
  <c r="B137" i="23"/>
  <c r="C137" i="23"/>
  <c r="F137" i="23"/>
  <c r="A138" i="23"/>
  <c r="E138" i="23" s="1"/>
  <c r="B138" i="23"/>
  <c r="C138" i="23"/>
  <c r="F138" i="23"/>
  <c r="A139" i="23"/>
  <c r="B139" i="23"/>
  <c r="C139" i="23"/>
  <c r="E139" i="23"/>
  <c r="F139" i="23"/>
  <c r="A140" i="23"/>
  <c r="B140" i="23"/>
  <c r="C140" i="23"/>
  <c r="E140" i="23"/>
  <c r="F140" i="23"/>
  <c r="A141" i="23"/>
  <c r="E141" i="23" s="1"/>
  <c r="B141" i="23"/>
  <c r="C141" i="23"/>
  <c r="F141" i="23"/>
  <c r="A142" i="23"/>
  <c r="E142" i="23" s="1"/>
  <c r="B142" i="23"/>
  <c r="C142" i="23"/>
  <c r="F142" i="23"/>
  <c r="A143" i="23"/>
  <c r="E143" i="23" s="1"/>
  <c r="B143" i="23"/>
  <c r="C143" i="23"/>
  <c r="F143" i="23"/>
  <c r="A144" i="23"/>
  <c r="B144" i="23"/>
  <c r="C144" i="23"/>
  <c r="E144" i="23"/>
  <c r="F144" i="23"/>
  <c r="A145" i="23"/>
  <c r="E145" i="23" s="1"/>
  <c r="B145" i="23"/>
  <c r="C145" i="23"/>
  <c r="F145" i="23"/>
  <c r="A146" i="23"/>
  <c r="E146" i="23" s="1"/>
  <c r="B146" i="23"/>
  <c r="C146" i="23"/>
  <c r="F146" i="23"/>
  <c r="A147" i="23"/>
  <c r="B147" i="23"/>
  <c r="C147" i="23"/>
  <c r="E147" i="23"/>
  <c r="F147" i="23"/>
  <c r="A148" i="23"/>
  <c r="B148" i="23"/>
  <c r="C148" i="23"/>
  <c r="E148" i="23"/>
  <c r="F148" i="23"/>
  <c r="A149" i="23"/>
  <c r="E149" i="23" s="1"/>
  <c r="B149" i="23"/>
  <c r="C149" i="23"/>
  <c r="F149" i="23"/>
  <c r="A150" i="23"/>
  <c r="E150" i="23" s="1"/>
  <c r="B150" i="23"/>
  <c r="C150" i="23"/>
  <c r="F150" i="23"/>
  <c r="A151" i="23"/>
  <c r="E151" i="23" s="1"/>
  <c r="B151" i="23"/>
  <c r="C151" i="23"/>
  <c r="F151" i="23"/>
  <c r="A152" i="23"/>
  <c r="B152" i="23"/>
  <c r="C152" i="23"/>
  <c r="E152" i="23"/>
  <c r="F152" i="23"/>
  <c r="A153" i="23"/>
  <c r="E153" i="23" s="1"/>
  <c r="C153" i="23"/>
  <c r="F153" i="23"/>
  <c r="A154" i="23"/>
  <c r="E154" i="23" s="1"/>
  <c r="B154" i="23"/>
  <c r="C154" i="23"/>
  <c r="F154" i="23"/>
  <c r="A155" i="23"/>
  <c r="B155" i="23"/>
  <c r="C155" i="23"/>
  <c r="E155" i="23"/>
  <c r="F155" i="23"/>
  <c r="A156" i="23"/>
  <c r="B156" i="23"/>
  <c r="C156" i="23"/>
  <c r="E156" i="23"/>
  <c r="F156" i="23"/>
  <c r="C105" i="23"/>
  <c r="F105" i="23"/>
  <c r="E105" i="23"/>
  <c r="B105" i="23"/>
  <c r="A105" i="23"/>
  <c r="A61" i="23"/>
  <c r="B61" i="23"/>
  <c r="C61" i="23"/>
  <c r="E61" i="23"/>
  <c r="F61" i="23"/>
  <c r="A62" i="23"/>
  <c r="B62" i="23"/>
  <c r="C62" i="23"/>
  <c r="E62" i="23"/>
  <c r="F62" i="23"/>
  <c r="A63" i="23"/>
  <c r="B63" i="23"/>
  <c r="C63" i="23"/>
  <c r="E63" i="23"/>
  <c r="F63" i="23"/>
  <c r="A64" i="23"/>
  <c r="B64" i="23"/>
  <c r="C64" i="23"/>
  <c r="E64" i="23"/>
  <c r="F64" i="23"/>
  <c r="A65" i="23"/>
  <c r="B65" i="23"/>
  <c r="C65" i="23"/>
  <c r="E65" i="23"/>
  <c r="F65" i="23"/>
  <c r="A66" i="23"/>
  <c r="B66" i="23"/>
  <c r="C66" i="23"/>
  <c r="E66" i="23"/>
  <c r="F66" i="23"/>
  <c r="A67" i="23"/>
  <c r="B67" i="23"/>
  <c r="C67" i="23"/>
  <c r="E67" i="23"/>
  <c r="F67" i="23"/>
  <c r="A68" i="23"/>
  <c r="B68" i="23"/>
  <c r="C68" i="23"/>
  <c r="E68" i="23"/>
  <c r="F68" i="23"/>
  <c r="A69" i="23"/>
  <c r="B69" i="23"/>
  <c r="C69" i="23"/>
  <c r="E69" i="23"/>
  <c r="F69" i="23"/>
  <c r="A70" i="23"/>
  <c r="B70" i="23"/>
  <c r="C70" i="23"/>
  <c r="E70" i="23"/>
  <c r="F70" i="23"/>
  <c r="A71" i="23"/>
  <c r="B71" i="23"/>
  <c r="C71" i="23"/>
  <c r="E71" i="23"/>
  <c r="F71" i="23"/>
  <c r="A72" i="23"/>
  <c r="B72" i="23"/>
  <c r="C72" i="23"/>
  <c r="E72" i="23"/>
  <c r="F72" i="23"/>
  <c r="A73" i="23"/>
  <c r="B73" i="23"/>
  <c r="C73" i="23"/>
  <c r="E73" i="23"/>
  <c r="F73" i="23"/>
  <c r="A74" i="23"/>
  <c r="B74" i="23"/>
  <c r="C74" i="23"/>
  <c r="E74" i="23"/>
  <c r="F74" i="23"/>
  <c r="A75" i="23"/>
  <c r="B75" i="23"/>
  <c r="C75" i="23"/>
  <c r="E75" i="23"/>
  <c r="F75" i="23"/>
  <c r="A76" i="23"/>
  <c r="B76" i="23"/>
  <c r="C76" i="23"/>
  <c r="E76" i="23"/>
  <c r="F76" i="23"/>
  <c r="A77" i="23"/>
  <c r="B77" i="23"/>
  <c r="C77" i="23"/>
  <c r="E77" i="23"/>
  <c r="F77" i="23"/>
  <c r="A78" i="23"/>
  <c r="B78" i="23"/>
  <c r="C78" i="23"/>
  <c r="E78" i="23"/>
  <c r="F78" i="23"/>
  <c r="A79" i="23"/>
  <c r="B79" i="23"/>
  <c r="C79" i="23"/>
  <c r="E79" i="23"/>
  <c r="F79" i="23"/>
  <c r="A80" i="23"/>
  <c r="B80" i="23"/>
  <c r="C80" i="23"/>
  <c r="E80" i="23"/>
  <c r="F80" i="23"/>
  <c r="A81" i="23"/>
  <c r="B81" i="23"/>
  <c r="C81" i="23"/>
  <c r="E81" i="23"/>
  <c r="F81" i="23"/>
  <c r="A82" i="23"/>
  <c r="B82" i="23"/>
  <c r="C82" i="23"/>
  <c r="E82" i="23"/>
  <c r="F82" i="23"/>
  <c r="A83" i="23"/>
  <c r="B83" i="23"/>
  <c r="C83" i="23"/>
  <c r="E83" i="23"/>
  <c r="F83" i="23"/>
  <c r="A84" i="23"/>
  <c r="B84" i="23"/>
  <c r="C84" i="23"/>
  <c r="E84" i="23"/>
  <c r="F84" i="23"/>
  <c r="A85" i="23"/>
  <c r="B85" i="23"/>
  <c r="C85" i="23"/>
  <c r="E85" i="23"/>
  <c r="F85" i="23"/>
  <c r="A86" i="23"/>
  <c r="B86" i="23"/>
  <c r="C86" i="23"/>
  <c r="E86" i="23"/>
  <c r="F86" i="23"/>
  <c r="A87" i="23"/>
  <c r="B87" i="23"/>
  <c r="C87" i="23"/>
  <c r="E87" i="23"/>
  <c r="F87" i="23"/>
  <c r="A88" i="23"/>
  <c r="B88" i="23"/>
  <c r="C88" i="23"/>
  <c r="E88" i="23"/>
  <c r="F88" i="23"/>
  <c r="A89" i="23"/>
  <c r="B89" i="23"/>
  <c r="C89" i="23"/>
  <c r="E89" i="23"/>
  <c r="F89" i="23"/>
  <c r="A90" i="23"/>
  <c r="B90" i="23"/>
  <c r="C90" i="23"/>
  <c r="E90" i="23"/>
  <c r="F90" i="23"/>
  <c r="A91" i="23"/>
  <c r="B91" i="23"/>
  <c r="C91" i="23"/>
  <c r="E91" i="23"/>
  <c r="F91" i="23"/>
  <c r="A92" i="23"/>
  <c r="B92" i="23"/>
  <c r="C92" i="23"/>
  <c r="E92" i="23"/>
  <c r="F92" i="23"/>
  <c r="A93" i="23"/>
  <c r="B93" i="23"/>
  <c r="C93" i="23"/>
  <c r="E93" i="23"/>
  <c r="F93" i="23"/>
  <c r="A94" i="23"/>
  <c r="B94" i="23"/>
  <c r="C94" i="23"/>
  <c r="E94" i="23"/>
  <c r="F94" i="23"/>
  <c r="A95" i="23"/>
  <c r="B95" i="23"/>
  <c r="C95" i="23"/>
  <c r="E95" i="23"/>
  <c r="F95" i="23"/>
  <c r="A96" i="23"/>
  <c r="B96" i="23"/>
  <c r="C96" i="23"/>
  <c r="E96" i="23"/>
  <c r="F96" i="23"/>
  <c r="A97" i="23"/>
  <c r="B97" i="23"/>
  <c r="C97" i="23"/>
  <c r="E97" i="23"/>
  <c r="F97" i="23"/>
  <c r="A98" i="23"/>
  <c r="B98" i="23"/>
  <c r="C98" i="23"/>
  <c r="E98" i="23"/>
  <c r="F98" i="23"/>
  <c r="A99" i="23"/>
  <c r="B99" i="23"/>
  <c r="C99" i="23"/>
  <c r="E99" i="23"/>
  <c r="F99" i="23"/>
  <c r="A100" i="23"/>
  <c r="B100" i="23"/>
  <c r="C100" i="23"/>
  <c r="E100" i="23"/>
  <c r="F100" i="23"/>
  <c r="A101" i="23"/>
  <c r="B101" i="23"/>
  <c r="C101" i="23"/>
  <c r="E101" i="23"/>
  <c r="F101" i="23"/>
  <c r="A102" i="23"/>
  <c r="B102" i="23"/>
  <c r="C102" i="23"/>
  <c r="E102" i="23"/>
  <c r="F102" i="23"/>
  <c r="A103" i="23"/>
  <c r="B103" i="23"/>
  <c r="C103" i="23"/>
  <c r="E103" i="23"/>
  <c r="F103" i="23"/>
  <c r="A104" i="23"/>
  <c r="B104" i="23"/>
  <c r="C104" i="23"/>
  <c r="E104" i="23"/>
  <c r="F104" i="23"/>
  <c r="A54" i="23" l="1"/>
  <c r="E54" i="23" s="1"/>
  <c r="B54" i="23"/>
  <c r="C54" i="23"/>
  <c r="F54" i="23"/>
  <c r="A55" i="23"/>
  <c r="B55" i="23"/>
  <c r="C55" i="23"/>
  <c r="E55" i="23"/>
  <c r="F55" i="23"/>
  <c r="A56" i="23"/>
  <c r="B56" i="23"/>
  <c r="C56" i="23"/>
  <c r="E56" i="23"/>
  <c r="F56" i="23"/>
  <c r="A57" i="23"/>
  <c r="B57" i="23"/>
  <c r="C57" i="23"/>
  <c r="E57" i="23"/>
  <c r="F57" i="23"/>
  <c r="A58" i="23"/>
  <c r="B58" i="23"/>
  <c r="C58" i="23"/>
  <c r="E58" i="23"/>
  <c r="F58" i="23"/>
  <c r="A59" i="23"/>
  <c r="B59" i="23"/>
  <c r="C59" i="23"/>
  <c r="E59" i="23"/>
  <c r="F59" i="23"/>
  <c r="A60" i="23"/>
  <c r="E60" i="23" s="1"/>
  <c r="B60" i="23"/>
  <c r="C60" i="23"/>
  <c r="F60" i="23"/>
  <c r="F53" i="23"/>
  <c r="C53" i="23"/>
  <c r="A53" i="23"/>
  <c r="E53" i="23" s="1"/>
  <c r="A3" i="23"/>
  <c r="B3" i="23"/>
  <c r="C3" i="23"/>
  <c r="F3" i="23"/>
  <c r="A4" i="23"/>
  <c r="E4" i="23" s="1"/>
  <c r="B4" i="23"/>
  <c r="C4" i="23"/>
  <c r="F4" i="23"/>
  <c r="A5" i="23"/>
  <c r="B5" i="23"/>
  <c r="C5" i="23"/>
  <c r="E5" i="23"/>
  <c r="F5" i="23"/>
  <c r="A6" i="23"/>
  <c r="E6" i="23" s="1"/>
  <c r="B6" i="23"/>
  <c r="C6" i="23"/>
  <c r="F6" i="23"/>
  <c r="A7" i="23"/>
  <c r="B7" i="23"/>
  <c r="C7" i="23"/>
  <c r="E7" i="23"/>
  <c r="F7" i="23"/>
  <c r="A8" i="23"/>
  <c r="B8" i="23"/>
  <c r="C8" i="23"/>
  <c r="E8" i="23"/>
  <c r="F8" i="23"/>
  <c r="A9" i="23"/>
  <c r="E9" i="23" s="1"/>
  <c r="B9" i="23"/>
  <c r="C9" i="23"/>
  <c r="F9" i="23"/>
  <c r="A10" i="23"/>
  <c r="E10" i="23" s="1"/>
  <c r="B10" i="23"/>
  <c r="C10" i="23"/>
  <c r="F10" i="23"/>
  <c r="A11" i="23"/>
  <c r="B11" i="23"/>
  <c r="C11" i="23"/>
  <c r="E11" i="23"/>
  <c r="F11" i="23"/>
  <c r="A12" i="23"/>
  <c r="B12" i="23"/>
  <c r="C12" i="23"/>
  <c r="E12" i="23"/>
  <c r="F12" i="23"/>
  <c r="A13" i="23"/>
  <c r="E13" i="23" s="1"/>
  <c r="B13" i="23"/>
  <c r="C13" i="23"/>
  <c r="F13" i="23"/>
  <c r="A14" i="23"/>
  <c r="B14" i="23"/>
  <c r="C14" i="23"/>
  <c r="E14" i="23"/>
  <c r="F14" i="23"/>
  <c r="A15" i="23"/>
  <c r="B15" i="23"/>
  <c r="C15" i="23"/>
  <c r="E15" i="23"/>
  <c r="F15" i="23"/>
  <c r="A16" i="23"/>
  <c r="E16" i="23" s="1"/>
  <c r="B16" i="23"/>
  <c r="C16" i="23"/>
  <c r="F16" i="23"/>
  <c r="A17" i="23"/>
  <c r="B17" i="23"/>
  <c r="C17" i="23"/>
  <c r="E17" i="23"/>
  <c r="F17" i="23"/>
  <c r="A18" i="23"/>
  <c r="E18" i="23" s="1"/>
  <c r="B18" i="23"/>
  <c r="C18" i="23"/>
  <c r="F18" i="23"/>
  <c r="A19" i="23"/>
  <c r="B19" i="23"/>
  <c r="C19" i="23"/>
  <c r="E19" i="23"/>
  <c r="F19" i="23"/>
  <c r="A20" i="23"/>
  <c r="B20" i="23"/>
  <c r="C20" i="23"/>
  <c r="E20" i="23"/>
  <c r="F20" i="23"/>
  <c r="A21" i="23"/>
  <c r="E21" i="23" s="1"/>
  <c r="B21" i="23"/>
  <c r="C21" i="23"/>
  <c r="F21" i="23"/>
  <c r="A22" i="23"/>
  <c r="B22" i="23"/>
  <c r="C22" i="23"/>
  <c r="E22" i="23"/>
  <c r="F22" i="23"/>
  <c r="A23" i="23"/>
  <c r="E23" i="23" s="1"/>
  <c r="B23" i="23"/>
  <c r="C23" i="23"/>
  <c r="F23" i="23"/>
  <c r="A24" i="23"/>
  <c r="E24" i="23" s="1"/>
  <c r="B24" i="23"/>
  <c r="C24" i="23"/>
  <c r="F24" i="23"/>
  <c r="A25" i="23"/>
  <c r="B25" i="23"/>
  <c r="C25" i="23"/>
  <c r="E25" i="23"/>
  <c r="F25" i="23"/>
  <c r="A26" i="23"/>
  <c r="E26" i="23" s="1"/>
  <c r="B26" i="23"/>
  <c r="C26" i="23"/>
  <c r="F26" i="23"/>
  <c r="A27" i="23"/>
  <c r="B27" i="23"/>
  <c r="C27" i="23"/>
  <c r="E27" i="23"/>
  <c r="F27" i="23"/>
  <c r="A28" i="23"/>
  <c r="B28" i="23"/>
  <c r="C28" i="23"/>
  <c r="E28" i="23"/>
  <c r="F28" i="23"/>
  <c r="A29" i="23"/>
  <c r="E29" i="23" s="1"/>
  <c r="B29" i="23"/>
  <c r="C29" i="23"/>
  <c r="F29" i="23"/>
  <c r="A30" i="23"/>
  <c r="B30" i="23"/>
  <c r="C30" i="23"/>
  <c r="E30" i="23"/>
  <c r="F30" i="23"/>
  <c r="A31" i="23"/>
  <c r="E31" i="23" s="1"/>
  <c r="B31" i="23"/>
  <c r="C31" i="23"/>
  <c r="F31" i="23"/>
  <c r="A32" i="23"/>
  <c r="E32" i="23" s="1"/>
  <c r="B32" i="23"/>
  <c r="C32" i="23"/>
  <c r="F32" i="23"/>
  <c r="A33" i="23"/>
  <c r="B33" i="23"/>
  <c r="C33" i="23"/>
  <c r="E33" i="23"/>
  <c r="F33" i="23"/>
  <c r="A34" i="23"/>
  <c r="E34" i="23" s="1"/>
  <c r="B34" i="23"/>
  <c r="C34" i="23"/>
  <c r="F34" i="23"/>
  <c r="A35" i="23"/>
  <c r="B35" i="23"/>
  <c r="C35" i="23"/>
  <c r="E35" i="23"/>
  <c r="F35" i="23"/>
  <c r="A36" i="23"/>
  <c r="B36" i="23"/>
  <c r="C36" i="23"/>
  <c r="E36" i="23"/>
  <c r="F36" i="23"/>
  <c r="A37" i="23"/>
  <c r="E37" i="23" s="1"/>
  <c r="B37" i="23"/>
  <c r="C37" i="23"/>
  <c r="F37" i="23"/>
  <c r="A38" i="23"/>
  <c r="B38" i="23"/>
  <c r="C38" i="23"/>
  <c r="E38" i="23"/>
  <c r="F38" i="23"/>
  <c r="A39" i="23"/>
  <c r="E39" i="23" s="1"/>
  <c r="B39" i="23"/>
  <c r="C39" i="23"/>
  <c r="F39" i="23"/>
  <c r="A40" i="23"/>
  <c r="E40" i="23" s="1"/>
  <c r="B40" i="23"/>
  <c r="C40" i="23"/>
  <c r="F40" i="23"/>
  <c r="A41" i="23"/>
  <c r="B41" i="23"/>
  <c r="C41" i="23"/>
  <c r="E41" i="23"/>
  <c r="F41" i="23"/>
  <c r="A42" i="23"/>
  <c r="E42" i="23" s="1"/>
  <c r="B42" i="23"/>
  <c r="C42" i="23"/>
  <c r="F42" i="23"/>
  <c r="A43" i="23"/>
  <c r="B43" i="23"/>
  <c r="C43" i="23"/>
  <c r="E43" i="23"/>
  <c r="F43" i="23"/>
  <c r="A44" i="23"/>
  <c r="B44" i="23"/>
  <c r="C44" i="23"/>
  <c r="E44" i="23"/>
  <c r="F44" i="23"/>
  <c r="A45" i="23"/>
  <c r="E45" i="23" s="1"/>
  <c r="B45" i="23"/>
  <c r="C45" i="23"/>
  <c r="F45" i="23"/>
  <c r="A46" i="23"/>
  <c r="B46" i="23"/>
  <c r="C46" i="23"/>
  <c r="E46" i="23"/>
  <c r="F46" i="23"/>
  <c r="A47" i="23"/>
  <c r="E47" i="23" s="1"/>
  <c r="B47" i="23"/>
  <c r="C47" i="23"/>
  <c r="F47" i="23"/>
  <c r="A48" i="23"/>
  <c r="E48" i="23" s="1"/>
  <c r="B48" i="23"/>
  <c r="C48" i="23"/>
  <c r="F48" i="23"/>
  <c r="A49" i="23"/>
  <c r="B49" i="23"/>
  <c r="C49" i="23"/>
  <c r="E49" i="23"/>
  <c r="F49" i="23"/>
  <c r="A50" i="23"/>
  <c r="E50" i="23" s="1"/>
  <c r="B50" i="23"/>
  <c r="C50" i="23"/>
  <c r="F50" i="23"/>
  <c r="A51" i="23"/>
  <c r="B51" i="23"/>
  <c r="C51" i="23"/>
  <c r="E51" i="23"/>
  <c r="F51" i="23"/>
  <c r="A52" i="23"/>
  <c r="B52" i="23"/>
  <c r="C52" i="23"/>
  <c r="E52" i="23"/>
  <c r="F52" i="23"/>
  <c r="B53" i="23"/>
  <c r="F2" i="23"/>
  <c r="C2" i="23"/>
  <c r="B2" i="23"/>
  <c r="A2" i="23"/>
  <c r="W72" i="21" l="1"/>
  <c r="X72" i="21"/>
  <c r="W73" i="21"/>
  <c r="X73" i="21"/>
  <c r="W74" i="21"/>
  <c r="X74" i="21"/>
  <c r="W75" i="21"/>
  <c r="X75" i="21"/>
  <c r="W76" i="21"/>
  <c r="X76" i="21"/>
  <c r="W77" i="21"/>
  <c r="X77" i="21"/>
  <c r="W78" i="21"/>
  <c r="X78" i="21"/>
  <c r="W79" i="21"/>
  <c r="X79" i="21"/>
  <c r="W80" i="21"/>
  <c r="X80" i="21"/>
  <c r="W81" i="21"/>
  <c r="X81" i="21"/>
  <c r="W82" i="21"/>
  <c r="X82" i="21"/>
  <c r="W83" i="21"/>
  <c r="X83" i="21"/>
  <c r="W84" i="21"/>
  <c r="X84" i="21"/>
  <c r="W85" i="21"/>
  <c r="X85" i="21"/>
  <c r="W86" i="21"/>
  <c r="X86" i="21"/>
  <c r="W87" i="21"/>
  <c r="X87" i="21"/>
  <c r="W88" i="21"/>
  <c r="X88" i="21"/>
  <c r="W89" i="21"/>
  <c r="X89" i="21"/>
  <c r="W90" i="21"/>
  <c r="X90" i="21"/>
  <c r="W91" i="21"/>
  <c r="X91" i="21"/>
  <c r="W92" i="21"/>
  <c r="X92" i="21"/>
  <c r="W93" i="21"/>
  <c r="X93" i="21"/>
  <c r="W94" i="21"/>
  <c r="X94" i="21"/>
  <c r="W95" i="21"/>
  <c r="X95" i="21"/>
  <c r="W96" i="21"/>
  <c r="X96" i="21"/>
  <c r="W97" i="21"/>
  <c r="X97" i="21"/>
  <c r="W98" i="21"/>
  <c r="X98" i="21"/>
  <c r="W99" i="21"/>
  <c r="X99" i="21"/>
  <c r="W100" i="21"/>
  <c r="X100" i="21"/>
  <c r="W101" i="21"/>
  <c r="X101" i="21"/>
  <c r="W102" i="21"/>
  <c r="X102" i="21"/>
  <c r="W103" i="21"/>
  <c r="X103" i="21"/>
  <c r="W104" i="21"/>
  <c r="X104" i="21"/>
  <c r="W105" i="21"/>
  <c r="X105" i="21"/>
  <c r="W106" i="21"/>
  <c r="X106" i="21"/>
  <c r="W107" i="21"/>
  <c r="X107" i="21"/>
  <c r="W108" i="21"/>
  <c r="X108" i="21"/>
  <c r="W109" i="21"/>
  <c r="X109" i="21"/>
  <c r="W110" i="21"/>
  <c r="X110" i="21"/>
  <c r="W111" i="21"/>
  <c r="X111" i="21"/>
  <c r="W112" i="21"/>
  <c r="X112" i="21"/>
  <c r="W113" i="21"/>
  <c r="X113" i="21"/>
  <c r="W114" i="21"/>
  <c r="X114" i="21"/>
  <c r="W115" i="21"/>
  <c r="X115" i="21"/>
  <c r="W116" i="21"/>
  <c r="X116" i="21"/>
  <c r="W117" i="21"/>
  <c r="X117" i="21"/>
  <c r="W118" i="21"/>
  <c r="X118" i="21"/>
  <c r="W119" i="21"/>
  <c r="X119" i="21"/>
  <c r="W120" i="21"/>
  <c r="X120" i="21"/>
  <c r="W121" i="21"/>
  <c r="X121" i="21"/>
  <c r="W122" i="21"/>
  <c r="X122" i="21"/>
  <c r="R174" i="22"/>
  <c r="Q174" i="22"/>
  <c r="E173" i="22"/>
  <c r="F173" i="22"/>
  <c r="G173" i="22"/>
  <c r="H173" i="22"/>
  <c r="I173" i="22"/>
  <c r="J173" i="22"/>
  <c r="K173" i="22"/>
  <c r="L173" i="22"/>
  <c r="M173" i="22"/>
  <c r="N173" i="22"/>
  <c r="O173" i="22"/>
  <c r="P173" i="22"/>
  <c r="D173" i="22"/>
  <c r="P174" i="22"/>
  <c r="E174" i="22"/>
  <c r="G174" i="22"/>
  <c r="H174" i="22"/>
  <c r="I174" i="22"/>
  <c r="J174" i="22"/>
  <c r="K174" i="22"/>
  <c r="L174" i="22"/>
  <c r="M174" i="22"/>
  <c r="N174" i="22"/>
  <c r="O174" i="22"/>
  <c r="D174" i="22"/>
  <c r="X71" i="21"/>
  <c r="R420" i="22"/>
  <c r="Q420" i="22"/>
  <c r="R261" i="22"/>
  <c r="Q261" i="22"/>
  <c r="Q212" i="22"/>
  <c r="Q527" i="22"/>
  <c r="R527" i="22"/>
  <c r="Q517" i="22"/>
  <c r="R517" i="22"/>
  <c r="Q507" i="22"/>
  <c r="R507" i="22"/>
  <c r="Q497" i="22"/>
  <c r="R497" i="22"/>
  <c r="Q487" i="22"/>
  <c r="R487" i="22"/>
  <c r="Q477" i="22"/>
  <c r="R477" i="22"/>
  <c r="Q467" i="22"/>
  <c r="R467" i="22"/>
  <c r="Q457" i="22"/>
  <c r="R457" i="22"/>
  <c r="Q448" i="22"/>
  <c r="R448" i="22"/>
  <c r="Q439" i="22"/>
  <c r="R439" i="22"/>
  <c r="Q429" i="22"/>
  <c r="R429" i="22"/>
  <c r="Q411" i="22"/>
  <c r="R411" i="22"/>
  <c r="Q401" i="22"/>
  <c r="R401" i="22"/>
  <c r="Q391" i="22"/>
  <c r="R391" i="22"/>
  <c r="Q381" i="22"/>
  <c r="R381" i="22"/>
  <c r="Q371" i="22"/>
  <c r="R371" i="22"/>
  <c r="Q361" i="22"/>
  <c r="R361" i="22"/>
  <c r="Q351" i="22"/>
  <c r="R351" i="22"/>
  <c r="Q341" i="22"/>
  <c r="R341" i="22"/>
  <c r="Q331" i="22"/>
  <c r="R331" i="22"/>
  <c r="Q321" i="22"/>
  <c r="R321" i="22"/>
  <c r="Q311" i="22"/>
  <c r="R311" i="22"/>
  <c r="Q301" i="22"/>
  <c r="R301" i="22"/>
  <c r="Q291" i="22"/>
  <c r="R291" i="22"/>
  <c r="Q281" i="22"/>
  <c r="R281" i="22"/>
  <c r="Q271" i="22"/>
  <c r="R271" i="22"/>
  <c r="Q252" i="22"/>
  <c r="R252" i="22"/>
  <c r="Q242" i="22"/>
  <c r="R242" i="22"/>
  <c r="Q232" i="22"/>
  <c r="Q222" i="22"/>
  <c r="Q203" i="22"/>
  <c r="Q193" i="22"/>
  <c r="Q183" i="22"/>
  <c r="Q169" i="22"/>
  <c r="Q159" i="22"/>
  <c r="Q149" i="22"/>
  <c r="Q139" i="22"/>
  <c r="Q129" i="22"/>
  <c r="Q119" i="22"/>
  <c r="Q109" i="22"/>
  <c r="Q99" i="22"/>
  <c r="Q89" i="22"/>
  <c r="Q80" i="22"/>
  <c r="Q70" i="22"/>
  <c r="Q60" i="22"/>
  <c r="Q50" i="22"/>
  <c r="Q40" i="22"/>
  <c r="Q30" i="22"/>
  <c r="X19" i="21"/>
  <c r="X20" i="21"/>
  <c r="X21" i="21"/>
  <c r="X22" i="21"/>
  <c r="X23" i="21"/>
  <c r="X24" i="21"/>
  <c r="X25" i="21"/>
  <c r="X26" i="21"/>
  <c r="X27" i="21"/>
  <c r="W28" i="21"/>
  <c r="X28" i="21"/>
  <c r="X29" i="21"/>
  <c r="W30" i="21"/>
  <c r="X30" i="21"/>
  <c r="W31" i="21"/>
  <c r="X31" i="21"/>
  <c r="W32" i="21"/>
  <c r="X32" i="21"/>
  <c r="W33" i="21"/>
  <c r="X33" i="21"/>
  <c r="W34" i="21"/>
  <c r="X34" i="21"/>
  <c r="W35" i="21"/>
  <c r="X35" i="21"/>
  <c r="W36" i="21"/>
  <c r="X36" i="21"/>
  <c r="W37" i="21"/>
  <c r="X37" i="21"/>
  <c r="W38" i="21"/>
  <c r="X38" i="21"/>
  <c r="W39" i="21"/>
  <c r="X39" i="21"/>
  <c r="W40" i="21"/>
  <c r="X40" i="21"/>
  <c r="W41" i="21"/>
  <c r="X41" i="21"/>
  <c r="W42" i="21"/>
  <c r="X42" i="21"/>
  <c r="W43" i="21"/>
  <c r="X43" i="21"/>
  <c r="W44" i="21"/>
  <c r="X44" i="21"/>
  <c r="W45" i="21"/>
  <c r="X45" i="21"/>
  <c r="W46" i="21"/>
  <c r="X46" i="21"/>
  <c r="W47" i="21"/>
  <c r="X47" i="21"/>
  <c r="W48" i="21"/>
  <c r="X48" i="21"/>
  <c r="W49" i="21"/>
  <c r="X49" i="21"/>
  <c r="W50" i="21"/>
  <c r="X50" i="21"/>
  <c r="W51" i="21"/>
  <c r="X51" i="21"/>
  <c r="W52" i="21"/>
  <c r="X52" i="21"/>
  <c r="W53" i="21"/>
  <c r="X53" i="21"/>
  <c r="W54" i="21"/>
  <c r="X54" i="21"/>
  <c r="W55" i="21"/>
  <c r="X55" i="21"/>
  <c r="W56" i="21"/>
  <c r="X56" i="21"/>
  <c r="W57" i="21"/>
  <c r="X57" i="21"/>
  <c r="W58" i="21"/>
  <c r="X58" i="21"/>
  <c r="W59" i="21"/>
  <c r="X59" i="21"/>
  <c r="X60" i="21"/>
  <c r="X10" i="21" l="1"/>
  <c r="X11" i="21"/>
  <c r="X12" i="21"/>
  <c r="W13" i="21"/>
  <c r="X13" i="21"/>
  <c r="X14" i="21"/>
  <c r="X15" i="21"/>
  <c r="X16" i="21"/>
  <c r="W17" i="21"/>
  <c r="X17" i="21"/>
  <c r="X18" i="21"/>
  <c r="X9" i="21"/>
  <c r="F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R232" i="22" s="1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R139" i="22" s="1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R119" i="22" s="1"/>
  <c r="F118" i="22"/>
  <c r="F117" i="22"/>
  <c r="F116" i="22"/>
  <c r="F115" i="22"/>
  <c r="F114" i="22"/>
  <c r="F113" i="22"/>
  <c r="F112" i="22"/>
  <c r="F111" i="22"/>
  <c r="F110" i="22"/>
  <c r="F109" i="22"/>
  <c r="R109" i="22" s="1"/>
  <c r="F108" i="22"/>
  <c r="F107" i="22"/>
  <c r="F106" i="22"/>
  <c r="F105" i="22"/>
  <c r="F104" i="22"/>
  <c r="F103" i="22"/>
  <c r="F102" i="22"/>
  <c r="F101" i="22"/>
  <c r="F100" i="22"/>
  <c r="F99" i="22"/>
  <c r="R99" i="22" s="1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W12" i="21" s="1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R60" i="22" s="1"/>
  <c r="F59" i="22"/>
  <c r="F58" i="22"/>
  <c r="F57" i="22"/>
  <c r="F56" i="22"/>
  <c r="F55" i="22"/>
  <c r="F54" i="22"/>
  <c r="F53" i="22"/>
  <c r="F52" i="22"/>
  <c r="F51" i="22"/>
  <c r="F50" i="22"/>
  <c r="W9" i="21" s="1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2" i="22"/>
  <c r="F31" i="22"/>
  <c r="F29" i="22"/>
  <c r="F28" i="22"/>
  <c r="F27" i="22"/>
  <c r="F26" i="22"/>
  <c r="F25" i="22"/>
  <c r="W23" i="21" l="1"/>
  <c r="R183" i="22"/>
  <c r="W29" i="21"/>
  <c r="R149" i="22"/>
  <c r="W24" i="21"/>
  <c r="R193" i="22"/>
  <c r="R70" i="22"/>
  <c r="R30" i="22"/>
  <c r="W60" i="21"/>
  <c r="W16" i="21"/>
  <c r="F174" i="22"/>
  <c r="R159" i="22"/>
  <c r="W20" i="21"/>
  <c r="W25" i="21"/>
  <c r="R203" i="22"/>
  <c r="R40" i="22"/>
  <c r="W19" i="21"/>
  <c r="R80" i="22"/>
  <c r="R212" i="22"/>
  <c r="W26" i="21"/>
  <c r="W15" i="21"/>
  <c r="W11" i="21"/>
  <c r="R129" i="22"/>
  <c r="R169" i="22"/>
  <c r="W21" i="21"/>
  <c r="R89" i="22"/>
  <c r="R50" i="22"/>
  <c r="W71" i="21" s="1"/>
  <c r="R222" i="22"/>
  <c r="W27" i="21"/>
  <c r="W18" i="21"/>
  <c r="W14" i="21"/>
  <c r="W10" i="21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25" i="20"/>
  <c r="F26" i="20"/>
  <c r="F27" i="20"/>
  <c r="F28" i="20"/>
  <c r="F29" i="20"/>
  <c r="F30" i="20"/>
  <c r="F31" i="20"/>
  <c r="F32" i="20"/>
  <c r="F35" i="20"/>
  <c r="F36" i="20"/>
  <c r="F37" i="20"/>
  <c r="F38" i="20"/>
  <c r="F39" i="20"/>
  <c r="F40" i="20"/>
  <c r="F41" i="20"/>
  <c r="F42" i="20"/>
  <c r="H80" i="21"/>
  <c r="G80" i="21"/>
  <c r="F80" i="21"/>
  <c r="E80" i="21"/>
  <c r="D80" i="21"/>
  <c r="C80" i="21"/>
  <c r="N60" i="21"/>
  <c r="N59" i="21"/>
  <c r="N58" i="21"/>
  <c r="N57" i="21"/>
  <c r="N56" i="21"/>
  <c r="N55" i="21"/>
  <c r="N54" i="21"/>
  <c r="N53" i="21"/>
  <c r="N52" i="21"/>
  <c r="N51" i="21"/>
  <c r="N50" i="21"/>
  <c r="N49" i="21"/>
  <c r="N48" i="21"/>
  <c r="N47" i="21"/>
  <c r="N46" i="21"/>
  <c r="N45" i="21"/>
  <c r="N44" i="21"/>
  <c r="N43" i="21"/>
  <c r="N42" i="21"/>
  <c r="N41" i="21"/>
  <c r="N40" i="21"/>
  <c r="N39" i="21"/>
  <c r="N38" i="21"/>
  <c r="N37" i="21"/>
  <c r="N3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1" i="21"/>
  <c r="N20" i="21"/>
  <c r="N19" i="21"/>
  <c r="N18" i="21"/>
  <c r="H18" i="21"/>
  <c r="G18" i="21"/>
  <c r="F18" i="21"/>
  <c r="E18" i="21"/>
  <c r="D18" i="21"/>
  <c r="C18" i="21"/>
  <c r="N17" i="21"/>
  <c r="N16" i="21"/>
  <c r="N15" i="21"/>
  <c r="N14" i="21"/>
  <c r="N13" i="21"/>
  <c r="N12" i="21"/>
  <c r="N11" i="21"/>
  <c r="N10" i="21"/>
  <c r="N9" i="21"/>
  <c r="W22" i="21" l="1"/>
  <c r="H80" i="17"/>
  <c r="G80" i="17"/>
  <c r="F80" i="17"/>
  <c r="E80" i="17"/>
  <c r="D80" i="17"/>
  <c r="C80" i="17"/>
  <c r="H18" i="17"/>
  <c r="G18" i="17"/>
  <c r="F18" i="17"/>
  <c r="E18" i="17"/>
  <c r="D18" i="17"/>
  <c r="C18" i="17"/>
  <c r="Z19" i="18"/>
  <c r="V19" i="18"/>
  <c r="AF19" i="18"/>
  <c r="AE19" i="18"/>
  <c r="AD19" i="18"/>
  <c r="AC19" i="18"/>
  <c r="AB19" i="18"/>
  <c r="AA19" i="18"/>
  <c r="Y19" i="18"/>
  <c r="W19" i="18"/>
  <c r="U19" i="18"/>
  <c r="S19" i="18"/>
  <c r="Q19" i="18"/>
  <c r="O19" i="18"/>
  <c r="X19" i="18"/>
  <c r="T19" i="18"/>
  <c r="R19" i="18"/>
  <c r="P19" i="18"/>
  <c r="N10" i="17" l="1"/>
  <c r="N11" i="17"/>
  <c r="N12" i="17"/>
  <c r="N18" i="17"/>
  <c r="N13" i="17"/>
  <c r="N14" i="17"/>
  <c r="N15" i="17"/>
  <c r="N16" i="17"/>
  <c r="N17" i="17"/>
  <c r="N19" i="17"/>
  <c r="N20" i="17"/>
  <c r="N21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9" i="17"/>
  <c r="A187" i="8" l="1"/>
  <c r="B31" i="8" l="1"/>
  <c r="B278" i="8"/>
  <c r="A278" i="8" s="1"/>
  <c r="B277" i="8"/>
  <c r="A277" i="8" s="1"/>
  <c r="B276" i="8"/>
  <c r="A276" i="8" s="1"/>
  <c r="B275" i="8"/>
  <c r="A275" i="8" s="1"/>
  <c r="B274" i="8"/>
  <c r="A274" i="8" s="1"/>
  <c r="B273" i="8"/>
  <c r="A273" i="8" s="1"/>
  <c r="B272" i="8"/>
  <c r="A272" i="8" s="1"/>
  <c r="B271" i="8"/>
  <c r="A271" i="8" s="1"/>
  <c r="B270" i="8"/>
  <c r="A270" i="8" s="1"/>
  <c r="B269" i="8"/>
  <c r="A269" i="8" s="1"/>
  <c r="B268" i="8"/>
  <c r="A268" i="8" s="1"/>
  <c r="B267" i="8"/>
  <c r="A267" i="8" s="1"/>
  <c r="B266" i="8"/>
  <c r="A266" i="8" s="1"/>
  <c r="B265" i="8"/>
  <c r="A265" i="8" s="1"/>
  <c r="B264" i="8"/>
  <c r="A264" i="8" s="1"/>
  <c r="B263" i="8"/>
  <c r="A263" i="8" s="1"/>
  <c r="B262" i="8"/>
  <c r="A262" i="8" s="1"/>
  <c r="B260" i="8"/>
  <c r="A260" i="8" s="1"/>
  <c r="B259" i="8"/>
  <c r="A259" i="8" s="1"/>
  <c r="B258" i="8"/>
  <c r="A258" i="8" s="1"/>
  <c r="B257" i="8"/>
  <c r="A257" i="8" s="1"/>
  <c r="B256" i="8"/>
  <c r="A256" i="8" s="1"/>
  <c r="B255" i="8"/>
  <c r="A255" i="8" s="1"/>
  <c r="B254" i="8"/>
  <c r="A254" i="8" s="1"/>
  <c r="B253" i="8"/>
  <c r="A253" i="8" s="1"/>
  <c r="B252" i="8"/>
  <c r="A252" i="8" s="1"/>
  <c r="B251" i="8"/>
  <c r="A251" i="8" s="1"/>
  <c r="B250" i="8"/>
  <c r="A250" i="8" s="1"/>
  <c r="B248" i="8"/>
  <c r="A248" i="8" s="1"/>
  <c r="B247" i="8"/>
  <c r="A247" i="8" s="1"/>
  <c r="B246" i="8"/>
  <c r="A246" i="8" s="1"/>
  <c r="B245" i="8"/>
  <c r="A245" i="8" s="1"/>
  <c r="B244" i="8"/>
  <c r="A244" i="8" s="1"/>
  <c r="B243" i="8"/>
  <c r="A243" i="8" s="1"/>
  <c r="B240" i="8"/>
  <c r="A240" i="8" s="1"/>
  <c r="B239" i="8"/>
  <c r="A239" i="8" s="1"/>
  <c r="B238" i="8"/>
  <c r="A238" i="8" s="1"/>
  <c r="B237" i="8"/>
  <c r="A237" i="8" s="1"/>
  <c r="B236" i="8"/>
  <c r="A236" i="8" s="1"/>
  <c r="B235" i="8"/>
  <c r="A235" i="8" s="1"/>
  <c r="B234" i="8"/>
  <c r="A234" i="8" s="1"/>
  <c r="B233" i="8"/>
  <c r="A233" i="8" s="1"/>
  <c r="B232" i="8"/>
  <c r="A232" i="8" s="1"/>
  <c r="B231" i="8"/>
  <c r="A231" i="8" s="1"/>
  <c r="B230" i="8"/>
  <c r="A230" i="8" s="1"/>
  <c r="B229" i="8"/>
  <c r="A229" i="8" s="1"/>
  <c r="B226" i="8"/>
  <c r="A226" i="8" s="1"/>
  <c r="B225" i="8"/>
  <c r="A225" i="8" s="1"/>
  <c r="B224" i="8"/>
  <c r="A224" i="8" s="1"/>
  <c r="B223" i="8"/>
  <c r="A223" i="8" s="1"/>
  <c r="B222" i="8"/>
  <c r="A222" i="8" s="1"/>
  <c r="B221" i="8"/>
  <c r="A221" i="8" s="1"/>
  <c r="B220" i="8"/>
  <c r="A220" i="8" s="1"/>
  <c r="B219" i="8"/>
  <c r="A219" i="8" s="1"/>
  <c r="B218" i="8"/>
  <c r="A218" i="8" s="1"/>
  <c r="B217" i="8"/>
  <c r="A217" i="8" s="1"/>
  <c r="B216" i="8"/>
  <c r="A216" i="8" s="1"/>
  <c r="B215" i="8"/>
  <c r="A215" i="8" s="1"/>
  <c r="B214" i="8"/>
  <c r="A214" i="8" s="1"/>
  <c r="B213" i="8"/>
  <c r="A213" i="8" s="1"/>
  <c r="B212" i="8"/>
  <c r="A212" i="8" s="1"/>
  <c r="B211" i="8"/>
  <c r="A211" i="8" s="1"/>
  <c r="B210" i="8"/>
  <c r="A210" i="8" s="1"/>
  <c r="B208" i="8"/>
  <c r="A208" i="8" s="1"/>
  <c r="B207" i="8"/>
  <c r="A207" i="8" s="1"/>
  <c r="B206" i="8"/>
  <c r="A206" i="8" s="1"/>
  <c r="B205" i="8"/>
  <c r="A205" i="8" s="1"/>
  <c r="B204" i="8"/>
  <c r="A204" i="8" s="1"/>
  <c r="B203" i="8"/>
  <c r="A203" i="8" s="1"/>
  <c r="B202" i="8"/>
  <c r="A202" i="8" s="1"/>
  <c r="B201" i="8"/>
  <c r="A201" i="8" s="1"/>
  <c r="B200" i="8"/>
  <c r="A200" i="8" s="1"/>
  <c r="B199" i="8"/>
  <c r="A199" i="8" s="1"/>
  <c r="B198" i="8"/>
  <c r="A198" i="8" s="1"/>
  <c r="B196" i="8"/>
  <c r="A196" i="8" s="1"/>
  <c r="B195" i="8"/>
  <c r="A195" i="8" s="1"/>
  <c r="B194" i="8"/>
  <c r="A194" i="8" s="1"/>
  <c r="B193" i="8"/>
  <c r="A193" i="8" s="1"/>
  <c r="B192" i="8"/>
  <c r="A192" i="8" s="1"/>
  <c r="B191" i="8"/>
  <c r="A191" i="8" s="1"/>
  <c r="B188" i="8"/>
  <c r="A188" i="8" s="1"/>
  <c r="B186" i="8"/>
  <c r="A186" i="8" s="1"/>
  <c r="B185" i="8"/>
  <c r="A185" i="8" s="1"/>
  <c r="B184" i="8"/>
  <c r="A184" i="8" s="1"/>
  <c r="B183" i="8"/>
  <c r="A183" i="8" s="1"/>
  <c r="B182" i="8"/>
  <c r="A182" i="8" s="1"/>
  <c r="B181" i="8"/>
  <c r="A181" i="8" s="1"/>
  <c r="B180" i="8"/>
  <c r="A180" i="8" s="1"/>
  <c r="B179" i="8"/>
  <c r="A179" i="8" s="1"/>
  <c r="B178" i="8"/>
  <c r="A178" i="8" s="1"/>
  <c r="B177" i="8"/>
  <c r="A177" i="8" s="1"/>
  <c r="B174" i="8"/>
  <c r="A174" i="8" s="1"/>
  <c r="B173" i="8"/>
  <c r="A173" i="8" s="1"/>
  <c r="B172" i="8"/>
  <c r="A172" i="8" s="1"/>
  <c r="B171" i="8"/>
  <c r="A171" i="8" s="1"/>
  <c r="B170" i="8"/>
  <c r="A170" i="8" s="1"/>
  <c r="B169" i="8"/>
  <c r="A169" i="8" s="1"/>
  <c r="B168" i="8"/>
  <c r="A168" i="8" s="1"/>
  <c r="B167" i="8"/>
  <c r="A167" i="8" s="1"/>
  <c r="B166" i="8"/>
  <c r="A166" i="8" s="1"/>
  <c r="B165" i="8"/>
  <c r="A165" i="8" s="1"/>
  <c r="B164" i="8"/>
  <c r="A164" i="8" s="1"/>
  <c r="B163" i="8"/>
  <c r="A163" i="8" s="1"/>
  <c r="B162" i="8"/>
  <c r="A162" i="8" s="1"/>
  <c r="B161" i="8"/>
  <c r="A161" i="8" s="1"/>
  <c r="B160" i="8"/>
  <c r="A160" i="8" s="1"/>
  <c r="B159" i="8"/>
  <c r="A159" i="8" s="1"/>
  <c r="B158" i="8"/>
  <c r="A158" i="8" s="1"/>
  <c r="B156" i="8"/>
  <c r="A156" i="8" s="1"/>
  <c r="B155" i="8"/>
  <c r="A155" i="8" s="1"/>
  <c r="B154" i="8"/>
  <c r="A154" i="8" s="1"/>
  <c r="B153" i="8"/>
  <c r="A153" i="8" s="1"/>
  <c r="B152" i="8"/>
  <c r="A152" i="8" s="1"/>
  <c r="B151" i="8"/>
  <c r="A151" i="8" s="1"/>
  <c r="B150" i="8"/>
  <c r="A150" i="8" s="1"/>
  <c r="B149" i="8"/>
  <c r="A149" i="8" s="1"/>
  <c r="B148" i="8"/>
  <c r="A148" i="8" s="1"/>
  <c r="B147" i="8"/>
  <c r="A147" i="8" s="1"/>
  <c r="B146" i="8"/>
  <c r="A146" i="8" s="1"/>
  <c r="B144" i="8"/>
  <c r="A144" i="8" s="1"/>
  <c r="B143" i="8"/>
  <c r="A143" i="8" s="1"/>
  <c r="B142" i="8"/>
  <c r="A142" i="8" s="1"/>
  <c r="B141" i="8"/>
  <c r="A141" i="8" s="1"/>
  <c r="B140" i="8"/>
  <c r="A140" i="8" s="1"/>
  <c r="B139" i="8"/>
  <c r="A139" i="8" s="1"/>
  <c r="B136" i="8"/>
  <c r="A136" i="8" s="1"/>
  <c r="B135" i="8"/>
  <c r="A135" i="8" s="1"/>
  <c r="B134" i="8"/>
  <c r="A134" i="8" s="1"/>
  <c r="B133" i="8"/>
  <c r="A133" i="8" s="1"/>
  <c r="B132" i="8"/>
  <c r="A132" i="8" s="1"/>
  <c r="B131" i="8"/>
  <c r="A131" i="8" s="1"/>
  <c r="B130" i="8"/>
  <c r="A130" i="8" s="1"/>
  <c r="B129" i="8"/>
  <c r="A129" i="8" s="1"/>
  <c r="B128" i="8"/>
  <c r="A128" i="8" s="1"/>
  <c r="B127" i="8"/>
  <c r="A127" i="8" s="1"/>
  <c r="B126" i="8"/>
  <c r="A126" i="8" s="1"/>
  <c r="B125" i="8"/>
  <c r="A125" i="8" s="1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4" i="8"/>
  <c r="A103" i="8"/>
  <c r="A102" i="8"/>
  <c r="A101" i="8"/>
  <c r="A100" i="8"/>
  <c r="A99" i="8"/>
  <c r="A98" i="8"/>
  <c r="A97" i="8"/>
  <c r="A96" i="8"/>
  <c r="A95" i="8"/>
  <c r="A94" i="8"/>
  <c r="A92" i="8"/>
  <c r="A91" i="8"/>
  <c r="A90" i="8"/>
  <c r="A89" i="8"/>
  <c r="A88" i="8"/>
  <c r="A87" i="8"/>
  <c r="A84" i="8"/>
  <c r="A83" i="8"/>
  <c r="A82" i="8"/>
  <c r="A81" i="8"/>
  <c r="A80" i="8"/>
  <c r="A79" i="8"/>
  <c r="A78" i="8"/>
  <c r="A77" i="8"/>
  <c r="A76" i="8"/>
  <c r="A75" i="8"/>
  <c r="A74" i="8"/>
  <c r="A73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2" i="8"/>
  <c r="B51" i="8"/>
  <c r="B50" i="8"/>
  <c r="B49" i="8"/>
  <c r="B48" i="8"/>
  <c r="B47" i="8"/>
  <c r="B46" i="8"/>
  <c r="B45" i="8"/>
  <c r="B44" i="8"/>
  <c r="B43" i="8"/>
  <c r="B42" i="8"/>
  <c r="B40" i="8"/>
  <c r="B39" i="8"/>
  <c r="B38" i="8"/>
  <c r="B37" i="8"/>
  <c r="B36" i="8"/>
  <c r="B35" i="8"/>
  <c r="B32" i="8"/>
  <c r="B30" i="8"/>
  <c r="B29" i="8"/>
  <c r="B28" i="8"/>
  <c r="B27" i="8"/>
  <c r="B26" i="8"/>
  <c r="B25" i="8"/>
  <c r="B24" i="8"/>
  <c r="B23" i="8"/>
  <c r="B22" i="8"/>
  <c r="A71" i="8"/>
  <c r="B242" i="8"/>
  <c r="A242" i="8" s="1"/>
  <c r="B190" i="8"/>
  <c r="A190" i="8" s="1"/>
  <c r="B138" i="8"/>
  <c r="A138" i="8" s="1"/>
  <c r="A86" i="8"/>
  <c r="B241" i="8"/>
  <c r="A241" i="8" s="1"/>
  <c r="B189" i="8"/>
  <c r="A189" i="8" s="1"/>
  <c r="B137" i="8"/>
  <c r="A137" i="8" s="1"/>
  <c r="A85" i="8"/>
  <c r="B33" i="8"/>
  <c r="B34" i="8"/>
  <c r="B261" i="8"/>
  <c r="A261" i="8" s="1"/>
  <c r="B249" i="8"/>
  <c r="A249" i="8" s="1"/>
  <c r="B228" i="8"/>
  <c r="A228" i="8" s="1"/>
  <c r="B227" i="8"/>
  <c r="A227" i="8" s="1"/>
  <c r="B209" i="8"/>
  <c r="A209" i="8" s="1"/>
  <c r="B197" i="8"/>
  <c r="A197" i="8" s="1"/>
  <c r="B176" i="8"/>
  <c r="A176" i="8" s="1"/>
  <c r="B175" i="8"/>
  <c r="A175" i="8" s="1"/>
  <c r="B157" i="8"/>
  <c r="A157" i="8" s="1"/>
  <c r="B145" i="8"/>
  <c r="A145" i="8" s="1"/>
  <c r="B124" i="8"/>
  <c r="A124" i="8" s="1"/>
  <c r="B123" i="8"/>
  <c r="A123" i="8" s="1"/>
  <c r="A105" i="8"/>
  <c r="A93" i="8"/>
  <c r="A72" i="8"/>
  <c r="B53" i="8"/>
  <c r="B41" i="8"/>
  <c r="B21" i="8"/>
  <c r="B20" i="8"/>
  <c r="B19" i="8"/>
  <c r="D56" i="16"/>
  <c r="E56" i="16"/>
  <c r="F56" i="16"/>
  <c r="G56" i="16"/>
  <c r="H56" i="16"/>
  <c r="I56" i="16"/>
  <c r="J56" i="16"/>
  <c r="K56" i="16"/>
  <c r="L56" i="16"/>
  <c r="M56" i="16"/>
  <c r="N56" i="16"/>
  <c r="D57" i="16"/>
  <c r="E57" i="16"/>
  <c r="F57" i="16"/>
  <c r="G57" i="16"/>
  <c r="H57" i="16"/>
  <c r="I57" i="16"/>
  <c r="J57" i="16"/>
  <c r="K57" i="16"/>
  <c r="L57" i="16"/>
  <c r="M57" i="16"/>
  <c r="N57" i="16"/>
  <c r="C57" i="16"/>
  <c r="C56" i="16"/>
  <c r="A9" i="16"/>
  <c r="J320" i="8" l="1" a="1"/>
  <c r="J320" i="8" s="1"/>
  <c r="A60" i="8"/>
  <c r="F320" i="8" a="1"/>
  <c r="F320" i="8" s="1"/>
  <c r="G320" i="8" a="1"/>
  <c r="G320" i="8" s="1"/>
  <c r="V48" i="21" s="1"/>
  <c r="I320" i="8" a="1"/>
  <c r="I320" i="8" s="1"/>
  <c r="A35" i="8"/>
  <c r="I295" i="8" a="1"/>
  <c r="I295" i="8" s="1"/>
  <c r="K295" i="8" s="1"/>
  <c r="F295" i="8" a="1"/>
  <c r="F295" i="8" s="1"/>
  <c r="G295" i="8" a="1"/>
  <c r="G295" i="8" s="1"/>
  <c r="V23" i="21" s="1"/>
  <c r="J295" i="8" a="1"/>
  <c r="J295" i="8" s="1"/>
  <c r="G312" i="8" a="1"/>
  <c r="G312" i="8" s="1"/>
  <c r="V40" i="21" s="1"/>
  <c r="I312" i="8" a="1"/>
  <c r="I312" i="8" s="1"/>
  <c r="J312" i="8" a="1"/>
  <c r="J312" i="8" s="1"/>
  <c r="F312" i="8" a="1"/>
  <c r="F312" i="8" s="1"/>
  <c r="A52" i="8"/>
  <c r="I281" i="8" a="1"/>
  <c r="I281" i="8" s="1"/>
  <c r="J281" i="8" a="1"/>
  <c r="J281" i="8" s="1"/>
  <c r="A21" i="8"/>
  <c r="F281" i="8" a="1"/>
  <c r="F281" i="8" s="1"/>
  <c r="G281" i="8" a="1"/>
  <c r="G281" i="8" s="1"/>
  <c r="V9" i="21" s="1"/>
  <c r="A25" i="8"/>
  <c r="F285" i="8" a="1"/>
  <c r="F285" i="8" s="1"/>
  <c r="J285" i="8" a="1"/>
  <c r="J285" i="8" s="1"/>
  <c r="G285" i="8" a="1"/>
  <c r="G285" i="8" s="1"/>
  <c r="V13" i="21" s="1"/>
  <c r="I285" i="8" a="1"/>
  <c r="I285" i="8" s="1"/>
  <c r="G296" i="8" a="1"/>
  <c r="G296" i="8" s="1"/>
  <c r="V24" i="21" s="1"/>
  <c r="I296" i="8" a="1"/>
  <c r="I296" i="8" s="1"/>
  <c r="J296" i="8" a="1"/>
  <c r="J296" i="8" s="1"/>
  <c r="F296" i="8" a="1"/>
  <c r="F296" i="8" s="1"/>
  <c r="A36" i="8"/>
  <c r="J305" i="8" a="1"/>
  <c r="J305" i="8" s="1"/>
  <c r="A45" i="8"/>
  <c r="F305" i="8" a="1"/>
  <c r="F305" i="8" s="1"/>
  <c r="G305" i="8" a="1"/>
  <c r="G305" i="8" s="1"/>
  <c r="V33" i="21" s="1"/>
  <c r="I305" i="8" a="1"/>
  <c r="I305" i="8" s="1"/>
  <c r="A54" i="8"/>
  <c r="G314" i="8" a="1"/>
  <c r="G314" i="8" s="1"/>
  <c r="V42" i="21" s="1"/>
  <c r="I314" i="8" a="1"/>
  <c r="I314" i="8" s="1"/>
  <c r="J314" i="8" a="1"/>
  <c r="J314" i="8" s="1"/>
  <c r="F314" i="8" a="1"/>
  <c r="F314" i="8" s="1"/>
  <c r="A62" i="8"/>
  <c r="G322" i="8" a="1"/>
  <c r="G322" i="8" s="1"/>
  <c r="V50" i="21" s="1"/>
  <c r="I322" i="8" a="1"/>
  <c r="I322" i="8" s="1"/>
  <c r="J322" i="8" a="1"/>
  <c r="J322" i="8" s="1"/>
  <c r="F322" i="8" a="1"/>
  <c r="F322" i="8" s="1"/>
  <c r="A70" i="8"/>
  <c r="G330" i="8" a="1"/>
  <c r="G330" i="8" s="1"/>
  <c r="V58" i="21" s="1"/>
  <c r="I330" i="8" a="1"/>
  <c r="I330" i="8" s="1"/>
  <c r="J330" i="8" a="1"/>
  <c r="J330" i="8" s="1"/>
  <c r="F330" i="8" a="1"/>
  <c r="F330" i="8" s="1"/>
  <c r="G291" i="8" a="1"/>
  <c r="G291" i="8" s="1"/>
  <c r="V29" i="21" s="1"/>
  <c r="I291" i="8" a="1"/>
  <c r="I291" i="8" s="1"/>
  <c r="A31" i="8"/>
  <c r="F291" i="8" a="1"/>
  <c r="F291" i="8" s="1"/>
  <c r="J291" i="8" a="1"/>
  <c r="J291" i="8" s="1"/>
  <c r="J310" i="8" a="1"/>
  <c r="J310" i="8" s="1"/>
  <c r="A50" i="8"/>
  <c r="G310" i="8" a="1"/>
  <c r="G310" i="8" s="1"/>
  <c r="V38" i="21" s="1"/>
  <c r="F310" i="8" a="1"/>
  <c r="F310" i="8" s="1"/>
  <c r="I310" i="8" a="1"/>
  <c r="I310" i="8" s="1"/>
  <c r="J328" i="8" a="1"/>
  <c r="J328" i="8" s="1"/>
  <c r="F328" i="8" a="1"/>
  <c r="F328" i="8" s="1"/>
  <c r="A68" i="8"/>
  <c r="G328" i="8" a="1"/>
  <c r="G328" i="8" s="1"/>
  <c r="V56" i="21" s="1"/>
  <c r="I328" i="8" a="1"/>
  <c r="I328" i="8" s="1"/>
  <c r="F280" i="8" a="1"/>
  <c r="F280" i="8" s="1"/>
  <c r="J280" i="8" a="1"/>
  <c r="J280" i="8" s="1"/>
  <c r="G280" i="8" a="1"/>
  <c r="G280" i="8" s="1"/>
  <c r="V19" i="21" s="1"/>
  <c r="I280" i="8" a="1"/>
  <c r="I280" i="8" s="1"/>
  <c r="A20" i="8"/>
  <c r="F321" i="8" a="1"/>
  <c r="F321" i="8" s="1"/>
  <c r="A61" i="8"/>
  <c r="J321" i="8" a="1"/>
  <c r="J321" i="8" s="1"/>
  <c r="G321" i="8" a="1"/>
  <c r="G321" i="8" s="1"/>
  <c r="V49" i="21" s="1"/>
  <c r="I321" i="8" a="1"/>
  <c r="I321" i="8" s="1"/>
  <c r="A41" i="8"/>
  <c r="G301" i="8" a="1"/>
  <c r="G301" i="8" s="1"/>
  <c r="V41" i="21" s="1"/>
  <c r="F301" i="8" a="1"/>
  <c r="F301" i="8" s="1"/>
  <c r="I301" i="8" a="1"/>
  <c r="I301" i="8" s="1"/>
  <c r="J301" i="8" a="1"/>
  <c r="J301" i="8" s="1"/>
  <c r="I286" i="8" a="1"/>
  <c r="I286" i="8" s="1"/>
  <c r="A26" i="8"/>
  <c r="J286" i="8" a="1"/>
  <c r="J286" i="8" s="1"/>
  <c r="F286" i="8" a="1"/>
  <c r="F286" i="8" s="1"/>
  <c r="G286" i="8" a="1"/>
  <c r="G286" i="8" s="1"/>
  <c r="V14" i="21" s="1"/>
  <c r="A37" i="8"/>
  <c r="I297" i="8" a="1"/>
  <c r="I297" i="8" s="1"/>
  <c r="F297" i="8" a="1"/>
  <c r="F297" i="8" s="1"/>
  <c r="G297" i="8" a="1"/>
  <c r="G297" i="8" s="1"/>
  <c r="V25" i="21" s="1"/>
  <c r="J297" i="8" a="1"/>
  <c r="J297" i="8" s="1"/>
  <c r="A46" i="8"/>
  <c r="F306" i="8" a="1"/>
  <c r="F306" i="8" s="1"/>
  <c r="J306" i="8" a="1"/>
  <c r="J306" i="8" s="1"/>
  <c r="I306" i="8" a="1"/>
  <c r="I306" i="8" s="1"/>
  <c r="G306" i="8" a="1"/>
  <c r="G306" i="8" s="1"/>
  <c r="V34" i="21" s="1"/>
  <c r="J315" i="8" a="1"/>
  <c r="J315" i="8" s="1"/>
  <c r="F315" i="8" a="1"/>
  <c r="F315" i="8" s="1"/>
  <c r="G315" i="8" a="1"/>
  <c r="G315" i="8" s="1"/>
  <c r="V43" i="21" s="1"/>
  <c r="I315" i="8" a="1"/>
  <c r="I315" i="8" s="1"/>
  <c r="A55" i="8"/>
  <c r="G323" i="8" a="1"/>
  <c r="G323" i="8" s="1"/>
  <c r="V51" i="21" s="1"/>
  <c r="J323" i="8" a="1"/>
  <c r="J323" i="8" s="1"/>
  <c r="A63" i="8"/>
  <c r="F323" i="8" a="1"/>
  <c r="F323" i="8" s="1"/>
  <c r="H323" i="8" s="1"/>
  <c r="U51" i="21" s="1"/>
  <c r="I323" i="8" a="1"/>
  <c r="I323" i="8" s="1"/>
  <c r="K323" i="8" s="1"/>
  <c r="A30" i="8"/>
  <c r="I290" i="8" a="1"/>
  <c r="I290" i="8" s="1"/>
  <c r="K290" i="8" s="1"/>
  <c r="F290" i="8" a="1"/>
  <c r="F290" i="8" s="1"/>
  <c r="G290" i="8" a="1"/>
  <c r="G290" i="8" s="1"/>
  <c r="V18" i="21" s="1"/>
  <c r="J290" i="8" a="1"/>
  <c r="J290" i="8" s="1"/>
  <c r="F319" i="8" a="1"/>
  <c r="F319" i="8" s="1"/>
  <c r="G319" i="8" a="1"/>
  <c r="G319" i="8" s="1"/>
  <c r="V47" i="21" s="1"/>
  <c r="I319" i="8" a="1"/>
  <c r="I319" i="8" s="1"/>
  <c r="A59" i="8"/>
  <c r="J319" i="8" a="1"/>
  <c r="J319" i="8" s="1"/>
  <c r="I279" i="8" a="1"/>
  <c r="I279" i="8" s="1"/>
  <c r="J279" i="8" a="1"/>
  <c r="J279" i="8" s="1"/>
  <c r="G279" i="8" a="1"/>
  <c r="G279" i="8" s="1"/>
  <c r="V60" i="21" s="1"/>
  <c r="F279" i="8" a="1"/>
  <c r="F279" i="8" s="1"/>
  <c r="A19" i="8"/>
  <c r="A32" i="8"/>
  <c r="G292" i="8" a="1"/>
  <c r="G292" i="8" s="1"/>
  <c r="V20" i="21" s="1"/>
  <c r="F292" i="8" a="1"/>
  <c r="F292" i="8" s="1"/>
  <c r="I292" i="8" a="1"/>
  <c r="I292" i="8" s="1"/>
  <c r="J292" i="8" a="1"/>
  <c r="J292" i="8" s="1"/>
  <c r="F311" i="8" a="1"/>
  <c r="F311" i="8" s="1"/>
  <c r="A51" i="8"/>
  <c r="J311" i="8" a="1"/>
  <c r="J311" i="8" s="1"/>
  <c r="G311" i="8" a="1"/>
  <c r="G311" i="8" s="1"/>
  <c r="V39" i="21" s="1"/>
  <c r="I311" i="8" a="1"/>
  <c r="I311" i="8" s="1"/>
  <c r="A24" i="8"/>
  <c r="J284" i="8" a="1"/>
  <c r="J284" i="8" s="1"/>
  <c r="F284" i="8" a="1"/>
  <c r="F284" i="8" s="1"/>
  <c r="G284" i="8" a="1"/>
  <c r="G284" i="8" s="1"/>
  <c r="V12" i="21" s="1"/>
  <c r="I284" i="8" a="1"/>
  <c r="I284" i="8" s="1"/>
  <c r="F304" i="8" a="1"/>
  <c r="F304" i="8" s="1"/>
  <c r="G304" i="8" a="1"/>
  <c r="G304" i="8" s="1"/>
  <c r="V32" i="21" s="1"/>
  <c r="I304" i="8" a="1"/>
  <c r="I304" i="8" s="1"/>
  <c r="J304" i="8" a="1"/>
  <c r="J304" i="8" s="1"/>
  <c r="A44" i="8"/>
  <c r="F329" i="8" a="1"/>
  <c r="F329" i="8" s="1"/>
  <c r="A69" i="8"/>
  <c r="J329" i="8" a="1"/>
  <c r="J329" i="8" s="1"/>
  <c r="G329" i="8" a="1"/>
  <c r="G329" i="8" s="1"/>
  <c r="V57" i="21" s="1"/>
  <c r="I329" i="8" a="1"/>
  <c r="I329" i="8" s="1"/>
  <c r="A53" i="8"/>
  <c r="I313" i="8" a="1"/>
  <c r="I313" i="8" s="1"/>
  <c r="K313" i="8" s="1"/>
  <c r="F313" i="8" a="1"/>
  <c r="F313" i="8" s="1"/>
  <c r="G313" i="8" a="1"/>
  <c r="G313" i="8" s="1"/>
  <c r="V59" i="21" s="1"/>
  <c r="J313" i="8" a="1"/>
  <c r="J313" i="8" s="1"/>
  <c r="J294" i="8" a="1"/>
  <c r="J294" i="8" s="1"/>
  <c r="A34" i="8"/>
  <c r="F294" i="8" a="1"/>
  <c r="F294" i="8" s="1"/>
  <c r="G294" i="8" a="1"/>
  <c r="G294" i="8" s="1"/>
  <c r="V22" i="21" s="1"/>
  <c r="I294" i="8" a="1"/>
  <c r="I294" i="8" s="1"/>
  <c r="A27" i="8"/>
  <c r="G287" i="8" a="1"/>
  <c r="G287" i="8" s="1"/>
  <c r="V15" i="21" s="1"/>
  <c r="F287" i="8" a="1"/>
  <c r="F287" i="8" s="1"/>
  <c r="I287" i="8" a="1"/>
  <c r="I287" i="8" s="1"/>
  <c r="J287" i="8" a="1"/>
  <c r="J287" i="8" s="1"/>
  <c r="A38" i="8"/>
  <c r="G298" i="8" a="1"/>
  <c r="G298" i="8" s="1"/>
  <c r="V26" i="21" s="1"/>
  <c r="I298" i="8" a="1"/>
  <c r="I298" i="8" s="1"/>
  <c r="J298" i="8" a="1"/>
  <c r="J298" i="8" s="1"/>
  <c r="F298" i="8" a="1"/>
  <c r="F298" i="8" s="1"/>
  <c r="G307" i="8" a="1"/>
  <c r="G307" i="8" s="1"/>
  <c r="V35" i="21" s="1"/>
  <c r="I307" i="8" a="1"/>
  <c r="I307" i="8" s="1"/>
  <c r="J307" i="8" a="1"/>
  <c r="J307" i="8" s="1"/>
  <c r="F307" i="8" a="1"/>
  <c r="F307" i="8" s="1"/>
  <c r="A47" i="8"/>
  <c r="A56" i="8"/>
  <c r="F316" i="8" a="1"/>
  <c r="F316" i="8" s="1"/>
  <c r="J316" i="8" a="1"/>
  <c r="J316" i="8" s="1"/>
  <c r="G316" i="8" a="1"/>
  <c r="G316" i="8" s="1"/>
  <c r="V44" i="21" s="1"/>
  <c r="I316" i="8" a="1"/>
  <c r="I316" i="8" s="1"/>
  <c r="A64" i="8"/>
  <c r="F324" i="8" a="1"/>
  <c r="F324" i="8" s="1"/>
  <c r="G324" i="8" a="1"/>
  <c r="G324" i="8" s="1"/>
  <c r="V52" i="21" s="1"/>
  <c r="I324" i="8" a="1"/>
  <c r="I324" i="8" s="1"/>
  <c r="J324" i="8" a="1"/>
  <c r="J324" i="8" s="1"/>
  <c r="A22" i="8"/>
  <c r="I282" i="8" a="1"/>
  <c r="I282" i="8" s="1"/>
  <c r="F282" i="8" a="1"/>
  <c r="F282" i="8" s="1"/>
  <c r="G282" i="8" a="1"/>
  <c r="G282" i="8" s="1"/>
  <c r="V10" i="21" s="1"/>
  <c r="J282" i="8" a="1"/>
  <c r="J282" i="8" s="1"/>
  <c r="F293" i="8" a="1"/>
  <c r="F293" i="8" s="1"/>
  <c r="A33" i="8"/>
  <c r="G293" i="8" a="1"/>
  <c r="G293" i="8" s="1"/>
  <c r="V21" i="21" s="1"/>
  <c r="I293" i="8" a="1"/>
  <c r="I293" i="8" s="1"/>
  <c r="J293" i="8" a="1"/>
  <c r="J293" i="8" s="1"/>
  <c r="F288" i="8" a="1"/>
  <c r="F288" i="8" s="1"/>
  <c r="G288" i="8" a="1"/>
  <c r="G288" i="8" s="1"/>
  <c r="V16" i="21" s="1"/>
  <c r="J288" i="8" a="1"/>
  <c r="J288" i="8" s="1"/>
  <c r="A28" i="8"/>
  <c r="I288" i="8" a="1"/>
  <c r="I288" i="8" s="1"/>
  <c r="A48" i="8"/>
  <c r="G308" i="8" a="1"/>
  <c r="G308" i="8" s="1"/>
  <c r="V36" i="21" s="1"/>
  <c r="F308" i="8" a="1"/>
  <c r="F308" i="8" s="1"/>
  <c r="I308" i="8" a="1"/>
  <c r="I308" i="8" s="1"/>
  <c r="J308" i="8" a="1"/>
  <c r="J308" i="8" s="1"/>
  <c r="F302" i="8" a="1"/>
  <c r="F302" i="8" s="1"/>
  <c r="G302" i="8" a="1"/>
  <c r="G302" i="8" s="1"/>
  <c r="V30" i="21" s="1"/>
  <c r="A42" i="8"/>
  <c r="I302" i="8" a="1"/>
  <c r="I302" i="8" s="1"/>
  <c r="J302" i="8" a="1"/>
  <c r="J302" i="8" s="1"/>
  <c r="F327" i="8" a="1"/>
  <c r="F327" i="8" s="1"/>
  <c r="G327" i="8" a="1"/>
  <c r="G327" i="8" s="1"/>
  <c r="V55" i="21" s="1"/>
  <c r="I327" i="8" a="1"/>
  <c r="I327" i="8" s="1"/>
  <c r="A67" i="8"/>
  <c r="J327" i="8" a="1"/>
  <c r="J327" i="8" s="1"/>
  <c r="F283" i="8" a="1"/>
  <c r="F283" i="8" s="1"/>
  <c r="G283" i="8" a="1"/>
  <c r="G283" i="8" s="1"/>
  <c r="V11" i="21" s="1"/>
  <c r="I283" i="8" a="1"/>
  <c r="I283" i="8" s="1"/>
  <c r="J283" i="8" a="1"/>
  <c r="J283" i="8" s="1"/>
  <c r="A23" i="8"/>
  <c r="J303" i="8" a="1"/>
  <c r="J303" i="8" s="1"/>
  <c r="A43" i="8"/>
  <c r="F303" i="8" a="1"/>
  <c r="F303" i="8" s="1"/>
  <c r="I303" i="8" a="1"/>
  <c r="I303" i="8" s="1"/>
  <c r="G303" i="8" a="1"/>
  <c r="G303" i="8" s="1"/>
  <c r="V31" i="21" s="1"/>
  <c r="G299" i="8" a="1"/>
  <c r="G299" i="8" s="1"/>
  <c r="V27" i="21" s="1"/>
  <c r="I299" i="8" a="1"/>
  <c r="I299" i="8" s="1"/>
  <c r="J299" i="8" a="1"/>
  <c r="J299" i="8" s="1"/>
  <c r="F299" i="8" a="1"/>
  <c r="F299" i="8" s="1"/>
  <c r="A39" i="8"/>
  <c r="I317" i="8" a="1"/>
  <c r="I317" i="8" s="1"/>
  <c r="A57" i="8"/>
  <c r="J317" i="8" a="1"/>
  <c r="J317" i="8" s="1"/>
  <c r="G317" i="8" a="1"/>
  <c r="G317" i="8" s="1"/>
  <c r="V45" i="21" s="1"/>
  <c r="F317" i="8" a="1"/>
  <c r="F317" i="8" s="1"/>
  <c r="I325" i="8" a="1"/>
  <c r="I325" i="8" s="1"/>
  <c r="A65" i="8"/>
  <c r="J325" i="8" a="1"/>
  <c r="J325" i="8" s="1"/>
  <c r="F325" i="8" a="1"/>
  <c r="F325" i="8" s="1"/>
  <c r="G325" i="8" a="1"/>
  <c r="G325" i="8" s="1"/>
  <c r="V53" i="21" s="1"/>
  <c r="I289" i="8" a="1"/>
  <c r="I289" i="8" s="1"/>
  <c r="J289" i="8" a="1"/>
  <c r="J289" i="8" s="1"/>
  <c r="A29" i="8"/>
  <c r="G289" i="8" a="1"/>
  <c r="G289" i="8" s="1"/>
  <c r="V17" i="21" s="1"/>
  <c r="F289" i="8" a="1"/>
  <c r="F289" i="8" s="1"/>
  <c r="A40" i="8"/>
  <c r="F300" i="8" a="1"/>
  <c r="F300" i="8" s="1"/>
  <c r="G300" i="8" a="1"/>
  <c r="G300" i="8" s="1"/>
  <c r="V28" i="21" s="1"/>
  <c r="I300" i="8" a="1"/>
  <c r="I300" i="8" s="1"/>
  <c r="J300" i="8" a="1"/>
  <c r="J300" i="8" s="1"/>
  <c r="F309" i="8" a="1"/>
  <c r="F309" i="8" s="1"/>
  <c r="A49" i="8"/>
  <c r="G309" i="8" a="1"/>
  <c r="G309" i="8" s="1"/>
  <c r="V37" i="21" s="1"/>
  <c r="I309" i="8" a="1"/>
  <c r="I309" i="8" s="1"/>
  <c r="J309" i="8" a="1"/>
  <c r="J309" i="8" s="1"/>
  <c r="A58" i="8"/>
  <c r="F318" i="8" a="1"/>
  <c r="F318" i="8" s="1"/>
  <c r="I318" i="8" a="1"/>
  <c r="I318" i="8" s="1"/>
  <c r="G318" i="8" a="1"/>
  <c r="G318" i="8" s="1"/>
  <c r="V46" i="21" s="1"/>
  <c r="J318" i="8" a="1"/>
  <c r="J318" i="8" s="1"/>
  <c r="A66" i="8"/>
  <c r="F326" i="8" a="1"/>
  <c r="F326" i="8" s="1"/>
  <c r="I326" i="8" a="1"/>
  <c r="I326" i="8" s="1"/>
  <c r="J326" i="8" a="1"/>
  <c r="J326" i="8" s="1"/>
  <c r="G326" i="8" a="1"/>
  <c r="G326" i="8" s="1"/>
  <c r="V54" i="21" s="1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J86" i="8"/>
  <c r="I86" i="8"/>
  <c r="J138" i="8"/>
  <c r="I138" i="8"/>
  <c r="J190" i="8"/>
  <c r="I190" i="8"/>
  <c r="J242" i="8"/>
  <c r="I242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19" i="8"/>
  <c r="I34" i="8"/>
  <c r="J34" i="8"/>
  <c r="H289" i="8" l="1"/>
  <c r="U17" i="21" s="1"/>
  <c r="H299" i="8"/>
  <c r="U27" i="21" s="1"/>
  <c r="K327" i="8"/>
  <c r="H314" i="8"/>
  <c r="H298" i="8"/>
  <c r="H322" i="8"/>
  <c r="H296" i="8"/>
  <c r="U24" i="21" s="1"/>
  <c r="H292" i="8"/>
  <c r="U20" i="21" s="1"/>
  <c r="H310" i="8"/>
  <c r="H302" i="8"/>
  <c r="H324" i="8"/>
  <c r="U52" i="21" s="1"/>
  <c r="H294" i="8"/>
  <c r="H315" i="8"/>
  <c r="H305" i="8"/>
  <c r="H304" i="8"/>
  <c r="U32" i="21" s="1"/>
  <c r="H297" i="8"/>
  <c r="U25" i="21" s="1"/>
  <c r="K281" i="8"/>
  <c r="H295" i="8"/>
  <c r="M323" i="8"/>
  <c r="K330" i="8"/>
  <c r="K321" i="8"/>
  <c r="H327" i="8"/>
  <c r="K299" i="8"/>
  <c r="K318" i="8"/>
  <c r="K283" i="8"/>
  <c r="K293" i="8"/>
  <c r="H284" i="8"/>
  <c r="K280" i="8"/>
  <c r="K320" i="8"/>
  <c r="K291" i="8"/>
  <c r="H283" i="8"/>
  <c r="U11" i="21" s="1"/>
  <c r="K324" i="8"/>
  <c r="K298" i="8"/>
  <c r="M298" i="8" s="1"/>
  <c r="K294" i="8"/>
  <c r="M294" i="8" s="1"/>
  <c r="K322" i="8"/>
  <c r="K305" i="8"/>
  <c r="H320" i="8"/>
  <c r="U48" i="21" s="1"/>
  <c r="H306" i="8"/>
  <c r="H330" i="8"/>
  <c r="H326" i="8"/>
  <c r="K309" i="8"/>
  <c r="H307" i="8"/>
  <c r="K329" i="8"/>
  <c r="K319" i="8"/>
  <c r="K285" i="8"/>
  <c r="V13" i="17"/>
  <c r="L285" i="8"/>
  <c r="V75" i="21" s="1"/>
  <c r="U51" i="17"/>
  <c r="U17" i="17"/>
  <c r="V17" i="17"/>
  <c r="L289" i="8"/>
  <c r="V79" i="21" s="1"/>
  <c r="K325" i="8"/>
  <c r="V55" i="17"/>
  <c r="L327" i="8"/>
  <c r="V117" i="21" s="1"/>
  <c r="K308" i="8"/>
  <c r="H288" i="8"/>
  <c r="U16" i="21" s="1"/>
  <c r="H282" i="8"/>
  <c r="K316" i="8"/>
  <c r="K307" i="8"/>
  <c r="K287" i="8"/>
  <c r="K284" i="8"/>
  <c r="H279" i="8"/>
  <c r="H319" i="8"/>
  <c r="U47" i="21" s="1"/>
  <c r="L306" i="8"/>
  <c r="V96" i="21" s="1"/>
  <c r="V34" i="17"/>
  <c r="K297" i="8"/>
  <c r="K301" i="8"/>
  <c r="H321" i="8"/>
  <c r="U49" i="21" s="1"/>
  <c r="V58" i="17"/>
  <c r="L330" i="8"/>
  <c r="V120" i="21" s="1"/>
  <c r="U32" i="17"/>
  <c r="L328" i="8"/>
  <c r="V118" i="21" s="1"/>
  <c r="V56" i="17"/>
  <c r="H309" i="8"/>
  <c r="U37" i="21" s="1"/>
  <c r="H317" i="8"/>
  <c r="U45" i="21" s="1"/>
  <c r="H308" i="8"/>
  <c r="U36" i="21" s="1"/>
  <c r="K282" i="8"/>
  <c r="V44" i="17"/>
  <c r="L316" i="8"/>
  <c r="V106" i="21" s="1"/>
  <c r="V35" i="17"/>
  <c r="L307" i="8"/>
  <c r="V97" i="21" s="1"/>
  <c r="H287" i="8"/>
  <c r="U15" i="21" s="1"/>
  <c r="V12" i="17"/>
  <c r="L284" i="8"/>
  <c r="V74" i="21" s="1"/>
  <c r="H311" i="8"/>
  <c r="U39" i="21" s="1"/>
  <c r="V60" i="17"/>
  <c r="L279" i="8"/>
  <c r="K306" i="8"/>
  <c r="M306" i="8" s="1"/>
  <c r="H301" i="8"/>
  <c r="U41" i="21" s="1"/>
  <c r="H328" i="8"/>
  <c r="U56" i="21" s="1"/>
  <c r="H291" i="8"/>
  <c r="U29" i="21" s="1"/>
  <c r="K314" i="8"/>
  <c r="M314" i="8" s="1"/>
  <c r="H285" i="8"/>
  <c r="U13" i="21" s="1"/>
  <c r="H312" i="8"/>
  <c r="U40" i="21" s="1"/>
  <c r="V47" i="17"/>
  <c r="L319" i="8"/>
  <c r="V109" i="21" s="1"/>
  <c r="L318" i="8"/>
  <c r="V108" i="21" s="1"/>
  <c r="V46" i="17"/>
  <c r="V45" i="17"/>
  <c r="L317" i="8"/>
  <c r="V107" i="21" s="1"/>
  <c r="V15" i="17"/>
  <c r="L287" i="8"/>
  <c r="V77" i="21" s="1"/>
  <c r="V59" i="17"/>
  <c r="L313" i="8"/>
  <c r="V121" i="21" s="1"/>
  <c r="H329" i="8"/>
  <c r="U57" i="21" s="1"/>
  <c r="L290" i="8"/>
  <c r="V80" i="21" s="1"/>
  <c r="V18" i="17"/>
  <c r="V51" i="17"/>
  <c r="L323" i="8"/>
  <c r="V113" i="21" s="1"/>
  <c r="V14" i="17"/>
  <c r="L286" i="8"/>
  <c r="V76" i="21" s="1"/>
  <c r="V41" i="17"/>
  <c r="L301" i="8"/>
  <c r="V103" i="21" s="1"/>
  <c r="L314" i="8"/>
  <c r="V104" i="21" s="1"/>
  <c r="V42" i="17"/>
  <c r="U24" i="17"/>
  <c r="L308" i="8"/>
  <c r="V98" i="21" s="1"/>
  <c r="V36" i="17"/>
  <c r="V54" i="17"/>
  <c r="L326" i="8"/>
  <c r="V116" i="21" s="1"/>
  <c r="H318" i="8"/>
  <c r="U46" i="21" s="1"/>
  <c r="K300" i="8"/>
  <c r="K289" i="8"/>
  <c r="M289" i="8" s="1"/>
  <c r="V31" i="17"/>
  <c r="L303" i="8"/>
  <c r="V93" i="21" s="1"/>
  <c r="V11" i="17"/>
  <c r="L283" i="8"/>
  <c r="V73" i="21" s="1"/>
  <c r="K302" i="8"/>
  <c r="M302" i="8" s="1"/>
  <c r="V21" i="17"/>
  <c r="L293" i="8"/>
  <c r="V83" i="21" s="1"/>
  <c r="H316" i="8"/>
  <c r="U44" i="21" s="1"/>
  <c r="H313" i="8"/>
  <c r="U59" i="21" s="1"/>
  <c r="K292" i="8"/>
  <c r="K279" i="8"/>
  <c r="H290" i="8"/>
  <c r="U18" i="21" s="1"/>
  <c r="H286" i="8"/>
  <c r="U14" i="21" s="1"/>
  <c r="V19" i="17"/>
  <c r="L280" i="8"/>
  <c r="V81" i="21" s="1"/>
  <c r="K310" i="8"/>
  <c r="M310" i="8" s="1"/>
  <c r="V9" i="17"/>
  <c r="L281" i="8"/>
  <c r="V71" i="21" s="1"/>
  <c r="K312" i="8"/>
  <c r="L320" i="8"/>
  <c r="V110" i="21" s="1"/>
  <c r="V48" i="17"/>
  <c r="V57" i="17"/>
  <c r="L329" i="8"/>
  <c r="V119" i="21" s="1"/>
  <c r="V53" i="17"/>
  <c r="L325" i="8"/>
  <c r="V115" i="21" s="1"/>
  <c r="K303" i="8"/>
  <c r="K288" i="8"/>
  <c r="U20" i="17"/>
  <c r="K315" i="8"/>
  <c r="M315" i="8" s="1"/>
  <c r="V29" i="17"/>
  <c r="L291" i="8"/>
  <c r="V91" i="21" s="1"/>
  <c r="K296" i="8"/>
  <c r="M296" i="8" s="1"/>
  <c r="H281" i="8"/>
  <c r="U9" i="21" s="1"/>
  <c r="L312" i="8"/>
  <c r="V102" i="21" s="1"/>
  <c r="V40" i="17"/>
  <c r="U48" i="17"/>
  <c r="V37" i="17"/>
  <c r="L309" i="8"/>
  <c r="V99" i="21" s="1"/>
  <c r="V16" i="17"/>
  <c r="L288" i="8"/>
  <c r="V78" i="21" s="1"/>
  <c r="V27" i="17"/>
  <c r="L299" i="8"/>
  <c r="V89" i="21" s="1"/>
  <c r="U27" i="17"/>
  <c r="V28" i="17"/>
  <c r="L300" i="8"/>
  <c r="V90" i="21" s="1"/>
  <c r="K326" i="8"/>
  <c r="H300" i="8"/>
  <c r="U28" i="21" s="1"/>
  <c r="H325" i="8"/>
  <c r="U53" i="21" s="1"/>
  <c r="K317" i="8"/>
  <c r="H303" i="8"/>
  <c r="U31" i="21" s="1"/>
  <c r="L302" i="8"/>
  <c r="V92" i="21" s="1"/>
  <c r="V30" i="17"/>
  <c r="H293" i="8"/>
  <c r="U21" i="21" s="1"/>
  <c r="L324" i="8"/>
  <c r="V114" i="21" s="1"/>
  <c r="V52" i="17"/>
  <c r="V26" i="17"/>
  <c r="L298" i="8"/>
  <c r="V88" i="21" s="1"/>
  <c r="L294" i="8"/>
  <c r="V84" i="21" s="1"/>
  <c r="V22" i="17"/>
  <c r="K304" i="8"/>
  <c r="M304" i="8" s="1"/>
  <c r="K311" i="8"/>
  <c r="L292" i="8"/>
  <c r="V20" i="17"/>
  <c r="V43" i="17"/>
  <c r="L315" i="8"/>
  <c r="V105" i="21" s="1"/>
  <c r="V49" i="17"/>
  <c r="L321" i="8"/>
  <c r="V111" i="21" s="1"/>
  <c r="H280" i="8"/>
  <c r="U19" i="21" s="1"/>
  <c r="V38" i="17"/>
  <c r="L310" i="8"/>
  <c r="V100" i="21" s="1"/>
  <c r="L322" i="8"/>
  <c r="V112" i="21" s="1"/>
  <c r="V50" i="17"/>
  <c r="V33" i="17"/>
  <c r="L305" i="8"/>
  <c r="V95" i="21" s="1"/>
  <c r="L296" i="8"/>
  <c r="V86" i="21" s="1"/>
  <c r="V24" i="17"/>
  <c r="L282" i="8"/>
  <c r="V72" i="21" s="1"/>
  <c r="V10" i="17"/>
  <c r="U52" i="17"/>
  <c r="M324" i="8"/>
  <c r="V32" i="17"/>
  <c r="L304" i="8"/>
  <c r="V94" i="21" s="1"/>
  <c r="V39" i="17"/>
  <c r="L311" i="8"/>
  <c r="V101" i="21" s="1"/>
  <c r="V25" i="17"/>
  <c r="L297" i="8"/>
  <c r="V87" i="21" s="1"/>
  <c r="K286" i="8"/>
  <c r="K328" i="8"/>
  <c r="V23" i="17"/>
  <c r="L295" i="8"/>
  <c r="V85" i="21" s="1"/>
  <c r="K190" i="8"/>
  <c r="K86" i="8"/>
  <c r="K242" i="8"/>
  <c r="K138" i="8"/>
  <c r="K34" i="8"/>
  <c r="U60" i="21" l="1"/>
  <c r="M279" i="8"/>
  <c r="U122" i="21" s="1"/>
  <c r="U58" i="17"/>
  <c r="U58" i="21"/>
  <c r="M292" i="8"/>
  <c r="U34" i="17"/>
  <c r="U34" i="21"/>
  <c r="U105" i="17"/>
  <c r="U105" i="21"/>
  <c r="U55" i="17"/>
  <c r="U55" i="21"/>
  <c r="U79" i="17"/>
  <c r="U79" i="21"/>
  <c r="M320" i="8"/>
  <c r="U43" i="17"/>
  <c r="U43" i="21"/>
  <c r="U26" i="17"/>
  <c r="U26" i="21"/>
  <c r="U92" i="17"/>
  <c r="U92" i="21"/>
  <c r="U96" i="17"/>
  <c r="U96" i="21"/>
  <c r="M299" i="8"/>
  <c r="U50" i="21"/>
  <c r="U50" i="17"/>
  <c r="U114" i="17"/>
  <c r="U114" i="21"/>
  <c r="U86" i="17"/>
  <c r="U86" i="21"/>
  <c r="U100" i="17"/>
  <c r="U100" i="21"/>
  <c r="M297" i="8"/>
  <c r="M305" i="8"/>
  <c r="U22" i="21"/>
  <c r="U22" i="17"/>
  <c r="U42" i="17"/>
  <c r="U42" i="21"/>
  <c r="U104" i="17"/>
  <c r="U104" i="21"/>
  <c r="U33" i="17"/>
  <c r="U33" i="21"/>
  <c r="V82" i="17"/>
  <c r="V82" i="21"/>
  <c r="U10" i="17"/>
  <c r="U10" i="21"/>
  <c r="U25" i="17"/>
  <c r="U35" i="17"/>
  <c r="U35" i="21"/>
  <c r="M322" i="8"/>
  <c r="U12" i="17"/>
  <c r="U12" i="21"/>
  <c r="U113" i="17"/>
  <c r="U113" i="21"/>
  <c r="U84" i="17"/>
  <c r="U84" i="21"/>
  <c r="M295" i="8"/>
  <c r="U23" i="21"/>
  <c r="U30" i="17"/>
  <c r="U30" i="21"/>
  <c r="U94" i="17"/>
  <c r="U94" i="21"/>
  <c r="V122" i="17"/>
  <c r="V122" i="21"/>
  <c r="U54" i="17"/>
  <c r="U54" i="21"/>
  <c r="U88" i="17"/>
  <c r="U88" i="21"/>
  <c r="U38" i="21"/>
  <c r="U38" i="17"/>
  <c r="M282" i="8"/>
  <c r="M327" i="8"/>
  <c r="U23" i="17"/>
  <c r="M284" i="8"/>
  <c r="M283" i="8"/>
  <c r="U11" i="17"/>
  <c r="M326" i="8"/>
  <c r="M307" i="8"/>
  <c r="M330" i="8"/>
  <c r="M325" i="8"/>
  <c r="U53" i="17"/>
  <c r="U9" i="17"/>
  <c r="M281" i="8"/>
  <c r="V71" i="17"/>
  <c r="C2" i="12"/>
  <c r="V98" i="17"/>
  <c r="C28" i="12"/>
  <c r="C8" i="12"/>
  <c r="V77" i="17"/>
  <c r="U47" i="17"/>
  <c r="M319" i="8"/>
  <c r="C35" i="12"/>
  <c r="V105" i="17"/>
  <c r="C7" i="12"/>
  <c r="V76" i="17"/>
  <c r="V106" i="17"/>
  <c r="C36" i="12"/>
  <c r="C26" i="12"/>
  <c r="V96" i="17"/>
  <c r="M288" i="8"/>
  <c r="U16" i="17"/>
  <c r="C9" i="12"/>
  <c r="V78" i="17"/>
  <c r="C23" i="12"/>
  <c r="V93" i="17"/>
  <c r="U40" i="17"/>
  <c r="M312" i="8"/>
  <c r="C42" i="12"/>
  <c r="V112" i="17"/>
  <c r="U28" i="17"/>
  <c r="M300" i="8"/>
  <c r="V115" i="17"/>
  <c r="C45" i="12"/>
  <c r="M313" i="8"/>
  <c r="U59" i="17"/>
  <c r="C43" i="12"/>
  <c r="V113" i="17"/>
  <c r="U13" i="17"/>
  <c r="M285" i="8"/>
  <c r="M311" i="8"/>
  <c r="U39" i="17"/>
  <c r="C50" i="12"/>
  <c r="V120" i="17"/>
  <c r="U60" i="17"/>
  <c r="C47" i="12"/>
  <c r="V117" i="17"/>
  <c r="V75" i="17"/>
  <c r="C6" i="12"/>
  <c r="V107" i="17"/>
  <c r="C37" i="12"/>
  <c r="V74" i="17"/>
  <c r="C5" i="12"/>
  <c r="U36" i="17"/>
  <c r="M308" i="8"/>
  <c r="M317" i="8"/>
  <c r="U45" i="17"/>
  <c r="M321" i="8"/>
  <c r="U49" i="17"/>
  <c r="V99" i="17"/>
  <c r="C29" i="12"/>
  <c r="V91" i="17"/>
  <c r="C21" i="12"/>
  <c r="U44" i="17"/>
  <c r="M316" i="8"/>
  <c r="C12" i="12"/>
  <c r="V81" i="17"/>
  <c r="V83" i="17"/>
  <c r="C13" i="12"/>
  <c r="C31" i="12"/>
  <c r="V101" i="17"/>
  <c r="M280" i="8"/>
  <c r="U19" i="17"/>
  <c r="M318" i="8"/>
  <c r="U46" i="17"/>
  <c r="C34" i="12"/>
  <c r="V104" i="17"/>
  <c r="V80" i="17"/>
  <c r="C11" i="12"/>
  <c r="U56" i="17"/>
  <c r="M328" i="8"/>
  <c r="M287" i="8"/>
  <c r="U15" i="17"/>
  <c r="U37" i="17"/>
  <c r="M309" i="8"/>
  <c r="C10" i="12"/>
  <c r="V79" i="17"/>
  <c r="C18" i="12"/>
  <c r="V88" i="17"/>
  <c r="V102" i="17"/>
  <c r="C32" i="12"/>
  <c r="V114" i="17"/>
  <c r="C44" i="12"/>
  <c r="V72" i="17"/>
  <c r="C3" i="12"/>
  <c r="M293" i="8"/>
  <c r="U21" i="17"/>
  <c r="V90" i="17"/>
  <c r="C20" i="12"/>
  <c r="C49" i="12"/>
  <c r="V119" i="17"/>
  <c r="U29" i="17"/>
  <c r="M291" i="8"/>
  <c r="V86" i="17"/>
  <c r="C16" i="12"/>
  <c r="C41" i="12"/>
  <c r="V111" i="17"/>
  <c r="V92" i="17"/>
  <c r="C22" i="12"/>
  <c r="U14" i="17"/>
  <c r="M286" i="8"/>
  <c r="V116" i="17"/>
  <c r="C46" i="12"/>
  <c r="C33" i="12"/>
  <c r="V103" i="17"/>
  <c r="U57" i="17"/>
  <c r="M329" i="8"/>
  <c r="V108" i="17"/>
  <c r="C38" i="12"/>
  <c r="U41" i="17"/>
  <c r="M301" i="8"/>
  <c r="C27" i="12"/>
  <c r="V97" i="17"/>
  <c r="C17" i="12"/>
  <c r="V87" i="17"/>
  <c r="V100" i="17"/>
  <c r="C30" i="12"/>
  <c r="C15" i="12"/>
  <c r="V85" i="17"/>
  <c r="V94" i="17"/>
  <c r="C24" i="12"/>
  <c r="C25" i="12"/>
  <c r="V95" i="17"/>
  <c r="V84" i="17"/>
  <c r="C14" i="12"/>
  <c r="M303" i="8"/>
  <c r="U31" i="17"/>
  <c r="C19" i="12"/>
  <c r="V89" i="17"/>
  <c r="V110" i="17"/>
  <c r="C40" i="12"/>
  <c r="U18" i="17"/>
  <c r="M290" i="8"/>
  <c r="V73" i="17"/>
  <c r="C4" i="12"/>
  <c r="C51" i="12"/>
  <c r="V121" i="17"/>
  <c r="C39" i="12"/>
  <c r="V109" i="17"/>
  <c r="V118" i="17"/>
  <c r="C48" i="12"/>
  <c r="H243" i="8"/>
  <c r="M243" i="8" s="1"/>
  <c r="H244" i="8"/>
  <c r="M244" i="8" s="1"/>
  <c r="H245" i="8"/>
  <c r="M245" i="8" s="1"/>
  <c r="H246" i="8"/>
  <c r="M246" i="8" s="1"/>
  <c r="H247" i="8"/>
  <c r="M247" i="8" s="1"/>
  <c r="H248" i="8"/>
  <c r="M248" i="8" s="1"/>
  <c r="H249" i="8"/>
  <c r="M249" i="8" s="1"/>
  <c r="H250" i="8"/>
  <c r="M250" i="8" s="1"/>
  <c r="H251" i="8"/>
  <c r="M251" i="8" s="1"/>
  <c r="H252" i="8"/>
  <c r="M252" i="8" s="1"/>
  <c r="H253" i="8"/>
  <c r="M253" i="8" s="1"/>
  <c r="H254" i="8"/>
  <c r="M254" i="8" s="1"/>
  <c r="H255" i="8"/>
  <c r="M255" i="8" s="1"/>
  <c r="H256" i="8"/>
  <c r="M256" i="8" s="1"/>
  <c r="H257" i="8"/>
  <c r="M257" i="8" s="1"/>
  <c r="H258" i="8"/>
  <c r="M258" i="8" s="1"/>
  <c r="H259" i="8"/>
  <c r="M259" i="8" s="1"/>
  <c r="H260" i="8"/>
  <c r="M260" i="8" s="1"/>
  <c r="H261" i="8"/>
  <c r="M261" i="8" s="1"/>
  <c r="H262" i="8"/>
  <c r="M262" i="8" s="1"/>
  <c r="H263" i="8"/>
  <c r="M263" i="8" s="1"/>
  <c r="H264" i="8"/>
  <c r="M264" i="8" s="1"/>
  <c r="H265" i="8"/>
  <c r="M265" i="8" s="1"/>
  <c r="H266" i="8"/>
  <c r="M266" i="8" s="1"/>
  <c r="H267" i="8"/>
  <c r="M267" i="8" s="1"/>
  <c r="H268" i="8"/>
  <c r="M268" i="8" s="1"/>
  <c r="H269" i="8"/>
  <c r="M269" i="8" s="1"/>
  <c r="H270" i="8"/>
  <c r="M270" i="8" s="1"/>
  <c r="H271" i="8"/>
  <c r="M271" i="8" s="1"/>
  <c r="H272" i="8"/>
  <c r="M272" i="8" s="1"/>
  <c r="H273" i="8"/>
  <c r="M273" i="8" s="1"/>
  <c r="H274" i="8"/>
  <c r="M274" i="8" s="1"/>
  <c r="H275" i="8"/>
  <c r="M275" i="8" s="1"/>
  <c r="H276" i="8"/>
  <c r="M276" i="8" s="1"/>
  <c r="H277" i="8"/>
  <c r="M277" i="8" s="1"/>
  <c r="H278" i="8"/>
  <c r="M278" i="8" s="1"/>
  <c r="G242" i="8"/>
  <c r="L242" i="8" s="1"/>
  <c r="F242" i="8"/>
  <c r="H189" i="8"/>
  <c r="M189" i="8" s="1"/>
  <c r="H191" i="8"/>
  <c r="M191" i="8" s="1"/>
  <c r="H192" i="8"/>
  <c r="M192" i="8" s="1"/>
  <c r="H193" i="8"/>
  <c r="M193" i="8" s="1"/>
  <c r="H194" i="8"/>
  <c r="M194" i="8" s="1"/>
  <c r="H195" i="8"/>
  <c r="M195" i="8" s="1"/>
  <c r="H196" i="8"/>
  <c r="M196" i="8" s="1"/>
  <c r="H197" i="8"/>
  <c r="M197" i="8" s="1"/>
  <c r="H198" i="8"/>
  <c r="M198" i="8" s="1"/>
  <c r="H199" i="8"/>
  <c r="M199" i="8" s="1"/>
  <c r="H200" i="8"/>
  <c r="M200" i="8" s="1"/>
  <c r="H201" i="8"/>
  <c r="M201" i="8" s="1"/>
  <c r="H202" i="8"/>
  <c r="M202" i="8" s="1"/>
  <c r="H203" i="8"/>
  <c r="M203" i="8" s="1"/>
  <c r="H204" i="8"/>
  <c r="M204" i="8" s="1"/>
  <c r="H205" i="8"/>
  <c r="M205" i="8" s="1"/>
  <c r="H206" i="8"/>
  <c r="M206" i="8" s="1"/>
  <c r="H207" i="8"/>
  <c r="M207" i="8" s="1"/>
  <c r="H208" i="8"/>
  <c r="M208" i="8" s="1"/>
  <c r="H209" i="8"/>
  <c r="M209" i="8" s="1"/>
  <c r="H210" i="8"/>
  <c r="M210" i="8" s="1"/>
  <c r="H211" i="8"/>
  <c r="M211" i="8" s="1"/>
  <c r="H212" i="8"/>
  <c r="M212" i="8" s="1"/>
  <c r="H213" i="8"/>
  <c r="M213" i="8" s="1"/>
  <c r="H214" i="8"/>
  <c r="M214" i="8" s="1"/>
  <c r="H215" i="8"/>
  <c r="M215" i="8" s="1"/>
  <c r="H216" i="8"/>
  <c r="M216" i="8" s="1"/>
  <c r="H217" i="8"/>
  <c r="M217" i="8" s="1"/>
  <c r="H218" i="8"/>
  <c r="M218" i="8" s="1"/>
  <c r="H219" i="8"/>
  <c r="M219" i="8" s="1"/>
  <c r="H220" i="8"/>
  <c r="M220" i="8" s="1"/>
  <c r="H221" i="8"/>
  <c r="M221" i="8" s="1"/>
  <c r="H222" i="8"/>
  <c r="M222" i="8" s="1"/>
  <c r="H223" i="8"/>
  <c r="M223" i="8" s="1"/>
  <c r="H224" i="8"/>
  <c r="M224" i="8" s="1"/>
  <c r="H225" i="8"/>
  <c r="M225" i="8" s="1"/>
  <c r="H226" i="8"/>
  <c r="M226" i="8" s="1"/>
  <c r="G190" i="8"/>
  <c r="F190" i="8"/>
  <c r="H175" i="8"/>
  <c r="M175" i="8" s="1"/>
  <c r="H176" i="8"/>
  <c r="M176" i="8" s="1"/>
  <c r="H177" i="8"/>
  <c r="M177" i="8" s="1"/>
  <c r="H178" i="8"/>
  <c r="M178" i="8" s="1"/>
  <c r="H179" i="8"/>
  <c r="M179" i="8" s="1"/>
  <c r="H180" i="8"/>
  <c r="M180" i="8" s="1"/>
  <c r="H181" i="8"/>
  <c r="M181" i="8" s="1"/>
  <c r="H182" i="8"/>
  <c r="M182" i="8" s="1"/>
  <c r="H183" i="8"/>
  <c r="M183" i="8" s="1"/>
  <c r="H184" i="8"/>
  <c r="M184" i="8" s="1"/>
  <c r="H185" i="8"/>
  <c r="M185" i="8" s="1"/>
  <c r="H186" i="8"/>
  <c r="M186" i="8" s="1"/>
  <c r="H187" i="8"/>
  <c r="M187" i="8" s="1"/>
  <c r="H188" i="8"/>
  <c r="M188" i="8" s="1"/>
  <c r="H227" i="8"/>
  <c r="M227" i="8" s="1"/>
  <c r="H228" i="8"/>
  <c r="M228" i="8" s="1"/>
  <c r="H229" i="8"/>
  <c r="M229" i="8" s="1"/>
  <c r="H230" i="8"/>
  <c r="M230" i="8" s="1"/>
  <c r="H231" i="8"/>
  <c r="M231" i="8" s="1"/>
  <c r="H232" i="8"/>
  <c r="M232" i="8" s="1"/>
  <c r="H233" i="8"/>
  <c r="M233" i="8" s="1"/>
  <c r="H234" i="8"/>
  <c r="M234" i="8" s="1"/>
  <c r="H235" i="8"/>
  <c r="M235" i="8" s="1"/>
  <c r="H236" i="8"/>
  <c r="M236" i="8" s="1"/>
  <c r="H237" i="8"/>
  <c r="M237" i="8" s="1"/>
  <c r="H238" i="8"/>
  <c r="M238" i="8" s="1"/>
  <c r="H239" i="8"/>
  <c r="M239" i="8" s="1"/>
  <c r="H240" i="8"/>
  <c r="M240" i="8" s="1"/>
  <c r="H241" i="8"/>
  <c r="M241" i="8" s="1"/>
  <c r="H123" i="8"/>
  <c r="M123" i="8" s="1"/>
  <c r="H124" i="8"/>
  <c r="M124" i="8" s="1"/>
  <c r="H125" i="8"/>
  <c r="M125" i="8" s="1"/>
  <c r="H126" i="8"/>
  <c r="M126" i="8" s="1"/>
  <c r="H127" i="8"/>
  <c r="M127" i="8" s="1"/>
  <c r="H128" i="8"/>
  <c r="M128" i="8" s="1"/>
  <c r="H129" i="8"/>
  <c r="M129" i="8" s="1"/>
  <c r="H130" i="8"/>
  <c r="M130" i="8" s="1"/>
  <c r="H131" i="8"/>
  <c r="M131" i="8" s="1"/>
  <c r="H132" i="8"/>
  <c r="M132" i="8" s="1"/>
  <c r="H133" i="8"/>
  <c r="M133" i="8" s="1"/>
  <c r="H134" i="8"/>
  <c r="M134" i="8" s="1"/>
  <c r="H135" i="8"/>
  <c r="M135" i="8" s="1"/>
  <c r="H136" i="8"/>
  <c r="M136" i="8" s="1"/>
  <c r="H137" i="8"/>
  <c r="M137" i="8" s="1"/>
  <c r="H139" i="8"/>
  <c r="M139" i="8" s="1"/>
  <c r="H140" i="8"/>
  <c r="M140" i="8" s="1"/>
  <c r="H141" i="8"/>
  <c r="M141" i="8" s="1"/>
  <c r="H142" i="8"/>
  <c r="M142" i="8" s="1"/>
  <c r="H143" i="8"/>
  <c r="M143" i="8" s="1"/>
  <c r="H144" i="8"/>
  <c r="M144" i="8" s="1"/>
  <c r="H145" i="8"/>
  <c r="M145" i="8" s="1"/>
  <c r="H146" i="8"/>
  <c r="M146" i="8" s="1"/>
  <c r="H147" i="8"/>
  <c r="M147" i="8" s="1"/>
  <c r="H148" i="8"/>
  <c r="M148" i="8" s="1"/>
  <c r="H149" i="8"/>
  <c r="M149" i="8" s="1"/>
  <c r="H150" i="8"/>
  <c r="M150" i="8" s="1"/>
  <c r="H151" i="8"/>
  <c r="M151" i="8" s="1"/>
  <c r="H152" i="8"/>
  <c r="M152" i="8" s="1"/>
  <c r="H153" i="8"/>
  <c r="M153" i="8" s="1"/>
  <c r="H154" i="8"/>
  <c r="M154" i="8" s="1"/>
  <c r="H155" i="8"/>
  <c r="M155" i="8" s="1"/>
  <c r="H156" i="8"/>
  <c r="M156" i="8" s="1"/>
  <c r="H157" i="8"/>
  <c r="M157" i="8" s="1"/>
  <c r="H158" i="8"/>
  <c r="M158" i="8" s="1"/>
  <c r="H159" i="8"/>
  <c r="M159" i="8" s="1"/>
  <c r="H160" i="8"/>
  <c r="M160" i="8" s="1"/>
  <c r="H161" i="8"/>
  <c r="M161" i="8" s="1"/>
  <c r="H163" i="8"/>
  <c r="M163" i="8" s="1"/>
  <c r="H164" i="8"/>
  <c r="M164" i="8" s="1"/>
  <c r="H165" i="8"/>
  <c r="M165" i="8" s="1"/>
  <c r="H166" i="8"/>
  <c r="M166" i="8" s="1"/>
  <c r="H167" i="8"/>
  <c r="M167" i="8" s="1"/>
  <c r="H168" i="8"/>
  <c r="M168" i="8" s="1"/>
  <c r="H169" i="8"/>
  <c r="M169" i="8" s="1"/>
  <c r="H170" i="8"/>
  <c r="M170" i="8" s="1"/>
  <c r="H171" i="8"/>
  <c r="M171" i="8" s="1"/>
  <c r="H172" i="8"/>
  <c r="M172" i="8" s="1"/>
  <c r="H173" i="8"/>
  <c r="M173" i="8" s="1"/>
  <c r="H174" i="8"/>
  <c r="M174" i="8" s="1"/>
  <c r="G138" i="8"/>
  <c r="F138" i="8"/>
  <c r="H71" i="8"/>
  <c r="M60" i="21" s="1"/>
  <c r="H72" i="8"/>
  <c r="M19" i="21" s="1"/>
  <c r="H73" i="8"/>
  <c r="M9" i="21" s="1"/>
  <c r="H74" i="8"/>
  <c r="M10" i="21" s="1"/>
  <c r="H75" i="8"/>
  <c r="M11" i="21" s="1"/>
  <c r="H76" i="8"/>
  <c r="M12" i="21" s="1"/>
  <c r="H77" i="8"/>
  <c r="M13" i="21" s="1"/>
  <c r="H78" i="8"/>
  <c r="M14" i="21" s="1"/>
  <c r="H79" i="8"/>
  <c r="M15" i="21" s="1"/>
  <c r="H80" i="8"/>
  <c r="M16" i="21" s="1"/>
  <c r="H81" i="8"/>
  <c r="M17" i="21" s="1"/>
  <c r="H82" i="8"/>
  <c r="M18" i="21" s="1"/>
  <c r="H83" i="8"/>
  <c r="M29" i="21" s="1"/>
  <c r="H84" i="8"/>
  <c r="M20" i="21" s="1"/>
  <c r="H85" i="8"/>
  <c r="M21" i="21" s="1"/>
  <c r="H87" i="8"/>
  <c r="M23" i="21" s="1"/>
  <c r="H88" i="8"/>
  <c r="M24" i="21" s="1"/>
  <c r="H89" i="8"/>
  <c r="M25" i="21" s="1"/>
  <c r="H90" i="8"/>
  <c r="M26" i="21" s="1"/>
  <c r="H91" i="8"/>
  <c r="M27" i="21" s="1"/>
  <c r="H92" i="8"/>
  <c r="M28" i="21" s="1"/>
  <c r="H93" i="8"/>
  <c r="M41" i="21" s="1"/>
  <c r="H94" i="8"/>
  <c r="M30" i="21" s="1"/>
  <c r="H95" i="8"/>
  <c r="M31" i="21" s="1"/>
  <c r="H96" i="8"/>
  <c r="M32" i="21" s="1"/>
  <c r="H97" i="8"/>
  <c r="M33" i="21" s="1"/>
  <c r="H98" i="8"/>
  <c r="M34" i="21" s="1"/>
  <c r="H99" i="8"/>
  <c r="M35" i="21" s="1"/>
  <c r="H100" i="8"/>
  <c r="M36" i="21" s="1"/>
  <c r="H101" i="8"/>
  <c r="M37" i="21" s="1"/>
  <c r="H102" i="8"/>
  <c r="M38" i="21" s="1"/>
  <c r="H103" i="8"/>
  <c r="M39" i="21" s="1"/>
  <c r="H104" i="8"/>
  <c r="M40" i="21" s="1"/>
  <c r="H105" i="8"/>
  <c r="M59" i="21" s="1"/>
  <c r="H106" i="8"/>
  <c r="M42" i="21" s="1"/>
  <c r="H107" i="8"/>
  <c r="M43" i="21" s="1"/>
  <c r="H108" i="8"/>
  <c r="M44" i="21" s="1"/>
  <c r="H109" i="8"/>
  <c r="M45" i="21" s="1"/>
  <c r="H110" i="8"/>
  <c r="M46" i="21" s="1"/>
  <c r="H111" i="8"/>
  <c r="M47" i="21" s="1"/>
  <c r="H112" i="8"/>
  <c r="M48" i="21" s="1"/>
  <c r="H113" i="8"/>
  <c r="M49" i="21" s="1"/>
  <c r="H114" i="8"/>
  <c r="M50" i="21" s="1"/>
  <c r="H115" i="8"/>
  <c r="M51" i="21" s="1"/>
  <c r="H116" i="8"/>
  <c r="M52" i="21" s="1"/>
  <c r="H117" i="8"/>
  <c r="M53" i="21" s="1"/>
  <c r="H118" i="8"/>
  <c r="M54" i="21" s="1"/>
  <c r="H119" i="8"/>
  <c r="M55" i="21" s="1"/>
  <c r="H120" i="8"/>
  <c r="M56" i="21" s="1"/>
  <c r="H121" i="8"/>
  <c r="M57" i="21" s="1"/>
  <c r="H122" i="8"/>
  <c r="M58" i="21" s="1"/>
  <c r="G86" i="8"/>
  <c r="N22" i="21" s="1"/>
  <c r="F86" i="8"/>
  <c r="G34" i="8"/>
  <c r="L34" i="8" s="1"/>
  <c r="F34" i="8"/>
  <c r="H20" i="8"/>
  <c r="M20" i="8" s="1"/>
  <c r="H21" i="8"/>
  <c r="M21" i="8" s="1"/>
  <c r="H22" i="8"/>
  <c r="M22" i="8" s="1"/>
  <c r="H23" i="8"/>
  <c r="M23" i="8" s="1"/>
  <c r="H24" i="8"/>
  <c r="M24" i="8" s="1"/>
  <c r="H25" i="8"/>
  <c r="M25" i="8" s="1"/>
  <c r="H26" i="8"/>
  <c r="M26" i="8" s="1"/>
  <c r="H27" i="8"/>
  <c r="M27" i="8" s="1"/>
  <c r="H28" i="8"/>
  <c r="M28" i="8" s="1"/>
  <c r="H29" i="8"/>
  <c r="M29" i="8" s="1"/>
  <c r="H30" i="8"/>
  <c r="M30" i="8" s="1"/>
  <c r="H31" i="8"/>
  <c r="M31" i="8" s="1"/>
  <c r="H32" i="8"/>
  <c r="M32" i="8" s="1"/>
  <c r="H33" i="8"/>
  <c r="M33" i="8" s="1"/>
  <c r="H35" i="8"/>
  <c r="M35" i="8" s="1"/>
  <c r="H36" i="8"/>
  <c r="M36" i="8" s="1"/>
  <c r="H37" i="8"/>
  <c r="M37" i="8" s="1"/>
  <c r="H38" i="8"/>
  <c r="M38" i="8" s="1"/>
  <c r="H39" i="8"/>
  <c r="M39" i="8" s="1"/>
  <c r="H40" i="8"/>
  <c r="M40" i="8" s="1"/>
  <c r="H41" i="8"/>
  <c r="M41" i="8" s="1"/>
  <c r="H42" i="8"/>
  <c r="M42" i="8" s="1"/>
  <c r="H43" i="8"/>
  <c r="M43" i="8" s="1"/>
  <c r="H44" i="8"/>
  <c r="M44" i="8" s="1"/>
  <c r="H45" i="8"/>
  <c r="M45" i="8" s="1"/>
  <c r="H46" i="8"/>
  <c r="M46" i="8" s="1"/>
  <c r="H47" i="8"/>
  <c r="M47" i="8" s="1"/>
  <c r="H48" i="8"/>
  <c r="M48" i="8" s="1"/>
  <c r="H49" i="8"/>
  <c r="M49" i="8" s="1"/>
  <c r="H50" i="8"/>
  <c r="M50" i="8" s="1"/>
  <c r="H51" i="8"/>
  <c r="M51" i="8" s="1"/>
  <c r="H52" i="8"/>
  <c r="M52" i="8" s="1"/>
  <c r="H53" i="8"/>
  <c r="M53" i="8" s="1"/>
  <c r="H54" i="8"/>
  <c r="M54" i="8" s="1"/>
  <c r="H55" i="8"/>
  <c r="M55" i="8" s="1"/>
  <c r="H56" i="8"/>
  <c r="M56" i="8" s="1"/>
  <c r="H57" i="8"/>
  <c r="M57" i="8" s="1"/>
  <c r="H58" i="8"/>
  <c r="M58" i="8" s="1"/>
  <c r="H59" i="8"/>
  <c r="M59" i="8" s="1"/>
  <c r="H60" i="8"/>
  <c r="M60" i="8" s="1"/>
  <c r="H61" i="8"/>
  <c r="M61" i="8" s="1"/>
  <c r="H62" i="8"/>
  <c r="M62" i="8" s="1"/>
  <c r="H63" i="8"/>
  <c r="M63" i="8" s="1"/>
  <c r="H64" i="8"/>
  <c r="M64" i="8" s="1"/>
  <c r="H65" i="8"/>
  <c r="M65" i="8" s="1"/>
  <c r="H66" i="8"/>
  <c r="M66" i="8" s="1"/>
  <c r="H67" i="8"/>
  <c r="M67" i="8" s="1"/>
  <c r="H68" i="8"/>
  <c r="M68" i="8" s="1"/>
  <c r="H69" i="8"/>
  <c r="M69" i="8" s="1"/>
  <c r="H19" i="8"/>
  <c r="M19" i="8" s="1"/>
  <c r="U103" i="17" l="1"/>
  <c r="U103" i="21"/>
  <c r="U118" i="17"/>
  <c r="U118" i="21"/>
  <c r="U106" i="17"/>
  <c r="U106" i="21"/>
  <c r="U85" i="17"/>
  <c r="U85" i="21"/>
  <c r="U87" i="17"/>
  <c r="U87" i="21"/>
  <c r="U81" i="17"/>
  <c r="U81" i="21"/>
  <c r="U89" i="17"/>
  <c r="U89" i="21"/>
  <c r="U80" i="17"/>
  <c r="U80" i="21"/>
  <c r="U76" i="17"/>
  <c r="U76" i="21"/>
  <c r="U91" i="17"/>
  <c r="U91" i="21"/>
  <c r="U98" i="17"/>
  <c r="U98" i="21"/>
  <c r="U75" i="17"/>
  <c r="U75" i="21"/>
  <c r="U90" i="17"/>
  <c r="U90" i="21"/>
  <c r="U120" i="17"/>
  <c r="U120" i="21"/>
  <c r="U72" i="17"/>
  <c r="U72" i="21"/>
  <c r="U110" i="17"/>
  <c r="U110" i="21"/>
  <c r="U93" i="17"/>
  <c r="U93" i="21"/>
  <c r="U117" i="17"/>
  <c r="U117" i="21"/>
  <c r="U97" i="17"/>
  <c r="U97" i="21"/>
  <c r="U82" i="17"/>
  <c r="U82" i="21"/>
  <c r="U83" i="17"/>
  <c r="U83" i="21"/>
  <c r="U107" i="17"/>
  <c r="U107" i="21"/>
  <c r="U101" i="17"/>
  <c r="U101" i="21"/>
  <c r="U115" i="17"/>
  <c r="U115" i="21"/>
  <c r="U119" i="17"/>
  <c r="U119" i="21"/>
  <c r="U99" i="17"/>
  <c r="U99" i="21"/>
  <c r="U122" i="17"/>
  <c r="U116" i="17"/>
  <c r="U116" i="21"/>
  <c r="U78" i="17"/>
  <c r="U78" i="21"/>
  <c r="U102" i="17"/>
  <c r="U102" i="21"/>
  <c r="U109" i="17"/>
  <c r="U109" i="21"/>
  <c r="U71" i="17"/>
  <c r="U71" i="21"/>
  <c r="U73" i="17"/>
  <c r="U73" i="21"/>
  <c r="U77" i="17"/>
  <c r="U77" i="21"/>
  <c r="U108" i="17"/>
  <c r="U108" i="21"/>
  <c r="U111" i="17"/>
  <c r="U111" i="21"/>
  <c r="U121" i="17"/>
  <c r="U121" i="21"/>
  <c r="U74" i="17"/>
  <c r="U74" i="21"/>
  <c r="U112" i="17"/>
  <c r="U112" i="21"/>
  <c r="U95" i="17"/>
  <c r="U95" i="21"/>
  <c r="M118" i="8"/>
  <c r="M54" i="17"/>
  <c r="M120" i="8"/>
  <c r="M56" i="17"/>
  <c r="M112" i="8"/>
  <c r="M48" i="17"/>
  <c r="M104" i="8"/>
  <c r="M40" i="17"/>
  <c r="M96" i="8"/>
  <c r="M32" i="17"/>
  <c r="M88" i="8"/>
  <c r="M24" i="17"/>
  <c r="M79" i="8"/>
  <c r="M15" i="17"/>
  <c r="M71" i="8"/>
  <c r="M60" i="17"/>
  <c r="M102" i="8"/>
  <c r="M38" i="17"/>
  <c r="M119" i="8"/>
  <c r="M55" i="17"/>
  <c r="M111" i="8"/>
  <c r="M47" i="17"/>
  <c r="M103" i="8"/>
  <c r="M39" i="17"/>
  <c r="M95" i="8"/>
  <c r="M31" i="17"/>
  <c r="M87" i="8"/>
  <c r="M23" i="17"/>
  <c r="M78" i="8"/>
  <c r="M14" i="17"/>
  <c r="M85" i="8"/>
  <c r="M21" i="17"/>
  <c r="M109" i="8"/>
  <c r="M45" i="17"/>
  <c r="M77" i="8"/>
  <c r="M13" i="17"/>
  <c r="M101" i="8"/>
  <c r="M37" i="17"/>
  <c r="M116" i="8"/>
  <c r="M52" i="17"/>
  <c r="M108" i="8"/>
  <c r="M44" i="17"/>
  <c r="M100" i="8"/>
  <c r="M36" i="17"/>
  <c r="M92" i="8"/>
  <c r="M28" i="17"/>
  <c r="M83" i="8"/>
  <c r="M29" i="17"/>
  <c r="M75" i="8"/>
  <c r="M11" i="17"/>
  <c r="M117" i="8"/>
  <c r="M53" i="17"/>
  <c r="M84" i="8"/>
  <c r="M20" i="17"/>
  <c r="M115" i="8"/>
  <c r="M51" i="17"/>
  <c r="M99" i="8"/>
  <c r="M35" i="17"/>
  <c r="M91" i="8"/>
  <c r="M27" i="17"/>
  <c r="M82" i="8"/>
  <c r="M18" i="17"/>
  <c r="M74" i="8"/>
  <c r="M10" i="17"/>
  <c r="M94" i="8"/>
  <c r="M30" i="17"/>
  <c r="M93" i="8"/>
  <c r="M41" i="17"/>
  <c r="L86" i="8"/>
  <c r="N22" i="17"/>
  <c r="M107" i="8"/>
  <c r="M43" i="17"/>
  <c r="M122" i="8"/>
  <c r="M58" i="17"/>
  <c r="M114" i="8"/>
  <c r="M50" i="17"/>
  <c r="M106" i="8"/>
  <c r="M42" i="17"/>
  <c r="M98" i="8"/>
  <c r="M34" i="17"/>
  <c r="M90" i="8"/>
  <c r="M26" i="17"/>
  <c r="M81" i="8"/>
  <c r="M17" i="17"/>
  <c r="M73" i="8"/>
  <c r="M9" i="17"/>
  <c r="M110" i="8"/>
  <c r="M46" i="17"/>
  <c r="M76" i="8"/>
  <c r="M12" i="17"/>
  <c r="M121" i="8"/>
  <c r="M57" i="17"/>
  <c r="M113" i="8"/>
  <c r="M49" i="17"/>
  <c r="M105" i="8"/>
  <c r="M59" i="17"/>
  <c r="M97" i="8"/>
  <c r="M33" i="17"/>
  <c r="M89" i="8"/>
  <c r="M25" i="17"/>
  <c r="M80" i="8"/>
  <c r="M16" i="17"/>
  <c r="M72" i="8"/>
  <c r="M19" i="17"/>
  <c r="H190" i="8"/>
  <c r="M190" i="8" s="1"/>
  <c r="L190" i="8"/>
  <c r="H138" i="8"/>
  <c r="M138" i="8" s="1"/>
  <c r="L138" i="8"/>
  <c r="H242" i="8"/>
  <c r="M242" i="8" s="1"/>
  <c r="H86" i="8"/>
  <c r="M22" i="21" s="1"/>
  <c r="H34" i="8"/>
  <c r="M34" i="8" s="1"/>
  <c r="M86" i="8" l="1"/>
  <c r="M22" i="17"/>
</calcChain>
</file>

<file path=xl/sharedStrings.xml><?xml version="1.0" encoding="utf-8"?>
<sst xmlns="http://schemas.openxmlformats.org/spreadsheetml/2006/main" count="18338" uniqueCount="239">
  <si>
    <t>Land
Statistische Region</t>
  </si>
  <si>
    <r>
      <t>Schulabgängerinnen und Schulabgänger ohne Hauptschulabschluss</t>
    </r>
    <r>
      <rPr>
        <vertAlign val="superscript"/>
        <sz val="6"/>
        <rFont val="NDSFrutiger 45 Light"/>
      </rPr>
      <t>1)</t>
    </r>
  </si>
  <si>
    <t>Deutsche</t>
  </si>
  <si>
    <t>Ausländerinnen und Ausländer</t>
  </si>
  <si>
    <t>Anzahl</t>
  </si>
  <si>
    <t>1</t>
  </si>
  <si>
    <t>2</t>
  </si>
  <si>
    <t>3</t>
  </si>
  <si>
    <t>4</t>
  </si>
  <si>
    <t>5</t>
  </si>
  <si>
    <t>6</t>
  </si>
  <si>
    <t>7</t>
  </si>
  <si>
    <t>Braunschweig, Stadt</t>
  </si>
  <si>
    <t>Salzgitter, Stadt</t>
  </si>
  <si>
    <t>Wolfsburg, Stadt</t>
  </si>
  <si>
    <t>Gifhorn</t>
  </si>
  <si>
    <t>Göttingen</t>
  </si>
  <si>
    <t>Goslar</t>
  </si>
  <si>
    <t>Helmstedt</t>
  </si>
  <si>
    <t>Northeim</t>
  </si>
  <si>
    <t>Peine</t>
  </si>
  <si>
    <t>Wolfenbüttel</t>
  </si>
  <si>
    <t>Stat. Region Braunschweig</t>
  </si>
  <si>
    <t>Region Hannover</t>
  </si>
  <si>
    <t xml:space="preserve">  dav. Hannover, Landeshauptstadt</t>
  </si>
  <si>
    <t xml:space="preserve">  dav. Hannover, Umland</t>
  </si>
  <si>
    <t>Diepholz</t>
  </si>
  <si>
    <t>Hameln-Pyrmont</t>
  </si>
  <si>
    <t>Hildesheim</t>
  </si>
  <si>
    <t>Holzminden</t>
  </si>
  <si>
    <t>Nienburg (Weser)</t>
  </si>
  <si>
    <t>Schaumburg</t>
  </si>
  <si>
    <t>Stat. Region Hannover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</si>
  <si>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</si>
  <si>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</si>
  <si>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</si>
  <si>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</si>
  <si>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</si>
  <si>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</si>
  <si>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</si>
  <si>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</si>
  <si>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</si>
  <si>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</si>
  <si>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</si>
  <si>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Stat. Region Lüneburg</t>
  </si>
  <si>
    <t>Delmenhorst, Stadt</t>
  </si>
  <si>
    <t>Emden, Stadt</t>
  </si>
  <si>
    <t>Oldenburg (Oldb), Stadt</t>
  </si>
  <si>
    <t>Osnabrück, Stadt</t>
  </si>
  <si>
    <t>Wilhelmshaven, Stadt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</si>
  <si>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</si>
  <si>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</si>
  <si>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</si>
  <si>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</si>
  <si>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</si>
  <si>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</si>
  <si>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</si>
  <si>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</si>
  <si>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</si>
  <si>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</si>
  <si>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</si>
  <si>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</si>
  <si>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Stat. Region Weser-Ems</t>
  </si>
  <si>
    <t>Niedersachsen</t>
  </si>
  <si>
    <t>1) einschließlich Abgängerinnen/Abgänger der Förderschulen</t>
  </si>
  <si>
    <t>Quelle: Schulstatistik</t>
  </si>
  <si>
    <t>LSN-Online: Tabelle K3002519</t>
  </si>
  <si>
    <t>Landesamt für Statistik Niedersachsen</t>
  </si>
  <si>
    <t>Absolventen/Abgänger an allgemein bildenden Schulen in Niedersachsen (einschließlich Abendgymnasien und Kollegs)</t>
  </si>
  <si>
    <t>Gebietsstand: 01.07.2017</t>
  </si>
  <si>
    <t>Statistische Region*</t>
  </si>
  <si>
    <t>Kreis*</t>
  </si>
  <si>
    <t>-------</t>
  </si>
  <si>
    <t>Art des Abschlusses/Abganges</t>
  </si>
  <si>
    <t>Absolventen/Abgänger</t>
  </si>
  <si>
    <t>Schulen insgesamt</t>
  </si>
  <si>
    <t>Öffentliche Schulen</t>
  </si>
  <si>
    <t>Schulen in freier Trägerschaft</t>
  </si>
  <si>
    <t>insgesamt</t>
  </si>
  <si>
    <t>weiblich</t>
  </si>
  <si>
    <t>Ausländer</t>
  </si>
  <si>
    <t>1)</t>
  </si>
  <si>
    <t>0 Niedersachsen</t>
  </si>
  <si>
    <t>Insgesamt</t>
  </si>
  <si>
    <t>-</t>
  </si>
  <si>
    <t>  Realschulabschluss</t>
  </si>
  <si>
    <t>  Hauptschulabschluss</t>
  </si>
  <si>
    <t>  ohne Hauptschulabschluss</t>
  </si>
  <si>
    <t>1 Braunschweig</t>
  </si>
  <si>
    <t>101 Braunschweig,Stadt</t>
  </si>
  <si>
    <t>102 Salzgitter,Stadt</t>
  </si>
  <si>
    <t>103 Wolfsburg,Stadt</t>
  </si>
  <si>
    <t>151 Gifhorn</t>
  </si>
  <si>
    <t>153 Goslar</t>
  </si>
  <si>
    <t>154 Helmstedt</t>
  </si>
  <si>
    <t>155 Northeim</t>
  </si>
  <si>
    <t>157 Peine</t>
  </si>
  <si>
    <t>158 Wolfenbüttel</t>
  </si>
  <si>
    <t>159 Göttingen</t>
  </si>
  <si>
    <t>2 Hannover</t>
  </si>
  <si>
    <t>241 Hannover,Region</t>
  </si>
  <si>
    <t>241001 Hannover,Landeshauptstadt</t>
  </si>
  <si>
    <t>251 Diepholz</t>
  </si>
  <si>
    <t>252 Hameln-Pyrmont</t>
  </si>
  <si>
    <t>254 Hildesheim</t>
  </si>
  <si>
    <t>255 Holzminden</t>
  </si>
  <si>
    <t>256 Nienburg (Weser)</t>
  </si>
  <si>
    <t>257 Schaumburg</t>
  </si>
  <si>
    <t>3 Lüneburg</t>
  </si>
  <si>
    <t>351 Celle</t>
  </si>
  <si>
    <t>352 Cuxhaven</t>
  </si>
  <si>
    <t>353 Harburg</t>
  </si>
  <si>
    <t>354 Lüchow-Dannenberg</t>
  </si>
  <si>
    <t>355 Lüneburg</t>
  </si>
  <si>
    <t>356 Osterholz</t>
  </si>
  <si>
    <t>357 Rotenburg (Wümme)</t>
  </si>
  <si>
    <t>358 Heidekreis</t>
  </si>
  <si>
    <t>359 Stade</t>
  </si>
  <si>
    <t>360 Uelzen</t>
  </si>
  <si>
    <t>361 Verden</t>
  </si>
  <si>
    <t>4 Weser-Ems</t>
  </si>
  <si>
    <t>401 Delmenhorst,Stadt</t>
  </si>
  <si>
    <t>402 Emden,Stadt</t>
  </si>
  <si>
    <t>403 Oldenburg(Oldb),Stadt</t>
  </si>
  <si>
    <t>404 Osnabrück,Stadt</t>
  </si>
  <si>
    <t>405 Wilhelmshaven,Stadt</t>
  </si>
  <si>
    <t>451 Ammerland</t>
  </si>
  <si>
    <t>452 Aurich</t>
  </si>
  <si>
    <t>453 Cloppenburg</t>
  </si>
  <si>
    <t>454 Emsland</t>
  </si>
  <si>
    <t>455 Friesland</t>
  </si>
  <si>
    <t>456 Grafschaft Bentheim</t>
  </si>
  <si>
    <t>457 Leer</t>
  </si>
  <si>
    <t>458 Oldenburg</t>
  </si>
  <si>
    <t>459 Osnabrück</t>
  </si>
  <si>
    <t>460 Vechta</t>
  </si>
  <si>
    <t>461 Wesermarsch</t>
  </si>
  <si>
    <t>462 Wittmund</t>
  </si>
  <si>
    <t>Hinweis: Zusatzinformationen zur Schulstatistik, Abkürzungsverzeichnis und Zeichenerklärung finden</t>
  </si>
  <si>
    <t>         Sie unter: http://www1.nls.niedersachsen.de/statistik/html/pdf/300.pdf</t>
  </si>
  <si>
    <t>         Daten der Jahre 1998 - 2008 sind in der Tabelle K3002520 abrufbar.</t>
  </si>
  <si>
    <t>         Aus Platzgründen wird bei dieser Tabelle auf eine geschlechtergerechte Formulierung verzichtet. </t>
  </si>
  <si>
    <t>Schuljahr 2010/11: Doppelter Abiturjahrgang.</t>
  </si>
  <si>
    <t>Gymnasium, KGS-Gymnasialzweig, IGS, SmG, FWS: Übergänger/-innen auf eine gymnasiale Oberstufe sind nicht</t>
  </si>
  <si>
    <t>als Absolventen ausgewiesen, da an diesen Schulformen i.d.R. ein höherwertiger Abschluss erworben wird.</t>
  </si>
  <si>
    <t>1) Ab Schuljahr 2013/14.</t>
  </si>
  <si>
    <t>Aus erhebungstechnischen Gründen liegt zum Stichtag 18.08.2016 nur eine eingeschränkte Datenqualität vor.</t>
  </si>
  <si>
    <t> gezippte Excel-Datei herunterladen </t>
  </si>
  <si>
    <t>© Landesamt für Statistik Niedersachsen, 2019.</t>
  </si>
  <si>
    <t>   Vervielfältigung und Verbreitung, auch auszugsweise, mit Quellenangabe gestattet.</t>
  </si>
  <si>
    <t>Schulgliederungen insgesamt*</t>
  </si>
  <si>
    <t>  Hochschulreife</t>
  </si>
  <si>
    <t>  Fachhochschulreife (schulischer Teil)</t>
  </si>
  <si>
    <t>    dar. Abschluss FÖS Lernen</t>
  </si>
  <si>
    <t>         Abgang aus FÖS geistige Entwickl.</t>
  </si>
  <si>
    <t>Schuljahr: 2014/15*</t>
  </si>
  <si>
    <t>Schuljahr: 2015/16*</t>
  </si>
  <si>
    <t>Schuljahr: 2016/17*</t>
  </si>
  <si>
    <t>Schuljahr: 2017/18*</t>
  </si>
  <si>
    <t>Jahr</t>
  </si>
  <si>
    <t>Indikator B5: Schulabgängerinnen und Schulabgänger ohne Hauptschulabschluss nach Nationalität</t>
  </si>
  <si>
    <t>Tabelle B5-3K: Schulabgängerinnen und Schulabgänger ohne Hauptschulabschluss nach Kreisen</t>
  </si>
  <si>
    <t>Prozent</t>
  </si>
  <si>
    <t>Niedersachsen / Statistische Region*/  Kreis*</t>
  </si>
  <si>
    <t>Absolventen/Abgänger ohne Hauptschulabschluss</t>
  </si>
  <si>
    <t>Absolventen/Abgänger insgesamt</t>
  </si>
  <si>
    <t>Anteil der Absolventen/Abgänger an Absolventen insgesamt</t>
  </si>
  <si>
    <t>Göttingen (ab 01.11.2016)</t>
  </si>
  <si>
    <t>AGS</t>
  </si>
  <si>
    <t>Gebiet</t>
  </si>
  <si>
    <t>Wert</t>
  </si>
  <si>
    <t>© Landesamt für Statistik Niedersachsen, 2020.</t>
  </si>
  <si>
    <t>Absolventinnen/Absolventen und Abgängerinnen/Abgänger an allgemein bildenden Schulen in Niedersachsen (einschließlich Abendgymnasien und Kollegs)</t>
  </si>
  <si>
    <t>Schuljahr: 2018/19*</t>
  </si>
  <si>
    <t>Absolventinnen/Absolventen und Abgängerinnen/Abgänger</t>
  </si>
  <si>
    <t>         Aus Platzgründen wird bei dieser Tabelle auf eine gendergerechte Formulierung verzichtet. </t>
  </si>
  <si>
    <t>Gymnasium, KGS-Gymnasialzweig, IGS, SmG, FWS: Übergängerinnen/Übergänger auf eine gymnasiale Oberstufe sind nicht</t>
  </si>
  <si>
    <t>241999 Hannover, Umland</t>
  </si>
  <si>
    <t>Schuljahr: 2013/2014 - 2018/19*</t>
  </si>
  <si>
    <t>241999 Hannover Umland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</si>
  <si>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</si>
  <si>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</si>
  <si>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</si>
  <si>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</si>
  <si>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</si>
  <si>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</si>
  <si>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</si>
  <si>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</si>
  <si>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</si>
  <si>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</si>
  <si>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</si>
  <si>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</si>
  <si>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</si>
  <si>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</si>
  <si>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AGS KARTE</t>
  </si>
  <si>
    <t>LSN-Online: Tabelle K3002520</t>
  </si>
  <si>
    <t>Gebietsstand: 01.11.2011</t>
  </si>
  <si>
    <t>Schuljahr: 2004/05*</t>
  </si>
  <si>
    <t>Einheits-/Samtgemeinde*</t>
  </si>
  <si>
    <t>Mitgliedsgemeinde*</t>
  </si>
  <si>
    <t>152 Göttingen</t>
  </si>
  <si>
    <t>156 Osterode am Harz</t>
  </si>
  <si>
    <t>         Daten ab 2009 sind in der Tabelle K3002519 abrufbar.</t>
  </si>
  <si>
    <t>Schuljahr 1997/98 bis 2004/05: Die Absolventinnen/Absolventen und Abgängerinnen/Abgänger der Integrierten Haupt- und Realschule sind in der Schulgliederung Hauptschule enthalten.</t>
  </si>
  <si>
    <t>Schuljahr 2003/04: Aus erhebungstechnischen Gründen einschl. Übergängerinnen/Übergänger auf die gymnasiale Oberstufe;</t>
  </si>
  <si>
    <t>führte zu Mehrfachzählungen im Sek.I und Sek.II. </t>
  </si>
  <si>
    <t>Gymnasium, KGS-Gymnasialzweig, IGS, SmG, FWS: Übergängerinnen/Übergänger auf eine gymnasiale Oberstufe sind nicht als Absolventen</t>
  </si>
  <si>
    <t>ausgewiesen, da an diesen Schulformen i.d.R. ein höherwertiger Abschluss erworben wird.</t>
  </si>
  <si>
    <t>Schuljahr: 2010/11*</t>
  </si>
  <si>
    <t>Schuljahr: 2011/12*</t>
  </si>
  <si>
    <t>152 + 156</t>
  </si>
  <si>
    <t>Deutsche ohne HS-Abschluss</t>
  </si>
  <si>
    <t>Ausländer insgesamt</t>
  </si>
  <si>
    <t>Deutsche Insgesamt</t>
  </si>
  <si>
    <t>© Landesamt für Statistik Niedersachsen, 2021.</t>
  </si>
  <si>
    <t>Gebietsstand: 01.01.2020</t>
  </si>
  <si>
    <t>Schuljahr: 2019/20*</t>
  </si>
  <si>
    <t>Schuljahr 2019/20: Kein vollständiger Abiturjahrgang wegen Rückkehr zum 9-jährigen Bildungsgang an Gymnasien.</t>
  </si>
  <si>
    <t>Deutschen</t>
  </si>
  <si>
    <t>Braunschweig</t>
  </si>
  <si>
    <t>Braunschweig,Stadt</t>
  </si>
  <si>
    <t>Salzgitter,Stadt</t>
  </si>
  <si>
    <t>Wolfsburg,Stadt</t>
  </si>
  <si>
    <t>Hannover</t>
  </si>
  <si>
    <t>Hannover,Region</t>
  </si>
  <si>
    <t>Hannover,Landeshauptstadt</t>
  </si>
  <si>
    <t>Weser-Ems</t>
  </si>
  <si>
    <t>Delmenhorst,Stadt</t>
  </si>
  <si>
    <t>Emden,Stadt</t>
  </si>
  <si>
    <t>Oldenburg(Oldb),Stadt</t>
  </si>
  <si>
    <t>Osnabrück,Stadt</t>
  </si>
  <si>
    <t>Wilhelmshaven,Stadt</t>
  </si>
  <si>
    <t>Hannover Umland</t>
  </si>
  <si>
    <t>Year</t>
  </si>
  <si>
    <t>Nationalität</t>
  </si>
  <si>
    <t>Units</t>
  </si>
  <si>
    <t>GeoCode</t>
  </si>
  <si>
    <t>Value</t>
  </si>
  <si>
    <t>Gebietseinheit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</si>
</sst>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 ###\ ##0"/>
    <numFmt numFmtId="165" formatCode="0.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name val="NDSFrutiger 45 Light"/>
    </font>
    <font>
      <vertAlign val="superscript"/>
      <sz val="6"/>
      <name val="NDSFrutiger 45 Light"/>
    </font>
    <font>
      <sz val="6"/>
      <name val="NDSFrutiger 55 Roman"/>
    </font>
    <font>
      <b/>
      <sz val="11"/>
      <color rgb="FF000080"/>
      <name val="Calibri"/>
      <family val="2"/>
      <scheme val="minor"/>
    </font>
    <font>
      <sz val="7.5"/>
      <color rgb="FF000080"/>
      <name val="Arial"/>
      <family val="2"/>
    </font>
    <font>
      <u/>
      <sz val="11"/>
      <color theme="10"/>
      <name val="Calibri"/>
      <family val="2"/>
      <scheme val="minor"/>
    </font>
    <font>
      <sz val="6"/>
      <color theme="1"/>
      <name val="NDSFrutiger 45 Light"/>
    </font>
    <font>
      <sz val="6"/>
      <color theme="1"/>
      <name val="NDSFrutiger 55 Roman"/>
    </font>
    <font>
      <sz val="11"/>
      <color theme="1"/>
      <name val="NDSFrutiger 55 Roman"/>
    </font>
    <font>
      <sz val="11"/>
      <name val="NDSFrutiger 55 Roman"/>
    </font>
    <font>
      <sz val="9"/>
      <name val="NDSFrutiger 55 Roman"/>
    </font>
    <font>
      <sz val="10"/>
      <color theme="1"/>
      <name val="NDSFrutiger 45 Light"/>
      <family val="2"/>
    </font>
    <font>
      <b/>
      <sz val="11"/>
      <color theme="0"/>
      <name val="Calibri"/>
      <family val="2"/>
      <scheme val="minor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  <font>
      <b/>
      <sz val="6"/>
      <color theme="1"/>
      <name val="NDSFrutiger 45 Light"/>
    </font>
    <font>
      <b/>
      <sz val="6"/>
      <color theme="1"/>
      <name val="NDSFrutiger 55 Roman"/>
    </font>
  </fonts>
  <fills count="9">
    <fill>
      <patternFill patternType="none"/>
    </fill>
    <fill>
      <patternFill patternType="gray125"/>
    </fill>
    <fill>
      <patternFill patternType="solid">
        <fgColor rgb="FFE4E4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F5F5FF"/>
        <bgColor indexed="64"/>
      </patternFill>
    </fill>
  </fills>
  <borders count="6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/>
      <diagonal/>
    </border>
    <border>
      <left style="medium">
        <color rgb="FF000000"/>
      </left>
      <right style="medium">
        <color rgb="FF888888"/>
      </right>
      <top/>
      <bottom/>
      <diagonal/>
    </border>
    <border>
      <left style="medium">
        <color rgb="FF000000"/>
      </left>
      <right style="medium">
        <color rgb="FF888888"/>
      </right>
      <top/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/>
      <right style="medium">
        <color rgb="FF888888"/>
      </right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88888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888888"/>
      </right>
      <top style="medium">
        <color rgb="FF000000"/>
      </top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13" fillId="0" borderId="0"/>
  </cellStyleXfs>
  <cellXfs count="252">
    <xf numFmtId="0" fontId="0" fillId="0" borderId="0" xfId="0"/>
    <xf numFmtId="1" fontId="2" fillId="0" borderId="0" xfId="0" applyNumberFormat="1" applyFont="1" applyFill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4" fillId="0" borderId="0" xfId="0" applyFont="1" applyFill="1" applyBorder="1" applyAlignment="1">
      <alignment vertical="top"/>
    </xf>
    <xf numFmtId="0" fontId="0" fillId="0" borderId="7" xfId="0" applyBorder="1"/>
    <xf numFmtId="0" fontId="2" fillId="0" borderId="0" xfId="0" applyFont="1" applyBorder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vertical="center"/>
    </xf>
    <xf numFmtId="0" fontId="5" fillId="0" borderId="0" xfId="0" applyFont="1"/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 wrapText="1"/>
    </xf>
    <xf numFmtId="0" fontId="0" fillId="0" borderId="21" xfId="0" applyBorder="1"/>
    <xf numFmtId="0" fontId="0" fillId="0" borderId="22" xfId="0" applyBorder="1"/>
    <xf numFmtId="0" fontId="1" fillId="2" borderId="18" xfId="0" applyFont="1" applyFill="1" applyBorder="1" applyAlignment="1">
      <alignment horizontal="center" vertical="center" wrapText="1"/>
    </xf>
    <xf numFmtId="0" fontId="7" fillId="0" borderId="0" xfId="1"/>
    <xf numFmtId="0" fontId="6" fillId="0" borderId="0" xfId="0" applyFont="1"/>
    <xf numFmtId="0" fontId="0" fillId="0" borderId="0" xfId="0" applyBorder="1" applyProtection="1">
      <protection locked="0"/>
    </xf>
    <xf numFmtId="0" fontId="12" fillId="0" borderId="0" xfId="0" applyFont="1"/>
    <xf numFmtId="0" fontId="11" fillId="0" borderId="0" xfId="0" applyFont="1" applyFill="1" applyAlignment="1" applyProtection="1">
      <alignment vertical="center"/>
      <protection locked="0"/>
    </xf>
    <xf numFmtId="0" fontId="0" fillId="0" borderId="0" xfId="0" applyFill="1" applyProtection="1">
      <protection locked="0"/>
    </xf>
    <xf numFmtId="0" fontId="12" fillId="0" borderId="0" xfId="0" applyFont="1" applyFill="1"/>
    <xf numFmtId="165" fontId="2" fillId="0" borderId="0" xfId="0" applyNumberFormat="1" applyFont="1" applyAlignment="1">
      <alignment horizontal="right" vertical="center"/>
    </xf>
    <xf numFmtId="0" fontId="0" fillId="3" borderId="8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Fill="1"/>
    <xf numFmtId="0" fontId="1" fillId="4" borderId="4" xfId="0" applyFont="1" applyFill="1" applyBorder="1" applyAlignment="1">
      <alignment horizontal="center" vertical="center"/>
    </xf>
    <xf numFmtId="165" fontId="2" fillId="0" borderId="0" xfId="0" applyNumberFormat="1" applyFont="1" applyBorder="1" applyAlignment="1">
      <alignment horizontal="right" vertical="center"/>
    </xf>
    <xf numFmtId="165" fontId="8" fillId="0" borderId="0" xfId="0" applyNumberFormat="1" applyFont="1" applyBorder="1" applyAlignment="1">
      <alignment horizontal="right"/>
    </xf>
    <xf numFmtId="165" fontId="4" fillId="0" borderId="0" xfId="0" applyNumberFormat="1" applyFont="1" applyAlignment="1">
      <alignment horizontal="right" vertical="top"/>
    </xf>
    <xf numFmtId="165" fontId="4" fillId="0" borderId="0" xfId="0" applyNumberFormat="1" applyFont="1" applyBorder="1" applyAlignment="1">
      <alignment horizontal="right" vertical="top"/>
    </xf>
    <xf numFmtId="165" fontId="9" fillId="0" borderId="0" xfId="0" applyNumberFormat="1" applyFont="1" applyBorder="1" applyAlignment="1">
      <alignment horizontal="right" vertical="top"/>
    </xf>
    <xf numFmtId="0" fontId="10" fillId="0" borderId="0" xfId="0" applyFont="1" applyAlignment="1">
      <alignment vertical="top"/>
    </xf>
    <xf numFmtId="164" fontId="2" fillId="0" borderId="0" xfId="0" applyNumberFormat="1" applyFont="1" applyBorder="1" applyAlignment="1">
      <alignment horizontal="right" vertical="center"/>
    </xf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right" vertical="center" wrapText="1"/>
    </xf>
    <xf numFmtId="164" fontId="4" fillId="0" borderId="0" xfId="0" applyNumberFormat="1" applyFont="1" applyBorder="1" applyAlignment="1">
      <alignment horizontal="right" vertical="top"/>
    </xf>
    <xf numFmtId="164" fontId="4" fillId="0" borderId="0" xfId="0" applyNumberFormat="1" applyFont="1" applyAlignment="1">
      <alignment horizontal="right" vertical="top"/>
    </xf>
    <xf numFmtId="0" fontId="9" fillId="0" borderId="0" xfId="0" applyFont="1" applyBorder="1" applyAlignment="1">
      <alignment horizontal="right" vertical="top"/>
    </xf>
    <xf numFmtId="0" fontId="9" fillId="0" borderId="0" xfId="0" applyFont="1" applyBorder="1" applyAlignment="1">
      <alignment horizontal="right" vertical="top" wrapText="1"/>
    </xf>
    <xf numFmtId="0" fontId="8" fillId="0" borderId="0" xfId="0" applyFont="1" applyFill="1" applyBorder="1" applyAlignment="1">
      <alignment horizontal="right" vertical="center" wrapText="1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165" fontId="0" fillId="0" borderId="0" xfId="0" applyNumberFormat="1" applyAlignment="1">
      <alignment horizontal="right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2" fontId="0" fillId="0" borderId="0" xfId="0" applyNumberFormat="1"/>
    <xf numFmtId="0" fontId="0" fillId="0" borderId="0" xfId="0" applyNumberFormat="1"/>
    <xf numFmtId="0" fontId="0" fillId="0" borderId="8" xfId="0" applyBorder="1" applyAlignment="1">
      <alignment vertical="center"/>
    </xf>
    <xf numFmtId="0" fontId="0" fillId="0" borderId="18" xfId="0" applyBorder="1" applyAlignment="1">
      <alignment vertical="center"/>
    </xf>
    <xf numFmtId="2" fontId="0" fillId="0" borderId="8" xfId="0" applyNumberFormat="1" applyBorder="1" applyAlignment="1">
      <alignment vertical="center" wrapText="1"/>
    </xf>
    <xf numFmtId="2" fontId="0" fillId="0" borderId="19" xfId="0" applyNumberFormat="1" applyBorder="1" applyAlignment="1">
      <alignment vertical="center" wrapText="1"/>
    </xf>
    <xf numFmtId="2" fontId="0" fillId="0" borderId="20" xfId="0" applyNumberFormat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0" fillId="0" borderId="28" xfId="0" applyNumberFormat="1" applyFont="1" applyBorder="1"/>
    <xf numFmtId="0" fontId="0" fillId="0" borderId="29" xfId="0" applyNumberFormat="1" applyFont="1" applyBorder="1"/>
    <xf numFmtId="0" fontId="0" fillId="6" borderId="8" xfId="0" applyFont="1" applyFill="1" applyBorder="1" applyAlignment="1">
      <alignment vertical="center"/>
    </xf>
    <xf numFmtId="0" fontId="0" fillId="0" borderId="8" xfId="0" applyFont="1" applyBorder="1" applyAlignment="1">
      <alignment vertical="center"/>
    </xf>
    <xf numFmtId="0" fontId="14" fillId="5" borderId="30" xfId="0" applyFont="1" applyFill="1" applyBorder="1"/>
    <xf numFmtId="0" fontId="14" fillId="5" borderId="31" xfId="0" applyFont="1" applyFill="1" applyBorder="1"/>
    <xf numFmtId="0" fontId="14" fillId="5" borderId="27" xfId="0" applyFont="1" applyFill="1" applyBorder="1" applyAlignment="1">
      <alignment vertical="center" wrapText="1"/>
    </xf>
    <xf numFmtId="0" fontId="14" fillId="5" borderId="27" xfId="0" applyFont="1" applyFill="1" applyBorder="1"/>
    <xf numFmtId="165" fontId="14" fillId="5" borderId="27" xfId="0" applyNumberFormat="1" applyFont="1" applyFill="1" applyBorder="1"/>
    <xf numFmtId="165" fontId="14" fillId="5" borderId="23" xfId="0" applyNumberFormat="1" applyFont="1" applyFill="1" applyBorder="1"/>
    <xf numFmtId="0" fontId="0" fillId="6" borderId="30" xfId="0" applyFont="1" applyFill="1" applyBorder="1"/>
    <xf numFmtId="0" fontId="0" fillId="6" borderId="31" xfId="0" applyFont="1" applyFill="1" applyBorder="1"/>
    <xf numFmtId="0" fontId="0" fillId="6" borderId="27" xfId="0" applyFont="1" applyFill="1" applyBorder="1" applyAlignment="1">
      <alignment vertical="center" wrapText="1"/>
    </xf>
    <xf numFmtId="0" fontId="0" fillId="6" borderId="27" xfId="0" applyFont="1" applyFill="1" applyBorder="1"/>
    <xf numFmtId="165" fontId="0" fillId="6" borderId="27" xfId="0" applyNumberFormat="1" applyFont="1" applyFill="1" applyBorder="1"/>
    <xf numFmtId="165" fontId="0" fillId="6" borderId="23" xfId="0" applyNumberFormat="1" applyFont="1" applyFill="1" applyBorder="1"/>
    <xf numFmtId="0" fontId="0" fillId="0" borderId="30" xfId="0" applyFont="1" applyBorder="1"/>
    <xf numFmtId="0" fontId="0" fillId="0" borderId="31" xfId="0" applyFont="1" applyBorder="1"/>
    <xf numFmtId="0" fontId="0" fillId="0" borderId="27" xfId="0" applyFont="1" applyBorder="1" applyAlignment="1">
      <alignment vertical="center" wrapText="1"/>
    </xf>
    <xf numFmtId="0" fontId="0" fillId="0" borderId="27" xfId="0" applyFont="1" applyBorder="1"/>
    <xf numFmtId="165" fontId="0" fillId="0" borderId="27" xfId="0" applyNumberFormat="1" applyFont="1" applyBorder="1"/>
    <xf numFmtId="165" fontId="0" fillId="0" borderId="23" xfId="0" applyNumberFormat="1" applyFont="1" applyBorder="1"/>
    <xf numFmtId="0" fontId="0" fillId="0" borderId="27" xfId="0" applyFont="1" applyBorder="1" applyAlignment="1">
      <alignment vertical="center"/>
    </xf>
    <xf numFmtId="165" fontId="0" fillId="0" borderId="27" xfId="0" applyNumberFormat="1" applyFont="1" applyBorder="1" applyAlignment="1">
      <alignment horizontal="right"/>
    </xf>
    <xf numFmtId="165" fontId="0" fillId="0" borderId="23" xfId="0" applyNumberFormat="1" applyFont="1" applyBorder="1" applyAlignment="1">
      <alignment horizontal="right"/>
    </xf>
    <xf numFmtId="0" fontId="0" fillId="6" borderId="27" xfId="0" applyFont="1" applyFill="1" applyBorder="1" applyAlignment="1">
      <alignment vertical="center"/>
    </xf>
    <xf numFmtId="165" fontId="0" fillId="6" borderId="27" xfId="0" applyNumberFormat="1" applyFont="1" applyFill="1" applyBorder="1" applyAlignment="1">
      <alignment vertical="center"/>
    </xf>
    <xf numFmtId="165" fontId="0" fillId="6" borderId="23" xfId="0" applyNumberFormat="1" applyFont="1" applyFill="1" applyBorder="1" applyAlignment="1">
      <alignment vertical="center"/>
    </xf>
    <xf numFmtId="165" fontId="0" fillId="0" borderId="27" xfId="0" applyNumberFormat="1" applyFont="1" applyBorder="1" applyAlignment="1">
      <alignment vertical="center"/>
    </xf>
    <xf numFmtId="165" fontId="0" fillId="0" borderId="23" xfId="0" applyNumberFormat="1" applyFont="1" applyBorder="1" applyAlignment="1">
      <alignment vertical="center"/>
    </xf>
    <xf numFmtId="165" fontId="0" fillId="0" borderId="27" xfId="0" applyNumberFormat="1" applyFont="1" applyBorder="1" applyAlignment="1">
      <alignment horizontal="right" vertical="center"/>
    </xf>
    <xf numFmtId="165" fontId="0" fillId="0" borderId="23" xfId="0" applyNumberFormat="1" applyFont="1" applyBorder="1" applyAlignment="1">
      <alignment horizontal="right" vertical="center"/>
    </xf>
    <xf numFmtId="165" fontId="0" fillId="6" borderId="27" xfId="0" applyNumberFormat="1" applyFont="1" applyFill="1" applyBorder="1" applyAlignment="1">
      <alignment horizontal="right" vertical="center"/>
    </xf>
    <xf numFmtId="165" fontId="0" fillId="6" borderId="23" xfId="0" applyNumberFormat="1" applyFont="1" applyFill="1" applyBorder="1" applyAlignment="1">
      <alignment horizontal="right" vertical="center"/>
    </xf>
    <xf numFmtId="0" fontId="0" fillId="6" borderId="27" xfId="0" applyFont="1" applyFill="1" applyBorder="1" applyAlignment="1">
      <alignment wrapText="1"/>
    </xf>
    <xf numFmtId="0" fontId="0" fillId="6" borderId="26" xfId="0" applyFont="1" applyFill="1" applyBorder="1"/>
    <xf numFmtId="0" fontId="0" fillId="0" borderId="30" xfId="0" applyNumberFormat="1" applyFont="1" applyBorder="1"/>
    <xf numFmtId="0" fontId="0" fillId="0" borderId="31" xfId="0" applyNumberFormat="1" applyFont="1" applyBorder="1"/>
    <xf numFmtId="0" fontId="0" fillId="0" borderId="33" xfId="0" applyFont="1" applyBorder="1"/>
    <xf numFmtId="0" fontId="0" fillId="6" borderId="30" xfId="0" applyNumberFormat="1" applyFont="1" applyFill="1" applyBorder="1"/>
    <xf numFmtId="0" fontId="0" fillId="6" borderId="31" xfId="0" applyNumberFormat="1" applyFont="1" applyFill="1" applyBorder="1"/>
    <xf numFmtId="0" fontId="0" fillId="6" borderId="33" xfId="0" applyFont="1" applyFill="1" applyBorder="1"/>
    <xf numFmtId="0" fontId="0" fillId="0" borderId="6" xfId="0" applyFont="1" applyBorder="1" applyAlignment="1">
      <alignment vertical="center" wrapText="1"/>
    </xf>
    <xf numFmtId="0" fontId="0" fillId="0" borderId="34" xfId="0" applyFont="1" applyBorder="1"/>
    <xf numFmtId="165" fontId="0" fillId="6" borderId="32" xfId="0" applyNumberFormat="1" applyFont="1" applyFill="1" applyBorder="1"/>
    <xf numFmtId="0" fontId="8" fillId="0" borderId="0" xfId="0" applyFont="1" applyFill="1" applyBorder="1" applyAlignment="1">
      <alignment horizontal="right"/>
    </xf>
    <xf numFmtId="0" fontId="9" fillId="0" borderId="0" xfId="0" applyFont="1" applyFill="1" applyBorder="1" applyAlignment="1">
      <alignment horizontal="right" vertical="top"/>
    </xf>
    <xf numFmtId="0" fontId="9" fillId="0" borderId="0" xfId="0" applyFont="1" applyFill="1" applyBorder="1" applyAlignment="1">
      <alignment horizontal="right" vertical="top" wrapText="1"/>
    </xf>
    <xf numFmtId="0" fontId="8" fillId="7" borderId="0" xfId="0" applyFont="1" applyFill="1" applyBorder="1" applyAlignment="1">
      <alignment horizontal="right" vertical="center"/>
    </xf>
    <xf numFmtId="0" fontId="8" fillId="0" borderId="0" xfId="0" applyFont="1" applyFill="1" applyAlignment="1">
      <alignment horizontal="right"/>
    </xf>
    <xf numFmtId="164" fontId="2" fillId="0" borderId="0" xfId="0" applyNumberFormat="1" applyFont="1" applyFill="1" applyBorder="1" applyAlignment="1">
      <alignment horizontal="right" vertical="center"/>
    </xf>
    <xf numFmtId="164" fontId="2" fillId="0" borderId="0" xfId="0" applyNumberFormat="1" applyFont="1" applyFill="1" applyAlignment="1">
      <alignment horizontal="right" vertical="center"/>
    </xf>
    <xf numFmtId="165" fontId="8" fillId="7" borderId="0" xfId="0" applyNumberFormat="1" applyFont="1" applyFill="1" applyBorder="1" applyAlignment="1">
      <alignment horizontal="right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7" fillId="2" borderId="37" xfId="0" applyFont="1" applyFill="1" applyBorder="1" applyAlignment="1">
      <alignment horizontal="center" vertical="center"/>
    </xf>
    <xf numFmtId="0" fontId="17" fillId="2" borderId="38" xfId="0" applyFont="1" applyFill="1" applyBorder="1" applyAlignment="1">
      <alignment horizontal="center" vertical="center"/>
    </xf>
    <xf numFmtId="0" fontId="17" fillId="2" borderId="39" xfId="0" applyFont="1" applyFill="1" applyBorder="1" applyAlignment="1">
      <alignment horizontal="center" vertical="center"/>
    </xf>
    <xf numFmtId="0" fontId="18" fillId="2" borderId="36" xfId="0" applyFont="1" applyFill="1" applyBorder="1" applyAlignment="1">
      <alignment horizontal="center" vertical="center"/>
    </xf>
    <xf numFmtId="0" fontId="17" fillId="8" borderId="36" xfId="0" applyFont="1" applyFill="1" applyBorder="1" applyAlignment="1">
      <alignment horizontal="right" vertical="center"/>
    </xf>
    <xf numFmtId="0" fontId="17" fillId="2" borderId="36" xfId="0" applyFont="1" applyFill="1" applyBorder="1" applyAlignment="1">
      <alignment horizontal="right" vertical="center"/>
    </xf>
    <xf numFmtId="0" fontId="17" fillId="2" borderId="45" xfId="0" applyFont="1" applyFill="1" applyBorder="1" applyAlignment="1">
      <alignment horizontal="center" vertical="center"/>
    </xf>
    <xf numFmtId="0" fontId="17" fillId="2" borderId="49" xfId="0" applyFont="1" applyFill="1" applyBorder="1" applyAlignment="1">
      <alignment horizontal="center" vertical="center"/>
    </xf>
    <xf numFmtId="0" fontId="17" fillId="2" borderId="52" xfId="0" applyFont="1" applyFill="1" applyBorder="1" applyAlignment="1">
      <alignment horizontal="center" vertical="center"/>
    </xf>
    <xf numFmtId="0" fontId="17" fillId="2" borderId="53" xfId="0" applyFont="1" applyFill="1" applyBorder="1" applyAlignment="1">
      <alignment horizontal="center" vertical="center"/>
    </xf>
    <xf numFmtId="0" fontId="17" fillId="2" borderId="54" xfId="0" applyFont="1" applyFill="1" applyBorder="1" applyAlignment="1">
      <alignment horizontal="center" vertical="center"/>
    </xf>
    <xf numFmtId="0" fontId="17" fillId="2" borderId="55" xfId="0" applyFont="1" applyFill="1" applyBorder="1" applyAlignment="1">
      <alignment horizontal="center" vertical="center"/>
    </xf>
    <xf numFmtId="0" fontId="18" fillId="2" borderId="56" xfId="0" applyFont="1" applyFill="1" applyBorder="1" applyAlignment="1">
      <alignment horizontal="center" vertical="center"/>
    </xf>
    <xf numFmtId="0" fontId="0" fillId="0" borderId="57" xfId="0" applyBorder="1"/>
    <xf numFmtId="0" fontId="0" fillId="0" borderId="58" xfId="0" applyBorder="1"/>
    <xf numFmtId="0" fontId="17" fillId="8" borderId="60" xfId="0" applyFont="1" applyFill="1" applyBorder="1" applyAlignment="1">
      <alignment horizontal="left" vertical="center"/>
    </xf>
    <xf numFmtId="0" fontId="17" fillId="8" borderId="56" xfId="0" applyFont="1" applyFill="1" applyBorder="1" applyAlignment="1">
      <alignment horizontal="right" vertical="center"/>
    </xf>
    <xf numFmtId="0" fontId="17" fillId="2" borderId="60" xfId="0" applyFont="1" applyFill="1" applyBorder="1" applyAlignment="1">
      <alignment horizontal="left" vertical="center"/>
    </xf>
    <xf numFmtId="0" fontId="17" fillId="2" borderId="56" xfId="0" applyFont="1" applyFill="1" applyBorder="1" applyAlignment="1">
      <alignment horizontal="right" vertical="center"/>
    </xf>
    <xf numFmtId="0" fontId="17" fillId="8" borderId="61" xfId="0" applyFont="1" applyFill="1" applyBorder="1" applyAlignment="1">
      <alignment horizontal="left" vertical="center"/>
    </xf>
    <xf numFmtId="0" fontId="17" fillId="8" borderId="62" xfId="0" applyFont="1" applyFill="1" applyBorder="1" applyAlignment="1">
      <alignment horizontal="right" vertical="center"/>
    </xf>
    <xf numFmtId="0" fontId="17" fillId="8" borderId="63" xfId="0" applyFont="1" applyFill="1" applyBorder="1" applyAlignment="1">
      <alignment horizontal="right" vertical="center"/>
    </xf>
    <xf numFmtId="0" fontId="17" fillId="2" borderId="37" xfId="0" applyFont="1" applyFill="1" applyBorder="1" applyAlignment="1">
      <alignment horizontal="center" vertical="center"/>
    </xf>
    <xf numFmtId="0" fontId="17" fillId="2" borderId="38" xfId="0" applyFont="1" applyFill="1" applyBorder="1" applyAlignment="1">
      <alignment horizontal="center" vertical="center"/>
    </xf>
    <xf numFmtId="0" fontId="17" fillId="2" borderId="39" xfId="0" applyFont="1" applyFill="1" applyBorder="1" applyAlignment="1">
      <alignment horizontal="center" vertical="center"/>
    </xf>
    <xf numFmtId="0" fontId="17" fillId="8" borderId="59" xfId="0" applyFont="1" applyFill="1" applyBorder="1" applyAlignment="1">
      <alignment horizontal="left" vertical="center"/>
    </xf>
    <xf numFmtId="0" fontId="17" fillId="8" borderId="43" xfId="0" applyFont="1" applyFill="1" applyBorder="1" applyAlignment="1">
      <alignment horizontal="left" vertical="center"/>
    </xf>
    <xf numFmtId="0" fontId="17" fillId="8" borderId="51" xfId="0" applyFont="1" applyFill="1" applyBorder="1" applyAlignment="1">
      <alignment horizontal="left" vertical="center"/>
    </xf>
    <xf numFmtId="0" fontId="17" fillId="2" borderId="59" xfId="0" applyFont="1" applyFill="1" applyBorder="1" applyAlignment="1">
      <alignment horizontal="left" vertical="center"/>
    </xf>
    <xf numFmtId="0" fontId="17" fillId="2" borderId="43" xfId="0" applyFont="1" applyFill="1" applyBorder="1" applyAlignment="1">
      <alignment horizontal="left" vertical="center"/>
    </xf>
    <xf numFmtId="0" fontId="17" fillId="2" borderId="51" xfId="0" applyFont="1" applyFill="1" applyBorder="1" applyAlignment="1">
      <alignment horizontal="left" vertical="center"/>
    </xf>
    <xf numFmtId="0" fontId="17" fillId="2" borderId="59" xfId="0" applyFont="1" applyFill="1" applyBorder="1" applyAlignment="1">
      <alignment vertical="center"/>
    </xf>
    <xf numFmtId="0" fontId="17" fillId="2" borderId="43" xfId="0" applyFont="1" applyFill="1" applyBorder="1" applyAlignment="1">
      <alignment vertical="center"/>
    </xf>
    <xf numFmtId="0" fontId="17" fillId="2" borderId="51" xfId="0" applyFont="1" applyFill="1" applyBorder="1" applyAlignment="1">
      <alignment vertical="center"/>
    </xf>
    <xf numFmtId="0" fontId="17" fillId="8" borderId="59" xfId="0" applyFont="1" applyFill="1" applyBorder="1" applyAlignment="1">
      <alignment horizontal="left" vertical="center"/>
    </xf>
    <xf numFmtId="0" fontId="17" fillId="2" borderId="59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right" vertical="center"/>
    </xf>
    <xf numFmtId="0" fontId="17" fillId="8" borderId="59" xfId="0" applyFont="1" applyFill="1" applyBorder="1" applyAlignment="1">
      <alignment vertical="center"/>
    </xf>
    <xf numFmtId="0" fontId="17" fillId="8" borderId="43" xfId="0" applyFont="1" applyFill="1" applyBorder="1" applyAlignment="1">
      <alignment vertical="center"/>
    </xf>
    <xf numFmtId="0" fontId="17" fillId="8" borderId="51" xfId="0" applyFont="1" applyFill="1" applyBorder="1" applyAlignment="1">
      <alignment vertical="center"/>
    </xf>
    <xf numFmtId="0" fontId="0" fillId="0" borderId="0" xfId="0" applyNumberFormat="1" applyAlignment="1">
      <alignment horizontal="right"/>
    </xf>
    <xf numFmtId="0" fontId="17" fillId="8" borderId="59" xfId="0" applyNumberFormat="1" applyFont="1" applyFill="1" applyBorder="1" applyAlignment="1">
      <alignment horizontal="right" vertical="center"/>
    </xf>
    <xf numFmtId="0" fontId="17" fillId="2" borderId="59" xfId="0" applyNumberFormat="1" applyFont="1" applyFill="1" applyBorder="1" applyAlignment="1">
      <alignment horizontal="right" vertical="center"/>
    </xf>
    <xf numFmtId="165" fontId="8" fillId="0" borderId="0" xfId="0" applyNumberFormat="1" applyFont="1" applyFill="1" applyBorder="1" applyAlignment="1">
      <alignment horizontal="right" vertical="center"/>
    </xf>
    <xf numFmtId="0" fontId="18" fillId="2" borderId="65" xfId="0" applyFont="1" applyFill="1" applyBorder="1" applyAlignment="1">
      <alignment horizontal="center" vertical="center"/>
    </xf>
    <xf numFmtId="0" fontId="17" fillId="8" borderId="66" xfId="0" applyFont="1" applyFill="1" applyBorder="1" applyAlignment="1">
      <alignment horizontal="right" vertical="center"/>
    </xf>
    <xf numFmtId="0" fontId="17" fillId="8" borderId="37" xfId="0" applyFont="1" applyFill="1" applyBorder="1" applyAlignment="1">
      <alignment horizontal="right" vertical="center"/>
    </xf>
    <xf numFmtId="0" fontId="17" fillId="8" borderId="67" xfId="0" applyFont="1" applyFill="1" applyBorder="1" applyAlignment="1">
      <alignment horizontal="right" vertical="center"/>
    </xf>
    <xf numFmtId="0" fontId="17" fillId="8" borderId="41" xfId="0" applyFont="1" applyFill="1" applyBorder="1" applyAlignment="1">
      <alignment horizontal="right" vertical="center"/>
    </xf>
    <xf numFmtId="0" fontId="17" fillId="8" borderId="39" xfId="0" applyFont="1" applyFill="1" applyBorder="1" applyAlignment="1">
      <alignment horizontal="right" vertical="center"/>
    </xf>
    <xf numFmtId="0" fontId="17" fillId="8" borderId="50" xfId="0" applyFont="1" applyFill="1" applyBorder="1" applyAlignment="1">
      <alignment horizontal="right" vertical="center"/>
    </xf>
    <xf numFmtId="0" fontId="17" fillId="8" borderId="4" xfId="0" applyFont="1" applyFill="1" applyBorder="1" applyAlignment="1">
      <alignment horizontal="right" vertical="center"/>
    </xf>
    <xf numFmtId="0" fontId="17" fillId="8" borderId="42" xfId="0" applyFont="1" applyFill="1" applyBorder="1" applyAlignment="1">
      <alignment horizontal="right" vertical="center"/>
    </xf>
    <xf numFmtId="0" fontId="17" fillId="8" borderId="44" xfId="0" applyFont="1" applyFill="1" applyBorder="1" applyAlignment="1">
      <alignment horizontal="right" vertical="center"/>
    </xf>
    <xf numFmtId="0" fontId="17" fillId="8" borderId="38" xfId="0" applyFont="1" applyFill="1" applyBorder="1" applyAlignment="1">
      <alignment horizontal="right" vertical="center"/>
    </xf>
    <xf numFmtId="0" fontId="17" fillId="8" borderId="0" xfId="0" applyFont="1" applyFill="1" applyBorder="1" applyAlignment="1">
      <alignment horizontal="right" vertical="center"/>
    </xf>
    <xf numFmtId="165" fontId="8" fillId="7" borderId="0" xfId="0" applyNumberFormat="1" applyFont="1" applyFill="1"/>
    <xf numFmtId="0" fontId="8" fillId="7" borderId="0" xfId="0" applyFont="1" applyFill="1"/>
    <xf numFmtId="0" fontId="19" fillId="0" borderId="0" xfId="0" applyFont="1" applyFill="1" applyBorder="1" applyAlignment="1">
      <alignment horizontal="right" vertical="top"/>
    </xf>
    <xf numFmtId="0" fontId="19" fillId="7" borderId="0" xfId="0" applyFont="1" applyFill="1" applyAlignment="1">
      <alignment vertical="top"/>
    </xf>
    <xf numFmtId="165" fontId="20" fillId="0" borderId="0" xfId="0" applyNumberFormat="1" applyFont="1" applyBorder="1" applyAlignment="1">
      <alignment horizontal="right" vertical="top"/>
    </xf>
    <xf numFmtId="165" fontId="19" fillId="0" borderId="0" xfId="0" applyNumberFormat="1" applyFont="1" applyFill="1" applyBorder="1" applyAlignment="1">
      <alignment horizontal="right" vertical="top"/>
    </xf>
    <xf numFmtId="165" fontId="19" fillId="7" borderId="0" xfId="0" applyNumberFormat="1" applyFont="1" applyFill="1" applyAlignment="1">
      <alignment vertical="top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64" xfId="0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7" fillId="8" borderId="59" xfId="0" applyFont="1" applyFill="1" applyBorder="1" applyAlignment="1">
      <alignment horizontal="left" vertical="center"/>
    </xf>
    <xf numFmtId="0" fontId="17" fillId="8" borderId="43" xfId="0" applyFont="1" applyFill="1" applyBorder="1" applyAlignment="1">
      <alignment horizontal="left" vertical="center"/>
    </xf>
    <xf numFmtId="0" fontId="17" fillId="8" borderId="51" xfId="0" applyFont="1" applyFill="1" applyBorder="1" applyAlignment="1">
      <alignment horizontal="left" vertical="center"/>
    </xf>
    <xf numFmtId="0" fontId="17" fillId="2" borderId="59" xfId="0" applyFont="1" applyFill="1" applyBorder="1" applyAlignment="1">
      <alignment horizontal="left" vertical="center"/>
    </xf>
    <xf numFmtId="0" fontId="17" fillId="2" borderId="43" xfId="0" applyFont="1" applyFill="1" applyBorder="1" applyAlignment="1">
      <alignment horizontal="left" vertical="center"/>
    </xf>
    <xf numFmtId="0" fontId="17" fillId="2" borderId="51" xfId="0" applyFont="1" applyFill="1" applyBorder="1" applyAlignment="1">
      <alignment horizontal="left" vertical="center"/>
    </xf>
    <xf numFmtId="0" fontId="17" fillId="2" borderId="37" xfId="0" applyFont="1" applyFill="1" applyBorder="1" applyAlignment="1">
      <alignment horizontal="center" vertical="center"/>
    </xf>
    <xf numFmtId="0" fontId="17" fillId="2" borderId="38" xfId="0" applyFont="1" applyFill="1" applyBorder="1" applyAlignment="1">
      <alignment horizontal="center" vertical="center"/>
    </xf>
    <xf numFmtId="0" fontId="17" fillId="2" borderId="39" xfId="0" applyFont="1" applyFill="1" applyBorder="1" applyAlignment="1">
      <alignment horizontal="center" vertical="center"/>
    </xf>
    <xf numFmtId="0" fontId="17" fillId="2" borderId="46" xfId="0" applyFont="1" applyFill="1" applyBorder="1" applyAlignment="1">
      <alignment horizontal="center" vertical="center"/>
    </xf>
    <xf numFmtId="0" fontId="17" fillId="2" borderId="47" xfId="0" applyFont="1" applyFill="1" applyBorder="1" applyAlignment="1">
      <alignment horizontal="center" vertical="center"/>
    </xf>
    <xf numFmtId="0" fontId="17" fillId="2" borderId="48" xfId="0" applyFont="1" applyFill="1" applyBorder="1" applyAlignment="1">
      <alignment horizontal="center" vertical="center"/>
    </xf>
    <xf numFmtId="0" fontId="17" fillId="2" borderId="40" xfId="0" applyFont="1" applyFill="1" applyBorder="1" applyAlignment="1">
      <alignment horizontal="center" vertical="center"/>
    </xf>
    <xf numFmtId="0" fontId="17" fillId="2" borderId="41" xfId="0" applyFont="1" applyFill="1" applyBorder="1" applyAlignment="1">
      <alignment horizontal="center" vertical="center"/>
    </xf>
    <xf numFmtId="0" fontId="17" fillId="2" borderId="50" xfId="0" applyFont="1" applyFill="1" applyBorder="1" applyAlignment="1">
      <alignment horizontal="center" vertical="center"/>
    </xf>
    <xf numFmtId="0" fontId="17" fillId="2" borderId="42" xfId="0" applyFont="1" applyFill="1" applyBorder="1" applyAlignment="1">
      <alignment horizontal="center" vertical="center"/>
    </xf>
    <xf numFmtId="0" fontId="17" fillId="2" borderId="43" xfId="0" applyFont="1" applyFill="1" applyBorder="1" applyAlignment="1">
      <alignment horizontal="center" vertical="center"/>
    </xf>
    <xf numFmtId="0" fontId="17" fillId="2" borderId="44" xfId="0" applyFont="1" applyFill="1" applyBorder="1" applyAlignment="1">
      <alignment horizontal="center" vertical="center"/>
    </xf>
    <xf numFmtId="0" fontId="17" fillId="2" borderId="5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3">
    <cellStyle name="Link" xfId="1" builtinId="8"/>
    <cellStyle name="Standard" xfId="0" builtinId="0"/>
    <cellStyle name="Standard 2" xfId="2" xr:uid="{00000000-0005-0000-0000-000002000000}"/>
  </cellStyles>
  <dxfs count="16"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  <border outline="0">
        <right style="thin">
          <color rgb="FF000000"/>
        </right>
      </border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1" defaultTableStyle="TableStyleMedium2" defaultPivotStyle="PivotStyleLight16">
    <tableStyle name="Tabellenformat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Codes/AGS_Gecod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elpers/AGS_Nam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1">
          <cell r="A1" t="str">
            <v>AGS</v>
          </cell>
          <cell r="B1" t="str">
            <v>Gebietseinheit</v>
          </cell>
          <cell r="C1" t="str">
            <v>GeoCode</v>
          </cell>
        </row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Statistische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Statistische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 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Statistische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Statistische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ECFDA7-17C0-430A-9763-957AAED5D126}" name="Tabelle3" displayName="Tabelle3" ref="A10:N165" totalsRowShown="0" headerRowDxfId="15" dataDxfId="14">
  <autoFilter ref="A10:N165" xr:uid="{BBF06EE3-E522-45BC-AE76-958CF7AD5290}"/>
  <tableColumns count="14">
    <tableColumn id="1" xr3:uid="{F268DEA0-DE53-4B64-A919-74BF0D6CF222}" name="Spalte1" dataDxfId="13"/>
    <tableColumn id="2" xr3:uid="{4CD6F620-E9C4-4134-94F7-121A1B4748BB}" name="Spalte2" dataDxfId="12"/>
    <tableColumn id="3" xr3:uid="{FE7A83D1-2166-4740-9C98-B7D60D5886C4}" name="Spalte3" dataDxfId="11"/>
    <tableColumn id="4" xr3:uid="{C941A44C-EB8B-4CE6-AEE8-84F4E5A08F50}" name="Spalte4" dataDxfId="10"/>
    <tableColumn id="5" xr3:uid="{108D7E2A-F238-4D70-AB71-9EA62DBD2C17}" name="Spalte5" dataDxfId="9"/>
    <tableColumn id="6" xr3:uid="{61A5F98B-9574-43EA-AC09-8FF0FC1764FD}" name="Spalte6" dataDxfId="8"/>
    <tableColumn id="7" xr3:uid="{A6B839D9-2A80-425D-B722-ADC1A4206911}" name="Spalte7" dataDxfId="7"/>
    <tableColumn id="8" xr3:uid="{781210D8-E70C-4863-8467-8A2A6C1FC43F}" name="Spalte8" dataDxfId="6"/>
    <tableColumn id="9" xr3:uid="{BEA23392-54C3-4F8A-97CE-65434B0CC9EA}" name="Spalte9" dataDxfId="5"/>
    <tableColumn id="10" xr3:uid="{9C386DC3-1F89-42EA-82F7-2BCA7CFA8717}" name="Spalte10" dataDxfId="4"/>
    <tableColumn id="11" xr3:uid="{B1E3B8EE-80D1-43B4-B3EA-862BB8536BF4}" name="Spalte11" dataDxfId="3"/>
    <tableColumn id="12" xr3:uid="{79FDF758-3D32-4675-9CAB-C0859A333F09}" name="Spalte12" dataDxfId="2"/>
    <tableColumn id="13" xr3:uid="{3D95A570-54BB-444E-94E2-BC32D34CF201}" name="Spalte13" dataDxfId="1"/>
    <tableColumn id="14" xr3:uid="{12244E40-5E21-4EA7-8497-C52F03D981C3}" name="Spalte1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2519/K3002519_00001735BD4E225FD31D668B2C2EEC6493AE0ADCEE342FD77566.zip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2519/K3002519_000017C2FB34213E0355246ED02A8B9E448423D614F9E6D3370A.zip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1.nls.niedersachsen.de/Statistik/pool/K3002519/K3002519_000017C2FB34213E0355246ED02A8B9E448423D614F9E6D3370A.zip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1.nls.niedersachsen.de/Statistik/pool/K3002519/K3002519_000017C2FB34213E0355246ED02A8B9E448423D614F9E6D3370A.zip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1.nls.niedersachsen.de/Statistik/pool/K3002519/K3002519_000017553EB1A969278422F244BA64F7CFE41BB613AA2CD53BBC.zip" TargetMode="External"/><Relationship Id="rId2" Type="http://schemas.openxmlformats.org/officeDocument/2006/relationships/hyperlink" Target="https://www1.nls.niedersachsen.de/Statistik/pool/K3002519/K3002519_000017553EB1FC603A07C413BD8A2B91031C916447D74BC2903F.zip" TargetMode="External"/><Relationship Id="rId1" Type="http://schemas.openxmlformats.org/officeDocument/2006/relationships/hyperlink" Target="https://www1.nls.niedersachsen.de/Statistik/pool/K3002520/K3002520_000017553EB1B3EB34D542F6E38DF7F30373DB21CC14B08831F6.zip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2520/K3002520_000017553EB1B3EB34D542F6E38DF7F30373DB21CC14B08831F6.zip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2519/K3002519_000016CE1821A485198B60A28222BABAFF0EBC63822E52C8AF6C.zip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2519/K3002519_000016CE18212D954863B0164EC5BFD1A5E7FCB27A00A43E2713.zip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3002519/K3002519_000016CE1821D844E098B3AD2E8021CD9EE0017B20A66A3F80AB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99B1-BCC6-4498-9933-2FA615FC3C08}">
  <sheetPr codeName="Tabelle17"/>
  <dimension ref="A1:G2289"/>
  <sheetViews>
    <sheetView topLeftCell="A34" workbookViewId="0">
      <selection activeCell="G2224" sqref="G2224"/>
    </sheetView>
  </sheetViews>
  <sheetFormatPr baseColWidth="10" defaultRowHeight="15" x14ac:dyDescent="0.25"/>
  <cols>
    <col min="3" max="3" width="18.85546875" bestFit="1" customWidth="1"/>
  </cols>
  <sheetData>
    <row r="1" spans="1:7" x14ac:dyDescent="0.25">
      <c r="A1" t="s">
        <v>168</v>
      </c>
      <c r="B1" t="s">
        <v>233</v>
      </c>
      <c r="C1" t="s">
        <v>238</v>
      </c>
      <c r="D1" t="s">
        <v>234</v>
      </c>
      <c r="E1" t="s">
        <v>235</v>
      </c>
      <c r="F1" t="s">
        <v>236</v>
      </c>
      <c r="G1" t="s">
        <v>237</v>
      </c>
    </row>
    <row r="2" spans="1:7" x14ac:dyDescent="0.25">
      <c r="A2">
        <v>101</v>
      </c>
      <c r="B2">
        <v>2005</v>
      </c>
      <c r="C2" t="str">
        <f>VLOOKUP(A2,[2]Tabelle1!$A$1:$B$68,2,FALSE)</f>
        <v>Braunschweig  Stadt</v>
      </c>
      <c r="D2" t="s">
        <v>2</v>
      </c>
      <c r="E2" t="s">
        <v>4</v>
      </c>
      <c r="F2" t="str">
        <f>VLOOKUP(A2,[1]Kreise!$A$1:$C$53,3,FALSE)</f>
        <v>K03101</v>
      </c>
      <c r="G2">
        <v>202</v>
      </c>
    </row>
    <row r="3" spans="1:7" x14ac:dyDescent="0.25">
      <c r="A3">
        <v>102</v>
      </c>
      <c r="B3">
        <v>2005</v>
      </c>
      <c r="C3" t="str">
        <f>VLOOKUP(A3,[2]Tabelle1!$A$1:$B$68,2,FALSE)</f>
        <v>Salzgitter  Stadt</v>
      </c>
      <c r="D3" t="s">
        <v>2</v>
      </c>
      <c r="E3" t="s">
        <v>4</v>
      </c>
      <c r="F3" t="str">
        <f>VLOOKUP(A3,[1]Kreise!$A$1:$C$53,3,FALSE)</f>
        <v>K03102</v>
      </c>
      <c r="G3">
        <v>61</v>
      </c>
    </row>
    <row r="4" spans="1:7" x14ac:dyDescent="0.25">
      <c r="A4">
        <v>103</v>
      </c>
      <c r="B4">
        <v>2005</v>
      </c>
      <c r="C4" t="str">
        <f>VLOOKUP(A4,[2]Tabelle1!$A$1:$B$68,2,FALSE)</f>
        <v>Wolfsburg  Stadt</v>
      </c>
      <c r="D4" t="s">
        <v>2</v>
      </c>
      <c r="E4" t="s">
        <v>4</v>
      </c>
      <c r="F4" t="str">
        <f>VLOOKUP(A4,[1]Kreise!$A$1:$C$53,3,FALSE)</f>
        <v>K03103</v>
      </c>
      <c r="G4">
        <v>87</v>
      </c>
    </row>
    <row r="5" spans="1:7" x14ac:dyDescent="0.25">
      <c r="A5">
        <v>151</v>
      </c>
      <c r="B5">
        <v>2005</v>
      </c>
      <c r="C5" t="str">
        <f>VLOOKUP(A5,[2]Tabelle1!$A$1:$B$68,2,FALSE)</f>
        <v>Gifhorn</v>
      </c>
      <c r="D5" t="s">
        <v>2</v>
      </c>
      <c r="E5" t="s">
        <v>4</v>
      </c>
      <c r="F5" t="str">
        <f>VLOOKUP(A5,[1]Kreise!$A$1:$C$53,3,FALSE)</f>
        <v>K03151</v>
      </c>
      <c r="G5">
        <v>116</v>
      </c>
    </row>
    <row r="6" spans="1:7" x14ac:dyDescent="0.25">
      <c r="A6">
        <v>153</v>
      </c>
      <c r="B6">
        <v>2005</v>
      </c>
      <c r="C6" t="str">
        <f>VLOOKUP(A6,[2]Tabelle1!$A$1:$B$68,2,FALSE)</f>
        <v>Goslar</v>
      </c>
      <c r="D6" t="s">
        <v>2</v>
      </c>
      <c r="E6" t="s">
        <v>4</v>
      </c>
      <c r="F6" t="str">
        <f>VLOOKUP(A6,[1]Kreise!$A$1:$C$53,3,FALSE)</f>
        <v>K03153</v>
      </c>
      <c r="G6">
        <v>158</v>
      </c>
    </row>
    <row r="7" spans="1:7" x14ac:dyDescent="0.25">
      <c r="A7">
        <v>154</v>
      </c>
      <c r="B7">
        <v>2005</v>
      </c>
      <c r="C7" t="str">
        <f>VLOOKUP(A7,[2]Tabelle1!$A$1:$B$68,2,FALSE)</f>
        <v>Helmstedt</v>
      </c>
      <c r="D7" t="s">
        <v>2</v>
      </c>
      <c r="E7" t="s">
        <v>4</v>
      </c>
      <c r="F7" t="str">
        <f>VLOOKUP(A7,[1]Kreise!$A$1:$C$53,3,FALSE)</f>
        <v>K03154</v>
      </c>
      <c r="G7">
        <v>73</v>
      </c>
    </row>
    <row r="8" spans="1:7" x14ac:dyDescent="0.25">
      <c r="A8">
        <v>155</v>
      </c>
      <c r="B8">
        <v>2005</v>
      </c>
      <c r="C8" t="str">
        <f>VLOOKUP(A8,[2]Tabelle1!$A$1:$B$68,2,FALSE)</f>
        <v>Northeim</v>
      </c>
      <c r="D8" t="s">
        <v>2</v>
      </c>
      <c r="E8" t="s">
        <v>4</v>
      </c>
      <c r="F8" t="str">
        <f>VLOOKUP(A8,[1]Kreise!$A$1:$C$53,3,FALSE)</f>
        <v>K03155</v>
      </c>
      <c r="G8">
        <v>136</v>
      </c>
    </row>
    <row r="9" spans="1:7" x14ac:dyDescent="0.25">
      <c r="A9">
        <v>157</v>
      </c>
      <c r="B9">
        <v>2005</v>
      </c>
      <c r="C9" t="str">
        <f>VLOOKUP(A9,[2]Tabelle1!$A$1:$B$68,2,FALSE)</f>
        <v>Peine</v>
      </c>
      <c r="D9" t="s">
        <v>2</v>
      </c>
      <c r="E9" t="s">
        <v>4</v>
      </c>
      <c r="F9" t="str">
        <f>VLOOKUP(A9,[1]Kreise!$A$1:$C$53,3,FALSE)</f>
        <v>K03157</v>
      </c>
      <c r="G9">
        <v>111</v>
      </c>
    </row>
    <row r="10" spans="1:7" x14ac:dyDescent="0.25">
      <c r="A10">
        <v>158</v>
      </c>
      <c r="B10">
        <v>2005</v>
      </c>
      <c r="C10" t="str">
        <f>VLOOKUP(A10,[2]Tabelle1!$A$1:$B$68,2,FALSE)</f>
        <v>Wolfenbüttel</v>
      </c>
      <c r="D10" t="s">
        <v>2</v>
      </c>
      <c r="E10" t="s">
        <v>4</v>
      </c>
      <c r="F10" t="str">
        <f>VLOOKUP(A10,[1]Kreise!$A$1:$C$53,3,FALSE)</f>
        <v>K03158</v>
      </c>
      <c r="G10">
        <v>70</v>
      </c>
    </row>
    <row r="11" spans="1:7" x14ac:dyDescent="0.25">
      <c r="A11">
        <v>159</v>
      </c>
      <c r="B11">
        <v>2005</v>
      </c>
      <c r="C11" t="str">
        <f>VLOOKUP(A11,[2]Tabelle1!$A$1:$B$68,2,FALSE)</f>
        <v>Göttingen</v>
      </c>
      <c r="D11" t="s">
        <v>2</v>
      </c>
      <c r="E11" t="s">
        <v>4</v>
      </c>
      <c r="F11" t="str">
        <f>VLOOKUP(A11,[1]Kreise!$A$1:$C$53,3,FALSE)</f>
        <v>K03159</v>
      </c>
      <c r="G11">
        <v>283</v>
      </c>
    </row>
    <row r="12" spans="1:7" x14ac:dyDescent="0.25">
      <c r="A12">
        <v>1</v>
      </c>
      <c r="B12">
        <v>2005</v>
      </c>
      <c r="C12" t="str">
        <f>VLOOKUP(A12,[2]Tabelle1!$A$1:$B$68,2,FALSE)</f>
        <v>Statistische Region Braunschweig</v>
      </c>
      <c r="D12" t="s">
        <v>2</v>
      </c>
      <c r="E12" t="s">
        <v>4</v>
      </c>
      <c r="F12" t="str">
        <f>VLOOKUP(A12,[1]Kreise!$A$1:$C$53,3,FALSE)</f>
        <v>K031</v>
      </c>
      <c r="G12">
        <v>1297</v>
      </c>
    </row>
    <row r="13" spans="1:7" x14ac:dyDescent="0.25">
      <c r="A13">
        <v>241</v>
      </c>
      <c r="B13">
        <v>2005</v>
      </c>
      <c r="C13" t="str">
        <f>VLOOKUP(A13,[2]Tabelle1!$A$1:$B$68,2,FALSE)</f>
        <v>Hannover  Region</v>
      </c>
      <c r="D13" t="s">
        <v>2</v>
      </c>
      <c r="E13" t="s">
        <v>4</v>
      </c>
      <c r="F13" t="str">
        <f>VLOOKUP(A13,[1]Kreise!$A$1:$C$53,3,FALSE)</f>
        <v>K03241</v>
      </c>
      <c r="G13">
        <v>674</v>
      </c>
    </row>
    <row r="14" spans="1:7" x14ac:dyDescent="0.25">
      <c r="A14">
        <v>241001</v>
      </c>
      <c r="B14">
        <v>2005</v>
      </c>
      <c r="C14" t="str">
        <f>VLOOKUP(A14,[2]Tabelle1!$A$1:$B$68,2,FALSE)</f>
        <v>dav. Hannover  Lhst.</v>
      </c>
      <c r="D14" t="s">
        <v>2</v>
      </c>
      <c r="E14" t="s">
        <v>4</v>
      </c>
      <c r="F14" t="str">
        <f>VLOOKUP(A14,[1]Kreise!$A$1:$C$53,3,FALSE)</f>
        <v>K03241001</v>
      </c>
      <c r="G14">
        <v>297</v>
      </c>
    </row>
    <row r="15" spans="1:7" x14ac:dyDescent="0.25">
      <c r="A15">
        <v>241999</v>
      </c>
      <c r="B15">
        <v>2005</v>
      </c>
      <c r="C15" t="str">
        <f>VLOOKUP(A15,[2]Tabelle1!$A$1:$B$68,2,FALSE)</f>
        <v>dav. Hannover  Umland</v>
      </c>
      <c r="D15" t="s">
        <v>2</v>
      </c>
      <c r="E15" t="s">
        <v>4</v>
      </c>
      <c r="F15" t="str">
        <f>VLOOKUP(A15,[1]Kreise!$A$1:$C$53,3,FALSE)</f>
        <v>K03241999</v>
      </c>
      <c r="G15">
        <v>377</v>
      </c>
    </row>
    <row r="16" spans="1:7" x14ac:dyDescent="0.25">
      <c r="A16">
        <v>251</v>
      </c>
      <c r="B16">
        <v>2005</v>
      </c>
      <c r="C16" t="str">
        <f>VLOOKUP(A16,[2]Tabelle1!$A$1:$B$68,2,FALSE)</f>
        <v>Diepholz</v>
      </c>
      <c r="D16" t="s">
        <v>2</v>
      </c>
      <c r="E16" t="s">
        <v>4</v>
      </c>
      <c r="F16" t="str">
        <f>VLOOKUP(A16,[1]Kreise!$A$1:$C$53,3,FALSE)</f>
        <v>K03251</v>
      </c>
      <c r="G16">
        <v>128</v>
      </c>
    </row>
    <row r="17" spans="1:7" x14ac:dyDescent="0.25">
      <c r="A17">
        <v>252</v>
      </c>
      <c r="B17">
        <v>2005</v>
      </c>
      <c r="C17" t="str">
        <f>VLOOKUP(A17,[2]Tabelle1!$A$1:$B$68,2,FALSE)</f>
        <v>Hameln-Pyrmont</v>
      </c>
      <c r="D17" t="s">
        <v>2</v>
      </c>
      <c r="E17" t="s">
        <v>4</v>
      </c>
      <c r="F17" t="str">
        <f>VLOOKUP(A17,[1]Kreise!$A$1:$C$53,3,FALSE)</f>
        <v>K03252</v>
      </c>
      <c r="G17">
        <v>151</v>
      </c>
    </row>
    <row r="18" spans="1:7" x14ac:dyDescent="0.25">
      <c r="A18">
        <v>254</v>
      </c>
      <c r="B18">
        <v>2005</v>
      </c>
      <c r="C18" t="str">
        <f>VLOOKUP(A18,[2]Tabelle1!$A$1:$B$68,2,FALSE)</f>
        <v>Hildesheim</v>
      </c>
      <c r="D18" t="s">
        <v>2</v>
      </c>
      <c r="E18" t="s">
        <v>4</v>
      </c>
      <c r="F18" t="str">
        <f>VLOOKUP(A18,[1]Kreise!$A$1:$C$53,3,FALSE)</f>
        <v>K03254</v>
      </c>
      <c r="G18">
        <v>244</v>
      </c>
    </row>
    <row r="19" spans="1:7" x14ac:dyDescent="0.25">
      <c r="A19">
        <v>255</v>
      </c>
      <c r="B19">
        <v>2005</v>
      </c>
      <c r="C19" t="str">
        <f>VLOOKUP(A19,[2]Tabelle1!$A$1:$B$68,2,FALSE)</f>
        <v>Holzminden</v>
      </c>
      <c r="D19" t="s">
        <v>2</v>
      </c>
      <c r="E19" t="s">
        <v>4</v>
      </c>
      <c r="F19" t="str">
        <f>VLOOKUP(A19,[1]Kreise!$A$1:$C$53,3,FALSE)</f>
        <v>K03255</v>
      </c>
      <c r="G19">
        <v>55</v>
      </c>
    </row>
    <row r="20" spans="1:7" x14ac:dyDescent="0.25">
      <c r="A20">
        <v>256</v>
      </c>
      <c r="B20">
        <v>2005</v>
      </c>
      <c r="C20" t="str">
        <f>VLOOKUP(A20,[2]Tabelle1!$A$1:$B$68,2,FALSE)</f>
        <v>Nienburg (Weser)</v>
      </c>
      <c r="D20" t="s">
        <v>2</v>
      </c>
      <c r="E20" t="s">
        <v>4</v>
      </c>
      <c r="F20" t="str">
        <f>VLOOKUP(A20,[1]Kreise!$A$1:$C$53,3,FALSE)</f>
        <v>K03256</v>
      </c>
      <c r="G20">
        <v>102</v>
      </c>
    </row>
    <row r="21" spans="1:7" x14ac:dyDescent="0.25">
      <c r="A21">
        <v>257</v>
      </c>
      <c r="B21">
        <v>2005</v>
      </c>
      <c r="C21" t="str">
        <f>VLOOKUP(A21,[2]Tabelle1!$A$1:$B$68,2,FALSE)</f>
        <v>Schaumburg</v>
      </c>
      <c r="D21" t="s">
        <v>2</v>
      </c>
      <c r="E21" t="s">
        <v>4</v>
      </c>
      <c r="F21" t="str">
        <f>VLOOKUP(A21,[1]Kreise!$A$1:$C$53,3,FALSE)</f>
        <v>K03257</v>
      </c>
      <c r="G21">
        <v>141</v>
      </c>
    </row>
    <row r="22" spans="1:7" x14ac:dyDescent="0.25">
      <c r="A22">
        <v>2</v>
      </c>
      <c r="B22">
        <v>2005</v>
      </c>
      <c r="C22" t="str">
        <f>VLOOKUP(A22,[2]Tabelle1!$A$1:$B$68,2,FALSE)</f>
        <v>Statistische Region Hannover</v>
      </c>
      <c r="D22" t="s">
        <v>2</v>
      </c>
      <c r="E22" t="s">
        <v>4</v>
      </c>
      <c r="F22" t="str">
        <f>VLOOKUP(A22,[1]Kreise!$A$1:$C$53,3,FALSE)</f>
        <v>K032</v>
      </c>
      <c r="G22">
        <v>1495</v>
      </c>
    </row>
    <row r="23" spans="1:7" x14ac:dyDescent="0.25">
      <c r="A23">
        <v>351</v>
      </c>
      <c r="B23">
        <v>2005</v>
      </c>
      <c r="C23" t="str">
        <f>VLOOKUP(A23,[2]Tabelle1!$A$1:$B$68,2,FALSE)</f>
        <v>Celle</v>
      </c>
      <c r="D23" t="s">
        <v>2</v>
      </c>
      <c r="E23" t="s">
        <v>4</v>
      </c>
      <c r="F23" t="str">
        <f>VLOOKUP(A23,[1]Kreise!$A$1:$C$53,3,FALSE)</f>
        <v>K03351</v>
      </c>
      <c r="G23">
        <v>181</v>
      </c>
    </row>
    <row r="24" spans="1:7" x14ac:dyDescent="0.25">
      <c r="A24">
        <v>352</v>
      </c>
      <c r="B24">
        <v>2005</v>
      </c>
      <c r="C24" t="str">
        <f>VLOOKUP(A24,[2]Tabelle1!$A$1:$B$68,2,FALSE)</f>
        <v>Cuxhaven</v>
      </c>
      <c r="D24" t="s">
        <v>2</v>
      </c>
      <c r="E24" t="s">
        <v>4</v>
      </c>
      <c r="F24" t="str">
        <f>VLOOKUP(A24,[1]Kreise!$A$1:$C$53,3,FALSE)</f>
        <v>K03352</v>
      </c>
      <c r="G24">
        <v>180</v>
      </c>
    </row>
    <row r="25" spans="1:7" x14ac:dyDescent="0.25">
      <c r="A25">
        <v>353</v>
      </c>
      <c r="B25">
        <v>2005</v>
      </c>
      <c r="C25" t="str">
        <f>VLOOKUP(A25,[2]Tabelle1!$A$1:$B$68,2,FALSE)</f>
        <v>Harburg</v>
      </c>
      <c r="D25" t="s">
        <v>2</v>
      </c>
      <c r="E25" t="s">
        <v>4</v>
      </c>
      <c r="F25" t="str">
        <f>VLOOKUP(A25,[1]Kreise!$A$1:$C$53,3,FALSE)</f>
        <v>K03353</v>
      </c>
      <c r="G25">
        <v>159</v>
      </c>
    </row>
    <row r="26" spans="1:7" x14ac:dyDescent="0.25">
      <c r="A26">
        <v>354</v>
      </c>
      <c r="B26">
        <v>2005</v>
      </c>
      <c r="C26" t="str">
        <f>VLOOKUP(A26,[2]Tabelle1!$A$1:$B$68,2,FALSE)</f>
        <v>Lüchow-Dannenberg</v>
      </c>
      <c r="D26" t="s">
        <v>2</v>
      </c>
      <c r="E26" t="s">
        <v>4</v>
      </c>
      <c r="F26" t="str">
        <f>VLOOKUP(A26,[1]Kreise!$A$1:$C$53,3,FALSE)</f>
        <v>K03354</v>
      </c>
      <c r="G26">
        <v>63</v>
      </c>
    </row>
    <row r="27" spans="1:7" x14ac:dyDescent="0.25">
      <c r="A27">
        <v>355</v>
      </c>
      <c r="B27">
        <v>2005</v>
      </c>
      <c r="C27" t="str">
        <f>VLOOKUP(A27,[2]Tabelle1!$A$1:$B$68,2,FALSE)</f>
        <v>Lüneburg</v>
      </c>
      <c r="D27" t="s">
        <v>2</v>
      </c>
      <c r="E27" t="s">
        <v>4</v>
      </c>
      <c r="F27" t="str">
        <f>VLOOKUP(A27,[1]Kreise!$A$1:$C$53,3,FALSE)</f>
        <v>K03355</v>
      </c>
      <c r="G27">
        <v>105</v>
      </c>
    </row>
    <row r="28" spans="1:7" x14ac:dyDescent="0.25">
      <c r="A28">
        <v>356</v>
      </c>
      <c r="B28">
        <v>2005</v>
      </c>
      <c r="C28" t="str">
        <f>VLOOKUP(A28,[2]Tabelle1!$A$1:$B$68,2,FALSE)</f>
        <v>Osterholz</v>
      </c>
      <c r="D28" t="s">
        <v>2</v>
      </c>
      <c r="E28" t="s">
        <v>4</v>
      </c>
      <c r="F28" t="str">
        <f>VLOOKUP(A28,[1]Kreise!$A$1:$C$53,3,FALSE)</f>
        <v>K03356</v>
      </c>
      <c r="G28">
        <v>63</v>
      </c>
    </row>
    <row r="29" spans="1:7" x14ac:dyDescent="0.25">
      <c r="A29">
        <v>357</v>
      </c>
      <c r="B29">
        <v>2005</v>
      </c>
      <c r="C29" t="str">
        <f>VLOOKUP(A29,[2]Tabelle1!$A$1:$B$68,2,FALSE)</f>
        <v>Rotenburg (Wümme)</v>
      </c>
      <c r="D29" t="s">
        <v>2</v>
      </c>
      <c r="E29" t="s">
        <v>4</v>
      </c>
      <c r="F29" t="str">
        <f>VLOOKUP(A29,[1]Kreise!$A$1:$C$53,3,FALSE)</f>
        <v>K03357</v>
      </c>
      <c r="G29">
        <v>218</v>
      </c>
    </row>
    <row r="30" spans="1:7" x14ac:dyDescent="0.25">
      <c r="A30">
        <v>358</v>
      </c>
      <c r="B30">
        <v>2005</v>
      </c>
      <c r="C30" t="str">
        <f>VLOOKUP(A30,[2]Tabelle1!$A$1:$B$68,2,FALSE)</f>
        <v>Heidekreis</v>
      </c>
      <c r="D30" t="s">
        <v>2</v>
      </c>
      <c r="E30" t="s">
        <v>4</v>
      </c>
      <c r="F30" t="str">
        <f>VLOOKUP(A30,[1]Kreise!$A$1:$C$53,3,FALSE)</f>
        <v>K03358</v>
      </c>
      <c r="G30">
        <v>143</v>
      </c>
    </row>
    <row r="31" spans="1:7" x14ac:dyDescent="0.25">
      <c r="A31">
        <v>359</v>
      </c>
      <c r="B31">
        <v>2005</v>
      </c>
      <c r="C31" t="str">
        <f>VLOOKUP(A31,[2]Tabelle1!$A$1:$B$68,2,FALSE)</f>
        <v>Stade</v>
      </c>
      <c r="D31" t="s">
        <v>2</v>
      </c>
      <c r="E31" t="s">
        <v>4</v>
      </c>
      <c r="F31" t="str">
        <f>VLOOKUP(A31,[1]Kreise!$A$1:$C$53,3,FALSE)</f>
        <v>K03359</v>
      </c>
      <c r="G31">
        <v>193</v>
      </c>
    </row>
    <row r="32" spans="1:7" x14ac:dyDescent="0.25">
      <c r="A32">
        <v>360</v>
      </c>
      <c r="B32">
        <v>2005</v>
      </c>
      <c r="C32" t="str">
        <f>VLOOKUP(A32,[2]Tabelle1!$A$1:$B$68,2,FALSE)</f>
        <v>Uelzen</v>
      </c>
      <c r="D32" t="s">
        <v>2</v>
      </c>
      <c r="E32" t="s">
        <v>4</v>
      </c>
      <c r="F32" t="str">
        <f>VLOOKUP(A32,[1]Kreise!$A$1:$C$53,3,FALSE)</f>
        <v>K03360</v>
      </c>
      <c r="G32">
        <v>111</v>
      </c>
    </row>
    <row r="33" spans="1:7" x14ac:dyDescent="0.25">
      <c r="A33">
        <v>361</v>
      </c>
      <c r="B33">
        <v>2005</v>
      </c>
      <c r="C33" t="str">
        <f>VLOOKUP(A33,[2]Tabelle1!$A$1:$B$68,2,FALSE)</f>
        <v>Verden</v>
      </c>
      <c r="D33" t="s">
        <v>2</v>
      </c>
      <c r="E33" t="s">
        <v>4</v>
      </c>
      <c r="F33" t="str">
        <f>VLOOKUP(A33,[1]Kreise!$A$1:$C$53,3,FALSE)</f>
        <v>K03361</v>
      </c>
      <c r="G33">
        <v>125</v>
      </c>
    </row>
    <row r="34" spans="1:7" x14ac:dyDescent="0.25">
      <c r="A34">
        <v>3</v>
      </c>
      <c r="B34">
        <v>2005</v>
      </c>
      <c r="C34" t="str">
        <f>VLOOKUP(A34,[2]Tabelle1!$A$1:$B$68,2,FALSE)</f>
        <v>Statistische Region Lüneburg</v>
      </c>
      <c r="D34" t="s">
        <v>2</v>
      </c>
      <c r="E34" t="s">
        <v>4</v>
      </c>
      <c r="F34" t="str">
        <f>VLOOKUP(A34,[1]Kreise!$A$1:$C$53,3,FALSE)</f>
        <v>K033</v>
      </c>
      <c r="G34">
        <v>1541</v>
      </c>
    </row>
    <row r="35" spans="1:7" x14ac:dyDescent="0.25">
      <c r="A35">
        <v>401</v>
      </c>
      <c r="B35">
        <v>2005</v>
      </c>
      <c r="C35" t="str">
        <f>VLOOKUP(A35,[2]Tabelle1!$A$1:$B$68,2,FALSE)</f>
        <v>Delmenhorst  Stadt</v>
      </c>
      <c r="D35" t="s">
        <v>2</v>
      </c>
      <c r="E35" t="s">
        <v>4</v>
      </c>
      <c r="F35" t="str">
        <f>VLOOKUP(A35,[1]Kreise!$A$1:$C$53,3,FALSE)</f>
        <v>K03401</v>
      </c>
      <c r="G35">
        <v>77</v>
      </c>
    </row>
    <row r="36" spans="1:7" x14ac:dyDescent="0.25">
      <c r="A36">
        <v>402</v>
      </c>
      <c r="B36">
        <v>2005</v>
      </c>
      <c r="C36" t="str">
        <f>VLOOKUP(A36,[2]Tabelle1!$A$1:$B$68,2,FALSE)</f>
        <v>Emden  Stadt</v>
      </c>
      <c r="D36" t="s">
        <v>2</v>
      </c>
      <c r="E36" t="s">
        <v>4</v>
      </c>
      <c r="F36" t="str">
        <f>VLOOKUP(A36,[1]Kreise!$A$1:$C$53,3,FALSE)</f>
        <v>K03402</v>
      </c>
      <c r="G36">
        <v>58</v>
      </c>
    </row>
    <row r="37" spans="1:7" x14ac:dyDescent="0.25">
      <c r="A37">
        <v>403</v>
      </c>
      <c r="B37">
        <v>2005</v>
      </c>
      <c r="C37" t="str">
        <f>VLOOKUP(A37,[2]Tabelle1!$A$1:$B$68,2,FALSE)</f>
        <v>Oldenburg(Oldb)  Stadt</v>
      </c>
      <c r="D37" t="s">
        <v>2</v>
      </c>
      <c r="E37" t="s">
        <v>4</v>
      </c>
      <c r="F37" t="str">
        <f>VLOOKUP(A37,[1]Kreise!$A$1:$C$53,3,FALSE)</f>
        <v>K03403</v>
      </c>
      <c r="G37">
        <v>118</v>
      </c>
    </row>
    <row r="38" spans="1:7" x14ac:dyDescent="0.25">
      <c r="A38">
        <v>404</v>
      </c>
      <c r="B38">
        <v>2005</v>
      </c>
      <c r="C38" t="str">
        <f>VLOOKUP(A38,[2]Tabelle1!$A$1:$B$68,2,FALSE)</f>
        <v>Osnabrück  Stadt</v>
      </c>
      <c r="D38" t="s">
        <v>2</v>
      </c>
      <c r="E38" t="s">
        <v>4</v>
      </c>
      <c r="F38" t="str">
        <f>VLOOKUP(A38,[1]Kreise!$A$1:$C$53,3,FALSE)</f>
        <v>K03404</v>
      </c>
      <c r="G38">
        <v>76</v>
      </c>
    </row>
    <row r="39" spans="1:7" x14ac:dyDescent="0.25">
      <c r="A39">
        <v>405</v>
      </c>
      <c r="B39">
        <v>2005</v>
      </c>
      <c r="C39" t="str">
        <f>VLOOKUP(A39,[2]Tabelle1!$A$1:$B$68,2,FALSE)</f>
        <v>Wilhelmshaven  Stadt</v>
      </c>
      <c r="D39" t="s">
        <v>2</v>
      </c>
      <c r="E39" t="s">
        <v>4</v>
      </c>
      <c r="F39" t="str">
        <f>VLOOKUP(A39,[1]Kreise!$A$1:$C$53,3,FALSE)</f>
        <v>K03405</v>
      </c>
      <c r="G39">
        <v>80</v>
      </c>
    </row>
    <row r="40" spans="1:7" x14ac:dyDescent="0.25">
      <c r="A40">
        <v>451</v>
      </c>
      <c r="B40">
        <v>2005</v>
      </c>
      <c r="C40" t="str">
        <f>VLOOKUP(A40,[2]Tabelle1!$A$1:$B$68,2,FALSE)</f>
        <v>Ammerland</v>
      </c>
      <c r="D40" t="s">
        <v>2</v>
      </c>
      <c r="E40" t="s">
        <v>4</v>
      </c>
      <c r="F40" t="str">
        <f>VLOOKUP(A40,[1]Kreise!$A$1:$C$53,3,FALSE)</f>
        <v>K03451</v>
      </c>
      <c r="G40">
        <v>117</v>
      </c>
    </row>
    <row r="41" spans="1:7" x14ac:dyDescent="0.25">
      <c r="A41">
        <v>452</v>
      </c>
      <c r="B41">
        <v>2005</v>
      </c>
      <c r="C41" t="str">
        <f>VLOOKUP(A41,[2]Tabelle1!$A$1:$B$68,2,FALSE)</f>
        <v>Aurich</v>
      </c>
      <c r="D41" t="s">
        <v>2</v>
      </c>
      <c r="E41" t="s">
        <v>4</v>
      </c>
      <c r="F41" t="str">
        <f>VLOOKUP(A41,[1]Kreise!$A$1:$C$53,3,FALSE)</f>
        <v>K03452</v>
      </c>
      <c r="G41">
        <v>279</v>
      </c>
    </row>
    <row r="42" spans="1:7" x14ac:dyDescent="0.25">
      <c r="A42">
        <v>453</v>
      </c>
      <c r="B42">
        <v>2005</v>
      </c>
      <c r="C42" t="str">
        <f>VLOOKUP(A42,[2]Tabelle1!$A$1:$B$68,2,FALSE)</f>
        <v>Cloppenburg</v>
      </c>
      <c r="D42" t="s">
        <v>2</v>
      </c>
      <c r="E42" t="s">
        <v>4</v>
      </c>
      <c r="F42" t="str">
        <f>VLOOKUP(A42,[1]Kreise!$A$1:$C$53,3,FALSE)</f>
        <v>K03453</v>
      </c>
      <c r="G42">
        <v>176</v>
      </c>
    </row>
    <row r="43" spans="1:7" x14ac:dyDescent="0.25">
      <c r="A43">
        <v>454</v>
      </c>
      <c r="B43">
        <v>2005</v>
      </c>
      <c r="C43" t="str">
        <f>VLOOKUP(A43,[2]Tabelle1!$A$1:$B$68,2,FALSE)</f>
        <v>Emsland</v>
      </c>
      <c r="D43" t="s">
        <v>2</v>
      </c>
      <c r="E43" t="s">
        <v>4</v>
      </c>
      <c r="F43" t="str">
        <f>VLOOKUP(A43,[1]Kreise!$A$1:$C$53,3,FALSE)</f>
        <v>K03454</v>
      </c>
      <c r="G43">
        <v>319</v>
      </c>
    </row>
    <row r="44" spans="1:7" x14ac:dyDescent="0.25">
      <c r="A44">
        <v>455</v>
      </c>
      <c r="B44">
        <v>2005</v>
      </c>
      <c r="C44" t="str">
        <f>VLOOKUP(A44,[2]Tabelle1!$A$1:$B$68,2,FALSE)</f>
        <v>Friesland</v>
      </c>
      <c r="D44" t="s">
        <v>2</v>
      </c>
      <c r="E44" t="s">
        <v>4</v>
      </c>
      <c r="F44" t="str">
        <f>VLOOKUP(A44,[1]Kreise!$A$1:$C$53,3,FALSE)</f>
        <v>K03455</v>
      </c>
      <c r="G44">
        <v>103</v>
      </c>
    </row>
    <row r="45" spans="1:7" x14ac:dyDescent="0.25">
      <c r="A45">
        <v>456</v>
      </c>
      <c r="B45">
        <v>2005</v>
      </c>
      <c r="C45" t="str">
        <f>VLOOKUP(A45,[2]Tabelle1!$A$1:$B$68,2,FALSE)</f>
        <v>Grafschaft Bentheim</v>
      </c>
      <c r="D45" t="s">
        <v>2</v>
      </c>
      <c r="E45" t="s">
        <v>4</v>
      </c>
      <c r="F45" t="str">
        <f>VLOOKUP(A45,[1]Kreise!$A$1:$C$53,3,FALSE)</f>
        <v>K03456</v>
      </c>
      <c r="G45">
        <v>159</v>
      </c>
    </row>
    <row r="46" spans="1:7" x14ac:dyDescent="0.25">
      <c r="A46">
        <v>457</v>
      </c>
      <c r="B46">
        <v>2005</v>
      </c>
      <c r="C46" t="str">
        <f>VLOOKUP(A46,[2]Tabelle1!$A$1:$B$68,2,FALSE)</f>
        <v>Leer</v>
      </c>
      <c r="D46" t="s">
        <v>2</v>
      </c>
      <c r="E46" t="s">
        <v>4</v>
      </c>
      <c r="F46" t="str">
        <f>VLOOKUP(A46,[1]Kreise!$A$1:$C$53,3,FALSE)</f>
        <v>K03457</v>
      </c>
      <c r="G46">
        <v>192</v>
      </c>
    </row>
    <row r="47" spans="1:7" x14ac:dyDescent="0.25">
      <c r="A47">
        <v>458</v>
      </c>
      <c r="B47">
        <v>2005</v>
      </c>
      <c r="C47" t="str">
        <f>VLOOKUP(A47,[2]Tabelle1!$A$1:$B$68,2,FALSE)</f>
        <v>Oldenburg</v>
      </c>
      <c r="D47" t="s">
        <v>2</v>
      </c>
      <c r="E47" t="s">
        <v>4</v>
      </c>
      <c r="F47" t="str">
        <f>VLOOKUP(A47,[1]Kreise!$A$1:$C$53,3,FALSE)</f>
        <v>K03458</v>
      </c>
      <c r="G47">
        <v>78</v>
      </c>
    </row>
    <row r="48" spans="1:7" x14ac:dyDescent="0.25">
      <c r="A48">
        <v>459</v>
      </c>
      <c r="B48">
        <v>2005</v>
      </c>
      <c r="C48" t="str">
        <f>VLOOKUP(A48,[2]Tabelle1!$A$1:$B$68,2,FALSE)</f>
        <v>Osnabrück</v>
      </c>
      <c r="D48" t="s">
        <v>2</v>
      </c>
      <c r="E48" t="s">
        <v>4</v>
      </c>
      <c r="F48" t="str">
        <f>VLOOKUP(A48,[1]Kreise!$A$1:$C$53,3,FALSE)</f>
        <v>K03459</v>
      </c>
      <c r="G48">
        <v>273</v>
      </c>
    </row>
    <row r="49" spans="1:7" x14ac:dyDescent="0.25">
      <c r="A49">
        <v>460</v>
      </c>
      <c r="B49">
        <v>2005</v>
      </c>
      <c r="C49" t="str">
        <f>VLOOKUP(A49,[2]Tabelle1!$A$1:$B$68,2,FALSE)</f>
        <v>Vechta</v>
      </c>
      <c r="D49" t="s">
        <v>2</v>
      </c>
      <c r="E49" t="s">
        <v>4</v>
      </c>
      <c r="F49" t="str">
        <f>VLOOKUP(A49,[1]Kreise!$A$1:$C$53,3,FALSE)</f>
        <v>K03460</v>
      </c>
      <c r="G49">
        <v>142</v>
      </c>
    </row>
    <row r="50" spans="1:7" x14ac:dyDescent="0.25">
      <c r="A50">
        <v>461</v>
      </c>
      <c r="B50">
        <v>2005</v>
      </c>
      <c r="C50" t="str">
        <f>VLOOKUP(A50,[2]Tabelle1!$A$1:$B$68,2,FALSE)</f>
        <v>Wesermarsch</v>
      </c>
      <c r="D50" t="s">
        <v>2</v>
      </c>
      <c r="E50" t="s">
        <v>4</v>
      </c>
      <c r="F50" t="str">
        <f>VLOOKUP(A50,[1]Kreise!$A$1:$C$53,3,FALSE)</f>
        <v>K03461</v>
      </c>
      <c r="G50">
        <v>91</v>
      </c>
    </row>
    <row r="51" spans="1:7" x14ac:dyDescent="0.25">
      <c r="A51">
        <v>462</v>
      </c>
      <c r="B51">
        <v>2005</v>
      </c>
      <c r="C51" t="str">
        <f>VLOOKUP(A51,[2]Tabelle1!$A$1:$B$68,2,FALSE)</f>
        <v>Wittmund</v>
      </c>
      <c r="D51" t="s">
        <v>2</v>
      </c>
      <c r="E51" t="s">
        <v>4</v>
      </c>
      <c r="F51" t="str">
        <f>VLOOKUP(A51,[1]Kreise!$A$1:$C$53,3,FALSE)</f>
        <v>K03462</v>
      </c>
      <c r="G51">
        <v>67</v>
      </c>
    </row>
    <row r="52" spans="1:7" x14ac:dyDescent="0.25">
      <c r="A52">
        <v>4</v>
      </c>
      <c r="B52">
        <v>2005</v>
      </c>
      <c r="C52" t="str">
        <f>VLOOKUP(A52,[2]Tabelle1!$A$1:$B$68,2,FALSE)</f>
        <v>Statistische Region Weser-Ems</v>
      </c>
      <c r="D52" t="s">
        <v>2</v>
      </c>
      <c r="E52" t="s">
        <v>4</v>
      </c>
      <c r="F52" t="str">
        <f>VLOOKUP(A52,[1]Kreise!$A$1:$C$53,3,FALSE)</f>
        <v>K034</v>
      </c>
      <c r="G52">
        <v>2405</v>
      </c>
    </row>
    <row r="53" spans="1:7" x14ac:dyDescent="0.25">
      <c r="A53">
        <v>0</v>
      </c>
      <c r="B53">
        <v>2005</v>
      </c>
      <c r="C53" t="str">
        <f>VLOOKUP(A53,[2]Tabelle1!$A$1:$B$68,2,FALSE)</f>
        <v>Niedersachsen</v>
      </c>
      <c r="D53" t="s">
        <v>2</v>
      </c>
      <c r="E53" t="s">
        <v>4</v>
      </c>
      <c r="F53" t="str">
        <f>VLOOKUP(A53,[1]Kreise!$A$1:$C$53,3,FALSE)</f>
        <v>K030</v>
      </c>
      <c r="G53">
        <v>6738</v>
      </c>
    </row>
    <row r="54" spans="1:7" x14ac:dyDescent="0.25">
      <c r="A54">
        <v>101</v>
      </c>
      <c r="B54">
        <v>2005</v>
      </c>
      <c r="C54" t="str">
        <f>VLOOKUP(A54,[2]Tabelle1!$A$1:$B$68,2,FALSE)</f>
        <v>Braunschweig  Stadt</v>
      </c>
      <c r="D54" t="s">
        <v>3</v>
      </c>
      <c r="E54" t="s">
        <v>4</v>
      </c>
      <c r="F54" t="str">
        <f>VLOOKUP(A54,[1]Kreise!$A$1:$C$53,3,FALSE)</f>
        <v>K03101</v>
      </c>
      <c r="G54">
        <v>44</v>
      </c>
    </row>
    <row r="55" spans="1:7" x14ac:dyDescent="0.25">
      <c r="A55">
        <v>102</v>
      </c>
      <c r="B55">
        <v>2005</v>
      </c>
      <c r="C55" t="str">
        <f>VLOOKUP(A55,[2]Tabelle1!$A$1:$B$68,2,FALSE)</f>
        <v>Salzgitter  Stadt</v>
      </c>
      <c r="D55" t="s">
        <v>3</v>
      </c>
      <c r="E55" t="s">
        <v>4</v>
      </c>
      <c r="F55" t="str">
        <f>VLOOKUP(A55,[1]Kreise!$A$1:$C$53,3,FALSE)</f>
        <v>K03102</v>
      </c>
      <c r="G55">
        <v>30</v>
      </c>
    </row>
    <row r="56" spans="1:7" x14ac:dyDescent="0.25">
      <c r="A56">
        <v>103</v>
      </c>
      <c r="B56">
        <v>2005</v>
      </c>
      <c r="C56" t="str">
        <f>VLOOKUP(A56,[2]Tabelle1!$A$1:$B$68,2,FALSE)</f>
        <v>Wolfsburg  Stadt</v>
      </c>
      <c r="D56" t="s">
        <v>3</v>
      </c>
      <c r="E56" t="s">
        <v>4</v>
      </c>
      <c r="F56" t="str">
        <f>VLOOKUP(A56,[1]Kreise!$A$1:$C$53,3,FALSE)</f>
        <v>K03103</v>
      </c>
      <c r="G56">
        <v>36</v>
      </c>
    </row>
    <row r="57" spans="1:7" x14ac:dyDescent="0.25">
      <c r="A57">
        <v>151</v>
      </c>
      <c r="B57">
        <v>2005</v>
      </c>
      <c r="C57" t="str">
        <f>VLOOKUP(A57,[2]Tabelle1!$A$1:$B$68,2,FALSE)</f>
        <v>Gifhorn</v>
      </c>
      <c r="D57" t="s">
        <v>3</v>
      </c>
      <c r="E57" t="s">
        <v>4</v>
      </c>
      <c r="F57" t="str">
        <f>VLOOKUP(A57,[1]Kreise!$A$1:$C$53,3,FALSE)</f>
        <v>K03151</v>
      </c>
      <c r="G57">
        <v>34</v>
      </c>
    </row>
    <row r="58" spans="1:7" x14ac:dyDescent="0.25">
      <c r="A58">
        <v>153</v>
      </c>
      <c r="B58">
        <v>2005</v>
      </c>
      <c r="C58" t="str">
        <f>VLOOKUP(A58,[2]Tabelle1!$A$1:$B$68,2,FALSE)</f>
        <v>Goslar</v>
      </c>
      <c r="D58" t="s">
        <v>3</v>
      </c>
      <c r="E58" t="s">
        <v>4</v>
      </c>
      <c r="F58" t="str">
        <f>VLOOKUP(A58,[1]Kreise!$A$1:$C$53,3,FALSE)</f>
        <v>K03153</v>
      </c>
      <c r="G58">
        <v>33</v>
      </c>
    </row>
    <row r="59" spans="1:7" x14ac:dyDescent="0.25">
      <c r="A59">
        <v>154</v>
      </c>
      <c r="B59">
        <v>2005</v>
      </c>
      <c r="C59" t="str">
        <f>VLOOKUP(A59,[2]Tabelle1!$A$1:$B$68,2,FALSE)</f>
        <v>Helmstedt</v>
      </c>
      <c r="D59" t="s">
        <v>3</v>
      </c>
      <c r="E59" t="s">
        <v>4</v>
      </c>
      <c r="F59" t="str">
        <f>VLOOKUP(A59,[1]Kreise!$A$1:$C$53,3,FALSE)</f>
        <v>K03154</v>
      </c>
      <c r="G59">
        <v>6</v>
      </c>
    </row>
    <row r="60" spans="1:7" x14ac:dyDescent="0.25">
      <c r="A60">
        <v>155</v>
      </c>
      <c r="B60">
        <v>2005</v>
      </c>
      <c r="C60" t="str">
        <f>VLOOKUP(A60,[2]Tabelle1!$A$1:$B$68,2,FALSE)</f>
        <v>Northeim</v>
      </c>
      <c r="D60" t="s">
        <v>3</v>
      </c>
      <c r="E60" t="s">
        <v>4</v>
      </c>
      <c r="F60" t="str">
        <f>VLOOKUP(A60,[1]Kreise!$A$1:$C$53,3,FALSE)</f>
        <v>K03155</v>
      </c>
      <c r="G60">
        <v>23</v>
      </c>
    </row>
    <row r="61" spans="1:7" x14ac:dyDescent="0.25">
      <c r="A61">
        <v>157</v>
      </c>
      <c r="B61">
        <v>2005</v>
      </c>
      <c r="C61" t="str">
        <f>VLOOKUP(A61,[2]Tabelle1!$A$1:$B$68,2,FALSE)</f>
        <v>Peine</v>
      </c>
      <c r="D61" t="s">
        <v>3</v>
      </c>
      <c r="E61" t="s">
        <v>4</v>
      </c>
      <c r="F61" t="str">
        <f>VLOOKUP(A61,[1]Kreise!$A$1:$C$53,3,FALSE)</f>
        <v>K03157</v>
      </c>
      <c r="G61">
        <v>28</v>
      </c>
    </row>
    <row r="62" spans="1:7" x14ac:dyDescent="0.25">
      <c r="A62">
        <v>158</v>
      </c>
      <c r="B62">
        <v>2005</v>
      </c>
      <c r="C62" t="str">
        <f>VLOOKUP(A62,[2]Tabelle1!$A$1:$B$68,2,FALSE)</f>
        <v>Wolfenbüttel</v>
      </c>
      <c r="D62" t="s">
        <v>3</v>
      </c>
      <c r="E62" t="s">
        <v>4</v>
      </c>
      <c r="F62" t="str">
        <f>VLOOKUP(A62,[1]Kreise!$A$1:$C$53,3,FALSE)</f>
        <v>K03158</v>
      </c>
      <c r="G62">
        <v>10</v>
      </c>
    </row>
    <row r="63" spans="1:7" x14ac:dyDescent="0.25">
      <c r="A63">
        <v>159</v>
      </c>
      <c r="B63">
        <v>2005</v>
      </c>
      <c r="C63" t="str">
        <f>VLOOKUP(A63,[2]Tabelle1!$A$1:$B$68,2,FALSE)</f>
        <v>Göttingen</v>
      </c>
      <c r="D63" t="s">
        <v>3</v>
      </c>
      <c r="E63" t="s">
        <v>4</v>
      </c>
      <c r="F63" t="str">
        <f>VLOOKUP(A63,[1]Kreise!$A$1:$C$53,3,FALSE)</f>
        <v>K03159</v>
      </c>
      <c r="G63">
        <v>72</v>
      </c>
    </row>
    <row r="64" spans="1:7" x14ac:dyDescent="0.25">
      <c r="A64">
        <v>1</v>
      </c>
      <c r="B64">
        <v>2005</v>
      </c>
      <c r="C64" t="str">
        <f>VLOOKUP(A64,[2]Tabelle1!$A$1:$B$68,2,FALSE)</f>
        <v>Statistische Region Braunschweig</v>
      </c>
      <c r="D64" t="s">
        <v>3</v>
      </c>
      <c r="E64" t="s">
        <v>4</v>
      </c>
      <c r="F64" t="str">
        <f>VLOOKUP(A64,[1]Kreise!$A$1:$C$53,3,FALSE)</f>
        <v>K031</v>
      </c>
      <c r="G64">
        <v>316</v>
      </c>
    </row>
    <row r="65" spans="1:7" x14ac:dyDescent="0.25">
      <c r="A65">
        <v>241</v>
      </c>
      <c r="B65">
        <v>2005</v>
      </c>
      <c r="C65" t="str">
        <f>VLOOKUP(A65,[2]Tabelle1!$A$1:$B$68,2,FALSE)</f>
        <v>Hannover  Region</v>
      </c>
      <c r="D65" t="s">
        <v>3</v>
      </c>
      <c r="E65" t="s">
        <v>4</v>
      </c>
      <c r="F65" t="str">
        <f>VLOOKUP(A65,[1]Kreise!$A$1:$C$53,3,FALSE)</f>
        <v>K03241</v>
      </c>
      <c r="G65">
        <v>311</v>
      </c>
    </row>
    <row r="66" spans="1:7" x14ac:dyDescent="0.25">
      <c r="A66">
        <v>241001</v>
      </c>
      <c r="B66">
        <v>2005</v>
      </c>
      <c r="C66" t="str">
        <f>VLOOKUP(A66,[2]Tabelle1!$A$1:$B$68,2,FALSE)</f>
        <v>dav. Hannover  Lhst.</v>
      </c>
      <c r="D66" t="s">
        <v>3</v>
      </c>
      <c r="E66" t="s">
        <v>4</v>
      </c>
      <c r="F66" t="str">
        <f>VLOOKUP(A66,[1]Kreise!$A$1:$C$53,3,FALSE)</f>
        <v>K03241001</v>
      </c>
      <c r="G66">
        <v>182</v>
      </c>
    </row>
    <row r="67" spans="1:7" x14ac:dyDescent="0.25">
      <c r="A67">
        <v>241999</v>
      </c>
      <c r="B67">
        <v>2005</v>
      </c>
      <c r="C67" t="str">
        <f>VLOOKUP(A67,[2]Tabelle1!$A$1:$B$68,2,FALSE)</f>
        <v>dav. Hannover  Umland</v>
      </c>
      <c r="D67" t="s">
        <v>3</v>
      </c>
      <c r="E67" t="s">
        <v>4</v>
      </c>
      <c r="F67" t="str">
        <f>VLOOKUP(A67,[1]Kreise!$A$1:$C$53,3,FALSE)</f>
        <v>K03241999</v>
      </c>
      <c r="G67">
        <v>129</v>
      </c>
    </row>
    <row r="68" spans="1:7" x14ac:dyDescent="0.25">
      <c r="A68">
        <v>251</v>
      </c>
      <c r="B68">
        <v>2005</v>
      </c>
      <c r="C68" t="str">
        <f>VLOOKUP(A68,[2]Tabelle1!$A$1:$B$68,2,FALSE)</f>
        <v>Diepholz</v>
      </c>
      <c r="D68" t="s">
        <v>3</v>
      </c>
      <c r="E68" t="s">
        <v>4</v>
      </c>
      <c r="F68" t="str">
        <f>VLOOKUP(A68,[1]Kreise!$A$1:$C$53,3,FALSE)</f>
        <v>K03251</v>
      </c>
      <c r="G68">
        <v>30</v>
      </c>
    </row>
    <row r="69" spans="1:7" x14ac:dyDescent="0.25">
      <c r="A69">
        <v>252</v>
      </c>
      <c r="B69">
        <v>2005</v>
      </c>
      <c r="C69" t="str">
        <f>VLOOKUP(A69,[2]Tabelle1!$A$1:$B$68,2,FALSE)</f>
        <v>Hameln-Pyrmont</v>
      </c>
      <c r="D69" t="s">
        <v>3</v>
      </c>
      <c r="E69" t="s">
        <v>4</v>
      </c>
      <c r="F69" t="str">
        <f>VLOOKUP(A69,[1]Kreise!$A$1:$C$53,3,FALSE)</f>
        <v>K03252</v>
      </c>
      <c r="G69">
        <v>47</v>
      </c>
    </row>
    <row r="70" spans="1:7" x14ac:dyDescent="0.25">
      <c r="A70">
        <v>254</v>
      </c>
      <c r="B70">
        <v>2005</v>
      </c>
      <c r="C70" t="str">
        <f>VLOOKUP(A70,[2]Tabelle1!$A$1:$B$68,2,FALSE)</f>
        <v>Hildesheim</v>
      </c>
      <c r="D70" t="s">
        <v>3</v>
      </c>
      <c r="E70" t="s">
        <v>4</v>
      </c>
      <c r="F70" t="str">
        <f>VLOOKUP(A70,[1]Kreise!$A$1:$C$53,3,FALSE)</f>
        <v>K03254</v>
      </c>
      <c r="G70">
        <v>82</v>
      </c>
    </row>
    <row r="71" spans="1:7" x14ac:dyDescent="0.25">
      <c r="A71">
        <v>255</v>
      </c>
      <c r="B71">
        <v>2005</v>
      </c>
      <c r="C71" t="str">
        <f>VLOOKUP(A71,[2]Tabelle1!$A$1:$B$68,2,FALSE)</f>
        <v>Holzminden</v>
      </c>
      <c r="D71" t="s">
        <v>3</v>
      </c>
      <c r="E71" t="s">
        <v>4</v>
      </c>
      <c r="F71" t="str">
        <f>VLOOKUP(A71,[1]Kreise!$A$1:$C$53,3,FALSE)</f>
        <v>K03255</v>
      </c>
      <c r="G71">
        <v>6</v>
      </c>
    </row>
    <row r="72" spans="1:7" x14ac:dyDescent="0.25">
      <c r="A72">
        <v>256</v>
      </c>
      <c r="B72">
        <v>2005</v>
      </c>
      <c r="C72" t="str">
        <f>VLOOKUP(A72,[2]Tabelle1!$A$1:$B$68,2,FALSE)</f>
        <v>Nienburg (Weser)</v>
      </c>
      <c r="D72" t="s">
        <v>3</v>
      </c>
      <c r="E72" t="s">
        <v>4</v>
      </c>
      <c r="F72" t="str">
        <f>VLOOKUP(A72,[1]Kreise!$A$1:$C$53,3,FALSE)</f>
        <v>K03256</v>
      </c>
      <c r="G72">
        <v>34</v>
      </c>
    </row>
    <row r="73" spans="1:7" x14ac:dyDescent="0.25">
      <c r="A73">
        <v>257</v>
      </c>
      <c r="B73">
        <v>2005</v>
      </c>
      <c r="C73" t="str">
        <f>VLOOKUP(A73,[2]Tabelle1!$A$1:$B$68,2,FALSE)</f>
        <v>Schaumburg</v>
      </c>
      <c r="D73" t="s">
        <v>3</v>
      </c>
      <c r="E73" t="s">
        <v>4</v>
      </c>
      <c r="F73" t="str">
        <f>VLOOKUP(A73,[1]Kreise!$A$1:$C$53,3,FALSE)</f>
        <v>K03257</v>
      </c>
      <c r="G73">
        <v>23</v>
      </c>
    </row>
    <row r="74" spans="1:7" x14ac:dyDescent="0.25">
      <c r="A74">
        <v>2</v>
      </c>
      <c r="B74">
        <v>2005</v>
      </c>
      <c r="C74" t="str">
        <f>VLOOKUP(A74,[2]Tabelle1!$A$1:$B$68,2,FALSE)</f>
        <v>Statistische Region Hannover</v>
      </c>
      <c r="D74" t="s">
        <v>3</v>
      </c>
      <c r="E74" t="s">
        <v>4</v>
      </c>
      <c r="F74" t="str">
        <f>VLOOKUP(A74,[1]Kreise!$A$1:$C$53,3,FALSE)</f>
        <v>K032</v>
      </c>
      <c r="G74">
        <v>533</v>
      </c>
    </row>
    <row r="75" spans="1:7" x14ac:dyDescent="0.25">
      <c r="A75">
        <v>351</v>
      </c>
      <c r="B75">
        <v>2005</v>
      </c>
      <c r="C75" t="str">
        <f>VLOOKUP(A75,[2]Tabelle1!$A$1:$B$68,2,FALSE)</f>
        <v>Celle</v>
      </c>
      <c r="D75" t="s">
        <v>3</v>
      </c>
      <c r="E75" t="s">
        <v>4</v>
      </c>
      <c r="F75" t="str">
        <f>VLOOKUP(A75,[1]Kreise!$A$1:$C$53,3,FALSE)</f>
        <v>K03351</v>
      </c>
      <c r="G75">
        <v>50</v>
      </c>
    </row>
    <row r="76" spans="1:7" x14ac:dyDescent="0.25">
      <c r="A76">
        <v>352</v>
      </c>
      <c r="B76">
        <v>2005</v>
      </c>
      <c r="C76" t="str">
        <f>VLOOKUP(A76,[2]Tabelle1!$A$1:$B$68,2,FALSE)</f>
        <v>Cuxhaven</v>
      </c>
      <c r="D76" t="s">
        <v>3</v>
      </c>
      <c r="E76" t="s">
        <v>4</v>
      </c>
      <c r="F76" t="str">
        <f>VLOOKUP(A76,[1]Kreise!$A$1:$C$53,3,FALSE)</f>
        <v>K03352</v>
      </c>
      <c r="G76">
        <v>42</v>
      </c>
    </row>
    <row r="77" spans="1:7" x14ac:dyDescent="0.25">
      <c r="A77">
        <v>353</v>
      </c>
      <c r="B77">
        <v>2005</v>
      </c>
      <c r="C77" t="str">
        <f>VLOOKUP(A77,[2]Tabelle1!$A$1:$B$68,2,FALSE)</f>
        <v>Harburg</v>
      </c>
      <c r="D77" t="s">
        <v>3</v>
      </c>
      <c r="E77" t="s">
        <v>4</v>
      </c>
      <c r="F77" t="str">
        <f>VLOOKUP(A77,[1]Kreise!$A$1:$C$53,3,FALSE)</f>
        <v>K03353</v>
      </c>
      <c r="G77">
        <v>41</v>
      </c>
    </row>
    <row r="78" spans="1:7" x14ac:dyDescent="0.25">
      <c r="A78">
        <v>354</v>
      </c>
      <c r="B78">
        <v>2005</v>
      </c>
      <c r="C78" t="str">
        <f>VLOOKUP(A78,[2]Tabelle1!$A$1:$B$68,2,FALSE)</f>
        <v>Lüchow-Dannenberg</v>
      </c>
      <c r="D78" t="s">
        <v>3</v>
      </c>
      <c r="E78" t="s">
        <v>4</v>
      </c>
      <c r="F78" t="str">
        <f>VLOOKUP(A78,[1]Kreise!$A$1:$C$53,3,FALSE)</f>
        <v>K03354</v>
      </c>
      <c r="G78">
        <v>8</v>
      </c>
    </row>
    <row r="79" spans="1:7" x14ac:dyDescent="0.25">
      <c r="A79">
        <v>355</v>
      </c>
      <c r="B79">
        <v>2005</v>
      </c>
      <c r="C79" t="str">
        <f>VLOOKUP(A79,[2]Tabelle1!$A$1:$B$68,2,FALSE)</f>
        <v>Lüneburg</v>
      </c>
      <c r="D79" t="s">
        <v>3</v>
      </c>
      <c r="E79" t="s">
        <v>4</v>
      </c>
      <c r="F79" t="str">
        <f>VLOOKUP(A79,[1]Kreise!$A$1:$C$53,3,FALSE)</f>
        <v>K03355</v>
      </c>
      <c r="G79">
        <v>22</v>
      </c>
    </row>
    <row r="80" spans="1:7" x14ac:dyDescent="0.25">
      <c r="A80">
        <v>356</v>
      </c>
      <c r="B80">
        <v>2005</v>
      </c>
      <c r="C80" t="str">
        <f>VLOOKUP(A80,[2]Tabelle1!$A$1:$B$68,2,FALSE)</f>
        <v>Osterholz</v>
      </c>
      <c r="D80" t="s">
        <v>3</v>
      </c>
      <c r="E80" t="s">
        <v>4</v>
      </c>
      <c r="F80" t="str">
        <f>VLOOKUP(A80,[1]Kreise!$A$1:$C$53,3,FALSE)</f>
        <v>K03356</v>
      </c>
      <c r="G80">
        <v>21</v>
      </c>
    </row>
    <row r="81" spans="1:7" x14ac:dyDescent="0.25">
      <c r="A81">
        <v>357</v>
      </c>
      <c r="B81">
        <v>2005</v>
      </c>
      <c r="C81" t="str">
        <f>VLOOKUP(A81,[2]Tabelle1!$A$1:$B$68,2,FALSE)</f>
        <v>Rotenburg (Wümme)</v>
      </c>
      <c r="D81" t="s">
        <v>3</v>
      </c>
      <c r="E81" t="s">
        <v>4</v>
      </c>
      <c r="F81" t="str">
        <f>VLOOKUP(A81,[1]Kreise!$A$1:$C$53,3,FALSE)</f>
        <v>K03357</v>
      </c>
      <c r="G81">
        <v>18</v>
      </c>
    </row>
    <row r="82" spans="1:7" x14ac:dyDescent="0.25">
      <c r="A82">
        <v>358</v>
      </c>
      <c r="B82">
        <v>2005</v>
      </c>
      <c r="C82" t="str">
        <f>VLOOKUP(A82,[2]Tabelle1!$A$1:$B$68,2,FALSE)</f>
        <v>Heidekreis</v>
      </c>
      <c r="D82" t="s">
        <v>3</v>
      </c>
      <c r="E82" t="s">
        <v>4</v>
      </c>
      <c r="F82" t="str">
        <f>VLOOKUP(A82,[1]Kreise!$A$1:$C$53,3,FALSE)</f>
        <v>K03358</v>
      </c>
      <c r="G82">
        <v>33</v>
      </c>
    </row>
    <row r="83" spans="1:7" x14ac:dyDescent="0.25">
      <c r="A83">
        <v>359</v>
      </c>
      <c r="B83">
        <v>2005</v>
      </c>
      <c r="C83" t="str">
        <f>VLOOKUP(A83,[2]Tabelle1!$A$1:$B$68,2,FALSE)</f>
        <v>Stade</v>
      </c>
      <c r="D83" t="s">
        <v>3</v>
      </c>
      <c r="E83" t="s">
        <v>4</v>
      </c>
      <c r="F83" t="str">
        <f>VLOOKUP(A83,[1]Kreise!$A$1:$C$53,3,FALSE)</f>
        <v>K03359</v>
      </c>
      <c r="G83">
        <v>28</v>
      </c>
    </row>
    <row r="84" spans="1:7" x14ac:dyDescent="0.25">
      <c r="A84">
        <v>360</v>
      </c>
      <c r="B84">
        <v>2005</v>
      </c>
      <c r="C84" t="str">
        <f>VLOOKUP(A84,[2]Tabelle1!$A$1:$B$68,2,FALSE)</f>
        <v>Uelzen</v>
      </c>
      <c r="D84" t="s">
        <v>3</v>
      </c>
      <c r="E84" t="s">
        <v>4</v>
      </c>
      <c r="F84" t="str">
        <f>VLOOKUP(A84,[1]Kreise!$A$1:$C$53,3,FALSE)</f>
        <v>K03360</v>
      </c>
      <c r="G84">
        <v>19</v>
      </c>
    </row>
    <row r="85" spans="1:7" x14ac:dyDescent="0.25">
      <c r="A85">
        <v>361</v>
      </c>
      <c r="B85">
        <v>2005</v>
      </c>
      <c r="C85" t="str">
        <f>VLOOKUP(A85,[2]Tabelle1!$A$1:$B$68,2,FALSE)</f>
        <v>Verden</v>
      </c>
      <c r="D85" t="s">
        <v>3</v>
      </c>
      <c r="E85" t="s">
        <v>4</v>
      </c>
      <c r="F85" t="str">
        <f>VLOOKUP(A85,[1]Kreise!$A$1:$C$53,3,FALSE)</f>
        <v>K03361</v>
      </c>
      <c r="G85">
        <v>47</v>
      </c>
    </row>
    <row r="86" spans="1:7" x14ac:dyDescent="0.25">
      <c r="A86">
        <v>3</v>
      </c>
      <c r="B86">
        <v>2005</v>
      </c>
      <c r="C86" t="str">
        <f>VLOOKUP(A86,[2]Tabelle1!$A$1:$B$68,2,FALSE)</f>
        <v>Statistische Region Lüneburg</v>
      </c>
      <c r="D86" t="s">
        <v>3</v>
      </c>
      <c r="E86" t="s">
        <v>4</v>
      </c>
      <c r="F86" t="str">
        <f>VLOOKUP(A86,[1]Kreise!$A$1:$C$53,3,FALSE)</f>
        <v>K033</v>
      </c>
      <c r="G86">
        <v>329</v>
      </c>
    </row>
    <row r="87" spans="1:7" x14ac:dyDescent="0.25">
      <c r="A87">
        <v>401</v>
      </c>
      <c r="B87">
        <v>2005</v>
      </c>
      <c r="C87" t="str">
        <f>VLOOKUP(A87,[2]Tabelle1!$A$1:$B$68,2,FALSE)</f>
        <v>Delmenhorst  Stadt</v>
      </c>
      <c r="D87" t="s">
        <v>3</v>
      </c>
      <c r="E87" t="s">
        <v>4</v>
      </c>
      <c r="F87" t="str">
        <f>VLOOKUP(A87,[1]Kreise!$A$1:$C$53,3,FALSE)</f>
        <v>K03401</v>
      </c>
      <c r="G87">
        <v>34</v>
      </c>
    </row>
    <row r="88" spans="1:7" x14ac:dyDescent="0.25">
      <c r="A88">
        <v>402</v>
      </c>
      <c r="B88">
        <v>2005</v>
      </c>
      <c r="C88" t="str">
        <f>VLOOKUP(A88,[2]Tabelle1!$A$1:$B$68,2,FALSE)</f>
        <v>Emden  Stadt</v>
      </c>
      <c r="D88" t="s">
        <v>3</v>
      </c>
      <c r="E88" t="s">
        <v>4</v>
      </c>
      <c r="F88" t="str">
        <f>VLOOKUP(A88,[1]Kreise!$A$1:$C$53,3,FALSE)</f>
        <v>K03402</v>
      </c>
      <c r="G88">
        <v>20</v>
      </c>
    </row>
    <row r="89" spans="1:7" x14ac:dyDescent="0.25">
      <c r="A89">
        <v>403</v>
      </c>
      <c r="B89">
        <v>2005</v>
      </c>
      <c r="C89" t="str">
        <f>VLOOKUP(A89,[2]Tabelle1!$A$1:$B$68,2,FALSE)</f>
        <v>Oldenburg(Oldb)  Stadt</v>
      </c>
      <c r="D89" t="s">
        <v>3</v>
      </c>
      <c r="E89" t="s">
        <v>4</v>
      </c>
      <c r="F89" t="str">
        <f>VLOOKUP(A89,[1]Kreise!$A$1:$C$53,3,FALSE)</f>
        <v>K03403</v>
      </c>
      <c r="G89">
        <v>26</v>
      </c>
    </row>
    <row r="90" spans="1:7" x14ac:dyDescent="0.25">
      <c r="A90">
        <v>404</v>
      </c>
      <c r="B90">
        <v>2005</v>
      </c>
      <c r="C90" t="str">
        <f>VLOOKUP(A90,[2]Tabelle1!$A$1:$B$68,2,FALSE)</f>
        <v>Osnabrück  Stadt</v>
      </c>
      <c r="D90" t="s">
        <v>3</v>
      </c>
      <c r="E90" t="s">
        <v>4</v>
      </c>
      <c r="F90" t="str">
        <f>VLOOKUP(A90,[1]Kreise!$A$1:$C$53,3,FALSE)</f>
        <v>K03404</v>
      </c>
      <c r="G90">
        <v>36</v>
      </c>
    </row>
    <row r="91" spans="1:7" x14ac:dyDescent="0.25">
      <c r="A91">
        <v>405</v>
      </c>
      <c r="B91">
        <v>2005</v>
      </c>
      <c r="C91" t="str">
        <f>VLOOKUP(A91,[2]Tabelle1!$A$1:$B$68,2,FALSE)</f>
        <v>Wilhelmshaven  Stadt</v>
      </c>
      <c r="D91" t="s">
        <v>3</v>
      </c>
      <c r="E91" t="s">
        <v>4</v>
      </c>
      <c r="F91" t="str">
        <f>VLOOKUP(A91,[1]Kreise!$A$1:$C$53,3,FALSE)</f>
        <v>K03405</v>
      </c>
      <c r="G91">
        <v>20</v>
      </c>
    </row>
    <row r="92" spans="1:7" x14ac:dyDescent="0.25">
      <c r="A92">
        <v>451</v>
      </c>
      <c r="B92">
        <v>2005</v>
      </c>
      <c r="C92" t="str">
        <f>VLOOKUP(A92,[2]Tabelle1!$A$1:$B$68,2,FALSE)</f>
        <v>Ammerland</v>
      </c>
      <c r="D92" t="s">
        <v>3</v>
      </c>
      <c r="E92" t="s">
        <v>4</v>
      </c>
      <c r="F92" t="str">
        <f>VLOOKUP(A92,[1]Kreise!$A$1:$C$53,3,FALSE)</f>
        <v>K03451</v>
      </c>
      <c r="G92">
        <v>15</v>
      </c>
    </row>
    <row r="93" spans="1:7" x14ac:dyDescent="0.25">
      <c r="A93">
        <v>452</v>
      </c>
      <c r="B93">
        <v>2005</v>
      </c>
      <c r="C93" t="str">
        <f>VLOOKUP(A93,[2]Tabelle1!$A$1:$B$68,2,FALSE)</f>
        <v>Aurich</v>
      </c>
      <c r="D93" t="s">
        <v>3</v>
      </c>
      <c r="E93" t="s">
        <v>4</v>
      </c>
      <c r="F93" t="str">
        <f>VLOOKUP(A93,[1]Kreise!$A$1:$C$53,3,FALSE)</f>
        <v>K03452</v>
      </c>
      <c r="G93">
        <v>24</v>
      </c>
    </row>
    <row r="94" spans="1:7" x14ac:dyDescent="0.25">
      <c r="A94">
        <v>453</v>
      </c>
      <c r="B94">
        <v>2005</v>
      </c>
      <c r="C94" t="str">
        <f>VLOOKUP(A94,[2]Tabelle1!$A$1:$B$68,2,FALSE)</f>
        <v>Cloppenburg</v>
      </c>
      <c r="D94" t="s">
        <v>3</v>
      </c>
      <c r="E94" t="s">
        <v>4</v>
      </c>
      <c r="F94" t="str">
        <f>VLOOKUP(A94,[1]Kreise!$A$1:$C$53,3,FALSE)</f>
        <v>K03453</v>
      </c>
      <c r="G94">
        <v>24</v>
      </c>
    </row>
    <row r="95" spans="1:7" x14ac:dyDescent="0.25">
      <c r="A95">
        <v>454</v>
      </c>
      <c r="B95">
        <v>2005</v>
      </c>
      <c r="C95" t="str">
        <f>VLOOKUP(A95,[2]Tabelle1!$A$1:$B$68,2,FALSE)</f>
        <v>Emsland</v>
      </c>
      <c r="D95" t="s">
        <v>3</v>
      </c>
      <c r="E95" t="s">
        <v>4</v>
      </c>
      <c r="F95" t="str">
        <f>VLOOKUP(A95,[1]Kreise!$A$1:$C$53,3,FALSE)</f>
        <v>K03454</v>
      </c>
      <c r="G95">
        <v>38</v>
      </c>
    </row>
    <row r="96" spans="1:7" x14ac:dyDescent="0.25">
      <c r="A96">
        <v>455</v>
      </c>
      <c r="B96">
        <v>2005</v>
      </c>
      <c r="C96" t="str">
        <f>VLOOKUP(A96,[2]Tabelle1!$A$1:$B$68,2,FALSE)</f>
        <v>Friesland</v>
      </c>
      <c r="D96" t="s">
        <v>3</v>
      </c>
      <c r="E96" t="s">
        <v>4</v>
      </c>
      <c r="F96" t="str">
        <f>VLOOKUP(A96,[1]Kreise!$A$1:$C$53,3,FALSE)</f>
        <v>K03455</v>
      </c>
      <c r="G96">
        <v>11</v>
      </c>
    </row>
    <row r="97" spans="1:7" x14ac:dyDescent="0.25">
      <c r="A97">
        <v>456</v>
      </c>
      <c r="B97">
        <v>2005</v>
      </c>
      <c r="C97" t="str">
        <f>VLOOKUP(A97,[2]Tabelle1!$A$1:$B$68,2,FALSE)</f>
        <v>Grafschaft Bentheim</v>
      </c>
      <c r="D97" t="s">
        <v>3</v>
      </c>
      <c r="E97" t="s">
        <v>4</v>
      </c>
      <c r="F97" t="str">
        <f>VLOOKUP(A97,[1]Kreise!$A$1:$C$53,3,FALSE)</f>
        <v>K03456</v>
      </c>
      <c r="G97">
        <v>28</v>
      </c>
    </row>
    <row r="98" spans="1:7" x14ac:dyDescent="0.25">
      <c r="A98">
        <v>457</v>
      </c>
      <c r="B98">
        <v>2005</v>
      </c>
      <c r="C98" t="str">
        <f>VLOOKUP(A98,[2]Tabelle1!$A$1:$B$68,2,FALSE)</f>
        <v>Leer</v>
      </c>
      <c r="D98" t="s">
        <v>3</v>
      </c>
      <c r="E98" t="s">
        <v>4</v>
      </c>
      <c r="F98" t="str">
        <f>VLOOKUP(A98,[1]Kreise!$A$1:$C$53,3,FALSE)</f>
        <v>K03457</v>
      </c>
      <c r="G98">
        <v>23</v>
      </c>
    </row>
    <row r="99" spans="1:7" x14ac:dyDescent="0.25">
      <c r="A99">
        <v>458</v>
      </c>
      <c r="B99">
        <v>2005</v>
      </c>
      <c r="C99" t="str">
        <f>VLOOKUP(A99,[2]Tabelle1!$A$1:$B$68,2,FALSE)</f>
        <v>Oldenburg</v>
      </c>
      <c r="D99" t="s">
        <v>3</v>
      </c>
      <c r="E99" t="s">
        <v>4</v>
      </c>
      <c r="F99" t="str">
        <f>VLOOKUP(A99,[1]Kreise!$A$1:$C$53,3,FALSE)</f>
        <v>K03458</v>
      </c>
      <c r="G99">
        <v>15</v>
      </c>
    </row>
    <row r="100" spans="1:7" x14ac:dyDescent="0.25">
      <c r="A100">
        <v>459</v>
      </c>
      <c r="B100">
        <v>2005</v>
      </c>
      <c r="C100" t="str">
        <f>VLOOKUP(A100,[2]Tabelle1!$A$1:$B$68,2,FALSE)</f>
        <v>Osnabrück</v>
      </c>
      <c r="D100" t="s">
        <v>3</v>
      </c>
      <c r="E100" t="s">
        <v>4</v>
      </c>
      <c r="F100" t="str">
        <f>VLOOKUP(A100,[1]Kreise!$A$1:$C$53,3,FALSE)</f>
        <v>K03459</v>
      </c>
      <c r="G100">
        <v>68</v>
      </c>
    </row>
    <row r="101" spans="1:7" x14ac:dyDescent="0.25">
      <c r="A101">
        <v>460</v>
      </c>
      <c r="B101">
        <v>2005</v>
      </c>
      <c r="C101" t="str">
        <f>VLOOKUP(A101,[2]Tabelle1!$A$1:$B$68,2,FALSE)</f>
        <v>Vechta</v>
      </c>
      <c r="D101" t="s">
        <v>3</v>
      </c>
      <c r="E101" t="s">
        <v>4</v>
      </c>
      <c r="F101" t="str">
        <f>VLOOKUP(A101,[1]Kreise!$A$1:$C$53,3,FALSE)</f>
        <v>K03460</v>
      </c>
      <c r="G101">
        <v>30</v>
      </c>
    </row>
    <row r="102" spans="1:7" x14ac:dyDescent="0.25">
      <c r="A102">
        <v>461</v>
      </c>
      <c r="B102">
        <v>2005</v>
      </c>
      <c r="C102" t="str">
        <f>VLOOKUP(A102,[2]Tabelle1!$A$1:$B$68,2,FALSE)</f>
        <v>Wesermarsch</v>
      </c>
      <c r="D102" t="s">
        <v>3</v>
      </c>
      <c r="E102" t="s">
        <v>4</v>
      </c>
      <c r="F102" t="str">
        <f>VLOOKUP(A102,[1]Kreise!$A$1:$C$53,3,FALSE)</f>
        <v>K03461</v>
      </c>
      <c r="G102">
        <v>10</v>
      </c>
    </row>
    <row r="103" spans="1:7" x14ac:dyDescent="0.25">
      <c r="A103">
        <v>462</v>
      </c>
      <c r="B103">
        <v>2005</v>
      </c>
      <c r="C103" t="str">
        <f>VLOOKUP(A103,[2]Tabelle1!$A$1:$B$68,2,FALSE)</f>
        <v>Wittmund</v>
      </c>
      <c r="D103" t="s">
        <v>3</v>
      </c>
      <c r="E103" t="s">
        <v>4</v>
      </c>
      <c r="F103" t="str">
        <f>VLOOKUP(A103,[1]Kreise!$A$1:$C$53,3,FALSE)</f>
        <v>K03462</v>
      </c>
      <c r="G103">
        <v>7</v>
      </c>
    </row>
    <row r="104" spans="1:7" x14ac:dyDescent="0.25">
      <c r="A104">
        <v>4</v>
      </c>
      <c r="B104">
        <v>2005</v>
      </c>
      <c r="C104" t="str">
        <f>VLOOKUP(A104,[2]Tabelle1!$A$1:$B$68,2,FALSE)</f>
        <v>Statistische Region Weser-Ems</v>
      </c>
      <c r="D104" t="s">
        <v>3</v>
      </c>
      <c r="E104" t="s">
        <v>4</v>
      </c>
      <c r="F104" t="str">
        <f>VLOOKUP(A104,[1]Kreise!$A$1:$C$53,3,FALSE)</f>
        <v>K034</v>
      </c>
      <c r="G104">
        <v>429</v>
      </c>
    </row>
    <row r="105" spans="1:7" x14ac:dyDescent="0.25">
      <c r="A105">
        <v>0</v>
      </c>
      <c r="B105">
        <v>2005</v>
      </c>
      <c r="C105" t="str">
        <f>VLOOKUP(A105,[2]Tabelle1!$A$1:$B$68,2,FALSE)</f>
        <v>Niedersachsen</v>
      </c>
      <c r="D105" t="s">
        <v>3</v>
      </c>
      <c r="E105" t="s">
        <v>4</v>
      </c>
      <c r="F105" t="str">
        <f>VLOOKUP(A105,[1]Kreise!$A$1:$C$53,3,FALSE)</f>
        <v>K030</v>
      </c>
      <c r="G105">
        <v>1607</v>
      </c>
    </row>
    <row r="106" spans="1:7" x14ac:dyDescent="0.25">
      <c r="A106">
        <v>101</v>
      </c>
      <c r="B106">
        <v>2011</v>
      </c>
      <c r="C106" t="str">
        <f>VLOOKUP(A106,[2]Tabelle1!$A$1:$B$68,2,FALSE)</f>
        <v>Braunschweig  Stadt</v>
      </c>
      <c r="D106" t="s">
        <v>2</v>
      </c>
      <c r="E106" t="s">
        <v>4</v>
      </c>
      <c r="F106" t="str">
        <f>VLOOKUP(A106,[1]Kreise!$A$1:$C$53,3,FALSE)</f>
        <v>K03101</v>
      </c>
      <c r="G106">
        <v>65</v>
      </c>
    </row>
    <row r="107" spans="1:7" x14ac:dyDescent="0.25">
      <c r="A107">
        <v>102</v>
      </c>
      <c r="B107">
        <v>2011</v>
      </c>
      <c r="C107" t="str">
        <f>VLOOKUP(A107,[2]Tabelle1!$A$1:$B$68,2,FALSE)</f>
        <v>Salzgitter  Stadt</v>
      </c>
      <c r="D107" t="s">
        <v>2</v>
      </c>
      <c r="E107" t="s">
        <v>4</v>
      </c>
      <c r="F107" t="str">
        <f>VLOOKUP(A107,[1]Kreise!$A$1:$C$53,3,FALSE)</f>
        <v>K03102</v>
      </c>
      <c r="G107">
        <v>21</v>
      </c>
    </row>
    <row r="108" spans="1:7" x14ac:dyDescent="0.25">
      <c r="A108">
        <v>103</v>
      </c>
      <c r="B108">
        <v>2011</v>
      </c>
      <c r="C108" t="str">
        <f>VLOOKUP(A108,[2]Tabelle1!$A$1:$B$68,2,FALSE)</f>
        <v>Wolfsburg  Stadt</v>
      </c>
      <c r="D108" t="s">
        <v>2</v>
      </c>
      <c r="E108" t="s">
        <v>4</v>
      </c>
      <c r="F108" t="str">
        <f>VLOOKUP(A108,[1]Kreise!$A$1:$C$53,3,FALSE)</f>
        <v>K03103</v>
      </c>
      <c r="G108">
        <v>46</v>
      </c>
    </row>
    <row r="109" spans="1:7" x14ac:dyDescent="0.25">
      <c r="A109">
        <v>151</v>
      </c>
      <c r="B109">
        <v>2011</v>
      </c>
      <c r="C109" t="str">
        <f>VLOOKUP(A109,[2]Tabelle1!$A$1:$B$68,2,FALSE)</f>
        <v>Gifhorn</v>
      </c>
      <c r="D109" t="s">
        <v>2</v>
      </c>
      <c r="E109" t="s">
        <v>4</v>
      </c>
      <c r="F109" t="str">
        <f>VLOOKUP(A109,[1]Kreise!$A$1:$C$53,3,FALSE)</f>
        <v>K03151</v>
      </c>
      <c r="G109">
        <v>47</v>
      </c>
    </row>
    <row r="110" spans="1:7" x14ac:dyDescent="0.25">
      <c r="A110">
        <v>153</v>
      </c>
      <c r="B110">
        <v>2011</v>
      </c>
      <c r="C110" t="str">
        <f>VLOOKUP(A110,[2]Tabelle1!$A$1:$B$68,2,FALSE)</f>
        <v>Goslar</v>
      </c>
      <c r="D110" t="s">
        <v>2</v>
      </c>
      <c r="E110" t="s">
        <v>4</v>
      </c>
      <c r="F110" t="str">
        <f>VLOOKUP(A110,[1]Kreise!$A$1:$C$53,3,FALSE)</f>
        <v>K03153</v>
      </c>
      <c r="G110">
        <v>40</v>
      </c>
    </row>
    <row r="111" spans="1:7" x14ac:dyDescent="0.25">
      <c r="A111">
        <v>154</v>
      </c>
      <c r="B111">
        <v>2011</v>
      </c>
      <c r="C111" t="str">
        <f>VLOOKUP(A111,[2]Tabelle1!$A$1:$B$68,2,FALSE)</f>
        <v>Helmstedt</v>
      </c>
      <c r="D111" t="s">
        <v>2</v>
      </c>
      <c r="E111" t="s">
        <v>4</v>
      </c>
      <c r="F111" t="str">
        <f>VLOOKUP(A111,[1]Kreise!$A$1:$C$53,3,FALSE)</f>
        <v>K03154</v>
      </c>
      <c r="G111">
        <v>19</v>
      </c>
    </row>
    <row r="112" spans="1:7" x14ac:dyDescent="0.25">
      <c r="A112">
        <v>155</v>
      </c>
      <c r="B112">
        <v>2011</v>
      </c>
      <c r="C112" t="str">
        <f>VLOOKUP(A112,[2]Tabelle1!$A$1:$B$68,2,FALSE)</f>
        <v>Northeim</v>
      </c>
      <c r="D112" t="s">
        <v>2</v>
      </c>
      <c r="E112" t="s">
        <v>4</v>
      </c>
      <c r="F112" t="str">
        <f>VLOOKUP(A112,[1]Kreise!$A$1:$C$53,3,FALSE)</f>
        <v>K03155</v>
      </c>
      <c r="G112">
        <v>25</v>
      </c>
    </row>
    <row r="113" spans="1:7" x14ac:dyDescent="0.25">
      <c r="A113">
        <v>157</v>
      </c>
      <c r="B113">
        <v>2011</v>
      </c>
      <c r="C113" t="str">
        <f>VLOOKUP(A113,[2]Tabelle1!$A$1:$B$68,2,FALSE)</f>
        <v>Peine</v>
      </c>
      <c r="D113" t="s">
        <v>2</v>
      </c>
      <c r="E113" t="s">
        <v>4</v>
      </c>
      <c r="F113" t="str">
        <f>VLOOKUP(A113,[1]Kreise!$A$1:$C$53,3,FALSE)</f>
        <v>K03157</v>
      </c>
      <c r="G113">
        <v>23</v>
      </c>
    </row>
    <row r="114" spans="1:7" x14ac:dyDescent="0.25">
      <c r="A114">
        <v>158</v>
      </c>
      <c r="B114">
        <v>2011</v>
      </c>
      <c r="C114" t="str">
        <f>VLOOKUP(A114,[2]Tabelle1!$A$1:$B$68,2,FALSE)</f>
        <v>Wolfenbüttel</v>
      </c>
      <c r="D114" t="s">
        <v>2</v>
      </c>
      <c r="E114" t="s">
        <v>4</v>
      </c>
      <c r="F114" t="str">
        <f>VLOOKUP(A114,[1]Kreise!$A$1:$C$53,3,FALSE)</f>
        <v>K03158</v>
      </c>
      <c r="G114">
        <v>30</v>
      </c>
    </row>
    <row r="115" spans="1:7" x14ac:dyDescent="0.25">
      <c r="A115">
        <v>159</v>
      </c>
      <c r="B115">
        <v>2011</v>
      </c>
      <c r="C115" t="str">
        <f>VLOOKUP(A115,[2]Tabelle1!$A$1:$B$68,2,FALSE)</f>
        <v>Göttingen</v>
      </c>
      <c r="D115" t="s">
        <v>2</v>
      </c>
      <c r="E115" t="s">
        <v>4</v>
      </c>
      <c r="F115" t="str">
        <f>VLOOKUP(A115,[1]Kreise!$A$1:$C$53,3,FALSE)</f>
        <v>K03159</v>
      </c>
      <c r="G115">
        <v>162</v>
      </c>
    </row>
    <row r="116" spans="1:7" x14ac:dyDescent="0.25">
      <c r="A116">
        <v>1</v>
      </c>
      <c r="B116">
        <v>2011</v>
      </c>
      <c r="C116" t="str">
        <f>VLOOKUP(A116,[2]Tabelle1!$A$1:$B$68,2,FALSE)</f>
        <v>Statistische Region Braunschweig</v>
      </c>
      <c r="D116" t="s">
        <v>2</v>
      </c>
      <c r="E116" t="s">
        <v>4</v>
      </c>
      <c r="F116" t="str">
        <f>VLOOKUP(A116,[1]Kreise!$A$1:$C$53,3,FALSE)</f>
        <v>K031</v>
      </c>
      <c r="G116">
        <v>389</v>
      </c>
    </row>
    <row r="117" spans="1:7" x14ac:dyDescent="0.25">
      <c r="A117">
        <v>241</v>
      </c>
      <c r="B117">
        <v>2011</v>
      </c>
      <c r="C117" t="str">
        <f>VLOOKUP(A117,[2]Tabelle1!$A$1:$B$68,2,FALSE)</f>
        <v>Hannover  Region</v>
      </c>
      <c r="D117" t="s">
        <v>2</v>
      </c>
      <c r="E117" t="s">
        <v>4</v>
      </c>
      <c r="F117" t="str">
        <f>VLOOKUP(A117,[1]Kreise!$A$1:$C$53,3,FALSE)</f>
        <v>K03241</v>
      </c>
      <c r="G117">
        <v>252</v>
      </c>
    </row>
    <row r="118" spans="1:7" x14ac:dyDescent="0.25">
      <c r="A118">
        <v>241001</v>
      </c>
      <c r="B118">
        <v>2011</v>
      </c>
      <c r="C118" t="str">
        <f>VLOOKUP(A118,[2]Tabelle1!$A$1:$B$68,2,FALSE)</f>
        <v>dav. Hannover  Lhst.</v>
      </c>
      <c r="D118" t="s">
        <v>2</v>
      </c>
      <c r="E118" t="s">
        <v>4</v>
      </c>
      <c r="F118" t="str">
        <f>VLOOKUP(A118,[1]Kreise!$A$1:$C$53,3,FALSE)</f>
        <v>K03241001</v>
      </c>
      <c r="G118">
        <v>126</v>
      </c>
    </row>
    <row r="119" spans="1:7" x14ac:dyDescent="0.25">
      <c r="A119">
        <v>241999</v>
      </c>
      <c r="B119">
        <v>2011</v>
      </c>
      <c r="C119" t="str">
        <f>VLOOKUP(A119,[2]Tabelle1!$A$1:$B$68,2,FALSE)</f>
        <v>dav. Hannover  Umland</v>
      </c>
      <c r="D119" t="s">
        <v>2</v>
      </c>
      <c r="E119" t="s">
        <v>4</v>
      </c>
      <c r="F119" t="str">
        <f>VLOOKUP(A119,[1]Kreise!$A$1:$C$53,3,FALSE)</f>
        <v>K03241999</v>
      </c>
      <c r="G119">
        <v>126</v>
      </c>
    </row>
    <row r="120" spans="1:7" x14ac:dyDescent="0.25">
      <c r="A120">
        <v>251</v>
      </c>
      <c r="B120">
        <v>2011</v>
      </c>
      <c r="C120" t="str">
        <f>VLOOKUP(A120,[2]Tabelle1!$A$1:$B$68,2,FALSE)</f>
        <v>Diepholz</v>
      </c>
      <c r="D120" t="s">
        <v>2</v>
      </c>
      <c r="E120" t="s">
        <v>4</v>
      </c>
      <c r="F120" t="str">
        <f>VLOOKUP(A120,[1]Kreise!$A$1:$C$53,3,FALSE)</f>
        <v>K03251</v>
      </c>
      <c r="G120">
        <v>54</v>
      </c>
    </row>
    <row r="121" spans="1:7" x14ac:dyDescent="0.25">
      <c r="A121">
        <v>252</v>
      </c>
      <c r="B121">
        <v>2011</v>
      </c>
      <c r="C121" t="str">
        <f>VLOOKUP(A121,[2]Tabelle1!$A$1:$B$68,2,FALSE)</f>
        <v>Hameln-Pyrmont</v>
      </c>
      <c r="D121" t="s">
        <v>2</v>
      </c>
      <c r="E121" t="s">
        <v>4</v>
      </c>
      <c r="F121" t="str">
        <f>VLOOKUP(A121,[1]Kreise!$A$1:$C$53,3,FALSE)</f>
        <v>K03252</v>
      </c>
      <c r="G121">
        <v>62</v>
      </c>
    </row>
    <row r="122" spans="1:7" x14ac:dyDescent="0.25">
      <c r="A122">
        <v>254</v>
      </c>
      <c r="B122">
        <v>2011</v>
      </c>
      <c r="C122" t="str">
        <f>VLOOKUP(A122,[2]Tabelle1!$A$1:$B$68,2,FALSE)</f>
        <v>Hildesheim</v>
      </c>
      <c r="D122" t="s">
        <v>2</v>
      </c>
      <c r="E122" t="s">
        <v>4</v>
      </c>
      <c r="F122" t="str">
        <f>VLOOKUP(A122,[1]Kreise!$A$1:$C$53,3,FALSE)</f>
        <v>K03254</v>
      </c>
      <c r="G122">
        <v>79</v>
      </c>
    </row>
    <row r="123" spans="1:7" x14ac:dyDescent="0.25">
      <c r="A123">
        <v>255</v>
      </c>
      <c r="B123">
        <v>2011</v>
      </c>
      <c r="C123" t="str">
        <f>VLOOKUP(A123,[2]Tabelle1!$A$1:$B$68,2,FALSE)</f>
        <v>Holzminden</v>
      </c>
      <c r="D123" t="s">
        <v>2</v>
      </c>
      <c r="E123" t="s">
        <v>4</v>
      </c>
      <c r="F123" t="str">
        <f>VLOOKUP(A123,[1]Kreise!$A$1:$C$53,3,FALSE)</f>
        <v>K03255</v>
      </c>
      <c r="G123">
        <v>11</v>
      </c>
    </row>
    <row r="124" spans="1:7" x14ac:dyDescent="0.25">
      <c r="A124">
        <v>256</v>
      </c>
      <c r="B124">
        <v>2011</v>
      </c>
      <c r="C124" t="str">
        <f>VLOOKUP(A124,[2]Tabelle1!$A$1:$B$68,2,FALSE)</f>
        <v>Nienburg (Weser)</v>
      </c>
      <c r="D124" t="s">
        <v>2</v>
      </c>
      <c r="E124" t="s">
        <v>4</v>
      </c>
      <c r="F124" t="str">
        <f>VLOOKUP(A124,[1]Kreise!$A$1:$C$53,3,FALSE)</f>
        <v>K03256</v>
      </c>
      <c r="G124">
        <v>23</v>
      </c>
    </row>
    <row r="125" spans="1:7" x14ac:dyDescent="0.25">
      <c r="A125">
        <v>257</v>
      </c>
      <c r="B125">
        <v>2011</v>
      </c>
      <c r="C125" t="str">
        <f>VLOOKUP(A125,[2]Tabelle1!$A$1:$B$68,2,FALSE)</f>
        <v>Schaumburg</v>
      </c>
      <c r="D125" t="s">
        <v>2</v>
      </c>
      <c r="E125" t="s">
        <v>4</v>
      </c>
      <c r="F125" t="str">
        <f>VLOOKUP(A125,[1]Kreise!$A$1:$C$53,3,FALSE)</f>
        <v>K03257</v>
      </c>
      <c r="G125">
        <v>38</v>
      </c>
    </row>
    <row r="126" spans="1:7" x14ac:dyDescent="0.25">
      <c r="A126">
        <v>2</v>
      </c>
      <c r="B126">
        <v>2011</v>
      </c>
      <c r="C126" t="str">
        <f>VLOOKUP(A126,[2]Tabelle1!$A$1:$B$68,2,FALSE)</f>
        <v>Statistische Region Hannover</v>
      </c>
      <c r="D126" t="s">
        <v>2</v>
      </c>
      <c r="E126" t="s">
        <v>4</v>
      </c>
      <c r="F126" t="str">
        <f>VLOOKUP(A126,[1]Kreise!$A$1:$C$53,3,FALSE)</f>
        <v>K032</v>
      </c>
      <c r="G126">
        <v>519</v>
      </c>
    </row>
    <row r="127" spans="1:7" x14ac:dyDescent="0.25">
      <c r="A127">
        <v>351</v>
      </c>
      <c r="B127">
        <v>2011</v>
      </c>
      <c r="C127" t="str">
        <f>VLOOKUP(A127,[2]Tabelle1!$A$1:$B$68,2,FALSE)</f>
        <v>Celle</v>
      </c>
      <c r="D127" t="s">
        <v>2</v>
      </c>
      <c r="E127" t="s">
        <v>4</v>
      </c>
      <c r="F127" t="str">
        <f>VLOOKUP(A127,[1]Kreise!$A$1:$C$53,3,FALSE)</f>
        <v>K03351</v>
      </c>
      <c r="G127">
        <v>52</v>
      </c>
    </row>
    <row r="128" spans="1:7" x14ac:dyDescent="0.25">
      <c r="A128">
        <v>352</v>
      </c>
      <c r="B128">
        <v>2011</v>
      </c>
      <c r="C128" t="str">
        <f>VLOOKUP(A128,[2]Tabelle1!$A$1:$B$68,2,FALSE)</f>
        <v>Cuxhaven</v>
      </c>
      <c r="D128" t="s">
        <v>2</v>
      </c>
      <c r="E128" t="s">
        <v>4</v>
      </c>
      <c r="F128" t="str">
        <f>VLOOKUP(A128,[1]Kreise!$A$1:$C$53,3,FALSE)</f>
        <v>K03352</v>
      </c>
      <c r="G128">
        <v>48</v>
      </c>
    </row>
    <row r="129" spans="1:7" x14ac:dyDescent="0.25">
      <c r="A129">
        <v>353</v>
      </c>
      <c r="B129">
        <v>2011</v>
      </c>
      <c r="C129" t="str">
        <f>VLOOKUP(A129,[2]Tabelle1!$A$1:$B$68,2,FALSE)</f>
        <v>Harburg</v>
      </c>
      <c r="D129" t="s">
        <v>2</v>
      </c>
      <c r="E129" t="s">
        <v>4</v>
      </c>
      <c r="F129" t="str">
        <f>VLOOKUP(A129,[1]Kreise!$A$1:$C$53,3,FALSE)</f>
        <v>K03353</v>
      </c>
      <c r="G129">
        <v>51</v>
      </c>
    </row>
    <row r="130" spans="1:7" x14ac:dyDescent="0.25">
      <c r="A130">
        <v>354</v>
      </c>
      <c r="B130">
        <v>2011</v>
      </c>
      <c r="C130" t="str">
        <f>VLOOKUP(A130,[2]Tabelle1!$A$1:$B$68,2,FALSE)</f>
        <v>Lüchow-Dannenberg</v>
      </c>
      <c r="D130" t="s">
        <v>2</v>
      </c>
      <c r="E130" t="s">
        <v>4</v>
      </c>
      <c r="F130" t="str">
        <f>VLOOKUP(A130,[1]Kreise!$A$1:$C$53,3,FALSE)</f>
        <v>K03354</v>
      </c>
      <c r="G130">
        <v>10</v>
      </c>
    </row>
    <row r="131" spans="1:7" x14ac:dyDescent="0.25">
      <c r="A131">
        <v>355</v>
      </c>
      <c r="B131">
        <v>2011</v>
      </c>
      <c r="C131" t="str">
        <f>VLOOKUP(A131,[2]Tabelle1!$A$1:$B$68,2,FALSE)</f>
        <v>Lüneburg</v>
      </c>
      <c r="D131" t="s">
        <v>2</v>
      </c>
      <c r="E131" t="s">
        <v>4</v>
      </c>
      <c r="F131" t="str">
        <f>VLOOKUP(A131,[1]Kreise!$A$1:$C$53,3,FALSE)</f>
        <v>K03355</v>
      </c>
      <c r="G131">
        <v>35</v>
      </c>
    </row>
    <row r="132" spans="1:7" x14ac:dyDescent="0.25">
      <c r="A132">
        <v>356</v>
      </c>
      <c r="B132">
        <v>2011</v>
      </c>
      <c r="C132" t="str">
        <f>VLOOKUP(A132,[2]Tabelle1!$A$1:$B$68,2,FALSE)</f>
        <v>Osterholz</v>
      </c>
      <c r="D132" t="s">
        <v>2</v>
      </c>
      <c r="E132" t="s">
        <v>4</v>
      </c>
      <c r="F132" t="str">
        <f>VLOOKUP(A132,[1]Kreise!$A$1:$C$53,3,FALSE)</f>
        <v>K03356</v>
      </c>
      <c r="G132">
        <v>24</v>
      </c>
    </row>
    <row r="133" spans="1:7" x14ac:dyDescent="0.25">
      <c r="A133">
        <v>357</v>
      </c>
      <c r="B133">
        <v>2011</v>
      </c>
      <c r="C133" t="str">
        <f>VLOOKUP(A133,[2]Tabelle1!$A$1:$B$68,2,FALSE)</f>
        <v>Rotenburg (Wümme)</v>
      </c>
      <c r="D133" t="s">
        <v>2</v>
      </c>
      <c r="E133" t="s">
        <v>4</v>
      </c>
      <c r="F133" t="str">
        <f>VLOOKUP(A133,[1]Kreise!$A$1:$C$53,3,FALSE)</f>
        <v>K03357</v>
      </c>
      <c r="G133">
        <v>45</v>
      </c>
    </row>
    <row r="134" spans="1:7" x14ac:dyDescent="0.25">
      <c r="A134">
        <v>358</v>
      </c>
      <c r="B134">
        <v>2011</v>
      </c>
      <c r="C134" t="str">
        <f>VLOOKUP(A134,[2]Tabelle1!$A$1:$B$68,2,FALSE)</f>
        <v>Heidekreis</v>
      </c>
      <c r="D134" t="s">
        <v>2</v>
      </c>
      <c r="E134" t="s">
        <v>4</v>
      </c>
      <c r="F134" t="str">
        <f>VLOOKUP(A134,[1]Kreise!$A$1:$C$53,3,FALSE)</f>
        <v>K03358</v>
      </c>
      <c r="G134">
        <v>43</v>
      </c>
    </row>
    <row r="135" spans="1:7" x14ac:dyDescent="0.25">
      <c r="A135">
        <v>359</v>
      </c>
      <c r="B135">
        <v>2011</v>
      </c>
      <c r="C135" t="str">
        <f>VLOOKUP(A135,[2]Tabelle1!$A$1:$B$68,2,FALSE)</f>
        <v>Stade</v>
      </c>
      <c r="D135" t="s">
        <v>2</v>
      </c>
      <c r="E135" t="s">
        <v>4</v>
      </c>
      <c r="F135" t="str">
        <f>VLOOKUP(A135,[1]Kreise!$A$1:$C$53,3,FALSE)</f>
        <v>K03359</v>
      </c>
      <c r="G135">
        <v>51</v>
      </c>
    </row>
    <row r="136" spans="1:7" x14ac:dyDescent="0.25">
      <c r="A136">
        <v>360</v>
      </c>
      <c r="B136">
        <v>2011</v>
      </c>
      <c r="C136" t="str">
        <f>VLOOKUP(A136,[2]Tabelle1!$A$1:$B$68,2,FALSE)</f>
        <v>Uelzen</v>
      </c>
      <c r="D136" t="s">
        <v>2</v>
      </c>
      <c r="E136" t="s">
        <v>4</v>
      </c>
      <c r="F136" t="str">
        <f>VLOOKUP(A136,[1]Kreise!$A$1:$C$53,3,FALSE)</f>
        <v>K03360</v>
      </c>
      <c r="G136">
        <v>19</v>
      </c>
    </row>
    <row r="137" spans="1:7" x14ac:dyDescent="0.25">
      <c r="A137">
        <v>361</v>
      </c>
      <c r="B137">
        <v>2011</v>
      </c>
      <c r="C137" t="str">
        <f>VLOOKUP(A137,[2]Tabelle1!$A$1:$B$68,2,FALSE)</f>
        <v>Verden</v>
      </c>
      <c r="D137" t="s">
        <v>2</v>
      </c>
      <c r="E137" t="s">
        <v>4</v>
      </c>
      <c r="F137" t="str">
        <f>VLOOKUP(A137,[1]Kreise!$A$1:$C$53,3,FALSE)</f>
        <v>K03361</v>
      </c>
      <c r="G137">
        <v>25</v>
      </c>
    </row>
    <row r="138" spans="1:7" x14ac:dyDescent="0.25">
      <c r="A138">
        <v>3</v>
      </c>
      <c r="B138">
        <v>2011</v>
      </c>
      <c r="C138" t="str">
        <f>VLOOKUP(A138,[2]Tabelle1!$A$1:$B$68,2,FALSE)</f>
        <v>Statistische Region Lüneburg</v>
      </c>
      <c r="D138" t="s">
        <v>2</v>
      </c>
      <c r="E138" t="s">
        <v>4</v>
      </c>
      <c r="F138" t="str">
        <f>VLOOKUP(A138,[1]Kreise!$A$1:$C$53,3,FALSE)</f>
        <v>K033</v>
      </c>
      <c r="G138">
        <v>403</v>
      </c>
    </row>
    <row r="139" spans="1:7" x14ac:dyDescent="0.25">
      <c r="A139">
        <v>401</v>
      </c>
      <c r="B139">
        <v>2011</v>
      </c>
      <c r="C139" t="str">
        <f>VLOOKUP(A139,[2]Tabelle1!$A$1:$B$68,2,FALSE)</f>
        <v>Delmenhorst  Stadt</v>
      </c>
      <c r="D139" t="s">
        <v>2</v>
      </c>
      <c r="E139" t="s">
        <v>4</v>
      </c>
      <c r="F139" t="str">
        <f>VLOOKUP(A139,[1]Kreise!$A$1:$C$53,3,FALSE)</f>
        <v>K03401</v>
      </c>
      <c r="G139">
        <v>30</v>
      </c>
    </row>
    <row r="140" spans="1:7" x14ac:dyDescent="0.25">
      <c r="A140">
        <v>402</v>
      </c>
      <c r="B140">
        <v>2011</v>
      </c>
      <c r="C140" t="str">
        <f>VLOOKUP(A140,[2]Tabelle1!$A$1:$B$68,2,FALSE)</f>
        <v>Emden  Stadt</v>
      </c>
      <c r="D140" t="s">
        <v>2</v>
      </c>
      <c r="E140" t="s">
        <v>4</v>
      </c>
      <c r="F140" t="str">
        <f>VLOOKUP(A140,[1]Kreise!$A$1:$C$53,3,FALSE)</f>
        <v>K03402</v>
      </c>
      <c r="G140">
        <v>14</v>
      </c>
    </row>
    <row r="141" spans="1:7" x14ac:dyDescent="0.25">
      <c r="A141">
        <v>403</v>
      </c>
      <c r="B141">
        <v>2011</v>
      </c>
      <c r="C141" t="str">
        <f>VLOOKUP(A141,[2]Tabelle1!$A$1:$B$68,2,FALSE)</f>
        <v>Oldenburg(Oldb)  Stadt</v>
      </c>
      <c r="D141" t="s">
        <v>2</v>
      </c>
      <c r="E141" t="s">
        <v>4</v>
      </c>
      <c r="F141" t="str">
        <f>VLOOKUP(A141,[1]Kreise!$A$1:$C$53,3,FALSE)</f>
        <v>K03403</v>
      </c>
      <c r="G141">
        <v>50</v>
      </c>
    </row>
    <row r="142" spans="1:7" x14ac:dyDescent="0.25">
      <c r="A142">
        <v>404</v>
      </c>
      <c r="B142">
        <v>2011</v>
      </c>
      <c r="C142" t="str">
        <f>VLOOKUP(A142,[2]Tabelle1!$A$1:$B$68,2,FALSE)</f>
        <v>Osnabrück  Stadt</v>
      </c>
      <c r="D142" t="s">
        <v>2</v>
      </c>
      <c r="E142" t="s">
        <v>4</v>
      </c>
      <c r="F142" t="str">
        <f>VLOOKUP(A142,[1]Kreise!$A$1:$C$53,3,FALSE)</f>
        <v>K03404</v>
      </c>
      <c r="G142">
        <v>56</v>
      </c>
    </row>
    <row r="143" spans="1:7" x14ac:dyDescent="0.25">
      <c r="A143">
        <v>405</v>
      </c>
      <c r="B143">
        <v>2011</v>
      </c>
      <c r="C143" t="str">
        <f>VLOOKUP(A143,[2]Tabelle1!$A$1:$B$68,2,FALSE)</f>
        <v>Wilhelmshaven  Stadt</v>
      </c>
      <c r="D143" t="s">
        <v>2</v>
      </c>
      <c r="E143" t="s">
        <v>4</v>
      </c>
      <c r="F143" t="str">
        <f>VLOOKUP(A143,[1]Kreise!$A$1:$C$53,3,FALSE)</f>
        <v>K03405</v>
      </c>
      <c r="G143">
        <v>12</v>
      </c>
    </row>
    <row r="144" spans="1:7" x14ac:dyDescent="0.25">
      <c r="A144">
        <v>451</v>
      </c>
      <c r="B144">
        <v>2011</v>
      </c>
      <c r="C144" t="str">
        <f>VLOOKUP(A144,[2]Tabelle1!$A$1:$B$68,2,FALSE)</f>
        <v>Ammerland</v>
      </c>
      <c r="D144" t="s">
        <v>2</v>
      </c>
      <c r="E144" t="s">
        <v>4</v>
      </c>
      <c r="F144" t="str">
        <f>VLOOKUP(A144,[1]Kreise!$A$1:$C$53,3,FALSE)</f>
        <v>K03451</v>
      </c>
      <c r="G144">
        <v>23</v>
      </c>
    </row>
    <row r="145" spans="1:7" x14ac:dyDescent="0.25">
      <c r="A145">
        <v>452</v>
      </c>
      <c r="B145">
        <v>2011</v>
      </c>
      <c r="C145" t="str">
        <f>VLOOKUP(A145,[2]Tabelle1!$A$1:$B$68,2,FALSE)</f>
        <v>Aurich</v>
      </c>
      <c r="D145" t="s">
        <v>2</v>
      </c>
      <c r="E145" t="s">
        <v>4</v>
      </c>
      <c r="F145" t="str">
        <f>VLOOKUP(A145,[1]Kreise!$A$1:$C$53,3,FALSE)</f>
        <v>K03452</v>
      </c>
      <c r="G145">
        <v>75</v>
      </c>
    </row>
    <row r="146" spans="1:7" x14ac:dyDescent="0.25">
      <c r="A146">
        <v>453</v>
      </c>
      <c r="B146">
        <v>2011</v>
      </c>
      <c r="C146" t="str">
        <f>VLOOKUP(A146,[2]Tabelle1!$A$1:$B$68,2,FALSE)</f>
        <v>Cloppenburg</v>
      </c>
      <c r="D146" t="s">
        <v>2</v>
      </c>
      <c r="E146" t="s">
        <v>4</v>
      </c>
      <c r="F146" t="str">
        <f>VLOOKUP(A146,[1]Kreise!$A$1:$C$53,3,FALSE)</f>
        <v>K03453</v>
      </c>
      <c r="G146">
        <v>58</v>
      </c>
    </row>
    <row r="147" spans="1:7" x14ac:dyDescent="0.25">
      <c r="A147">
        <v>454</v>
      </c>
      <c r="B147">
        <v>2011</v>
      </c>
      <c r="C147" t="str">
        <f>VLOOKUP(A147,[2]Tabelle1!$A$1:$B$68,2,FALSE)</f>
        <v>Emsland</v>
      </c>
      <c r="D147" t="s">
        <v>2</v>
      </c>
      <c r="E147" t="s">
        <v>4</v>
      </c>
      <c r="F147" t="str">
        <f>VLOOKUP(A147,[1]Kreise!$A$1:$C$53,3,FALSE)</f>
        <v>K03454</v>
      </c>
      <c r="G147">
        <v>63</v>
      </c>
    </row>
    <row r="148" spans="1:7" x14ac:dyDescent="0.25">
      <c r="A148">
        <v>455</v>
      </c>
      <c r="B148">
        <v>2011</v>
      </c>
      <c r="C148" t="str">
        <f>VLOOKUP(A148,[2]Tabelle1!$A$1:$B$68,2,FALSE)</f>
        <v>Friesland</v>
      </c>
      <c r="D148" t="s">
        <v>2</v>
      </c>
      <c r="E148" t="s">
        <v>4</v>
      </c>
      <c r="F148" t="str">
        <f>VLOOKUP(A148,[1]Kreise!$A$1:$C$53,3,FALSE)</f>
        <v>K03455</v>
      </c>
      <c r="G148">
        <v>14</v>
      </c>
    </row>
    <row r="149" spans="1:7" x14ac:dyDescent="0.25">
      <c r="A149">
        <v>456</v>
      </c>
      <c r="B149">
        <v>2011</v>
      </c>
      <c r="C149" t="str">
        <f>VLOOKUP(A149,[2]Tabelle1!$A$1:$B$68,2,FALSE)</f>
        <v>Grafschaft Bentheim</v>
      </c>
      <c r="D149" t="s">
        <v>2</v>
      </c>
      <c r="E149" t="s">
        <v>4</v>
      </c>
      <c r="F149" t="str">
        <f>VLOOKUP(A149,[1]Kreise!$A$1:$C$53,3,FALSE)</f>
        <v>K03456</v>
      </c>
      <c r="G149">
        <v>41</v>
      </c>
    </row>
    <row r="150" spans="1:7" x14ac:dyDescent="0.25">
      <c r="A150">
        <v>457</v>
      </c>
      <c r="B150">
        <v>2011</v>
      </c>
      <c r="C150" t="str">
        <f>VLOOKUP(A150,[2]Tabelle1!$A$1:$B$68,2,FALSE)</f>
        <v>Leer</v>
      </c>
      <c r="D150" t="s">
        <v>2</v>
      </c>
      <c r="E150" t="s">
        <v>4</v>
      </c>
      <c r="F150" t="str">
        <f>VLOOKUP(A150,[1]Kreise!$A$1:$C$53,3,FALSE)</f>
        <v>K03457</v>
      </c>
      <c r="G150">
        <v>73</v>
      </c>
    </row>
    <row r="151" spans="1:7" x14ac:dyDescent="0.25">
      <c r="A151">
        <v>458</v>
      </c>
      <c r="B151">
        <v>2011</v>
      </c>
      <c r="C151" t="str">
        <f>VLOOKUP(A151,[2]Tabelle1!$A$1:$B$68,2,FALSE)</f>
        <v>Oldenburg</v>
      </c>
      <c r="D151" t="s">
        <v>2</v>
      </c>
      <c r="E151" t="s">
        <v>4</v>
      </c>
      <c r="F151" t="str">
        <f>VLOOKUP(A151,[1]Kreise!$A$1:$C$53,3,FALSE)</f>
        <v>K03458</v>
      </c>
      <c r="G151">
        <v>28</v>
      </c>
    </row>
    <row r="152" spans="1:7" x14ac:dyDescent="0.25">
      <c r="A152">
        <v>459</v>
      </c>
      <c r="B152">
        <v>2011</v>
      </c>
      <c r="C152" t="str">
        <f>VLOOKUP(A152,[2]Tabelle1!$A$1:$B$68,2,FALSE)</f>
        <v>Osnabrück</v>
      </c>
      <c r="D152" t="s">
        <v>2</v>
      </c>
      <c r="E152" t="s">
        <v>4</v>
      </c>
      <c r="F152" t="str">
        <f>VLOOKUP(A152,[1]Kreise!$A$1:$C$53,3,FALSE)</f>
        <v>K03459</v>
      </c>
      <c r="G152">
        <v>71</v>
      </c>
    </row>
    <row r="153" spans="1:7" x14ac:dyDescent="0.25">
      <c r="A153">
        <v>460</v>
      </c>
      <c r="B153">
        <v>2011</v>
      </c>
      <c r="C153" t="str">
        <f>VLOOKUP(A153,[2]Tabelle1!$A$1:$B$68,2,FALSE)</f>
        <v>Vechta</v>
      </c>
      <c r="D153" t="s">
        <v>2</v>
      </c>
      <c r="E153" t="s">
        <v>4</v>
      </c>
      <c r="F153" t="str">
        <f>VLOOKUP(A153,[1]Kreise!$A$1:$C$53,3,FALSE)</f>
        <v>K03460</v>
      </c>
      <c r="G153">
        <v>45</v>
      </c>
    </row>
    <row r="154" spans="1:7" x14ac:dyDescent="0.25">
      <c r="A154">
        <v>461</v>
      </c>
      <c r="B154">
        <v>2011</v>
      </c>
      <c r="C154" t="str">
        <f>VLOOKUP(A154,[2]Tabelle1!$A$1:$B$68,2,FALSE)</f>
        <v>Wesermarsch</v>
      </c>
      <c r="D154" t="s">
        <v>2</v>
      </c>
      <c r="E154" t="s">
        <v>4</v>
      </c>
      <c r="F154" t="str">
        <f>VLOOKUP(A154,[1]Kreise!$A$1:$C$53,3,FALSE)</f>
        <v>K03461</v>
      </c>
      <c r="G154">
        <v>12</v>
      </c>
    </row>
    <row r="155" spans="1:7" x14ac:dyDescent="0.25">
      <c r="A155">
        <v>462</v>
      </c>
      <c r="B155">
        <v>2011</v>
      </c>
      <c r="C155" t="str">
        <f>VLOOKUP(A155,[2]Tabelle1!$A$1:$B$68,2,FALSE)</f>
        <v>Wittmund</v>
      </c>
      <c r="D155" t="s">
        <v>2</v>
      </c>
      <c r="E155" t="s">
        <v>4</v>
      </c>
      <c r="F155" t="str">
        <f>VLOOKUP(A155,[1]Kreise!$A$1:$C$53,3,FALSE)</f>
        <v>K03462</v>
      </c>
      <c r="G155">
        <v>19</v>
      </c>
    </row>
    <row r="156" spans="1:7" x14ac:dyDescent="0.25">
      <c r="A156">
        <v>4</v>
      </c>
      <c r="B156">
        <v>2011</v>
      </c>
      <c r="C156" t="str">
        <f>VLOOKUP(A156,[2]Tabelle1!$A$1:$B$68,2,FALSE)</f>
        <v>Statistische Region Weser-Ems</v>
      </c>
      <c r="D156" t="s">
        <v>2</v>
      </c>
      <c r="E156" t="s">
        <v>4</v>
      </c>
      <c r="F156" t="str">
        <f>VLOOKUP(A156,[1]Kreise!$A$1:$C$53,3,FALSE)</f>
        <v>K034</v>
      </c>
      <c r="G156">
        <v>684</v>
      </c>
    </row>
    <row r="157" spans="1:7" x14ac:dyDescent="0.25">
      <c r="A157">
        <v>0</v>
      </c>
      <c r="B157">
        <v>2011</v>
      </c>
      <c r="C157" t="str">
        <f>VLOOKUP(A157,[2]Tabelle1!$A$1:$B$68,2,FALSE)</f>
        <v>Niedersachsen</v>
      </c>
      <c r="D157" t="s">
        <v>2</v>
      </c>
      <c r="E157" t="s">
        <v>4</v>
      </c>
      <c r="F157" t="str">
        <f>VLOOKUP(A157,[1]Kreise!$A$1:$C$53,3,FALSE)</f>
        <v>K030</v>
      </c>
      <c r="G157">
        <v>1995</v>
      </c>
    </row>
    <row r="158" spans="1:7" x14ac:dyDescent="0.25">
      <c r="A158">
        <v>101</v>
      </c>
      <c r="B158">
        <v>2011</v>
      </c>
      <c r="C158" t="str">
        <f>VLOOKUP(A158,[2]Tabelle1!$A$1:$B$68,2,FALSE)</f>
        <v>Braunschweig  Stadt</v>
      </c>
      <c r="D158" t="s">
        <v>3</v>
      </c>
      <c r="E158" t="s">
        <v>4</v>
      </c>
      <c r="F158" t="str">
        <f>VLOOKUP(A158,[1]Kreise!$A$1:$C$53,3,FALSE)</f>
        <v>K03101</v>
      </c>
      <c r="G158">
        <v>17</v>
      </c>
    </row>
    <row r="159" spans="1:7" x14ac:dyDescent="0.25">
      <c r="A159">
        <v>102</v>
      </c>
      <c r="B159">
        <v>2011</v>
      </c>
      <c r="C159" t="str">
        <f>VLOOKUP(A159,[2]Tabelle1!$A$1:$B$68,2,FALSE)</f>
        <v>Salzgitter  Stadt</v>
      </c>
      <c r="D159" t="s">
        <v>3</v>
      </c>
      <c r="E159" t="s">
        <v>4</v>
      </c>
      <c r="F159" t="str">
        <f>VLOOKUP(A159,[1]Kreise!$A$1:$C$53,3,FALSE)</f>
        <v>K03102</v>
      </c>
      <c r="G159">
        <v>7</v>
      </c>
    </row>
    <row r="160" spans="1:7" x14ac:dyDescent="0.25">
      <c r="A160">
        <v>103</v>
      </c>
      <c r="B160">
        <v>2011</v>
      </c>
      <c r="C160" t="str">
        <f>VLOOKUP(A160,[2]Tabelle1!$A$1:$B$68,2,FALSE)</f>
        <v>Wolfsburg  Stadt</v>
      </c>
      <c r="D160" t="s">
        <v>3</v>
      </c>
      <c r="E160" t="s">
        <v>4</v>
      </c>
      <c r="F160" t="str">
        <f>VLOOKUP(A160,[1]Kreise!$A$1:$C$53,3,FALSE)</f>
        <v>K03103</v>
      </c>
      <c r="G160">
        <v>7</v>
      </c>
    </row>
    <row r="161" spans="1:7" x14ac:dyDescent="0.25">
      <c r="A161">
        <v>151</v>
      </c>
      <c r="B161">
        <v>2011</v>
      </c>
      <c r="C161" t="str">
        <f>VLOOKUP(A161,[2]Tabelle1!$A$1:$B$68,2,FALSE)</f>
        <v>Gifhorn</v>
      </c>
      <c r="D161" t="s">
        <v>3</v>
      </c>
      <c r="E161" t="s">
        <v>4</v>
      </c>
      <c r="F161" t="str">
        <f>VLOOKUP(A161,[1]Kreise!$A$1:$C$53,3,FALSE)</f>
        <v>K03151</v>
      </c>
      <c r="G161">
        <v>25</v>
      </c>
    </row>
    <row r="162" spans="1:7" x14ac:dyDescent="0.25">
      <c r="A162">
        <v>153</v>
      </c>
      <c r="B162">
        <v>2011</v>
      </c>
      <c r="C162" t="str">
        <f>VLOOKUP(A162,[2]Tabelle1!$A$1:$B$68,2,FALSE)</f>
        <v>Goslar</v>
      </c>
      <c r="D162" t="s">
        <v>3</v>
      </c>
      <c r="E162" t="s">
        <v>4</v>
      </c>
      <c r="F162" t="str">
        <f>VLOOKUP(A162,[1]Kreise!$A$1:$C$53,3,FALSE)</f>
        <v>K03153</v>
      </c>
      <c r="G162">
        <v>13</v>
      </c>
    </row>
    <row r="163" spans="1:7" x14ac:dyDescent="0.25">
      <c r="A163">
        <v>154</v>
      </c>
      <c r="B163">
        <v>2011</v>
      </c>
      <c r="C163" t="str">
        <f>VLOOKUP(A163,[2]Tabelle1!$A$1:$B$68,2,FALSE)</f>
        <v>Helmstedt</v>
      </c>
      <c r="D163" t="s">
        <v>3</v>
      </c>
      <c r="E163" t="s">
        <v>4</v>
      </c>
      <c r="F163" t="str">
        <f>VLOOKUP(A163,[1]Kreise!$A$1:$C$53,3,FALSE)</f>
        <v>K03154</v>
      </c>
      <c r="G163">
        <v>3</v>
      </c>
    </row>
    <row r="164" spans="1:7" x14ac:dyDescent="0.25">
      <c r="A164">
        <v>155</v>
      </c>
      <c r="B164">
        <v>2011</v>
      </c>
      <c r="C164" t="str">
        <f>VLOOKUP(A164,[2]Tabelle1!$A$1:$B$68,2,FALSE)</f>
        <v>Northeim</v>
      </c>
      <c r="D164" t="s">
        <v>3</v>
      </c>
      <c r="E164" t="s">
        <v>4</v>
      </c>
      <c r="F164" t="str">
        <f>VLOOKUP(A164,[1]Kreise!$A$1:$C$53,3,FALSE)</f>
        <v>K03155</v>
      </c>
      <c r="G164">
        <v>13</v>
      </c>
    </row>
    <row r="165" spans="1:7" x14ac:dyDescent="0.25">
      <c r="A165">
        <v>157</v>
      </c>
      <c r="B165">
        <v>2011</v>
      </c>
      <c r="C165" t="str">
        <f>VLOOKUP(A165,[2]Tabelle1!$A$1:$B$68,2,FALSE)</f>
        <v>Peine</v>
      </c>
      <c r="D165" t="s">
        <v>3</v>
      </c>
      <c r="E165" t="s">
        <v>4</v>
      </c>
      <c r="F165" t="str">
        <f>VLOOKUP(A165,[1]Kreise!$A$1:$C$53,3,FALSE)</f>
        <v>K03157</v>
      </c>
      <c r="G165">
        <v>12</v>
      </c>
    </row>
    <row r="166" spans="1:7" x14ac:dyDescent="0.25">
      <c r="A166">
        <v>158</v>
      </c>
      <c r="B166">
        <v>2011</v>
      </c>
      <c r="C166" t="str">
        <f>VLOOKUP(A166,[2]Tabelle1!$A$1:$B$68,2,FALSE)</f>
        <v>Wolfenbüttel</v>
      </c>
      <c r="D166" t="s">
        <v>3</v>
      </c>
      <c r="E166" t="s">
        <v>4</v>
      </c>
      <c r="F166" t="str">
        <f>VLOOKUP(A166,[1]Kreise!$A$1:$C$53,3,FALSE)</f>
        <v>K03158</v>
      </c>
      <c r="G166">
        <v>6</v>
      </c>
    </row>
    <row r="167" spans="1:7" x14ac:dyDescent="0.25">
      <c r="A167">
        <v>159</v>
      </c>
      <c r="B167">
        <v>2011</v>
      </c>
      <c r="C167" t="str">
        <f>VLOOKUP(A167,[2]Tabelle1!$A$1:$B$68,2,FALSE)</f>
        <v>Göttingen</v>
      </c>
      <c r="D167" t="s">
        <v>3</v>
      </c>
      <c r="E167" t="s">
        <v>4</v>
      </c>
      <c r="F167" t="str">
        <f>VLOOKUP(A167,[1]Kreise!$A$1:$C$53,3,FALSE)</f>
        <v>K03159</v>
      </c>
      <c r="G167">
        <v>37</v>
      </c>
    </row>
    <row r="168" spans="1:7" x14ac:dyDescent="0.25">
      <c r="A168">
        <v>1</v>
      </c>
      <c r="B168">
        <v>2011</v>
      </c>
      <c r="C168" t="str">
        <f>VLOOKUP(A168,[2]Tabelle1!$A$1:$B$68,2,FALSE)</f>
        <v>Statistische Region Braunschweig</v>
      </c>
      <c r="D168" t="s">
        <v>3</v>
      </c>
      <c r="E168" t="s">
        <v>4</v>
      </c>
      <c r="F168" t="str">
        <f>VLOOKUP(A168,[1]Kreise!$A$1:$C$53,3,FALSE)</f>
        <v>K031</v>
      </c>
      <c r="G168">
        <v>140</v>
      </c>
    </row>
    <row r="169" spans="1:7" x14ac:dyDescent="0.25">
      <c r="A169">
        <v>241</v>
      </c>
      <c r="B169">
        <v>2011</v>
      </c>
      <c r="C169" t="str">
        <f>VLOOKUP(A169,[2]Tabelle1!$A$1:$B$68,2,FALSE)</f>
        <v>Hannover  Region</v>
      </c>
      <c r="D169" t="s">
        <v>3</v>
      </c>
      <c r="E169" t="s">
        <v>4</v>
      </c>
      <c r="F169" t="str">
        <f>VLOOKUP(A169,[1]Kreise!$A$1:$C$53,3,FALSE)</f>
        <v>K03241</v>
      </c>
      <c r="G169">
        <v>187</v>
      </c>
    </row>
    <row r="170" spans="1:7" x14ac:dyDescent="0.25">
      <c r="A170">
        <v>241001</v>
      </c>
      <c r="B170">
        <v>2011</v>
      </c>
      <c r="C170" t="str">
        <f>VLOOKUP(A170,[2]Tabelle1!$A$1:$B$68,2,FALSE)</f>
        <v>dav. Hannover  Lhst.</v>
      </c>
      <c r="D170" t="s">
        <v>3</v>
      </c>
      <c r="E170" t="s">
        <v>4</v>
      </c>
      <c r="F170" t="str">
        <f>VLOOKUP(A170,[1]Kreise!$A$1:$C$53,3,FALSE)</f>
        <v>K03241001</v>
      </c>
      <c r="G170">
        <v>121</v>
      </c>
    </row>
    <row r="171" spans="1:7" x14ac:dyDescent="0.25">
      <c r="A171">
        <v>241999</v>
      </c>
      <c r="B171">
        <v>2011</v>
      </c>
      <c r="C171" t="str">
        <f>VLOOKUP(A171,[2]Tabelle1!$A$1:$B$68,2,FALSE)</f>
        <v>dav. Hannover  Umland</v>
      </c>
      <c r="D171" t="s">
        <v>3</v>
      </c>
      <c r="E171" t="s">
        <v>4</v>
      </c>
      <c r="F171" t="str">
        <f>VLOOKUP(A171,[1]Kreise!$A$1:$C$53,3,FALSE)</f>
        <v>K03241999</v>
      </c>
      <c r="G171">
        <v>66</v>
      </c>
    </row>
    <row r="172" spans="1:7" x14ac:dyDescent="0.25">
      <c r="A172">
        <v>251</v>
      </c>
      <c r="B172">
        <v>2011</v>
      </c>
      <c r="C172" t="str">
        <f>VLOOKUP(A172,[2]Tabelle1!$A$1:$B$68,2,FALSE)</f>
        <v>Diepholz</v>
      </c>
      <c r="D172" t="s">
        <v>3</v>
      </c>
      <c r="E172" t="s">
        <v>4</v>
      </c>
      <c r="F172" t="str">
        <f>VLOOKUP(A172,[1]Kreise!$A$1:$C$53,3,FALSE)</f>
        <v>K03251</v>
      </c>
      <c r="G172">
        <v>10</v>
      </c>
    </row>
    <row r="173" spans="1:7" x14ac:dyDescent="0.25">
      <c r="A173">
        <v>252</v>
      </c>
      <c r="B173">
        <v>2011</v>
      </c>
      <c r="C173" t="str">
        <f>VLOOKUP(A173,[2]Tabelle1!$A$1:$B$68,2,FALSE)</f>
        <v>Hameln-Pyrmont</v>
      </c>
      <c r="D173" t="s">
        <v>3</v>
      </c>
      <c r="E173" t="s">
        <v>4</v>
      </c>
      <c r="F173" t="str">
        <f>VLOOKUP(A173,[1]Kreise!$A$1:$C$53,3,FALSE)</f>
        <v>K03252</v>
      </c>
      <c r="G173">
        <v>19</v>
      </c>
    </row>
    <row r="174" spans="1:7" x14ac:dyDescent="0.25">
      <c r="A174">
        <v>254</v>
      </c>
      <c r="B174">
        <v>2011</v>
      </c>
      <c r="C174" t="str">
        <f>VLOOKUP(A174,[2]Tabelle1!$A$1:$B$68,2,FALSE)</f>
        <v>Hildesheim</v>
      </c>
      <c r="D174" t="s">
        <v>3</v>
      </c>
      <c r="E174" t="s">
        <v>4</v>
      </c>
      <c r="F174" t="str">
        <f>VLOOKUP(A174,[1]Kreise!$A$1:$C$53,3,FALSE)</f>
        <v>K03254</v>
      </c>
      <c r="G174">
        <v>32</v>
      </c>
    </row>
    <row r="175" spans="1:7" x14ac:dyDescent="0.25">
      <c r="A175">
        <v>255</v>
      </c>
      <c r="B175">
        <v>2011</v>
      </c>
      <c r="C175" t="str">
        <f>VLOOKUP(A175,[2]Tabelle1!$A$1:$B$68,2,FALSE)</f>
        <v>Holzminden</v>
      </c>
      <c r="D175" t="s">
        <v>3</v>
      </c>
      <c r="E175" t="s">
        <v>4</v>
      </c>
      <c r="F175" t="str">
        <f>VLOOKUP(A175,[1]Kreise!$A$1:$C$53,3,FALSE)</f>
        <v>K03255</v>
      </c>
      <c r="G175">
        <v>2</v>
      </c>
    </row>
    <row r="176" spans="1:7" x14ac:dyDescent="0.25">
      <c r="A176">
        <v>256</v>
      </c>
      <c r="B176">
        <v>2011</v>
      </c>
      <c r="C176" t="str">
        <f>VLOOKUP(A176,[2]Tabelle1!$A$1:$B$68,2,FALSE)</f>
        <v>Nienburg (Weser)</v>
      </c>
      <c r="D176" t="s">
        <v>3</v>
      </c>
      <c r="E176" t="s">
        <v>4</v>
      </c>
      <c r="F176" t="str">
        <f>VLOOKUP(A176,[1]Kreise!$A$1:$C$53,3,FALSE)</f>
        <v>K03256</v>
      </c>
      <c r="G176">
        <v>17</v>
      </c>
    </row>
    <row r="177" spans="1:7" x14ac:dyDescent="0.25">
      <c r="A177">
        <v>257</v>
      </c>
      <c r="B177">
        <v>2011</v>
      </c>
      <c r="C177" t="str">
        <f>VLOOKUP(A177,[2]Tabelle1!$A$1:$B$68,2,FALSE)</f>
        <v>Schaumburg</v>
      </c>
      <c r="D177" t="s">
        <v>3</v>
      </c>
      <c r="E177" t="s">
        <v>4</v>
      </c>
      <c r="F177" t="str">
        <f>VLOOKUP(A177,[1]Kreise!$A$1:$C$53,3,FALSE)</f>
        <v>K03257</v>
      </c>
      <c r="G177">
        <v>15</v>
      </c>
    </row>
    <row r="178" spans="1:7" x14ac:dyDescent="0.25">
      <c r="A178">
        <v>2</v>
      </c>
      <c r="B178">
        <v>2011</v>
      </c>
      <c r="C178" t="str">
        <f>VLOOKUP(A178,[2]Tabelle1!$A$1:$B$68,2,FALSE)</f>
        <v>Statistische Region Hannover</v>
      </c>
      <c r="D178" t="s">
        <v>3</v>
      </c>
      <c r="E178" t="s">
        <v>4</v>
      </c>
      <c r="F178" t="str">
        <f>VLOOKUP(A178,[1]Kreise!$A$1:$C$53,3,FALSE)</f>
        <v>K032</v>
      </c>
      <c r="G178">
        <v>282</v>
      </c>
    </row>
    <row r="179" spans="1:7" x14ac:dyDescent="0.25">
      <c r="A179">
        <v>351</v>
      </c>
      <c r="B179">
        <v>2011</v>
      </c>
      <c r="C179" t="str">
        <f>VLOOKUP(A179,[2]Tabelle1!$A$1:$B$68,2,FALSE)</f>
        <v>Celle</v>
      </c>
      <c r="D179" t="s">
        <v>3</v>
      </c>
      <c r="E179" t="s">
        <v>4</v>
      </c>
      <c r="F179" t="str">
        <f>VLOOKUP(A179,[1]Kreise!$A$1:$C$53,3,FALSE)</f>
        <v>K03351</v>
      </c>
      <c r="G179">
        <v>10</v>
      </c>
    </row>
    <row r="180" spans="1:7" x14ac:dyDescent="0.25">
      <c r="A180">
        <v>352</v>
      </c>
      <c r="B180">
        <v>2011</v>
      </c>
      <c r="C180" t="str">
        <f>VLOOKUP(A180,[2]Tabelle1!$A$1:$B$68,2,FALSE)</f>
        <v>Cuxhaven</v>
      </c>
      <c r="D180" t="s">
        <v>3</v>
      </c>
      <c r="E180" t="s">
        <v>4</v>
      </c>
      <c r="F180" t="str">
        <f>VLOOKUP(A180,[1]Kreise!$A$1:$C$53,3,FALSE)</f>
        <v>K03352</v>
      </c>
      <c r="G180">
        <v>16</v>
      </c>
    </row>
    <row r="181" spans="1:7" x14ac:dyDescent="0.25">
      <c r="A181">
        <v>353</v>
      </c>
      <c r="B181">
        <v>2011</v>
      </c>
      <c r="C181" t="str">
        <f>VLOOKUP(A181,[2]Tabelle1!$A$1:$B$68,2,FALSE)</f>
        <v>Harburg</v>
      </c>
      <c r="D181" t="s">
        <v>3</v>
      </c>
      <c r="E181" t="s">
        <v>4</v>
      </c>
      <c r="F181" t="str">
        <f>VLOOKUP(A181,[1]Kreise!$A$1:$C$53,3,FALSE)</f>
        <v>K03353</v>
      </c>
      <c r="G181">
        <v>20</v>
      </c>
    </row>
    <row r="182" spans="1:7" x14ac:dyDescent="0.25">
      <c r="A182">
        <v>354</v>
      </c>
      <c r="B182">
        <v>2011</v>
      </c>
      <c r="C182" t="str">
        <f>VLOOKUP(A182,[2]Tabelle1!$A$1:$B$68,2,FALSE)</f>
        <v>Lüchow-Dannenberg</v>
      </c>
      <c r="D182" t="s">
        <v>3</v>
      </c>
      <c r="E182" t="s">
        <v>4</v>
      </c>
      <c r="F182" t="str">
        <f>VLOOKUP(A182,[1]Kreise!$A$1:$C$53,3,FALSE)</f>
        <v>K03354</v>
      </c>
      <c r="G182">
        <v>2</v>
      </c>
    </row>
    <row r="183" spans="1:7" x14ac:dyDescent="0.25">
      <c r="A183">
        <v>355</v>
      </c>
      <c r="B183">
        <v>2011</v>
      </c>
      <c r="C183" t="str">
        <f>VLOOKUP(A183,[2]Tabelle1!$A$1:$B$68,2,FALSE)</f>
        <v>Lüneburg</v>
      </c>
      <c r="D183" t="s">
        <v>3</v>
      </c>
      <c r="E183" t="s">
        <v>4</v>
      </c>
      <c r="F183" t="str">
        <f>VLOOKUP(A183,[1]Kreise!$A$1:$C$53,3,FALSE)</f>
        <v>K03355</v>
      </c>
      <c r="G183">
        <v>4</v>
      </c>
    </row>
    <row r="184" spans="1:7" x14ac:dyDescent="0.25">
      <c r="A184">
        <v>356</v>
      </c>
      <c r="B184">
        <v>2011</v>
      </c>
      <c r="C184" t="str">
        <f>VLOOKUP(A184,[2]Tabelle1!$A$1:$B$68,2,FALSE)</f>
        <v>Osterholz</v>
      </c>
      <c r="D184" t="s">
        <v>3</v>
      </c>
      <c r="E184" t="s">
        <v>4</v>
      </c>
      <c r="F184" t="str">
        <f>VLOOKUP(A184,[1]Kreise!$A$1:$C$53,3,FALSE)</f>
        <v>K03356</v>
      </c>
      <c r="G184">
        <v>8</v>
      </c>
    </row>
    <row r="185" spans="1:7" x14ac:dyDescent="0.25">
      <c r="A185">
        <v>357</v>
      </c>
      <c r="B185">
        <v>2011</v>
      </c>
      <c r="C185" t="str">
        <f>VLOOKUP(A185,[2]Tabelle1!$A$1:$B$68,2,FALSE)</f>
        <v>Rotenburg (Wümme)</v>
      </c>
      <c r="D185" t="s">
        <v>3</v>
      </c>
      <c r="E185" t="s">
        <v>4</v>
      </c>
      <c r="F185" t="str">
        <f>VLOOKUP(A185,[1]Kreise!$A$1:$C$53,3,FALSE)</f>
        <v>K03357</v>
      </c>
      <c r="G185">
        <v>13</v>
      </c>
    </row>
    <row r="186" spans="1:7" x14ac:dyDescent="0.25">
      <c r="A186">
        <v>358</v>
      </c>
      <c r="B186">
        <v>2011</v>
      </c>
      <c r="C186" t="str">
        <f>VLOOKUP(A186,[2]Tabelle1!$A$1:$B$68,2,FALSE)</f>
        <v>Heidekreis</v>
      </c>
      <c r="D186" t="s">
        <v>3</v>
      </c>
      <c r="E186" t="s">
        <v>4</v>
      </c>
      <c r="F186" t="str">
        <f>VLOOKUP(A186,[1]Kreise!$A$1:$C$53,3,FALSE)</f>
        <v>K03358</v>
      </c>
      <c r="G186">
        <v>10</v>
      </c>
    </row>
    <row r="187" spans="1:7" x14ac:dyDescent="0.25">
      <c r="A187">
        <v>359</v>
      </c>
      <c r="B187">
        <v>2011</v>
      </c>
      <c r="C187" t="str">
        <f>VLOOKUP(A187,[2]Tabelle1!$A$1:$B$68,2,FALSE)</f>
        <v>Stade</v>
      </c>
      <c r="D187" t="s">
        <v>3</v>
      </c>
      <c r="E187" t="s">
        <v>4</v>
      </c>
      <c r="F187" t="str">
        <f>VLOOKUP(A187,[1]Kreise!$A$1:$C$53,3,FALSE)</f>
        <v>K03359</v>
      </c>
      <c r="G187">
        <v>15</v>
      </c>
    </row>
    <row r="188" spans="1:7" x14ac:dyDescent="0.25">
      <c r="A188">
        <v>360</v>
      </c>
      <c r="B188">
        <v>2011</v>
      </c>
      <c r="C188" t="str">
        <f>VLOOKUP(A188,[2]Tabelle1!$A$1:$B$68,2,FALSE)</f>
        <v>Uelzen</v>
      </c>
      <c r="D188" t="s">
        <v>3</v>
      </c>
      <c r="E188" t="s">
        <v>4</v>
      </c>
      <c r="F188" t="str">
        <f>VLOOKUP(A188,[1]Kreise!$A$1:$C$53,3,FALSE)</f>
        <v>K03360</v>
      </c>
      <c r="G188">
        <v>1</v>
      </c>
    </row>
    <row r="189" spans="1:7" x14ac:dyDescent="0.25">
      <c r="A189">
        <v>361</v>
      </c>
      <c r="B189">
        <v>2011</v>
      </c>
      <c r="C189" t="str">
        <f>VLOOKUP(A189,[2]Tabelle1!$A$1:$B$68,2,FALSE)</f>
        <v>Verden</v>
      </c>
      <c r="D189" t="s">
        <v>3</v>
      </c>
      <c r="E189" t="s">
        <v>4</v>
      </c>
      <c r="F189" t="str">
        <f>VLOOKUP(A189,[1]Kreise!$A$1:$C$53,3,FALSE)</f>
        <v>K03361</v>
      </c>
      <c r="G189">
        <v>18</v>
      </c>
    </row>
    <row r="190" spans="1:7" x14ac:dyDescent="0.25">
      <c r="A190">
        <v>3</v>
      </c>
      <c r="B190">
        <v>2011</v>
      </c>
      <c r="C190" t="str">
        <f>VLOOKUP(A190,[2]Tabelle1!$A$1:$B$68,2,FALSE)</f>
        <v>Statistische Region Lüneburg</v>
      </c>
      <c r="D190" t="s">
        <v>3</v>
      </c>
      <c r="E190" t="s">
        <v>4</v>
      </c>
      <c r="F190" t="str">
        <f>VLOOKUP(A190,[1]Kreise!$A$1:$C$53,3,FALSE)</f>
        <v>K033</v>
      </c>
      <c r="G190">
        <v>117</v>
      </c>
    </row>
    <row r="191" spans="1:7" x14ac:dyDescent="0.25">
      <c r="A191">
        <v>401</v>
      </c>
      <c r="B191">
        <v>2011</v>
      </c>
      <c r="C191" t="str">
        <f>VLOOKUP(A191,[2]Tabelle1!$A$1:$B$68,2,FALSE)</f>
        <v>Delmenhorst  Stadt</v>
      </c>
      <c r="D191" t="s">
        <v>3</v>
      </c>
      <c r="E191" t="s">
        <v>4</v>
      </c>
      <c r="F191" t="str">
        <f>VLOOKUP(A191,[1]Kreise!$A$1:$C$53,3,FALSE)</f>
        <v>K03401</v>
      </c>
      <c r="G191">
        <v>28</v>
      </c>
    </row>
    <row r="192" spans="1:7" x14ac:dyDescent="0.25">
      <c r="A192">
        <v>402</v>
      </c>
      <c r="B192">
        <v>2011</v>
      </c>
      <c r="C192" t="str">
        <f>VLOOKUP(A192,[2]Tabelle1!$A$1:$B$68,2,FALSE)</f>
        <v>Emden  Stadt</v>
      </c>
      <c r="D192" t="s">
        <v>3</v>
      </c>
      <c r="E192" t="s">
        <v>4</v>
      </c>
      <c r="F192" t="str">
        <f>VLOOKUP(A192,[1]Kreise!$A$1:$C$53,3,FALSE)</f>
        <v>K03402</v>
      </c>
      <c r="G192">
        <v>4</v>
      </c>
    </row>
    <row r="193" spans="1:7" x14ac:dyDescent="0.25">
      <c r="A193">
        <v>403</v>
      </c>
      <c r="B193">
        <v>2011</v>
      </c>
      <c r="C193" t="str">
        <f>VLOOKUP(A193,[2]Tabelle1!$A$1:$B$68,2,FALSE)</f>
        <v>Oldenburg(Oldb)  Stadt</v>
      </c>
      <c r="D193" t="s">
        <v>3</v>
      </c>
      <c r="E193" t="s">
        <v>4</v>
      </c>
      <c r="F193" t="str">
        <f>VLOOKUP(A193,[1]Kreise!$A$1:$C$53,3,FALSE)</f>
        <v>K03403</v>
      </c>
      <c r="G193">
        <v>8</v>
      </c>
    </row>
    <row r="194" spans="1:7" x14ac:dyDescent="0.25">
      <c r="A194">
        <v>404</v>
      </c>
      <c r="B194">
        <v>2011</v>
      </c>
      <c r="C194" t="str">
        <f>VLOOKUP(A194,[2]Tabelle1!$A$1:$B$68,2,FALSE)</f>
        <v>Osnabrück  Stadt</v>
      </c>
      <c r="D194" t="s">
        <v>3</v>
      </c>
      <c r="E194" t="s">
        <v>4</v>
      </c>
      <c r="F194" t="str">
        <f>VLOOKUP(A194,[1]Kreise!$A$1:$C$53,3,FALSE)</f>
        <v>K03404</v>
      </c>
      <c r="G194">
        <v>32</v>
      </c>
    </row>
    <row r="195" spans="1:7" x14ac:dyDescent="0.25">
      <c r="A195">
        <v>405</v>
      </c>
      <c r="B195">
        <v>2011</v>
      </c>
      <c r="C195" t="str">
        <f>VLOOKUP(A195,[2]Tabelle1!$A$1:$B$68,2,FALSE)</f>
        <v>Wilhelmshaven  Stadt</v>
      </c>
      <c r="D195" t="s">
        <v>3</v>
      </c>
      <c r="E195" t="s">
        <v>4</v>
      </c>
      <c r="F195" t="str">
        <f>VLOOKUP(A195,[1]Kreise!$A$1:$C$53,3,FALSE)</f>
        <v>K03405</v>
      </c>
      <c r="G195">
        <v>8</v>
      </c>
    </row>
    <row r="196" spans="1:7" x14ac:dyDescent="0.25">
      <c r="A196">
        <v>451</v>
      </c>
      <c r="B196">
        <v>2011</v>
      </c>
      <c r="C196" t="str">
        <f>VLOOKUP(A196,[2]Tabelle1!$A$1:$B$68,2,FALSE)</f>
        <v>Ammerland</v>
      </c>
      <c r="D196" t="s">
        <v>3</v>
      </c>
      <c r="E196" t="s">
        <v>4</v>
      </c>
      <c r="F196" t="str">
        <f>VLOOKUP(A196,[1]Kreise!$A$1:$C$53,3,FALSE)</f>
        <v>K03451</v>
      </c>
      <c r="G196">
        <v>6</v>
      </c>
    </row>
    <row r="197" spans="1:7" x14ac:dyDescent="0.25">
      <c r="A197">
        <v>452</v>
      </c>
      <c r="B197">
        <v>2011</v>
      </c>
      <c r="C197" t="str">
        <f>VLOOKUP(A197,[2]Tabelle1!$A$1:$B$68,2,FALSE)</f>
        <v>Aurich</v>
      </c>
      <c r="D197" t="s">
        <v>3</v>
      </c>
      <c r="E197" t="s">
        <v>4</v>
      </c>
      <c r="F197" t="str">
        <f>VLOOKUP(A197,[1]Kreise!$A$1:$C$53,3,FALSE)</f>
        <v>K03452</v>
      </c>
      <c r="G197">
        <v>10</v>
      </c>
    </row>
    <row r="198" spans="1:7" x14ac:dyDescent="0.25">
      <c r="A198">
        <v>453</v>
      </c>
      <c r="B198">
        <v>2011</v>
      </c>
      <c r="C198" t="str">
        <f>VLOOKUP(A198,[2]Tabelle1!$A$1:$B$68,2,FALSE)</f>
        <v>Cloppenburg</v>
      </c>
      <c r="D198" t="s">
        <v>3</v>
      </c>
      <c r="E198" t="s">
        <v>4</v>
      </c>
      <c r="F198" t="str">
        <f>VLOOKUP(A198,[1]Kreise!$A$1:$C$53,3,FALSE)</f>
        <v>K03453</v>
      </c>
      <c r="G198">
        <v>14</v>
      </c>
    </row>
    <row r="199" spans="1:7" x14ac:dyDescent="0.25">
      <c r="A199">
        <v>454</v>
      </c>
      <c r="B199">
        <v>2011</v>
      </c>
      <c r="C199" t="str">
        <f>VLOOKUP(A199,[2]Tabelle1!$A$1:$B$68,2,FALSE)</f>
        <v>Emsland</v>
      </c>
      <c r="D199" t="s">
        <v>3</v>
      </c>
      <c r="E199" t="s">
        <v>4</v>
      </c>
      <c r="F199" t="str">
        <f>VLOOKUP(A199,[1]Kreise!$A$1:$C$53,3,FALSE)</f>
        <v>K03454</v>
      </c>
      <c r="G199">
        <v>19</v>
      </c>
    </row>
    <row r="200" spans="1:7" x14ac:dyDescent="0.25">
      <c r="A200">
        <v>455</v>
      </c>
      <c r="B200">
        <v>2011</v>
      </c>
      <c r="C200" t="str">
        <f>VLOOKUP(A200,[2]Tabelle1!$A$1:$B$68,2,FALSE)</f>
        <v>Friesland</v>
      </c>
      <c r="D200" t="s">
        <v>3</v>
      </c>
      <c r="E200" t="s">
        <v>4</v>
      </c>
      <c r="F200" t="str">
        <f>VLOOKUP(A200,[1]Kreise!$A$1:$C$53,3,FALSE)</f>
        <v>K03455</v>
      </c>
      <c r="G200">
        <v>5</v>
      </c>
    </row>
    <row r="201" spans="1:7" x14ac:dyDescent="0.25">
      <c r="A201">
        <v>456</v>
      </c>
      <c r="B201">
        <v>2011</v>
      </c>
      <c r="C201" t="str">
        <f>VLOOKUP(A201,[2]Tabelle1!$A$1:$B$68,2,FALSE)</f>
        <v>Grafschaft Bentheim</v>
      </c>
      <c r="D201" t="s">
        <v>3</v>
      </c>
      <c r="E201" t="s">
        <v>4</v>
      </c>
      <c r="F201" t="str">
        <f>VLOOKUP(A201,[1]Kreise!$A$1:$C$53,3,FALSE)</f>
        <v>K03456</v>
      </c>
      <c r="G201">
        <v>21</v>
      </c>
    </row>
    <row r="202" spans="1:7" x14ac:dyDescent="0.25">
      <c r="A202">
        <v>457</v>
      </c>
      <c r="B202">
        <v>2011</v>
      </c>
      <c r="C202" t="str">
        <f>VLOOKUP(A202,[2]Tabelle1!$A$1:$B$68,2,FALSE)</f>
        <v>Leer</v>
      </c>
      <c r="D202" t="s">
        <v>3</v>
      </c>
      <c r="E202" t="s">
        <v>4</v>
      </c>
      <c r="F202" t="str">
        <f>VLOOKUP(A202,[1]Kreise!$A$1:$C$53,3,FALSE)</f>
        <v>K03457</v>
      </c>
      <c r="G202">
        <v>16</v>
      </c>
    </row>
    <row r="203" spans="1:7" x14ac:dyDescent="0.25">
      <c r="A203">
        <v>458</v>
      </c>
      <c r="B203">
        <v>2011</v>
      </c>
      <c r="C203" t="str">
        <f>VLOOKUP(A203,[2]Tabelle1!$A$1:$B$68,2,FALSE)</f>
        <v>Oldenburg</v>
      </c>
      <c r="D203" t="s">
        <v>3</v>
      </c>
      <c r="E203" t="s">
        <v>4</v>
      </c>
      <c r="F203" t="str">
        <f>VLOOKUP(A203,[1]Kreise!$A$1:$C$53,3,FALSE)</f>
        <v>K03458</v>
      </c>
      <c r="G203">
        <v>8</v>
      </c>
    </row>
    <row r="204" spans="1:7" x14ac:dyDescent="0.25">
      <c r="A204">
        <v>459</v>
      </c>
      <c r="B204">
        <v>2011</v>
      </c>
      <c r="C204" t="str">
        <f>VLOOKUP(A204,[2]Tabelle1!$A$1:$B$68,2,FALSE)</f>
        <v>Osnabrück</v>
      </c>
      <c r="D204" t="s">
        <v>3</v>
      </c>
      <c r="E204" t="s">
        <v>4</v>
      </c>
      <c r="F204" t="str">
        <f>VLOOKUP(A204,[1]Kreise!$A$1:$C$53,3,FALSE)</f>
        <v>K03459</v>
      </c>
      <c r="G204">
        <v>42</v>
      </c>
    </row>
    <row r="205" spans="1:7" x14ac:dyDescent="0.25">
      <c r="A205">
        <v>460</v>
      </c>
      <c r="B205">
        <v>2011</v>
      </c>
      <c r="C205" t="str">
        <f>VLOOKUP(A205,[2]Tabelle1!$A$1:$B$68,2,FALSE)</f>
        <v>Vechta</v>
      </c>
      <c r="D205" t="s">
        <v>3</v>
      </c>
      <c r="E205" t="s">
        <v>4</v>
      </c>
      <c r="F205" t="str">
        <f>VLOOKUP(A205,[1]Kreise!$A$1:$C$53,3,FALSE)</f>
        <v>K03460</v>
      </c>
      <c r="G205">
        <v>28</v>
      </c>
    </row>
    <row r="206" spans="1:7" x14ac:dyDescent="0.25">
      <c r="A206">
        <v>461</v>
      </c>
      <c r="B206">
        <v>2011</v>
      </c>
      <c r="C206" t="str">
        <f>VLOOKUP(A206,[2]Tabelle1!$A$1:$B$68,2,FALSE)</f>
        <v>Wesermarsch</v>
      </c>
      <c r="D206" t="s">
        <v>3</v>
      </c>
      <c r="E206" t="s">
        <v>4</v>
      </c>
      <c r="F206" t="str">
        <f>VLOOKUP(A206,[1]Kreise!$A$1:$C$53,3,FALSE)</f>
        <v>K03461</v>
      </c>
      <c r="G206">
        <v>7</v>
      </c>
    </row>
    <row r="207" spans="1:7" x14ac:dyDescent="0.25">
      <c r="A207">
        <v>462</v>
      </c>
      <c r="B207">
        <v>2011</v>
      </c>
      <c r="C207" t="str">
        <f>VLOOKUP(A207,[2]Tabelle1!$A$1:$B$68,2,FALSE)</f>
        <v>Wittmund</v>
      </c>
      <c r="D207" t="s">
        <v>3</v>
      </c>
      <c r="E207" t="s">
        <v>4</v>
      </c>
      <c r="F207" t="str">
        <f>VLOOKUP(A207,[1]Kreise!$A$1:$C$53,3,FALSE)</f>
        <v>K03462</v>
      </c>
      <c r="G207">
        <v>2</v>
      </c>
    </row>
    <row r="208" spans="1:7" x14ac:dyDescent="0.25">
      <c r="A208">
        <v>4</v>
      </c>
      <c r="B208">
        <v>2011</v>
      </c>
      <c r="C208" t="str">
        <f>VLOOKUP(A208,[2]Tabelle1!$A$1:$B$68,2,FALSE)</f>
        <v>Statistische Region Weser-Ems</v>
      </c>
      <c r="D208" t="s">
        <v>3</v>
      </c>
      <c r="E208" t="s">
        <v>4</v>
      </c>
      <c r="F208" t="str">
        <f>VLOOKUP(A208,[1]Kreise!$A$1:$C$53,3,FALSE)</f>
        <v>K034</v>
      </c>
      <c r="G208">
        <v>258</v>
      </c>
    </row>
    <row r="209" spans="1:7" x14ac:dyDescent="0.25">
      <c r="A209">
        <v>0</v>
      </c>
      <c r="B209">
        <v>2011</v>
      </c>
      <c r="C209" t="str">
        <f>VLOOKUP(A209,[2]Tabelle1!$A$1:$B$68,2,FALSE)</f>
        <v>Niedersachsen</v>
      </c>
      <c r="D209" t="s">
        <v>3</v>
      </c>
      <c r="E209" t="s">
        <v>4</v>
      </c>
      <c r="F209" t="str">
        <f>VLOOKUP(A209,[1]Kreise!$A$1:$C$53,3,FALSE)</f>
        <v>K030</v>
      </c>
      <c r="G209">
        <v>797</v>
      </c>
    </row>
    <row r="210" spans="1:7" x14ac:dyDescent="0.25">
      <c r="A210">
        <v>101</v>
      </c>
      <c r="B210">
        <v>2012</v>
      </c>
      <c r="C210" t="str">
        <f>VLOOKUP(A210,[2]Tabelle1!$A$1:$B$68,2,FALSE)</f>
        <v>Braunschweig  Stadt</v>
      </c>
      <c r="D210" t="s">
        <v>2</v>
      </c>
      <c r="E210" t="s">
        <v>4</v>
      </c>
      <c r="F210" t="str">
        <f>VLOOKUP(A210,[1]Kreise!$A$1:$C$53,3,FALSE)</f>
        <v>K03101</v>
      </c>
      <c r="G210">
        <v>144</v>
      </c>
    </row>
    <row r="211" spans="1:7" x14ac:dyDescent="0.25">
      <c r="A211">
        <v>102</v>
      </c>
      <c r="B211">
        <v>2012</v>
      </c>
      <c r="C211" t="str">
        <f>VLOOKUP(A211,[2]Tabelle1!$A$1:$B$68,2,FALSE)</f>
        <v>Salzgitter  Stadt</v>
      </c>
      <c r="D211" t="s">
        <v>2</v>
      </c>
      <c r="E211" t="s">
        <v>4</v>
      </c>
      <c r="F211" t="str">
        <f>VLOOKUP(A211,[1]Kreise!$A$1:$C$53,3,FALSE)</f>
        <v>K03102</v>
      </c>
      <c r="G211">
        <v>33</v>
      </c>
    </row>
    <row r="212" spans="1:7" x14ac:dyDescent="0.25">
      <c r="A212">
        <v>103</v>
      </c>
      <c r="B212">
        <v>2012</v>
      </c>
      <c r="C212" t="str">
        <f>VLOOKUP(A212,[2]Tabelle1!$A$1:$B$68,2,FALSE)</f>
        <v>Wolfsburg  Stadt</v>
      </c>
      <c r="D212" t="s">
        <v>2</v>
      </c>
      <c r="E212" t="s">
        <v>4</v>
      </c>
      <c r="F212" t="str">
        <f>VLOOKUP(A212,[1]Kreise!$A$1:$C$53,3,FALSE)</f>
        <v>K03103</v>
      </c>
      <c r="G212">
        <v>49</v>
      </c>
    </row>
    <row r="213" spans="1:7" x14ac:dyDescent="0.25">
      <c r="A213">
        <v>151</v>
      </c>
      <c r="B213">
        <v>2012</v>
      </c>
      <c r="C213" t="str">
        <f>VLOOKUP(A213,[2]Tabelle1!$A$1:$B$68,2,FALSE)</f>
        <v>Gifhorn</v>
      </c>
      <c r="D213" t="s">
        <v>2</v>
      </c>
      <c r="E213" t="s">
        <v>4</v>
      </c>
      <c r="F213" t="str">
        <f>VLOOKUP(A213,[1]Kreise!$A$1:$C$53,3,FALSE)</f>
        <v>K03151</v>
      </c>
      <c r="G213">
        <v>82</v>
      </c>
    </row>
    <row r="214" spans="1:7" x14ac:dyDescent="0.25">
      <c r="A214">
        <v>153</v>
      </c>
      <c r="B214">
        <v>2012</v>
      </c>
      <c r="C214" t="str">
        <f>VLOOKUP(A214,[2]Tabelle1!$A$1:$B$68,2,FALSE)</f>
        <v>Goslar</v>
      </c>
      <c r="D214" t="s">
        <v>2</v>
      </c>
      <c r="E214" t="s">
        <v>4</v>
      </c>
      <c r="F214" t="str">
        <f>VLOOKUP(A214,[1]Kreise!$A$1:$C$53,3,FALSE)</f>
        <v>K03153</v>
      </c>
      <c r="G214">
        <v>79</v>
      </c>
    </row>
    <row r="215" spans="1:7" x14ac:dyDescent="0.25">
      <c r="A215">
        <v>154</v>
      </c>
      <c r="B215">
        <v>2012</v>
      </c>
      <c r="C215" t="str">
        <f>VLOOKUP(A215,[2]Tabelle1!$A$1:$B$68,2,FALSE)</f>
        <v>Helmstedt</v>
      </c>
      <c r="D215" t="s">
        <v>2</v>
      </c>
      <c r="E215" t="s">
        <v>4</v>
      </c>
      <c r="F215" t="str">
        <f>VLOOKUP(A215,[1]Kreise!$A$1:$C$53,3,FALSE)</f>
        <v>K03154</v>
      </c>
      <c r="G215">
        <v>49</v>
      </c>
    </row>
    <row r="216" spans="1:7" x14ac:dyDescent="0.25">
      <c r="A216">
        <v>155</v>
      </c>
      <c r="B216">
        <v>2012</v>
      </c>
      <c r="C216" t="str">
        <f>VLOOKUP(A216,[2]Tabelle1!$A$1:$B$68,2,FALSE)</f>
        <v>Northeim</v>
      </c>
      <c r="D216" t="s">
        <v>2</v>
      </c>
      <c r="E216" t="s">
        <v>4</v>
      </c>
      <c r="F216" t="str">
        <f>VLOOKUP(A216,[1]Kreise!$A$1:$C$53,3,FALSE)</f>
        <v>K03155</v>
      </c>
      <c r="G216">
        <v>79</v>
      </c>
    </row>
    <row r="217" spans="1:7" x14ac:dyDescent="0.25">
      <c r="A217">
        <v>157</v>
      </c>
      <c r="B217">
        <v>2012</v>
      </c>
      <c r="C217" t="str">
        <f>VLOOKUP(A217,[2]Tabelle1!$A$1:$B$68,2,FALSE)</f>
        <v>Peine</v>
      </c>
      <c r="D217" t="s">
        <v>2</v>
      </c>
      <c r="E217" t="s">
        <v>4</v>
      </c>
      <c r="F217" t="str">
        <f>VLOOKUP(A217,[1]Kreise!$A$1:$C$53,3,FALSE)</f>
        <v>K03157</v>
      </c>
      <c r="G217">
        <v>51</v>
      </c>
    </row>
    <row r="218" spans="1:7" x14ac:dyDescent="0.25">
      <c r="A218">
        <v>158</v>
      </c>
      <c r="B218">
        <v>2012</v>
      </c>
      <c r="C218" t="str">
        <f>VLOOKUP(A218,[2]Tabelle1!$A$1:$B$68,2,FALSE)</f>
        <v>Wolfenbüttel</v>
      </c>
      <c r="D218" t="s">
        <v>2</v>
      </c>
      <c r="E218" t="s">
        <v>4</v>
      </c>
      <c r="F218" t="str">
        <f>VLOOKUP(A218,[1]Kreise!$A$1:$C$53,3,FALSE)</f>
        <v>K03158</v>
      </c>
      <c r="G218">
        <v>44</v>
      </c>
    </row>
    <row r="219" spans="1:7" x14ac:dyDescent="0.25">
      <c r="A219">
        <v>159</v>
      </c>
      <c r="B219">
        <v>2012</v>
      </c>
      <c r="C219" t="str">
        <f>VLOOKUP(A219,[2]Tabelle1!$A$1:$B$68,2,FALSE)</f>
        <v>Göttingen</v>
      </c>
      <c r="D219" t="s">
        <v>2</v>
      </c>
      <c r="E219" t="s">
        <v>4</v>
      </c>
      <c r="F219" t="str">
        <f>VLOOKUP(A219,[1]Kreise!$A$1:$C$53,3,FALSE)</f>
        <v>K03159</v>
      </c>
      <c r="G219">
        <v>129</v>
      </c>
    </row>
    <row r="220" spans="1:7" x14ac:dyDescent="0.25">
      <c r="A220">
        <v>1</v>
      </c>
      <c r="B220">
        <v>2012</v>
      </c>
      <c r="C220" t="str">
        <f>VLOOKUP(A220,[2]Tabelle1!$A$1:$B$68,2,FALSE)</f>
        <v>Statistische Region Braunschweig</v>
      </c>
      <c r="D220" t="s">
        <v>2</v>
      </c>
      <c r="E220" t="s">
        <v>4</v>
      </c>
      <c r="F220" t="str">
        <f>VLOOKUP(A220,[1]Kreise!$A$1:$C$53,3,FALSE)</f>
        <v>K031</v>
      </c>
      <c r="G220">
        <v>739</v>
      </c>
    </row>
    <row r="221" spans="1:7" x14ac:dyDescent="0.25">
      <c r="A221">
        <v>241</v>
      </c>
      <c r="B221">
        <v>2012</v>
      </c>
      <c r="C221" t="str">
        <f>VLOOKUP(A221,[2]Tabelle1!$A$1:$B$68,2,FALSE)</f>
        <v>Hannover  Region</v>
      </c>
      <c r="D221" t="s">
        <v>2</v>
      </c>
      <c r="E221" t="s">
        <v>4</v>
      </c>
      <c r="F221" t="str">
        <f>VLOOKUP(A221,[1]Kreise!$A$1:$C$53,3,FALSE)</f>
        <v>K03241</v>
      </c>
      <c r="G221">
        <v>451</v>
      </c>
    </row>
    <row r="222" spans="1:7" x14ac:dyDescent="0.25">
      <c r="A222">
        <v>241001</v>
      </c>
      <c r="B222">
        <v>2012</v>
      </c>
      <c r="C222" t="str">
        <f>VLOOKUP(A222,[2]Tabelle1!$A$1:$B$68,2,FALSE)</f>
        <v>dav. Hannover  Lhst.</v>
      </c>
      <c r="D222" t="s">
        <v>2</v>
      </c>
      <c r="E222" t="s">
        <v>4</v>
      </c>
      <c r="F222" t="str">
        <f>VLOOKUP(A222,[1]Kreise!$A$1:$C$53,3,FALSE)</f>
        <v>K03241001</v>
      </c>
      <c r="G222">
        <v>220</v>
      </c>
    </row>
    <row r="223" spans="1:7" x14ac:dyDescent="0.25">
      <c r="A223">
        <v>241999</v>
      </c>
      <c r="B223">
        <v>2012</v>
      </c>
      <c r="C223" t="str">
        <f>VLOOKUP(A223,[2]Tabelle1!$A$1:$B$68,2,FALSE)</f>
        <v>dav. Hannover  Umland</v>
      </c>
      <c r="D223" t="s">
        <v>2</v>
      </c>
      <c r="E223" t="s">
        <v>4</v>
      </c>
      <c r="F223" t="str">
        <f>VLOOKUP(A223,[1]Kreise!$A$1:$C$53,3,FALSE)</f>
        <v>K03241999</v>
      </c>
      <c r="G223">
        <v>231</v>
      </c>
    </row>
    <row r="224" spans="1:7" x14ac:dyDescent="0.25">
      <c r="A224">
        <v>251</v>
      </c>
      <c r="B224">
        <v>2012</v>
      </c>
      <c r="C224" t="str">
        <f>VLOOKUP(A224,[2]Tabelle1!$A$1:$B$68,2,FALSE)</f>
        <v>Diepholz</v>
      </c>
      <c r="D224" t="s">
        <v>2</v>
      </c>
      <c r="E224" t="s">
        <v>4</v>
      </c>
      <c r="F224" t="str">
        <f>VLOOKUP(A224,[1]Kreise!$A$1:$C$53,3,FALSE)</f>
        <v>K03251</v>
      </c>
      <c r="G224">
        <v>81</v>
      </c>
    </row>
    <row r="225" spans="1:7" x14ac:dyDescent="0.25">
      <c r="A225">
        <v>252</v>
      </c>
      <c r="B225">
        <v>2012</v>
      </c>
      <c r="C225" t="str">
        <f>VLOOKUP(A225,[2]Tabelle1!$A$1:$B$68,2,FALSE)</f>
        <v>Hameln-Pyrmont</v>
      </c>
      <c r="D225" t="s">
        <v>2</v>
      </c>
      <c r="E225" t="s">
        <v>4</v>
      </c>
      <c r="F225" t="str">
        <f>VLOOKUP(A225,[1]Kreise!$A$1:$C$53,3,FALSE)</f>
        <v>K03252</v>
      </c>
      <c r="G225">
        <v>88</v>
      </c>
    </row>
    <row r="226" spans="1:7" x14ac:dyDescent="0.25">
      <c r="A226">
        <v>254</v>
      </c>
      <c r="B226">
        <v>2012</v>
      </c>
      <c r="C226" t="str">
        <f>VLOOKUP(A226,[2]Tabelle1!$A$1:$B$68,2,FALSE)</f>
        <v>Hildesheim</v>
      </c>
      <c r="D226" t="s">
        <v>2</v>
      </c>
      <c r="E226" t="s">
        <v>4</v>
      </c>
      <c r="F226" t="str">
        <f>VLOOKUP(A226,[1]Kreise!$A$1:$C$53,3,FALSE)</f>
        <v>K03254</v>
      </c>
      <c r="G226">
        <v>145</v>
      </c>
    </row>
    <row r="227" spans="1:7" x14ac:dyDescent="0.25">
      <c r="A227">
        <v>255</v>
      </c>
      <c r="B227">
        <v>2012</v>
      </c>
      <c r="C227" t="str">
        <f>VLOOKUP(A227,[2]Tabelle1!$A$1:$B$68,2,FALSE)</f>
        <v>Holzminden</v>
      </c>
      <c r="D227" t="s">
        <v>2</v>
      </c>
      <c r="E227" t="s">
        <v>4</v>
      </c>
      <c r="F227" t="str">
        <f>VLOOKUP(A227,[1]Kreise!$A$1:$C$53,3,FALSE)</f>
        <v>K03255</v>
      </c>
      <c r="G227">
        <v>37</v>
      </c>
    </row>
    <row r="228" spans="1:7" x14ac:dyDescent="0.25">
      <c r="A228">
        <v>256</v>
      </c>
      <c r="B228">
        <v>2012</v>
      </c>
      <c r="C228" t="str">
        <f>VLOOKUP(A228,[2]Tabelle1!$A$1:$B$68,2,FALSE)</f>
        <v>Nienburg (Weser)</v>
      </c>
      <c r="D228" t="s">
        <v>2</v>
      </c>
      <c r="E228" t="s">
        <v>4</v>
      </c>
      <c r="F228" t="str">
        <f>VLOOKUP(A228,[1]Kreise!$A$1:$C$53,3,FALSE)</f>
        <v>K03256</v>
      </c>
      <c r="G228">
        <v>62</v>
      </c>
    </row>
    <row r="229" spans="1:7" x14ac:dyDescent="0.25">
      <c r="A229">
        <v>257</v>
      </c>
      <c r="B229">
        <v>2012</v>
      </c>
      <c r="C229" t="str">
        <f>VLOOKUP(A229,[2]Tabelle1!$A$1:$B$68,2,FALSE)</f>
        <v>Schaumburg</v>
      </c>
      <c r="D229" t="s">
        <v>2</v>
      </c>
      <c r="E229" t="s">
        <v>4</v>
      </c>
      <c r="F229" t="str">
        <f>VLOOKUP(A229,[1]Kreise!$A$1:$C$53,3,FALSE)</f>
        <v>K03257</v>
      </c>
      <c r="G229">
        <v>64</v>
      </c>
    </row>
    <row r="230" spans="1:7" x14ac:dyDescent="0.25">
      <c r="A230">
        <v>2</v>
      </c>
      <c r="B230">
        <v>2012</v>
      </c>
      <c r="C230" t="str">
        <f>VLOOKUP(A230,[2]Tabelle1!$A$1:$B$68,2,FALSE)</f>
        <v>Statistische Region Hannover</v>
      </c>
      <c r="D230" t="s">
        <v>2</v>
      </c>
      <c r="E230" t="s">
        <v>4</v>
      </c>
      <c r="F230" t="str">
        <f>VLOOKUP(A230,[1]Kreise!$A$1:$C$53,3,FALSE)</f>
        <v>K032</v>
      </c>
      <c r="G230">
        <v>928</v>
      </c>
    </row>
    <row r="231" spans="1:7" x14ac:dyDescent="0.25">
      <c r="A231">
        <v>351</v>
      </c>
      <c r="B231">
        <v>2012</v>
      </c>
      <c r="C231" t="str">
        <f>VLOOKUP(A231,[2]Tabelle1!$A$1:$B$68,2,FALSE)</f>
        <v>Celle</v>
      </c>
      <c r="D231" t="s">
        <v>2</v>
      </c>
      <c r="E231" t="s">
        <v>4</v>
      </c>
      <c r="F231" t="str">
        <f>VLOOKUP(A231,[1]Kreise!$A$1:$C$53,3,FALSE)</f>
        <v>K03351</v>
      </c>
      <c r="G231">
        <v>126</v>
      </c>
    </row>
    <row r="232" spans="1:7" x14ac:dyDescent="0.25">
      <c r="A232">
        <v>352</v>
      </c>
      <c r="B232">
        <v>2012</v>
      </c>
      <c r="C232" t="str">
        <f>VLOOKUP(A232,[2]Tabelle1!$A$1:$B$68,2,FALSE)</f>
        <v>Cuxhaven</v>
      </c>
      <c r="D232" t="s">
        <v>2</v>
      </c>
      <c r="E232" t="s">
        <v>4</v>
      </c>
      <c r="F232" t="str">
        <f>VLOOKUP(A232,[1]Kreise!$A$1:$C$53,3,FALSE)</f>
        <v>K03352</v>
      </c>
      <c r="G232">
        <v>156</v>
      </c>
    </row>
    <row r="233" spans="1:7" x14ac:dyDescent="0.25">
      <c r="A233">
        <v>353</v>
      </c>
      <c r="B233">
        <v>2012</v>
      </c>
      <c r="C233" t="str">
        <f>VLOOKUP(A233,[2]Tabelle1!$A$1:$B$68,2,FALSE)</f>
        <v>Harburg</v>
      </c>
      <c r="D233" t="s">
        <v>2</v>
      </c>
      <c r="E233" t="s">
        <v>4</v>
      </c>
      <c r="F233" t="str">
        <f>VLOOKUP(A233,[1]Kreise!$A$1:$C$53,3,FALSE)</f>
        <v>K03353</v>
      </c>
      <c r="G233">
        <v>90</v>
      </c>
    </row>
    <row r="234" spans="1:7" x14ac:dyDescent="0.25">
      <c r="A234">
        <v>354</v>
      </c>
      <c r="B234">
        <v>2012</v>
      </c>
      <c r="C234" t="str">
        <f>VLOOKUP(A234,[2]Tabelle1!$A$1:$B$68,2,FALSE)</f>
        <v>Lüchow-Dannenberg</v>
      </c>
      <c r="D234" t="s">
        <v>2</v>
      </c>
      <c r="E234" t="s">
        <v>4</v>
      </c>
      <c r="F234" t="str">
        <f>VLOOKUP(A234,[1]Kreise!$A$1:$C$53,3,FALSE)</f>
        <v>K03354</v>
      </c>
      <c r="G234">
        <v>29</v>
      </c>
    </row>
    <row r="235" spans="1:7" x14ac:dyDescent="0.25">
      <c r="A235">
        <v>355</v>
      </c>
      <c r="B235">
        <v>2012</v>
      </c>
      <c r="C235" t="str">
        <f>VLOOKUP(A235,[2]Tabelle1!$A$1:$B$68,2,FALSE)</f>
        <v>Lüneburg</v>
      </c>
      <c r="D235" t="s">
        <v>2</v>
      </c>
      <c r="E235" t="s">
        <v>4</v>
      </c>
      <c r="F235" t="str">
        <f>VLOOKUP(A235,[1]Kreise!$A$1:$C$53,3,FALSE)</f>
        <v>K03355</v>
      </c>
      <c r="G235">
        <v>84</v>
      </c>
    </row>
    <row r="236" spans="1:7" x14ac:dyDescent="0.25">
      <c r="A236">
        <v>356</v>
      </c>
      <c r="B236">
        <v>2012</v>
      </c>
      <c r="C236" t="str">
        <f>VLOOKUP(A236,[2]Tabelle1!$A$1:$B$68,2,FALSE)</f>
        <v>Osterholz</v>
      </c>
      <c r="D236" t="s">
        <v>2</v>
      </c>
      <c r="E236" t="s">
        <v>4</v>
      </c>
      <c r="F236" t="str">
        <f>VLOOKUP(A236,[1]Kreise!$A$1:$C$53,3,FALSE)</f>
        <v>K03356</v>
      </c>
      <c r="G236">
        <v>44</v>
      </c>
    </row>
    <row r="237" spans="1:7" x14ac:dyDescent="0.25">
      <c r="A237">
        <v>357</v>
      </c>
      <c r="B237">
        <v>2012</v>
      </c>
      <c r="C237" t="str">
        <f>VLOOKUP(A237,[2]Tabelle1!$A$1:$B$68,2,FALSE)</f>
        <v>Rotenburg (Wümme)</v>
      </c>
      <c r="D237" t="s">
        <v>2</v>
      </c>
      <c r="E237" t="s">
        <v>4</v>
      </c>
      <c r="F237" t="str">
        <f>VLOOKUP(A237,[1]Kreise!$A$1:$C$53,3,FALSE)</f>
        <v>K03357</v>
      </c>
      <c r="G237">
        <v>82</v>
      </c>
    </row>
    <row r="238" spans="1:7" x14ac:dyDescent="0.25">
      <c r="A238">
        <v>358</v>
      </c>
      <c r="B238">
        <v>2012</v>
      </c>
      <c r="C238" t="str">
        <f>VLOOKUP(A238,[2]Tabelle1!$A$1:$B$68,2,FALSE)</f>
        <v>Heidekreis</v>
      </c>
      <c r="D238" t="s">
        <v>2</v>
      </c>
      <c r="E238" t="s">
        <v>4</v>
      </c>
      <c r="F238" t="str">
        <f>VLOOKUP(A238,[1]Kreise!$A$1:$C$53,3,FALSE)</f>
        <v>K03358</v>
      </c>
      <c r="G238">
        <v>109</v>
      </c>
    </row>
    <row r="239" spans="1:7" x14ac:dyDescent="0.25">
      <c r="A239">
        <v>359</v>
      </c>
      <c r="B239">
        <v>2012</v>
      </c>
      <c r="C239" t="str">
        <f>VLOOKUP(A239,[2]Tabelle1!$A$1:$B$68,2,FALSE)</f>
        <v>Stade</v>
      </c>
      <c r="D239" t="s">
        <v>2</v>
      </c>
      <c r="E239" t="s">
        <v>4</v>
      </c>
      <c r="F239" t="str">
        <f>VLOOKUP(A239,[1]Kreise!$A$1:$C$53,3,FALSE)</f>
        <v>K03359</v>
      </c>
      <c r="G239">
        <v>112</v>
      </c>
    </row>
    <row r="240" spans="1:7" x14ac:dyDescent="0.25">
      <c r="A240">
        <v>360</v>
      </c>
      <c r="B240">
        <v>2012</v>
      </c>
      <c r="C240" t="str">
        <f>VLOOKUP(A240,[2]Tabelle1!$A$1:$B$68,2,FALSE)</f>
        <v>Uelzen</v>
      </c>
      <c r="D240" t="s">
        <v>2</v>
      </c>
      <c r="E240" t="s">
        <v>4</v>
      </c>
      <c r="F240" t="str">
        <f>VLOOKUP(A240,[1]Kreise!$A$1:$C$53,3,FALSE)</f>
        <v>K03360</v>
      </c>
      <c r="G240">
        <v>45</v>
      </c>
    </row>
    <row r="241" spans="1:7" x14ac:dyDescent="0.25">
      <c r="A241">
        <v>361</v>
      </c>
      <c r="B241">
        <v>2012</v>
      </c>
      <c r="C241" t="str">
        <f>VLOOKUP(A241,[2]Tabelle1!$A$1:$B$68,2,FALSE)</f>
        <v>Verden</v>
      </c>
      <c r="D241" t="s">
        <v>2</v>
      </c>
      <c r="E241" t="s">
        <v>4</v>
      </c>
      <c r="F241" t="str">
        <f>VLOOKUP(A241,[1]Kreise!$A$1:$C$53,3,FALSE)</f>
        <v>K03361</v>
      </c>
      <c r="G241">
        <v>48</v>
      </c>
    </row>
    <row r="242" spans="1:7" x14ac:dyDescent="0.25">
      <c r="A242">
        <v>3</v>
      </c>
      <c r="B242">
        <v>2012</v>
      </c>
      <c r="C242" t="str">
        <f>VLOOKUP(A242,[2]Tabelle1!$A$1:$B$68,2,FALSE)</f>
        <v>Statistische Region Lüneburg</v>
      </c>
      <c r="D242" t="s">
        <v>2</v>
      </c>
      <c r="E242" t="s">
        <v>4</v>
      </c>
      <c r="F242" t="str">
        <f>VLOOKUP(A242,[1]Kreise!$A$1:$C$53,3,FALSE)</f>
        <v>K033</v>
      </c>
      <c r="G242">
        <v>925</v>
      </c>
    </row>
    <row r="243" spans="1:7" x14ac:dyDescent="0.25">
      <c r="A243">
        <v>401</v>
      </c>
      <c r="B243">
        <v>2012</v>
      </c>
      <c r="C243" t="str">
        <f>VLOOKUP(A243,[2]Tabelle1!$A$1:$B$68,2,FALSE)</f>
        <v>Delmenhorst  Stadt</v>
      </c>
      <c r="D243" t="s">
        <v>2</v>
      </c>
      <c r="E243" t="s">
        <v>4</v>
      </c>
      <c r="F243" t="str">
        <f>VLOOKUP(A243,[1]Kreise!$A$1:$C$53,3,FALSE)</f>
        <v>K03401</v>
      </c>
      <c r="G243">
        <v>37</v>
      </c>
    </row>
    <row r="244" spans="1:7" x14ac:dyDescent="0.25">
      <c r="A244">
        <v>402</v>
      </c>
      <c r="B244">
        <v>2012</v>
      </c>
      <c r="C244" t="str">
        <f>VLOOKUP(A244,[2]Tabelle1!$A$1:$B$68,2,FALSE)</f>
        <v>Emden  Stadt</v>
      </c>
      <c r="D244" t="s">
        <v>2</v>
      </c>
      <c r="E244" t="s">
        <v>4</v>
      </c>
      <c r="F244" t="str">
        <f>VLOOKUP(A244,[1]Kreise!$A$1:$C$53,3,FALSE)</f>
        <v>K03402</v>
      </c>
      <c r="G244">
        <v>49</v>
      </c>
    </row>
    <row r="245" spans="1:7" x14ac:dyDescent="0.25">
      <c r="A245">
        <v>403</v>
      </c>
      <c r="B245">
        <v>2012</v>
      </c>
      <c r="C245" t="str">
        <f>VLOOKUP(A245,[2]Tabelle1!$A$1:$B$68,2,FALSE)</f>
        <v>Oldenburg(Oldb)  Stadt</v>
      </c>
      <c r="D245" t="s">
        <v>2</v>
      </c>
      <c r="E245" t="s">
        <v>4</v>
      </c>
      <c r="F245" t="str">
        <f>VLOOKUP(A245,[1]Kreise!$A$1:$C$53,3,FALSE)</f>
        <v>K03403</v>
      </c>
      <c r="G245">
        <v>80</v>
      </c>
    </row>
    <row r="246" spans="1:7" x14ac:dyDescent="0.25">
      <c r="A246">
        <v>404</v>
      </c>
      <c r="B246">
        <v>2012</v>
      </c>
      <c r="C246" t="str">
        <f>VLOOKUP(A246,[2]Tabelle1!$A$1:$B$68,2,FALSE)</f>
        <v>Osnabrück  Stadt</v>
      </c>
      <c r="D246" t="s">
        <v>2</v>
      </c>
      <c r="E246" t="s">
        <v>4</v>
      </c>
      <c r="F246" t="str">
        <f>VLOOKUP(A246,[1]Kreise!$A$1:$C$53,3,FALSE)</f>
        <v>K03404</v>
      </c>
      <c r="G246">
        <v>93</v>
      </c>
    </row>
    <row r="247" spans="1:7" x14ac:dyDescent="0.25">
      <c r="A247">
        <v>405</v>
      </c>
      <c r="B247">
        <v>2012</v>
      </c>
      <c r="C247" t="str">
        <f>VLOOKUP(A247,[2]Tabelle1!$A$1:$B$68,2,FALSE)</f>
        <v>Wilhelmshaven  Stadt</v>
      </c>
      <c r="D247" t="s">
        <v>2</v>
      </c>
      <c r="E247" t="s">
        <v>4</v>
      </c>
      <c r="F247" t="str">
        <f>VLOOKUP(A247,[1]Kreise!$A$1:$C$53,3,FALSE)</f>
        <v>K03405</v>
      </c>
      <c r="G247">
        <v>31</v>
      </c>
    </row>
    <row r="248" spans="1:7" x14ac:dyDescent="0.25">
      <c r="A248">
        <v>451</v>
      </c>
      <c r="B248">
        <v>2012</v>
      </c>
      <c r="C248" t="str">
        <f>VLOOKUP(A248,[2]Tabelle1!$A$1:$B$68,2,FALSE)</f>
        <v>Ammerland</v>
      </c>
      <c r="D248" t="s">
        <v>2</v>
      </c>
      <c r="E248" t="s">
        <v>4</v>
      </c>
      <c r="F248" t="str">
        <f>VLOOKUP(A248,[1]Kreise!$A$1:$C$53,3,FALSE)</f>
        <v>K03451</v>
      </c>
      <c r="G248">
        <v>44</v>
      </c>
    </row>
    <row r="249" spans="1:7" x14ac:dyDescent="0.25">
      <c r="A249">
        <v>452</v>
      </c>
      <c r="B249">
        <v>2012</v>
      </c>
      <c r="C249" t="str">
        <f>VLOOKUP(A249,[2]Tabelle1!$A$1:$B$68,2,FALSE)</f>
        <v>Aurich</v>
      </c>
      <c r="D249" t="s">
        <v>2</v>
      </c>
      <c r="E249" t="s">
        <v>4</v>
      </c>
      <c r="F249" t="str">
        <f>VLOOKUP(A249,[1]Kreise!$A$1:$C$53,3,FALSE)</f>
        <v>K03452</v>
      </c>
      <c r="G249">
        <v>171</v>
      </c>
    </row>
    <row r="250" spans="1:7" x14ac:dyDescent="0.25">
      <c r="A250">
        <v>453</v>
      </c>
      <c r="B250">
        <v>2012</v>
      </c>
      <c r="C250" t="str">
        <f>VLOOKUP(A250,[2]Tabelle1!$A$1:$B$68,2,FALSE)</f>
        <v>Cloppenburg</v>
      </c>
      <c r="D250" t="s">
        <v>2</v>
      </c>
      <c r="E250" t="s">
        <v>4</v>
      </c>
      <c r="F250" t="str">
        <f>VLOOKUP(A250,[1]Kreise!$A$1:$C$53,3,FALSE)</f>
        <v>K03453</v>
      </c>
      <c r="G250">
        <v>115</v>
      </c>
    </row>
    <row r="251" spans="1:7" x14ac:dyDescent="0.25">
      <c r="A251">
        <v>454</v>
      </c>
      <c r="B251">
        <v>2012</v>
      </c>
      <c r="C251" t="str">
        <f>VLOOKUP(A251,[2]Tabelle1!$A$1:$B$68,2,FALSE)</f>
        <v>Emsland</v>
      </c>
      <c r="D251" t="s">
        <v>2</v>
      </c>
      <c r="E251" t="s">
        <v>4</v>
      </c>
      <c r="F251" t="str">
        <f>VLOOKUP(A251,[1]Kreise!$A$1:$C$53,3,FALSE)</f>
        <v>K03454</v>
      </c>
      <c r="G251">
        <v>164</v>
      </c>
    </row>
    <row r="252" spans="1:7" x14ac:dyDescent="0.25">
      <c r="A252">
        <v>455</v>
      </c>
      <c r="B252">
        <v>2012</v>
      </c>
      <c r="C252" t="str">
        <f>VLOOKUP(A252,[2]Tabelle1!$A$1:$B$68,2,FALSE)</f>
        <v>Friesland</v>
      </c>
      <c r="D252" t="s">
        <v>2</v>
      </c>
      <c r="E252" t="s">
        <v>4</v>
      </c>
      <c r="F252" t="str">
        <f>VLOOKUP(A252,[1]Kreise!$A$1:$C$53,3,FALSE)</f>
        <v>K03455</v>
      </c>
      <c r="G252">
        <v>58</v>
      </c>
    </row>
    <row r="253" spans="1:7" x14ac:dyDescent="0.25">
      <c r="A253">
        <v>456</v>
      </c>
      <c r="B253">
        <v>2012</v>
      </c>
      <c r="C253" t="str">
        <f>VLOOKUP(A253,[2]Tabelle1!$A$1:$B$68,2,FALSE)</f>
        <v>Grafschaft Bentheim</v>
      </c>
      <c r="D253" t="s">
        <v>2</v>
      </c>
      <c r="E253" t="s">
        <v>4</v>
      </c>
      <c r="F253" t="str">
        <f>VLOOKUP(A253,[1]Kreise!$A$1:$C$53,3,FALSE)</f>
        <v>K03456</v>
      </c>
      <c r="G253">
        <v>89</v>
      </c>
    </row>
    <row r="254" spans="1:7" x14ac:dyDescent="0.25">
      <c r="A254">
        <v>457</v>
      </c>
      <c r="B254">
        <v>2012</v>
      </c>
      <c r="C254" t="str">
        <f>VLOOKUP(A254,[2]Tabelle1!$A$1:$B$68,2,FALSE)</f>
        <v>Leer</v>
      </c>
      <c r="D254" t="s">
        <v>2</v>
      </c>
      <c r="E254" t="s">
        <v>4</v>
      </c>
      <c r="F254" t="str">
        <f>VLOOKUP(A254,[1]Kreise!$A$1:$C$53,3,FALSE)</f>
        <v>K03457</v>
      </c>
      <c r="G254">
        <v>150</v>
      </c>
    </row>
    <row r="255" spans="1:7" x14ac:dyDescent="0.25">
      <c r="A255">
        <v>458</v>
      </c>
      <c r="B255">
        <v>2012</v>
      </c>
      <c r="C255" t="str">
        <f>VLOOKUP(A255,[2]Tabelle1!$A$1:$B$68,2,FALSE)</f>
        <v>Oldenburg</v>
      </c>
      <c r="D255" t="s">
        <v>2</v>
      </c>
      <c r="E255" t="s">
        <v>4</v>
      </c>
      <c r="F255" t="str">
        <f>VLOOKUP(A255,[1]Kreise!$A$1:$C$53,3,FALSE)</f>
        <v>K03458</v>
      </c>
      <c r="G255">
        <v>63</v>
      </c>
    </row>
    <row r="256" spans="1:7" x14ac:dyDescent="0.25">
      <c r="A256">
        <v>459</v>
      </c>
      <c r="B256">
        <v>2012</v>
      </c>
      <c r="C256" t="str">
        <f>VLOOKUP(A256,[2]Tabelle1!$A$1:$B$68,2,FALSE)</f>
        <v>Osnabrück</v>
      </c>
      <c r="D256" t="s">
        <v>2</v>
      </c>
      <c r="E256" t="s">
        <v>4</v>
      </c>
      <c r="F256" t="str">
        <f>VLOOKUP(A256,[1]Kreise!$A$1:$C$53,3,FALSE)</f>
        <v>K03459</v>
      </c>
      <c r="G256">
        <v>176</v>
      </c>
    </row>
    <row r="257" spans="1:7" x14ac:dyDescent="0.25">
      <c r="A257">
        <v>460</v>
      </c>
      <c r="B257">
        <v>2012</v>
      </c>
      <c r="C257" t="str">
        <f>VLOOKUP(A257,[2]Tabelle1!$A$1:$B$68,2,FALSE)</f>
        <v>Vechta</v>
      </c>
      <c r="D257" t="s">
        <v>2</v>
      </c>
      <c r="E257" t="s">
        <v>4</v>
      </c>
      <c r="F257" t="str">
        <f>VLOOKUP(A257,[1]Kreise!$A$1:$C$53,3,FALSE)</f>
        <v>K03460</v>
      </c>
      <c r="G257">
        <v>106</v>
      </c>
    </row>
    <row r="258" spans="1:7" x14ac:dyDescent="0.25">
      <c r="A258">
        <v>461</v>
      </c>
      <c r="B258">
        <v>2012</v>
      </c>
      <c r="C258" t="str">
        <f>VLOOKUP(A258,[2]Tabelle1!$A$1:$B$68,2,FALSE)</f>
        <v>Wesermarsch</v>
      </c>
      <c r="D258" t="s">
        <v>2</v>
      </c>
      <c r="E258" t="s">
        <v>4</v>
      </c>
      <c r="F258" t="str">
        <f>VLOOKUP(A258,[1]Kreise!$A$1:$C$53,3,FALSE)</f>
        <v>K03461</v>
      </c>
      <c r="G258">
        <v>34</v>
      </c>
    </row>
    <row r="259" spans="1:7" x14ac:dyDescent="0.25">
      <c r="A259">
        <v>462</v>
      </c>
      <c r="B259">
        <v>2012</v>
      </c>
      <c r="C259" t="str">
        <f>VLOOKUP(A259,[2]Tabelle1!$A$1:$B$68,2,FALSE)</f>
        <v>Wittmund</v>
      </c>
      <c r="D259" t="s">
        <v>2</v>
      </c>
      <c r="E259" t="s">
        <v>4</v>
      </c>
      <c r="F259" t="str">
        <f>VLOOKUP(A259,[1]Kreise!$A$1:$C$53,3,FALSE)</f>
        <v>K03462</v>
      </c>
      <c r="G259">
        <v>30</v>
      </c>
    </row>
    <row r="260" spans="1:7" x14ac:dyDescent="0.25">
      <c r="A260">
        <v>4</v>
      </c>
      <c r="B260">
        <v>2012</v>
      </c>
      <c r="C260" t="str">
        <f>VLOOKUP(A260,[2]Tabelle1!$A$1:$B$68,2,FALSE)</f>
        <v>Statistische Region Weser-Ems</v>
      </c>
      <c r="D260" t="s">
        <v>2</v>
      </c>
      <c r="E260" t="s">
        <v>4</v>
      </c>
      <c r="F260" t="str">
        <f>VLOOKUP(A260,[1]Kreise!$A$1:$C$53,3,FALSE)</f>
        <v>K034</v>
      </c>
      <c r="G260">
        <v>1490</v>
      </c>
    </row>
    <row r="261" spans="1:7" x14ac:dyDescent="0.25">
      <c r="A261">
        <v>0</v>
      </c>
      <c r="B261">
        <v>2012</v>
      </c>
      <c r="C261" t="str">
        <f>VLOOKUP(A261,[2]Tabelle1!$A$1:$B$68,2,FALSE)</f>
        <v>Niedersachsen</v>
      </c>
      <c r="D261" t="s">
        <v>2</v>
      </c>
      <c r="E261" t="s">
        <v>4</v>
      </c>
      <c r="F261" t="str">
        <f>VLOOKUP(A261,[1]Kreise!$A$1:$C$53,3,FALSE)</f>
        <v>K030</v>
      </c>
      <c r="G261">
        <v>4082</v>
      </c>
    </row>
    <row r="262" spans="1:7" x14ac:dyDescent="0.25">
      <c r="A262">
        <v>101</v>
      </c>
      <c r="B262">
        <v>2012</v>
      </c>
      <c r="C262" t="str">
        <f>VLOOKUP(A262,[2]Tabelle1!$A$1:$B$68,2,FALSE)</f>
        <v>Braunschweig  Stadt</v>
      </c>
      <c r="D262" t="s">
        <v>3</v>
      </c>
      <c r="E262" t="s">
        <v>4</v>
      </c>
      <c r="F262" t="str">
        <f>VLOOKUP(A262,[1]Kreise!$A$1:$C$53,3,FALSE)</f>
        <v>K03101</v>
      </c>
      <c r="G262">
        <v>15</v>
      </c>
    </row>
    <row r="263" spans="1:7" x14ac:dyDescent="0.25">
      <c r="A263">
        <v>102</v>
      </c>
      <c r="B263">
        <v>2012</v>
      </c>
      <c r="C263" t="str">
        <f>VLOOKUP(A263,[2]Tabelle1!$A$1:$B$68,2,FALSE)</f>
        <v>Salzgitter  Stadt</v>
      </c>
      <c r="D263" t="s">
        <v>3</v>
      </c>
      <c r="E263" t="s">
        <v>4</v>
      </c>
      <c r="F263" t="str">
        <f>VLOOKUP(A263,[1]Kreise!$A$1:$C$53,3,FALSE)</f>
        <v>K03102</v>
      </c>
      <c r="G263">
        <v>1</v>
      </c>
    </row>
    <row r="264" spans="1:7" x14ac:dyDescent="0.25">
      <c r="A264">
        <v>103</v>
      </c>
      <c r="B264">
        <v>2012</v>
      </c>
      <c r="C264" t="str">
        <f>VLOOKUP(A264,[2]Tabelle1!$A$1:$B$68,2,FALSE)</f>
        <v>Wolfsburg  Stadt</v>
      </c>
      <c r="D264" t="s">
        <v>3</v>
      </c>
      <c r="E264" t="s">
        <v>4</v>
      </c>
      <c r="F264" t="str">
        <f>VLOOKUP(A264,[1]Kreise!$A$1:$C$53,3,FALSE)</f>
        <v>K03103</v>
      </c>
      <c r="G264">
        <v>9</v>
      </c>
    </row>
    <row r="265" spans="1:7" x14ac:dyDescent="0.25">
      <c r="A265">
        <v>151</v>
      </c>
      <c r="B265">
        <v>2012</v>
      </c>
      <c r="C265" t="str">
        <f>VLOOKUP(A265,[2]Tabelle1!$A$1:$B$68,2,FALSE)</f>
        <v>Gifhorn</v>
      </c>
      <c r="D265" t="s">
        <v>3</v>
      </c>
      <c r="E265" t="s">
        <v>4</v>
      </c>
      <c r="F265" t="str">
        <f>VLOOKUP(A265,[1]Kreise!$A$1:$C$53,3,FALSE)</f>
        <v>K03151</v>
      </c>
      <c r="G265">
        <v>8</v>
      </c>
    </row>
    <row r="266" spans="1:7" x14ac:dyDescent="0.25">
      <c r="A266">
        <v>153</v>
      </c>
      <c r="B266">
        <v>2012</v>
      </c>
      <c r="C266" t="str">
        <f>VLOOKUP(A266,[2]Tabelle1!$A$1:$B$68,2,FALSE)</f>
        <v>Goslar</v>
      </c>
      <c r="D266" t="s">
        <v>3</v>
      </c>
      <c r="E266" t="s">
        <v>4</v>
      </c>
      <c r="F266" t="str">
        <f>VLOOKUP(A266,[1]Kreise!$A$1:$C$53,3,FALSE)</f>
        <v>K03153</v>
      </c>
      <c r="G266">
        <v>10</v>
      </c>
    </row>
    <row r="267" spans="1:7" x14ac:dyDescent="0.25">
      <c r="A267">
        <v>154</v>
      </c>
      <c r="B267">
        <v>2012</v>
      </c>
      <c r="C267" t="str">
        <f>VLOOKUP(A267,[2]Tabelle1!$A$1:$B$68,2,FALSE)</f>
        <v>Helmstedt</v>
      </c>
      <c r="D267" t="s">
        <v>3</v>
      </c>
      <c r="E267" t="s">
        <v>4</v>
      </c>
      <c r="F267" t="str">
        <f>VLOOKUP(A267,[1]Kreise!$A$1:$C$53,3,FALSE)</f>
        <v>K03154</v>
      </c>
      <c r="G267">
        <v>1</v>
      </c>
    </row>
    <row r="268" spans="1:7" x14ac:dyDescent="0.25">
      <c r="A268">
        <v>155</v>
      </c>
      <c r="B268">
        <v>2012</v>
      </c>
      <c r="C268" t="str">
        <f>VLOOKUP(A268,[2]Tabelle1!$A$1:$B$68,2,FALSE)</f>
        <v>Northeim</v>
      </c>
      <c r="D268" t="s">
        <v>3</v>
      </c>
      <c r="E268" t="s">
        <v>4</v>
      </c>
      <c r="F268" t="str">
        <f>VLOOKUP(A268,[1]Kreise!$A$1:$C$53,3,FALSE)</f>
        <v>K03155</v>
      </c>
      <c r="G268">
        <v>17</v>
      </c>
    </row>
    <row r="269" spans="1:7" x14ac:dyDescent="0.25">
      <c r="A269">
        <v>157</v>
      </c>
      <c r="B269">
        <v>2012</v>
      </c>
      <c r="C269" t="str">
        <f>VLOOKUP(A269,[2]Tabelle1!$A$1:$B$68,2,FALSE)</f>
        <v>Peine</v>
      </c>
      <c r="D269" t="s">
        <v>3</v>
      </c>
      <c r="E269" t="s">
        <v>4</v>
      </c>
      <c r="F269" t="str">
        <f>VLOOKUP(A269,[1]Kreise!$A$1:$C$53,3,FALSE)</f>
        <v>K03157</v>
      </c>
      <c r="G269">
        <v>13</v>
      </c>
    </row>
    <row r="270" spans="1:7" x14ac:dyDescent="0.25">
      <c r="A270">
        <v>158</v>
      </c>
      <c r="B270">
        <v>2012</v>
      </c>
      <c r="C270" t="str">
        <f>VLOOKUP(A270,[2]Tabelle1!$A$1:$B$68,2,FALSE)</f>
        <v>Wolfenbüttel</v>
      </c>
      <c r="D270" t="s">
        <v>3</v>
      </c>
      <c r="E270" t="s">
        <v>4</v>
      </c>
      <c r="F270" t="str">
        <f>VLOOKUP(A270,[1]Kreise!$A$1:$C$53,3,FALSE)</f>
        <v>K03158</v>
      </c>
      <c r="G270">
        <v>5</v>
      </c>
    </row>
    <row r="271" spans="1:7" x14ac:dyDescent="0.25">
      <c r="A271">
        <v>159</v>
      </c>
      <c r="B271">
        <v>2012</v>
      </c>
      <c r="C271" t="str">
        <f>VLOOKUP(A271,[2]Tabelle1!$A$1:$B$68,2,FALSE)</f>
        <v>Göttingen</v>
      </c>
      <c r="D271" t="s">
        <v>3</v>
      </c>
      <c r="E271" t="s">
        <v>4</v>
      </c>
      <c r="F271" t="str">
        <f>VLOOKUP(A271,[1]Kreise!$A$1:$C$53,3,FALSE)</f>
        <v>K03159</v>
      </c>
      <c r="G271">
        <v>22</v>
      </c>
    </row>
    <row r="272" spans="1:7" x14ac:dyDescent="0.25">
      <c r="A272">
        <v>1</v>
      </c>
      <c r="B272">
        <v>2012</v>
      </c>
      <c r="C272" t="str">
        <f>VLOOKUP(A272,[2]Tabelle1!$A$1:$B$68,2,FALSE)</f>
        <v>Statistische Region Braunschweig</v>
      </c>
      <c r="D272" t="s">
        <v>3</v>
      </c>
      <c r="E272" t="s">
        <v>4</v>
      </c>
      <c r="F272" t="str">
        <f>VLOOKUP(A272,[1]Kreise!$A$1:$C$53,3,FALSE)</f>
        <v>K031</v>
      </c>
      <c r="G272">
        <v>101</v>
      </c>
    </row>
    <row r="273" spans="1:7" x14ac:dyDescent="0.25">
      <c r="A273">
        <v>241</v>
      </c>
      <c r="B273">
        <v>2012</v>
      </c>
      <c r="C273" t="str">
        <f>VLOOKUP(A273,[2]Tabelle1!$A$1:$B$68,2,FALSE)</f>
        <v>Hannover  Region</v>
      </c>
      <c r="D273" t="s">
        <v>3</v>
      </c>
      <c r="E273" t="s">
        <v>4</v>
      </c>
      <c r="F273" t="str">
        <f>VLOOKUP(A273,[1]Kreise!$A$1:$C$53,3,FALSE)</f>
        <v>K03241</v>
      </c>
      <c r="G273">
        <v>163</v>
      </c>
    </row>
    <row r="274" spans="1:7" x14ac:dyDescent="0.25">
      <c r="A274">
        <v>241001</v>
      </c>
      <c r="B274">
        <v>2012</v>
      </c>
      <c r="C274" t="str">
        <f>VLOOKUP(A274,[2]Tabelle1!$A$1:$B$68,2,FALSE)</f>
        <v>dav. Hannover  Lhst.</v>
      </c>
      <c r="D274" t="s">
        <v>3</v>
      </c>
      <c r="E274" t="s">
        <v>4</v>
      </c>
      <c r="F274" t="str">
        <f>VLOOKUP(A274,[1]Kreise!$A$1:$C$53,3,FALSE)</f>
        <v>K03241001</v>
      </c>
      <c r="G274">
        <v>99</v>
      </c>
    </row>
    <row r="275" spans="1:7" x14ac:dyDescent="0.25">
      <c r="A275">
        <v>241999</v>
      </c>
      <c r="B275">
        <v>2012</v>
      </c>
      <c r="C275" t="str">
        <f>VLOOKUP(A275,[2]Tabelle1!$A$1:$B$68,2,FALSE)</f>
        <v>dav. Hannover  Umland</v>
      </c>
      <c r="D275" t="s">
        <v>3</v>
      </c>
      <c r="E275" t="s">
        <v>4</v>
      </c>
      <c r="F275" t="str">
        <f>VLOOKUP(A275,[1]Kreise!$A$1:$C$53,3,FALSE)</f>
        <v>K03241999</v>
      </c>
      <c r="G275">
        <v>64</v>
      </c>
    </row>
    <row r="276" spans="1:7" x14ac:dyDescent="0.25">
      <c r="A276">
        <v>251</v>
      </c>
      <c r="B276">
        <v>2012</v>
      </c>
      <c r="C276" t="str">
        <f>VLOOKUP(A276,[2]Tabelle1!$A$1:$B$68,2,FALSE)</f>
        <v>Diepholz</v>
      </c>
      <c r="D276" t="s">
        <v>3</v>
      </c>
      <c r="E276" t="s">
        <v>4</v>
      </c>
      <c r="F276" t="str">
        <f>VLOOKUP(A276,[1]Kreise!$A$1:$C$53,3,FALSE)</f>
        <v>K03251</v>
      </c>
      <c r="G276">
        <v>9</v>
      </c>
    </row>
    <row r="277" spans="1:7" x14ac:dyDescent="0.25">
      <c r="A277">
        <v>252</v>
      </c>
      <c r="B277">
        <v>2012</v>
      </c>
      <c r="C277" t="str">
        <f>VLOOKUP(A277,[2]Tabelle1!$A$1:$B$68,2,FALSE)</f>
        <v>Hameln-Pyrmont</v>
      </c>
      <c r="D277" t="s">
        <v>3</v>
      </c>
      <c r="E277" t="s">
        <v>4</v>
      </c>
      <c r="F277" t="str">
        <f>VLOOKUP(A277,[1]Kreise!$A$1:$C$53,3,FALSE)</f>
        <v>K03252</v>
      </c>
      <c r="G277">
        <v>9</v>
      </c>
    </row>
    <row r="278" spans="1:7" x14ac:dyDescent="0.25">
      <c r="A278">
        <v>254</v>
      </c>
      <c r="B278">
        <v>2012</v>
      </c>
      <c r="C278" t="str">
        <f>VLOOKUP(A278,[2]Tabelle1!$A$1:$B$68,2,FALSE)</f>
        <v>Hildesheim</v>
      </c>
      <c r="D278" t="s">
        <v>3</v>
      </c>
      <c r="E278" t="s">
        <v>4</v>
      </c>
      <c r="F278" t="str">
        <f>VLOOKUP(A278,[1]Kreise!$A$1:$C$53,3,FALSE)</f>
        <v>K03254</v>
      </c>
      <c r="G278">
        <v>25</v>
      </c>
    </row>
    <row r="279" spans="1:7" x14ac:dyDescent="0.25">
      <c r="A279">
        <v>255</v>
      </c>
      <c r="B279">
        <v>2012</v>
      </c>
      <c r="C279" t="str">
        <f>VLOOKUP(A279,[2]Tabelle1!$A$1:$B$68,2,FALSE)</f>
        <v>Holzminden</v>
      </c>
      <c r="D279" t="s">
        <v>3</v>
      </c>
      <c r="E279" t="s">
        <v>4</v>
      </c>
      <c r="F279" t="str">
        <f>VLOOKUP(A279,[1]Kreise!$A$1:$C$53,3,FALSE)</f>
        <v>K03255</v>
      </c>
      <c r="G279">
        <v>5</v>
      </c>
    </row>
    <row r="280" spans="1:7" x14ac:dyDescent="0.25">
      <c r="A280">
        <v>256</v>
      </c>
      <c r="B280">
        <v>2012</v>
      </c>
      <c r="C280" t="str">
        <f>VLOOKUP(A280,[2]Tabelle1!$A$1:$B$68,2,FALSE)</f>
        <v>Nienburg (Weser)</v>
      </c>
      <c r="D280" t="s">
        <v>3</v>
      </c>
      <c r="E280" t="s">
        <v>4</v>
      </c>
      <c r="F280" t="str">
        <f>VLOOKUP(A280,[1]Kreise!$A$1:$C$53,3,FALSE)</f>
        <v>K03256</v>
      </c>
      <c r="G280">
        <v>14</v>
      </c>
    </row>
    <row r="281" spans="1:7" x14ac:dyDescent="0.25">
      <c r="A281">
        <v>257</v>
      </c>
      <c r="B281">
        <v>2012</v>
      </c>
      <c r="C281" t="str">
        <f>VLOOKUP(A281,[2]Tabelle1!$A$1:$B$68,2,FALSE)</f>
        <v>Schaumburg</v>
      </c>
      <c r="D281" t="s">
        <v>3</v>
      </c>
      <c r="E281" t="s">
        <v>4</v>
      </c>
      <c r="F281" t="str">
        <f>VLOOKUP(A281,[1]Kreise!$A$1:$C$53,3,FALSE)</f>
        <v>K03257</v>
      </c>
      <c r="G281">
        <v>13</v>
      </c>
    </row>
    <row r="282" spans="1:7" x14ac:dyDescent="0.25">
      <c r="A282">
        <v>2</v>
      </c>
      <c r="B282">
        <v>2012</v>
      </c>
      <c r="C282" t="str">
        <f>VLOOKUP(A282,[2]Tabelle1!$A$1:$B$68,2,FALSE)</f>
        <v>Statistische Region Hannover</v>
      </c>
      <c r="D282" t="s">
        <v>3</v>
      </c>
      <c r="E282" t="s">
        <v>4</v>
      </c>
      <c r="F282" t="str">
        <f>VLOOKUP(A282,[1]Kreise!$A$1:$C$53,3,FALSE)</f>
        <v>K032</v>
      </c>
      <c r="G282">
        <v>238</v>
      </c>
    </row>
    <row r="283" spans="1:7" x14ac:dyDescent="0.25">
      <c r="A283">
        <v>351</v>
      </c>
      <c r="B283">
        <v>2012</v>
      </c>
      <c r="C283" t="str">
        <f>VLOOKUP(A283,[2]Tabelle1!$A$1:$B$68,2,FALSE)</f>
        <v>Celle</v>
      </c>
      <c r="D283" t="s">
        <v>3</v>
      </c>
      <c r="E283" t="s">
        <v>4</v>
      </c>
      <c r="F283" t="str">
        <f>VLOOKUP(A283,[1]Kreise!$A$1:$C$53,3,FALSE)</f>
        <v>K03351</v>
      </c>
      <c r="G283">
        <v>5</v>
      </c>
    </row>
    <row r="284" spans="1:7" x14ac:dyDescent="0.25">
      <c r="A284">
        <v>352</v>
      </c>
      <c r="B284">
        <v>2012</v>
      </c>
      <c r="C284" t="str">
        <f>VLOOKUP(A284,[2]Tabelle1!$A$1:$B$68,2,FALSE)</f>
        <v>Cuxhaven</v>
      </c>
      <c r="D284" t="s">
        <v>3</v>
      </c>
      <c r="E284" t="s">
        <v>4</v>
      </c>
      <c r="F284" t="str">
        <f>VLOOKUP(A284,[1]Kreise!$A$1:$C$53,3,FALSE)</f>
        <v>K03352</v>
      </c>
      <c r="G284">
        <v>22</v>
      </c>
    </row>
    <row r="285" spans="1:7" x14ac:dyDescent="0.25">
      <c r="A285">
        <v>353</v>
      </c>
      <c r="B285">
        <v>2012</v>
      </c>
      <c r="C285" t="str">
        <f>VLOOKUP(A285,[2]Tabelle1!$A$1:$B$68,2,FALSE)</f>
        <v>Harburg</v>
      </c>
      <c r="D285" t="s">
        <v>3</v>
      </c>
      <c r="E285" t="s">
        <v>4</v>
      </c>
      <c r="F285" t="str">
        <f>VLOOKUP(A285,[1]Kreise!$A$1:$C$53,3,FALSE)</f>
        <v>K03353</v>
      </c>
      <c r="G285">
        <v>12</v>
      </c>
    </row>
    <row r="286" spans="1:7" x14ac:dyDescent="0.25">
      <c r="A286">
        <v>354</v>
      </c>
      <c r="B286">
        <v>2012</v>
      </c>
      <c r="C286" t="str">
        <f>VLOOKUP(A286,[2]Tabelle1!$A$1:$B$68,2,FALSE)</f>
        <v>Lüchow-Dannenberg</v>
      </c>
      <c r="D286" t="s">
        <v>3</v>
      </c>
      <c r="E286" t="s">
        <v>4</v>
      </c>
      <c r="F286" t="str">
        <f>VLOOKUP(A286,[1]Kreise!$A$1:$C$53,3,FALSE)</f>
        <v>K03354</v>
      </c>
      <c r="G286">
        <v>3</v>
      </c>
    </row>
    <row r="287" spans="1:7" x14ac:dyDescent="0.25">
      <c r="A287">
        <v>355</v>
      </c>
      <c r="B287">
        <v>2012</v>
      </c>
      <c r="C287" t="str">
        <f>VLOOKUP(A287,[2]Tabelle1!$A$1:$B$68,2,FALSE)</f>
        <v>Lüneburg</v>
      </c>
      <c r="D287" t="s">
        <v>3</v>
      </c>
      <c r="E287" t="s">
        <v>4</v>
      </c>
      <c r="F287" t="str">
        <f>VLOOKUP(A287,[1]Kreise!$A$1:$C$53,3,FALSE)</f>
        <v>K03355</v>
      </c>
      <c r="G287">
        <v>4</v>
      </c>
    </row>
    <row r="288" spans="1:7" x14ac:dyDescent="0.25">
      <c r="A288">
        <v>356</v>
      </c>
      <c r="B288">
        <v>2012</v>
      </c>
      <c r="C288" t="str">
        <f>VLOOKUP(A288,[2]Tabelle1!$A$1:$B$68,2,FALSE)</f>
        <v>Osterholz</v>
      </c>
      <c r="D288" t="s">
        <v>3</v>
      </c>
      <c r="E288" t="s">
        <v>4</v>
      </c>
      <c r="F288" t="str">
        <f>VLOOKUP(A288,[1]Kreise!$A$1:$C$53,3,FALSE)</f>
        <v>K03356</v>
      </c>
      <c r="G288">
        <v>9</v>
      </c>
    </row>
    <row r="289" spans="1:7" x14ac:dyDescent="0.25">
      <c r="A289">
        <v>357</v>
      </c>
      <c r="B289">
        <v>2012</v>
      </c>
      <c r="C289" t="str">
        <f>VLOOKUP(A289,[2]Tabelle1!$A$1:$B$68,2,FALSE)</f>
        <v>Rotenburg (Wümme)</v>
      </c>
      <c r="D289" t="s">
        <v>3</v>
      </c>
      <c r="E289" t="s">
        <v>4</v>
      </c>
      <c r="F289" t="str">
        <f>VLOOKUP(A289,[1]Kreise!$A$1:$C$53,3,FALSE)</f>
        <v>K03357</v>
      </c>
      <c r="G289">
        <v>12</v>
      </c>
    </row>
    <row r="290" spans="1:7" x14ac:dyDescent="0.25">
      <c r="A290">
        <v>358</v>
      </c>
      <c r="B290">
        <v>2012</v>
      </c>
      <c r="C290" t="str">
        <f>VLOOKUP(A290,[2]Tabelle1!$A$1:$B$68,2,FALSE)</f>
        <v>Heidekreis</v>
      </c>
      <c r="D290" t="s">
        <v>3</v>
      </c>
      <c r="E290" t="s">
        <v>4</v>
      </c>
      <c r="F290" t="str">
        <f>VLOOKUP(A290,[1]Kreise!$A$1:$C$53,3,FALSE)</f>
        <v>K03358</v>
      </c>
      <c r="G290">
        <v>13</v>
      </c>
    </row>
    <row r="291" spans="1:7" x14ac:dyDescent="0.25">
      <c r="A291">
        <v>359</v>
      </c>
      <c r="B291">
        <v>2012</v>
      </c>
      <c r="C291" t="str">
        <f>VLOOKUP(A291,[2]Tabelle1!$A$1:$B$68,2,FALSE)</f>
        <v>Stade</v>
      </c>
      <c r="D291" t="s">
        <v>3</v>
      </c>
      <c r="E291" t="s">
        <v>4</v>
      </c>
      <c r="F291" t="str">
        <f>VLOOKUP(A291,[1]Kreise!$A$1:$C$53,3,FALSE)</f>
        <v>K03359</v>
      </c>
      <c r="G291">
        <v>5</v>
      </c>
    </row>
    <row r="292" spans="1:7" x14ac:dyDescent="0.25">
      <c r="A292">
        <v>360</v>
      </c>
      <c r="B292">
        <v>2012</v>
      </c>
      <c r="C292" t="str">
        <f>VLOOKUP(A292,[2]Tabelle1!$A$1:$B$68,2,FALSE)</f>
        <v>Uelzen</v>
      </c>
      <c r="D292" t="s">
        <v>3</v>
      </c>
      <c r="E292" t="s">
        <v>4</v>
      </c>
      <c r="F292" t="str">
        <f>VLOOKUP(A292,[1]Kreise!$A$1:$C$53,3,FALSE)</f>
        <v>K03360</v>
      </c>
      <c r="G292">
        <v>1</v>
      </c>
    </row>
    <row r="293" spans="1:7" x14ac:dyDescent="0.25">
      <c r="A293">
        <v>361</v>
      </c>
      <c r="B293">
        <v>2012</v>
      </c>
      <c r="C293" t="str">
        <f>VLOOKUP(A293,[2]Tabelle1!$A$1:$B$68,2,FALSE)</f>
        <v>Verden</v>
      </c>
      <c r="D293" t="s">
        <v>3</v>
      </c>
      <c r="E293" t="s">
        <v>4</v>
      </c>
      <c r="F293" t="str">
        <f>VLOOKUP(A293,[1]Kreise!$A$1:$C$53,3,FALSE)</f>
        <v>K03361</v>
      </c>
      <c r="G293">
        <v>10</v>
      </c>
    </row>
    <row r="294" spans="1:7" x14ac:dyDescent="0.25">
      <c r="A294">
        <v>3</v>
      </c>
      <c r="B294">
        <v>2012</v>
      </c>
      <c r="C294" t="str">
        <f>VLOOKUP(A294,[2]Tabelle1!$A$1:$B$68,2,FALSE)</f>
        <v>Statistische Region Lüneburg</v>
      </c>
      <c r="D294" t="s">
        <v>3</v>
      </c>
      <c r="E294" t="s">
        <v>4</v>
      </c>
      <c r="F294" t="str">
        <f>VLOOKUP(A294,[1]Kreise!$A$1:$C$53,3,FALSE)</f>
        <v>K033</v>
      </c>
      <c r="G294">
        <v>96</v>
      </c>
    </row>
    <row r="295" spans="1:7" x14ac:dyDescent="0.25">
      <c r="A295">
        <v>401</v>
      </c>
      <c r="B295">
        <v>2012</v>
      </c>
      <c r="C295" t="str">
        <f>VLOOKUP(A295,[2]Tabelle1!$A$1:$B$68,2,FALSE)</f>
        <v>Delmenhorst  Stadt</v>
      </c>
      <c r="D295" t="s">
        <v>3</v>
      </c>
      <c r="E295" t="s">
        <v>4</v>
      </c>
      <c r="F295" t="str">
        <f>VLOOKUP(A295,[1]Kreise!$A$1:$C$53,3,FALSE)</f>
        <v>K03401</v>
      </c>
      <c r="G295">
        <v>19</v>
      </c>
    </row>
    <row r="296" spans="1:7" x14ac:dyDescent="0.25">
      <c r="A296">
        <v>402</v>
      </c>
      <c r="B296">
        <v>2012</v>
      </c>
      <c r="C296" t="str">
        <f>VLOOKUP(A296,[2]Tabelle1!$A$1:$B$68,2,FALSE)</f>
        <v>Emden  Stadt</v>
      </c>
      <c r="D296" t="s">
        <v>3</v>
      </c>
      <c r="E296" t="s">
        <v>4</v>
      </c>
      <c r="F296" t="str">
        <f>VLOOKUP(A296,[1]Kreise!$A$1:$C$53,3,FALSE)</f>
        <v>K03402</v>
      </c>
      <c r="G296">
        <v>2</v>
      </c>
    </row>
    <row r="297" spans="1:7" x14ac:dyDescent="0.25">
      <c r="A297">
        <v>403</v>
      </c>
      <c r="B297">
        <v>2012</v>
      </c>
      <c r="C297" t="str">
        <f>VLOOKUP(A297,[2]Tabelle1!$A$1:$B$68,2,FALSE)</f>
        <v>Oldenburg(Oldb)  Stadt</v>
      </c>
      <c r="D297" t="s">
        <v>3</v>
      </c>
      <c r="E297" t="s">
        <v>4</v>
      </c>
      <c r="F297" t="str">
        <f>VLOOKUP(A297,[1]Kreise!$A$1:$C$53,3,FALSE)</f>
        <v>K03403</v>
      </c>
      <c r="G297">
        <v>14</v>
      </c>
    </row>
    <row r="298" spans="1:7" x14ac:dyDescent="0.25">
      <c r="A298">
        <v>404</v>
      </c>
      <c r="B298">
        <v>2012</v>
      </c>
      <c r="C298" t="str">
        <f>VLOOKUP(A298,[2]Tabelle1!$A$1:$B$68,2,FALSE)</f>
        <v>Osnabrück  Stadt</v>
      </c>
      <c r="D298" t="s">
        <v>3</v>
      </c>
      <c r="E298" t="s">
        <v>4</v>
      </c>
      <c r="F298" t="str">
        <f>VLOOKUP(A298,[1]Kreise!$A$1:$C$53,3,FALSE)</f>
        <v>K03404</v>
      </c>
      <c r="G298">
        <v>28</v>
      </c>
    </row>
    <row r="299" spans="1:7" x14ac:dyDescent="0.25">
      <c r="A299">
        <v>405</v>
      </c>
      <c r="B299">
        <v>2012</v>
      </c>
      <c r="C299" t="str">
        <f>VLOOKUP(A299,[2]Tabelle1!$A$1:$B$68,2,FALSE)</f>
        <v>Wilhelmshaven  Stadt</v>
      </c>
      <c r="D299" t="s">
        <v>3</v>
      </c>
      <c r="E299" t="s">
        <v>4</v>
      </c>
      <c r="F299" t="str">
        <f>VLOOKUP(A299,[1]Kreise!$A$1:$C$53,3,FALSE)</f>
        <v>K03405</v>
      </c>
      <c r="G299">
        <v>12</v>
      </c>
    </row>
    <row r="300" spans="1:7" x14ac:dyDescent="0.25">
      <c r="A300">
        <v>451</v>
      </c>
      <c r="B300">
        <v>2012</v>
      </c>
      <c r="C300" t="str">
        <f>VLOOKUP(A300,[2]Tabelle1!$A$1:$B$68,2,FALSE)</f>
        <v>Ammerland</v>
      </c>
      <c r="D300" t="s">
        <v>3</v>
      </c>
      <c r="E300" t="s">
        <v>4</v>
      </c>
      <c r="F300" t="str">
        <f>VLOOKUP(A300,[1]Kreise!$A$1:$C$53,3,FALSE)</f>
        <v>K03451</v>
      </c>
      <c r="G300">
        <v>3</v>
      </c>
    </row>
    <row r="301" spans="1:7" x14ac:dyDescent="0.25">
      <c r="A301">
        <v>452</v>
      </c>
      <c r="B301">
        <v>2012</v>
      </c>
      <c r="C301" t="str">
        <f>VLOOKUP(A301,[2]Tabelle1!$A$1:$B$68,2,FALSE)</f>
        <v>Aurich</v>
      </c>
      <c r="D301" t="s">
        <v>3</v>
      </c>
      <c r="E301" t="s">
        <v>4</v>
      </c>
      <c r="F301" t="str">
        <f>VLOOKUP(A301,[1]Kreise!$A$1:$C$53,3,FALSE)</f>
        <v>K03452</v>
      </c>
      <c r="G301">
        <v>30</v>
      </c>
    </row>
    <row r="302" spans="1:7" x14ac:dyDescent="0.25">
      <c r="A302">
        <v>453</v>
      </c>
      <c r="B302">
        <v>2012</v>
      </c>
      <c r="C302" t="str">
        <f>VLOOKUP(A302,[2]Tabelle1!$A$1:$B$68,2,FALSE)</f>
        <v>Cloppenburg</v>
      </c>
      <c r="D302" t="s">
        <v>3</v>
      </c>
      <c r="E302" t="s">
        <v>4</v>
      </c>
      <c r="F302" t="str">
        <f>VLOOKUP(A302,[1]Kreise!$A$1:$C$53,3,FALSE)</f>
        <v>K03453</v>
      </c>
      <c r="G302">
        <v>15</v>
      </c>
    </row>
    <row r="303" spans="1:7" x14ac:dyDescent="0.25">
      <c r="A303">
        <v>454</v>
      </c>
      <c r="B303">
        <v>2012</v>
      </c>
      <c r="C303" t="str">
        <f>VLOOKUP(A303,[2]Tabelle1!$A$1:$B$68,2,FALSE)</f>
        <v>Emsland</v>
      </c>
      <c r="D303" t="s">
        <v>3</v>
      </c>
      <c r="E303" t="s">
        <v>4</v>
      </c>
      <c r="F303" t="str">
        <f>VLOOKUP(A303,[1]Kreise!$A$1:$C$53,3,FALSE)</f>
        <v>K03454</v>
      </c>
      <c r="G303">
        <v>17</v>
      </c>
    </row>
    <row r="304" spans="1:7" x14ac:dyDescent="0.25">
      <c r="A304">
        <v>455</v>
      </c>
      <c r="B304">
        <v>2012</v>
      </c>
      <c r="C304" t="str">
        <f>VLOOKUP(A304,[2]Tabelle1!$A$1:$B$68,2,FALSE)</f>
        <v>Friesland</v>
      </c>
      <c r="D304" t="s">
        <v>3</v>
      </c>
      <c r="E304" t="s">
        <v>4</v>
      </c>
      <c r="F304" t="str">
        <f>VLOOKUP(A304,[1]Kreise!$A$1:$C$53,3,FALSE)</f>
        <v>K03455</v>
      </c>
      <c r="G304">
        <v>2</v>
      </c>
    </row>
    <row r="305" spans="1:7" x14ac:dyDescent="0.25">
      <c r="A305">
        <v>456</v>
      </c>
      <c r="B305">
        <v>2012</v>
      </c>
      <c r="C305" t="str">
        <f>VLOOKUP(A305,[2]Tabelle1!$A$1:$B$68,2,FALSE)</f>
        <v>Grafschaft Bentheim</v>
      </c>
      <c r="D305" t="s">
        <v>3</v>
      </c>
      <c r="E305" t="s">
        <v>4</v>
      </c>
      <c r="F305" t="str">
        <f>VLOOKUP(A305,[1]Kreise!$A$1:$C$53,3,FALSE)</f>
        <v>K03456</v>
      </c>
      <c r="G305">
        <v>19</v>
      </c>
    </row>
    <row r="306" spans="1:7" x14ac:dyDescent="0.25">
      <c r="A306">
        <v>457</v>
      </c>
      <c r="B306">
        <v>2012</v>
      </c>
      <c r="C306" t="str">
        <f>VLOOKUP(A306,[2]Tabelle1!$A$1:$B$68,2,FALSE)</f>
        <v>Leer</v>
      </c>
      <c r="D306" t="s">
        <v>3</v>
      </c>
      <c r="E306" t="s">
        <v>4</v>
      </c>
      <c r="F306" t="str">
        <f>VLOOKUP(A306,[1]Kreise!$A$1:$C$53,3,FALSE)</f>
        <v>K03457</v>
      </c>
      <c r="G306">
        <v>19</v>
      </c>
    </row>
    <row r="307" spans="1:7" x14ac:dyDescent="0.25">
      <c r="A307">
        <v>458</v>
      </c>
      <c r="B307">
        <v>2012</v>
      </c>
      <c r="C307" t="str">
        <f>VLOOKUP(A307,[2]Tabelle1!$A$1:$B$68,2,FALSE)</f>
        <v>Oldenburg</v>
      </c>
      <c r="D307" t="s">
        <v>3</v>
      </c>
      <c r="E307" t="s">
        <v>4</v>
      </c>
      <c r="F307" t="str">
        <f>VLOOKUP(A307,[1]Kreise!$A$1:$C$53,3,FALSE)</f>
        <v>K03458</v>
      </c>
      <c r="G307">
        <v>4</v>
      </c>
    </row>
    <row r="308" spans="1:7" x14ac:dyDescent="0.25">
      <c r="A308">
        <v>459</v>
      </c>
      <c r="B308">
        <v>2012</v>
      </c>
      <c r="C308" t="str">
        <f>VLOOKUP(A308,[2]Tabelle1!$A$1:$B$68,2,FALSE)</f>
        <v>Osnabrück</v>
      </c>
      <c r="D308" t="s">
        <v>3</v>
      </c>
      <c r="E308" t="s">
        <v>4</v>
      </c>
      <c r="F308" t="str">
        <f>VLOOKUP(A308,[1]Kreise!$A$1:$C$53,3,FALSE)</f>
        <v>K03459</v>
      </c>
      <c r="G308">
        <v>30</v>
      </c>
    </row>
    <row r="309" spans="1:7" x14ac:dyDescent="0.25">
      <c r="A309">
        <v>460</v>
      </c>
      <c r="B309">
        <v>2012</v>
      </c>
      <c r="C309" t="str">
        <f>VLOOKUP(A309,[2]Tabelle1!$A$1:$B$68,2,FALSE)</f>
        <v>Vechta</v>
      </c>
      <c r="D309" t="s">
        <v>3</v>
      </c>
      <c r="E309" t="s">
        <v>4</v>
      </c>
      <c r="F309" t="str">
        <f>VLOOKUP(A309,[1]Kreise!$A$1:$C$53,3,FALSE)</f>
        <v>K03460</v>
      </c>
      <c r="G309">
        <v>38</v>
      </c>
    </row>
    <row r="310" spans="1:7" x14ac:dyDescent="0.25">
      <c r="A310">
        <v>461</v>
      </c>
      <c r="B310">
        <v>2012</v>
      </c>
      <c r="C310" t="str">
        <f>VLOOKUP(A310,[2]Tabelle1!$A$1:$B$68,2,FALSE)</f>
        <v>Wesermarsch</v>
      </c>
      <c r="D310" t="s">
        <v>3</v>
      </c>
      <c r="E310" t="s">
        <v>4</v>
      </c>
      <c r="F310" t="str">
        <f>VLOOKUP(A310,[1]Kreise!$A$1:$C$53,3,FALSE)</f>
        <v>K03461</v>
      </c>
      <c r="G310">
        <v>2</v>
      </c>
    </row>
    <row r="311" spans="1:7" x14ac:dyDescent="0.25">
      <c r="A311">
        <v>462</v>
      </c>
      <c r="B311">
        <v>2012</v>
      </c>
      <c r="C311" t="str">
        <f>VLOOKUP(A311,[2]Tabelle1!$A$1:$B$68,2,FALSE)</f>
        <v>Wittmund</v>
      </c>
      <c r="D311" t="s">
        <v>3</v>
      </c>
      <c r="E311" t="s">
        <v>4</v>
      </c>
      <c r="F311" t="str">
        <f>VLOOKUP(A311,[1]Kreise!$A$1:$C$53,3,FALSE)</f>
        <v>K03462</v>
      </c>
      <c r="G311">
        <v>2</v>
      </c>
    </row>
    <row r="312" spans="1:7" x14ac:dyDescent="0.25">
      <c r="A312">
        <v>4</v>
      </c>
      <c r="B312">
        <v>2012</v>
      </c>
      <c r="C312" t="str">
        <f>VLOOKUP(A312,[2]Tabelle1!$A$1:$B$68,2,FALSE)</f>
        <v>Statistische Region Weser-Ems</v>
      </c>
      <c r="D312" t="s">
        <v>3</v>
      </c>
      <c r="E312" t="s">
        <v>4</v>
      </c>
      <c r="F312" t="str">
        <f>VLOOKUP(A312,[1]Kreise!$A$1:$C$53,3,FALSE)</f>
        <v>K034</v>
      </c>
      <c r="G312">
        <v>256</v>
      </c>
    </row>
    <row r="313" spans="1:7" x14ac:dyDescent="0.25">
      <c r="A313">
        <v>0</v>
      </c>
      <c r="B313">
        <v>2012</v>
      </c>
      <c r="C313" t="str">
        <f>VLOOKUP(A313,[2]Tabelle1!$A$1:$B$68,2,FALSE)</f>
        <v>Niedersachsen</v>
      </c>
      <c r="D313" t="s">
        <v>3</v>
      </c>
      <c r="E313" t="s">
        <v>4</v>
      </c>
      <c r="F313" t="str">
        <f>VLOOKUP(A313,[1]Kreise!$A$1:$C$53,3,FALSE)</f>
        <v>K030</v>
      </c>
      <c r="G313">
        <v>691</v>
      </c>
    </row>
    <row r="314" spans="1:7" x14ac:dyDescent="0.25">
      <c r="A314">
        <v>101</v>
      </c>
      <c r="B314">
        <v>2013</v>
      </c>
      <c r="C314" t="str">
        <f>VLOOKUP(A314,[2]Tabelle1!$A$1:$B$68,2,FALSE)</f>
        <v>Braunschweig  Stadt</v>
      </c>
      <c r="D314" t="s">
        <v>2</v>
      </c>
      <c r="E314" t="s">
        <v>4</v>
      </c>
      <c r="F314" t="str">
        <f>VLOOKUP(A314,[1]Kreise!$A$1:$C$53,3,FALSE)</f>
        <v>K03101</v>
      </c>
      <c r="G314">
        <v>126</v>
      </c>
    </row>
    <row r="315" spans="1:7" x14ac:dyDescent="0.25">
      <c r="A315">
        <v>102</v>
      </c>
      <c r="B315">
        <v>2013</v>
      </c>
      <c r="C315" t="str">
        <f>VLOOKUP(A315,[2]Tabelle1!$A$1:$B$68,2,FALSE)</f>
        <v>Salzgitter  Stadt</v>
      </c>
      <c r="D315" t="s">
        <v>2</v>
      </c>
      <c r="E315" t="s">
        <v>4</v>
      </c>
      <c r="F315" t="str">
        <f>VLOOKUP(A315,[1]Kreise!$A$1:$C$53,3,FALSE)</f>
        <v>K03102</v>
      </c>
      <c r="G315">
        <v>28</v>
      </c>
    </row>
    <row r="316" spans="1:7" x14ac:dyDescent="0.25">
      <c r="A316">
        <v>103</v>
      </c>
      <c r="B316">
        <v>2013</v>
      </c>
      <c r="C316" t="str">
        <f>VLOOKUP(A316,[2]Tabelle1!$A$1:$B$68,2,FALSE)</f>
        <v>Wolfsburg  Stadt</v>
      </c>
      <c r="D316" t="s">
        <v>2</v>
      </c>
      <c r="E316" t="s">
        <v>4</v>
      </c>
      <c r="F316" t="str">
        <f>VLOOKUP(A316,[1]Kreise!$A$1:$C$53,3,FALSE)</f>
        <v>K03103</v>
      </c>
      <c r="G316">
        <v>51</v>
      </c>
    </row>
    <row r="317" spans="1:7" x14ac:dyDescent="0.25">
      <c r="A317">
        <v>151</v>
      </c>
      <c r="B317">
        <v>2013</v>
      </c>
      <c r="C317" t="str">
        <f>VLOOKUP(A317,[2]Tabelle1!$A$1:$B$68,2,FALSE)</f>
        <v>Gifhorn</v>
      </c>
      <c r="D317" t="s">
        <v>2</v>
      </c>
      <c r="E317" t="s">
        <v>4</v>
      </c>
      <c r="F317" t="str">
        <f>VLOOKUP(A317,[1]Kreise!$A$1:$C$53,3,FALSE)</f>
        <v>K03151</v>
      </c>
      <c r="G317">
        <v>76</v>
      </c>
    </row>
    <row r="318" spans="1:7" x14ac:dyDescent="0.25">
      <c r="A318">
        <v>153</v>
      </c>
      <c r="B318">
        <v>2013</v>
      </c>
      <c r="C318" t="str">
        <f>VLOOKUP(A318,[2]Tabelle1!$A$1:$B$68,2,FALSE)</f>
        <v>Goslar</v>
      </c>
      <c r="D318" t="s">
        <v>2</v>
      </c>
      <c r="E318" t="s">
        <v>4</v>
      </c>
      <c r="F318" t="str">
        <f>VLOOKUP(A318,[1]Kreise!$A$1:$C$53,3,FALSE)</f>
        <v>K03153</v>
      </c>
      <c r="G318">
        <v>78</v>
      </c>
    </row>
    <row r="319" spans="1:7" x14ac:dyDescent="0.25">
      <c r="A319">
        <v>154</v>
      </c>
      <c r="B319">
        <v>2013</v>
      </c>
      <c r="C319" t="str">
        <f>VLOOKUP(A319,[2]Tabelle1!$A$1:$B$68,2,FALSE)</f>
        <v>Helmstedt</v>
      </c>
      <c r="D319" t="s">
        <v>2</v>
      </c>
      <c r="E319" t="s">
        <v>4</v>
      </c>
      <c r="F319" t="str">
        <f>VLOOKUP(A319,[1]Kreise!$A$1:$C$53,3,FALSE)</f>
        <v>K03154</v>
      </c>
      <c r="G319">
        <v>50</v>
      </c>
    </row>
    <row r="320" spans="1:7" x14ac:dyDescent="0.25">
      <c r="A320">
        <v>155</v>
      </c>
      <c r="B320">
        <v>2013</v>
      </c>
      <c r="C320" t="str">
        <f>VLOOKUP(A320,[2]Tabelle1!$A$1:$B$68,2,FALSE)</f>
        <v>Northeim</v>
      </c>
      <c r="D320" t="s">
        <v>2</v>
      </c>
      <c r="E320" t="s">
        <v>4</v>
      </c>
      <c r="F320" t="str">
        <f>VLOOKUP(A320,[1]Kreise!$A$1:$C$53,3,FALSE)</f>
        <v>K03155</v>
      </c>
      <c r="G320">
        <v>55</v>
      </c>
    </row>
    <row r="321" spans="1:7" x14ac:dyDescent="0.25">
      <c r="A321">
        <v>157</v>
      </c>
      <c r="B321">
        <v>2013</v>
      </c>
      <c r="C321" t="str">
        <f>VLOOKUP(A321,[2]Tabelle1!$A$1:$B$68,2,FALSE)</f>
        <v>Peine</v>
      </c>
      <c r="D321" t="s">
        <v>2</v>
      </c>
      <c r="E321" t="s">
        <v>4</v>
      </c>
      <c r="F321" t="str">
        <f>VLOOKUP(A321,[1]Kreise!$A$1:$C$53,3,FALSE)</f>
        <v>K03157</v>
      </c>
      <c r="G321">
        <v>48</v>
      </c>
    </row>
    <row r="322" spans="1:7" x14ac:dyDescent="0.25">
      <c r="A322">
        <v>158</v>
      </c>
      <c r="B322">
        <v>2013</v>
      </c>
      <c r="C322" t="str">
        <f>VLOOKUP(A322,[2]Tabelle1!$A$1:$B$68,2,FALSE)</f>
        <v>Wolfenbüttel</v>
      </c>
      <c r="D322" t="s">
        <v>2</v>
      </c>
      <c r="E322" t="s">
        <v>4</v>
      </c>
      <c r="F322" t="str">
        <f>VLOOKUP(A322,[1]Kreise!$A$1:$C$53,3,FALSE)</f>
        <v>K03158</v>
      </c>
      <c r="G322">
        <v>41</v>
      </c>
    </row>
    <row r="323" spans="1:7" x14ac:dyDescent="0.25">
      <c r="A323">
        <v>159</v>
      </c>
      <c r="B323">
        <v>2013</v>
      </c>
      <c r="C323" t="str">
        <f>VLOOKUP(A323,[2]Tabelle1!$A$1:$B$68,2,FALSE)</f>
        <v>Göttingen</v>
      </c>
      <c r="D323" t="s">
        <v>2</v>
      </c>
      <c r="E323" t="s">
        <v>4</v>
      </c>
      <c r="F323" t="str">
        <f>VLOOKUP(A323,[1]Kreise!$A$1:$C$53,3,FALSE)</f>
        <v>K03159</v>
      </c>
      <c r="G323">
        <v>102</v>
      </c>
    </row>
    <row r="324" spans="1:7" x14ac:dyDescent="0.25">
      <c r="A324">
        <v>1</v>
      </c>
      <c r="B324">
        <v>2013</v>
      </c>
      <c r="C324" t="str">
        <f>VLOOKUP(A324,[2]Tabelle1!$A$1:$B$68,2,FALSE)</f>
        <v>Statistische Region Braunschweig</v>
      </c>
      <c r="D324" t="s">
        <v>2</v>
      </c>
      <c r="E324" t="s">
        <v>4</v>
      </c>
      <c r="F324" t="str">
        <f>VLOOKUP(A324,[1]Kreise!$A$1:$C$53,3,FALSE)</f>
        <v>K031</v>
      </c>
      <c r="G324">
        <v>655</v>
      </c>
    </row>
    <row r="325" spans="1:7" x14ac:dyDescent="0.25">
      <c r="A325">
        <v>241</v>
      </c>
      <c r="B325">
        <v>2013</v>
      </c>
      <c r="C325" t="str">
        <f>VLOOKUP(A325,[2]Tabelle1!$A$1:$B$68,2,FALSE)</f>
        <v>Hannover  Region</v>
      </c>
      <c r="D325" t="s">
        <v>2</v>
      </c>
      <c r="E325" t="s">
        <v>4</v>
      </c>
      <c r="F325" t="str">
        <f>VLOOKUP(A325,[1]Kreise!$A$1:$C$53,3,FALSE)</f>
        <v>K03241</v>
      </c>
      <c r="G325">
        <v>400</v>
      </c>
    </row>
    <row r="326" spans="1:7" x14ac:dyDescent="0.25">
      <c r="A326">
        <v>241001</v>
      </c>
      <c r="B326">
        <v>2013</v>
      </c>
      <c r="C326" t="str">
        <f>VLOOKUP(A326,[2]Tabelle1!$A$1:$B$68,2,FALSE)</f>
        <v>dav. Hannover  Lhst.</v>
      </c>
      <c r="D326" t="s">
        <v>2</v>
      </c>
      <c r="E326" t="s">
        <v>4</v>
      </c>
      <c r="F326" t="str">
        <f>VLOOKUP(A326,[1]Kreise!$A$1:$C$53,3,FALSE)</f>
        <v>K03241001</v>
      </c>
      <c r="G326">
        <v>196</v>
      </c>
    </row>
    <row r="327" spans="1:7" x14ac:dyDescent="0.25">
      <c r="A327">
        <v>241999</v>
      </c>
      <c r="B327">
        <v>2013</v>
      </c>
      <c r="C327" t="str">
        <f>VLOOKUP(A327,[2]Tabelle1!$A$1:$B$68,2,FALSE)</f>
        <v>dav. Hannover  Umland</v>
      </c>
      <c r="D327" t="s">
        <v>2</v>
      </c>
      <c r="E327" t="s">
        <v>4</v>
      </c>
      <c r="F327" t="str">
        <f>VLOOKUP(A327,[1]Kreise!$A$1:$C$53,3,FALSE)</f>
        <v>K03241999</v>
      </c>
      <c r="G327">
        <v>204</v>
      </c>
    </row>
    <row r="328" spans="1:7" x14ac:dyDescent="0.25">
      <c r="A328">
        <v>251</v>
      </c>
      <c r="B328">
        <v>2013</v>
      </c>
      <c r="C328" t="str">
        <f>VLOOKUP(A328,[2]Tabelle1!$A$1:$B$68,2,FALSE)</f>
        <v>Diepholz</v>
      </c>
      <c r="D328" t="s">
        <v>2</v>
      </c>
      <c r="E328" t="s">
        <v>4</v>
      </c>
      <c r="F328" t="str">
        <f>VLOOKUP(A328,[1]Kreise!$A$1:$C$53,3,FALSE)</f>
        <v>K03251</v>
      </c>
      <c r="G328">
        <v>69</v>
      </c>
    </row>
    <row r="329" spans="1:7" x14ac:dyDescent="0.25">
      <c r="A329">
        <v>252</v>
      </c>
      <c r="B329">
        <v>2013</v>
      </c>
      <c r="C329" t="str">
        <f>VLOOKUP(A329,[2]Tabelle1!$A$1:$B$68,2,FALSE)</f>
        <v>Hameln-Pyrmont</v>
      </c>
      <c r="D329" t="s">
        <v>2</v>
      </c>
      <c r="E329" t="s">
        <v>4</v>
      </c>
      <c r="F329" t="str">
        <f>VLOOKUP(A329,[1]Kreise!$A$1:$C$53,3,FALSE)</f>
        <v>K03252</v>
      </c>
      <c r="G329">
        <v>101</v>
      </c>
    </row>
    <row r="330" spans="1:7" x14ac:dyDescent="0.25">
      <c r="A330">
        <v>254</v>
      </c>
      <c r="B330">
        <v>2013</v>
      </c>
      <c r="C330" t="str">
        <f>VLOOKUP(A330,[2]Tabelle1!$A$1:$B$68,2,FALSE)</f>
        <v>Hildesheim</v>
      </c>
      <c r="D330" t="s">
        <v>2</v>
      </c>
      <c r="E330" t="s">
        <v>4</v>
      </c>
      <c r="F330" t="str">
        <f>VLOOKUP(A330,[1]Kreise!$A$1:$C$53,3,FALSE)</f>
        <v>K03254</v>
      </c>
      <c r="G330">
        <v>153</v>
      </c>
    </row>
    <row r="331" spans="1:7" x14ac:dyDescent="0.25">
      <c r="A331">
        <v>255</v>
      </c>
      <c r="B331">
        <v>2013</v>
      </c>
      <c r="C331" t="str">
        <f>VLOOKUP(A331,[2]Tabelle1!$A$1:$B$68,2,FALSE)</f>
        <v>Holzminden</v>
      </c>
      <c r="D331" t="s">
        <v>2</v>
      </c>
      <c r="E331" t="s">
        <v>4</v>
      </c>
      <c r="F331" t="str">
        <f>VLOOKUP(A331,[1]Kreise!$A$1:$C$53,3,FALSE)</f>
        <v>K03255</v>
      </c>
      <c r="G331">
        <v>46</v>
      </c>
    </row>
    <row r="332" spans="1:7" x14ac:dyDescent="0.25">
      <c r="A332">
        <v>256</v>
      </c>
      <c r="B332">
        <v>2013</v>
      </c>
      <c r="C332" t="str">
        <f>VLOOKUP(A332,[2]Tabelle1!$A$1:$B$68,2,FALSE)</f>
        <v>Nienburg (Weser)</v>
      </c>
      <c r="D332" t="s">
        <v>2</v>
      </c>
      <c r="E332" t="s">
        <v>4</v>
      </c>
      <c r="F332" t="str">
        <f>VLOOKUP(A332,[1]Kreise!$A$1:$C$53,3,FALSE)</f>
        <v>K03256</v>
      </c>
      <c r="G332">
        <v>65</v>
      </c>
    </row>
    <row r="333" spans="1:7" x14ac:dyDescent="0.25">
      <c r="A333">
        <v>257</v>
      </c>
      <c r="B333">
        <v>2013</v>
      </c>
      <c r="C333" t="str">
        <f>VLOOKUP(A333,[2]Tabelle1!$A$1:$B$68,2,FALSE)</f>
        <v>Schaumburg</v>
      </c>
      <c r="D333" t="s">
        <v>2</v>
      </c>
      <c r="E333" t="s">
        <v>4</v>
      </c>
      <c r="F333" t="str">
        <f>VLOOKUP(A333,[1]Kreise!$A$1:$C$53,3,FALSE)</f>
        <v>K03257</v>
      </c>
      <c r="G333">
        <v>48</v>
      </c>
    </row>
    <row r="334" spans="1:7" x14ac:dyDescent="0.25">
      <c r="A334">
        <v>2</v>
      </c>
      <c r="B334">
        <v>2013</v>
      </c>
      <c r="C334" t="str">
        <f>VLOOKUP(A334,[2]Tabelle1!$A$1:$B$68,2,FALSE)</f>
        <v>Statistische Region Hannover</v>
      </c>
      <c r="D334" t="s">
        <v>2</v>
      </c>
      <c r="E334" t="s">
        <v>4</v>
      </c>
      <c r="F334" t="str">
        <f>VLOOKUP(A334,[1]Kreise!$A$1:$C$53,3,FALSE)</f>
        <v>K032</v>
      </c>
      <c r="G334">
        <v>882</v>
      </c>
    </row>
    <row r="335" spans="1:7" x14ac:dyDescent="0.25">
      <c r="A335">
        <v>351</v>
      </c>
      <c r="B335">
        <v>2013</v>
      </c>
      <c r="C335" t="str">
        <f>VLOOKUP(A335,[2]Tabelle1!$A$1:$B$68,2,FALSE)</f>
        <v>Celle</v>
      </c>
      <c r="D335" t="s">
        <v>2</v>
      </c>
      <c r="E335" t="s">
        <v>4</v>
      </c>
      <c r="F335" t="str">
        <f>VLOOKUP(A335,[1]Kreise!$A$1:$C$53,3,FALSE)</f>
        <v>K03351</v>
      </c>
      <c r="G335">
        <v>110</v>
      </c>
    </row>
    <row r="336" spans="1:7" x14ac:dyDescent="0.25">
      <c r="A336">
        <v>352</v>
      </c>
      <c r="B336">
        <v>2013</v>
      </c>
      <c r="C336" t="str">
        <f>VLOOKUP(A336,[2]Tabelle1!$A$1:$B$68,2,FALSE)</f>
        <v>Cuxhaven</v>
      </c>
      <c r="D336" t="s">
        <v>2</v>
      </c>
      <c r="E336" t="s">
        <v>4</v>
      </c>
      <c r="F336" t="str">
        <f>VLOOKUP(A336,[1]Kreise!$A$1:$C$53,3,FALSE)</f>
        <v>K03352</v>
      </c>
      <c r="G336">
        <v>132</v>
      </c>
    </row>
    <row r="337" spans="1:7" x14ac:dyDescent="0.25">
      <c r="A337">
        <v>353</v>
      </c>
      <c r="B337">
        <v>2013</v>
      </c>
      <c r="C337" t="str">
        <f>VLOOKUP(A337,[2]Tabelle1!$A$1:$B$68,2,FALSE)</f>
        <v>Harburg</v>
      </c>
      <c r="D337" t="s">
        <v>2</v>
      </c>
      <c r="E337" t="s">
        <v>4</v>
      </c>
      <c r="F337" t="str">
        <f>VLOOKUP(A337,[1]Kreise!$A$1:$C$53,3,FALSE)</f>
        <v>K03353</v>
      </c>
      <c r="G337">
        <v>66</v>
      </c>
    </row>
    <row r="338" spans="1:7" x14ac:dyDescent="0.25">
      <c r="A338">
        <v>354</v>
      </c>
      <c r="B338">
        <v>2013</v>
      </c>
      <c r="C338" t="str">
        <f>VLOOKUP(A338,[2]Tabelle1!$A$1:$B$68,2,FALSE)</f>
        <v>Lüchow-Dannenberg</v>
      </c>
      <c r="D338" t="s">
        <v>2</v>
      </c>
      <c r="E338" t="s">
        <v>4</v>
      </c>
      <c r="F338" t="str">
        <f>VLOOKUP(A338,[1]Kreise!$A$1:$C$53,3,FALSE)</f>
        <v>K03354</v>
      </c>
      <c r="G338">
        <v>27</v>
      </c>
    </row>
    <row r="339" spans="1:7" x14ac:dyDescent="0.25">
      <c r="A339">
        <v>355</v>
      </c>
      <c r="B339">
        <v>2013</v>
      </c>
      <c r="C339" t="str">
        <f>VLOOKUP(A339,[2]Tabelle1!$A$1:$B$68,2,FALSE)</f>
        <v>Lüneburg</v>
      </c>
      <c r="D339" t="s">
        <v>2</v>
      </c>
      <c r="E339" t="s">
        <v>4</v>
      </c>
      <c r="F339" t="str">
        <f>VLOOKUP(A339,[1]Kreise!$A$1:$C$53,3,FALSE)</f>
        <v>K03355</v>
      </c>
      <c r="G339">
        <v>68</v>
      </c>
    </row>
    <row r="340" spans="1:7" x14ac:dyDescent="0.25">
      <c r="A340">
        <v>356</v>
      </c>
      <c r="B340">
        <v>2013</v>
      </c>
      <c r="C340" t="str">
        <f>VLOOKUP(A340,[2]Tabelle1!$A$1:$B$68,2,FALSE)</f>
        <v>Osterholz</v>
      </c>
      <c r="D340" t="s">
        <v>2</v>
      </c>
      <c r="E340" t="s">
        <v>4</v>
      </c>
      <c r="F340" t="str">
        <f>VLOOKUP(A340,[1]Kreise!$A$1:$C$53,3,FALSE)</f>
        <v>K03356</v>
      </c>
      <c r="G340">
        <v>72</v>
      </c>
    </row>
    <row r="341" spans="1:7" x14ac:dyDescent="0.25">
      <c r="A341">
        <v>357</v>
      </c>
      <c r="B341">
        <v>2013</v>
      </c>
      <c r="C341" t="str">
        <f>VLOOKUP(A341,[2]Tabelle1!$A$1:$B$68,2,FALSE)</f>
        <v>Rotenburg (Wümme)</v>
      </c>
      <c r="D341" t="s">
        <v>2</v>
      </c>
      <c r="E341" t="s">
        <v>4</v>
      </c>
      <c r="F341" t="str">
        <f>VLOOKUP(A341,[1]Kreise!$A$1:$C$53,3,FALSE)</f>
        <v>K03357</v>
      </c>
      <c r="G341">
        <v>91</v>
      </c>
    </row>
    <row r="342" spans="1:7" x14ac:dyDescent="0.25">
      <c r="A342">
        <v>358</v>
      </c>
      <c r="B342">
        <v>2013</v>
      </c>
      <c r="C342" t="str">
        <f>VLOOKUP(A342,[2]Tabelle1!$A$1:$B$68,2,FALSE)</f>
        <v>Heidekreis</v>
      </c>
      <c r="D342" t="s">
        <v>2</v>
      </c>
      <c r="E342" t="s">
        <v>4</v>
      </c>
      <c r="F342" t="str">
        <f>VLOOKUP(A342,[1]Kreise!$A$1:$C$53,3,FALSE)</f>
        <v>K03358</v>
      </c>
      <c r="G342">
        <v>106</v>
      </c>
    </row>
    <row r="343" spans="1:7" x14ac:dyDescent="0.25">
      <c r="A343">
        <v>359</v>
      </c>
      <c r="B343">
        <v>2013</v>
      </c>
      <c r="C343" t="str">
        <f>VLOOKUP(A343,[2]Tabelle1!$A$1:$B$68,2,FALSE)</f>
        <v>Stade</v>
      </c>
      <c r="D343" t="s">
        <v>2</v>
      </c>
      <c r="E343" t="s">
        <v>4</v>
      </c>
      <c r="F343" t="str">
        <f>VLOOKUP(A343,[1]Kreise!$A$1:$C$53,3,FALSE)</f>
        <v>K03359</v>
      </c>
      <c r="G343">
        <v>102</v>
      </c>
    </row>
    <row r="344" spans="1:7" x14ac:dyDescent="0.25">
      <c r="A344">
        <v>360</v>
      </c>
      <c r="B344">
        <v>2013</v>
      </c>
      <c r="C344" t="str">
        <f>VLOOKUP(A344,[2]Tabelle1!$A$1:$B$68,2,FALSE)</f>
        <v>Uelzen</v>
      </c>
      <c r="D344" t="s">
        <v>2</v>
      </c>
      <c r="E344" t="s">
        <v>4</v>
      </c>
      <c r="F344" t="str">
        <f>VLOOKUP(A344,[1]Kreise!$A$1:$C$53,3,FALSE)</f>
        <v>K03360</v>
      </c>
      <c r="G344">
        <v>32</v>
      </c>
    </row>
    <row r="345" spans="1:7" x14ac:dyDescent="0.25">
      <c r="A345">
        <v>361</v>
      </c>
      <c r="B345">
        <v>2013</v>
      </c>
      <c r="C345" t="str">
        <f>VLOOKUP(A345,[2]Tabelle1!$A$1:$B$68,2,FALSE)</f>
        <v>Verden</v>
      </c>
      <c r="D345" t="s">
        <v>2</v>
      </c>
      <c r="E345" t="s">
        <v>4</v>
      </c>
      <c r="F345" t="str">
        <f>VLOOKUP(A345,[1]Kreise!$A$1:$C$53,3,FALSE)</f>
        <v>K03361</v>
      </c>
      <c r="G345">
        <v>66</v>
      </c>
    </row>
    <row r="346" spans="1:7" x14ac:dyDescent="0.25">
      <c r="A346">
        <v>3</v>
      </c>
      <c r="B346">
        <v>2013</v>
      </c>
      <c r="C346" t="str">
        <f>VLOOKUP(A346,[2]Tabelle1!$A$1:$B$68,2,FALSE)</f>
        <v>Statistische Region Lüneburg</v>
      </c>
      <c r="D346" t="s">
        <v>2</v>
      </c>
      <c r="E346" t="s">
        <v>4</v>
      </c>
      <c r="F346" t="str">
        <f>VLOOKUP(A346,[1]Kreise!$A$1:$C$53,3,FALSE)</f>
        <v>K033</v>
      </c>
      <c r="G346">
        <v>872</v>
      </c>
    </row>
    <row r="347" spans="1:7" x14ac:dyDescent="0.25">
      <c r="A347">
        <v>401</v>
      </c>
      <c r="B347">
        <v>2013</v>
      </c>
      <c r="C347" t="str">
        <f>VLOOKUP(A347,[2]Tabelle1!$A$1:$B$68,2,FALSE)</f>
        <v>Delmenhorst  Stadt</v>
      </c>
      <c r="D347" t="s">
        <v>2</v>
      </c>
      <c r="E347" t="s">
        <v>4</v>
      </c>
      <c r="F347" t="str">
        <f>VLOOKUP(A347,[1]Kreise!$A$1:$C$53,3,FALSE)</f>
        <v>K03401</v>
      </c>
      <c r="G347">
        <v>43</v>
      </c>
    </row>
    <row r="348" spans="1:7" x14ac:dyDescent="0.25">
      <c r="A348">
        <v>402</v>
      </c>
      <c r="B348">
        <v>2013</v>
      </c>
      <c r="C348" t="str">
        <f>VLOOKUP(A348,[2]Tabelle1!$A$1:$B$68,2,FALSE)</f>
        <v>Emden  Stadt</v>
      </c>
      <c r="D348" t="s">
        <v>2</v>
      </c>
      <c r="E348" t="s">
        <v>4</v>
      </c>
      <c r="F348" t="str">
        <f>VLOOKUP(A348,[1]Kreise!$A$1:$C$53,3,FALSE)</f>
        <v>K03402</v>
      </c>
      <c r="G348">
        <v>50</v>
      </c>
    </row>
    <row r="349" spans="1:7" x14ac:dyDescent="0.25">
      <c r="A349">
        <v>403</v>
      </c>
      <c r="B349">
        <v>2013</v>
      </c>
      <c r="C349" t="str">
        <f>VLOOKUP(A349,[2]Tabelle1!$A$1:$B$68,2,FALSE)</f>
        <v>Oldenburg(Oldb)  Stadt</v>
      </c>
      <c r="D349" t="s">
        <v>2</v>
      </c>
      <c r="E349" t="s">
        <v>4</v>
      </c>
      <c r="F349" t="str">
        <f>VLOOKUP(A349,[1]Kreise!$A$1:$C$53,3,FALSE)</f>
        <v>K03403</v>
      </c>
      <c r="G349">
        <v>96</v>
      </c>
    </row>
    <row r="350" spans="1:7" x14ac:dyDescent="0.25">
      <c r="A350">
        <v>404</v>
      </c>
      <c r="B350">
        <v>2013</v>
      </c>
      <c r="C350" t="str">
        <f>VLOOKUP(A350,[2]Tabelle1!$A$1:$B$68,2,FALSE)</f>
        <v>Osnabrück  Stadt</v>
      </c>
      <c r="D350" t="s">
        <v>2</v>
      </c>
      <c r="E350" t="s">
        <v>4</v>
      </c>
      <c r="F350" t="str">
        <f>VLOOKUP(A350,[1]Kreise!$A$1:$C$53,3,FALSE)</f>
        <v>K03404</v>
      </c>
      <c r="G350">
        <v>80</v>
      </c>
    </row>
    <row r="351" spans="1:7" x14ac:dyDescent="0.25">
      <c r="A351">
        <v>405</v>
      </c>
      <c r="B351">
        <v>2013</v>
      </c>
      <c r="C351" t="str">
        <f>VLOOKUP(A351,[2]Tabelle1!$A$1:$B$68,2,FALSE)</f>
        <v>Wilhelmshaven  Stadt</v>
      </c>
      <c r="D351" t="s">
        <v>2</v>
      </c>
      <c r="E351" t="s">
        <v>4</v>
      </c>
      <c r="F351" t="str">
        <f>VLOOKUP(A351,[1]Kreise!$A$1:$C$53,3,FALSE)</f>
        <v>K03405</v>
      </c>
      <c r="G351">
        <v>38</v>
      </c>
    </row>
    <row r="352" spans="1:7" x14ac:dyDescent="0.25">
      <c r="A352">
        <v>451</v>
      </c>
      <c r="B352">
        <v>2013</v>
      </c>
      <c r="C352" t="str">
        <f>VLOOKUP(A352,[2]Tabelle1!$A$1:$B$68,2,FALSE)</f>
        <v>Ammerland</v>
      </c>
      <c r="D352" t="s">
        <v>2</v>
      </c>
      <c r="E352" t="s">
        <v>4</v>
      </c>
      <c r="F352" t="str">
        <f>VLOOKUP(A352,[1]Kreise!$A$1:$C$53,3,FALSE)</f>
        <v>K03451</v>
      </c>
      <c r="G352">
        <v>35</v>
      </c>
    </row>
    <row r="353" spans="1:7" x14ac:dyDescent="0.25">
      <c r="A353">
        <v>452</v>
      </c>
      <c r="B353">
        <v>2013</v>
      </c>
      <c r="C353" t="str">
        <f>VLOOKUP(A353,[2]Tabelle1!$A$1:$B$68,2,FALSE)</f>
        <v>Aurich</v>
      </c>
      <c r="D353" t="s">
        <v>2</v>
      </c>
      <c r="E353" t="s">
        <v>4</v>
      </c>
      <c r="F353" t="str">
        <f>VLOOKUP(A353,[1]Kreise!$A$1:$C$53,3,FALSE)</f>
        <v>K03452</v>
      </c>
      <c r="G353">
        <v>186</v>
      </c>
    </row>
    <row r="354" spans="1:7" x14ac:dyDescent="0.25">
      <c r="A354">
        <v>453</v>
      </c>
      <c r="B354">
        <v>2013</v>
      </c>
      <c r="C354" t="str">
        <f>VLOOKUP(A354,[2]Tabelle1!$A$1:$B$68,2,FALSE)</f>
        <v>Cloppenburg</v>
      </c>
      <c r="D354" t="s">
        <v>2</v>
      </c>
      <c r="E354" t="s">
        <v>4</v>
      </c>
      <c r="F354" t="str">
        <f>VLOOKUP(A354,[1]Kreise!$A$1:$C$53,3,FALSE)</f>
        <v>K03453</v>
      </c>
      <c r="G354">
        <v>94</v>
      </c>
    </row>
    <row r="355" spans="1:7" x14ac:dyDescent="0.25">
      <c r="A355">
        <v>454</v>
      </c>
      <c r="B355">
        <v>2013</v>
      </c>
      <c r="C355" t="str">
        <f>VLOOKUP(A355,[2]Tabelle1!$A$1:$B$68,2,FALSE)</f>
        <v>Emsland</v>
      </c>
      <c r="D355" t="s">
        <v>2</v>
      </c>
      <c r="E355" t="s">
        <v>4</v>
      </c>
      <c r="F355" t="str">
        <f>VLOOKUP(A355,[1]Kreise!$A$1:$C$53,3,FALSE)</f>
        <v>K03454</v>
      </c>
      <c r="G355">
        <v>164</v>
      </c>
    </row>
    <row r="356" spans="1:7" x14ac:dyDescent="0.25">
      <c r="A356">
        <v>455</v>
      </c>
      <c r="B356">
        <v>2013</v>
      </c>
      <c r="C356" t="str">
        <f>VLOOKUP(A356,[2]Tabelle1!$A$1:$B$68,2,FALSE)</f>
        <v>Friesland</v>
      </c>
      <c r="D356" t="s">
        <v>2</v>
      </c>
      <c r="E356" t="s">
        <v>4</v>
      </c>
      <c r="F356" t="str">
        <f>VLOOKUP(A356,[1]Kreise!$A$1:$C$53,3,FALSE)</f>
        <v>K03455</v>
      </c>
      <c r="G356">
        <v>34</v>
      </c>
    </row>
    <row r="357" spans="1:7" x14ac:dyDescent="0.25">
      <c r="A357">
        <v>456</v>
      </c>
      <c r="B357">
        <v>2013</v>
      </c>
      <c r="C357" t="str">
        <f>VLOOKUP(A357,[2]Tabelle1!$A$1:$B$68,2,FALSE)</f>
        <v>Grafschaft Bentheim</v>
      </c>
      <c r="D357" t="s">
        <v>2</v>
      </c>
      <c r="E357" t="s">
        <v>4</v>
      </c>
      <c r="F357" t="str">
        <f>VLOOKUP(A357,[1]Kreise!$A$1:$C$53,3,FALSE)</f>
        <v>K03456</v>
      </c>
      <c r="G357">
        <v>89</v>
      </c>
    </row>
    <row r="358" spans="1:7" x14ac:dyDescent="0.25">
      <c r="A358">
        <v>457</v>
      </c>
      <c r="B358">
        <v>2013</v>
      </c>
      <c r="C358" t="str">
        <f>VLOOKUP(A358,[2]Tabelle1!$A$1:$B$68,2,FALSE)</f>
        <v>Leer</v>
      </c>
      <c r="D358" t="s">
        <v>2</v>
      </c>
      <c r="E358" t="s">
        <v>4</v>
      </c>
      <c r="F358" t="str">
        <f>VLOOKUP(A358,[1]Kreise!$A$1:$C$53,3,FALSE)</f>
        <v>K03457</v>
      </c>
      <c r="G358">
        <v>130</v>
      </c>
    </row>
    <row r="359" spans="1:7" x14ac:dyDescent="0.25">
      <c r="A359">
        <v>458</v>
      </c>
      <c r="B359">
        <v>2013</v>
      </c>
      <c r="C359" t="str">
        <f>VLOOKUP(A359,[2]Tabelle1!$A$1:$B$68,2,FALSE)</f>
        <v>Oldenburg</v>
      </c>
      <c r="D359" t="s">
        <v>2</v>
      </c>
      <c r="E359" t="s">
        <v>4</v>
      </c>
      <c r="F359" t="str">
        <f>VLOOKUP(A359,[1]Kreise!$A$1:$C$53,3,FALSE)</f>
        <v>K03458</v>
      </c>
      <c r="G359">
        <v>44</v>
      </c>
    </row>
    <row r="360" spans="1:7" x14ac:dyDescent="0.25">
      <c r="A360">
        <v>459</v>
      </c>
      <c r="B360">
        <v>2013</v>
      </c>
      <c r="C360" t="str">
        <f>VLOOKUP(A360,[2]Tabelle1!$A$1:$B$68,2,FALSE)</f>
        <v>Osnabrück</v>
      </c>
      <c r="D360" t="s">
        <v>2</v>
      </c>
      <c r="E360" t="s">
        <v>4</v>
      </c>
      <c r="F360" t="str">
        <f>VLOOKUP(A360,[1]Kreise!$A$1:$C$53,3,FALSE)</f>
        <v>K03459</v>
      </c>
      <c r="G360">
        <v>105</v>
      </c>
    </row>
    <row r="361" spans="1:7" x14ac:dyDescent="0.25">
      <c r="A361">
        <v>460</v>
      </c>
      <c r="B361">
        <v>2013</v>
      </c>
      <c r="C361" t="str">
        <f>VLOOKUP(A361,[2]Tabelle1!$A$1:$B$68,2,FALSE)</f>
        <v>Vechta</v>
      </c>
      <c r="D361" t="s">
        <v>2</v>
      </c>
      <c r="E361" t="s">
        <v>4</v>
      </c>
      <c r="F361" t="str">
        <f>VLOOKUP(A361,[1]Kreise!$A$1:$C$53,3,FALSE)</f>
        <v>K03460</v>
      </c>
      <c r="G361">
        <v>55</v>
      </c>
    </row>
    <row r="362" spans="1:7" x14ac:dyDescent="0.25">
      <c r="A362">
        <v>461</v>
      </c>
      <c r="B362">
        <v>2013</v>
      </c>
      <c r="C362" t="str">
        <f>VLOOKUP(A362,[2]Tabelle1!$A$1:$B$68,2,FALSE)</f>
        <v>Wesermarsch</v>
      </c>
      <c r="D362" t="s">
        <v>2</v>
      </c>
      <c r="E362" t="s">
        <v>4</v>
      </c>
      <c r="F362" t="str">
        <f>VLOOKUP(A362,[1]Kreise!$A$1:$C$53,3,FALSE)</f>
        <v>K03461</v>
      </c>
      <c r="G362">
        <v>38</v>
      </c>
    </row>
    <row r="363" spans="1:7" x14ac:dyDescent="0.25">
      <c r="A363">
        <v>462</v>
      </c>
      <c r="B363">
        <v>2013</v>
      </c>
      <c r="C363" t="str">
        <f>VLOOKUP(A363,[2]Tabelle1!$A$1:$B$68,2,FALSE)</f>
        <v>Wittmund</v>
      </c>
      <c r="D363" t="s">
        <v>2</v>
      </c>
      <c r="E363" t="s">
        <v>4</v>
      </c>
      <c r="F363" t="str">
        <f>VLOOKUP(A363,[1]Kreise!$A$1:$C$53,3,FALSE)</f>
        <v>K03462</v>
      </c>
      <c r="G363" t="s">
        <v>84</v>
      </c>
    </row>
    <row r="364" spans="1:7" x14ac:dyDescent="0.25">
      <c r="A364">
        <v>4</v>
      </c>
      <c r="B364">
        <v>2013</v>
      </c>
      <c r="C364" t="str">
        <f>VLOOKUP(A364,[2]Tabelle1!$A$1:$B$68,2,FALSE)</f>
        <v>Statistische Region Weser-Ems</v>
      </c>
      <c r="D364" t="s">
        <v>2</v>
      </c>
      <c r="E364" t="s">
        <v>4</v>
      </c>
      <c r="F364" t="str">
        <f>VLOOKUP(A364,[1]Kreise!$A$1:$C$53,3,FALSE)</f>
        <v>K034</v>
      </c>
      <c r="G364">
        <v>1314</v>
      </c>
    </row>
    <row r="365" spans="1:7" x14ac:dyDescent="0.25">
      <c r="A365">
        <v>0</v>
      </c>
      <c r="B365">
        <v>2013</v>
      </c>
      <c r="C365" t="str">
        <f>VLOOKUP(A365,[2]Tabelle1!$A$1:$B$68,2,FALSE)</f>
        <v>Niedersachsen</v>
      </c>
      <c r="D365" t="s">
        <v>2</v>
      </c>
      <c r="E365" t="s">
        <v>4</v>
      </c>
      <c r="F365" t="str">
        <f>VLOOKUP(A365,[1]Kreise!$A$1:$C$53,3,FALSE)</f>
        <v>K030</v>
      </c>
      <c r="G365">
        <v>3723</v>
      </c>
    </row>
    <row r="366" spans="1:7" x14ac:dyDescent="0.25">
      <c r="A366">
        <v>101</v>
      </c>
      <c r="B366">
        <v>2013</v>
      </c>
      <c r="C366" t="str">
        <f>VLOOKUP(A366,[2]Tabelle1!$A$1:$B$68,2,FALSE)</f>
        <v>Braunschweig  Stadt</v>
      </c>
      <c r="D366" t="s">
        <v>3</v>
      </c>
      <c r="E366" t="s">
        <v>4</v>
      </c>
      <c r="F366" t="str">
        <f>VLOOKUP(A366,[1]Kreise!$A$1:$C$53,3,FALSE)</f>
        <v>K03101</v>
      </c>
      <c r="G366">
        <v>25</v>
      </c>
    </row>
    <row r="367" spans="1:7" x14ac:dyDescent="0.25">
      <c r="A367">
        <v>102</v>
      </c>
      <c r="B367">
        <v>2013</v>
      </c>
      <c r="C367" t="str">
        <f>VLOOKUP(A367,[2]Tabelle1!$A$1:$B$68,2,FALSE)</f>
        <v>Salzgitter  Stadt</v>
      </c>
      <c r="D367" t="s">
        <v>3</v>
      </c>
      <c r="E367" t="s">
        <v>4</v>
      </c>
      <c r="F367" t="str">
        <f>VLOOKUP(A367,[1]Kreise!$A$1:$C$53,3,FALSE)</f>
        <v>K03102</v>
      </c>
      <c r="G367">
        <v>9</v>
      </c>
    </row>
    <row r="368" spans="1:7" x14ac:dyDescent="0.25">
      <c r="A368">
        <v>103</v>
      </c>
      <c r="B368">
        <v>2013</v>
      </c>
      <c r="C368" t="str">
        <f>VLOOKUP(A368,[2]Tabelle1!$A$1:$B$68,2,FALSE)</f>
        <v>Wolfsburg  Stadt</v>
      </c>
      <c r="D368" t="s">
        <v>3</v>
      </c>
      <c r="E368" t="s">
        <v>4</v>
      </c>
      <c r="F368" t="str">
        <f>VLOOKUP(A368,[1]Kreise!$A$1:$C$53,3,FALSE)</f>
        <v>K03103</v>
      </c>
      <c r="G368">
        <v>10</v>
      </c>
    </row>
    <row r="369" spans="1:7" x14ac:dyDescent="0.25">
      <c r="A369">
        <v>151</v>
      </c>
      <c r="B369">
        <v>2013</v>
      </c>
      <c r="C369" t="str">
        <f>VLOOKUP(A369,[2]Tabelle1!$A$1:$B$68,2,FALSE)</f>
        <v>Gifhorn</v>
      </c>
      <c r="D369" t="s">
        <v>3</v>
      </c>
      <c r="E369" t="s">
        <v>4</v>
      </c>
      <c r="F369" t="str">
        <f>VLOOKUP(A369,[1]Kreise!$A$1:$C$53,3,FALSE)</f>
        <v>K03151</v>
      </c>
      <c r="G369">
        <v>5</v>
      </c>
    </row>
    <row r="370" spans="1:7" x14ac:dyDescent="0.25">
      <c r="A370">
        <v>153</v>
      </c>
      <c r="B370">
        <v>2013</v>
      </c>
      <c r="C370" t="str">
        <f>VLOOKUP(A370,[2]Tabelle1!$A$1:$B$68,2,FALSE)</f>
        <v>Goslar</v>
      </c>
      <c r="D370" t="s">
        <v>3</v>
      </c>
      <c r="E370" t="s">
        <v>4</v>
      </c>
      <c r="F370" t="str">
        <f>VLOOKUP(A370,[1]Kreise!$A$1:$C$53,3,FALSE)</f>
        <v>K03153</v>
      </c>
      <c r="G370">
        <v>2</v>
      </c>
    </row>
    <row r="371" spans="1:7" x14ac:dyDescent="0.25">
      <c r="A371">
        <v>154</v>
      </c>
      <c r="B371">
        <v>2013</v>
      </c>
      <c r="C371" t="str">
        <f>VLOOKUP(A371,[2]Tabelle1!$A$1:$B$68,2,FALSE)</f>
        <v>Helmstedt</v>
      </c>
      <c r="D371" t="s">
        <v>3</v>
      </c>
      <c r="E371" t="s">
        <v>4</v>
      </c>
      <c r="F371" t="str">
        <f>VLOOKUP(A371,[1]Kreise!$A$1:$C$53,3,FALSE)</f>
        <v>K03154</v>
      </c>
      <c r="G371">
        <v>4</v>
      </c>
    </row>
    <row r="372" spans="1:7" x14ac:dyDescent="0.25">
      <c r="A372">
        <v>155</v>
      </c>
      <c r="B372">
        <v>2013</v>
      </c>
      <c r="C372" t="str">
        <f>VLOOKUP(A372,[2]Tabelle1!$A$1:$B$68,2,FALSE)</f>
        <v>Northeim</v>
      </c>
      <c r="D372" t="s">
        <v>3</v>
      </c>
      <c r="E372" t="s">
        <v>4</v>
      </c>
      <c r="F372" t="str">
        <f>VLOOKUP(A372,[1]Kreise!$A$1:$C$53,3,FALSE)</f>
        <v>K03155</v>
      </c>
      <c r="G372">
        <v>9</v>
      </c>
    </row>
    <row r="373" spans="1:7" x14ac:dyDescent="0.25">
      <c r="A373">
        <v>157</v>
      </c>
      <c r="B373">
        <v>2013</v>
      </c>
      <c r="C373" t="str">
        <f>VLOOKUP(A373,[2]Tabelle1!$A$1:$B$68,2,FALSE)</f>
        <v>Peine</v>
      </c>
      <c r="D373" t="s">
        <v>3</v>
      </c>
      <c r="E373" t="s">
        <v>4</v>
      </c>
      <c r="F373" t="str">
        <f>VLOOKUP(A373,[1]Kreise!$A$1:$C$53,3,FALSE)</f>
        <v>K03157</v>
      </c>
      <c r="G373">
        <v>11</v>
      </c>
    </row>
    <row r="374" spans="1:7" x14ac:dyDescent="0.25">
      <c r="A374">
        <v>158</v>
      </c>
      <c r="B374">
        <v>2013</v>
      </c>
      <c r="C374" t="str">
        <f>VLOOKUP(A374,[2]Tabelle1!$A$1:$B$68,2,FALSE)</f>
        <v>Wolfenbüttel</v>
      </c>
      <c r="D374" t="s">
        <v>3</v>
      </c>
      <c r="E374" t="s">
        <v>4</v>
      </c>
      <c r="F374" t="str">
        <f>VLOOKUP(A374,[1]Kreise!$A$1:$C$53,3,FALSE)</f>
        <v>K03158</v>
      </c>
      <c r="G374">
        <v>4</v>
      </c>
    </row>
    <row r="375" spans="1:7" x14ac:dyDescent="0.25">
      <c r="A375">
        <v>159</v>
      </c>
      <c r="B375">
        <v>2013</v>
      </c>
      <c r="C375" t="str">
        <f>VLOOKUP(A375,[2]Tabelle1!$A$1:$B$68,2,FALSE)</f>
        <v>Göttingen</v>
      </c>
      <c r="D375" t="s">
        <v>3</v>
      </c>
      <c r="E375" t="s">
        <v>4</v>
      </c>
      <c r="F375" t="str">
        <f>VLOOKUP(A375,[1]Kreise!$A$1:$C$53,3,FALSE)</f>
        <v>K03159</v>
      </c>
      <c r="G375">
        <v>31</v>
      </c>
    </row>
    <row r="376" spans="1:7" x14ac:dyDescent="0.25">
      <c r="A376">
        <v>1</v>
      </c>
      <c r="B376">
        <v>2013</v>
      </c>
      <c r="C376" t="str">
        <f>VLOOKUP(A376,[2]Tabelle1!$A$1:$B$68,2,FALSE)</f>
        <v>Statistische Region Braunschweig</v>
      </c>
      <c r="D376" t="s">
        <v>3</v>
      </c>
      <c r="E376" t="s">
        <v>4</v>
      </c>
      <c r="F376" t="str">
        <f>VLOOKUP(A376,[1]Kreise!$A$1:$C$53,3,FALSE)</f>
        <v>K031</v>
      </c>
      <c r="G376">
        <v>110</v>
      </c>
    </row>
    <row r="377" spans="1:7" x14ac:dyDescent="0.25">
      <c r="A377">
        <v>241</v>
      </c>
      <c r="B377">
        <v>2013</v>
      </c>
      <c r="C377" t="str">
        <f>VLOOKUP(A377,[2]Tabelle1!$A$1:$B$68,2,FALSE)</f>
        <v>Hannover  Region</v>
      </c>
      <c r="D377" t="s">
        <v>3</v>
      </c>
      <c r="E377" t="s">
        <v>4</v>
      </c>
      <c r="F377" t="str">
        <f>VLOOKUP(A377,[1]Kreise!$A$1:$C$53,3,FALSE)</f>
        <v>K03241</v>
      </c>
      <c r="G377">
        <v>144</v>
      </c>
    </row>
    <row r="378" spans="1:7" x14ac:dyDescent="0.25">
      <c r="A378">
        <v>241001</v>
      </c>
      <c r="B378">
        <v>2013</v>
      </c>
      <c r="C378" t="str">
        <f>VLOOKUP(A378,[2]Tabelle1!$A$1:$B$68,2,FALSE)</f>
        <v>dav. Hannover  Lhst.</v>
      </c>
      <c r="D378" t="s">
        <v>3</v>
      </c>
      <c r="E378" t="s">
        <v>4</v>
      </c>
      <c r="F378" t="str">
        <f>VLOOKUP(A378,[1]Kreise!$A$1:$C$53,3,FALSE)</f>
        <v>K03241001</v>
      </c>
      <c r="G378">
        <v>71</v>
      </c>
    </row>
    <row r="379" spans="1:7" x14ac:dyDescent="0.25">
      <c r="A379">
        <v>241999</v>
      </c>
      <c r="B379">
        <v>2013</v>
      </c>
      <c r="C379" t="str">
        <f>VLOOKUP(A379,[2]Tabelle1!$A$1:$B$68,2,FALSE)</f>
        <v>dav. Hannover  Umland</v>
      </c>
      <c r="D379" t="s">
        <v>3</v>
      </c>
      <c r="E379" t="s">
        <v>4</v>
      </c>
      <c r="F379" t="str">
        <f>VLOOKUP(A379,[1]Kreise!$A$1:$C$53,3,FALSE)</f>
        <v>K03241999</v>
      </c>
      <c r="G379">
        <v>73</v>
      </c>
    </row>
    <row r="380" spans="1:7" x14ac:dyDescent="0.25">
      <c r="A380">
        <v>251</v>
      </c>
      <c r="B380">
        <v>2013</v>
      </c>
      <c r="C380" t="str">
        <f>VLOOKUP(A380,[2]Tabelle1!$A$1:$B$68,2,FALSE)</f>
        <v>Diepholz</v>
      </c>
      <c r="D380" t="s">
        <v>3</v>
      </c>
      <c r="E380" t="s">
        <v>4</v>
      </c>
      <c r="F380" t="str">
        <f>VLOOKUP(A380,[1]Kreise!$A$1:$C$53,3,FALSE)</f>
        <v>K03251</v>
      </c>
      <c r="G380">
        <v>14</v>
      </c>
    </row>
    <row r="381" spans="1:7" x14ac:dyDescent="0.25">
      <c r="A381">
        <v>252</v>
      </c>
      <c r="B381">
        <v>2013</v>
      </c>
      <c r="C381" t="str">
        <f>VLOOKUP(A381,[2]Tabelle1!$A$1:$B$68,2,FALSE)</f>
        <v>Hameln-Pyrmont</v>
      </c>
      <c r="D381" t="s">
        <v>3</v>
      </c>
      <c r="E381" t="s">
        <v>4</v>
      </c>
      <c r="F381" t="str">
        <f>VLOOKUP(A381,[1]Kreise!$A$1:$C$53,3,FALSE)</f>
        <v>K03252</v>
      </c>
      <c r="G381">
        <v>11</v>
      </c>
    </row>
    <row r="382" spans="1:7" x14ac:dyDescent="0.25">
      <c r="A382">
        <v>254</v>
      </c>
      <c r="B382">
        <v>2013</v>
      </c>
      <c r="C382" t="str">
        <f>VLOOKUP(A382,[2]Tabelle1!$A$1:$B$68,2,FALSE)</f>
        <v>Hildesheim</v>
      </c>
      <c r="D382" t="s">
        <v>3</v>
      </c>
      <c r="E382" t="s">
        <v>4</v>
      </c>
      <c r="F382" t="str">
        <f>VLOOKUP(A382,[1]Kreise!$A$1:$C$53,3,FALSE)</f>
        <v>K03254</v>
      </c>
      <c r="G382">
        <v>28</v>
      </c>
    </row>
    <row r="383" spans="1:7" x14ac:dyDescent="0.25">
      <c r="A383">
        <v>255</v>
      </c>
      <c r="B383">
        <v>2013</v>
      </c>
      <c r="C383" t="str">
        <f>VLOOKUP(A383,[2]Tabelle1!$A$1:$B$68,2,FALSE)</f>
        <v>Holzminden</v>
      </c>
      <c r="D383" t="s">
        <v>3</v>
      </c>
      <c r="E383" t="s">
        <v>4</v>
      </c>
      <c r="F383" t="str">
        <f>VLOOKUP(A383,[1]Kreise!$A$1:$C$53,3,FALSE)</f>
        <v>K03255</v>
      </c>
      <c r="G383">
        <v>4</v>
      </c>
    </row>
    <row r="384" spans="1:7" x14ac:dyDescent="0.25">
      <c r="A384">
        <v>256</v>
      </c>
      <c r="B384">
        <v>2013</v>
      </c>
      <c r="C384" t="str">
        <f>VLOOKUP(A384,[2]Tabelle1!$A$1:$B$68,2,FALSE)</f>
        <v>Nienburg (Weser)</v>
      </c>
      <c r="D384" t="s">
        <v>3</v>
      </c>
      <c r="E384" t="s">
        <v>4</v>
      </c>
      <c r="F384" t="str">
        <f>VLOOKUP(A384,[1]Kreise!$A$1:$C$53,3,FALSE)</f>
        <v>K03256</v>
      </c>
      <c r="G384">
        <v>13</v>
      </c>
    </row>
    <row r="385" spans="1:7" x14ac:dyDescent="0.25">
      <c r="A385">
        <v>257</v>
      </c>
      <c r="B385">
        <v>2013</v>
      </c>
      <c r="C385" t="str">
        <f>VLOOKUP(A385,[2]Tabelle1!$A$1:$B$68,2,FALSE)</f>
        <v>Schaumburg</v>
      </c>
      <c r="D385" t="s">
        <v>3</v>
      </c>
      <c r="E385" t="s">
        <v>4</v>
      </c>
      <c r="F385" t="str">
        <f>VLOOKUP(A385,[1]Kreise!$A$1:$C$53,3,FALSE)</f>
        <v>K03257</v>
      </c>
      <c r="G385">
        <v>14</v>
      </c>
    </row>
    <row r="386" spans="1:7" x14ac:dyDescent="0.25">
      <c r="A386">
        <v>2</v>
      </c>
      <c r="B386">
        <v>2013</v>
      </c>
      <c r="C386" t="str">
        <f>VLOOKUP(A386,[2]Tabelle1!$A$1:$B$68,2,FALSE)</f>
        <v>Statistische Region Hannover</v>
      </c>
      <c r="D386" t="s">
        <v>3</v>
      </c>
      <c r="E386" t="s">
        <v>4</v>
      </c>
      <c r="F386" t="str">
        <f>VLOOKUP(A386,[1]Kreise!$A$1:$C$53,3,FALSE)</f>
        <v>K032</v>
      </c>
      <c r="G386">
        <v>228</v>
      </c>
    </row>
    <row r="387" spans="1:7" x14ac:dyDescent="0.25">
      <c r="A387">
        <v>351</v>
      </c>
      <c r="B387">
        <v>2013</v>
      </c>
      <c r="C387" t="str">
        <f>VLOOKUP(A387,[2]Tabelle1!$A$1:$B$68,2,FALSE)</f>
        <v>Celle</v>
      </c>
      <c r="D387" t="s">
        <v>3</v>
      </c>
      <c r="E387" t="s">
        <v>4</v>
      </c>
      <c r="F387" t="str">
        <f>VLOOKUP(A387,[1]Kreise!$A$1:$C$53,3,FALSE)</f>
        <v>K03351</v>
      </c>
      <c r="G387">
        <v>4</v>
      </c>
    </row>
    <row r="388" spans="1:7" x14ac:dyDescent="0.25">
      <c r="A388">
        <v>352</v>
      </c>
      <c r="B388">
        <v>2013</v>
      </c>
      <c r="C388" t="str">
        <f>VLOOKUP(A388,[2]Tabelle1!$A$1:$B$68,2,FALSE)</f>
        <v>Cuxhaven</v>
      </c>
      <c r="D388" t="s">
        <v>3</v>
      </c>
      <c r="E388" t="s">
        <v>4</v>
      </c>
      <c r="F388" t="str">
        <f>VLOOKUP(A388,[1]Kreise!$A$1:$C$53,3,FALSE)</f>
        <v>K03352</v>
      </c>
      <c r="G388">
        <v>11</v>
      </c>
    </row>
    <row r="389" spans="1:7" x14ac:dyDescent="0.25">
      <c r="A389">
        <v>353</v>
      </c>
      <c r="B389">
        <v>2013</v>
      </c>
      <c r="C389" t="str">
        <f>VLOOKUP(A389,[2]Tabelle1!$A$1:$B$68,2,FALSE)</f>
        <v>Harburg</v>
      </c>
      <c r="D389" t="s">
        <v>3</v>
      </c>
      <c r="E389" t="s">
        <v>4</v>
      </c>
      <c r="F389" t="str">
        <f>VLOOKUP(A389,[1]Kreise!$A$1:$C$53,3,FALSE)</f>
        <v>K03353</v>
      </c>
      <c r="G389">
        <v>7</v>
      </c>
    </row>
    <row r="390" spans="1:7" x14ac:dyDescent="0.25">
      <c r="A390">
        <v>354</v>
      </c>
      <c r="B390">
        <v>2013</v>
      </c>
      <c r="C390" t="str">
        <f>VLOOKUP(A390,[2]Tabelle1!$A$1:$B$68,2,FALSE)</f>
        <v>Lüchow-Dannenberg</v>
      </c>
      <c r="D390" t="s">
        <v>3</v>
      </c>
      <c r="E390" t="s">
        <v>4</v>
      </c>
      <c r="F390" t="str">
        <f>VLOOKUP(A390,[1]Kreise!$A$1:$C$53,3,FALSE)</f>
        <v>K03354</v>
      </c>
      <c r="G390">
        <v>1</v>
      </c>
    </row>
    <row r="391" spans="1:7" x14ac:dyDescent="0.25">
      <c r="A391">
        <v>355</v>
      </c>
      <c r="B391">
        <v>2013</v>
      </c>
      <c r="C391" t="str">
        <f>VLOOKUP(A391,[2]Tabelle1!$A$1:$B$68,2,FALSE)</f>
        <v>Lüneburg</v>
      </c>
      <c r="D391" t="s">
        <v>3</v>
      </c>
      <c r="E391" t="s">
        <v>4</v>
      </c>
      <c r="F391" t="str">
        <f>VLOOKUP(A391,[1]Kreise!$A$1:$C$53,3,FALSE)</f>
        <v>K03355</v>
      </c>
      <c r="G391">
        <v>8</v>
      </c>
    </row>
    <row r="392" spans="1:7" x14ac:dyDescent="0.25">
      <c r="A392">
        <v>356</v>
      </c>
      <c r="B392">
        <v>2013</v>
      </c>
      <c r="C392" t="str">
        <f>VLOOKUP(A392,[2]Tabelle1!$A$1:$B$68,2,FALSE)</f>
        <v>Osterholz</v>
      </c>
      <c r="D392" t="s">
        <v>3</v>
      </c>
      <c r="E392" t="s">
        <v>4</v>
      </c>
      <c r="F392" t="str">
        <f>VLOOKUP(A392,[1]Kreise!$A$1:$C$53,3,FALSE)</f>
        <v>K03356</v>
      </c>
      <c r="G392">
        <v>3</v>
      </c>
    </row>
    <row r="393" spans="1:7" x14ac:dyDescent="0.25">
      <c r="A393">
        <v>357</v>
      </c>
      <c r="B393">
        <v>2013</v>
      </c>
      <c r="C393" t="str">
        <f>VLOOKUP(A393,[2]Tabelle1!$A$1:$B$68,2,FALSE)</f>
        <v>Rotenburg (Wümme)</v>
      </c>
      <c r="D393" t="s">
        <v>3</v>
      </c>
      <c r="E393" t="s">
        <v>4</v>
      </c>
      <c r="F393" t="str">
        <f>VLOOKUP(A393,[1]Kreise!$A$1:$C$53,3,FALSE)</f>
        <v>K03357</v>
      </c>
      <c r="G393">
        <v>4</v>
      </c>
    </row>
    <row r="394" spans="1:7" x14ac:dyDescent="0.25">
      <c r="A394">
        <v>358</v>
      </c>
      <c r="B394">
        <v>2013</v>
      </c>
      <c r="C394" t="str">
        <f>VLOOKUP(A394,[2]Tabelle1!$A$1:$B$68,2,FALSE)</f>
        <v>Heidekreis</v>
      </c>
      <c r="D394" t="s">
        <v>3</v>
      </c>
      <c r="E394" t="s">
        <v>4</v>
      </c>
      <c r="F394" t="str">
        <f>VLOOKUP(A394,[1]Kreise!$A$1:$C$53,3,FALSE)</f>
        <v>K03358</v>
      </c>
      <c r="G394">
        <v>22</v>
      </c>
    </row>
    <row r="395" spans="1:7" x14ac:dyDescent="0.25">
      <c r="A395">
        <v>359</v>
      </c>
      <c r="B395">
        <v>2013</v>
      </c>
      <c r="C395" t="str">
        <f>VLOOKUP(A395,[2]Tabelle1!$A$1:$B$68,2,FALSE)</f>
        <v>Stade</v>
      </c>
      <c r="D395" t="s">
        <v>3</v>
      </c>
      <c r="E395" t="s">
        <v>4</v>
      </c>
      <c r="F395" t="str">
        <f>VLOOKUP(A395,[1]Kreise!$A$1:$C$53,3,FALSE)</f>
        <v>K03359</v>
      </c>
      <c r="G395">
        <v>10</v>
      </c>
    </row>
    <row r="396" spans="1:7" x14ac:dyDescent="0.25">
      <c r="A396">
        <v>360</v>
      </c>
      <c r="B396">
        <v>2013</v>
      </c>
      <c r="C396" t="str">
        <f>VLOOKUP(A396,[2]Tabelle1!$A$1:$B$68,2,FALSE)</f>
        <v>Uelzen</v>
      </c>
      <c r="D396" t="s">
        <v>3</v>
      </c>
      <c r="E396" t="s">
        <v>4</v>
      </c>
      <c r="F396" t="str">
        <f>VLOOKUP(A396,[1]Kreise!$A$1:$C$53,3,FALSE)</f>
        <v>K03360</v>
      </c>
      <c r="G396">
        <v>3</v>
      </c>
    </row>
    <row r="397" spans="1:7" x14ac:dyDescent="0.25">
      <c r="A397">
        <v>361</v>
      </c>
      <c r="B397">
        <v>2013</v>
      </c>
      <c r="C397" t="str">
        <f>VLOOKUP(A397,[2]Tabelle1!$A$1:$B$68,2,FALSE)</f>
        <v>Verden</v>
      </c>
      <c r="D397" t="s">
        <v>3</v>
      </c>
      <c r="E397" t="s">
        <v>4</v>
      </c>
      <c r="F397" t="str">
        <f>VLOOKUP(A397,[1]Kreise!$A$1:$C$53,3,FALSE)</f>
        <v>K03361</v>
      </c>
      <c r="G397">
        <v>8</v>
      </c>
    </row>
    <row r="398" spans="1:7" x14ac:dyDescent="0.25">
      <c r="A398">
        <v>3</v>
      </c>
      <c r="B398">
        <v>2013</v>
      </c>
      <c r="C398" t="str">
        <f>VLOOKUP(A398,[2]Tabelle1!$A$1:$B$68,2,FALSE)</f>
        <v>Statistische Region Lüneburg</v>
      </c>
      <c r="D398" t="s">
        <v>3</v>
      </c>
      <c r="E398" t="s">
        <v>4</v>
      </c>
      <c r="F398" t="str">
        <f>VLOOKUP(A398,[1]Kreise!$A$1:$C$53,3,FALSE)</f>
        <v>K033</v>
      </c>
      <c r="G398">
        <v>81</v>
      </c>
    </row>
    <row r="399" spans="1:7" x14ac:dyDescent="0.25">
      <c r="A399">
        <v>401</v>
      </c>
      <c r="B399">
        <v>2013</v>
      </c>
      <c r="C399" t="str">
        <f>VLOOKUP(A399,[2]Tabelle1!$A$1:$B$68,2,FALSE)</f>
        <v>Delmenhorst  Stadt</v>
      </c>
      <c r="D399" t="s">
        <v>3</v>
      </c>
      <c r="E399" t="s">
        <v>4</v>
      </c>
      <c r="F399" t="str">
        <f>VLOOKUP(A399,[1]Kreise!$A$1:$C$53,3,FALSE)</f>
        <v>K03401</v>
      </c>
      <c r="G399">
        <v>16</v>
      </c>
    </row>
    <row r="400" spans="1:7" x14ac:dyDescent="0.25">
      <c r="A400">
        <v>402</v>
      </c>
      <c r="B400">
        <v>2013</v>
      </c>
      <c r="C400" t="str">
        <f>VLOOKUP(A400,[2]Tabelle1!$A$1:$B$68,2,FALSE)</f>
        <v>Emden  Stadt</v>
      </c>
      <c r="D400" t="s">
        <v>3</v>
      </c>
      <c r="E400" t="s">
        <v>4</v>
      </c>
      <c r="F400" t="str">
        <f>VLOOKUP(A400,[1]Kreise!$A$1:$C$53,3,FALSE)</f>
        <v>K03402</v>
      </c>
      <c r="G400">
        <v>3</v>
      </c>
    </row>
    <row r="401" spans="1:7" x14ac:dyDescent="0.25">
      <c r="A401">
        <v>403</v>
      </c>
      <c r="B401">
        <v>2013</v>
      </c>
      <c r="C401" t="str">
        <f>VLOOKUP(A401,[2]Tabelle1!$A$1:$B$68,2,FALSE)</f>
        <v>Oldenburg(Oldb)  Stadt</v>
      </c>
      <c r="D401" t="s">
        <v>3</v>
      </c>
      <c r="E401" t="s">
        <v>4</v>
      </c>
      <c r="F401" t="str">
        <f>VLOOKUP(A401,[1]Kreise!$A$1:$C$53,3,FALSE)</f>
        <v>K03403</v>
      </c>
      <c r="G401">
        <v>18</v>
      </c>
    </row>
    <row r="402" spans="1:7" x14ac:dyDescent="0.25">
      <c r="A402">
        <v>404</v>
      </c>
      <c r="B402">
        <v>2013</v>
      </c>
      <c r="C402" t="str">
        <f>VLOOKUP(A402,[2]Tabelle1!$A$1:$B$68,2,FALSE)</f>
        <v>Osnabrück  Stadt</v>
      </c>
      <c r="D402" t="s">
        <v>3</v>
      </c>
      <c r="E402" t="s">
        <v>4</v>
      </c>
      <c r="F402" t="str">
        <f>VLOOKUP(A402,[1]Kreise!$A$1:$C$53,3,FALSE)</f>
        <v>K03404</v>
      </c>
      <c r="G402">
        <v>18</v>
      </c>
    </row>
    <row r="403" spans="1:7" x14ac:dyDescent="0.25">
      <c r="A403">
        <v>405</v>
      </c>
      <c r="B403">
        <v>2013</v>
      </c>
      <c r="C403" t="str">
        <f>VLOOKUP(A403,[2]Tabelle1!$A$1:$B$68,2,FALSE)</f>
        <v>Wilhelmshaven  Stadt</v>
      </c>
      <c r="D403" t="s">
        <v>3</v>
      </c>
      <c r="E403" t="s">
        <v>4</v>
      </c>
      <c r="F403" t="str">
        <f>VLOOKUP(A403,[1]Kreise!$A$1:$C$53,3,FALSE)</f>
        <v>K03405</v>
      </c>
      <c r="G403">
        <v>9</v>
      </c>
    </row>
    <row r="404" spans="1:7" x14ac:dyDescent="0.25">
      <c r="A404">
        <v>451</v>
      </c>
      <c r="B404">
        <v>2013</v>
      </c>
      <c r="C404" t="str">
        <f>VLOOKUP(A404,[2]Tabelle1!$A$1:$B$68,2,FALSE)</f>
        <v>Ammerland</v>
      </c>
      <c r="D404" t="s">
        <v>3</v>
      </c>
      <c r="E404" t="s">
        <v>4</v>
      </c>
      <c r="F404" t="str">
        <f>VLOOKUP(A404,[1]Kreise!$A$1:$C$53,3,FALSE)</f>
        <v>K03451</v>
      </c>
      <c r="G404">
        <v>1</v>
      </c>
    </row>
    <row r="405" spans="1:7" x14ac:dyDescent="0.25">
      <c r="A405">
        <v>452</v>
      </c>
      <c r="B405">
        <v>2013</v>
      </c>
      <c r="C405" t="str">
        <f>VLOOKUP(A405,[2]Tabelle1!$A$1:$B$68,2,FALSE)</f>
        <v>Aurich</v>
      </c>
      <c r="D405" t="s">
        <v>3</v>
      </c>
      <c r="E405" t="s">
        <v>4</v>
      </c>
      <c r="F405" t="str">
        <f>VLOOKUP(A405,[1]Kreise!$A$1:$C$53,3,FALSE)</f>
        <v>K03452</v>
      </c>
      <c r="G405">
        <v>14</v>
      </c>
    </row>
    <row r="406" spans="1:7" x14ac:dyDescent="0.25">
      <c r="A406">
        <v>453</v>
      </c>
      <c r="B406">
        <v>2013</v>
      </c>
      <c r="C406" t="str">
        <f>VLOOKUP(A406,[2]Tabelle1!$A$1:$B$68,2,FALSE)</f>
        <v>Cloppenburg</v>
      </c>
      <c r="D406" t="s">
        <v>3</v>
      </c>
      <c r="E406" t="s">
        <v>4</v>
      </c>
      <c r="F406" t="str">
        <f>VLOOKUP(A406,[1]Kreise!$A$1:$C$53,3,FALSE)</f>
        <v>K03453</v>
      </c>
      <c r="G406">
        <v>10</v>
      </c>
    </row>
    <row r="407" spans="1:7" x14ac:dyDescent="0.25">
      <c r="A407">
        <v>454</v>
      </c>
      <c r="B407">
        <v>2013</v>
      </c>
      <c r="C407" t="str">
        <f>VLOOKUP(A407,[2]Tabelle1!$A$1:$B$68,2,FALSE)</f>
        <v>Emsland</v>
      </c>
      <c r="D407" t="s">
        <v>3</v>
      </c>
      <c r="E407" t="s">
        <v>4</v>
      </c>
      <c r="F407" t="str">
        <f>VLOOKUP(A407,[1]Kreise!$A$1:$C$53,3,FALSE)</f>
        <v>K03454</v>
      </c>
      <c r="G407">
        <v>22</v>
      </c>
    </row>
    <row r="408" spans="1:7" x14ac:dyDescent="0.25">
      <c r="A408">
        <v>455</v>
      </c>
      <c r="B408">
        <v>2013</v>
      </c>
      <c r="C408" t="str">
        <f>VLOOKUP(A408,[2]Tabelle1!$A$1:$B$68,2,FALSE)</f>
        <v>Friesland</v>
      </c>
      <c r="D408" t="s">
        <v>3</v>
      </c>
      <c r="E408" t="s">
        <v>4</v>
      </c>
      <c r="F408" t="str">
        <f>VLOOKUP(A408,[1]Kreise!$A$1:$C$53,3,FALSE)</f>
        <v>K03455</v>
      </c>
      <c r="G408">
        <v>4</v>
      </c>
    </row>
    <row r="409" spans="1:7" x14ac:dyDescent="0.25">
      <c r="A409">
        <v>456</v>
      </c>
      <c r="B409">
        <v>2013</v>
      </c>
      <c r="C409" t="str">
        <f>VLOOKUP(A409,[2]Tabelle1!$A$1:$B$68,2,FALSE)</f>
        <v>Grafschaft Bentheim</v>
      </c>
      <c r="D409" t="s">
        <v>3</v>
      </c>
      <c r="E409" t="s">
        <v>4</v>
      </c>
      <c r="F409" t="str">
        <f>VLOOKUP(A409,[1]Kreise!$A$1:$C$53,3,FALSE)</f>
        <v>K03456</v>
      </c>
      <c r="G409">
        <v>28</v>
      </c>
    </row>
    <row r="410" spans="1:7" x14ac:dyDescent="0.25">
      <c r="A410">
        <v>457</v>
      </c>
      <c r="B410">
        <v>2013</v>
      </c>
      <c r="C410" t="str">
        <f>VLOOKUP(A410,[2]Tabelle1!$A$1:$B$68,2,FALSE)</f>
        <v>Leer</v>
      </c>
      <c r="D410" t="s">
        <v>3</v>
      </c>
      <c r="E410" t="s">
        <v>4</v>
      </c>
      <c r="F410" t="str">
        <f>VLOOKUP(A410,[1]Kreise!$A$1:$C$53,3,FALSE)</f>
        <v>K03457</v>
      </c>
      <c r="G410">
        <v>10</v>
      </c>
    </row>
    <row r="411" spans="1:7" x14ac:dyDescent="0.25">
      <c r="A411">
        <v>458</v>
      </c>
      <c r="B411">
        <v>2013</v>
      </c>
      <c r="C411" t="str">
        <f>VLOOKUP(A411,[2]Tabelle1!$A$1:$B$68,2,FALSE)</f>
        <v>Oldenburg</v>
      </c>
      <c r="D411" t="s">
        <v>3</v>
      </c>
      <c r="E411" t="s">
        <v>4</v>
      </c>
      <c r="F411" t="str">
        <f>VLOOKUP(A411,[1]Kreise!$A$1:$C$53,3,FALSE)</f>
        <v>K03458</v>
      </c>
      <c r="G411">
        <v>7</v>
      </c>
    </row>
    <row r="412" spans="1:7" x14ac:dyDescent="0.25">
      <c r="A412">
        <v>459</v>
      </c>
      <c r="B412">
        <v>2013</v>
      </c>
      <c r="C412" t="str">
        <f>VLOOKUP(A412,[2]Tabelle1!$A$1:$B$68,2,FALSE)</f>
        <v>Osnabrück</v>
      </c>
      <c r="D412" t="s">
        <v>3</v>
      </c>
      <c r="E412" t="s">
        <v>4</v>
      </c>
      <c r="F412" t="str">
        <f>VLOOKUP(A412,[1]Kreise!$A$1:$C$53,3,FALSE)</f>
        <v>K03459</v>
      </c>
      <c r="G412">
        <v>38</v>
      </c>
    </row>
    <row r="413" spans="1:7" x14ac:dyDescent="0.25">
      <c r="A413">
        <v>460</v>
      </c>
      <c r="B413">
        <v>2013</v>
      </c>
      <c r="C413" t="str">
        <f>VLOOKUP(A413,[2]Tabelle1!$A$1:$B$68,2,FALSE)</f>
        <v>Vechta</v>
      </c>
      <c r="D413" t="s">
        <v>3</v>
      </c>
      <c r="E413" t="s">
        <v>4</v>
      </c>
      <c r="F413" t="str">
        <f>VLOOKUP(A413,[1]Kreise!$A$1:$C$53,3,FALSE)</f>
        <v>K03460</v>
      </c>
      <c r="G413">
        <v>26</v>
      </c>
    </row>
    <row r="414" spans="1:7" x14ac:dyDescent="0.25">
      <c r="A414">
        <v>461</v>
      </c>
      <c r="B414">
        <v>2013</v>
      </c>
      <c r="C414" t="str">
        <f>VLOOKUP(A414,[2]Tabelle1!$A$1:$B$68,2,FALSE)</f>
        <v>Wesermarsch</v>
      </c>
      <c r="D414" t="s">
        <v>3</v>
      </c>
      <c r="E414" t="s">
        <v>4</v>
      </c>
      <c r="F414" t="str">
        <f>VLOOKUP(A414,[1]Kreise!$A$1:$C$53,3,FALSE)</f>
        <v>K03461</v>
      </c>
      <c r="G414">
        <v>6</v>
      </c>
    </row>
    <row r="415" spans="1:7" x14ac:dyDescent="0.25">
      <c r="A415">
        <v>462</v>
      </c>
      <c r="B415">
        <v>2013</v>
      </c>
      <c r="C415" t="str">
        <f>VLOOKUP(A415,[2]Tabelle1!$A$1:$B$68,2,FALSE)</f>
        <v>Wittmund</v>
      </c>
      <c r="D415" t="s">
        <v>3</v>
      </c>
      <c r="E415" t="s">
        <v>4</v>
      </c>
      <c r="F415" t="str">
        <f>VLOOKUP(A415,[1]Kreise!$A$1:$C$53,3,FALSE)</f>
        <v>K03462</v>
      </c>
      <c r="G415" t="s">
        <v>84</v>
      </c>
    </row>
    <row r="416" spans="1:7" x14ac:dyDescent="0.25">
      <c r="A416">
        <v>4</v>
      </c>
      <c r="B416">
        <v>2013</v>
      </c>
      <c r="C416" t="str">
        <f>VLOOKUP(A416,[2]Tabelle1!$A$1:$B$68,2,FALSE)</f>
        <v>Statistische Region Weser-Ems</v>
      </c>
      <c r="D416" t="s">
        <v>3</v>
      </c>
      <c r="E416" t="s">
        <v>4</v>
      </c>
      <c r="F416" t="str">
        <f>VLOOKUP(A416,[1]Kreise!$A$1:$C$53,3,FALSE)</f>
        <v>K034</v>
      </c>
      <c r="G416">
        <v>230</v>
      </c>
    </row>
    <row r="417" spans="1:7" x14ac:dyDescent="0.25">
      <c r="A417">
        <v>0</v>
      </c>
      <c r="B417">
        <v>2013</v>
      </c>
      <c r="C417" t="str">
        <f>VLOOKUP(A417,[2]Tabelle1!$A$1:$B$68,2,FALSE)</f>
        <v>Niedersachsen</v>
      </c>
      <c r="D417" t="s">
        <v>3</v>
      </c>
      <c r="E417" t="s">
        <v>4</v>
      </c>
      <c r="F417" t="str">
        <f>VLOOKUP(A417,[1]Kreise!$A$1:$C$53,3,FALSE)</f>
        <v>K030</v>
      </c>
      <c r="G417">
        <v>649</v>
      </c>
    </row>
    <row r="418" spans="1:7" x14ac:dyDescent="0.25">
      <c r="A418">
        <v>101</v>
      </c>
      <c r="B418">
        <v>2014</v>
      </c>
      <c r="C418" t="str">
        <f>VLOOKUP(A418,[2]Tabelle1!$A$1:$B$68,2,FALSE)</f>
        <v>Braunschweig  Stadt</v>
      </c>
      <c r="D418" t="s">
        <v>2</v>
      </c>
      <c r="E418" t="s">
        <v>4</v>
      </c>
      <c r="F418" t="str">
        <f>VLOOKUP(A418,[1]Kreise!$A$1:$C$53,3,FALSE)</f>
        <v>K03101</v>
      </c>
      <c r="G418">
        <v>115</v>
      </c>
    </row>
    <row r="419" spans="1:7" x14ac:dyDescent="0.25">
      <c r="A419">
        <v>102</v>
      </c>
      <c r="B419">
        <v>2014</v>
      </c>
      <c r="C419" t="str">
        <f>VLOOKUP(A419,[2]Tabelle1!$A$1:$B$68,2,FALSE)</f>
        <v>Salzgitter  Stadt</v>
      </c>
      <c r="D419" t="s">
        <v>2</v>
      </c>
      <c r="E419" t="s">
        <v>4</v>
      </c>
      <c r="F419" t="str">
        <f>VLOOKUP(A419,[1]Kreise!$A$1:$C$53,3,FALSE)</f>
        <v>K03102</v>
      </c>
      <c r="G419">
        <v>27</v>
      </c>
    </row>
    <row r="420" spans="1:7" x14ac:dyDescent="0.25">
      <c r="A420">
        <v>103</v>
      </c>
      <c r="B420">
        <v>2014</v>
      </c>
      <c r="C420" t="str">
        <f>VLOOKUP(A420,[2]Tabelle1!$A$1:$B$68,2,FALSE)</f>
        <v>Wolfsburg  Stadt</v>
      </c>
      <c r="D420" t="s">
        <v>2</v>
      </c>
      <c r="E420" t="s">
        <v>4</v>
      </c>
      <c r="F420" t="str">
        <f>VLOOKUP(A420,[1]Kreise!$A$1:$C$53,3,FALSE)</f>
        <v>K03103</v>
      </c>
      <c r="G420">
        <v>47</v>
      </c>
    </row>
    <row r="421" spans="1:7" x14ac:dyDescent="0.25">
      <c r="A421">
        <v>151</v>
      </c>
      <c r="B421">
        <v>2014</v>
      </c>
      <c r="C421" t="str">
        <f>VLOOKUP(A421,[2]Tabelle1!$A$1:$B$68,2,FALSE)</f>
        <v>Gifhorn</v>
      </c>
      <c r="D421" t="s">
        <v>2</v>
      </c>
      <c r="E421" t="s">
        <v>4</v>
      </c>
      <c r="F421" t="str">
        <f>VLOOKUP(A421,[1]Kreise!$A$1:$C$53,3,FALSE)</f>
        <v>K03151</v>
      </c>
      <c r="G421">
        <v>54</v>
      </c>
    </row>
    <row r="422" spans="1:7" x14ac:dyDescent="0.25">
      <c r="A422">
        <v>153</v>
      </c>
      <c r="B422">
        <v>2014</v>
      </c>
      <c r="C422" t="str">
        <f>VLOOKUP(A422,[2]Tabelle1!$A$1:$B$68,2,FALSE)</f>
        <v>Goslar</v>
      </c>
      <c r="D422" t="s">
        <v>2</v>
      </c>
      <c r="E422" t="s">
        <v>4</v>
      </c>
      <c r="F422" t="str">
        <f>VLOOKUP(A422,[1]Kreise!$A$1:$C$53,3,FALSE)</f>
        <v>K03153</v>
      </c>
      <c r="G422">
        <v>92</v>
      </c>
    </row>
    <row r="423" spans="1:7" x14ac:dyDescent="0.25">
      <c r="A423">
        <v>154</v>
      </c>
      <c r="B423">
        <v>2014</v>
      </c>
      <c r="C423" t="str">
        <f>VLOOKUP(A423,[2]Tabelle1!$A$1:$B$68,2,FALSE)</f>
        <v>Helmstedt</v>
      </c>
      <c r="D423" t="s">
        <v>2</v>
      </c>
      <c r="E423" t="s">
        <v>4</v>
      </c>
      <c r="F423" t="str">
        <f>VLOOKUP(A423,[1]Kreise!$A$1:$C$53,3,FALSE)</f>
        <v>K03154</v>
      </c>
      <c r="G423">
        <v>39</v>
      </c>
    </row>
    <row r="424" spans="1:7" x14ac:dyDescent="0.25">
      <c r="A424">
        <v>155</v>
      </c>
      <c r="B424">
        <v>2014</v>
      </c>
      <c r="C424" t="str">
        <f>VLOOKUP(A424,[2]Tabelle1!$A$1:$B$68,2,FALSE)</f>
        <v>Northeim</v>
      </c>
      <c r="D424" t="s">
        <v>2</v>
      </c>
      <c r="E424" t="s">
        <v>4</v>
      </c>
      <c r="F424" t="str">
        <f>VLOOKUP(A424,[1]Kreise!$A$1:$C$53,3,FALSE)</f>
        <v>K03155</v>
      </c>
      <c r="G424">
        <v>66</v>
      </c>
    </row>
    <row r="425" spans="1:7" x14ac:dyDescent="0.25">
      <c r="A425">
        <v>157</v>
      </c>
      <c r="B425">
        <v>2014</v>
      </c>
      <c r="C425" t="str">
        <f>VLOOKUP(A425,[2]Tabelle1!$A$1:$B$68,2,FALSE)</f>
        <v>Peine</v>
      </c>
      <c r="D425" t="s">
        <v>2</v>
      </c>
      <c r="E425" t="s">
        <v>4</v>
      </c>
      <c r="F425" t="str">
        <f>VLOOKUP(A425,[1]Kreise!$A$1:$C$53,3,FALSE)</f>
        <v>K03157</v>
      </c>
      <c r="G425">
        <v>41</v>
      </c>
    </row>
    <row r="426" spans="1:7" x14ac:dyDescent="0.25">
      <c r="A426">
        <v>158</v>
      </c>
      <c r="B426">
        <v>2014</v>
      </c>
      <c r="C426" t="str">
        <f>VLOOKUP(A426,[2]Tabelle1!$A$1:$B$68,2,FALSE)</f>
        <v>Wolfenbüttel</v>
      </c>
      <c r="D426" t="s">
        <v>2</v>
      </c>
      <c r="E426" t="s">
        <v>4</v>
      </c>
      <c r="F426" t="str">
        <f>VLOOKUP(A426,[1]Kreise!$A$1:$C$53,3,FALSE)</f>
        <v>K03158</v>
      </c>
      <c r="G426">
        <v>34</v>
      </c>
    </row>
    <row r="427" spans="1:7" x14ac:dyDescent="0.25">
      <c r="A427">
        <v>159</v>
      </c>
      <c r="B427">
        <v>2014</v>
      </c>
      <c r="C427" t="str">
        <f>VLOOKUP(A427,[2]Tabelle1!$A$1:$B$68,2,FALSE)</f>
        <v>Göttingen</v>
      </c>
      <c r="D427" t="s">
        <v>2</v>
      </c>
      <c r="E427" t="s">
        <v>4</v>
      </c>
      <c r="F427" t="str">
        <f>VLOOKUP(A427,[1]Kreise!$A$1:$C$53,3,FALSE)</f>
        <v>K03159</v>
      </c>
      <c r="G427">
        <v>86</v>
      </c>
    </row>
    <row r="428" spans="1:7" x14ac:dyDescent="0.25">
      <c r="A428">
        <v>1</v>
      </c>
      <c r="B428">
        <v>2014</v>
      </c>
      <c r="C428" t="str">
        <f>VLOOKUP(A428,[2]Tabelle1!$A$1:$B$68,2,FALSE)</f>
        <v>Statistische Region Braunschweig</v>
      </c>
      <c r="D428" t="s">
        <v>2</v>
      </c>
      <c r="E428" t="s">
        <v>4</v>
      </c>
      <c r="F428" t="str">
        <f>VLOOKUP(A428,[1]Kreise!$A$1:$C$53,3,FALSE)</f>
        <v>K031</v>
      </c>
      <c r="G428">
        <v>644</v>
      </c>
    </row>
    <row r="429" spans="1:7" x14ac:dyDescent="0.25">
      <c r="A429">
        <v>241</v>
      </c>
      <c r="B429">
        <v>2014</v>
      </c>
      <c r="C429" t="str">
        <f>VLOOKUP(A429,[2]Tabelle1!$A$1:$B$68,2,FALSE)</f>
        <v>Hannover  Region</v>
      </c>
      <c r="D429" t="s">
        <v>2</v>
      </c>
      <c r="E429" t="s">
        <v>4</v>
      </c>
      <c r="F429" t="str">
        <f>VLOOKUP(A429,[1]Kreise!$A$1:$C$53,3,FALSE)</f>
        <v>K03241</v>
      </c>
      <c r="G429">
        <v>387</v>
      </c>
    </row>
    <row r="430" spans="1:7" x14ac:dyDescent="0.25">
      <c r="A430">
        <v>241001</v>
      </c>
      <c r="B430">
        <v>2014</v>
      </c>
      <c r="C430" t="str">
        <f>VLOOKUP(A430,[2]Tabelle1!$A$1:$B$68,2,FALSE)</f>
        <v>dav. Hannover  Lhst.</v>
      </c>
      <c r="D430" t="s">
        <v>2</v>
      </c>
      <c r="E430" t="s">
        <v>4</v>
      </c>
      <c r="F430" t="str">
        <f>VLOOKUP(A430,[1]Kreise!$A$1:$C$53,3,FALSE)</f>
        <v>K03241001</v>
      </c>
      <c r="G430">
        <v>201</v>
      </c>
    </row>
    <row r="431" spans="1:7" x14ac:dyDescent="0.25">
      <c r="A431">
        <v>241999</v>
      </c>
      <c r="B431">
        <v>2014</v>
      </c>
      <c r="C431" t="str">
        <f>VLOOKUP(A431,[2]Tabelle1!$A$1:$B$68,2,FALSE)</f>
        <v>dav. Hannover  Umland</v>
      </c>
      <c r="D431" t="s">
        <v>2</v>
      </c>
      <c r="E431" t="s">
        <v>4</v>
      </c>
      <c r="F431" t="str">
        <f>VLOOKUP(A431,[1]Kreise!$A$1:$C$53,3,FALSE)</f>
        <v>K03241999</v>
      </c>
      <c r="G431">
        <v>186</v>
      </c>
    </row>
    <row r="432" spans="1:7" x14ac:dyDescent="0.25">
      <c r="A432">
        <v>251</v>
      </c>
      <c r="B432">
        <v>2014</v>
      </c>
      <c r="C432" t="str">
        <f>VLOOKUP(A432,[2]Tabelle1!$A$1:$B$68,2,FALSE)</f>
        <v>Diepholz</v>
      </c>
      <c r="D432" t="s">
        <v>2</v>
      </c>
      <c r="E432" t="s">
        <v>4</v>
      </c>
      <c r="F432" t="str">
        <f>VLOOKUP(A432,[1]Kreise!$A$1:$C$53,3,FALSE)</f>
        <v>K03251</v>
      </c>
      <c r="G432">
        <v>53</v>
      </c>
    </row>
    <row r="433" spans="1:7" x14ac:dyDescent="0.25">
      <c r="A433">
        <v>252</v>
      </c>
      <c r="B433">
        <v>2014</v>
      </c>
      <c r="C433" t="str">
        <f>VLOOKUP(A433,[2]Tabelle1!$A$1:$B$68,2,FALSE)</f>
        <v>Hameln-Pyrmont</v>
      </c>
      <c r="D433" t="s">
        <v>2</v>
      </c>
      <c r="E433" t="s">
        <v>4</v>
      </c>
      <c r="F433" t="str">
        <f>VLOOKUP(A433,[1]Kreise!$A$1:$C$53,3,FALSE)</f>
        <v>K03252</v>
      </c>
      <c r="G433">
        <v>78</v>
      </c>
    </row>
    <row r="434" spans="1:7" x14ac:dyDescent="0.25">
      <c r="A434">
        <v>254</v>
      </c>
      <c r="B434">
        <v>2014</v>
      </c>
      <c r="C434" t="str">
        <f>VLOOKUP(A434,[2]Tabelle1!$A$1:$B$68,2,FALSE)</f>
        <v>Hildesheim</v>
      </c>
      <c r="D434" t="s">
        <v>2</v>
      </c>
      <c r="E434" t="s">
        <v>4</v>
      </c>
      <c r="F434" t="str">
        <f>VLOOKUP(A434,[1]Kreise!$A$1:$C$53,3,FALSE)</f>
        <v>K03254</v>
      </c>
      <c r="G434">
        <v>157</v>
      </c>
    </row>
    <row r="435" spans="1:7" x14ac:dyDescent="0.25">
      <c r="A435">
        <v>255</v>
      </c>
      <c r="B435">
        <v>2014</v>
      </c>
      <c r="C435" t="str">
        <f>VLOOKUP(A435,[2]Tabelle1!$A$1:$B$68,2,FALSE)</f>
        <v>Holzminden</v>
      </c>
      <c r="D435" t="s">
        <v>2</v>
      </c>
      <c r="E435" t="s">
        <v>4</v>
      </c>
      <c r="F435" t="str">
        <f>VLOOKUP(A435,[1]Kreise!$A$1:$C$53,3,FALSE)</f>
        <v>K03255</v>
      </c>
      <c r="G435">
        <v>48</v>
      </c>
    </row>
    <row r="436" spans="1:7" x14ac:dyDescent="0.25">
      <c r="A436">
        <v>256</v>
      </c>
      <c r="B436">
        <v>2014</v>
      </c>
      <c r="C436" t="str">
        <f>VLOOKUP(A436,[2]Tabelle1!$A$1:$B$68,2,FALSE)</f>
        <v>Nienburg (Weser)</v>
      </c>
      <c r="D436" t="s">
        <v>2</v>
      </c>
      <c r="E436" t="s">
        <v>4</v>
      </c>
      <c r="F436" t="str">
        <f>VLOOKUP(A436,[1]Kreise!$A$1:$C$53,3,FALSE)</f>
        <v>K03256</v>
      </c>
      <c r="G436">
        <v>95</v>
      </c>
    </row>
    <row r="437" spans="1:7" x14ac:dyDescent="0.25">
      <c r="A437">
        <v>257</v>
      </c>
      <c r="B437">
        <v>2014</v>
      </c>
      <c r="C437" t="str">
        <f>VLOOKUP(A437,[2]Tabelle1!$A$1:$B$68,2,FALSE)</f>
        <v>Schaumburg</v>
      </c>
      <c r="D437" t="s">
        <v>2</v>
      </c>
      <c r="E437" t="s">
        <v>4</v>
      </c>
      <c r="F437" t="str">
        <f>VLOOKUP(A437,[1]Kreise!$A$1:$C$53,3,FALSE)</f>
        <v>K03257</v>
      </c>
      <c r="G437">
        <v>31</v>
      </c>
    </row>
    <row r="438" spans="1:7" x14ac:dyDescent="0.25">
      <c r="A438">
        <v>2</v>
      </c>
      <c r="B438">
        <v>2014</v>
      </c>
      <c r="C438" t="str">
        <f>VLOOKUP(A438,[2]Tabelle1!$A$1:$B$68,2,FALSE)</f>
        <v>Statistische Region Hannover</v>
      </c>
      <c r="D438" t="s">
        <v>2</v>
      </c>
      <c r="E438" t="s">
        <v>4</v>
      </c>
      <c r="F438" t="str">
        <f>VLOOKUP(A438,[1]Kreise!$A$1:$C$53,3,FALSE)</f>
        <v>K032</v>
      </c>
      <c r="G438">
        <v>849</v>
      </c>
    </row>
    <row r="439" spans="1:7" x14ac:dyDescent="0.25">
      <c r="A439">
        <v>351</v>
      </c>
      <c r="B439">
        <v>2014</v>
      </c>
      <c r="C439" t="str">
        <f>VLOOKUP(A439,[2]Tabelle1!$A$1:$B$68,2,FALSE)</f>
        <v>Celle</v>
      </c>
      <c r="D439" t="s">
        <v>2</v>
      </c>
      <c r="E439" t="s">
        <v>4</v>
      </c>
      <c r="F439" t="str">
        <f>VLOOKUP(A439,[1]Kreise!$A$1:$C$53,3,FALSE)</f>
        <v>K03351</v>
      </c>
      <c r="G439">
        <v>81</v>
      </c>
    </row>
    <row r="440" spans="1:7" x14ac:dyDescent="0.25">
      <c r="A440">
        <v>352</v>
      </c>
      <c r="B440">
        <v>2014</v>
      </c>
      <c r="C440" t="str">
        <f>VLOOKUP(A440,[2]Tabelle1!$A$1:$B$68,2,FALSE)</f>
        <v>Cuxhaven</v>
      </c>
      <c r="D440" t="s">
        <v>2</v>
      </c>
      <c r="E440" t="s">
        <v>4</v>
      </c>
      <c r="F440" t="str">
        <f>VLOOKUP(A440,[1]Kreise!$A$1:$C$53,3,FALSE)</f>
        <v>K03352</v>
      </c>
      <c r="G440">
        <v>122</v>
      </c>
    </row>
    <row r="441" spans="1:7" x14ac:dyDescent="0.25">
      <c r="A441">
        <v>353</v>
      </c>
      <c r="B441">
        <v>2014</v>
      </c>
      <c r="C441" t="str">
        <f>VLOOKUP(A441,[2]Tabelle1!$A$1:$B$68,2,FALSE)</f>
        <v>Harburg</v>
      </c>
      <c r="D441" t="s">
        <v>2</v>
      </c>
      <c r="E441" t="s">
        <v>4</v>
      </c>
      <c r="F441" t="str">
        <f>VLOOKUP(A441,[1]Kreise!$A$1:$C$53,3,FALSE)</f>
        <v>K03353</v>
      </c>
      <c r="G441">
        <v>61</v>
      </c>
    </row>
    <row r="442" spans="1:7" x14ac:dyDescent="0.25">
      <c r="A442">
        <v>354</v>
      </c>
      <c r="B442">
        <v>2014</v>
      </c>
      <c r="C442" t="str">
        <f>VLOOKUP(A442,[2]Tabelle1!$A$1:$B$68,2,FALSE)</f>
        <v>Lüchow-Dannenberg</v>
      </c>
      <c r="D442" t="s">
        <v>2</v>
      </c>
      <c r="E442" t="s">
        <v>4</v>
      </c>
      <c r="F442" t="str">
        <f>VLOOKUP(A442,[1]Kreise!$A$1:$C$53,3,FALSE)</f>
        <v>K03354</v>
      </c>
      <c r="G442">
        <v>34</v>
      </c>
    </row>
    <row r="443" spans="1:7" x14ac:dyDescent="0.25">
      <c r="A443">
        <v>355</v>
      </c>
      <c r="B443">
        <v>2014</v>
      </c>
      <c r="C443" t="str">
        <f>VLOOKUP(A443,[2]Tabelle1!$A$1:$B$68,2,FALSE)</f>
        <v>Lüneburg</v>
      </c>
      <c r="D443" t="s">
        <v>2</v>
      </c>
      <c r="E443" t="s">
        <v>4</v>
      </c>
      <c r="F443" t="str">
        <f>VLOOKUP(A443,[1]Kreise!$A$1:$C$53,3,FALSE)</f>
        <v>K03355</v>
      </c>
      <c r="G443">
        <v>67</v>
      </c>
    </row>
    <row r="444" spans="1:7" x14ac:dyDescent="0.25">
      <c r="A444">
        <v>356</v>
      </c>
      <c r="B444">
        <v>2014</v>
      </c>
      <c r="C444" t="str">
        <f>VLOOKUP(A444,[2]Tabelle1!$A$1:$B$68,2,FALSE)</f>
        <v>Osterholz</v>
      </c>
      <c r="D444" t="s">
        <v>2</v>
      </c>
      <c r="E444" t="s">
        <v>4</v>
      </c>
      <c r="F444" t="str">
        <f>VLOOKUP(A444,[1]Kreise!$A$1:$C$53,3,FALSE)</f>
        <v>K03356</v>
      </c>
      <c r="G444">
        <v>59</v>
      </c>
    </row>
    <row r="445" spans="1:7" x14ac:dyDescent="0.25">
      <c r="A445">
        <v>357</v>
      </c>
      <c r="B445">
        <v>2014</v>
      </c>
      <c r="C445" t="str">
        <f>VLOOKUP(A445,[2]Tabelle1!$A$1:$B$68,2,FALSE)</f>
        <v>Rotenburg (Wümme)</v>
      </c>
      <c r="D445" t="s">
        <v>2</v>
      </c>
      <c r="E445" t="s">
        <v>4</v>
      </c>
      <c r="F445" t="str">
        <f>VLOOKUP(A445,[1]Kreise!$A$1:$C$53,3,FALSE)</f>
        <v>K03357</v>
      </c>
      <c r="G445">
        <v>91</v>
      </c>
    </row>
    <row r="446" spans="1:7" x14ac:dyDescent="0.25">
      <c r="A446">
        <v>358</v>
      </c>
      <c r="B446">
        <v>2014</v>
      </c>
      <c r="C446" t="str">
        <f>VLOOKUP(A446,[2]Tabelle1!$A$1:$B$68,2,FALSE)</f>
        <v>Heidekreis</v>
      </c>
      <c r="D446" t="s">
        <v>2</v>
      </c>
      <c r="E446" t="s">
        <v>4</v>
      </c>
      <c r="F446" t="str">
        <f>VLOOKUP(A446,[1]Kreise!$A$1:$C$53,3,FALSE)</f>
        <v>K03358</v>
      </c>
      <c r="G446">
        <v>82</v>
      </c>
    </row>
    <row r="447" spans="1:7" x14ac:dyDescent="0.25">
      <c r="A447">
        <v>359</v>
      </c>
      <c r="B447">
        <v>2014</v>
      </c>
      <c r="C447" t="str">
        <f>VLOOKUP(A447,[2]Tabelle1!$A$1:$B$68,2,FALSE)</f>
        <v>Stade</v>
      </c>
      <c r="D447" t="s">
        <v>2</v>
      </c>
      <c r="E447" t="s">
        <v>4</v>
      </c>
      <c r="F447" t="str">
        <f>VLOOKUP(A447,[1]Kreise!$A$1:$C$53,3,FALSE)</f>
        <v>K03359</v>
      </c>
      <c r="G447">
        <v>73</v>
      </c>
    </row>
    <row r="448" spans="1:7" x14ac:dyDescent="0.25">
      <c r="A448">
        <v>360</v>
      </c>
      <c r="B448">
        <v>2014</v>
      </c>
      <c r="C448" t="str">
        <f>VLOOKUP(A448,[2]Tabelle1!$A$1:$B$68,2,FALSE)</f>
        <v>Uelzen</v>
      </c>
      <c r="D448" t="s">
        <v>2</v>
      </c>
      <c r="E448" t="s">
        <v>4</v>
      </c>
      <c r="F448" t="str">
        <f>VLOOKUP(A448,[1]Kreise!$A$1:$C$53,3,FALSE)</f>
        <v>K03360</v>
      </c>
      <c r="G448">
        <v>41</v>
      </c>
    </row>
    <row r="449" spans="1:7" x14ac:dyDescent="0.25">
      <c r="A449">
        <v>361</v>
      </c>
      <c r="B449">
        <v>2014</v>
      </c>
      <c r="C449" t="str">
        <f>VLOOKUP(A449,[2]Tabelle1!$A$1:$B$68,2,FALSE)</f>
        <v>Verden</v>
      </c>
      <c r="D449" t="s">
        <v>2</v>
      </c>
      <c r="E449" t="s">
        <v>4</v>
      </c>
      <c r="F449" t="str">
        <f>VLOOKUP(A449,[1]Kreise!$A$1:$C$53,3,FALSE)</f>
        <v>K03361</v>
      </c>
      <c r="G449">
        <v>38</v>
      </c>
    </row>
    <row r="450" spans="1:7" x14ac:dyDescent="0.25">
      <c r="A450">
        <v>3</v>
      </c>
      <c r="B450">
        <v>2014</v>
      </c>
      <c r="C450" t="str">
        <f>VLOOKUP(A450,[2]Tabelle1!$A$1:$B$68,2,FALSE)</f>
        <v>Statistische Region Lüneburg</v>
      </c>
      <c r="D450" t="s">
        <v>2</v>
      </c>
      <c r="E450" t="s">
        <v>4</v>
      </c>
      <c r="F450" t="str">
        <f>VLOOKUP(A450,[1]Kreise!$A$1:$C$53,3,FALSE)</f>
        <v>K033</v>
      </c>
      <c r="G450">
        <v>749</v>
      </c>
    </row>
    <row r="451" spans="1:7" x14ac:dyDescent="0.25">
      <c r="A451">
        <v>401</v>
      </c>
      <c r="B451">
        <v>2014</v>
      </c>
      <c r="C451" t="str">
        <f>VLOOKUP(A451,[2]Tabelle1!$A$1:$B$68,2,FALSE)</f>
        <v>Delmenhorst  Stadt</v>
      </c>
      <c r="D451" t="s">
        <v>2</v>
      </c>
      <c r="E451" t="s">
        <v>4</v>
      </c>
      <c r="F451" t="str">
        <f>VLOOKUP(A451,[1]Kreise!$A$1:$C$53,3,FALSE)</f>
        <v>K03401</v>
      </c>
      <c r="G451">
        <v>39</v>
      </c>
    </row>
    <row r="452" spans="1:7" x14ac:dyDescent="0.25">
      <c r="A452">
        <v>402</v>
      </c>
      <c r="B452">
        <v>2014</v>
      </c>
      <c r="C452" t="str">
        <f>VLOOKUP(A452,[2]Tabelle1!$A$1:$B$68,2,FALSE)</f>
        <v>Emden  Stadt</v>
      </c>
      <c r="D452" t="s">
        <v>2</v>
      </c>
      <c r="E452" t="s">
        <v>4</v>
      </c>
      <c r="F452" t="str">
        <f>VLOOKUP(A452,[1]Kreise!$A$1:$C$53,3,FALSE)</f>
        <v>K03402</v>
      </c>
      <c r="G452">
        <v>56</v>
      </c>
    </row>
    <row r="453" spans="1:7" x14ac:dyDescent="0.25">
      <c r="A453">
        <v>403</v>
      </c>
      <c r="B453">
        <v>2014</v>
      </c>
      <c r="C453" t="str">
        <f>VLOOKUP(A453,[2]Tabelle1!$A$1:$B$68,2,FALSE)</f>
        <v>Oldenburg(Oldb)  Stadt</v>
      </c>
      <c r="D453" t="s">
        <v>2</v>
      </c>
      <c r="E453" t="s">
        <v>4</v>
      </c>
      <c r="F453" t="str">
        <f>VLOOKUP(A453,[1]Kreise!$A$1:$C$53,3,FALSE)</f>
        <v>K03403</v>
      </c>
      <c r="G453">
        <v>83</v>
      </c>
    </row>
    <row r="454" spans="1:7" x14ac:dyDescent="0.25">
      <c r="A454">
        <v>404</v>
      </c>
      <c r="B454">
        <v>2014</v>
      </c>
      <c r="C454" t="str">
        <f>VLOOKUP(A454,[2]Tabelle1!$A$1:$B$68,2,FALSE)</f>
        <v>Osnabrück  Stadt</v>
      </c>
      <c r="D454" t="s">
        <v>2</v>
      </c>
      <c r="E454" t="s">
        <v>4</v>
      </c>
      <c r="F454" t="str">
        <f>VLOOKUP(A454,[1]Kreise!$A$1:$C$53,3,FALSE)</f>
        <v>K03404</v>
      </c>
      <c r="G454">
        <v>76</v>
      </c>
    </row>
    <row r="455" spans="1:7" x14ac:dyDescent="0.25">
      <c r="A455">
        <v>405</v>
      </c>
      <c r="B455">
        <v>2014</v>
      </c>
      <c r="C455" t="str">
        <f>VLOOKUP(A455,[2]Tabelle1!$A$1:$B$68,2,FALSE)</f>
        <v>Wilhelmshaven  Stadt</v>
      </c>
      <c r="D455" t="s">
        <v>2</v>
      </c>
      <c r="E455" t="s">
        <v>4</v>
      </c>
      <c r="F455" t="str">
        <f>VLOOKUP(A455,[1]Kreise!$A$1:$C$53,3,FALSE)</f>
        <v>K03405</v>
      </c>
      <c r="G455">
        <v>26</v>
      </c>
    </row>
    <row r="456" spans="1:7" x14ac:dyDescent="0.25">
      <c r="A456">
        <v>451</v>
      </c>
      <c r="B456">
        <v>2014</v>
      </c>
      <c r="C456" t="str">
        <f>VLOOKUP(A456,[2]Tabelle1!$A$1:$B$68,2,FALSE)</f>
        <v>Ammerland</v>
      </c>
      <c r="D456" t="s">
        <v>2</v>
      </c>
      <c r="E456" t="s">
        <v>4</v>
      </c>
      <c r="F456" t="str">
        <f>VLOOKUP(A456,[1]Kreise!$A$1:$C$53,3,FALSE)</f>
        <v>K03451</v>
      </c>
      <c r="G456">
        <v>45</v>
      </c>
    </row>
    <row r="457" spans="1:7" x14ac:dyDescent="0.25">
      <c r="A457">
        <v>452</v>
      </c>
      <c r="B457">
        <v>2014</v>
      </c>
      <c r="C457" t="str">
        <f>VLOOKUP(A457,[2]Tabelle1!$A$1:$B$68,2,FALSE)</f>
        <v>Aurich</v>
      </c>
      <c r="D457" t="s">
        <v>2</v>
      </c>
      <c r="E457" t="s">
        <v>4</v>
      </c>
      <c r="F457" t="str">
        <f>VLOOKUP(A457,[1]Kreise!$A$1:$C$53,3,FALSE)</f>
        <v>K03452</v>
      </c>
      <c r="G457">
        <v>187</v>
      </c>
    </row>
    <row r="458" spans="1:7" x14ac:dyDescent="0.25">
      <c r="A458">
        <v>453</v>
      </c>
      <c r="B458">
        <v>2014</v>
      </c>
      <c r="C458" t="str">
        <f>VLOOKUP(A458,[2]Tabelle1!$A$1:$B$68,2,FALSE)</f>
        <v>Cloppenburg</v>
      </c>
      <c r="D458" t="s">
        <v>2</v>
      </c>
      <c r="E458" t="s">
        <v>4</v>
      </c>
      <c r="F458" t="str">
        <f>VLOOKUP(A458,[1]Kreise!$A$1:$C$53,3,FALSE)</f>
        <v>K03453</v>
      </c>
      <c r="G458">
        <v>78</v>
      </c>
    </row>
    <row r="459" spans="1:7" x14ac:dyDescent="0.25">
      <c r="A459">
        <v>454</v>
      </c>
      <c r="B459">
        <v>2014</v>
      </c>
      <c r="C459" t="str">
        <f>VLOOKUP(A459,[2]Tabelle1!$A$1:$B$68,2,FALSE)</f>
        <v>Emsland</v>
      </c>
      <c r="D459" t="s">
        <v>2</v>
      </c>
      <c r="E459" t="s">
        <v>4</v>
      </c>
      <c r="F459" t="str">
        <f>VLOOKUP(A459,[1]Kreise!$A$1:$C$53,3,FALSE)</f>
        <v>K03454</v>
      </c>
      <c r="G459">
        <v>183</v>
      </c>
    </row>
    <row r="460" spans="1:7" x14ac:dyDescent="0.25">
      <c r="A460">
        <v>455</v>
      </c>
      <c r="B460">
        <v>2014</v>
      </c>
      <c r="C460" t="str">
        <f>VLOOKUP(A460,[2]Tabelle1!$A$1:$B$68,2,FALSE)</f>
        <v>Friesland</v>
      </c>
      <c r="D460" t="s">
        <v>2</v>
      </c>
      <c r="E460" t="s">
        <v>4</v>
      </c>
      <c r="F460" t="str">
        <f>VLOOKUP(A460,[1]Kreise!$A$1:$C$53,3,FALSE)</f>
        <v>K03455</v>
      </c>
      <c r="G460">
        <v>38</v>
      </c>
    </row>
    <row r="461" spans="1:7" x14ac:dyDescent="0.25">
      <c r="A461">
        <v>456</v>
      </c>
      <c r="B461">
        <v>2014</v>
      </c>
      <c r="C461" t="str">
        <f>VLOOKUP(A461,[2]Tabelle1!$A$1:$B$68,2,FALSE)</f>
        <v>Grafschaft Bentheim</v>
      </c>
      <c r="D461" t="s">
        <v>2</v>
      </c>
      <c r="E461" t="s">
        <v>4</v>
      </c>
      <c r="F461" t="str">
        <f>VLOOKUP(A461,[1]Kreise!$A$1:$C$53,3,FALSE)</f>
        <v>K03456</v>
      </c>
      <c r="G461">
        <v>67</v>
      </c>
    </row>
    <row r="462" spans="1:7" x14ac:dyDescent="0.25">
      <c r="A462">
        <v>457</v>
      </c>
      <c r="B462">
        <v>2014</v>
      </c>
      <c r="C462" t="str">
        <f>VLOOKUP(A462,[2]Tabelle1!$A$1:$B$68,2,FALSE)</f>
        <v>Leer</v>
      </c>
      <c r="D462" t="s">
        <v>2</v>
      </c>
      <c r="E462" t="s">
        <v>4</v>
      </c>
      <c r="F462" t="str">
        <f>VLOOKUP(A462,[1]Kreise!$A$1:$C$53,3,FALSE)</f>
        <v>K03457</v>
      </c>
      <c r="G462">
        <v>115</v>
      </c>
    </row>
    <row r="463" spans="1:7" x14ac:dyDescent="0.25">
      <c r="A463">
        <v>458</v>
      </c>
      <c r="B463">
        <v>2014</v>
      </c>
      <c r="C463" t="str">
        <f>VLOOKUP(A463,[2]Tabelle1!$A$1:$B$68,2,FALSE)</f>
        <v>Oldenburg</v>
      </c>
      <c r="D463" t="s">
        <v>2</v>
      </c>
      <c r="E463" t="s">
        <v>4</v>
      </c>
      <c r="F463" t="str">
        <f>VLOOKUP(A463,[1]Kreise!$A$1:$C$53,3,FALSE)</f>
        <v>K03458</v>
      </c>
      <c r="G463">
        <v>54</v>
      </c>
    </row>
    <row r="464" spans="1:7" x14ac:dyDescent="0.25">
      <c r="A464">
        <v>459</v>
      </c>
      <c r="B464">
        <v>2014</v>
      </c>
      <c r="C464" t="str">
        <f>VLOOKUP(A464,[2]Tabelle1!$A$1:$B$68,2,FALSE)</f>
        <v>Osnabrück</v>
      </c>
      <c r="D464" t="s">
        <v>2</v>
      </c>
      <c r="E464" t="s">
        <v>4</v>
      </c>
      <c r="F464" t="str">
        <f>VLOOKUP(A464,[1]Kreise!$A$1:$C$53,3,FALSE)</f>
        <v>K03459</v>
      </c>
      <c r="G464">
        <v>151</v>
      </c>
    </row>
    <row r="465" spans="1:7" x14ac:dyDescent="0.25">
      <c r="A465">
        <v>460</v>
      </c>
      <c r="B465">
        <v>2014</v>
      </c>
      <c r="C465" t="str">
        <f>VLOOKUP(A465,[2]Tabelle1!$A$1:$B$68,2,FALSE)</f>
        <v>Vechta</v>
      </c>
      <c r="D465" t="s">
        <v>2</v>
      </c>
      <c r="E465" t="s">
        <v>4</v>
      </c>
      <c r="F465" t="str">
        <f>VLOOKUP(A465,[1]Kreise!$A$1:$C$53,3,FALSE)</f>
        <v>K03460</v>
      </c>
      <c r="G465">
        <v>75</v>
      </c>
    </row>
    <row r="466" spans="1:7" x14ac:dyDescent="0.25">
      <c r="A466">
        <v>461</v>
      </c>
      <c r="B466">
        <v>2014</v>
      </c>
      <c r="C466" t="str">
        <f>VLOOKUP(A466,[2]Tabelle1!$A$1:$B$68,2,FALSE)</f>
        <v>Wesermarsch</v>
      </c>
      <c r="D466" t="s">
        <v>2</v>
      </c>
      <c r="E466" t="s">
        <v>4</v>
      </c>
      <c r="F466" t="str">
        <f>VLOOKUP(A466,[1]Kreise!$A$1:$C$53,3,FALSE)</f>
        <v>K03461</v>
      </c>
      <c r="G466">
        <v>45</v>
      </c>
    </row>
    <row r="467" spans="1:7" x14ac:dyDescent="0.25">
      <c r="A467">
        <v>462</v>
      </c>
      <c r="B467">
        <v>2014</v>
      </c>
      <c r="C467" t="str">
        <f>VLOOKUP(A467,[2]Tabelle1!$A$1:$B$68,2,FALSE)</f>
        <v>Wittmund</v>
      </c>
      <c r="D467" t="s">
        <v>2</v>
      </c>
      <c r="E467" t="s">
        <v>4</v>
      </c>
      <c r="F467" t="str">
        <f>VLOOKUP(A467,[1]Kreise!$A$1:$C$53,3,FALSE)</f>
        <v>K03462</v>
      </c>
      <c r="G467">
        <v>26</v>
      </c>
    </row>
    <row r="468" spans="1:7" x14ac:dyDescent="0.25">
      <c r="A468">
        <v>4</v>
      </c>
      <c r="B468">
        <v>2014</v>
      </c>
      <c r="C468" t="str">
        <f>VLOOKUP(A468,[2]Tabelle1!$A$1:$B$68,2,FALSE)</f>
        <v>Statistische Region Weser-Ems</v>
      </c>
      <c r="D468" t="s">
        <v>2</v>
      </c>
      <c r="E468" t="s">
        <v>4</v>
      </c>
      <c r="F468" t="str">
        <f>VLOOKUP(A468,[1]Kreise!$A$1:$C$53,3,FALSE)</f>
        <v>K034</v>
      </c>
      <c r="G468">
        <v>1344</v>
      </c>
    </row>
    <row r="469" spans="1:7" x14ac:dyDescent="0.25">
      <c r="A469">
        <v>0</v>
      </c>
      <c r="B469">
        <v>2014</v>
      </c>
      <c r="C469" t="str">
        <f>VLOOKUP(A469,[2]Tabelle1!$A$1:$B$68,2,FALSE)</f>
        <v>Niedersachsen</v>
      </c>
      <c r="D469" t="s">
        <v>2</v>
      </c>
      <c r="E469" t="s">
        <v>4</v>
      </c>
      <c r="F469" t="str">
        <f>VLOOKUP(A469,[1]Kreise!$A$1:$C$53,3,FALSE)</f>
        <v>K030</v>
      </c>
      <c r="G469">
        <v>3586</v>
      </c>
    </row>
    <row r="470" spans="1:7" x14ac:dyDescent="0.25">
      <c r="A470">
        <v>101</v>
      </c>
      <c r="B470">
        <v>2014</v>
      </c>
      <c r="C470" t="str">
        <f>VLOOKUP(A470,[2]Tabelle1!$A$1:$B$68,2,FALSE)</f>
        <v>Braunschweig  Stadt</v>
      </c>
      <c r="D470" t="s">
        <v>3</v>
      </c>
      <c r="E470" t="s">
        <v>4</v>
      </c>
      <c r="F470" t="str">
        <f>VLOOKUP(A470,[1]Kreise!$A$1:$C$53,3,FALSE)</f>
        <v>K03101</v>
      </c>
      <c r="G470">
        <v>25</v>
      </c>
    </row>
    <row r="471" spans="1:7" x14ac:dyDescent="0.25">
      <c r="A471">
        <v>102</v>
      </c>
      <c r="B471">
        <v>2014</v>
      </c>
      <c r="C471" t="str">
        <f>VLOOKUP(A471,[2]Tabelle1!$A$1:$B$68,2,FALSE)</f>
        <v>Salzgitter  Stadt</v>
      </c>
      <c r="D471" t="s">
        <v>3</v>
      </c>
      <c r="E471" t="s">
        <v>4</v>
      </c>
      <c r="F471" t="str">
        <f>VLOOKUP(A471,[1]Kreise!$A$1:$C$53,3,FALSE)</f>
        <v>K03102</v>
      </c>
      <c r="G471">
        <v>16</v>
      </c>
    </row>
    <row r="472" spans="1:7" x14ac:dyDescent="0.25">
      <c r="A472">
        <v>103</v>
      </c>
      <c r="B472">
        <v>2014</v>
      </c>
      <c r="C472" t="str">
        <f>VLOOKUP(A472,[2]Tabelle1!$A$1:$B$68,2,FALSE)</f>
        <v>Wolfsburg  Stadt</v>
      </c>
      <c r="D472" t="s">
        <v>3</v>
      </c>
      <c r="E472" t="s">
        <v>4</v>
      </c>
      <c r="F472" t="str">
        <f>VLOOKUP(A472,[1]Kreise!$A$1:$C$53,3,FALSE)</f>
        <v>K03103</v>
      </c>
      <c r="G472">
        <v>10</v>
      </c>
    </row>
    <row r="473" spans="1:7" x14ac:dyDescent="0.25">
      <c r="A473">
        <v>151</v>
      </c>
      <c r="B473">
        <v>2014</v>
      </c>
      <c r="C473" t="str">
        <f>VLOOKUP(A473,[2]Tabelle1!$A$1:$B$68,2,FALSE)</f>
        <v>Gifhorn</v>
      </c>
      <c r="D473" t="s">
        <v>3</v>
      </c>
      <c r="E473" t="s">
        <v>4</v>
      </c>
      <c r="F473" t="str">
        <f>VLOOKUP(A473,[1]Kreise!$A$1:$C$53,3,FALSE)</f>
        <v>K03151</v>
      </c>
      <c r="G473">
        <v>6</v>
      </c>
    </row>
    <row r="474" spans="1:7" x14ac:dyDescent="0.25">
      <c r="A474">
        <v>153</v>
      </c>
      <c r="B474">
        <v>2014</v>
      </c>
      <c r="C474" t="str">
        <f>VLOOKUP(A474,[2]Tabelle1!$A$1:$B$68,2,FALSE)</f>
        <v>Goslar</v>
      </c>
      <c r="D474" t="s">
        <v>3</v>
      </c>
      <c r="E474" t="s">
        <v>4</v>
      </c>
      <c r="F474" t="str">
        <f>VLOOKUP(A474,[1]Kreise!$A$1:$C$53,3,FALSE)</f>
        <v>K03153</v>
      </c>
      <c r="G474">
        <v>13</v>
      </c>
    </row>
    <row r="475" spans="1:7" x14ac:dyDescent="0.25">
      <c r="A475">
        <v>154</v>
      </c>
      <c r="B475">
        <v>2014</v>
      </c>
      <c r="C475" t="str">
        <f>VLOOKUP(A475,[2]Tabelle1!$A$1:$B$68,2,FALSE)</f>
        <v>Helmstedt</v>
      </c>
      <c r="D475" t="s">
        <v>3</v>
      </c>
      <c r="E475" t="s">
        <v>4</v>
      </c>
      <c r="F475" t="str">
        <f>VLOOKUP(A475,[1]Kreise!$A$1:$C$53,3,FALSE)</f>
        <v>K03154</v>
      </c>
      <c r="G475">
        <v>6</v>
      </c>
    </row>
    <row r="476" spans="1:7" x14ac:dyDescent="0.25">
      <c r="A476">
        <v>155</v>
      </c>
      <c r="B476">
        <v>2014</v>
      </c>
      <c r="C476" t="str">
        <f>VLOOKUP(A476,[2]Tabelle1!$A$1:$B$68,2,FALSE)</f>
        <v>Northeim</v>
      </c>
      <c r="D476" t="s">
        <v>3</v>
      </c>
      <c r="E476" t="s">
        <v>4</v>
      </c>
      <c r="F476" t="str">
        <f>VLOOKUP(A476,[1]Kreise!$A$1:$C$53,3,FALSE)</f>
        <v>K03155</v>
      </c>
      <c r="G476">
        <v>20</v>
      </c>
    </row>
    <row r="477" spans="1:7" x14ac:dyDescent="0.25">
      <c r="A477">
        <v>157</v>
      </c>
      <c r="B477">
        <v>2014</v>
      </c>
      <c r="C477" t="str">
        <f>VLOOKUP(A477,[2]Tabelle1!$A$1:$B$68,2,FALSE)</f>
        <v>Peine</v>
      </c>
      <c r="D477" t="s">
        <v>3</v>
      </c>
      <c r="E477" t="s">
        <v>4</v>
      </c>
      <c r="F477" t="str">
        <f>VLOOKUP(A477,[1]Kreise!$A$1:$C$53,3,FALSE)</f>
        <v>K03157</v>
      </c>
      <c r="G477">
        <v>11</v>
      </c>
    </row>
    <row r="478" spans="1:7" x14ac:dyDescent="0.25">
      <c r="A478">
        <v>158</v>
      </c>
      <c r="B478">
        <v>2014</v>
      </c>
      <c r="C478" t="str">
        <f>VLOOKUP(A478,[2]Tabelle1!$A$1:$B$68,2,FALSE)</f>
        <v>Wolfenbüttel</v>
      </c>
      <c r="D478" t="s">
        <v>3</v>
      </c>
      <c r="E478" t="s">
        <v>4</v>
      </c>
      <c r="F478" t="str">
        <f>VLOOKUP(A478,[1]Kreise!$A$1:$C$53,3,FALSE)</f>
        <v>K03158</v>
      </c>
      <c r="G478">
        <v>11</v>
      </c>
    </row>
    <row r="479" spans="1:7" x14ac:dyDescent="0.25">
      <c r="A479">
        <v>159</v>
      </c>
      <c r="B479">
        <v>2014</v>
      </c>
      <c r="C479" t="str">
        <f>VLOOKUP(A479,[2]Tabelle1!$A$1:$B$68,2,FALSE)</f>
        <v>Göttingen</v>
      </c>
      <c r="D479" t="s">
        <v>3</v>
      </c>
      <c r="E479" t="s">
        <v>4</v>
      </c>
      <c r="F479" t="str">
        <f>VLOOKUP(A479,[1]Kreise!$A$1:$C$53,3,FALSE)</f>
        <v>K03159</v>
      </c>
      <c r="G479">
        <v>21</v>
      </c>
    </row>
    <row r="480" spans="1:7" x14ac:dyDescent="0.25">
      <c r="A480">
        <v>1</v>
      </c>
      <c r="B480">
        <v>2014</v>
      </c>
      <c r="C480" t="str">
        <f>VLOOKUP(A480,[2]Tabelle1!$A$1:$B$68,2,FALSE)</f>
        <v>Statistische Region Braunschweig</v>
      </c>
      <c r="D480" t="s">
        <v>3</v>
      </c>
      <c r="E480" t="s">
        <v>4</v>
      </c>
      <c r="F480" t="str">
        <f>VLOOKUP(A480,[1]Kreise!$A$1:$C$53,3,FALSE)</f>
        <v>K031</v>
      </c>
      <c r="G480">
        <v>140</v>
      </c>
    </row>
    <row r="481" spans="1:7" x14ac:dyDescent="0.25">
      <c r="A481">
        <v>241</v>
      </c>
      <c r="B481">
        <v>2014</v>
      </c>
      <c r="C481" t="str">
        <f>VLOOKUP(A481,[2]Tabelle1!$A$1:$B$68,2,FALSE)</f>
        <v>Hannover  Region</v>
      </c>
      <c r="D481" t="s">
        <v>3</v>
      </c>
      <c r="E481" t="s">
        <v>4</v>
      </c>
      <c r="F481" t="str">
        <f>VLOOKUP(A481,[1]Kreise!$A$1:$C$53,3,FALSE)</f>
        <v>K03241</v>
      </c>
      <c r="G481">
        <v>131</v>
      </c>
    </row>
    <row r="482" spans="1:7" x14ac:dyDescent="0.25">
      <c r="A482">
        <v>241001</v>
      </c>
      <c r="B482">
        <v>2014</v>
      </c>
      <c r="C482" t="str">
        <f>VLOOKUP(A482,[2]Tabelle1!$A$1:$B$68,2,FALSE)</f>
        <v>dav. Hannover  Lhst.</v>
      </c>
      <c r="D482" t="s">
        <v>3</v>
      </c>
      <c r="E482" t="s">
        <v>4</v>
      </c>
      <c r="F482" t="str">
        <f>VLOOKUP(A482,[1]Kreise!$A$1:$C$53,3,FALSE)</f>
        <v>K03241001</v>
      </c>
      <c r="G482">
        <v>74</v>
      </c>
    </row>
    <row r="483" spans="1:7" x14ac:dyDescent="0.25">
      <c r="A483">
        <v>241999</v>
      </c>
      <c r="B483">
        <v>2014</v>
      </c>
      <c r="C483" t="str">
        <f>VLOOKUP(A483,[2]Tabelle1!$A$1:$B$68,2,FALSE)</f>
        <v>dav. Hannover  Umland</v>
      </c>
      <c r="D483" t="s">
        <v>3</v>
      </c>
      <c r="E483" t="s">
        <v>4</v>
      </c>
      <c r="F483" t="str">
        <f>VLOOKUP(A483,[1]Kreise!$A$1:$C$53,3,FALSE)</f>
        <v>K03241999</v>
      </c>
      <c r="G483">
        <v>57</v>
      </c>
    </row>
    <row r="484" spans="1:7" x14ac:dyDescent="0.25">
      <c r="A484">
        <v>251</v>
      </c>
      <c r="B484">
        <v>2014</v>
      </c>
      <c r="C484" t="str">
        <f>VLOOKUP(A484,[2]Tabelle1!$A$1:$B$68,2,FALSE)</f>
        <v>Diepholz</v>
      </c>
      <c r="D484" t="s">
        <v>3</v>
      </c>
      <c r="E484" t="s">
        <v>4</v>
      </c>
      <c r="F484" t="str">
        <f>VLOOKUP(A484,[1]Kreise!$A$1:$C$53,3,FALSE)</f>
        <v>K03251</v>
      </c>
      <c r="G484">
        <v>9</v>
      </c>
    </row>
    <row r="485" spans="1:7" x14ac:dyDescent="0.25">
      <c r="A485">
        <v>252</v>
      </c>
      <c r="B485">
        <v>2014</v>
      </c>
      <c r="C485" t="str">
        <f>VLOOKUP(A485,[2]Tabelle1!$A$1:$B$68,2,FALSE)</f>
        <v>Hameln-Pyrmont</v>
      </c>
      <c r="D485" t="s">
        <v>3</v>
      </c>
      <c r="E485" t="s">
        <v>4</v>
      </c>
      <c r="F485" t="str">
        <f>VLOOKUP(A485,[1]Kreise!$A$1:$C$53,3,FALSE)</f>
        <v>K03252</v>
      </c>
      <c r="G485">
        <v>10</v>
      </c>
    </row>
    <row r="486" spans="1:7" x14ac:dyDescent="0.25">
      <c r="A486">
        <v>254</v>
      </c>
      <c r="B486">
        <v>2014</v>
      </c>
      <c r="C486" t="str">
        <f>VLOOKUP(A486,[2]Tabelle1!$A$1:$B$68,2,FALSE)</f>
        <v>Hildesheim</v>
      </c>
      <c r="D486" t="s">
        <v>3</v>
      </c>
      <c r="E486" t="s">
        <v>4</v>
      </c>
      <c r="F486" t="str">
        <f>VLOOKUP(A486,[1]Kreise!$A$1:$C$53,3,FALSE)</f>
        <v>K03254</v>
      </c>
      <c r="G486">
        <v>23</v>
      </c>
    </row>
    <row r="487" spans="1:7" x14ac:dyDescent="0.25">
      <c r="A487">
        <v>255</v>
      </c>
      <c r="B487">
        <v>2014</v>
      </c>
      <c r="C487" t="str">
        <f>VLOOKUP(A487,[2]Tabelle1!$A$1:$B$68,2,FALSE)</f>
        <v>Holzminden</v>
      </c>
      <c r="D487" t="s">
        <v>3</v>
      </c>
      <c r="E487" t="s">
        <v>4</v>
      </c>
      <c r="F487" t="str">
        <f>VLOOKUP(A487,[1]Kreise!$A$1:$C$53,3,FALSE)</f>
        <v>K03255</v>
      </c>
      <c r="G487">
        <v>3</v>
      </c>
    </row>
    <row r="488" spans="1:7" x14ac:dyDescent="0.25">
      <c r="A488">
        <v>256</v>
      </c>
      <c r="B488">
        <v>2014</v>
      </c>
      <c r="C488" t="str">
        <f>VLOOKUP(A488,[2]Tabelle1!$A$1:$B$68,2,FALSE)</f>
        <v>Nienburg (Weser)</v>
      </c>
      <c r="D488" t="s">
        <v>3</v>
      </c>
      <c r="E488" t="s">
        <v>4</v>
      </c>
      <c r="F488" t="str">
        <f>VLOOKUP(A488,[1]Kreise!$A$1:$C$53,3,FALSE)</f>
        <v>K03256</v>
      </c>
      <c r="G488">
        <v>24</v>
      </c>
    </row>
    <row r="489" spans="1:7" x14ac:dyDescent="0.25">
      <c r="A489">
        <v>257</v>
      </c>
      <c r="B489">
        <v>2014</v>
      </c>
      <c r="C489" t="str">
        <f>VLOOKUP(A489,[2]Tabelle1!$A$1:$B$68,2,FALSE)</f>
        <v>Schaumburg</v>
      </c>
      <c r="D489" t="s">
        <v>3</v>
      </c>
      <c r="E489" t="s">
        <v>4</v>
      </c>
      <c r="F489" t="str">
        <f>VLOOKUP(A489,[1]Kreise!$A$1:$C$53,3,FALSE)</f>
        <v>K03257</v>
      </c>
      <c r="G489">
        <v>1</v>
      </c>
    </row>
    <row r="490" spans="1:7" x14ac:dyDescent="0.25">
      <c r="A490">
        <v>2</v>
      </c>
      <c r="B490">
        <v>2014</v>
      </c>
      <c r="C490" t="str">
        <f>VLOOKUP(A490,[2]Tabelle1!$A$1:$B$68,2,FALSE)</f>
        <v>Statistische Region Hannover</v>
      </c>
      <c r="D490" t="s">
        <v>3</v>
      </c>
      <c r="E490" t="s">
        <v>4</v>
      </c>
      <c r="F490" t="str">
        <f>VLOOKUP(A490,[1]Kreise!$A$1:$C$53,3,FALSE)</f>
        <v>K032</v>
      </c>
      <c r="G490">
        <v>201</v>
      </c>
    </row>
    <row r="491" spans="1:7" x14ac:dyDescent="0.25">
      <c r="A491">
        <v>351</v>
      </c>
      <c r="B491">
        <v>2014</v>
      </c>
      <c r="C491" t="str">
        <f>VLOOKUP(A491,[2]Tabelle1!$A$1:$B$68,2,FALSE)</f>
        <v>Celle</v>
      </c>
      <c r="D491" t="s">
        <v>3</v>
      </c>
      <c r="E491" t="s">
        <v>4</v>
      </c>
      <c r="F491" t="str">
        <f>VLOOKUP(A491,[1]Kreise!$A$1:$C$53,3,FALSE)</f>
        <v>K03351</v>
      </c>
      <c r="G491">
        <v>11</v>
      </c>
    </row>
    <row r="492" spans="1:7" x14ac:dyDescent="0.25">
      <c r="A492">
        <v>352</v>
      </c>
      <c r="B492">
        <v>2014</v>
      </c>
      <c r="C492" t="str">
        <f>VLOOKUP(A492,[2]Tabelle1!$A$1:$B$68,2,FALSE)</f>
        <v>Cuxhaven</v>
      </c>
      <c r="D492" t="s">
        <v>3</v>
      </c>
      <c r="E492" t="s">
        <v>4</v>
      </c>
      <c r="F492" t="str">
        <f>VLOOKUP(A492,[1]Kreise!$A$1:$C$53,3,FALSE)</f>
        <v>K03352</v>
      </c>
      <c r="G492">
        <v>16</v>
      </c>
    </row>
    <row r="493" spans="1:7" x14ac:dyDescent="0.25">
      <c r="A493">
        <v>353</v>
      </c>
      <c r="B493">
        <v>2014</v>
      </c>
      <c r="C493" t="str">
        <f>VLOOKUP(A493,[2]Tabelle1!$A$1:$B$68,2,FALSE)</f>
        <v>Harburg</v>
      </c>
      <c r="D493" t="s">
        <v>3</v>
      </c>
      <c r="E493" t="s">
        <v>4</v>
      </c>
      <c r="F493" t="str">
        <f>VLOOKUP(A493,[1]Kreise!$A$1:$C$53,3,FALSE)</f>
        <v>K03353</v>
      </c>
      <c r="G493">
        <v>11</v>
      </c>
    </row>
    <row r="494" spans="1:7" x14ac:dyDescent="0.25">
      <c r="A494">
        <v>354</v>
      </c>
      <c r="B494">
        <v>2014</v>
      </c>
      <c r="C494" t="str">
        <f>VLOOKUP(A494,[2]Tabelle1!$A$1:$B$68,2,FALSE)</f>
        <v>Lüchow-Dannenberg</v>
      </c>
      <c r="D494" t="s">
        <v>3</v>
      </c>
      <c r="E494" t="s">
        <v>4</v>
      </c>
      <c r="F494" t="str">
        <f>VLOOKUP(A494,[1]Kreise!$A$1:$C$53,3,FALSE)</f>
        <v>K03354</v>
      </c>
      <c r="G494">
        <v>6</v>
      </c>
    </row>
    <row r="495" spans="1:7" x14ac:dyDescent="0.25">
      <c r="A495">
        <v>355</v>
      </c>
      <c r="B495">
        <v>2014</v>
      </c>
      <c r="C495" t="str">
        <f>VLOOKUP(A495,[2]Tabelle1!$A$1:$B$68,2,FALSE)</f>
        <v>Lüneburg</v>
      </c>
      <c r="D495" t="s">
        <v>3</v>
      </c>
      <c r="E495" t="s">
        <v>4</v>
      </c>
      <c r="F495" t="str">
        <f>VLOOKUP(A495,[1]Kreise!$A$1:$C$53,3,FALSE)</f>
        <v>K03355</v>
      </c>
      <c r="G495">
        <v>5</v>
      </c>
    </row>
    <row r="496" spans="1:7" x14ac:dyDescent="0.25">
      <c r="A496">
        <v>356</v>
      </c>
      <c r="B496">
        <v>2014</v>
      </c>
      <c r="C496" t="str">
        <f>VLOOKUP(A496,[2]Tabelle1!$A$1:$B$68,2,FALSE)</f>
        <v>Osterholz</v>
      </c>
      <c r="D496" t="s">
        <v>3</v>
      </c>
      <c r="E496" t="s">
        <v>4</v>
      </c>
      <c r="F496" t="str">
        <f>VLOOKUP(A496,[1]Kreise!$A$1:$C$53,3,FALSE)</f>
        <v>K03356</v>
      </c>
      <c r="G496">
        <v>7</v>
      </c>
    </row>
    <row r="497" spans="1:7" x14ac:dyDescent="0.25">
      <c r="A497">
        <v>357</v>
      </c>
      <c r="B497">
        <v>2014</v>
      </c>
      <c r="C497" t="str">
        <f>VLOOKUP(A497,[2]Tabelle1!$A$1:$B$68,2,FALSE)</f>
        <v>Rotenburg (Wümme)</v>
      </c>
      <c r="D497" t="s">
        <v>3</v>
      </c>
      <c r="E497" t="s">
        <v>4</v>
      </c>
      <c r="F497" t="str">
        <f>VLOOKUP(A497,[1]Kreise!$A$1:$C$53,3,FALSE)</f>
        <v>K03357</v>
      </c>
      <c r="G497">
        <v>6</v>
      </c>
    </row>
    <row r="498" spans="1:7" x14ac:dyDescent="0.25">
      <c r="A498">
        <v>358</v>
      </c>
      <c r="B498">
        <v>2014</v>
      </c>
      <c r="C498" t="str">
        <f>VLOOKUP(A498,[2]Tabelle1!$A$1:$B$68,2,FALSE)</f>
        <v>Heidekreis</v>
      </c>
      <c r="D498" t="s">
        <v>3</v>
      </c>
      <c r="E498" t="s">
        <v>4</v>
      </c>
      <c r="F498" t="str">
        <f>VLOOKUP(A498,[1]Kreise!$A$1:$C$53,3,FALSE)</f>
        <v>K03358</v>
      </c>
      <c r="G498">
        <v>12</v>
      </c>
    </row>
    <row r="499" spans="1:7" x14ac:dyDescent="0.25">
      <c r="A499">
        <v>359</v>
      </c>
      <c r="B499">
        <v>2014</v>
      </c>
      <c r="C499" t="str">
        <f>VLOOKUP(A499,[2]Tabelle1!$A$1:$B$68,2,FALSE)</f>
        <v>Stade</v>
      </c>
      <c r="D499" t="s">
        <v>3</v>
      </c>
      <c r="E499" t="s">
        <v>4</v>
      </c>
      <c r="F499" t="str">
        <f>VLOOKUP(A499,[1]Kreise!$A$1:$C$53,3,FALSE)</f>
        <v>K03359</v>
      </c>
      <c r="G499">
        <v>14</v>
      </c>
    </row>
    <row r="500" spans="1:7" x14ac:dyDescent="0.25">
      <c r="A500">
        <v>360</v>
      </c>
      <c r="B500">
        <v>2014</v>
      </c>
      <c r="C500" t="str">
        <f>VLOOKUP(A500,[2]Tabelle1!$A$1:$B$68,2,FALSE)</f>
        <v>Uelzen</v>
      </c>
      <c r="D500" t="s">
        <v>3</v>
      </c>
      <c r="E500" t="s">
        <v>4</v>
      </c>
      <c r="F500" t="str">
        <f>VLOOKUP(A500,[1]Kreise!$A$1:$C$53,3,FALSE)</f>
        <v>K03360</v>
      </c>
      <c r="G500">
        <v>3</v>
      </c>
    </row>
    <row r="501" spans="1:7" x14ac:dyDescent="0.25">
      <c r="A501">
        <v>361</v>
      </c>
      <c r="B501">
        <v>2014</v>
      </c>
      <c r="C501" t="str">
        <f>VLOOKUP(A501,[2]Tabelle1!$A$1:$B$68,2,FALSE)</f>
        <v>Verden</v>
      </c>
      <c r="D501" t="s">
        <v>3</v>
      </c>
      <c r="E501" t="s">
        <v>4</v>
      </c>
      <c r="F501" t="str">
        <f>VLOOKUP(A501,[1]Kreise!$A$1:$C$53,3,FALSE)</f>
        <v>K03361</v>
      </c>
      <c r="G501">
        <v>16</v>
      </c>
    </row>
    <row r="502" spans="1:7" x14ac:dyDescent="0.25">
      <c r="A502">
        <v>3</v>
      </c>
      <c r="B502">
        <v>2014</v>
      </c>
      <c r="C502" t="str">
        <f>VLOOKUP(A502,[2]Tabelle1!$A$1:$B$68,2,FALSE)</f>
        <v>Statistische Region Lüneburg</v>
      </c>
      <c r="D502" t="s">
        <v>3</v>
      </c>
      <c r="E502" t="s">
        <v>4</v>
      </c>
      <c r="F502" t="str">
        <f>VLOOKUP(A502,[1]Kreise!$A$1:$C$53,3,FALSE)</f>
        <v>K033</v>
      </c>
      <c r="G502">
        <v>107</v>
      </c>
    </row>
    <row r="503" spans="1:7" x14ac:dyDescent="0.25">
      <c r="A503">
        <v>401</v>
      </c>
      <c r="B503">
        <v>2014</v>
      </c>
      <c r="C503" t="str">
        <f>VLOOKUP(A503,[2]Tabelle1!$A$1:$B$68,2,FALSE)</f>
        <v>Delmenhorst  Stadt</v>
      </c>
      <c r="D503" t="s">
        <v>3</v>
      </c>
      <c r="E503" t="s">
        <v>4</v>
      </c>
      <c r="F503" t="str">
        <f>VLOOKUP(A503,[1]Kreise!$A$1:$C$53,3,FALSE)</f>
        <v>K03401</v>
      </c>
      <c r="G503">
        <v>13</v>
      </c>
    </row>
    <row r="504" spans="1:7" x14ac:dyDescent="0.25">
      <c r="A504">
        <v>402</v>
      </c>
      <c r="B504">
        <v>2014</v>
      </c>
      <c r="C504" t="str">
        <f>VLOOKUP(A504,[2]Tabelle1!$A$1:$B$68,2,FALSE)</f>
        <v>Emden  Stadt</v>
      </c>
      <c r="D504" t="s">
        <v>3</v>
      </c>
      <c r="E504" t="s">
        <v>4</v>
      </c>
      <c r="F504" t="str">
        <f>VLOOKUP(A504,[1]Kreise!$A$1:$C$53,3,FALSE)</f>
        <v>K03402</v>
      </c>
      <c r="G504">
        <v>6</v>
      </c>
    </row>
    <row r="505" spans="1:7" x14ac:dyDescent="0.25">
      <c r="A505">
        <v>403</v>
      </c>
      <c r="B505">
        <v>2014</v>
      </c>
      <c r="C505" t="str">
        <f>VLOOKUP(A505,[2]Tabelle1!$A$1:$B$68,2,FALSE)</f>
        <v>Oldenburg(Oldb)  Stadt</v>
      </c>
      <c r="D505" t="s">
        <v>3</v>
      </c>
      <c r="E505" t="s">
        <v>4</v>
      </c>
      <c r="F505" t="str">
        <f>VLOOKUP(A505,[1]Kreise!$A$1:$C$53,3,FALSE)</f>
        <v>K03403</v>
      </c>
      <c r="G505">
        <v>9</v>
      </c>
    </row>
    <row r="506" spans="1:7" x14ac:dyDescent="0.25">
      <c r="A506">
        <v>404</v>
      </c>
      <c r="B506">
        <v>2014</v>
      </c>
      <c r="C506" t="str">
        <f>VLOOKUP(A506,[2]Tabelle1!$A$1:$B$68,2,FALSE)</f>
        <v>Osnabrück  Stadt</v>
      </c>
      <c r="D506" t="s">
        <v>3</v>
      </c>
      <c r="E506" t="s">
        <v>4</v>
      </c>
      <c r="F506" t="str">
        <f>VLOOKUP(A506,[1]Kreise!$A$1:$C$53,3,FALSE)</f>
        <v>K03404</v>
      </c>
      <c r="G506">
        <v>19</v>
      </c>
    </row>
    <row r="507" spans="1:7" x14ac:dyDescent="0.25">
      <c r="A507">
        <v>405</v>
      </c>
      <c r="B507">
        <v>2014</v>
      </c>
      <c r="C507" t="str">
        <f>VLOOKUP(A507,[2]Tabelle1!$A$1:$B$68,2,FALSE)</f>
        <v>Wilhelmshaven  Stadt</v>
      </c>
      <c r="D507" t="s">
        <v>3</v>
      </c>
      <c r="E507" t="s">
        <v>4</v>
      </c>
      <c r="F507" t="str">
        <f>VLOOKUP(A507,[1]Kreise!$A$1:$C$53,3,FALSE)</f>
        <v>K03405</v>
      </c>
      <c r="G507">
        <v>5</v>
      </c>
    </row>
    <row r="508" spans="1:7" x14ac:dyDescent="0.25">
      <c r="A508">
        <v>451</v>
      </c>
      <c r="B508">
        <v>2014</v>
      </c>
      <c r="C508" t="str">
        <f>VLOOKUP(A508,[2]Tabelle1!$A$1:$B$68,2,FALSE)</f>
        <v>Ammerland</v>
      </c>
      <c r="D508" t="s">
        <v>3</v>
      </c>
      <c r="E508" t="s">
        <v>4</v>
      </c>
      <c r="F508" t="str">
        <f>VLOOKUP(A508,[1]Kreise!$A$1:$C$53,3,FALSE)</f>
        <v>K03451</v>
      </c>
      <c r="G508">
        <v>3</v>
      </c>
    </row>
    <row r="509" spans="1:7" x14ac:dyDescent="0.25">
      <c r="A509">
        <v>452</v>
      </c>
      <c r="B509">
        <v>2014</v>
      </c>
      <c r="C509" t="str">
        <f>VLOOKUP(A509,[2]Tabelle1!$A$1:$B$68,2,FALSE)</f>
        <v>Aurich</v>
      </c>
      <c r="D509" t="s">
        <v>3</v>
      </c>
      <c r="E509" t="s">
        <v>4</v>
      </c>
      <c r="F509" t="str">
        <f>VLOOKUP(A509,[1]Kreise!$A$1:$C$53,3,FALSE)</f>
        <v>K03452</v>
      </c>
      <c r="G509">
        <v>10</v>
      </c>
    </row>
    <row r="510" spans="1:7" x14ac:dyDescent="0.25">
      <c r="A510">
        <v>453</v>
      </c>
      <c r="B510">
        <v>2014</v>
      </c>
      <c r="C510" t="str">
        <f>VLOOKUP(A510,[2]Tabelle1!$A$1:$B$68,2,FALSE)</f>
        <v>Cloppenburg</v>
      </c>
      <c r="D510" t="s">
        <v>3</v>
      </c>
      <c r="E510" t="s">
        <v>4</v>
      </c>
      <c r="F510" t="str">
        <f>VLOOKUP(A510,[1]Kreise!$A$1:$C$53,3,FALSE)</f>
        <v>K03453</v>
      </c>
      <c r="G510">
        <v>16</v>
      </c>
    </row>
    <row r="511" spans="1:7" x14ac:dyDescent="0.25">
      <c r="A511">
        <v>454</v>
      </c>
      <c r="B511">
        <v>2014</v>
      </c>
      <c r="C511" t="str">
        <f>VLOOKUP(A511,[2]Tabelle1!$A$1:$B$68,2,FALSE)</f>
        <v>Emsland</v>
      </c>
      <c r="D511" t="s">
        <v>3</v>
      </c>
      <c r="E511" t="s">
        <v>4</v>
      </c>
      <c r="F511" t="str">
        <f>VLOOKUP(A511,[1]Kreise!$A$1:$C$53,3,FALSE)</f>
        <v>K03454</v>
      </c>
      <c r="G511">
        <v>25</v>
      </c>
    </row>
    <row r="512" spans="1:7" x14ac:dyDescent="0.25">
      <c r="A512">
        <v>455</v>
      </c>
      <c r="B512">
        <v>2014</v>
      </c>
      <c r="C512" t="str">
        <f>VLOOKUP(A512,[2]Tabelle1!$A$1:$B$68,2,FALSE)</f>
        <v>Friesland</v>
      </c>
      <c r="D512" t="s">
        <v>3</v>
      </c>
      <c r="E512" t="s">
        <v>4</v>
      </c>
      <c r="F512" t="str">
        <f>VLOOKUP(A512,[1]Kreise!$A$1:$C$53,3,FALSE)</f>
        <v>K03455</v>
      </c>
      <c r="G512">
        <v>1</v>
      </c>
    </row>
    <row r="513" spans="1:7" x14ac:dyDescent="0.25">
      <c r="A513">
        <v>456</v>
      </c>
      <c r="B513">
        <v>2014</v>
      </c>
      <c r="C513" t="str">
        <f>VLOOKUP(A513,[2]Tabelle1!$A$1:$B$68,2,FALSE)</f>
        <v>Grafschaft Bentheim</v>
      </c>
      <c r="D513" t="s">
        <v>3</v>
      </c>
      <c r="E513" t="s">
        <v>4</v>
      </c>
      <c r="F513" t="str">
        <f>VLOOKUP(A513,[1]Kreise!$A$1:$C$53,3,FALSE)</f>
        <v>K03456</v>
      </c>
      <c r="G513">
        <v>22</v>
      </c>
    </row>
    <row r="514" spans="1:7" x14ac:dyDescent="0.25">
      <c r="A514">
        <v>457</v>
      </c>
      <c r="B514">
        <v>2014</v>
      </c>
      <c r="C514" t="str">
        <f>VLOOKUP(A514,[2]Tabelle1!$A$1:$B$68,2,FALSE)</f>
        <v>Leer</v>
      </c>
      <c r="D514" t="s">
        <v>3</v>
      </c>
      <c r="E514" t="s">
        <v>4</v>
      </c>
      <c r="F514" t="str">
        <f>VLOOKUP(A514,[1]Kreise!$A$1:$C$53,3,FALSE)</f>
        <v>K03457</v>
      </c>
      <c r="G514">
        <v>12</v>
      </c>
    </row>
    <row r="515" spans="1:7" x14ac:dyDescent="0.25">
      <c r="A515">
        <v>458</v>
      </c>
      <c r="B515">
        <v>2014</v>
      </c>
      <c r="C515" t="str">
        <f>VLOOKUP(A515,[2]Tabelle1!$A$1:$B$68,2,FALSE)</f>
        <v>Oldenburg</v>
      </c>
      <c r="D515" t="s">
        <v>3</v>
      </c>
      <c r="E515" t="s">
        <v>4</v>
      </c>
      <c r="F515" t="str">
        <f>VLOOKUP(A515,[1]Kreise!$A$1:$C$53,3,FALSE)</f>
        <v>K03458</v>
      </c>
      <c r="G515">
        <v>5</v>
      </c>
    </row>
    <row r="516" spans="1:7" x14ac:dyDescent="0.25">
      <c r="A516">
        <v>459</v>
      </c>
      <c r="B516">
        <v>2014</v>
      </c>
      <c r="C516" t="str">
        <f>VLOOKUP(A516,[2]Tabelle1!$A$1:$B$68,2,FALSE)</f>
        <v>Osnabrück</v>
      </c>
      <c r="D516" t="s">
        <v>3</v>
      </c>
      <c r="E516" t="s">
        <v>4</v>
      </c>
      <c r="F516" t="str">
        <f>VLOOKUP(A516,[1]Kreise!$A$1:$C$53,3,FALSE)</f>
        <v>K03459</v>
      </c>
      <c r="G516">
        <v>29</v>
      </c>
    </row>
    <row r="517" spans="1:7" x14ac:dyDescent="0.25">
      <c r="A517">
        <v>460</v>
      </c>
      <c r="B517">
        <v>2014</v>
      </c>
      <c r="C517" t="str">
        <f>VLOOKUP(A517,[2]Tabelle1!$A$1:$B$68,2,FALSE)</f>
        <v>Vechta</v>
      </c>
      <c r="D517" t="s">
        <v>3</v>
      </c>
      <c r="E517" t="s">
        <v>4</v>
      </c>
      <c r="F517" t="str">
        <f>VLOOKUP(A517,[1]Kreise!$A$1:$C$53,3,FALSE)</f>
        <v>K03460</v>
      </c>
      <c r="G517">
        <v>31</v>
      </c>
    </row>
    <row r="518" spans="1:7" x14ac:dyDescent="0.25">
      <c r="A518">
        <v>461</v>
      </c>
      <c r="B518">
        <v>2014</v>
      </c>
      <c r="C518" t="str">
        <f>VLOOKUP(A518,[2]Tabelle1!$A$1:$B$68,2,FALSE)</f>
        <v>Wesermarsch</v>
      </c>
      <c r="D518" t="s">
        <v>3</v>
      </c>
      <c r="E518" t="s">
        <v>4</v>
      </c>
      <c r="F518" t="str">
        <f>VLOOKUP(A518,[1]Kreise!$A$1:$C$53,3,FALSE)</f>
        <v>K03461</v>
      </c>
      <c r="G518">
        <v>4</v>
      </c>
    </row>
    <row r="519" spans="1:7" x14ac:dyDescent="0.25">
      <c r="A519">
        <v>462</v>
      </c>
      <c r="B519">
        <v>2014</v>
      </c>
      <c r="C519" t="str">
        <f>VLOOKUP(A519,[2]Tabelle1!$A$1:$B$68,2,FALSE)</f>
        <v>Wittmund</v>
      </c>
      <c r="D519" t="s">
        <v>3</v>
      </c>
      <c r="E519" t="s">
        <v>4</v>
      </c>
      <c r="F519" t="str">
        <f>VLOOKUP(A519,[1]Kreise!$A$1:$C$53,3,FALSE)</f>
        <v>K03462</v>
      </c>
      <c r="G519">
        <v>1</v>
      </c>
    </row>
    <row r="520" spans="1:7" x14ac:dyDescent="0.25">
      <c r="A520">
        <v>4</v>
      </c>
      <c r="B520">
        <v>2014</v>
      </c>
      <c r="C520" t="str">
        <f>VLOOKUP(A520,[2]Tabelle1!$A$1:$B$68,2,FALSE)</f>
        <v>Statistische Region Weser-Ems</v>
      </c>
      <c r="D520" t="s">
        <v>3</v>
      </c>
      <c r="E520" t="s">
        <v>4</v>
      </c>
      <c r="F520" t="str">
        <f>VLOOKUP(A520,[1]Kreise!$A$1:$C$53,3,FALSE)</f>
        <v>K034</v>
      </c>
      <c r="G520">
        <v>211</v>
      </c>
    </row>
    <row r="521" spans="1:7" x14ac:dyDescent="0.25">
      <c r="A521">
        <v>0</v>
      </c>
      <c r="B521">
        <v>2014</v>
      </c>
      <c r="C521" t="str">
        <f>VLOOKUP(A521,[2]Tabelle1!$A$1:$B$68,2,FALSE)</f>
        <v>Niedersachsen</v>
      </c>
      <c r="D521" t="s">
        <v>3</v>
      </c>
      <c r="E521" t="s">
        <v>4</v>
      </c>
      <c r="F521" t="str">
        <f>VLOOKUP(A521,[1]Kreise!$A$1:$C$53,3,FALSE)</f>
        <v>K030</v>
      </c>
      <c r="G521">
        <v>659</v>
      </c>
    </row>
    <row r="522" spans="1:7" x14ac:dyDescent="0.25">
      <c r="A522">
        <v>101</v>
      </c>
      <c r="B522">
        <v>2015</v>
      </c>
      <c r="C522" t="str">
        <f>VLOOKUP(A522,[2]Tabelle1!$A$1:$B$68,2,FALSE)</f>
        <v>Braunschweig  Stadt</v>
      </c>
      <c r="D522" t="s">
        <v>2</v>
      </c>
      <c r="E522" t="s">
        <v>4</v>
      </c>
      <c r="F522" t="str">
        <f>VLOOKUP(A522,[1]Kreise!$A$1:$C$53,3,FALSE)</f>
        <v>K03101</v>
      </c>
      <c r="G522">
        <v>106</v>
      </c>
    </row>
    <row r="523" spans="1:7" x14ac:dyDescent="0.25">
      <c r="A523">
        <v>102</v>
      </c>
      <c r="B523">
        <v>2015</v>
      </c>
      <c r="C523" t="str">
        <f>VLOOKUP(A523,[2]Tabelle1!$A$1:$B$68,2,FALSE)</f>
        <v>Salzgitter  Stadt</v>
      </c>
      <c r="D523" t="s">
        <v>2</v>
      </c>
      <c r="E523" t="s">
        <v>4</v>
      </c>
      <c r="F523" t="str">
        <f>VLOOKUP(A523,[1]Kreise!$A$1:$C$53,3,FALSE)</f>
        <v>K03102</v>
      </c>
      <c r="G523">
        <v>30</v>
      </c>
    </row>
    <row r="524" spans="1:7" x14ac:dyDescent="0.25">
      <c r="A524">
        <v>103</v>
      </c>
      <c r="B524">
        <v>2015</v>
      </c>
      <c r="C524" t="str">
        <f>VLOOKUP(A524,[2]Tabelle1!$A$1:$B$68,2,FALSE)</f>
        <v>Wolfsburg  Stadt</v>
      </c>
      <c r="D524" t="s">
        <v>2</v>
      </c>
      <c r="E524" t="s">
        <v>4</v>
      </c>
      <c r="F524" t="str">
        <f>VLOOKUP(A524,[1]Kreise!$A$1:$C$53,3,FALSE)</f>
        <v>K03103</v>
      </c>
      <c r="G524">
        <v>35</v>
      </c>
    </row>
    <row r="525" spans="1:7" x14ac:dyDescent="0.25">
      <c r="A525">
        <v>151</v>
      </c>
      <c r="B525">
        <v>2015</v>
      </c>
      <c r="C525" t="str">
        <f>VLOOKUP(A525,[2]Tabelle1!$A$1:$B$68,2,FALSE)</f>
        <v>Gifhorn</v>
      </c>
      <c r="D525" t="s">
        <v>2</v>
      </c>
      <c r="E525" t="s">
        <v>4</v>
      </c>
      <c r="F525" t="str">
        <f>VLOOKUP(A525,[1]Kreise!$A$1:$C$53,3,FALSE)</f>
        <v>K03151</v>
      </c>
      <c r="G525">
        <v>59</v>
      </c>
    </row>
    <row r="526" spans="1:7" x14ac:dyDescent="0.25">
      <c r="A526">
        <v>153</v>
      </c>
      <c r="B526">
        <v>2015</v>
      </c>
      <c r="C526" t="str">
        <f>VLOOKUP(A526,[2]Tabelle1!$A$1:$B$68,2,FALSE)</f>
        <v>Goslar</v>
      </c>
      <c r="D526" t="s">
        <v>2</v>
      </c>
      <c r="E526" t="s">
        <v>4</v>
      </c>
      <c r="F526" t="str">
        <f>VLOOKUP(A526,[1]Kreise!$A$1:$C$53,3,FALSE)</f>
        <v>K03153</v>
      </c>
      <c r="G526">
        <v>45</v>
      </c>
    </row>
    <row r="527" spans="1:7" x14ac:dyDescent="0.25">
      <c r="A527">
        <v>154</v>
      </c>
      <c r="B527">
        <v>2015</v>
      </c>
      <c r="C527" t="str">
        <f>VLOOKUP(A527,[2]Tabelle1!$A$1:$B$68,2,FALSE)</f>
        <v>Helmstedt</v>
      </c>
      <c r="D527" t="s">
        <v>2</v>
      </c>
      <c r="E527" t="s">
        <v>4</v>
      </c>
      <c r="F527" t="str">
        <f>VLOOKUP(A527,[1]Kreise!$A$1:$C$53,3,FALSE)</f>
        <v>K03154</v>
      </c>
      <c r="G527">
        <v>63</v>
      </c>
    </row>
    <row r="528" spans="1:7" x14ac:dyDescent="0.25">
      <c r="A528">
        <v>155</v>
      </c>
      <c r="B528">
        <v>2015</v>
      </c>
      <c r="C528" t="str">
        <f>VLOOKUP(A528,[2]Tabelle1!$A$1:$B$68,2,FALSE)</f>
        <v>Northeim</v>
      </c>
      <c r="D528" t="s">
        <v>2</v>
      </c>
      <c r="E528" t="s">
        <v>4</v>
      </c>
      <c r="F528" t="str">
        <f>VLOOKUP(A528,[1]Kreise!$A$1:$C$53,3,FALSE)</f>
        <v>K03155</v>
      </c>
      <c r="G528">
        <v>53</v>
      </c>
    </row>
    <row r="529" spans="1:7" x14ac:dyDescent="0.25">
      <c r="A529">
        <v>157</v>
      </c>
      <c r="B529">
        <v>2015</v>
      </c>
      <c r="C529" t="str">
        <f>VLOOKUP(A529,[2]Tabelle1!$A$1:$B$68,2,FALSE)</f>
        <v>Peine</v>
      </c>
      <c r="D529" t="s">
        <v>2</v>
      </c>
      <c r="E529" t="s">
        <v>4</v>
      </c>
      <c r="F529" t="str">
        <f>VLOOKUP(A529,[1]Kreise!$A$1:$C$53,3,FALSE)</f>
        <v>K03157</v>
      </c>
      <c r="G529">
        <v>49</v>
      </c>
    </row>
    <row r="530" spans="1:7" x14ac:dyDescent="0.25">
      <c r="A530">
        <v>158</v>
      </c>
      <c r="B530">
        <v>2015</v>
      </c>
      <c r="C530" t="str">
        <f>VLOOKUP(A530,[2]Tabelle1!$A$1:$B$68,2,FALSE)</f>
        <v>Wolfenbüttel</v>
      </c>
      <c r="D530" t="s">
        <v>2</v>
      </c>
      <c r="E530" t="s">
        <v>4</v>
      </c>
      <c r="F530" t="str">
        <f>VLOOKUP(A530,[1]Kreise!$A$1:$C$53,3,FALSE)</f>
        <v>K03158</v>
      </c>
      <c r="G530">
        <v>58</v>
      </c>
    </row>
    <row r="531" spans="1:7" x14ac:dyDescent="0.25">
      <c r="A531">
        <v>159</v>
      </c>
      <c r="B531">
        <v>2015</v>
      </c>
      <c r="C531" t="str">
        <f>VLOOKUP(A531,[2]Tabelle1!$A$1:$B$68,2,FALSE)</f>
        <v>Göttingen</v>
      </c>
      <c r="D531" t="s">
        <v>2</v>
      </c>
      <c r="E531" t="s">
        <v>4</v>
      </c>
      <c r="F531" t="str">
        <f>VLOOKUP(A531,[1]Kreise!$A$1:$C$53,3,FALSE)</f>
        <v>K03159</v>
      </c>
      <c r="G531">
        <v>89</v>
      </c>
    </row>
    <row r="532" spans="1:7" x14ac:dyDescent="0.25">
      <c r="A532">
        <v>1</v>
      </c>
      <c r="B532">
        <v>2015</v>
      </c>
      <c r="C532" t="str">
        <f>VLOOKUP(A532,[2]Tabelle1!$A$1:$B$68,2,FALSE)</f>
        <v>Statistische Region Braunschweig</v>
      </c>
      <c r="D532" t="s">
        <v>2</v>
      </c>
      <c r="E532" t="s">
        <v>4</v>
      </c>
      <c r="F532" t="str">
        <f>VLOOKUP(A532,[1]Kreise!$A$1:$C$53,3,FALSE)</f>
        <v>K031</v>
      </c>
      <c r="G532">
        <v>587</v>
      </c>
    </row>
    <row r="533" spans="1:7" x14ac:dyDescent="0.25">
      <c r="A533">
        <v>241</v>
      </c>
      <c r="B533">
        <v>2015</v>
      </c>
      <c r="C533" t="str">
        <f>VLOOKUP(A533,[2]Tabelle1!$A$1:$B$68,2,FALSE)</f>
        <v>Hannover  Region</v>
      </c>
      <c r="D533" t="s">
        <v>2</v>
      </c>
      <c r="E533" t="s">
        <v>4</v>
      </c>
      <c r="F533" t="str">
        <f>VLOOKUP(A533,[1]Kreise!$A$1:$C$53,3,FALSE)</f>
        <v>K03241</v>
      </c>
      <c r="G533">
        <v>397</v>
      </c>
    </row>
    <row r="534" spans="1:7" x14ac:dyDescent="0.25">
      <c r="A534">
        <v>241001</v>
      </c>
      <c r="B534">
        <v>2015</v>
      </c>
      <c r="C534" t="str">
        <f>VLOOKUP(A534,[2]Tabelle1!$A$1:$B$68,2,FALSE)</f>
        <v>dav. Hannover  Lhst.</v>
      </c>
      <c r="D534" t="s">
        <v>2</v>
      </c>
      <c r="E534" t="s">
        <v>4</v>
      </c>
      <c r="F534" t="str">
        <f>VLOOKUP(A534,[1]Kreise!$A$1:$C$53,3,FALSE)</f>
        <v>K03241001</v>
      </c>
      <c r="G534">
        <v>205</v>
      </c>
    </row>
    <row r="535" spans="1:7" x14ac:dyDescent="0.25">
      <c r="A535">
        <v>241999</v>
      </c>
      <c r="B535">
        <v>2015</v>
      </c>
      <c r="C535" t="str">
        <f>VLOOKUP(A535,[2]Tabelle1!$A$1:$B$68,2,FALSE)</f>
        <v>dav. Hannover  Umland</v>
      </c>
      <c r="D535" t="s">
        <v>2</v>
      </c>
      <c r="E535" t="s">
        <v>4</v>
      </c>
      <c r="F535" t="str">
        <f>VLOOKUP(A535,[1]Kreise!$A$1:$C$53,3,FALSE)</f>
        <v>K03241999</v>
      </c>
      <c r="G535">
        <v>192</v>
      </c>
    </row>
    <row r="536" spans="1:7" x14ac:dyDescent="0.25">
      <c r="A536">
        <v>251</v>
      </c>
      <c r="B536">
        <v>2015</v>
      </c>
      <c r="C536" t="str">
        <f>VLOOKUP(A536,[2]Tabelle1!$A$1:$B$68,2,FALSE)</f>
        <v>Diepholz</v>
      </c>
      <c r="D536" t="s">
        <v>2</v>
      </c>
      <c r="E536" t="s">
        <v>4</v>
      </c>
      <c r="F536" t="str">
        <f>VLOOKUP(A536,[1]Kreise!$A$1:$C$53,3,FALSE)</f>
        <v>K03251</v>
      </c>
      <c r="G536">
        <v>60</v>
      </c>
    </row>
    <row r="537" spans="1:7" x14ac:dyDescent="0.25">
      <c r="A537">
        <v>252</v>
      </c>
      <c r="B537">
        <v>2015</v>
      </c>
      <c r="C537" t="str">
        <f>VLOOKUP(A537,[2]Tabelle1!$A$1:$B$68,2,FALSE)</f>
        <v>Hameln-Pyrmont</v>
      </c>
      <c r="D537" t="s">
        <v>2</v>
      </c>
      <c r="E537" t="s">
        <v>4</v>
      </c>
      <c r="F537" t="str">
        <f>VLOOKUP(A537,[1]Kreise!$A$1:$C$53,3,FALSE)</f>
        <v>K03252</v>
      </c>
      <c r="G537">
        <v>67</v>
      </c>
    </row>
    <row r="538" spans="1:7" x14ac:dyDescent="0.25">
      <c r="A538">
        <v>254</v>
      </c>
      <c r="B538">
        <v>2015</v>
      </c>
      <c r="C538" t="str">
        <f>VLOOKUP(A538,[2]Tabelle1!$A$1:$B$68,2,FALSE)</f>
        <v>Hildesheim</v>
      </c>
      <c r="D538" t="s">
        <v>2</v>
      </c>
      <c r="E538" t="s">
        <v>4</v>
      </c>
      <c r="F538" t="str">
        <f>VLOOKUP(A538,[1]Kreise!$A$1:$C$53,3,FALSE)</f>
        <v>K03254</v>
      </c>
      <c r="G538">
        <v>191</v>
      </c>
    </row>
    <row r="539" spans="1:7" x14ac:dyDescent="0.25">
      <c r="A539">
        <v>255</v>
      </c>
      <c r="B539">
        <v>2015</v>
      </c>
      <c r="C539" t="str">
        <f>VLOOKUP(A539,[2]Tabelle1!$A$1:$B$68,2,FALSE)</f>
        <v>Holzminden</v>
      </c>
      <c r="D539" t="s">
        <v>2</v>
      </c>
      <c r="E539" t="s">
        <v>4</v>
      </c>
      <c r="F539" t="str">
        <f>VLOOKUP(A539,[1]Kreise!$A$1:$C$53,3,FALSE)</f>
        <v>K03255</v>
      </c>
      <c r="G539">
        <v>51</v>
      </c>
    </row>
    <row r="540" spans="1:7" x14ac:dyDescent="0.25">
      <c r="A540">
        <v>256</v>
      </c>
      <c r="B540">
        <v>2015</v>
      </c>
      <c r="C540" t="str">
        <f>VLOOKUP(A540,[2]Tabelle1!$A$1:$B$68,2,FALSE)</f>
        <v>Nienburg (Weser)</v>
      </c>
      <c r="D540" t="s">
        <v>2</v>
      </c>
      <c r="E540" t="s">
        <v>4</v>
      </c>
      <c r="F540" t="str">
        <f>VLOOKUP(A540,[1]Kreise!$A$1:$C$53,3,FALSE)</f>
        <v>K03256</v>
      </c>
      <c r="G540">
        <v>60</v>
      </c>
    </row>
    <row r="541" spans="1:7" x14ac:dyDescent="0.25">
      <c r="A541">
        <v>257</v>
      </c>
      <c r="B541">
        <v>2015</v>
      </c>
      <c r="C541" t="str">
        <f>VLOOKUP(A541,[2]Tabelle1!$A$1:$B$68,2,FALSE)</f>
        <v>Schaumburg</v>
      </c>
      <c r="D541" t="s">
        <v>2</v>
      </c>
      <c r="E541" t="s">
        <v>4</v>
      </c>
      <c r="F541" t="str">
        <f>VLOOKUP(A541,[1]Kreise!$A$1:$C$53,3,FALSE)</f>
        <v>K03257</v>
      </c>
      <c r="G541">
        <v>36</v>
      </c>
    </row>
    <row r="542" spans="1:7" x14ac:dyDescent="0.25">
      <c r="A542">
        <v>2</v>
      </c>
      <c r="B542">
        <v>2015</v>
      </c>
      <c r="C542" t="str">
        <f>VLOOKUP(A542,[2]Tabelle1!$A$1:$B$68,2,FALSE)</f>
        <v>Statistische Region Hannover</v>
      </c>
      <c r="D542" t="s">
        <v>2</v>
      </c>
      <c r="E542" t="s">
        <v>4</v>
      </c>
      <c r="F542" t="str">
        <f>VLOOKUP(A542,[1]Kreise!$A$1:$C$53,3,FALSE)</f>
        <v>K032</v>
      </c>
      <c r="G542">
        <v>862</v>
      </c>
    </row>
    <row r="543" spans="1:7" x14ac:dyDescent="0.25">
      <c r="A543">
        <v>351</v>
      </c>
      <c r="B543">
        <v>2015</v>
      </c>
      <c r="C543" t="str">
        <f>VLOOKUP(A543,[2]Tabelle1!$A$1:$B$68,2,FALSE)</f>
        <v>Celle</v>
      </c>
      <c r="D543" t="s">
        <v>2</v>
      </c>
      <c r="E543" t="s">
        <v>4</v>
      </c>
      <c r="F543" t="str">
        <f>VLOOKUP(A543,[1]Kreise!$A$1:$C$53,3,FALSE)</f>
        <v>K03351</v>
      </c>
      <c r="G543">
        <v>86</v>
      </c>
    </row>
    <row r="544" spans="1:7" x14ac:dyDescent="0.25">
      <c r="A544">
        <v>352</v>
      </c>
      <c r="B544">
        <v>2015</v>
      </c>
      <c r="C544" t="str">
        <f>VLOOKUP(A544,[2]Tabelle1!$A$1:$B$68,2,FALSE)</f>
        <v>Cuxhaven</v>
      </c>
      <c r="D544" t="s">
        <v>2</v>
      </c>
      <c r="E544" t="s">
        <v>4</v>
      </c>
      <c r="F544" t="str">
        <f>VLOOKUP(A544,[1]Kreise!$A$1:$C$53,3,FALSE)</f>
        <v>K03352</v>
      </c>
      <c r="G544">
        <v>66</v>
      </c>
    </row>
    <row r="545" spans="1:7" x14ac:dyDescent="0.25">
      <c r="A545">
        <v>353</v>
      </c>
      <c r="B545">
        <v>2015</v>
      </c>
      <c r="C545" t="str">
        <f>VLOOKUP(A545,[2]Tabelle1!$A$1:$B$68,2,FALSE)</f>
        <v>Harburg</v>
      </c>
      <c r="D545" t="s">
        <v>2</v>
      </c>
      <c r="E545" t="s">
        <v>4</v>
      </c>
      <c r="F545" t="str">
        <f>VLOOKUP(A545,[1]Kreise!$A$1:$C$53,3,FALSE)</f>
        <v>K03353</v>
      </c>
      <c r="G545">
        <v>53</v>
      </c>
    </row>
    <row r="546" spans="1:7" x14ac:dyDescent="0.25">
      <c r="A546">
        <v>354</v>
      </c>
      <c r="B546">
        <v>2015</v>
      </c>
      <c r="C546" t="str">
        <f>VLOOKUP(A546,[2]Tabelle1!$A$1:$B$68,2,FALSE)</f>
        <v>Lüchow-Dannenberg</v>
      </c>
      <c r="D546" t="s">
        <v>2</v>
      </c>
      <c r="E546" t="s">
        <v>4</v>
      </c>
      <c r="F546" t="str">
        <f>VLOOKUP(A546,[1]Kreise!$A$1:$C$53,3,FALSE)</f>
        <v>K03354</v>
      </c>
      <c r="G546">
        <v>35</v>
      </c>
    </row>
    <row r="547" spans="1:7" x14ac:dyDescent="0.25">
      <c r="A547">
        <v>355</v>
      </c>
      <c r="B547">
        <v>2015</v>
      </c>
      <c r="C547" t="str">
        <f>VLOOKUP(A547,[2]Tabelle1!$A$1:$B$68,2,FALSE)</f>
        <v>Lüneburg</v>
      </c>
      <c r="D547" t="s">
        <v>2</v>
      </c>
      <c r="E547" t="s">
        <v>4</v>
      </c>
      <c r="F547" t="str">
        <f>VLOOKUP(A547,[1]Kreise!$A$1:$C$53,3,FALSE)</f>
        <v>K03355</v>
      </c>
      <c r="G547">
        <v>56</v>
      </c>
    </row>
    <row r="548" spans="1:7" x14ac:dyDescent="0.25">
      <c r="A548">
        <v>356</v>
      </c>
      <c r="B548">
        <v>2015</v>
      </c>
      <c r="C548" t="str">
        <f>VLOOKUP(A548,[2]Tabelle1!$A$1:$B$68,2,FALSE)</f>
        <v>Osterholz</v>
      </c>
      <c r="D548" t="s">
        <v>2</v>
      </c>
      <c r="E548" t="s">
        <v>4</v>
      </c>
      <c r="F548" t="str">
        <f>VLOOKUP(A548,[1]Kreise!$A$1:$C$53,3,FALSE)</f>
        <v>K03356</v>
      </c>
      <c r="G548">
        <v>35</v>
      </c>
    </row>
    <row r="549" spans="1:7" x14ac:dyDescent="0.25">
      <c r="A549">
        <v>357</v>
      </c>
      <c r="B549">
        <v>2015</v>
      </c>
      <c r="C549" t="str">
        <f>VLOOKUP(A549,[2]Tabelle1!$A$1:$B$68,2,FALSE)</f>
        <v>Rotenburg (Wümme)</v>
      </c>
      <c r="D549" t="s">
        <v>2</v>
      </c>
      <c r="E549" t="s">
        <v>4</v>
      </c>
      <c r="F549" t="str">
        <f>VLOOKUP(A549,[1]Kreise!$A$1:$C$53,3,FALSE)</f>
        <v>K03357</v>
      </c>
      <c r="G549">
        <v>98</v>
      </c>
    </row>
    <row r="550" spans="1:7" x14ac:dyDescent="0.25">
      <c r="A550">
        <v>358</v>
      </c>
      <c r="B550">
        <v>2015</v>
      </c>
      <c r="C550" t="str">
        <f>VLOOKUP(A550,[2]Tabelle1!$A$1:$B$68,2,FALSE)</f>
        <v>Heidekreis</v>
      </c>
      <c r="D550" t="s">
        <v>2</v>
      </c>
      <c r="E550" t="s">
        <v>4</v>
      </c>
      <c r="F550" t="str">
        <f>VLOOKUP(A550,[1]Kreise!$A$1:$C$53,3,FALSE)</f>
        <v>K03358</v>
      </c>
      <c r="G550">
        <v>95</v>
      </c>
    </row>
    <row r="551" spans="1:7" x14ac:dyDescent="0.25">
      <c r="A551">
        <v>359</v>
      </c>
      <c r="B551">
        <v>2015</v>
      </c>
      <c r="C551" t="str">
        <f>VLOOKUP(A551,[2]Tabelle1!$A$1:$B$68,2,FALSE)</f>
        <v>Stade</v>
      </c>
      <c r="D551" t="s">
        <v>2</v>
      </c>
      <c r="E551" t="s">
        <v>4</v>
      </c>
      <c r="F551" t="str">
        <f>VLOOKUP(A551,[1]Kreise!$A$1:$C$53,3,FALSE)</f>
        <v>K03359</v>
      </c>
      <c r="G551">
        <v>74</v>
      </c>
    </row>
    <row r="552" spans="1:7" x14ac:dyDescent="0.25">
      <c r="A552">
        <v>360</v>
      </c>
      <c r="B552">
        <v>2015</v>
      </c>
      <c r="C552" t="str">
        <f>VLOOKUP(A552,[2]Tabelle1!$A$1:$B$68,2,FALSE)</f>
        <v>Uelzen</v>
      </c>
      <c r="D552" t="s">
        <v>2</v>
      </c>
      <c r="E552" t="s">
        <v>4</v>
      </c>
      <c r="F552" t="str">
        <f>VLOOKUP(A552,[1]Kreise!$A$1:$C$53,3,FALSE)</f>
        <v>K03360</v>
      </c>
      <c r="G552">
        <v>29</v>
      </c>
    </row>
    <row r="553" spans="1:7" x14ac:dyDescent="0.25">
      <c r="A553">
        <v>361</v>
      </c>
      <c r="B553">
        <v>2015</v>
      </c>
      <c r="C553" t="str">
        <f>VLOOKUP(A553,[2]Tabelle1!$A$1:$B$68,2,FALSE)</f>
        <v>Verden</v>
      </c>
      <c r="D553" t="s">
        <v>2</v>
      </c>
      <c r="E553" t="s">
        <v>4</v>
      </c>
      <c r="F553" t="str">
        <f>VLOOKUP(A553,[1]Kreise!$A$1:$C$53,3,FALSE)</f>
        <v>K03361</v>
      </c>
      <c r="G553">
        <v>54</v>
      </c>
    </row>
    <row r="554" spans="1:7" x14ac:dyDescent="0.25">
      <c r="A554">
        <v>3</v>
      </c>
      <c r="B554">
        <v>2015</v>
      </c>
      <c r="C554" t="str">
        <f>VLOOKUP(A554,[2]Tabelle1!$A$1:$B$68,2,FALSE)</f>
        <v>Statistische Region Lüneburg</v>
      </c>
      <c r="D554" t="s">
        <v>2</v>
      </c>
      <c r="E554" t="s">
        <v>4</v>
      </c>
      <c r="F554" t="str">
        <f>VLOOKUP(A554,[1]Kreise!$A$1:$C$53,3,FALSE)</f>
        <v>K033</v>
      </c>
      <c r="G554">
        <v>681</v>
      </c>
    </row>
    <row r="555" spans="1:7" x14ac:dyDescent="0.25">
      <c r="A555">
        <v>401</v>
      </c>
      <c r="B555">
        <v>2015</v>
      </c>
      <c r="C555" t="str">
        <f>VLOOKUP(A555,[2]Tabelle1!$A$1:$B$68,2,FALSE)</f>
        <v>Delmenhorst  Stadt</v>
      </c>
      <c r="D555" t="s">
        <v>2</v>
      </c>
      <c r="E555" t="s">
        <v>4</v>
      </c>
      <c r="F555" t="str">
        <f>VLOOKUP(A555,[1]Kreise!$A$1:$C$53,3,FALSE)</f>
        <v>K03401</v>
      </c>
      <c r="G555">
        <v>30</v>
      </c>
    </row>
    <row r="556" spans="1:7" x14ac:dyDescent="0.25">
      <c r="A556">
        <v>402</v>
      </c>
      <c r="B556">
        <v>2015</v>
      </c>
      <c r="C556" t="str">
        <f>VLOOKUP(A556,[2]Tabelle1!$A$1:$B$68,2,FALSE)</f>
        <v>Emden  Stadt</v>
      </c>
      <c r="D556" t="s">
        <v>2</v>
      </c>
      <c r="E556" t="s">
        <v>4</v>
      </c>
      <c r="F556" t="str">
        <f>VLOOKUP(A556,[1]Kreise!$A$1:$C$53,3,FALSE)</f>
        <v>K03402</v>
      </c>
      <c r="G556">
        <v>42</v>
      </c>
    </row>
    <row r="557" spans="1:7" x14ac:dyDescent="0.25">
      <c r="A557">
        <v>403</v>
      </c>
      <c r="B557">
        <v>2015</v>
      </c>
      <c r="C557" t="str">
        <f>VLOOKUP(A557,[2]Tabelle1!$A$1:$B$68,2,FALSE)</f>
        <v>Oldenburg(Oldb)  Stadt</v>
      </c>
      <c r="D557" t="s">
        <v>2</v>
      </c>
      <c r="E557" t="s">
        <v>4</v>
      </c>
      <c r="F557" t="str">
        <f>VLOOKUP(A557,[1]Kreise!$A$1:$C$53,3,FALSE)</f>
        <v>K03403</v>
      </c>
      <c r="G557">
        <v>100</v>
      </c>
    </row>
    <row r="558" spans="1:7" x14ac:dyDescent="0.25">
      <c r="A558">
        <v>404</v>
      </c>
      <c r="B558">
        <v>2015</v>
      </c>
      <c r="C558" t="str">
        <f>VLOOKUP(A558,[2]Tabelle1!$A$1:$B$68,2,FALSE)</f>
        <v>Osnabrück  Stadt</v>
      </c>
      <c r="D558" t="s">
        <v>2</v>
      </c>
      <c r="E558" t="s">
        <v>4</v>
      </c>
      <c r="F558" t="str">
        <f>VLOOKUP(A558,[1]Kreise!$A$1:$C$53,3,FALSE)</f>
        <v>K03404</v>
      </c>
      <c r="G558">
        <v>109</v>
      </c>
    </row>
    <row r="559" spans="1:7" x14ac:dyDescent="0.25">
      <c r="A559">
        <v>405</v>
      </c>
      <c r="B559">
        <v>2015</v>
      </c>
      <c r="C559" t="str">
        <f>VLOOKUP(A559,[2]Tabelle1!$A$1:$B$68,2,FALSE)</f>
        <v>Wilhelmshaven  Stadt</v>
      </c>
      <c r="D559" t="s">
        <v>2</v>
      </c>
      <c r="E559" t="s">
        <v>4</v>
      </c>
      <c r="F559" t="str">
        <f>VLOOKUP(A559,[1]Kreise!$A$1:$C$53,3,FALSE)</f>
        <v>K03405</v>
      </c>
      <c r="G559">
        <v>25</v>
      </c>
    </row>
    <row r="560" spans="1:7" x14ac:dyDescent="0.25">
      <c r="A560">
        <v>451</v>
      </c>
      <c r="B560">
        <v>2015</v>
      </c>
      <c r="C560" t="str">
        <f>VLOOKUP(A560,[2]Tabelle1!$A$1:$B$68,2,FALSE)</f>
        <v>Ammerland</v>
      </c>
      <c r="D560" t="s">
        <v>2</v>
      </c>
      <c r="E560" t="s">
        <v>4</v>
      </c>
      <c r="F560" t="str">
        <f>VLOOKUP(A560,[1]Kreise!$A$1:$C$53,3,FALSE)</f>
        <v>K03451</v>
      </c>
      <c r="G560">
        <v>53</v>
      </c>
    </row>
    <row r="561" spans="1:7" x14ac:dyDescent="0.25">
      <c r="A561">
        <v>452</v>
      </c>
      <c r="B561">
        <v>2015</v>
      </c>
      <c r="C561" t="str">
        <f>VLOOKUP(A561,[2]Tabelle1!$A$1:$B$68,2,FALSE)</f>
        <v>Aurich</v>
      </c>
      <c r="D561" t="s">
        <v>2</v>
      </c>
      <c r="E561" t="s">
        <v>4</v>
      </c>
      <c r="F561" t="str">
        <f>VLOOKUP(A561,[1]Kreise!$A$1:$C$53,3,FALSE)</f>
        <v>K03452</v>
      </c>
      <c r="G561">
        <v>152</v>
      </c>
    </row>
    <row r="562" spans="1:7" x14ac:dyDescent="0.25">
      <c r="A562">
        <v>453</v>
      </c>
      <c r="B562">
        <v>2015</v>
      </c>
      <c r="C562" t="str">
        <f>VLOOKUP(A562,[2]Tabelle1!$A$1:$B$68,2,FALSE)</f>
        <v>Cloppenburg</v>
      </c>
      <c r="D562" t="s">
        <v>2</v>
      </c>
      <c r="E562" t="s">
        <v>4</v>
      </c>
      <c r="F562" t="str">
        <f>VLOOKUP(A562,[1]Kreise!$A$1:$C$53,3,FALSE)</f>
        <v>K03453</v>
      </c>
      <c r="G562">
        <v>79</v>
      </c>
    </row>
    <row r="563" spans="1:7" x14ac:dyDescent="0.25">
      <c r="A563">
        <v>454</v>
      </c>
      <c r="B563">
        <v>2015</v>
      </c>
      <c r="C563" t="str">
        <f>VLOOKUP(A563,[2]Tabelle1!$A$1:$B$68,2,FALSE)</f>
        <v>Emsland</v>
      </c>
      <c r="D563" t="s">
        <v>2</v>
      </c>
      <c r="E563" t="s">
        <v>4</v>
      </c>
      <c r="F563" t="str">
        <f>VLOOKUP(A563,[1]Kreise!$A$1:$C$53,3,FALSE)</f>
        <v>K03454</v>
      </c>
      <c r="G563">
        <v>176</v>
      </c>
    </row>
    <row r="564" spans="1:7" x14ac:dyDescent="0.25">
      <c r="A564">
        <v>455</v>
      </c>
      <c r="B564">
        <v>2015</v>
      </c>
      <c r="C564" t="str">
        <f>VLOOKUP(A564,[2]Tabelle1!$A$1:$B$68,2,FALSE)</f>
        <v>Friesland</v>
      </c>
      <c r="D564" t="s">
        <v>2</v>
      </c>
      <c r="E564" t="s">
        <v>4</v>
      </c>
      <c r="F564" t="str">
        <f>VLOOKUP(A564,[1]Kreise!$A$1:$C$53,3,FALSE)</f>
        <v>K03455</v>
      </c>
      <c r="G564">
        <v>36</v>
      </c>
    </row>
    <row r="565" spans="1:7" x14ac:dyDescent="0.25">
      <c r="A565">
        <v>456</v>
      </c>
      <c r="B565">
        <v>2015</v>
      </c>
      <c r="C565" t="str">
        <f>VLOOKUP(A565,[2]Tabelle1!$A$1:$B$68,2,FALSE)</f>
        <v>Grafschaft Bentheim</v>
      </c>
      <c r="D565" t="s">
        <v>2</v>
      </c>
      <c r="E565" t="s">
        <v>4</v>
      </c>
      <c r="F565" t="str">
        <f>VLOOKUP(A565,[1]Kreise!$A$1:$C$53,3,FALSE)</f>
        <v>K03456</v>
      </c>
      <c r="G565">
        <v>91</v>
      </c>
    </row>
    <row r="566" spans="1:7" x14ac:dyDescent="0.25">
      <c r="A566">
        <v>457</v>
      </c>
      <c r="B566">
        <v>2015</v>
      </c>
      <c r="C566" t="str">
        <f>VLOOKUP(A566,[2]Tabelle1!$A$1:$B$68,2,FALSE)</f>
        <v>Leer</v>
      </c>
      <c r="D566" t="s">
        <v>2</v>
      </c>
      <c r="E566" t="s">
        <v>4</v>
      </c>
      <c r="F566" t="str">
        <f>VLOOKUP(A566,[1]Kreise!$A$1:$C$53,3,FALSE)</f>
        <v>K03457</v>
      </c>
      <c r="G566">
        <v>138</v>
      </c>
    </row>
    <row r="567" spans="1:7" x14ac:dyDescent="0.25">
      <c r="A567">
        <v>458</v>
      </c>
      <c r="B567">
        <v>2015</v>
      </c>
      <c r="C567" t="str">
        <f>VLOOKUP(A567,[2]Tabelle1!$A$1:$B$68,2,FALSE)</f>
        <v>Oldenburg</v>
      </c>
      <c r="D567" t="s">
        <v>2</v>
      </c>
      <c r="E567" t="s">
        <v>4</v>
      </c>
      <c r="F567" t="str">
        <f>VLOOKUP(A567,[1]Kreise!$A$1:$C$53,3,FALSE)</f>
        <v>K03458</v>
      </c>
      <c r="G567">
        <v>41</v>
      </c>
    </row>
    <row r="568" spans="1:7" x14ac:dyDescent="0.25">
      <c r="A568">
        <v>459</v>
      </c>
      <c r="B568">
        <v>2015</v>
      </c>
      <c r="C568" t="str">
        <f>VLOOKUP(A568,[2]Tabelle1!$A$1:$B$68,2,FALSE)</f>
        <v>Osnabrück</v>
      </c>
      <c r="D568" t="s">
        <v>2</v>
      </c>
      <c r="E568" t="s">
        <v>4</v>
      </c>
      <c r="F568" t="str">
        <f>VLOOKUP(A568,[1]Kreise!$A$1:$C$53,3,FALSE)</f>
        <v>K03459</v>
      </c>
      <c r="G568">
        <v>160</v>
      </c>
    </row>
    <row r="569" spans="1:7" x14ac:dyDescent="0.25">
      <c r="A569">
        <v>460</v>
      </c>
      <c r="B569">
        <v>2015</v>
      </c>
      <c r="C569" t="str">
        <f>VLOOKUP(A569,[2]Tabelle1!$A$1:$B$68,2,FALSE)</f>
        <v>Vechta</v>
      </c>
      <c r="D569" t="s">
        <v>2</v>
      </c>
      <c r="E569" t="s">
        <v>4</v>
      </c>
      <c r="F569" t="str">
        <f>VLOOKUP(A569,[1]Kreise!$A$1:$C$53,3,FALSE)</f>
        <v>K03460</v>
      </c>
      <c r="G569">
        <v>88</v>
      </c>
    </row>
    <row r="570" spans="1:7" x14ac:dyDescent="0.25">
      <c r="A570">
        <v>461</v>
      </c>
      <c r="B570">
        <v>2015</v>
      </c>
      <c r="C570" t="str">
        <f>VLOOKUP(A570,[2]Tabelle1!$A$1:$B$68,2,FALSE)</f>
        <v>Wesermarsch</v>
      </c>
      <c r="D570" t="s">
        <v>2</v>
      </c>
      <c r="E570" t="s">
        <v>4</v>
      </c>
      <c r="F570" t="str">
        <f>VLOOKUP(A570,[1]Kreise!$A$1:$C$53,3,FALSE)</f>
        <v>K03461</v>
      </c>
      <c r="G570">
        <v>52</v>
      </c>
    </row>
    <row r="571" spans="1:7" x14ac:dyDescent="0.25">
      <c r="A571">
        <v>462</v>
      </c>
      <c r="B571">
        <v>2015</v>
      </c>
      <c r="C571" t="str">
        <f>VLOOKUP(A571,[2]Tabelle1!$A$1:$B$68,2,FALSE)</f>
        <v>Wittmund</v>
      </c>
      <c r="D571" t="s">
        <v>2</v>
      </c>
      <c r="E571" t="s">
        <v>4</v>
      </c>
      <c r="F571" t="str">
        <f>VLOOKUP(A571,[1]Kreise!$A$1:$C$53,3,FALSE)</f>
        <v>K03462</v>
      </c>
      <c r="G571">
        <v>34</v>
      </c>
    </row>
    <row r="572" spans="1:7" x14ac:dyDescent="0.25">
      <c r="A572">
        <v>4</v>
      </c>
      <c r="B572">
        <v>2015</v>
      </c>
      <c r="C572" t="str">
        <f>VLOOKUP(A572,[2]Tabelle1!$A$1:$B$68,2,FALSE)</f>
        <v>Statistische Region Weser-Ems</v>
      </c>
      <c r="D572" t="s">
        <v>2</v>
      </c>
      <c r="E572" t="s">
        <v>4</v>
      </c>
      <c r="F572" t="str">
        <f>VLOOKUP(A572,[1]Kreise!$A$1:$C$53,3,FALSE)</f>
        <v>K034</v>
      </c>
      <c r="G572">
        <v>1406</v>
      </c>
    </row>
    <row r="573" spans="1:7" x14ac:dyDescent="0.25">
      <c r="A573">
        <v>0</v>
      </c>
      <c r="B573">
        <v>2015</v>
      </c>
      <c r="C573" t="str">
        <f>VLOOKUP(A573,[2]Tabelle1!$A$1:$B$68,2,FALSE)</f>
        <v>Niedersachsen</v>
      </c>
      <c r="D573" t="s">
        <v>2</v>
      </c>
      <c r="E573" t="s">
        <v>4</v>
      </c>
      <c r="F573" t="str">
        <f>VLOOKUP(A573,[1]Kreise!$A$1:$C$53,3,FALSE)</f>
        <v>K030</v>
      </c>
      <c r="G573">
        <v>3536</v>
      </c>
    </row>
    <row r="574" spans="1:7" x14ac:dyDescent="0.25">
      <c r="A574">
        <v>101</v>
      </c>
      <c r="B574">
        <v>2015</v>
      </c>
      <c r="C574" t="str">
        <f>VLOOKUP(A574,[2]Tabelle1!$A$1:$B$68,2,FALSE)</f>
        <v>Braunschweig  Stadt</v>
      </c>
      <c r="D574" t="s">
        <v>3</v>
      </c>
      <c r="E574" t="s">
        <v>4</v>
      </c>
      <c r="F574" t="str">
        <f>VLOOKUP(A574,[1]Kreise!$A$1:$C$53,3,FALSE)</f>
        <v>K03101</v>
      </c>
      <c r="G574">
        <v>24</v>
      </c>
    </row>
    <row r="575" spans="1:7" x14ac:dyDescent="0.25">
      <c r="A575">
        <v>102</v>
      </c>
      <c r="B575">
        <v>2015</v>
      </c>
      <c r="C575" t="str">
        <f>VLOOKUP(A575,[2]Tabelle1!$A$1:$B$68,2,FALSE)</f>
        <v>Salzgitter  Stadt</v>
      </c>
      <c r="D575" t="s">
        <v>3</v>
      </c>
      <c r="E575" t="s">
        <v>4</v>
      </c>
      <c r="F575" t="str">
        <f>VLOOKUP(A575,[1]Kreise!$A$1:$C$53,3,FALSE)</f>
        <v>K03102</v>
      </c>
      <c r="G575">
        <v>19</v>
      </c>
    </row>
    <row r="576" spans="1:7" x14ac:dyDescent="0.25">
      <c r="A576">
        <v>103</v>
      </c>
      <c r="B576">
        <v>2015</v>
      </c>
      <c r="C576" t="str">
        <f>VLOOKUP(A576,[2]Tabelle1!$A$1:$B$68,2,FALSE)</f>
        <v>Wolfsburg  Stadt</v>
      </c>
      <c r="D576" t="s">
        <v>3</v>
      </c>
      <c r="E576" t="s">
        <v>4</v>
      </c>
      <c r="F576" t="str">
        <f>VLOOKUP(A576,[1]Kreise!$A$1:$C$53,3,FALSE)</f>
        <v>K03103</v>
      </c>
      <c r="G576">
        <v>6</v>
      </c>
    </row>
    <row r="577" spans="1:7" x14ac:dyDescent="0.25">
      <c r="A577">
        <v>151</v>
      </c>
      <c r="B577">
        <v>2015</v>
      </c>
      <c r="C577" t="str">
        <f>VLOOKUP(A577,[2]Tabelle1!$A$1:$B$68,2,FALSE)</f>
        <v>Gifhorn</v>
      </c>
      <c r="D577" t="s">
        <v>3</v>
      </c>
      <c r="E577" t="s">
        <v>4</v>
      </c>
      <c r="F577" t="str">
        <f>VLOOKUP(A577,[1]Kreise!$A$1:$C$53,3,FALSE)</f>
        <v>K03151</v>
      </c>
      <c r="G577">
        <v>7</v>
      </c>
    </row>
    <row r="578" spans="1:7" x14ac:dyDescent="0.25">
      <c r="A578">
        <v>153</v>
      </c>
      <c r="B578">
        <v>2015</v>
      </c>
      <c r="C578" t="str">
        <f>VLOOKUP(A578,[2]Tabelle1!$A$1:$B$68,2,FALSE)</f>
        <v>Goslar</v>
      </c>
      <c r="D578" t="s">
        <v>3</v>
      </c>
      <c r="E578" t="s">
        <v>4</v>
      </c>
      <c r="F578" t="str">
        <f>VLOOKUP(A578,[1]Kreise!$A$1:$C$53,3,FALSE)</f>
        <v>K03153</v>
      </c>
      <c r="G578">
        <v>9</v>
      </c>
    </row>
    <row r="579" spans="1:7" x14ac:dyDescent="0.25">
      <c r="A579">
        <v>154</v>
      </c>
      <c r="B579">
        <v>2015</v>
      </c>
      <c r="C579" t="str">
        <f>VLOOKUP(A579,[2]Tabelle1!$A$1:$B$68,2,FALSE)</f>
        <v>Helmstedt</v>
      </c>
      <c r="D579" t="s">
        <v>3</v>
      </c>
      <c r="E579" t="s">
        <v>4</v>
      </c>
      <c r="F579" t="str">
        <f>VLOOKUP(A579,[1]Kreise!$A$1:$C$53,3,FALSE)</f>
        <v>K03154</v>
      </c>
      <c r="G579">
        <v>10</v>
      </c>
    </row>
    <row r="580" spans="1:7" x14ac:dyDescent="0.25">
      <c r="A580">
        <v>155</v>
      </c>
      <c r="B580">
        <v>2015</v>
      </c>
      <c r="C580" t="str">
        <f>VLOOKUP(A580,[2]Tabelle1!$A$1:$B$68,2,FALSE)</f>
        <v>Northeim</v>
      </c>
      <c r="D580" t="s">
        <v>3</v>
      </c>
      <c r="E580" t="s">
        <v>4</v>
      </c>
      <c r="F580" t="str">
        <f>VLOOKUP(A580,[1]Kreise!$A$1:$C$53,3,FALSE)</f>
        <v>K03155</v>
      </c>
      <c r="G580">
        <v>18</v>
      </c>
    </row>
    <row r="581" spans="1:7" x14ac:dyDescent="0.25">
      <c r="A581">
        <v>157</v>
      </c>
      <c r="B581">
        <v>2015</v>
      </c>
      <c r="C581" t="str">
        <f>VLOOKUP(A581,[2]Tabelle1!$A$1:$B$68,2,FALSE)</f>
        <v>Peine</v>
      </c>
      <c r="D581" t="s">
        <v>3</v>
      </c>
      <c r="E581" t="s">
        <v>4</v>
      </c>
      <c r="F581" t="str">
        <f>VLOOKUP(A581,[1]Kreise!$A$1:$C$53,3,FALSE)</f>
        <v>K03157</v>
      </c>
      <c r="G581">
        <v>22</v>
      </c>
    </row>
    <row r="582" spans="1:7" x14ac:dyDescent="0.25">
      <c r="A582">
        <v>158</v>
      </c>
      <c r="B582">
        <v>2015</v>
      </c>
      <c r="C582" t="str">
        <f>VLOOKUP(A582,[2]Tabelle1!$A$1:$B$68,2,FALSE)</f>
        <v>Wolfenbüttel</v>
      </c>
      <c r="D582" t="s">
        <v>3</v>
      </c>
      <c r="E582" t="s">
        <v>4</v>
      </c>
      <c r="F582" t="str">
        <f>VLOOKUP(A582,[1]Kreise!$A$1:$C$53,3,FALSE)</f>
        <v>K03158</v>
      </c>
      <c r="G582">
        <v>7</v>
      </c>
    </row>
    <row r="583" spans="1:7" x14ac:dyDescent="0.25">
      <c r="A583">
        <v>159</v>
      </c>
      <c r="B583">
        <v>2015</v>
      </c>
      <c r="C583" t="str">
        <f>VLOOKUP(A583,[2]Tabelle1!$A$1:$B$68,2,FALSE)</f>
        <v>Göttingen</v>
      </c>
      <c r="D583" t="s">
        <v>3</v>
      </c>
      <c r="E583" t="s">
        <v>4</v>
      </c>
      <c r="F583" t="str">
        <f>VLOOKUP(A583,[1]Kreise!$A$1:$C$53,3,FALSE)</f>
        <v>K03159</v>
      </c>
      <c r="G583">
        <v>36</v>
      </c>
    </row>
    <row r="584" spans="1:7" x14ac:dyDescent="0.25">
      <c r="A584">
        <v>1</v>
      </c>
      <c r="B584">
        <v>2015</v>
      </c>
      <c r="C584" t="str">
        <f>VLOOKUP(A584,[2]Tabelle1!$A$1:$B$68,2,FALSE)</f>
        <v>Statistische Region Braunschweig</v>
      </c>
      <c r="D584" t="s">
        <v>3</v>
      </c>
      <c r="E584" t="s">
        <v>4</v>
      </c>
      <c r="F584" t="str">
        <f>VLOOKUP(A584,[1]Kreise!$A$1:$C$53,3,FALSE)</f>
        <v>K031</v>
      </c>
      <c r="G584">
        <v>158</v>
      </c>
    </row>
    <row r="585" spans="1:7" x14ac:dyDescent="0.25">
      <c r="A585">
        <v>241</v>
      </c>
      <c r="B585">
        <v>2015</v>
      </c>
      <c r="C585" t="str">
        <f>VLOOKUP(A585,[2]Tabelle1!$A$1:$B$68,2,FALSE)</f>
        <v>Hannover  Region</v>
      </c>
      <c r="D585" t="s">
        <v>3</v>
      </c>
      <c r="E585" t="s">
        <v>4</v>
      </c>
      <c r="F585" t="str">
        <f>VLOOKUP(A585,[1]Kreise!$A$1:$C$53,3,FALSE)</f>
        <v>K03241</v>
      </c>
      <c r="G585">
        <v>139</v>
      </c>
    </row>
    <row r="586" spans="1:7" x14ac:dyDescent="0.25">
      <c r="A586">
        <v>241001</v>
      </c>
      <c r="B586">
        <v>2015</v>
      </c>
      <c r="C586" t="str">
        <f>VLOOKUP(A586,[2]Tabelle1!$A$1:$B$68,2,FALSE)</f>
        <v>dav. Hannover  Lhst.</v>
      </c>
      <c r="D586" t="s">
        <v>3</v>
      </c>
      <c r="E586" t="s">
        <v>4</v>
      </c>
      <c r="F586" t="str">
        <f>VLOOKUP(A586,[1]Kreise!$A$1:$C$53,3,FALSE)</f>
        <v>K03241001</v>
      </c>
      <c r="G586">
        <v>72</v>
      </c>
    </row>
    <row r="587" spans="1:7" x14ac:dyDescent="0.25">
      <c r="A587">
        <v>241999</v>
      </c>
      <c r="B587">
        <v>2015</v>
      </c>
      <c r="C587" t="str">
        <f>VLOOKUP(A587,[2]Tabelle1!$A$1:$B$68,2,FALSE)</f>
        <v>dav. Hannover  Umland</v>
      </c>
      <c r="D587" t="s">
        <v>3</v>
      </c>
      <c r="E587" t="s">
        <v>4</v>
      </c>
      <c r="F587" t="str">
        <f>VLOOKUP(A587,[1]Kreise!$A$1:$C$53,3,FALSE)</f>
        <v>K03241999</v>
      </c>
      <c r="G587">
        <v>67</v>
      </c>
    </row>
    <row r="588" spans="1:7" x14ac:dyDescent="0.25">
      <c r="A588">
        <v>251</v>
      </c>
      <c r="B588">
        <v>2015</v>
      </c>
      <c r="C588" t="str">
        <f>VLOOKUP(A588,[2]Tabelle1!$A$1:$B$68,2,FALSE)</f>
        <v>Diepholz</v>
      </c>
      <c r="D588" t="s">
        <v>3</v>
      </c>
      <c r="E588" t="s">
        <v>4</v>
      </c>
      <c r="F588" t="str">
        <f>VLOOKUP(A588,[1]Kreise!$A$1:$C$53,3,FALSE)</f>
        <v>K03251</v>
      </c>
      <c r="G588">
        <v>11</v>
      </c>
    </row>
    <row r="589" spans="1:7" x14ac:dyDescent="0.25">
      <c r="A589">
        <v>252</v>
      </c>
      <c r="B589">
        <v>2015</v>
      </c>
      <c r="C589" t="str">
        <f>VLOOKUP(A589,[2]Tabelle1!$A$1:$B$68,2,FALSE)</f>
        <v>Hameln-Pyrmont</v>
      </c>
      <c r="D589" t="s">
        <v>3</v>
      </c>
      <c r="E589" t="s">
        <v>4</v>
      </c>
      <c r="F589" t="str">
        <f>VLOOKUP(A589,[1]Kreise!$A$1:$C$53,3,FALSE)</f>
        <v>K03252</v>
      </c>
      <c r="G589">
        <v>21</v>
      </c>
    </row>
    <row r="590" spans="1:7" x14ac:dyDescent="0.25">
      <c r="A590">
        <v>254</v>
      </c>
      <c r="B590">
        <v>2015</v>
      </c>
      <c r="C590" t="str">
        <f>VLOOKUP(A590,[2]Tabelle1!$A$1:$B$68,2,FALSE)</f>
        <v>Hildesheim</v>
      </c>
      <c r="D590" t="s">
        <v>3</v>
      </c>
      <c r="E590" t="s">
        <v>4</v>
      </c>
      <c r="F590" t="str">
        <f>VLOOKUP(A590,[1]Kreise!$A$1:$C$53,3,FALSE)</f>
        <v>K03254</v>
      </c>
      <c r="G590">
        <v>25</v>
      </c>
    </row>
    <row r="591" spans="1:7" x14ac:dyDescent="0.25">
      <c r="A591">
        <v>255</v>
      </c>
      <c r="B591">
        <v>2015</v>
      </c>
      <c r="C591" t="str">
        <f>VLOOKUP(A591,[2]Tabelle1!$A$1:$B$68,2,FALSE)</f>
        <v>Holzminden</v>
      </c>
      <c r="D591" t="s">
        <v>3</v>
      </c>
      <c r="E591" t="s">
        <v>4</v>
      </c>
      <c r="F591" t="str">
        <f>VLOOKUP(A591,[1]Kreise!$A$1:$C$53,3,FALSE)</f>
        <v>K03255</v>
      </c>
      <c r="G591">
        <v>6</v>
      </c>
    </row>
    <row r="592" spans="1:7" x14ac:dyDescent="0.25">
      <c r="A592">
        <v>256</v>
      </c>
      <c r="B592">
        <v>2015</v>
      </c>
      <c r="C592" t="str">
        <f>VLOOKUP(A592,[2]Tabelle1!$A$1:$B$68,2,FALSE)</f>
        <v>Nienburg (Weser)</v>
      </c>
      <c r="D592" t="s">
        <v>3</v>
      </c>
      <c r="E592" t="s">
        <v>4</v>
      </c>
      <c r="F592" t="str">
        <f>VLOOKUP(A592,[1]Kreise!$A$1:$C$53,3,FALSE)</f>
        <v>K03256</v>
      </c>
      <c r="G592">
        <v>19</v>
      </c>
    </row>
    <row r="593" spans="1:7" x14ac:dyDescent="0.25">
      <c r="A593">
        <v>257</v>
      </c>
      <c r="B593">
        <v>2015</v>
      </c>
      <c r="C593" t="str">
        <f>VLOOKUP(A593,[2]Tabelle1!$A$1:$B$68,2,FALSE)</f>
        <v>Schaumburg</v>
      </c>
      <c r="D593" t="s">
        <v>3</v>
      </c>
      <c r="E593" t="s">
        <v>4</v>
      </c>
      <c r="F593" t="str">
        <f>VLOOKUP(A593,[1]Kreise!$A$1:$C$53,3,FALSE)</f>
        <v>K03257</v>
      </c>
      <c r="G593">
        <v>18</v>
      </c>
    </row>
    <row r="594" spans="1:7" x14ac:dyDescent="0.25">
      <c r="A594">
        <v>2</v>
      </c>
      <c r="B594">
        <v>2015</v>
      </c>
      <c r="C594" t="str">
        <f>VLOOKUP(A594,[2]Tabelle1!$A$1:$B$68,2,FALSE)</f>
        <v>Statistische Region Hannover</v>
      </c>
      <c r="D594" t="s">
        <v>3</v>
      </c>
      <c r="E594" t="s">
        <v>4</v>
      </c>
      <c r="F594" t="str">
        <f>VLOOKUP(A594,[1]Kreise!$A$1:$C$53,3,FALSE)</f>
        <v>K032</v>
      </c>
      <c r="G594">
        <v>239</v>
      </c>
    </row>
    <row r="595" spans="1:7" x14ac:dyDescent="0.25">
      <c r="A595">
        <v>351</v>
      </c>
      <c r="B595">
        <v>2015</v>
      </c>
      <c r="C595" t="str">
        <f>VLOOKUP(A595,[2]Tabelle1!$A$1:$B$68,2,FALSE)</f>
        <v>Celle</v>
      </c>
      <c r="D595" t="s">
        <v>3</v>
      </c>
      <c r="E595" t="s">
        <v>4</v>
      </c>
      <c r="F595" t="str">
        <f>VLOOKUP(A595,[1]Kreise!$A$1:$C$53,3,FALSE)</f>
        <v>K03351</v>
      </c>
      <c r="G595">
        <v>9</v>
      </c>
    </row>
    <row r="596" spans="1:7" x14ac:dyDescent="0.25">
      <c r="A596">
        <v>352</v>
      </c>
      <c r="B596">
        <v>2015</v>
      </c>
      <c r="C596" t="str">
        <f>VLOOKUP(A596,[2]Tabelle1!$A$1:$B$68,2,FALSE)</f>
        <v>Cuxhaven</v>
      </c>
      <c r="D596" t="s">
        <v>3</v>
      </c>
      <c r="E596" t="s">
        <v>4</v>
      </c>
      <c r="F596" t="str">
        <f>VLOOKUP(A596,[1]Kreise!$A$1:$C$53,3,FALSE)</f>
        <v>K03352</v>
      </c>
      <c r="G596">
        <v>17</v>
      </c>
    </row>
    <row r="597" spans="1:7" x14ac:dyDescent="0.25">
      <c r="A597">
        <v>353</v>
      </c>
      <c r="B597">
        <v>2015</v>
      </c>
      <c r="C597" t="str">
        <f>VLOOKUP(A597,[2]Tabelle1!$A$1:$B$68,2,FALSE)</f>
        <v>Harburg</v>
      </c>
      <c r="D597" t="s">
        <v>3</v>
      </c>
      <c r="E597" t="s">
        <v>4</v>
      </c>
      <c r="F597" t="str">
        <f>VLOOKUP(A597,[1]Kreise!$A$1:$C$53,3,FALSE)</f>
        <v>K03353</v>
      </c>
      <c r="G597">
        <v>7</v>
      </c>
    </row>
    <row r="598" spans="1:7" x14ac:dyDescent="0.25">
      <c r="A598">
        <v>354</v>
      </c>
      <c r="B598">
        <v>2015</v>
      </c>
      <c r="C598" t="str">
        <f>VLOOKUP(A598,[2]Tabelle1!$A$1:$B$68,2,FALSE)</f>
        <v>Lüchow-Dannenberg</v>
      </c>
      <c r="D598" t="s">
        <v>3</v>
      </c>
      <c r="E598" t="s">
        <v>4</v>
      </c>
      <c r="F598" t="str">
        <f>VLOOKUP(A598,[1]Kreise!$A$1:$C$53,3,FALSE)</f>
        <v>K03354</v>
      </c>
      <c r="G598">
        <v>2</v>
      </c>
    </row>
    <row r="599" spans="1:7" x14ac:dyDescent="0.25">
      <c r="A599">
        <v>355</v>
      </c>
      <c r="B599">
        <v>2015</v>
      </c>
      <c r="C599" t="str">
        <f>VLOOKUP(A599,[2]Tabelle1!$A$1:$B$68,2,FALSE)</f>
        <v>Lüneburg</v>
      </c>
      <c r="D599" t="s">
        <v>3</v>
      </c>
      <c r="E599" t="s">
        <v>4</v>
      </c>
      <c r="F599" t="str">
        <f>VLOOKUP(A599,[1]Kreise!$A$1:$C$53,3,FALSE)</f>
        <v>K03355</v>
      </c>
      <c r="G599">
        <v>7</v>
      </c>
    </row>
    <row r="600" spans="1:7" x14ac:dyDescent="0.25">
      <c r="A600">
        <v>356</v>
      </c>
      <c r="B600">
        <v>2015</v>
      </c>
      <c r="C600" t="str">
        <f>VLOOKUP(A600,[2]Tabelle1!$A$1:$B$68,2,FALSE)</f>
        <v>Osterholz</v>
      </c>
      <c r="D600" t="s">
        <v>3</v>
      </c>
      <c r="E600" t="s">
        <v>4</v>
      </c>
      <c r="F600" t="str">
        <f>VLOOKUP(A600,[1]Kreise!$A$1:$C$53,3,FALSE)</f>
        <v>K03356</v>
      </c>
      <c r="G600">
        <v>4</v>
      </c>
    </row>
    <row r="601" spans="1:7" x14ac:dyDescent="0.25">
      <c r="A601">
        <v>357</v>
      </c>
      <c r="B601">
        <v>2015</v>
      </c>
      <c r="C601" t="str">
        <f>VLOOKUP(A601,[2]Tabelle1!$A$1:$B$68,2,FALSE)</f>
        <v>Rotenburg (Wümme)</v>
      </c>
      <c r="D601" t="s">
        <v>3</v>
      </c>
      <c r="E601" t="s">
        <v>4</v>
      </c>
      <c r="F601" t="str">
        <f>VLOOKUP(A601,[1]Kreise!$A$1:$C$53,3,FALSE)</f>
        <v>K03357</v>
      </c>
      <c r="G601">
        <v>9</v>
      </c>
    </row>
    <row r="602" spans="1:7" x14ac:dyDescent="0.25">
      <c r="A602">
        <v>358</v>
      </c>
      <c r="B602">
        <v>2015</v>
      </c>
      <c r="C602" t="str">
        <f>VLOOKUP(A602,[2]Tabelle1!$A$1:$B$68,2,FALSE)</f>
        <v>Heidekreis</v>
      </c>
      <c r="D602" t="s">
        <v>3</v>
      </c>
      <c r="E602" t="s">
        <v>4</v>
      </c>
      <c r="F602" t="str">
        <f>VLOOKUP(A602,[1]Kreise!$A$1:$C$53,3,FALSE)</f>
        <v>K03358</v>
      </c>
      <c r="G602">
        <v>15</v>
      </c>
    </row>
    <row r="603" spans="1:7" x14ac:dyDescent="0.25">
      <c r="A603">
        <v>359</v>
      </c>
      <c r="B603">
        <v>2015</v>
      </c>
      <c r="C603" t="str">
        <f>VLOOKUP(A603,[2]Tabelle1!$A$1:$B$68,2,FALSE)</f>
        <v>Stade</v>
      </c>
      <c r="D603" t="s">
        <v>3</v>
      </c>
      <c r="E603" t="s">
        <v>4</v>
      </c>
      <c r="F603" t="str">
        <f>VLOOKUP(A603,[1]Kreise!$A$1:$C$53,3,FALSE)</f>
        <v>K03359</v>
      </c>
      <c r="G603">
        <v>28</v>
      </c>
    </row>
    <row r="604" spans="1:7" x14ac:dyDescent="0.25">
      <c r="A604">
        <v>360</v>
      </c>
      <c r="B604">
        <v>2015</v>
      </c>
      <c r="C604" t="str">
        <f>VLOOKUP(A604,[2]Tabelle1!$A$1:$B$68,2,FALSE)</f>
        <v>Uelzen</v>
      </c>
      <c r="D604" t="s">
        <v>3</v>
      </c>
      <c r="E604" t="s">
        <v>4</v>
      </c>
      <c r="F604" t="str">
        <f>VLOOKUP(A604,[1]Kreise!$A$1:$C$53,3,FALSE)</f>
        <v>K03360</v>
      </c>
      <c r="G604">
        <v>5</v>
      </c>
    </row>
    <row r="605" spans="1:7" x14ac:dyDescent="0.25">
      <c r="A605">
        <v>361</v>
      </c>
      <c r="B605">
        <v>2015</v>
      </c>
      <c r="C605" t="str">
        <f>VLOOKUP(A605,[2]Tabelle1!$A$1:$B$68,2,FALSE)</f>
        <v>Verden</v>
      </c>
      <c r="D605" t="s">
        <v>3</v>
      </c>
      <c r="E605" t="s">
        <v>4</v>
      </c>
      <c r="F605" t="str">
        <f>VLOOKUP(A605,[1]Kreise!$A$1:$C$53,3,FALSE)</f>
        <v>K03361</v>
      </c>
      <c r="G605">
        <v>21</v>
      </c>
    </row>
    <row r="606" spans="1:7" x14ac:dyDescent="0.25">
      <c r="A606">
        <v>3</v>
      </c>
      <c r="B606">
        <v>2015</v>
      </c>
      <c r="C606" t="str">
        <f>VLOOKUP(A606,[2]Tabelle1!$A$1:$B$68,2,FALSE)</f>
        <v>Statistische Region Lüneburg</v>
      </c>
      <c r="D606" t="s">
        <v>3</v>
      </c>
      <c r="E606" t="s">
        <v>4</v>
      </c>
      <c r="F606" t="str">
        <f>VLOOKUP(A606,[1]Kreise!$A$1:$C$53,3,FALSE)</f>
        <v>K033</v>
      </c>
      <c r="G606">
        <v>124</v>
      </c>
    </row>
    <row r="607" spans="1:7" x14ac:dyDescent="0.25">
      <c r="A607">
        <v>401</v>
      </c>
      <c r="B607">
        <v>2015</v>
      </c>
      <c r="C607" t="str">
        <f>VLOOKUP(A607,[2]Tabelle1!$A$1:$B$68,2,FALSE)</f>
        <v>Delmenhorst  Stadt</v>
      </c>
      <c r="D607" t="s">
        <v>3</v>
      </c>
      <c r="E607" t="s">
        <v>4</v>
      </c>
      <c r="F607" t="str">
        <f>VLOOKUP(A607,[1]Kreise!$A$1:$C$53,3,FALSE)</f>
        <v>K03401</v>
      </c>
      <c r="G607">
        <v>28</v>
      </c>
    </row>
    <row r="608" spans="1:7" x14ac:dyDescent="0.25">
      <c r="A608">
        <v>402</v>
      </c>
      <c r="B608">
        <v>2015</v>
      </c>
      <c r="C608" t="str">
        <f>VLOOKUP(A608,[2]Tabelle1!$A$1:$B$68,2,FALSE)</f>
        <v>Emden  Stadt</v>
      </c>
      <c r="D608" t="s">
        <v>3</v>
      </c>
      <c r="E608" t="s">
        <v>4</v>
      </c>
      <c r="F608" t="str">
        <f>VLOOKUP(A608,[1]Kreise!$A$1:$C$53,3,FALSE)</f>
        <v>K03402</v>
      </c>
      <c r="G608">
        <v>9</v>
      </c>
    </row>
    <row r="609" spans="1:7" x14ac:dyDescent="0.25">
      <c r="A609">
        <v>403</v>
      </c>
      <c r="B609">
        <v>2015</v>
      </c>
      <c r="C609" t="str">
        <f>VLOOKUP(A609,[2]Tabelle1!$A$1:$B$68,2,FALSE)</f>
        <v>Oldenburg(Oldb)  Stadt</v>
      </c>
      <c r="D609" t="s">
        <v>3</v>
      </c>
      <c r="E609" t="s">
        <v>4</v>
      </c>
      <c r="F609" t="str">
        <f>VLOOKUP(A609,[1]Kreise!$A$1:$C$53,3,FALSE)</f>
        <v>K03403</v>
      </c>
      <c r="G609">
        <v>15</v>
      </c>
    </row>
    <row r="610" spans="1:7" x14ac:dyDescent="0.25">
      <c r="A610">
        <v>404</v>
      </c>
      <c r="B610">
        <v>2015</v>
      </c>
      <c r="C610" t="str">
        <f>VLOOKUP(A610,[2]Tabelle1!$A$1:$B$68,2,FALSE)</f>
        <v>Osnabrück  Stadt</v>
      </c>
      <c r="D610" t="s">
        <v>3</v>
      </c>
      <c r="E610" t="s">
        <v>4</v>
      </c>
      <c r="F610" t="str">
        <f>VLOOKUP(A610,[1]Kreise!$A$1:$C$53,3,FALSE)</f>
        <v>K03404</v>
      </c>
      <c r="G610">
        <v>21</v>
      </c>
    </row>
    <row r="611" spans="1:7" x14ac:dyDescent="0.25">
      <c r="A611">
        <v>405</v>
      </c>
      <c r="B611">
        <v>2015</v>
      </c>
      <c r="C611" t="str">
        <f>VLOOKUP(A611,[2]Tabelle1!$A$1:$B$68,2,FALSE)</f>
        <v>Wilhelmshaven  Stadt</v>
      </c>
      <c r="D611" t="s">
        <v>3</v>
      </c>
      <c r="E611" t="s">
        <v>4</v>
      </c>
      <c r="F611" t="str">
        <f>VLOOKUP(A611,[1]Kreise!$A$1:$C$53,3,FALSE)</f>
        <v>K03405</v>
      </c>
      <c r="G611">
        <v>2</v>
      </c>
    </row>
    <row r="612" spans="1:7" x14ac:dyDescent="0.25">
      <c r="A612">
        <v>451</v>
      </c>
      <c r="B612">
        <v>2015</v>
      </c>
      <c r="C612" t="str">
        <f>VLOOKUP(A612,[2]Tabelle1!$A$1:$B$68,2,FALSE)</f>
        <v>Ammerland</v>
      </c>
      <c r="D612" t="s">
        <v>3</v>
      </c>
      <c r="E612" t="s">
        <v>4</v>
      </c>
      <c r="F612" t="str">
        <f>VLOOKUP(A612,[1]Kreise!$A$1:$C$53,3,FALSE)</f>
        <v>K03451</v>
      </c>
      <c r="G612">
        <v>2</v>
      </c>
    </row>
    <row r="613" spans="1:7" x14ac:dyDescent="0.25">
      <c r="A613">
        <v>452</v>
      </c>
      <c r="B613">
        <v>2015</v>
      </c>
      <c r="C613" t="str">
        <f>VLOOKUP(A613,[2]Tabelle1!$A$1:$B$68,2,FALSE)</f>
        <v>Aurich</v>
      </c>
      <c r="D613" t="s">
        <v>3</v>
      </c>
      <c r="E613" t="s">
        <v>4</v>
      </c>
      <c r="F613" t="str">
        <f>VLOOKUP(A613,[1]Kreise!$A$1:$C$53,3,FALSE)</f>
        <v>K03452</v>
      </c>
      <c r="G613">
        <v>7</v>
      </c>
    </row>
    <row r="614" spans="1:7" x14ac:dyDescent="0.25">
      <c r="A614">
        <v>453</v>
      </c>
      <c r="B614">
        <v>2015</v>
      </c>
      <c r="C614" t="str">
        <f>VLOOKUP(A614,[2]Tabelle1!$A$1:$B$68,2,FALSE)</f>
        <v>Cloppenburg</v>
      </c>
      <c r="D614" t="s">
        <v>3</v>
      </c>
      <c r="E614" t="s">
        <v>4</v>
      </c>
      <c r="F614" t="str">
        <f>VLOOKUP(A614,[1]Kreise!$A$1:$C$53,3,FALSE)</f>
        <v>K03453</v>
      </c>
      <c r="G614">
        <v>7</v>
      </c>
    </row>
    <row r="615" spans="1:7" x14ac:dyDescent="0.25">
      <c r="A615">
        <v>454</v>
      </c>
      <c r="B615">
        <v>2015</v>
      </c>
      <c r="C615" t="str">
        <f>VLOOKUP(A615,[2]Tabelle1!$A$1:$B$68,2,FALSE)</f>
        <v>Emsland</v>
      </c>
      <c r="D615" t="s">
        <v>3</v>
      </c>
      <c r="E615" t="s">
        <v>4</v>
      </c>
      <c r="F615" t="str">
        <f>VLOOKUP(A615,[1]Kreise!$A$1:$C$53,3,FALSE)</f>
        <v>K03454</v>
      </c>
      <c r="G615">
        <v>35</v>
      </c>
    </row>
    <row r="616" spans="1:7" x14ac:dyDescent="0.25">
      <c r="A616">
        <v>455</v>
      </c>
      <c r="B616">
        <v>2015</v>
      </c>
      <c r="C616" t="str">
        <f>VLOOKUP(A616,[2]Tabelle1!$A$1:$B$68,2,FALSE)</f>
        <v>Friesland</v>
      </c>
      <c r="D616" t="s">
        <v>3</v>
      </c>
      <c r="E616" t="s">
        <v>4</v>
      </c>
      <c r="F616" t="str">
        <f>VLOOKUP(A616,[1]Kreise!$A$1:$C$53,3,FALSE)</f>
        <v>K03455</v>
      </c>
      <c r="G616">
        <v>10</v>
      </c>
    </row>
    <row r="617" spans="1:7" x14ac:dyDescent="0.25">
      <c r="A617">
        <v>456</v>
      </c>
      <c r="B617">
        <v>2015</v>
      </c>
      <c r="C617" t="str">
        <f>VLOOKUP(A617,[2]Tabelle1!$A$1:$B$68,2,FALSE)</f>
        <v>Grafschaft Bentheim</v>
      </c>
      <c r="D617" t="s">
        <v>3</v>
      </c>
      <c r="E617" t="s">
        <v>4</v>
      </c>
      <c r="F617" t="str">
        <f>VLOOKUP(A617,[1]Kreise!$A$1:$C$53,3,FALSE)</f>
        <v>K03456</v>
      </c>
      <c r="G617">
        <v>31</v>
      </c>
    </row>
    <row r="618" spans="1:7" x14ac:dyDescent="0.25">
      <c r="A618">
        <v>457</v>
      </c>
      <c r="B618">
        <v>2015</v>
      </c>
      <c r="C618" t="str">
        <f>VLOOKUP(A618,[2]Tabelle1!$A$1:$B$68,2,FALSE)</f>
        <v>Leer</v>
      </c>
      <c r="D618" t="s">
        <v>3</v>
      </c>
      <c r="E618" t="s">
        <v>4</v>
      </c>
      <c r="F618" t="str">
        <f>VLOOKUP(A618,[1]Kreise!$A$1:$C$53,3,FALSE)</f>
        <v>K03457</v>
      </c>
      <c r="G618">
        <v>17</v>
      </c>
    </row>
    <row r="619" spans="1:7" x14ac:dyDescent="0.25">
      <c r="A619">
        <v>458</v>
      </c>
      <c r="B619">
        <v>2015</v>
      </c>
      <c r="C619" t="str">
        <f>VLOOKUP(A619,[2]Tabelle1!$A$1:$B$68,2,FALSE)</f>
        <v>Oldenburg</v>
      </c>
      <c r="D619" t="s">
        <v>3</v>
      </c>
      <c r="E619" t="s">
        <v>4</v>
      </c>
      <c r="F619" t="str">
        <f>VLOOKUP(A619,[1]Kreise!$A$1:$C$53,3,FALSE)</f>
        <v>K03458</v>
      </c>
      <c r="G619">
        <v>8</v>
      </c>
    </row>
    <row r="620" spans="1:7" x14ac:dyDescent="0.25">
      <c r="A620">
        <v>459</v>
      </c>
      <c r="B620">
        <v>2015</v>
      </c>
      <c r="C620" t="str">
        <f>VLOOKUP(A620,[2]Tabelle1!$A$1:$B$68,2,FALSE)</f>
        <v>Osnabrück</v>
      </c>
      <c r="D620" t="s">
        <v>3</v>
      </c>
      <c r="E620" t="s">
        <v>4</v>
      </c>
      <c r="F620" t="str">
        <f>VLOOKUP(A620,[1]Kreise!$A$1:$C$53,3,FALSE)</f>
        <v>K03459</v>
      </c>
      <c r="G620">
        <v>52</v>
      </c>
    </row>
    <row r="621" spans="1:7" x14ac:dyDescent="0.25">
      <c r="A621">
        <v>460</v>
      </c>
      <c r="B621">
        <v>2015</v>
      </c>
      <c r="C621" t="str">
        <f>VLOOKUP(A621,[2]Tabelle1!$A$1:$B$68,2,FALSE)</f>
        <v>Vechta</v>
      </c>
      <c r="D621" t="s">
        <v>3</v>
      </c>
      <c r="E621" t="s">
        <v>4</v>
      </c>
      <c r="F621" t="str">
        <f>VLOOKUP(A621,[1]Kreise!$A$1:$C$53,3,FALSE)</f>
        <v>K03460</v>
      </c>
      <c r="G621">
        <v>24</v>
      </c>
    </row>
    <row r="622" spans="1:7" x14ac:dyDescent="0.25">
      <c r="A622">
        <v>461</v>
      </c>
      <c r="B622">
        <v>2015</v>
      </c>
      <c r="C622" t="str">
        <f>VLOOKUP(A622,[2]Tabelle1!$A$1:$B$68,2,FALSE)</f>
        <v>Wesermarsch</v>
      </c>
      <c r="D622" t="s">
        <v>3</v>
      </c>
      <c r="E622" t="s">
        <v>4</v>
      </c>
      <c r="F622" t="str">
        <f>VLOOKUP(A622,[1]Kreise!$A$1:$C$53,3,FALSE)</f>
        <v>K03461</v>
      </c>
      <c r="G622">
        <v>8</v>
      </c>
    </row>
    <row r="623" spans="1:7" x14ac:dyDescent="0.25">
      <c r="A623">
        <v>462</v>
      </c>
      <c r="B623">
        <v>2015</v>
      </c>
      <c r="C623" t="str">
        <f>VLOOKUP(A623,[2]Tabelle1!$A$1:$B$68,2,FALSE)</f>
        <v>Wittmund</v>
      </c>
      <c r="D623" t="s">
        <v>3</v>
      </c>
      <c r="E623" t="s">
        <v>4</v>
      </c>
      <c r="F623" t="str">
        <f>VLOOKUP(A623,[1]Kreise!$A$1:$C$53,3,FALSE)</f>
        <v>K03462</v>
      </c>
      <c r="G623">
        <v>6</v>
      </c>
    </row>
    <row r="624" spans="1:7" x14ac:dyDescent="0.25">
      <c r="A624">
        <v>4</v>
      </c>
      <c r="B624">
        <v>2015</v>
      </c>
      <c r="C624" t="str">
        <f>VLOOKUP(A624,[2]Tabelle1!$A$1:$B$68,2,FALSE)</f>
        <v>Statistische Region Weser-Ems</v>
      </c>
      <c r="D624" t="s">
        <v>3</v>
      </c>
      <c r="E624" t="s">
        <v>4</v>
      </c>
      <c r="F624" t="str">
        <f>VLOOKUP(A624,[1]Kreise!$A$1:$C$53,3,FALSE)</f>
        <v>K034</v>
      </c>
      <c r="G624">
        <v>282</v>
      </c>
    </row>
    <row r="625" spans="1:7" x14ac:dyDescent="0.25">
      <c r="A625">
        <v>0</v>
      </c>
      <c r="B625">
        <v>2015</v>
      </c>
      <c r="C625" t="str">
        <f>VLOOKUP(A625,[2]Tabelle1!$A$1:$B$68,2,FALSE)</f>
        <v>Niedersachsen</v>
      </c>
      <c r="D625" t="s">
        <v>3</v>
      </c>
      <c r="E625" t="s">
        <v>4</v>
      </c>
      <c r="F625" t="str">
        <f>VLOOKUP(A625,[1]Kreise!$A$1:$C$53,3,FALSE)</f>
        <v>K030</v>
      </c>
      <c r="G625">
        <v>803</v>
      </c>
    </row>
    <row r="626" spans="1:7" x14ac:dyDescent="0.25">
      <c r="A626">
        <v>101</v>
      </c>
      <c r="B626">
        <v>2016</v>
      </c>
      <c r="C626" t="str">
        <f>VLOOKUP(A626,[2]Tabelle1!$A$1:$B$68,2,FALSE)</f>
        <v>Braunschweig  Stadt</v>
      </c>
      <c r="D626" t="s">
        <v>2</v>
      </c>
      <c r="E626" t="s">
        <v>4</v>
      </c>
      <c r="F626" t="str">
        <f>VLOOKUP(A626,[1]Kreise!$A$1:$C$53,3,FALSE)</f>
        <v>K03101</v>
      </c>
      <c r="G626">
        <v>120</v>
      </c>
    </row>
    <row r="627" spans="1:7" x14ac:dyDescent="0.25">
      <c r="A627">
        <v>102</v>
      </c>
      <c r="B627">
        <v>2016</v>
      </c>
      <c r="C627" t="str">
        <f>VLOOKUP(A627,[2]Tabelle1!$A$1:$B$68,2,FALSE)</f>
        <v>Salzgitter  Stadt</v>
      </c>
      <c r="D627" t="s">
        <v>2</v>
      </c>
      <c r="E627" t="s">
        <v>4</v>
      </c>
      <c r="F627" t="str">
        <f>VLOOKUP(A627,[1]Kreise!$A$1:$C$53,3,FALSE)</f>
        <v>K03102</v>
      </c>
      <c r="G627">
        <v>33</v>
      </c>
    </row>
    <row r="628" spans="1:7" x14ac:dyDescent="0.25">
      <c r="A628">
        <v>103</v>
      </c>
      <c r="B628">
        <v>2016</v>
      </c>
      <c r="C628" t="str">
        <f>VLOOKUP(A628,[2]Tabelle1!$A$1:$B$68,2,FALSE)</f>
        <v>Wolfsburg  Stadt</v>
      </c>
      <c r="D628" t="s">
        <v>2</v>
      </c>
      <c r="E628" t="s">
        <v>4</v>
      </c>
      <c r="F628" t="str">
        <f>VLOOKUP(A628,[1]Kreise!$A$1:$C$53,3,FALSE)</f>
        <v>K03103</v>
      </c>
      <c r="G628">
        <v>37</v>
      </c>
    </row>
    <row r="629" spans="1:7" x14ac:dyDescent="0.25">
      <c r="A629">
        <v>151</v>
      </c>
      <c r="B629">
        <v>2016</v>
      </c>
      <c r="C629" t="str">
        <f>VLOOKUP(A629,[2]Tabelle1!$A$1:$B$68,2,FALSE)</f>
        <v>Gifhorn</v>
      </c>
      <c r="D629" t="s">
        <v>2</v>
      </c>
      <c r="E629" t="s">
        <v>4</v>
      </c>
      <c r="F629" t="str">
        <f>VLOOKUP(A629,[1]Kreise!$A$1:$C$53,3,FALSE)</f>
        <v>K03151</v>
      </c>
      <c r="G629">
        <v>73</v>
      </c>
    </row>
    <row r="630" spans="1:7" x14ac:dyDescent="0.25">
      <c r="A630">
        <v>153</v>
      </c>
      <c r="B630">
        <v>2016</v>
      </c>
      <c r="C630" t="str">
        <f>VLOOKUP(A630,[2]Tabelle1!$A$1:$B$68,2,FALSE)</f>
        <v>Goslar</v>
      </c>
      <c r="D630" t="s">
        <v>2</v>
      </c>
      <c r="E630" t="s">
        <v>4</v>
      </c>
      <c r="F630" t="str">
        <f>VLOOKUP(A630,[1]Kreise!$A$1:$C$53,3,FALSE)</f>
        <v>K03153</v>
      </c>
      <c r="G630">
        <v>59</v>
      </c>
    </row>
    <row r="631" spans="1:7" x14ac:dyDescent="0.25">
      <c r="A631">
        <v>154</v>
      </c>
      <c r="B631">
        <v>2016</v>
      </c>
      <c r="C631" t="str">
        <f>VLOOKUP(A631,[2]Tabelle1!$A$1:$B$68,2,FALSE)</f>
        <v>Helmstedt</v>
      </c>
      <c r="D631" t="s">
        <v>2</v>
      </c>
      <c r="E631" t="s">
        <v>4</v>
      </c>
      <c r="F631" t="str">
        <f>VLOOKUP(A631,[1]Kreise!$A$1:$C$53,3,FALSE)</f>
        <v>K03154</v>
      </c>
      <c r="G631">
        <v>40</v>
      </c>
    </row>
    <row r="632" spans="1:7" x14ac:dyDescent="0.25">
      <c r="A632">
        <v>155</v>
      </c>
      <c r="B632">
        <v>2016</v>
      </c>
      <c r="C632" t="str">
        <f>VLOOKUP(A632,[2]Tabelle1!$A$1:$B$68,2,FALSE)</f>
        <v>Northeim</v>
      </c>
      <c r="D632" t="s">
        <v>2</v>
      </c>
      <c r="E632" t="s">
        <v>4</v>
      </c>
      <c r="F632" t="str">
        <f>VLOOKUP(A632,[1]Kreise!$A$1:$C$53,3,FALSE)</f>
        <v>K03155</v>
      </c>
      <c r="G632">
        <v>45</v>
      </c>
    </row>
    <row r="633" spans="1:7" x14ac:dyDescent="0.25">
      <c r="A633">
        <v>157</v>
      </c>
      <c r="B633">
        <v>2016</v>
      </c>
      <c r="C633" t="str">
        <f>VLOOKUP(A633,[2]Tabelle1!$A$1:$B$68,2,FALSE)</f>
        <v>Peine</v>
      </c>
      <c r="D633" t="s">
        <v>2</v>
      </c>
      <c r="E633" t="s">
        <v>4</v>
      </c>
      <c r="F633" t="str">
        <f>VLOOKUP(A633,[1]Kreise!$A$1:$C$53,3,FALSE)</f>
        <v>K03157</v>
      </c>
      <c r="G633">
        <v>40</v>
      </c>
    </row>
    <row r="634" spans="1:7" x14ac:dyDescent="0.25">
      <c r="A634">
        <v>158</v>
      </c>
      <c r="B634">
        <v>2016</v>
      </c>
      <c r="C634" t="str">
        <f>VLOOKUP(A634,[2]Tabelle1!$A$1:$B$68,2,FALSE)</f>
        <v>Wolfenbüttel</v>
      </c>
      <c r="D634" t="s">
        <v>2</v>
      </c>
      <c r="E634" t="s">
        <v>4</v>
      </c>
      <c r="F634" t="str">
        <f>VLOOKUP(A634,[1]Kreise!$A$1:$C$53,3,FALSE)</f>
        <v>K03158</v>
      </c>
      <c r="G634">
        <v>34</v>
      </c>
    </row>
    <row r="635" spans="1:7" x14ac:dyDescent="0.25">
      <c r="A635">
        <v>159</v>
      </c>
      <c r="B635">
        <v>2016</v>
      </c>
      <c r="C635" t="str">
        <f>VLOOKUP(A635,[2]Tabelle1!$A$1:$B$68,2,FALSE)</f>
        <v>Göttingen</v>
      </c>
      <c r="D635" t="s">
        <v>2</v>
      </c>
      <c r="E635" t="s">
        <v>4</v>
      </c>
      <c r="F635" t="str">
        <f>VLOOKUP(A635,[1]Kreise!$A$1:$C$53,3,FALSE)</f>
        <v>K03159</v>
      </c>
      <c r="G635">
        <v>100</v>
      </c>
    </row>
    <row r="636" spans="1:7" x14ac:dyDescent="0.25">
      <c r="A636">
        <v>1</v>
      </c>
      <c r="B636">
        <v>2016</v>
      </c>
      <c r="C636" t="str">
        <f>VLOOKUP(A636,[2]Tabelle1!$A$1:$B$68,2,FALSE)</f>
        <v>Statistische Region Braunschweig</v>
      </c>
      <c r="D636" t="s">
        <v>2</v>
      </c>
      <c r="E636" t="s">
        <v>4</v>
      </c>
      <c r="F636" t="str">
        <f>VLOOKUP(A636,[1]Kreise!$A$1:$C$53,3,FALSE)</f>
        <v>K031</v>
      </c>
      <c r="G636">
        <v>581</v>
      </c>
    </row>
    <row r="637" spans="1:7" x14ac:dyDescent="0.25">
      <c r="A637">
        <v>241</v>
      </c>
      <c r="B637">
        <v>2016</v>
      </c>
      <c r="C637" t="str">
        <f>VLOOKUP(A637,[2]Tabelle1!$A$1:$B$68,2,FALSE)</f>
        <v>Hannover  Region</v>
      </c>
      <c r="D637" t="s">
        <v>2</v>
      </c>
      <c r="E637" t="s">
        <v>4</v>
      </c>
      <c r="F637" t="str">
        <f>VLOOKUP(A637,[1]Kreise!$A$1:$C$53,3,FALSE)</f>
        <v>K03241</v>
      </c>
      <c r="G637">
        <v>374</v>
      </c>
    </row>
    <row r="638" spans="1:7" x14ac:dyDescent="0.25">
      <c r="A638">
        <v>241001</v>
      </c>
      <c r="B638">
        <v>2016</v>
      </c>
      <c r="C638" t="str">
        <f>VLOOKUP(A638,[2]Tabelle1!$A$1:$B$68,2,FALSE)</f>
        <v>dav. Hannover  Lhst.</v>
      </c>
      <c r="D638" t="s">
        <v>2</v>
      </c>
      <c r="E638" t="s">
        <v>4</v>
      </c>
      <c r="F638" t="str">
        <f>VLOOKUP(A638,[1]Kreise!$A$1:$C$53,3,FALSE)</f>
        <v>K03241001</v>
      </c>
      <c r="G638">
        <v>163</v>
      </c>
    </row>
    <row r="639" spans="1:7" x14ac:dyDescent="0.25">
      <c r="A639">
        <v>241999</v>
      </c>
      <c r="B639">
        <v>2016</v>
      </c>
      <c r="C639" t="str">
        <f>VLOOKUP(A639,[2]Tabelle1!$A$1:$B$68,2,FALSE)</f>
        <v>dav. Hannover  Umland</v>
      </c>
      <c r="D639" t="s">
        <v>2</v>
      </c>
      <c r="E639" t="s">
        <v>4</v>
      </c>
      <c r="F639" t="str">
        <f>VLOOKUP(A639,[1]Kreise!$A$1:$C$53,3,FALSE)</f>
        <v>K03241999</v>
      </c>
      <c r="G639">
        <v>211</v>
      </c>
    </row>
    <row r="640" spans="1:7" x14ac:dyDescent="0.25">
      <c r="A640">
        <v>251</v>
      </c>
      <c r="B640">
        <v>2016</v>
      </c>
      <c r="C640" t="str">
        <f>VLOOKUP(A640,[2]Tabelle1!$A$1:$B$68,2,FALSE)</f>
        <v>Diepholz</v>
      </c>
      <c r="D640" t="s">
        <v>2</v>
      </c>
      <c r="E640" t="s">
        <v>4</v>
      </c>
      <c r="F640" t="str">
        <f>VLOOKUP(A640,[1]Kreise!$A$1:$C$53,3,FALSE)</f>
        <v>K03251</v>
      </c>
      <c r="G640">
        <v>68</v>
      </c>
    </row>
    <row r="641" spans="1:7" x14ac:dyDescent="0.25">
      <c r="A641">
        <v>252</v>
      </c>
      <c r="B641">
        <v>2016</v>
      </c>
      <c r="C641" t="str">
        <f>VLOOKUP(A641,[2]Tabelle1!$A$1:$B$68,2,FALSE)</f>
        <v>Hameln-Pyrmont</v>
      </c>
      <c r="D641" t="s">
        <v>2</v>
      </c>
      <c r="E641" t="s">
        <v>4</v>
      </c>
      <c r="F641" t="str">
        <f>VLOOKUP(A641,[1]Kreise!$A$1:$C$53,3,FALSE)</f>
        <v>K03252</v>
      </c>
      <c r="G641">
        <v>45</v>
      </c>
    </row>
    <row r="642" spans="1:7" x14ac:dyDescent="0.25">
      <c r="A642">
        <v>254</v>
      </c>
      <c r="B642">
        <v>2016</v>
      </c>
      <c r="C642" t="str">
        <f>VLOOKUP(A642,[2]Tabelle1!$A$1:$B$68,2,FALSE)</f>
        <v>Hildesheim</v>
      </c>
      <c r="D642" t="s">
        <v>2</v>
      </c>
      <c r="E642" t="s">
        <v>4</v>
      </c>
      <c r="F642" t="str">
        <f>VLOOKUP(A642,[1]Kreise!$A$1:$C$53,3,FALSE)</f>
        <v>K03254</v>
      </c>
      <c r="G642">
        <v>147</v>
      </c>
    </row>
    <row r="643" spans="1:7" x14ac:dyDescent="0.25">
      <c r="A643">
        <v>255</v>
      </c>
      <c r="B643">
        <v>2016</v>
      </c>
      <c r="C643" t="str">
        <f>VLOOKUP(A643,[2]Tabelle1!$A$1:$B$68,2,FALSE)</f>
        <v>Holzminden</v>
      </c>
      <c r="D643" t="s">
        <v>2</v>
      </c>
      <c r="E643" t="s">
        <v>4</v>
      </c>
      <c r="F643" t="str">
        <f>VLOOKUP(A643,[1]Kreise!$A$1:$C$53,3,FALSE)</f>
        <v>K03255</v>
      </c>
      <c r="G643">
        <v>21</v>
      </c>
    </row>
    <row r="644" spans="1:7" x14ac:dyDescent="0.25">
      <c r="A644">
        <v>256</v>
      </c>
      <c r="B644">
        <v>2016</v>
      </c>
      <c r="C644" t="str">
        <f>VLOOKUP(A644,[2]Tabelle1!$A$1:$B$68,2,FALSE)</f>
        <v>Nienburg (Weser)</v>
      </c>
      <c r="D644" t="s">
        <v>2</v>
      </c>
      <c r="E644" t="s">
        <v>4</v>
      </c>
      <c r="F644" t="str">
        <f>VLOOKUP(A644,[1]Kreise!$A$1:$C$53,3,FALSE)</f>
        <v>K03256</v>
      </c>
      <c r="G644">
        <v>46</v>
      </c>
    </row>
    <row r="645" spans="1:7" x14ac:dyDescent="0.25">
      <c r="A645">
        <v>257</v>
      </c>
      <c r="B645">
        <v>2016</v>
      </c>
      <c r="C645" t="str">
        <f>VLOOKUP(A645,[2]Tabelle1!$A$1:$B$68,2,FALSE)</f>
        <v>Schaumburg</v>
      </c>
      <c r="D645" t="s">
        <v>2</v>
      </c>
      <c r="E645" t="s">
        <v>4</v>
      </c>
      <c r="F645" t="str">
        <f>VLOOKUP(A645,[1]Kreise!$A$1:$C$53,3,FALSE)</f>
        <v>K03257</v>
      </c>
      <c r="G645">
        <v>57</v>
      </c>
    </row>
    <row r="646" spans="1:7" x14ac:dyDescent="0.25">
      <c r="A646">
        <v>2</v>
      </c>
      <c r="B646">
        <v>2016</v>
      </c>
      <c r="C646" t="str">
        <f>VLOOKUP(A646,[2]Tabelle1!$A$1:$B$68,2,FALSE)</f>
        <v>Statistische Region Hannover</v>
      </c>
      <c r="D646" t="s">
        <v>2</v>
      </c>
      <c r="E646" t="s">
        <v>4</v>
      </c>
      <c r="F646" t="str">
        <f>VLOOKUP(A646,[1]Kreise!$A$1:$C$53,3,FALSE)</f>
        <v>K032</v>
      </c>
      <c r="G646">
        <v>758</v>
      </c>
    </row>
    <row r="647" spans="1:7" x14ac:dyDescent="0.25">
      <c r="A647">
        <v>351</v>
      </c>
      <c r="B647">
        <v>2016</v>
      </c>
      <c r="C647" t="str">
        <f>VLOOKUP(A647,[2]Tabelle1!$A$1:$B$68,2,FALSE)</f>
        <v>Celle</v>
      </c>
      <c r="D647" t="s">
        <v>2</v>
      </c>
      <c r="E647" t="s">
        <v>4</v>
      </c>
      <c r="F647" t="str">
        <f>VLOOKUP(A647,[1]Kreise!$A$1:$C$53,3,FALSE)</f>
        <v>K03351</v>
      </c>
      <c r="G647">
        <v>74</v>
      </c>
    </row>
    <row r="648" spans="1:7" x14ac:dyDescent="0.25">
      <c r="A648">
        <v>352</v>
      </c>
      <c r="B648">
        <v>2016</v>
      </c>
      <c r="C648" t="str">
        <f>VLOOKUP(A648,[2]Tabelle1!$A$1:$B$68,2,FALSE)</f>
        <v>Cuxhaven</v>
      </c>
      <c r="D648" t="s">
        <v>2</v>
      </c>
      <c r="E648" t="s">
        <v>4</v>
      </c>
      <c r="F648" t="str">
        <f>VLOOKUP(A648,[1]Kreise!$A$1:$C$53,3,FALSE)</f>
        <v>K03352</v>
      </c>
      <c r="G648">
        <v>115</v>
      </c>
    </row>
    <row r="649" spans="1:7" x14ac:dyDescent="0.25">
      <c r="A649">
        <v>353</v>
      </c>
      <c r="B649">
        <v>2016</v>
      </c>
      <c r="C649" t="str">
        <f>VLOOKUP(A649,[2]Tabelle1!$A$1:$B$68,2,FALSE)</f>
        <v>Harburg</v>
      </c>
      <c r="D649" t="s">
        <v>2</v>
      </c>
      <c r="E649" t="s">
        <v>4</v>
      </c>
      <c r="F649" t="str">
        <f>VLOOKUP(A649,[1]Kreise!$A$1:$C$53,3,FALSE)</f>
        <v>K03353</v>
      </c>
      <c r="G649">
        <v>60</v>
      </c>
    </row>
    <row r="650" spans="1:7" x14ac:dyDescent="0.25">
      <c r="A650">
        <v>354</v>
      </c>
      <c r="B650">
        <v>2016</v>
      </c>
      <c r="C650" t="str">
        <f>VLOOKUP(A650,[2]Tabelle1!$A$1:$B$68,2,FALSE)</f>
        <v>Lüchow-Dannenberg</v>
      </c>
      <c r="D650" t="s">
        <v>2</v>
      </c>
      <c r="E650" t="s">
        <v>4</v>
      </c>
      <c r="F650" t="str">
        <f>VLOOKUP(A650,[1]Kreise!$A$1:$C$53,3,FALSE)</f>
        <v>K03354</v>
      </c>
      <c r="G650">
        <v>25</v>
      </c>
    </row>
    <row r="651" spans="1:7" x14ac:dyDescent="0.25">
      <c r="A651">
        <v>355</v>
      </c>
      <c r="B651">
        <v>2016</v>
      </c>
      <c r="C651" t="str">
        <f>VLOOKUP(A651,[2]Tabelle1!$A$1:$B$68,2,FALSE)</f>
        <v>Lüneburg</v>
      </c>
      <c r="D651" t="s">
        <v>2</v>
      </c>
      <c r="E651" t="s">
        <v>4</v>
      </c>
      <c r="F651" t="str">
        <f>VLOOKUP(A651,[1]Kreise!$A$1:$C$53,3,FALSE)</f>
        <v>K03355</v>
      </c>
      <c r="G651">
        <v>64</v>
      </c>
    </row>
    <row r="652" spans="1:7" x14ac:dyDescent="0.25">
      <c r="A652">
        <v>356</v>
      </c>
      <c r="B652">
        <v>2016</v>
      </c>
      <c r="C652" t="str">
        <f>VLOOKUP(A652,[2]Tabelle1!$A$1:$B$68,2,FALSE)</f>
        <v>Osterholz</v>
      </c>
      <c r="D652" t="s">
        <v>2</v>
      </c>
      <c r="E652" t="s">
        <v>4</v>
      </c>
      <c r="F652" t="str">
        <f>VLOOKUP(A652,[1]Kreise!$A$1:$C$53,3,FALSE)</f>
        <v>K03356</v>
      </c>
      <c r="G652">
        <v>29</v>
      </c>
    </row>
    <row r="653" spans="1:7" x14ac:dyDescent="0.25">
      <c r="A653">
        <v>357</v>
      </c>
      <c r="B653">
        <v>2016</v>
      </c>
      <c r="C653" t="str">
        <f>VLOOKUP(A653,[2]Tabelle1!$A$1:$B$68,2,FALSE)</f>
        <v>Rotenburg (Wümme)</v>
      </c>
      <c r="D653" t="s">
        <v>2</v>
      </c>
      <c r="E653" t="s">
        <v>4</v>
      </c>
      <c r="F653" t="str">
        <f>VLOOKUP(A653,[1]Kreise!$A$1:$C$53,3,FALSE)</f>
        <v>K03357</v>
      </c>
      <c r="G653">
        <v>89</v>
      </c>
    </row>
    <row r="654" spans="1:7" x14ac:dyDescent="0.25">
      <c r="A654">
        <v>358</v>
      </c>
      <c r="B654">
        <v>2016</v>
      </c>
      <c r="C654" t="str">
        <f>VLOOKUP(A654,[2]Tabelle1!$A$1:$B$68,2,FALSE)</f>
        <v>Heidekreis</v>
      </c>
      <c r="D654" t="s">
        <v>2</v>
      </c>
      <c r="E654" t="s">
        <v>4</v>
      </c>
      <c r="F654" t="str">
        <f>VLOOKUP(A654,[1]Kreise!$A$1:$C$53,3,FALSE)</f>
        <v>K03358</v>
      </c>
      <c r="G654">
        <v>98</v>
      </c>
    </row>
    <row r="655" spans="1:7" x14ac:dyDescent="0.25">
      <c r="A655">
        <v>359</v>
      </c>
      <c r="B655">
        <v>2016</v>
      </c>
      <c r="C655" t="str">
        <f>VLOOKUP(A655,[2]Tabelle1!$A$1:$B$68,2,FALSE)</f>
        <v>Stade</v>
      </c>
      <c r="D655" t="s">
        <v>2</v>
      </c>
      <c r="E655" t="s">
        <v>4</v>
      </c>
      <c r="F655" t="str">
        <f>VLOOKUP(A655,[1]Kreise!$A$1:$C$53,3,FALSE)</f>
        <v>K03359</v>
      </c>
      <c r="G655">
        <v>105</v>
      </c>
    </row>
    <row r="656" spans="1:7" x14ac:dyDescent="0.25">
      <c r="A656">
        <v>360</v>
      </c>
      <c r="B656">
        <v>2016</v>
      </c>
      <c r="C656" t="str">
        <f>VLOOKUP(A656,[2]Tabelle1!$A$1:$B$68,2,FALSE)</f>
        <v>Uelzen</v>
      </c>
      <c r="D656" t="s">
        <v>2</v>
      </c>
      <c r="E656" t="s">
        <v>4</v>
      </c>
      <c r="F656" t="str">
        <f>VLOOKUP(A656,[1]Kreise!$A$1:$C$53,3,FALSE)</f>
        <v>K03360</v>
      </c>
      <c r="G656">
        <v>39</v>
      </c>
    </row>
    <row r="657" spans="1:7" x14ac:dyDescent="0.25">
      <c r="A657">
        <v>361</v>
      </c>
      <c r="B657">
        <v>2016</v>
      </c>
      <c r="C657" t="str">
        <f>VLOOKUP(A657,[2]Tabelle1!$A$1:$B$68,2,FALSE)</f>
        <v>Verden</v>
      </c>
      <c r="D657" t="s">
        <v>2</v>
      </c>
      <c r="E657" t="s">
        <v>4</v>
      </c>
      <c r="F657" t="str">
        <f>VLOOKUP(A657,[1]Kreise!$A$1:$C$53,3,FALSE)</f>
        <v>K03361</v>
      </c>
      <c r="G657">
        <v>48</v>
      </c>
    </row>
    <row r="658" spans="1:7" x14ac:dyDescent="0.25">
      <c r="A658">
        <v>3</v>
      </c>
      <c r="B658">
        <v>2016</v>
      </c>
      <c r="C658" t="str">
        <f>VLOOKUP(A658,[2]Tabelle1!$A$1:$B$68,2,FALSE)</f>
        <v>Statistische Region Lüneburg</v>
      </c>
      <c r="D658" t="s">
        <v>2</v>
      </c>
      <c r="E658" t="s">
        <v>4</v>
      </c>
      <c r="F658" t="str">
        <f>VLOOKUP(A658,[1]Kreise!$A$1:$C$53,3,FALSE)</f>
        <v>K033</v>
      </c>
      <c r="G658">
        <v>746</v>
      </c>
    </row>
    <row r="659" spans="1:7" x14ac:dyDescent="0.25">
      <c r="A659">
        <v>401</v>
      </c>
      <c r="B659">
        <v>2016</v>
      </c>
      <c r="C659" t="str">
        <f>VLOOKUP(A659,[2]Tabelle1!$A$1:$B$68,2,FALSE)</f>
        <v>Delmenhorst  Stadt</v>
      </c>
      <c r="D659" t="s">
        <v>2</v>
      </c>
      <c r="E659" t="s">
        <v>4</v>
      </c>
      <c r="F659" t="str">
        <f>VLOOKUP(A659,[1]Kreise!$A$1:$C$53,3,FALSE)</f>
        <v>K03401</v>
      </c>
      <c r="G659">
        <v>36</v>
      </c>
    </row>
    <row r="660" spans="1:7" x14ac:dyDescent="0.25">
      <c r="A660">
        <v>402</v>
      </c>
      <c r="B660">
        <v>2016</v>
      </c>
      <c r="C660" t="str">
        <f>VLOOKUP(A660,[2]Tabelle1!$A$1:$B$68,2,FALSE)</f>
        <v>Emden  Stadt</v>
      </c>
      <c r="D660" t="s">
        <v>2</v>
      </c>
      <c r="E660" t="s">
        <v>4</v>
      </c>
      <c r="F660" t="str">
        <f>VLOOKUP(A660,[1]Kreise!$A$1:$C$53,3,FALSE)</f>
        <v>K03402</v>
      </c>
      <c r="G660">
        <v>34</v>
      </c>
    </row>
    <row r="661" spans="1:7" x14ac:dyDescent="0.25">
      <c r="A661">
        <v>403</v>
      </c>
      <c r="B661">
        <v>2016</v>
      </c>
      <c r="C661" t="str">
        <f>VLOOKUP(A661,[2]Tabelle1!$A$1:$B$68,2,FALSE)</f>
        <v>Oldenburg(Oldb)  Stadt</v>
      </c>
      <c r="D661" t="s">
        <v>2</v>
      </c>
      <c r="E661" t="s">
        <v>4</v>
      </c>
      <c r="F661" t="str">
        <f>VLOOKUP(A661,[1]Kreise!$A$1:$C$53,3,FALSE)</f>
        <v>K03403</v>
      </c>
      <c r="G661">
        <v>87</v>
      </c>
    </row>
    <row r="662" spans="1:7" x14ac:dyDescent="0.25">
      <c r="A662">
        <v>404</v>
      </c>
      <c r="B662">
        <v>2016</v>
      </c>
      <c r="C662" t="str">
        <f>VLOOKUP(A662,[2]Tabelle1!$A$1:$B$68,2,FALSE)</f>
        <v>Osnabrück  Stadt</v>
      </c>
      <c r="D662" t="s">
        <v>2</v>
      </c>
      <c r="E662" t="s">
        <v>4</v>
      </c>
      <c r="F662" t="str">
        <f>VLOOKUP(A662,[1]Kreise!$A$1:$C$53,3,FALSE)</f>
        <v>K03404</v>
      </c>
      <c r="G662">
        <v>88</v>
      </c>
    </row>
    <row r="663" spans="1:7" x14ac:dyDescent="0.25">
      <c r="A663">
        <v>405</v>
      </c>
      <c r="B663">
        <v>2016</v>
      </c>
      <c r="C663" t="str">
        <f>VLOOKUP(A663,[2]Tabelle1!$A$1:$B$68,2,FALSE)</f>
        <v>Wilhelmshaven  Stadt</v>
      </c>
      <c r="D663" t="s">
        <v>2</v>
      </c>
      <c r="E663" t="s">
        <v>4</v>
      </c>
      <c r="F663" t="str">
        <f>VLOOKUP(A663,[1]Kreise!$A$1:$C$53,3,FALSE)</f>
        <v>K03405</v>
      </c>
      <c r="G663" t="s">
        <v>84</v>
      </c>
    </row>
    <row r="664" spans="1:7" x14ac:dyDescent="0.25">
      <c r="A664">
        <v>451</v>
      </c>
      <c r="B664">
        <v>2016</v>
      </c>
      <c r="C664" t="str">
        <f>VLOOKUP(A664,[2]Tabelle1!$A$1:$B$68,2,FALSE)</f>
        <v>Ammerland</v>
      </c>
      <c r="D664" t="s">
        <v>2</v>
      </c>
      <c r="E664" t="s">
        <v>4</v>
      </c>
      <c r="F664" t="str">
        <f>VLOOKUP(A664,[1]Kreise!$A$1:$C$53,3,FALSE)</f>
        <v>K03451</v>
      </c>
      <c r="G664">
        <v>46</v>
      </c>
    </row>
    <row r="665" spans="1:7" x14ac:dyDescent="0.25">
      <c r="A665">
        <v>452</v>
      </c>
      <c r="B665">
        <v>2016</v>
      </c>
      <c r="C665" t="str">
        <f>VLOOKUP(A665,[2]Tabelle1!$A$1:$B$68,2,FALSE)</f>
        <v>Aurich</v>
      </c>
      <c r="D665" t="s">
        <v>2</v>
      </c>
      <c r="E665" t="s">
        <v>4</v>
      </c>
      <c r="F665" t="str">
        <f>VLOOKUP(A665,[1]Kreise!$A$1:$C$53,3,FALSE)</f>
        <v>K03452</v>
      </c>
      <c r="G665">
        <v>162</v>
      </c>
    </row>
    <row r="666" spans="1:7" x14ac:dyDescent="0.25">
      <c r="A666">
        <v>453</v>
      </c>
      <c r="B666">
        <v>2016</v>
      </c>
      <c r="C666" t="str">
        <f>VLOOKUP(A666,[2]Tabelle1!$A$1:$B$68,2,FALSE)</f>
        <v>Cloppenburg</v>
      </c>
      <c r="D666" t="s">
        <v>2</v>
      </c>
      <c r="E666" t="s">
        <v>4</v>
      </c>
      <c r="F666" t="str">
        <f>VLOOKUP(A666,[1]Kreise!$A$1:$C$53,3,FALSE)</f>
        <v>K03453</v>
      </c>
      <c r="G666">
        <v>72</v>
      </c>
    </row>
    <row r="667" spans="1:7" x14ac:dyDescent="0.25">
      <c r="A667">
        <v>454</v>
      </c>
      <c r="B667">
        <v>2016</v>
      </c>
      <c r="C667" t="str">
        <f>VLOOKUP(A667,[2]Tabelle1!$A$1:$B$68,2,FALSE)</f>
        <v>Emsland</v>
      </c>
      <c r="D667" t="s">
        <v>2</v>
      </c>
      <c r="E667" t="s">
        <v>4</v>
      </c>
      <c r="F667" t="str">
        <f>VLOOKUP(A667,[1]Kreise!$A$1:$C$53,3,FALSE)</f>
        <v>K03454</v>
      </c>
      <c r="G667">
        <v>206</v>
      </c>
    </row>
    <row r="668" spans="1:7" x14ac:dyDescent="0.25">
      <c r="A668">
        <v>455</v>
      </c>
      <c r="B668">
        <v>2016</v>
      </c>
      <c r="C668" t="str">
        <f>VLOOKUP(A668,[2]Tabelle1!$A$1:$B$68,2,FALSE)</f>
        <v>Friesland</v>
      </c>
      <c r="D668" t="s">
        <v>2</v>
      </c>
      <c r="E668" t="s">
        <v>4</v>
      </c>
      <c r="F668" t="str">
        <f>VLOOKUP(A668,[1]Kreise!$A$1:$C$53,3,FALSE)</f>
        <v>K03455</v>
      </c>
      <c r="G668">
        <v>39</v>
      </c>
    </row>
    <row r="669" spans="1:7" x14ac:dyDescent="0.25">
      <c r="A669">
        <v>456</v>
      </c>
      <c r="B669">
        <v>2016</v>
      </c>
      <c r="C669" t="str">
        <f>VLOOKUP(A669,[2]Tabelle1!$A$1:$B$68,2,FALSE)</f>
        <v>Grafschaft Bentheim</v>
      </c>
      <c r="D669" t="s">
        <v>2</v>
      </c>
      <c r="E669" t="s">
        <v>4</v>
      </c>
      <c r="F669" t="str">
        <f>VLOOKUP(A669,[1]Kreise!$A$1:$C$53,3,FALSE)</f>
        <v>K03456</v>
      </c>
      <c r="G669">
        <v>77</v>
      </c>
    </row>
    <row r="670" spans="1:7" x14ac:dyDescent="0.25">
      <c r="A670">
        <v>457</v>
      </c>
      <c r="B670">
        <v>2016</v>
      </c>
      <c r="C670" t="str">
        <f>VLOOKUP(A670,[2]Tabelle1!$A$1:$B$68,2,FALSE)</f>
        <v>Leer</v>
      </c>
      <c r="D670" t="s">
        <v>2</v>
      </c>
      <c r="E670" t="s">
        <v>4</v>
      </c>
      <c r="F670" t="str">
        <f>VLOOKUP(A670,[1]Kreise!$A$1:$C$53,3,FALSE)</f>
        <v>K03457</v>
      </c>
      <c r="G670">
        <v>132</v>
      </c>
    </row>
    <row r="671" spans="1:7" x14ac:dyDescent="0.25">
      <c r="A671">
        <v>458</v>
      </c>
      <c r="B671">
        <v>2016</v>
      </c>
      <c r="C671" t="str">
        <f>VLOOKUP(A671,[2]Tabelle1!$A$1:$B$68,2,FALSE)</f>
        <v>Oldenburg</v>
      </c>
      <c r="D671" t="s">
        <v>2</v>
      </c>
      <c r="E671" t="s">
        <v>4</v>
      </c>
      <c r="F671" t="str">
        <f>VLOOKUP(A671,[1]Kreise!$A$1:$C$53,3,FALSE)</f>
        <v>K03458</v>
      </c>
      <c r="G671">
        <v>64</v>
      </c>
    </row>
    <row r="672" spans="1:7" x14ac:dyDescent="0.25">
      <c r="A672">
        <v>459</v>
      </c>
      <c r="B672">
        <v>2016</v>
      </c>
      <c r="C672" t="str">
        <f>VLOOKUP(A672,[2]Tabelle1!$A$1:$B$68,2,FALSE)</f>
        <v>Osnabrück</v>
      </c>
      <c r="D672" t="s">
        <v>2</v>
      </c>
      <c r="E672" t="s">
        <v>4</v>
      </c>
      <c r="F672" t="str">
        <f>VLOOKUP(A672,[1]Kreise!$A$1:$C$53,3,FALSE)</f>
        <v>K03459</v>
      </c>
      <c r="G672">
        <v>133</v>
      </c>
    </row>
    <row r="673" spans="1:7" x14ac:dyDescent="0.25">
      <c r="A673">
        <v>460</v>
      </c>
      <c r="B673">
        <v>2016</v>
      </c>
      <c r="C673" t="str">
        <f>VLOOKUP(A673,[2]Tabelle1!$A$1:$B$68,2,FALSE)</f>
        <v>Vechta</v>
      </c>
      <c r="D673" t="s">
        <v>2</v>
      </c>
      <c r="E673" t="s">
        <v>4</v>
      </c>
      <c r="F673" t="str">
        <f>VLOOKUP(A673,[1]Kreise!$A$1:$C$53,3,FALSE)</f>
        <v>K03460</v>
      </c>
      <c r="G673">
        <v>77</v>
      </c>
    </row>
    <row r="674" spans="1:7" x14ac:dyDescent="0.25">
      <c r="A674">
        <v>461</v>
      </c>
      <c r="B674">
        <v>2016</v>
      </c>
      <c r="C674" t="str">
        <f>VLOOKUP(A674,[2]Tabelle1!$A$1:$B$68,2,FALSE)</f>
        <v>Wesermarsch</v>
      </c>
      <c r="D674" t="s">
        <v>2</v>
      </c>
      <c r="E674" t="s">
        <v>4</v>
      </c>
      <c r="F674" t="str">
        <f>VLOOKUP(A674,[1]Kreise!$A$1:$C$53,3,FALSE)</f>
        <v>K03461</v>
      </c>
      <c r="G674">
        <v>36</v>
      </c>
    </row>
    <row r="675" spans="1:7" x14ac:dyDescent="0.25">
      <c r="A675">
        <v>462</v>
      </c>
      <c r="B675">
        <v>2016</v>
      </c>
      <c r="C675" t="str">
        <f>VLOOKUP(A675,[2]Tabelle1!$A$1:$B$68,2,FALSE)</f>
        <v>Wittmund</v>
      </c>
      <c r="D675" t="s">
        <v>2</v>
      </c>
      <c r="E675" t="s">
        <v>4</v>
      </c>
      <c r="F675" t="str">
        <f>VLOOKUP(A675,[1]Kreise!$A$1:$C$53,3,FALSE)</f>
        <v>K03462</v>
      </c>
      <c r="G675">
        <v>36</v>
      </c>
    </row>
    <row r="676" spans="1:7" x14ac:dyDescent="0.25">
      <c r="A676">
        <v>4</v>
      </c>
      <c r="B676">
        <v>2016</v>
      </c>
      <c r="C676" t="str">
        <f>VLOOKUP(A676,[2]Tabelle1!$A$1:$B$68,2,FALSE)</f>
        <v>Statistische Region Weser-Ems</v>
      </c>
      <c r="D676" t="s">
        <v>2</v>
      </c>
      <c r="E676" t="s">
        <v>4</v>
      </c>
      <c r="F676" t="str">
        <f>VLOOKUP(A676,[1]Kreise!$A$1:$C$53,3,FALSE)</f>
        <v>K034</v>
      </c>
      <c r="G676">
        <v>1346</v>
      </c>
    </row>
    <row r="677" spans="1:7" x14ac:dyDescent="0.25">
      <c r="A677">
        <v>0</v>
      </c>
      <c r="B677">
        <v>2016</v>
      </c>
      <c r="C677" t="str">
        <f>VLOOKUP(A677,[2]Tabelle1!$A$1:$B$68,2,FALSE)</f>
        <v>Niedersachsen</v>
      </c>
      <c r="D677" t="s">
        <v>2</v>
      </c>
      <c r="E677" t="s">
        <v>4</v>
      </c>
      <c r="F677" t="str">
        <f>VLOOKUP(A677,[1]Kreise!$A$1:$C$53,3,FALSE)</f>
        <v>K030</v>
      </c>
      <c r="G677">
        <v>3431</v>
      </c>
    </row>
    <row r="678" spans="1:7" x14ac:dyDescent="0.25">
      <c r="A678">
        <v>101</v>
      </c>
      <c r="B678">
        <v>2016</v>
      </c>
      <c r="C678" t="str">
        <f>VLOOKUP(A678,[2]Tabelle1!$A$1:$B$68,2,FALSE)</f>
        <v>Braunschweig  Stadt</v>
      </c>
      <c r="D678" t="s">
        <v>3</v>
      </c>
      <c r="E678" t="s">
        <v>4</v>
      </c>
      <c r="F678" t="str">
        <f>VLOOKUP(A678,[1]Kreise!$A$1:$C$53,3,FALSE)</f>
        <v>K03101</v>
      </c>
      <c r="G678">
        <v>20</v>
      </c>
    </row>
    <row r="679" spans="1:7" x14ac:dyDescent="0.25">
      <c r="A679">
        <v>102</v>
      </c>
      <c r="B679">
        <v>2016</v>
      </c>
      <c r="C679" t="str">
        <f>VLOOKUP(A679,[2]Tabelle1!$A$1:$B$68,2,FALSE)</f>
        <v>Salzgitter  Stadt</v>
      </c>
      <c r="D679" t="s">
        <v>3</v>
      </c>
      <c r="E679" t="s">
        <v>4</v>
      </c>
      <c r="F679" t="str">
        <f>VLOOKUP(A679,[1]Kreise!$A$1:$C$53,3,FALSE)</f>
        <v>K03102</v>
      </c>
      <c r="G679">
        <v>21</v>
      </c>
    </row>
    <row r="680" spans="1:7" x14ac:dyDescent="0.25">
      <c r="A680">
        <v>103</v>
      </c>
      <c r="B680">
        <v>2016</v>
      </c>
      <c r="C680" t="str">
        <f>VLOOKUP(A680,[2]Tabelle1!$A$1:$B$68,2,FALSE)</f>
        <v>Wolfsburg  Stadt</v>
      </c>
      <c r="D680" t="s">
        <v>3</v>
      </c>
      <c r="E680" t="s">
        <v>4</v>
      </c>
      <c r="F680" t="str">
        <f>VLOOKUP(A680,[1]Kreise!$A$1:$C$53,3,FALSE)</f>
        <v>K03103</v>
      </c>
      <c r="G680">
        <v>11</v>
      </c>
    </row>
    <row r="681" spans="1:7" x14ac:dyDescent="0.25">
      <c r="A681">
        <v>151</v>
      </c>
      <c r="B681">
        <v>2016</v>
      </c>
      <c r="C681" t="str">
        <f>VLOOKUP(A681,[2]Tabelle1!$A$1:$B$68,2,FALSE)</f>
        <v>Gifhorn</v>
      </c>
      <c r="D681" t="s">
        <v>3</v>
      </c>
      <c r="E681" t="s">
        <v>4</v>
      </c>
      <c r="F681" t="str">
        <f>VLOOKUP(A681,[1]Kreise!$A$1:$C$53,3,FALSE)</f>
        <v>K03151</v>
      </c>
      <c r="G681">
        <v>5</v>
      </c>
    </row>
    <row r="682" spans="1:7" x14ac:dyDescent="0.25">
      <c r="A682">
        <v>153</v>
      </c>
      <c r="B682">
        <v>2016</v>
      </c>
      <c r="C682" t="str">
        <f>VLOOKUP(A682,[2]Tabelle1!$A$1:$B$68,2,FALSE)</f>
        <v>Goslar</v>
      </c>
      <c r="D682" t="s">
        <v>3</v>
      </c>
      <c r="E682" t="s">
        <v>4</v>
      </c>
      <c r="F682" t="str">
        <f>VLOOKUP(A682,[1]Kreise!$A$1:$C$53,3,FALSE)</f>
        <v>K03153</v>
      </c>
      <c r="G682">
        <v>6</v>
      </c>
    </row>
    <row r="683" spans="1:7" x14ac:dyDescent="0.25">
      <c r="A683">
        <v>154</v>
      </c>
      <c r="B683">
        <v>2016</v>
      </c>
      <c r="C683" t="str">
        <f>VLOOKUP(A683,[2]Tabelle1!$A$1:$B$68,2,FALSE)</f>
        <v>Helmstedt</v>
      </c>
      <c r="D683" t="s">
        <v>3</v>
      </c>
      <c r="E683" t="s">
        <v>4</v>
      </c>
      <c r="F683" t="str">
        <f>VLOOKUP(A683,[1]Kreise!$A$1:$C$53,3,FALSE)</f>
        <v>K03154</v>
      </c>
      <c r="G683">
        <v>3</v>
      </c>
    </row>
    <row r="684" spans="1:7" x14ac:dyDescent="0.25">
      <c r="A684">
        <v>155</v>
      </c>
      <c r="B684">
        <v>2016</v>
      </c>
      <c r="C684" t="str">
        <f>VLOOKUP(A684,[2]Tabelle1!$A$1:$B$68,2,FALSE)</f>
        <v>Northeim</v>
      </c>
      <c r="D684" t="s">
        <v>3</v>
      </c>
      <c r="E684" t="s">
        <v>4</v>
      </c>
      <c r="F684" t="str">
        <f>VLOOKUP(A684,[1]Kreise!$A$1:$C$53,3,FALSE)</f>
        <v>K03155</v>
      </c>
      <c r="G684">
        <v>17</v>
      </c>
    </row>
    <row r="685" spans="1:7" x14ac:dyDescent="0.25">
      <c r="A685">
        <v>157</v>
      </c>
      <c r="B685">
        <v>2016</v>
      </c>
      <c r="C685" t="str">
        <f>VLOOKUP(A685,[2]Tabelle1!$A$1:$B$68,2,FALSE)</f>
        <v>Peine</v>
      </c>
      <c r="D685" t="s">
        <v>3</v>
      </c>
      <c r="E685" t="s">
        <v>4</v>
      </c>
      <c r="F685" t="str">
        <f>VLOOKUP(A685,[1]Kreise!$A$1:$C$53,3,FALSE)</f>
        <v>K03157</v>
      </c>
      <c r="G685">
        <v>13</v>
      </c>
    </row>
    <row r="686" spans="1:7" x14ac:dyDescent="0.25">
      <c r="A686">
        <v>158</v>
      </c>
      <c r="B686">
        <v>2016</v>
      </c>
      <c r="C686" t="str">
        <f>VLOOKUP(A686,[2]Tabelle1!$A$1:$B$68,2,FALSE)</f>
        <v>Wolfenbüttel</v>
      </c>
      <c r="D686" t="s">
        <v>3</v>
      </c>
      <c r="E686" t="s">
        <v>4</v>
      </c>
      <c r="F686" t="str">
        <f>VLOOKUP(A686,[1]Kreise!$A$1:$C$53,3,FALSE)</f>
        <v>K03158</v>
      </c>
      <c r="G686">
        <v>11</v>
      </c>
    </row>
    <row r="687" spans="1:7" x14ac:dyDescent="0.25">
      <c r="A687">
        <v>159</v>
      </c>
      <c r="B687">
        <v>2016</v>
      </c>
      <c r="C687" t="str">
        <f>VLOOKUP(A687,[2]Tabelle1!$A$1:$B$68,2,FALSE)</f>
        <v>Göttingen</v>
      </c>
      <c r="D687" t="s">
        <v>3</v>
      </c>
      <c r="E687" t="s">
        <v>4</v>
      </c>
      <c r="F687" t="str">
        <f>VLOOKUP(A687,[1]Kreise!$A$1:$C$53,3,FALSE)</f>
        <v>K03159</v>
      </c>
      <c r="G687">
        <v>44</v>
      </c>
    </row>
    <row r="688" spans="1:7" x14ac:dyDescent="0.25">
      <c r="A688">
        <v>1</v>
      </c>
      <c r="B688">
        <v>2016</v>
      </c>
      <c r="C688" t="str">
        <f>VLOOKUP(A688,[2]Tabelle1!$A$1:$B$68,2,FALSE)</f>
        <v>Statistische Region Braunschweig</v>
      </c>
      <c r="D688" t="s">
        <v>3</v>
      </c>
      <c r="E688" t="s">
        <v>4</v>
      </c>
      <c r="F688" t="str">
        <f>VLOOKUP(A688,[1]Kreise!$A$1:$C$53,3,FALSE)</f>
        <v>K031</v>
      </c>
      <c r="G688">
        <v>151</v>
      </c>
    </row>
    <row r="689" spans="1:7" x14ac:dyDescent="0.25">
      <c r="A689">
        <v>241</v>
      </c>
      <c r="B689">
        <v>2016</v>
      </c>
      <c r="C689" t="str">
        <f>VLOOKUP(A689,[2]Tabelle1!$A$1:$B$68,2,FALSE)</f>
        <v>Hannover  Region</v>
      </c>
      <c r="D689" t="s">
        <v>3</v>
      </c>
      <c r="E689" t="s">
        <v>4</v>
      </c>
      <c r="F689" t="str">
        <f>VLOOKUP(A689,[1]Kreise!$A$1:$C$53,3,FALSE)</f>
        <v>K03241</v>
      </c>
      <c r="G689">
        <v>173</v>
      </c>
    </row>
    <row r="690" spans="1:7" x14ac:dyDescent="0.25">
      <c r="A690">
        <v>241001</v>
      </c>
      <c r="B690">
        <v>2016</v>
      </c>
      <c r="C690" t="str">
        <f>VLOOKUP(A690,[2]Tabelle1!$A$1:$B$68,2,FALSE)</f>
        <v>dav. Hannover  Lhst.</v>
      </c>
      <c r="D690" t="s">
        <v>3</v>
      </c>
      <c r="E690" t="s">
        <v>4</v>
      </c>
      <c r="F690" t="str">
        <f>VLOOKUP(A690,[1]Kreise!$A$1:$C$53,3,FALSE)</f>
        <v>K03241001</v>
      </c>
      <c r="G690">
        <v>105</v>
      </c>
    </row>
    <row r="691" spans="1:7" x14ac:dyDescent="0.25">
      <c r="A691">
        <v>241999</v>
      </c>
      <c r="B691">
        <v>2016</v>
      </c>
      <c r="C691" t="str">
        <f>VLOOKUP(A691,[2]Tabelle1!$A$1:$B$68,2,FALSE)</f>
        <v>dav. Hannover  Umland</v>
      </c>
      <c r="D691" t="s">
        <v>3</v>
      </c>
      <c r="E691" t="s">
        <v>4</v>
      </c>
      <c r="F691" t="str">
        <f>VLOOKUP(A691,[1]Kreise!$A$1:$C$53,3,FALSE)</f>
        <v>K03241999</v>
      </c>
      <c r="G691">
        <v>68</v>
      </c>
    </row>
    <row r="692" spans="1:7" x14ac:dyDescent="0.25">
      <c r="A692">
        <v>251</v>
      </c>
      <c r="B692">
        <v>2016</v>
      </c>
      <c r="C692" t="str">
        <f>VLOOKUP(A692,[2]Tabelle1!$A$1:$B$68,2,FALSE)</f>
        <v>Diepholz</v>
      </c>
      <c r="D692" t="s">
        <v>3</v>
      </c>
      <c r="E692" t="s">
        <v>4</v>
      </c>
      <c r="F692" t="str">
        <f>VLOOKUP(A692,[1]Kreise!$A$1:$C$53,3,FALSE)</f>
        <v>K03251</v>
      </c>
      <c r="G692">
        <v>13</v>
      </c>
    </row>
    <row r="693" spans="1:7" x14ac:dyDescent="0.25">
      <c r="A693">
        <v>252</v>
      </c>
      <c r="B693">
        <v>2016</v>
      </c>
      <c r="C693" t="str">
        <f>VLOOKUP(A693,[2]Tabelle1!$A$1:$B$68,2,FALSE)</f>
        <v>Hameln-Pyrmont</v>
      </c>
      <c r="D693" t="s">
        <v>3</v>
      </c>
      <c r="E693" t="s">
        <v>4</v>
      </c>
      <c r="F693" t="str">
        <f>VLOOKUP(A693,[1]Kreise!$A$1:$C$53,3,FALSE)</f>
        <v>K03252</v>
      </c>
      <c r="G693">
        <v>15</v>
      </c>
    </row>
    <row r="694" spans="1:7" x14ac:dyDescent="0.25">
      <c r="A694">
        <v>254</v>
      </c>
      <c r="B694">
        <v>2016</v>
      </c>
      <c r="C694" t="str">
        <f>VLOOKUP(A694,[2]Tabelle1!$A$1:$B$68,2,FALSE)</f>
        <v>Hildesheim</v>
      </c>
      <c r="D694" t="s">
        <v>3</v>
      </c>
      <c r="E694" t="s">
        <v>4</v>
      </c>
      <c r="F694" t="str">
        <f>VLOOKUP(A694,[1]Kreise!$A$1:$C$53,3,FALSE)</f>
        <v>K03254</v>
      </c>
      <c r="G694">
        <v>32</v>
      </c>
    </row>
    <row r="695" spans="1:7" x14ac:dyDescent="0.25">
      <c r="A695">
        <v>255</v>
      </c>
      <c r="B695">
        <v>2016</v>
      </c>
      <c r="C695" t="str">
        <f>VLOOKUP(A695,[2]Tabelle1!$A$1:$B$68,2,FALSE)</f>
        <v>Holzminden</v>
      </c>
      <c r="D695" t="s">
        <v>3</v>
      </c>
      <c r="E695" t="s">
        <v>4</v>
      </c>
      <c r="F695" t="str">
        <f>VLOOKUP(A695,[1]Kreise!$A$1:$C$53,3,FALSE)</f>
        <v>K03255</v>
      </c>
      <c r="G695">
        <v>2</v>
      </c>
    </row>
    <row r="696" spans="1:7" x14ac:dyDescent="0.25">
      <c r="A696">
        <v>256</v>
      </c>
      <c r="B696">
        <v>2016</v>
      </c>
      <c r="C696" t="str">
        <f>VLOOKUP(A696,[2]Tabelle1!$A$1:$B$68,2,FALSE)</f>
        <v>Nienburg (Weser)</v>
      </c>
      <c r="D696" t="s">
        <v>3</v>
      </c>
      <c r="E696" t="s">
        <v>4</v>
      </c>
      <c r="F696" t="str">
        <f>VLOOKUP(A696,[1]Kreise!$A$1:$C$53,3,FALSE)</f>
        <v>K03256</v>
      </c>
      <c r="G696">
        <v>16</v>
      </c>
    </row>
    <row r="697" spans="1:7" x14ac:dyDescent="0.25">
      <c r="A697">
        <v>257</v>
      </c>
      <c r="B697">
        <v>2016</v>
      </c>
      <c r="C697" t="str">
        <f>VLOOKUP(A697,[2]Tabelle1!$A$1:$B$68,2,FALSE)</f>
        <v>Schaumburg</v>
      </c>
      <c r="D697" t="s">
        <v>3</v>
      </c>
      <c r="E697" t="s">
        <v>4</v>
      </c>
      <c r="F697" t="str">
        <f>VLOOKUP(A697,[1]Kreise!$A$1:$C$53,3,FALSE)</f>
        <v>K03257</v>
      </c>
      <c r="G697">
        <v>7</v>
      </c>
    </row>
    <row r="698" spans="1:7" x14ac:dyDescent="0.25">
      <c r="A698">
        <v>2</v>
      </c>
      <c r="B698">
        <v>2016</v>
      </c>
      <c r="C698" t="str">
        <f>VLOOKUP(A698,[2]Tabelle1!$A$1:$B$68,2,FALSE)</f>
        <v>Statistische Region Hannover</v>
      </c>
      <c r="D698" t="s">
        <v>3</v>
      </c>
      <c r="E698" t="s">
        <v>4</v>
      </c>
      <c r="F698" t="str">
        <f>VLOOKUP(A698,[1]Kreise!$A$1:$C$53,3,FALSE)</f>
        <v>K032</v>
      </c>
      <c r="G698">
        <v>258</v>
      </c>
    </row>
    <row r="699" spans="1:7" x14ac:dyDescent="0.25">
      <c r="A699">
        <v>351</v>
      </c>
      <c r="B699">
        <v>2016</v>
      </c>
      <c r="C699" t="str">
        <f>VLOOKUP(A699,[2]Tabelle1!$A$1:$B$68,2,FALSE)</f>
        <v>Celle</v>
      </c>
      <c r="D699" t="s">
        <v>3</v>
      </c>
      <c r="E699" t="s">
        <v>4</v>
      </c>
      <c r="F699" t="str">
        <f>VLOOKUP(A699,[1]Kreise!$A$1:$C$53,3,FALSE)</f>
        <v>K03351</v>
      </c>
      <c r="G699">
        <v>3</v>
      </c>
    </row>
    <row r="700" spans="1:7" x14ac:dyDescent="0.25">
      <c r="A700">
        <v>352</v>
      </c>
      <c r="B700">
        <v>2016</v>
      </c>
      <c r="C700" t="str">
        <f>VLOOKUP(A700,[2]Tabelle1!$A$1:$B$68,2,FALSE)</f>
        <v>Cuxhaven</v>
      </c>
      <c r="D700" t="s">
        <v>3</v>
      </c>
      <c r="E700" t="s">
        <v>4</v>
      </c>
      <c r="F700" t="str">
        <f>VLOOKUP(A700,[1]Kreise!$A$1:$C$53,3,FALSE)</f>
        <v>K03352</v>
      </c>
      <c r="G700">
        <v>27</v>
      </c>
    </row>
    <row r="701" spans="1:7" x14ac:dyDescent="0.25">
      <c r="A701">
        <v>353</v>
      </c>
      <c r="B701">
        <v>2016</v>
      </c>
      <c r="C701" t="str">
        <f>VLOOKUP(A701,[2]Tabelle1!$A$1:$B$68,2,FALSE)</f>
        <v>Harburg</v>
      </c>
      <c r="D701" t="s">
        <v>3</v>
      </c>
      <c r="E701" t="s">
        <v>4</v>
      </c>
      <c r="F701" t="str">
        <f>VLOOKUP(A701,[1]Kreise!$A$1:$C$53,3,FALSE)</f>
        <v>K03353</v>
      </c>
      <c r="G701">
        <v>10</v>
      </c>
    </row>
    <row r="702" spans="1:7" x14ac:dyDescent="0.25">
      <c r="A702">
        <v>354</v>
      </c>
      <c r="B702">
        <v>2016</v>
      </c>
      <c r="C702" t="str">
        <f>VLOOKUP(A702,[2]Tabelle1!$A$1:$B$68,2,FALSE)</f>
        <v>Lüchow-Dannenberg</v>
      </c>
      <c r="D702" t="s">
        <v>3</v>
      </c>
      <c r="E702" t="s">
        <v>4</v>
      </c>
      <c r="F702" t="str">
        <f>VLOOKUP(A702,[1]Kreise!$A$1:$C$53,3,FALSE)</f>
        <v>K03354</v>
      </c>
      <c r="G702">
        <v>9</v>
      </c>
    </row>
    <row r="703" spans="1:7" x14ac:dyDescent="0.25">
      <c r="A703">
        <v>355</v>
      </c>
      <c r="B703">
        <v>2016</v>
      </c>
      <c r="C703" t="str">
        <f>VLOOKUP(A703,[2]Tabelle1!$A$1:$B$68,2,FALSE)</f>
        <v>Lüneburg</v>
      </c>
      <c r="D703" t="s">
        <v>3</v>
      </c>
      <c r="E703" t="s">
        <v>4</v>
      </c>
      <c r="F703" t="str">
        <f>VLOOKUP(A703,[1]Kreise!$A$1:$C$53,3,FALSE)</f>
        <v>K03355</v>
      </c>
      <c r="G703">
        <v>8</v>
      </c>
    </row>
    <row r="704" spans="1:7" x14ac:dyDescent="0.25">
      <c r="A704">
        <v>356</v>
      </c>
      <c r="B704">
        <v>2016</v>
      </c>
      <c r="C704" t="str">
        <f>VLOOKUP(A704,[2]Tabelle1!$A$1:$B$68,2,FALSE)</f>
        <v>Osterholz</v>
      </c>
      <c r="D704" t="s">
        <v>3</v>
      </c>
      <c r="E704" t="s">
        <v>4</v>
      </c>
      <c r="F704" t="str">
        <f>VLOOKUP(A704,[1]Kreise!$A$1:$C$53,3,FALSE)</f>
        <v>K03356</v>
      </c>
      <c r="G704">
        <v>9</v>
      </c>
    </row>
    <row r="705" spans="1:7" x14ac:dyDescent="0.25">
      <c r="A705">
        <v>357</v>
      </c>
      <c r="B705">
        <v>2016</v>
      </c>
      <c r="C705" t="str">
        <f>VLOOKUP(A705,[2]Tabelle1!$A$1:$B$68,2,FALSE)</f>
        <v>Rotenburg (Wümme)</v>
      </c>
      <c r="D705" t="s">
        <v>3</v>
      </c>
      <c r="E705" t="s">
        <v>4</v>
      </c>
      <c r="F705" t="str">
        <f>VLOOKUP(A705,[1]Kreise!$A$1:$C$53,3,FALSE)</f>
        <v>K03357</v>
      </c>
      <c r="G705">
        <v>20</v>
      </c>
    </row>
    <row r="706" spans="1:7" x14ac:dyDescent="0.25">
      <c r="A706">
        <v>358</v>
      </c>
      <c r="B706">
        <v>2016</v>
      </c>
      <c r="C706" t="str">
        <f>VLOOKUP(A706,[2]Tabelle1!$A$1:$B$68,2,FALSE)</f>
        <v>Heidekreis</v>
      </c>
      <c r="D706" t="s">
        <v>3</v>
      </c>
      <c r="E706" t="s">
        <v>4</v>
      </c>
      <c r="F706" t="str">
        <f>VLOOKUP(A706,[1]Kreise!$A$1:$C$53,3,FALSE)</f>
        <v>K03358</v>
      </c>
      <c r="G706">
        <v>13</v>
      </c>
    </row>
    <row r="707" spans="1:7" x14ac:dyDescent="0.25">
      <c r="A707">
        <v>359</v>
      </c>
      <c r="B707">
        <v>2016</v>
      </c>
      <c r="C707" t="str">
        <f>VLOOKUP(A707,[2]Tabelle1!$A$1:$B$68,2,FALSE)</f>
        <v>Stade</v>
      </c>
      <c r="D707" t="s">
        <v>3</v>
      </c>
      <c r="E707" t="s">
        <v>4</v>
      </c>
      <c r="F707" t="str">
        <f>VLOOKUP(A707,[1]Kreise!$A$1:$C$53,3,FALSE)</f>
        <v>K03359</v>
      </c>
      <c r="G707">
        <v>43</v>
      </c>
    </row>
    <row r="708" spans="1:7" x14ac:dyDescent="0.25">
      <c r="A708">
        <v>360</v>
      </c>
      <c r="B708">
        <v>2016</v>
      </c>
      <c r="C708" t="str">
        <f>VLOOKUP(A708,[2]Tabelle1!$A$1:$B$68,2,FALSE)</f>
        <v>Uelzen</v>
      </c>
      <c r="D708" t="s">
        <v>3</v>
      </c>
      <c r="E708" t="s">
        <v>4</v>
      </c>
      <c r="F708" t="str">
        <f>VLOOKUP(A708,[1]Kreise!$A$1:$C$53,3,FALSE)</f>
        <v>K03360</v>
      </c>
      <c r="G708">
        <v>6</v>
      </c>
    </row>
    <row r="709" spans="1:7" x14ac:dyDescent="0.25">
      <c r="A709">
        <v>361</v>
      </c>
      <c r="B709">
        <v>2016</v>
      </c>
      <c r="C709" t="str">
        <f>VLOOKUP(A709,[2]Tabelle1!$A$1:$B$68,2,FALSE)</f>
        <v>Verden</v>
      </c>
      <c r="D709" t="s">
        <v>3</v>
      </c>
      <c r="E709" t="s">
        <v>4</v>
      </c>
      <c r="F709" t="str">
        <f>VLOOKUP(A709,[1]Kreise!$A$1:$C$53,3,FALSE)</f>
        <v>K03361</v>
      </c>
      <c r="G709">
        <v>14</v>
      </c>
    </row>
    <row r="710" spans="1:7" x14ac:dyDescent="0.25">
      <c r="A710">
        <v>3</v>
      </c>
      <c r="B710">
        <v>2016</v>
      </c>
      <c r="C710" t="str">
        <f>VLOOKUP(A710,[2]Tabelle1!$A$1:$B$68,2,FALSE)</f>
        <v>Statistische Region Lüneburg</v>
      </c>
      <c r="D710" t="s">
        <v>3</v>
      </c>
      <c r="E710" t="s">
        <v>4</v>
      </c>
      <c r="F710" t="str">
        <f>VLOOKUP(A710,[1]Kreise!$A$1:$C$53,3,FALSE)</f>
        <v>K033</v>
      </c>
      <c r="G710">
        <v>162</v>
      </c>
    </row>
    <row r="711" spans="1:7" x14ac:dyDescent="0.25">
      <c r="A711">
        <v>401</v>
      </c>
      <c r="B711">
        <v>2016</v>
      </c>
      <c r="C711" t="str">
        <f>VLOOKUP(A711,[2]Tabelle1!$A$1:$B$68,2,FALSE)</f>
        <v>Delmenhorst  Stadt</v>
      </c>
      <c r="D711" t="s">
        <v>3</v>
      </c>
      <c r="E711" t="s">
        <v>4</v>
      </c>
      <c r="F711" t="str">
        <f>VLOOKUP(A711,[1]Kreise!$A$1:$C$53,3,FALSE)</f>
        <v>K03401</v>
      </c>
      <c r="G711">
        <v>12</v>
      </c>
    </row>
    <row r="712" spans="1:7" x14ac:dyDescent="0.25">
      <c r="A712">
        <v>402</v>
      </c>
      <c r="B712">
        <v>2016</v>
      </c>
      <c r="C712" t="str">
        <f>VLOOKUP(A712,[2]Tabelle1!$A$1:$B$68,2,FALSE)</f>
        <v>Emden  Stadt</v>
      </c>
      <c r="D712" t="s">
        <v>3</v>
      </c>
      <c r="E712" t="s">
        <v>4</v>
      </c>
      <c r="F712" t="str">
        <f>VLOOKUP(A712,[1]Kreise!$A$1:$C$53,3,FALSE)</f>
        <v>K03402</v>
      </c>
      <c r="G712">
        <v>9</v>
      </c>
    </row>
    <row r="713" spans="1:7" x14ac:dyDescent="0.25">
      <c r="A713">
        <v>403</v>
      </c>
      <c r="B713">
        <v>2016</v>
      </c>
      <c r="C713" t="str">
        <f>VLOOKUP(A713,[2]Tabelle1!$A$1:$B$68,2,FALSE)</f>
        <v>Oldenburg(Oldb)  Stadt</v>
      </c>
      <c r="D713" t="s">
        <v>3</v>
      </c>
      <c r="E713" t="s">
        <v>4</v>
      </c>
      <c r="F713" t="str">
        <f>VLOOKUP(A713,[1]Kreise!$A$1:$C$53,3,FALSE)</f>
        <v>K03403</v>
      </c>
      <c r="G713">
        <v>13</v>
      </c>
    </row>
    <row r="714" spans="1:7" x14ac:dyDescent="0.25">
      <c r="A714">
        <v>404</v>
      </c>
      <c r="B714">
        <v>2016</v>
      </c>
      <c r="C714" t="str">
        <f>VLOOKUP(A714,[2]Tabelle1!$A$1:$B$68,2,FALSE)</f>
        <v>Osnabrück  Stadt</v>
      </c>
      <c r="D714" t="s">
        <v>3</v>
      </c>
      <c r="E714" t="s">
        <v>4</v>
      </c>
      <c r="F714" t="str">
        <f>VLOOKUP(A714,[1]Kreise!$A$1:$C$53,3,FALSE)</f>
        <v>K03404</v>
      </c>
      <c r="G714">
        <v>23</v>
      </c>
    </row>
    <row r="715" spans="1:7" x14ac:dyDescent="0.25">
      <c r="A715">
        <v>405</v>
      </c>
      <c r="B715">
        <v>2016</v>
      </c>
      <c r="C715" t="str">
        <f>VLOOKUP(A715,[2]Tabelle1!$A$1:$B$68,2,FALSE)</f>
        <v>Wilhelmshaven  Stadt</v>
      </c>
      <c r="D715" t="s">
        <v>3</v>
      </c>
      <c r="E715" t="s">
        <v>4</v>
      </c>
      <c r="F715" t="str">
        <f>VLOOKUP(A715,[1]Kreise!$A$1:$C$53,3,FALSE)</f>
        <v>K03405</v>
      </c>
      <c r="G715" t="s">
        <v>84</v>
      </c>
    </row>
    <row r="716" spans="1:7" x14ac:dyDescent="0.25">
      <c r="A716">
        <v>451</v>
      </c>
      <c r="B716">
        <v>2016</v>
      </c>
      <c r="C716" t="str">
        <f>VLOOKUP(A716,[2]Tabelle1!$A$1:$B$68,2,FALSE)</f>
        <v>Ammerland</v>
      </c>
      <c r="D716" t="s">
        <v>3</v>
      </c>
      <c r="E716" t="s">
        <v>4</v>
      </c>
      <c r="F716" t="str">
        <f>VLOOKUP(A716,[1]Kreise!$A$1:$C$53,3,FALSE)</f>
        <v>K03451</v>
      </c>
      <c r="G716">
        <v>4</v>
      </c>
    </row>
    <row r="717" spans="1:7" x14ac:dyDescent="0.25">
      <c r="A717">
        <v>452</v>
      </c>
      <c r="B717">
        <v>2016</v>
      </c>
      <c r="C717" t="str">
        <f>VLOOKUP(A717,[2]Tabelle1!$A$1:$B$68,2,FALSE)</f>
        <v>Aurich</v>
      </c>
      <c r="D717" t="s">
        <v>3</v>
      </c>
      <c r="E717" t="s">
        <v>4</v>
      </c>
      <c r="F717" t="str">
        <f>VLOOKUP(A717,[1]Kreise!$A$1:$C$53,3,FALSE)</f>
        <v>K03452</v>
      </c>
      <c r="G717">
        <v>10</v>
      </c>
    </row>
    <row r="718" spans="1:7" x14ac:dyDescent="0.25">
      <c r="A718">
        <v>453</v>
      </c>
      <c r="B718">
        <v>2016</v>
      </c>
      <c r="C718" t="str">
        <f>VLOOKUP(A718,[2]Tabelle1!$A$1:$B$68,2,FALSE)</f>
        <v>Cloppenburg</v>
      </c>
      <c r="D718" t="s">
        <v>3</v>
      </c>
      <c r="E718" t="s">
        <v>4</v>
      </c>
      <c r="F718" t="str">
        <f>VLOOKUP(A718,[1]Kreise!$A$1:$C$53,3,FALSE)</f>
        <v>K03453</v>
      </c>
      <c r="G718">
        <v>14</v>
      </c>
    </row>
    <row r="719" spans="1:7" x14ac:dyDescent="0.25">
      <c r="A719">
        <v>454</v>
      </c>
      <c r="B719">
        <v>2016</v>
      </c>
      <c r="C719" t="str">
        <f>VLOOKUP(A719,[2]Tabelle1!$A$1:$B$68,2,FALSE)</f>
        <v>Emsland</v>
      </c>
      <c r="D719" t="s">
        <v>3</v>
      </c>
      <c r="E719" t="s">
        <v>4</v>
      </c>
      <c r="F719" t="str">
        <f>VLOOKUP(A719,[1]Kreise!$A$1:$C$53,3,FALSE)</f>
        <v>K03454</v>
      </c>
      <c r="G719">
        <v>68</v>
      </c>
    </row>
    <row r="720" spans="1:7" x14ac:dyDescent="0.25">
      <c r="A720">
        <v>455</v>
      </c>
      <c r="B720">
        <v>2016</v>
      </c>
      <c r="C720" t="str">
        <f>VLOOKUP(A720,[2]Tabelle1!$A$1:$B$68,2,FALSE)</f>
        <v>Friesland</v>
      </c>
      <c r="D720" t="s">
        <v>3</v>
      </c>
      <c r="E720" t="s">
        <v>4</v>
      </c>
      <c r="F720" t="str">
        <f>VLOOKUP(A720,[1]Kreise!$A$1:$C$53,3,FALSE)</f>
        <v>K03455</v>
      </c>
      <c r="G720">
        <v>2</v>
      </c>
    </row>
    <row r="721" spans="1:7" x14ac:dyDescent="0.25">
      <c r="A721">
        <v>456</v>
      </c>
      <c r="B721">
        <v>2016</v>
      </c>
      <c r="C721" t="str">
        <f>VLOOKUP(A721,[2]Tabelle1!$A$1:$B$68,2,FALSE)</f>
        <v>Grafschaft Bentheim</v>
      </c>
      <c r="D721" t="s">
        <v>3</v>
      </c>
      <c r="E721" t="s">
        <v>4</v>
      </c>
      <c r="F721" t="str">
        <f>VLOOKUP(A721,[1]Kreise!$A$1:$C$53,3,FALSE)</f>
        <v>K03456</v>
      </c>
      <c r="G721">
        <v>20</v>
      </c>
    </row>
    <row r="722" spans="1:7" x14ac:dyDescent="0.25">
      <c r="A722">
        <v>457</v>
      </c>
      <c r="B722">
        <v>2016</v>
      </c>
      <c r="C722" t="str">
        <f>VLOOKUP(A722,[2]Tabelle1!$A$1:$B$68,2,FALSE)</f>
        <v>Leer</v>
      </c>
      <c r="D722" t="s">
        <v>3</v>
      </c>
      <c r="E722" t="s">
        <v>4</v>
      </c>
      <c r="F722" t="str">
        <f>VLOOKUP(A722,[1]Kreise!$A$1:$C$53,3,FALSE)</f>
        <v>K03457</v>
      </c>
      <c r="G722">
        <v>18</v>
      </c>
    </row>
    <row r="723" spans="1:7" x14ac:dyDescent="0.25">
      <c r="A723">
        <v>458</v>
      </c>
      <c r="B723">
        <v>2016</v>
      </c>
      <c r="C723" t="str">
        <f>VLOOKUP(A723,[2]Tabelle1!$A$1:$B$68,2,FALSE)</f>
        <v>Oldenburg</v>
      </c>
      <c r="D723" t="s">
        <v>3</v>
      </c>
      <c r="E723" t="s">
        <v>4</v>
      </c>
      <c r="F723" t="str">
        <f>VLOOKUP(A723,[1]Kreise!$A$1:$C$53,3,FALSE)</f>
        <v>K03458</v>
      </c>
      <c r="G723">
        <v>10</v>
      </c>
    </row>
    <row r="724" spans="1:7" x14ac:dyDescent="0.25">
      <c r="A724">
        <v>459</v>
      </c>
      <c r="B724">
        <v>2016</v>
      </c>
      <c r="C724" t="str">
        <f>VLOOKUP(A724,[2]Tabelle1!$A$1:$B$68,2,FALSE)</f>
        <v>Osnabrück</v>
      </c>
      <c r="D724" t="s">
        <v>3</v>
      </c>
      <c r="E724" t="s">
        <v>4</v>
      </c>
      <c r="F724" t="str">
        <f>VLOOKUP(A724,[1]Kreise!$A$1:$C$53,3,FALSE)</f>
        <v>K03459</v>
      </c>
      <c r="G724">
        <v>34</v>
      </c>
    </row>
    <row r="725" spans="1:7" x14ac:dyDescent="0.25">
      <c r="A725">
        <v>460</v>
      </c>
      <c r="B725">
        <v>2016</v>
      </c>
      <c r="C725" t="str">
        <f>VLOOKUP(A725,[2]Tabelle1!$A$1:$B$68,2,FALSE)</f>
        <v>Vechta</v>
      </c>
      <c r="D725" t="s">
        <v>3</v>
      </c>
      <c r="E725" t="s">
        <v>4</v>
      </c>
      <c r="F725" t="str">
        <f>VLOOKUP(A725,[1]Kreise!$A$1:$C$53,3,FALSE)</f>
        <v>K03460</v>
      </c>
      <c r="G725">
        <v>42</v>
      </c>
    </row>
    <row r="726" spans="1:7" x14ac:dyDescent="0.25">
      <c r="A726">
        <v>461</v>
      </c>
      <c r="B726">
        <v>2016</v>
      </c>
      <c r="C726" t="str">
        <f>VLOOKUP(A726,[2]Tabelle1!$A$1:$B$68,2,FALSE)</f>
        <v>Wesermarsch</v>
      </c>
      <c r="D726" t="s">
        <v>3</v>
      </c>
      <c r="E726" t="s">
        <v>4</v>
      </c>
      <c r="F726" t="str">
        <f>VLOOKUP(A726,[1]Kreise!$A$1:$C$53,3,FALSE)</f>
        <v>K03461</v>
      </c>
      <c r="G726">
        <v>9</v>
      </c>
    </row>
    <row r="727" spans="1:7" x14ac:dyDescent="0.25">
      <c r="A727">
        <v>462</v>
      </c>
      <c r="B727">
        <v>2016</v>
      </c>
      <c r="C727" t="str">
        <f>VLOOKUP(A727,[2]Tabelle1!$A$1:$B$68,2,FALSE)</f>
        <v>Wittmund</v>
      </c>
      <c r="D727" t="s">
        <v>3</v>
      </c>
      <c r="E727" t="s">
        <v>4</v>
      </c>
      <c r="F727" t="str">
        <f>VLOOKUP(A727,[1]Kreise!$A$1:$C$53,3,FALSE)</f>
        <v>K03462</v>
      </c>
      <c r="G727">
        <v>1</v>
      </c>
    </row>
    <row r="728" spans="1:7" x14ac:dyDescent="0.25">
      <c r="A728">
        <v>4</v>
      </c>
      <c r="B728">
        <v>2016</v>
      </c>
      <c r="C728" t="str">
        <f>VLOOKUP(A728,[2]Tabelle1!$A$1:$B$68,2,FALSE)</f>
        <v>Statistische Region Weser-Ems</v>
      </c>
      <c r="D728" t="s">
        <v>3</v>
      </c>
      <c r="E728" t="s">
        <v>4</v>
      </c>
      <c r="F728" t="str">
        <f>VLOOKUP(A728,[1]Kreise!$A$1:$C$53,3,FALSE)</f>
        <v>K034</v>
      </c>
      <c r="G728">
        <v>289</v>
      </c>
    </row>
    <row r="729" spans="1:7" x14ac:dyDescent="0.25">
      <c r="A729">
        <v>0</v>
      </c>
      <c r="B729">
        <v>2016</v>
      </c>
      <c r="C729" t="str">
        <f>VLOOKUP(A729,[2]Tabelle1!$A$1:$B$68,2,FALSE)</f>
        <v>Niedersachsen</v>
      </c>
      <c r="D729" t="s">
        <v>3</v>
      </c>
      <c r="E729" t="s">
        <v>4</v>
      </c>
      <c r="F729" t="str">
        <f>VLOOKUP(A729,[1]Kreise!$A$1:$C$53,3,FALSE)</f>
        <v>K030</v>
      </c>
      <c r="G729">
        <v>860</v>
      </c>
    </row>
    <row r="730" spans="1:7" x14ac:dyDescent="0.25">
      <c r="A730">
        <v>101</v>
      </c>
      <c r="B730">
        <v>2017</v>
      </c>
      <c r="C730" t="str">
        <f>VLOOKUP(A730,[2]Tabelle1!$A$1:$B$68,2,FALSE)</f>
        <v>Braunschweig  Stadt</v>
      </c>
      <c r="D730" t="s">
        <v>2</v>
      </c>
      <c r="E730" t="s">
        <v>4</v>
      </c>
      <c r="F730" t="str">
        <f>VLOOKUP(A730,[1]Kreise!$A$1:$C$53,3,FALSE)</f>
        <v>K03101</v>
      </c>
      <c r="G730">
        <v>129</v>
      </c>
    </row>
    <row r="731" spans="1:7" x14ac:dyDescent="0.25">
      <c r="A731">
        <v>102</v>
      </c>
      <c r="B731">
        <v>2017</v>
      </c>
      <c r="C731" t="str">
        <f>VLOOKUP(A731,[2]Tabelle1!$A$1:$B$68,2,FALSE)</f>
        <v>Salzgitter  Stadt</v>
      </c>
      <c r="D731" t="s">
        <v>2</v>
      </c>
      <c r="E731" t="s">
        <v>4</v>
      </c>
      <c r="F731" t="str">
        <f>VLOOKUP(A731,[1]Kreise!$A$1:$C$53,3,FALSE)</f>
        <v>K03102</v>
      </c>
      <c r="G731">
        <v>51</v>
      </c>
    </row>
    <row r="732" spans="1:7" x14ac:dyDescent="0.25">
      <c r="A732">
        <v>103</v>
      </c>
      <c r="B732">
        <v>2017</v>
      </c>
      <c r="C732" t="str">
        <f>VLOOKUP(A732,[2]Tabelle1!$A$1:$B$68,2,FALSE)</f>
        <v>Wolfsburg  Stadt</v>
      </c>
      <c r="D732" t="s">
        <v>2</v>
      </c>
      <c r="E732" t="s">
        <v>4</v>
      </c>
      <c r="F732" t="str">
        <f>VLOOKUP(A732,[1]Kreise!$A$1:$C$53,3,FALSE)</f>
        <v>K03103</v>
      </c>
      <c r="G732">
        <v>35</v>
      </c>
    </row>
    <row r="733" spans="1:7" x14ac:dyDescent="0.25">
      <c r="A733">
        <v>151</v>
      </c>
      <c r="B733">
        <v>2017</v>
      </c>
      <c r="C733" t="str">
        <f>VLOOKUP(A733,[2]Tabelle1!$A$1:$B$68,2,FALSE)</f>
        <v>Gifhorn</v>
      </c>
      <c r="D733" t="s">
        <v>2</v>
      </c>
      <c r="E733" t="s">
        <v>4</v>
      </c>
      <c r="F733" t="str">
        <f>VLOOKUP(A733,[1]Kreise!$A$1:$C$53,3,FALSE)</f>
        <v>K03151</v>
      </c>
      <c r="G733">
        <v>70</v>
      </c>
    </row>
    <row r="734" spans="1:7" x14ac:dyDescent="0.25">
      <c r="A734">
        <v>153</v>
      </c>
      <c r="B734">
        <v>2017</v>
      </c>
      <c r="C734" t="str">
        <f>VLOOKUP(A734,[2]Tabelle1!$A$1:$B$68,2,FALSE)</f>
        <v>Goslar</v>
      </c>
      <c r="D734" t="s">
        <v>2</v>
      </c>
      <c r="E734" t="s">
        <v>4</v>
      </c>
      <c r="F734" t="str">
        <f>VLOOKUP(A734,[1]Kreise!$A$1:$C$53,3,FALSE)</f>
        <v>K03153</v>
      </c>
      <c r="G734">
        <v>55</v>
      </c>
    </row>
    <row r="735" spans="1:7" x14ac:dyDescent="0.25">
      <c r="A735">
        <v>154</v>
      </c>
      <c r="B735">
        <v>2017</v>
      </c>
      <c r="C735" t="str">
        <f>VLOOKUP(A735,[2]Tabelle1!$A$1:$B$68,2,FALSE)</f>
        <v>Helmstedt</v>
      </c>
      <c r="D735" t="s">
        <v>2</v>
      </c>
      <c r="E735" t="s">
        <v>4</v>
      </c>
      <c r="F735" t="str">
        <f>VLOOKUP(A735,[1]Kreise!$A$1:$C$53,3,FALSE)</f>
        <v>K03154</v>
      </c>
      <c r="G735">
        <v>43</v>
      </c>
    </row>
    <row r="736" spans="1:7" x14ac:dyDescent="0.25">
      <c r="A736">
        <v>155</v>
      </c>
      <c r="B736">
        <v>2017</v>
      </c>
      <c r="C736" t="str">
        <f>VLOOKUP(A736,[2]Tabelle1!$A$1:$B$68,2,FALSE)</f>
        <v>Northeim</v>
      </c>
      <c r="D736" t="s">
        <v>2</v>
      </c>
      <c r="E736" t="s">
        <v>4</v>
      </c>
      <c r="F736" t="str">
        <f>VLOOKUP(A736,[1]Kreise!$A$1:$C$53,3,FALSE)</f>
        <v>K03155</v>
      </c>
      <c r="G736">
        <v>46</v>
      </c>
    </row>
    <row r="737" spans="1:7" x14ac:dyDescent="0.25">
      <c r="A737">
        <v>157</v>
      </c>
      <c r="B737">
        <v>2017</v>
      </c>
      <c r="C737" t="str">
        <f>VLOOKUP(A737,[2]Tabelle1!$A$1:$B$68,2,FALSE)</f>
        <v>Peine</v>
      </c>
      <c r="D737" t="s">
        <v>2</v>
      </c>
      <c r="E737" t="s">
        <v>4</v>
      </c>
      <c r="F737" t="str">
        <f>VLOOKUP(A737,[1]Kreise!$A$1:$C$53,3,FALSE)</f>
        <v>K03157</v>
      </c>
      <c r="G737">
        <v>35</v>
      </c>
    </row>
    <row r="738" spans="1:7" x14ac:dyDescent="0.25">
      <c r="A738">
        <v>158</v>
      </c>
      <c r="B738">
        <v>2017</v>
      </c>
      <c r="C738" t="str">
        <f>VLOOKUP(A738,[2]Tabelle1!$A$1:$B$68,2,FALSE)</f>
        <v>Wolfenbüttel</v>
      </c>
      <c r="D738" t="s">
        <v>2</v>
      </c>
      <c r="E738" t="s">
        <v>4</v>
      </c>
      <c r="F738" t="str">
        <f>VLOOKUP(A738,[1]Kreise!$A$1:$C$53,3,FALSE)</f>
        <v>K03158</v>
      </c>
      <c r="G738">
        <v>41</v>
      </c>
    </row>
    <row r="739" spans="1:7" x14ac:dyDescent="0.25">
      <c r="A739">
        <v>159</v>
      </c>
      <c r="B739">
        <v>2017</v>
      </c>
      <c r="C739" t="str">
        <f>VLOOKUP(A739,[2]Tabelle1!$A$1:$B$68,2,FALSE)</f>
        <v>Göttingen</v>
      </c>
      <c r="D739" t="s">
        <v>2</v>
      </c>
      <c r="E739" t="s">
        <v>4</v>
      </c>
      <c r="F739" t="str">
        <f>VLOOKUP(A739,[1]Kreise!$A$1:$C$53,3,FALSE)</f>
        <v>K03159</v>
      </c>
      <c r="G739">
        <v>87</v>
      </c>
    </row>
    <row r="740" spans="1:7" x14ac:dyDescent="0.25">
      <c r="A740">
        <v>1</v>
      </c>
      <c r="B740">
        <v>2017</v>
      </c>
      <c r="C740" t="str">
        <f>VLOOKUP(A740,[2]Tabelle1!$A$1:$B$68,2,FALSE)</f>
        <v>Statistische Region Braunschweig</v>
      </c>
      <c r="D740" t="s">
        <v>2</v>
      </c>
      <c r="E740" t="s">
        <v>4</v>
      </c>
      <c r="F740" t="str">
        <f>VLOOKUP(A740,[1]Kreise!$A$1:$C$53,3,FALSE)</f>
        <v>K031</v>
      </c>
      <c r="G740">
        <v>592</v>
      </c>
    </row>
    <row r="741" spans="1:7" x14ac:dyDescent="0.25">
      <c r="A741">
        <v>241</v>
      </c>
      <c r="B741">
        <v>2017</v>
      </c>
      <c r="C741" t="str">
        <f>VLOOKUP(A741,[2]Tabelle1!$A$1:$B$68,2,FALSE)</f>
        <v>Hannover  Region</v>
      </c>
      <c r="D741" t="s">
        <v>2</v>
      </c>
      <c r="E741" t="s">
        <v>4</v>
      </c>
      <c r="F741" t="str">
        <f>VLOOKUP(A741,[1]Kreise!$A$1:$C$53,3,FALSE)</f>
        <v>K03241</v>
      </c>
      <c r="G741">
        <v>360</v>
      </c>
    </row>
    <row r="742" spans="1:7" x14ac:dyDescent="0.25">
      <c r="A742">
        <v>241001</v>
      </c>
      <c r="B742">
        <v>2017</v>
      </c>
      <c r="C742" t="str">
        <f>VLOOKUP(A742,[2]Tabelle1!$A$1:$B$68,2,FALSE)</f>
        <v>dav. Hannover  Lhst.</v>
      </c>
      <c r="D742" t="s">
        <v>2</v>
      </c>
      <c r="E742" t="s">
        <v>4</v>
      </c>
      <c r="F742" t="str">
        <f>VLOOKUP(A742,[1]Kreise!$A$1:$C$53,3,FALSE)</f>
        <v>K03241001</v>
      </c>
      <c r="G742">
        <v>174</v>
      </c>
    </row>
    <row r="743" spans="1:7" x14ac:dyDescent="0.25">
      <c r="A743">
        <v>241999</v>
      </c>
      <c r="B743">
        <v>2017</v>
      </c>
      <c r="C743" t="str">
        <f>VLOOKUP(A743,[2]Tabelle1!$A$1:$B$68,2,FALSE)</f>
        <v>dav. Hannover  Umland</v>
      </c>
      <c r="D743" t="s">
        <v>2</v>
      </c>
      <c r="E743" t="s">
        <v>4</v>
      </c>
      <c r="F743" t="str">
        <f>VLOOKUP(A743,[1]Kreise!$A$1:$C$53,3,FALSE)</f>
        <v>K03241999</v>
      </c>
      <c r="G743">
        <v>186</v>
      </c>
    </row>
    <row r="744" spans="1:7" x14ac:dyDescent="0.25">
      <c r="A744">
        <v>251</v>
      </c>
      <c r="B744">
        <v>2017</v>
      </c>
      <c r="C744" t="str">
        <f>VLOOKUP(A744,[2]Tabelle1!$A$1:$B$68,2,FALSE)</f>
        <v>Diepholz</v>
      </c>
      <c r="D744" t="s">
        <v>2</v>
      </c>
      <c r="E744" t="s">
        <v>4</v>
      </c>
      <c r="F744" t="str">
        <f>VLOOKUP(A744,[1]Kreise!$A$1:$C$53,3,FALSE)</f>
        <v>K03251</v>
      </c>
      <c r="G744">
        <v>66</v>
      </c>
    </row>
    <row r="745" spans="1:7" x14ac:dyDescent="0.25">
      <c r="A745">
        <v>252</v>
      </c>
      <c r="B745">
        <v>2017</v>
      </c>
      <c r="C745" t="str">
        <f>VLOOKUP(A745,[2]Tabelle1!$A$1:$B$68,2,FALSE)</f>
        <v>Hameln-Pyrmont</v>
      </c>
      <c r="D745" t="s">
        <v>2</v>
      </c>
      <c r="E745" t="s">
        <v>4</v>
      </c>
      <c r="F745" t="str">
        <f>VLOOKUP(A745,[1]Kreise!$A$1:$C$53,3,FALSE)</f>
        <v>K03252</v>
      </c>
      <c r="G745">
        <v>57</v>
      </c>
    </row>
    <row r="746" spans="1:7" x14ac:dyDescent="0.25">
      <c r="A746">
        <v>254</v>
      </c>
      <c r="B746">
        <v>2017</v>
      </c>
      <c r="C746" t="str">
        <f>VLOOKUP(A746,[2]Tabelle1!$A$1:$B$68,2,FALSE)</f>
        <v>Hildesheim</v>
      </c>
      <c r="D746" t="s">
        <v>2</v>
      </c>
      <c r="E746" t="s">
        <v>4</v>
      </c>
      <c r="F746" t="str">
        <f>VLOOKUP(A746,[1]Kreise!$A$1:$C$53,3,FALSE)</f>
        <v>K03254</v>
      </c>
      <c r="G746">
        <v>139</v>
      </c>
    </row>
    <row r="747" spans="1:7" x14ac:dyDescent="0.25">
      <c r="A747">
        <v>255</v>
      </c>
      <c r="B747">
        <v>2017</v>
      </c>
      <c r="C747" t="str">
        <f>VLOOKUP(A747,[2]Tabelle1!$A$1:$B$68,2,FALSE)</f>
        <v>Holzminden</v>
      </c>
      <c r="D747" t="s">
        <v>2</v>
      </c>
      <c r="E747" t="s">
        <v>4</v>
      </c>
      <c r="F747" t="str">
        <f>VLOOKUP(A747,[1]Kreise!$A$1:$C$53,3,FALSE)</f>
        <v>K03255</v>
      </c>
      <c r="G747">
        <v>25</v>
      </c>
    </row>
    <row r="748" spans="1:7" x14ac:dyDescent="0.25">
      <c r="A748">
        <v>256</v>
      </c>
      <c r="B748">
        <v>2017</v>
      </c>
      <c r="C748" t="str">
        <f>VLOOKUP(A748,[2]Tabelle1!$A$1:$B$68,2,FALSE)</f>
        <v>Nienburg (Weser)</v>
      </c>
      <c r="D748" t="s">
        <v>2</v>
      </c>
      <c r="E748" t="s">
        <v>4</v>
      </c>
      <c r="F748" t="str">
        <f>VLOOKUP(A748,[1]Kreise!$A$1:$C$53,3,FALSE)</f>
        <v>K03256</v>
      </c>
      <c r="G748">
        <v>55</v>
      </c>
    </row>
    <row r="749" spans="1:7" x14ac:dyDescent="0.25">
      <c r="A749">
        <v>257</v>
      </c>
      <c r="B749">
        <v>2017</v>
      </c>
      <c r="C749" t="str">
        <f>VLOOKUP(A749,[2]Tabelle1!$A$1:$B$68,2,FALSE)</f>
        <v>Schaumburg</v>
      </c>
      <c r="D749" t="s">
        <v>2</v>
      </c>
      <c r="E749" t="s">
        <v>4</v>
      </c>
      <c r="F749" t="str">
        <f>VLOOKUP(A749,[1]Kreise!$A$1:$C$53,3,FALSE)</f>
        <v>K03257</v>
      </c>
      <c r="G749">
        <v>37</v>
      </c>
    </row>
    <row r="750" spans="1:7" x14ac:dyDescent="0.25">
      <c r="A750">
        <v>2</v>
      </c>
      <c r="B750">
        <v>2017</v>
      </c>
      <c r="C750" t="str">
        <f>VLOOKUP(A750,[2]Tabelle1!$A$1:$B$68,2,FALSE)</f>
        <v>Statistische Region Hannover</v>
      </c>
      <c r="D750" t="s">
        <v>2</v>
      </c>
      <c r="E750" t="s">
        <v>4</v>
      </c>
      <c r="F750" t="str">
        <f>VLOOKUP(A750,[1]Kreise!$A$1:$C$53,3,FALSE)</f>
        <v>K032</v>
      </c>
      <c r="G750">
        <v>739</v>
      </c>
    </row>
    <row r="751" spans="1:7" x14ac:dyDescent="0.25">
      <c r="A751">
        <v>351</v>
      </c>
      <c r="B751">
        <v>2017</v>
      </c>
      <c r="C751" t="str">
        <f>VLOOKUP(A751,[2]Tabelle1!$A$1:$B$68,2,FALSE)</f>
        <v>Celle</v>
      </c>
      <c r="D751" t="s">
        <v>2</v>
      </c>
      <c r="E751" t="s">
        <v>4</v>
      </c>
      <c r="F751" t="str">
        <f>VLOOKUP(A751,[1]Kreise!$A$1:$C$53,3,FALSE)</f>
        <v>K03351</v>
      </c>
      <c r="G751">
        <v>120</v>
      </c>
    </row>
    <row r="752" spans="1:7" x14ac:dyDescent="0.25">
      <c r="A752">
        <v>352</v>
      </c>
      <c r="B752">
        <v>2017</v>
      </c>
      <c r="C752" t="str">
        <f>VLOOKUP(A752,[2]Tabelle1!$A$1:$B$68,2,FALSE)</f>
        <v>Cuxhaven</v>
      </c>
      <c r="D752" t="s">
        <v>2</v>
      </c>
      <c r="E752" t="s">
        <v>4</v>
      </c>
      <c r="F752" t="str">
        <f>VLOOKUP(A752,[1]Kreise!$A$1:$C$53,3,FALSE)</f>
        <v>K03352</v>
      </c>
      <c r="G752">
        <v>98</v>
      </c>
    </row>
    <row r="753" spans="1:7" x14ac:dyDescent="0.25">
      <c r="A753">
        <v>353</v>
      </c>
      <c r="B753">
        <v>2017</v>
      </c>
      <c r="C753" t="str">
        <f>VLOOKUP(A753,[2]Tabelle1!$A$1:$B$68,2,FALSE)</f>
        <v>Harburg</v>
      </c>
      <c r="D753" t="s">
        <v>2</v>
      </c>
      <c r="E753" t="s">
        <v>4</v>
      </c>
      <c r="F753" t="str">
        <f>VLOOKUP(A753,[1]Kreise!$A$1:$C$53,3,FALSE)</f>
        <v>K03353</v>
      </c>
      <c r="G753">
        <v>75</v>
      </c>
    </row>
    <row r="754" spans="1:7" x14ac:dyDescent="0.25">
      <c r="A754">
        <v>354</v>
      </c>
      <c r="B754">
        <v>2017</v>
      </c>
      <c r="C754" t="str">
        <f>VLOOKUP(A754,[2]Tabelle1!$A$1:$B$68,2,FALSE)</f>
        <v>Lüchow-Dannenberg</v>
      </c>
      <c r="D754" t="s">
        <v>2</v>
      </c>
      <c r="E754" t="s">
        <v>4</v>
      </c>
      <c r="F754" t="str">
        <f>VLOOKUP(A754,[1]Kreise!$A$1:$C$53,3,FALSE)</f>
        <v>K03354</v>
      </c>
      <c r="G754">
        <v>34</v>
      </c>
    </row>
    <row r="755" spans="1:7" x14ac:dyDescent="0.25">
      <c r="A755">
        <v>355</v>
      </c>
      <c r="B755">
        <v>2017</v>
      </c>
      <c r="C755" t="str">
        <f>VLOOKUP(A755,[2]Tabelle1!$A$1:$B$68,2,FALSE)</f>
        <v>Lüneburg</v>
      </c>
      <c r="D755" t="s">
        <v>2</v>
      </c>
      <c r="E755" t="s">
        <v>4</v>
      </c>
      <c r="F755" t="str">
        <f>VLOOKUP(A755,[1]Kreise!$A$1:$C$53,3,FALSE)</f>
        <v>K03355</v>
      </c>
      <c r="G755">
        <v>87</v>
      </c>
    </row>
    <row r="756" spans="1:7" x14ac:dyDescent="0.25">
      <c r="A756">
        <v>356</v>
      </c>
      <c r="B756">
        <v>2017</v>
      </c>
      <c r="C756" t="str">
        <f>VLOOKUP(A756,[2]Tabelle1!$A$1:$B$68,2,FALSE)</f>
        <v>Osterholz</v>
      </c>
      <c r="D756" t="s">
        <v>2</v>
      </c>
      <c r="E756" t="s">
        <v>4</v>
      </c>
      <c r="F756" t="str">
        <f>VLOOKUP(A756,[1]Kreise!$A$1:$C$53,3,FALSE)</f>
        <v>K03356</v>
      </c>
      <c r="G756">
        <v>35</v>
      </c>
    </row>
    <row r="757" spans="1:7" x14ac:dyDescent="0.25">
      <c r="A757">
        <v>357</v>
      </c>
      <c r="B757">
        <v>2017</v>
      </c>
      <c r="C757" t="str">
        <f>VLOOKUP(A757,[2]Tabelle1!$A$1:$B$68,2,FALSE)</f>
        <v>Rotenburg (Wümme)</v>
      </c>
      <c r="D757" t="s">
        <v>2</v>
      </c>
      <c r="E757" t="s">
        <v>4</v>
      </c>
      <c r="F757" t="str">
        <f>VLOOKUP(A757,[1]Kreise!$A$1:$C$53,3,FALSE)</f>
        <v>K03357</v>
      </c>
      <c r="G757">
        <v>94</v>
      </c>
    </row>
    <row r="758" spans="1:7" x14ac:dyDescent="0.25">
      <c r="A758">
        <v>358</v>
      </c>
      <c r="B758">
        <v>2017</v>
      </c>
      <c r="C758" t="str">
        <f>VLOOKUP(A758,[2]Tabelle1!$A$1:$B$68,2,FALSE)</f>
        <v>Heidekreis</v>
      </c>
      <c r="D758" t="s">
        <v>2</v>
      </c>
      <c r="E758" t="s">
        <v>4</v>
      </c>
      <c r="F758" t="str">
        <f>VLOOKUP(A758,[1]Kreise!$A$1:$C$53,3,FALSE)</f>
        <v>K03358</v>
      </c>
      <c r="G758">
        <v>80</v>
      </c>
    </row>
    <row r="759" spans="1:7" x14ac:dyDescent="0.25">
      <c r="A759">
        <v>359</v>
      </c>
      <c r="B759">
        <v>2017</v>
      </c>
      <c r="C759" t="str">
        <f>VLOOKUP(A759,[2]Tabelle1!$A$1:$B$68,2,FALSE)</f>
        <v>Stade</v>
      </c>
      <c r="D759" t="s">
        <v>2</v>
      </c>
      <c r="E759" t="s">
        <v>4</v>
      </c>
      <c r="F759" t="str">
        <f>VLOOKUP(A759,[1]Kreise!$A$1:$C$53,3,FALSE)</f>
        <v>K03359</v>
      </c>
      <c r="G759">
        <v>80</v>
      </c>
    </row>
    <row r="760" spans="1:7" x14ac:dyDescent="0.25">
      <c r="A760">
        <v>360</v>
      </c>
      <c r="B760">
        <v>2017</v>
      </c>
      <c r="C760" t="str">
        <f>VLOOKUP(A760,[2]Tabelle1!$A$1:$B$68,2,FALSE)</f>
        <v>Uelzen</v>
      </c>
      <c r="D760" t="s">
        <v>2</v>
      </c>
      <c r="E760" t="s">
        <v>4</v>
      </c>
      <c r="F760" t="str">
        <f>VLOOKUP(A760,[1]Kreise!$A$1:$C$53,3,FALSE)</f>
        <v>K03360</v>
      </c>
      <c r="G760">
        <v>38</v>
      </c>
    </row>
    <row r="761" spans="1:7" x14ac:dyDescent="0.25">
      <c r="A761">
        <v>361</v>
      </c>
      <c r="B761">
        <v>2017</v>
      </c>
      <c r="C761" t="str">
        <f>VLOOKUP(A761,[2]Tabelle1!$A$1:$B$68,2,FALSE)</f>
        <v>Verden</v>
      </c>
      <c r="D761" t="s">
        <v>2</v>
      </c>
      <c r="E761" t="s">
        <v>4</v>
      </c>
      <c r="F761" t="str">
        <f>VLOOKUP(A761,[1]Kreise!$A$1:$C$53,3,FALSE)</f>
        <v>K03361</v>
      </c>
      <c r="G761">
        <v>34</v>
      </c>
    </row>
    <row r="762" spans="1:7" x14ac:dyDescent="0.25">
      <c r="A762">
        <v>3</v>
      </c>
      <c r="B762">
        <v>2017</v>
      </c>
      <c r="C762" t="str">
        <f>VLOOKUP(A762,[2]Tabelle1!$A$1:$B$68,2,FALSE)</f>
        <v>Statistische Region Lüneburg</v>
      </c>
      <c r="D762" t="s">
        <v>2</v>
      </c>
      <c r="E762" t="s">
        <v>4</v>
      </c>
      <c r="F762" t="str">
        <f>VLOOKUP(A762,[1]Kreise!$A$1:$C$53,3,FALSE)</f>
        <v>K033</v>
      </c>
      <c r="G762">
        <v>775</v>
      </c>
    </row>
    <row r="763" spans="1:7" x14ac:dyDescent="0.25">
      <c r="A763">
        <v>401</v>
      </c>
      <c r="B763">
        <v>2017</v>
      </c>
      <c r="C763" t="str">
        <f>VLOOKUP(A763,[2]Tabelle1!$A$1:$B$68,2,FALSE)</f>
        <v>Delmenhorst  Stadt</v>
      </c>
      <c r="D763" t="s">
        <v>2</v>
      </c>
      <c r="E763" t="s">
        <v>4</v>
      </c>
      <c r="F763" t="str">
        <f>VLOOKUP(A763,[1]Kreise!$A$1:$C$53,3,FALSE)</f>
        <v>K03401</v>
      </c>
      <c r="G763">
        <v>44</v>
      </c>
    </row>
    <row r="764" spans="1:7" x14ac:dyDescent="0.25">
      <c r="A764">
        <v>402</v>
      </c>
      <c r="B764">
        <v>2017</v>
      </c>
      <c r="C764" t="str">
        <f>VLOOKUP(A764,[2]Tabelle1!$A$1:$B$68,2,FALSE)</f>
        <v>Emden  Stadt</v>
      </c>
      <c r="D764" t="s">
        <v>2</v>
      </c>
      <c r="E764" t="s">
        <v>4</v>
      </c>
      <c r="F764" t="str">
        <f>VLOOKUP(A764,[1]Kreise!$A$1:$C$53,3,FALSE)</f>
        <v>K03402</v>
      </c>
      <c r="G764">
        <v>38</v>
      </c>
    </row>
    <row r="765" spans="1:7" x14ac:dyDescent="0.25">
      <c r="A765">
        <v>403</v>
      </c>
      <c r="B765">
        <v>2017</v>
      </c>
      <c r="C765" t="str">
        <f>VLOOKUP(A765,[2]Tabelle1!$A$1:$B$68,2,FALSE)</f>
        <v>Oldenburg(Oldb)  Stadt</v>
      </c>
      <c r="D765" t="s">
        <v>2</v>
      </c>
      <c r="E765" t="s">
        <v>4</v>
      </c>
      <c r="F765" t="str">
        <f>VLOOKUP(A765,[1]Kreise!$A$1:$C$53,3,FALSE)</f>
        <v>K03403</v>
      </c>
      <c r="G765">
        <v>89</v>
      </c>
    </row>
    <row r="766" spans="1:7" x14ac:dyDescent="0.25">
      <c r="A766">
        <v>404</v>
      </c>
      <c r="B766">
        <v>2017</v>
      </c>
      <c r="C766" t="str">
        <f>VLOOKUP(A766,[2]Tabelle1!$A$1:$B$68,2,FALSE)</f>
        <v>Osnabrück  Stadt</v>
      </c>
      <c r="D766" t="s">
        <v>2</v>
      </c>
      <c r="E766" t="s">
        <v>4</v>
      </c>
      <c r="F766" t="str">
        <f>VLOOKUP(A766,[1]Kreise!$A$1:$C$53,3,FALSE)</f>
        <v>K03404</v>
      </c>
      <c r="G766">
        <v>80</v>
      </c>
    </row>
    <row r="767" spans="1:7" x14ac:dyDescent="0.25">
      <c r="A767">
        <v>405</v>
      </c>
      <c r="B767">
        <v>2017</v>
      </c>
      <c r="C767" t="str">
        <f>VLOOKUP(A767,[2]Tabelle1!$A$1:$B$68,2,FALSE)</f>
        <v>Wilhelmshaven  Stadt</v>
      </c>
      <c r="D767" t="s">
        <v>2</v>
      </c>
      <c r="E767" t="s">
        <v>4</v>
      </c>
      <c r="F767" t="str">
        <f>VLOOKUP(A767,[1]Kreise!$A$1:$C$53,3,FALSE)</f>
        <v>K03405</v>
      </c>
      <c r="G767">
        <v>25</v>
      </c>
    </row>
    <row r="768" spans="1:7" x14ac:dyDescent="0.25">
      <c r="A768">
        <v>451</v>
      </c>
      <c r="B768">
        <v>2017</v>
      </c>
      <c r="C768" t="str">
        <f>VLOOKUP(A768,[2]Tabelle1!$A$1:$B$68,2,FALSE)</f>
        <v>Ammerland</v>
      </c>
      <c r="D768" t="s">
        <v>2</v>
      </c>
      <c r="E768" t="s">
        <v>4</v>
      </c>
      <c r="F768" t="str">
        <f>VLOOKUP(A768,[1]Kreise!$A$1:$C$53,3,FALSE)</f>
        <v>K03451</v>
      </c>
      <c r="G768">
        <v>64</v>
      </c>
    </row>
    <row r="769" spans="1:7" x14ac:dyDescent="0.25">
      <c r="A769">
        <v>452</v>
      </c>
      <c r="B769">
        <v>2017</v>
      </c>
      <c r="C769" t="str">
        <f>VLOOKUP(A769,[2]Tabelle1!$A$1:$B$68,2,FALSE)</f>
        <v>Aurich</v>
      </c>
      <c r="D769" t="s">
        <v>2</v>
      </c>
      <c r="E769" t="s">
        <v>4</v>
      </c>
      <c r="F769" t="str">
        <f>VLOOKUP(A769,[1]Kreise!$A$1:$C$53,3,FALSE)</f>
        <v>K03452</v>
      </c>
      <c r="G769">
        <v>150</v>
      </c>
    </row>
    <row r="770" spans="1:7" x14ac:dyDescent="0.25">
      <c r="A770">
        <v>453</v>
      </c>
      <c r="B770">
        <v>2017</v>
      </c>
      <c r="C770" t="str">
        <f>VLOOKUP(A770,[2]Tabelle1!$A$1:$B$68,2,FALSE)</f>
        <v>Cloppenburg</v>
      </c>
      <c r="D770" t="s">
        <v>2</v>
      </c>
      <c r="E770" t="s">
        <v>4</v>
      </c>
      <c r="F770" t="str">
        <f>VLOOKUP(A770,[1]Kreise!$A$1:$C$53,3,FALSE)</f>
        <v>K03453</v>
      </c>
      <c r="G770">
        <v>100</v>
      </c>
    </row>
    <row r="771" spans="1:7" x14ac:dyDescent="0.25">
      <c r="A771">
        <v>454</v>
      </c>
      <c r="B771">
        <v>2017</v>
      </c>
      <c r="C771" t="str">
        <f>VLOOKUP(A771,[2]Tabelle1!$A$1:$B$68,2,FALSE)</f>
        <v>Emsland</v>
      </c>
      <c r="D771" t="s">
        <v>2</v>
      </c>
      <c r="E771" t="s">
        <v>4</v>
      </c>
      <c r="F771" t="str">
        <f>VLOOKUP(A771,[1]Kreise!$A$1:$C$53,3,FALSE)</f>
        <v>K03454</v>
      </c>
      <c r="G771">
        <v>191</v>
      </c>
    </row>
    <row r="772" spans="1:7" x14ac:dyDescent="0.25">
      <c r="A772">
        <v>455</v>
      </c>
      <c r="B772">
        <v>2017</v>
      </c>
      <c r="C772" t="str">
        <f>VLOOKUP(A772,[2]Tabelle1!$A$1:$B$68,2,FALSE)</f>
        <v>Friesland</v>
      </c>
      <c r="D772" t="s">
        <v>2</v>
      </c>
      <c r="E772" t="s">
        <v>4</v>
      </c>
      <c r="F772" t="str">
        <f>VLOOKUP(A772,[1]Kreise!$A$1:$C$53,3,FALSE)</f>
        <v>K03455</v>
      </c>
      <c r="G772">
        <v>54</v>
      </c>
    </row>
    <row r="773" spans="1:7" x14ac:dyDescent="0.25">
      <c r="A773">
        <v>456</v>
      </c>
      <c r="B773">
        <v>2017</v>
      </c>
      <c r="C773" t="str">
        <f>VLOOKUP(A773,[2]Tabelle1!$A$1:$B$68,2,FALSE)</f>
        <v>Grafschaft Bentheim</v>
      </c>
      <c r="D773" t="s">
        <v>2</v>
      </c>
      <c r="E773" t="s">
        <v>4</v>
      </c>
      <c r="F773" t="str">
        <f>VLOOKUP(A773,[1]Kreise!$A$1:$C$53,3,FALSE)</f>
        <v>K03456</v>
      </c>
      <c r="G773">
        <v>68</v>
      </c>
    </row>
    <row r="774" spans="1:7" x14ac:dyDescent="0.25">
      <c r="A774">
        <v>457</v>
      </c>
      <c r="B774">
        <v>2017</v>
      </c>
      <c r="C774" t="str">
        <f>VLOOKUP(A774,[2]Tabelle1!$A$1:$B$68,2,FALSE)</f>
        <v>Leer</v>
      </c>
      <c r="D774" t="s">
        <v>2</v>
      </c>
      <c r="E774" t="s">
        <v>4</v>
      </c>
      <c r="F774" t="str">
        <f>VLOOKUP(A774,[1]Kreise!$A$1:$C$53,3,FALSE)</f>
        <v>K03457</v>
      </c>
      <c r="G774">
        <v>136</v>
      </c>
    </row>
    <row r="775" spans="1:7" x14ac:dyDescent="0.25">
      <c r="A775">
        <v>458</v>
      </c>
      <c r="B775">
        <v>2017</v>
      </c>
      <c r="C775" t="str">
        <f>VLOOKUP(A775,[2]Tabelle1!$A$1:$B$68,2,FALSE)</f>
        <v>Oldenburg</v>
      </c>
      <c r="D775" t="s">
        <v>2</v>
      </c>
      <c r="E775" t="s">
        <v>4</v>
      </c>
      <c r="F775" t="str">
        <f>VLOOKUP(A775,[1]Kreise!$A$1:$C$53,3,FALSE)</f>
        <v>K03458</v>
      </c>
      <c r="G775">
        <v>57</v>
      </c>
    </row>
    <row r="776" spans="1:7" x14ac:dyDescent="0.25">
      <c r="A776">
        <v>459</v>
      </c>
      <c r="B776">
        <v>2017</v>
      </c>
      <c r="C776" t="str">
        <f>VLOOKUP(A776,[2]Tabelle1!$A$1:$B$68,2,FALSE)</f>
        <v>Osnabrück</v>
      </c>
      <c r="D776" t="s">
        <v>2</v>
      </c>
      <c r="E776" t="s">
        <v>4</v>
      </c>
      <c r="F776" t="str">
        <f>VLOOKUP(A776,[1]Kreise!$A$1:$C$53,3,FALSE)</f>
        <v>K03459</v>
      </c>
      <c r="G776">
        <v>157</v>
      </c>
    </row>
    <row r="777" spans="1:7" x14ac:dyDescent="0.25">
      <c r="A777">
        <v>460</v>
      </c>
      <c r="B777">
        <v>2017</v>
      </c>
      <c r="C777" t="str">
        <f>VLOOKUP(A777,[2]Tabelle1!$A$1:$B$68,2,FALSE)</f>
        <v>Vechta</v>
      </c>
      <c r="D777" t="s">
        <v>2</v>
      </c>
      <c r="E777" t="s">
        <v>4</v>
      </c>
      <c r="F777" t="str">
        <f>VLOOKUP(A777,[1]Kreise!$A$1:$C$53,3,FALSE)</f>
        <v>K03460</v>
      </c>
      <c r="G777">
        <v>89</v>
      </c>
    </row>
    <row r="778" spans="1:7" x14ac:dyDescent="0.25">
      <c r="A778">
        <v>461</v>
      </c>
      <c r="B778">
        <v>2017</v>
      </c>
      <c r="C778" t="str">
        <f>VLOOKUP(A778,[2]Tabelle1!$A$1:$B$68,2,FALSE)</f>
        <v>Wesermarsch</v>
      </c>
      <c r="D778" t="s">
        <v>2</v>
      </c>
      <c r="E778" t="s">
        <v>4</v>
      </c>
      <c r="F778" t="str">
        <f>VLOOKUP(A778,[1]Kreise!$A$1:$C$53,3,FALSE)</f>
        <v>K03461</v>
      </c>
      <c r="G778">
        <v>33</v>
      </c>
    </row>
    <row r="779" spans="1:7" x14ac:dyDescent="0.25">
      <c r="A779">
        <v>462</v>
      </c>
      <c r="B779">
        <v>2017</v>
      </c>
      <c r="C779" t="str">
        <f>VLOOKUP(A779,[2]Tabelle1!$A$1:$B$68,2,FALSE)</f>
        <v>Wittmund</v>
      </c>
      <c r="D779" t="s">
        <v>2</v>
      </c>
      <c r="E779" t="s">
        <v>4</v>
      </c>
      <c r="F779" t="str">
        <f>VLOOKUP(A779,[1]Kreise!$A$1:$C$53,3,FALSE)</f>
        <v>K03462</v>
      </c>
      <c r="G779">
        <v>39</v>
      </c>
    </row>
    <row r="780" spans="1:7" x14ac:dyDescent="0.25">
      <c r="A780">
        <v>4</v>
      </c>
      <c r="B780">
        <v>2017</v>
      </c>
      <c r="C780" t="str">
        <f>VLOOKUP(A780,[2]Tabelle1!$A$1:$B$68,2,FALSE)</f>
        <v>Statistische Region Weser-Ems</v>
      </c>
      <c r="D780" t="s">
        <v>2</v>
      </c>
      <c r="E780" t="s">
        <v>4</v>
      </c>
      <c r="F780" t="str">
        <f>VLOOKUP(A780,[1]Kreise!$A$1:$C$53,3,FALSE)</f>
        <v>K034</v>
      </c>
      <c r="G780">
        <v>1414</v>
      </c>
    </row>
    <row r="781" spans="1:7" x14ac:dyDescent="0.25">
      <c r="A781">
        <v>0</v>
      </c>
      <c r="B781">
        <v>2017</v>
      </c>
      <c r="C781" t="str">
        <f>VLOOKUP(A781,[2]Tabelle1!$A$1:$B$68,2,FALSE)</f>
        <v>Niedersachsen</v>
      </c>
      <c r="D781" t="s">
        <v>2</v>
      </c>
      <c r="E781" t="s">
        <v>4</v>
      </c>
      <c r="F781" t="str">
        <f>VLOOKUP(A781,[1]Kreise!$A$1:$C$53,3,FALSE)</f>
        <v>K030</v>
      </c>
      <c r="G781">
        <v>3520</v>
      </c>
    </row>
    <row r="782" spans="1:7" x14ac:dyDescent="0.25">
      <c r="A782">
        <v>101</v>
      </c>
      <c r="B782">
        <v>2017</v>
      </c>
      <c r="C782" t="str">
        <f>VLOOKUP(A782,[2]Tabelle1!$A$1:$B$68,2,FALSE)</f>
        <v>Braunschweig  Stadt</v>
      </c>
      <c r="D782" t="s">
        <v>3</v>
      </c>
      <c r="E782" t="s">
        <v>4</v>
      </c>
      <c r="F782" t="str">
        <f>VLOOKUP(A782,[1]Kreise!$A$1:$C$53,3,FALSE)</f>
        <v>K03101</v>
      </c>
      <c r="G782">
        <v>39</v>
      </c>
    </row>
    <row r="783" spans="1:7" x14ac:dyDescent="0.25">
      <c r="A783">
        <v>102</v>
      </c>
      <c r="B783">
        <v>2017</v>
      </c>
      <c r="C783" t="str">
        <f>VLOOKUP(A783,[2]Tabelle1!$A$1:$B$68,2,FALSE)</f>
        <v>Salzgitter  Stadt</v>
      </c>
      <c r="D783" t="s">
        <v>3</v>
      </c>
      <c r="E783" t="s">
        <v>4</v>
      </c>
      <c r="F783" t="str">
        <f>VLOOKUP(A783,[1]Kreise!$A$1:$C$53,3,FALSE)</f>
        <v>K03102</v>
      </c>
      <c r="G783">
        <v>30</v>
      </c>
    </row>
    <row r="784" spans="1:7" x14ac:dyDescent="0.25">
      <c r="A784">
        <v>103</v>
      </c>
      <c r="B784">
        <v>2017</v>
      </c>
      <c r="C784" t="str">
        <f>VLOOKUP(A784,[2]Tabelle1!$A$1:$B$68,2,FALSE)</f>
        <v>Wolfsburg  Stadt</v>
      </c>
      <c r="D784" t="s">
        <v>3</v>
      </c>
      <c r="E784" t="s">
        <v>4</v>
      </c>
      <c r="F784" t="str">
        <f>VLOOKUP(A784,[1]Kreise!$A$1:$C$53,3,FALSE)</f>
        <v>K03103</v>
      </c>
      <c r="G784">
        <v>23</v>
      </c>
    </row>
    <row r="785" spans="1:7" x14ac:dyDescent="0.25">
      <c r="A785">
        <v>151</v>
      </c>
      <c r="B785">
        <v>2017</v>
      </c>
      <c r="C785" t="str">
        <f>VLOOKUP(A785,[2]Tabelle1!$A$1:$B$68,2,FALSE)</f>
        <v>Gifhorn</v>
      </c>
      <c r="D785" t="s">
        <v>3</v>
      </c>
      <c r="E785" t="s">
        <v>4</v>
      </c>
      <c r="F785" t="str">
        <f>VLOOKUP(A785,[1]Kreise!$A$1:$C$53,3,FALSE)</f>
        <v>K03151</v>
      </c>
      <c r="G785">
        <v>16</v>
      </c>
    </row>
    <row r="786" spans="1:7" x14ac:dyDescent="0.25">
      <c r="A786">
        <v>153</v>
      </c>
      <c r="B786">
        <v>2017</v>
      </c>
      <c r="C786" t="str">
        <f>VLOOKUP(A786,[2]Tabelle1!$A$1:$B$68,2,FALSE)</f>
        <v>Goslar</v>
      </c>
      <c r="D786" t="s">
        <v>3</v>
      </c>
      <c r="E786" t="s">
        <v>4</v>
      </c>
      <c r="F786" t="str">
        <f>VLOOKUP(A786,[1]Kreise!$A$1:$C$53,3,FALSE)</f>
        <v>K03153</v>
      </c>
      <c r="G786">
        <v>10</v>
      </c>
    </row>
    <row r="787" spans="1:7" x14ac:dyDescent="0.25">
      <c r="A787">
        <v>154</v>
      </c>
      <c r="B787">
        <v>2017</v>
      </c>
      <c r="C787" t="str">
        <f>VLOOKUP(A787,[2]Tabelle1!$A$1:$B$68,2,FALSE)</f>
        <v>Helmstedt</v>
      </c>
      <c r="D787" t="s">
        <v>3</v>
      </c>
      <c r="E787" t="s">
        <v>4</v>
      </c>
      <c r="F787" t="str">
        <f>VLOOKUP(A787,[1]Kreise!$A$1:$C$53,3,FALSE)</f>
        <v>K03154</v>
      </c>
      <c r="G787">
        <v>8</v>
      </c>
    </row>
    <row r="788" spans="1:7" x14ac:dyDescent="0.25">
      <c r="A788">
        <v>155</v>
      </c>
      <c r="B788">
        <v>2017</v>
      </c>
      <c r="C788" t="str">
        <f>VLOOKUP(A788,[2]Tabelle1!$A$1:$B$68,2,FALSE)</f>
        <v>Northeim</v>
      </c>
      <c r="D788" t="s">
        <v>3</v>
      </c>
      <c r="E788" t="s">
        <v>4</v>
      </c>
      <c r="F788" t="str">
        <f>VLOOKUP(A788,[1]Kreise!$A$1:$C$53,3,FALSE)</f>
        <v>K03155</v>
      </c>
      <c r="G788">
        <v>14</v>
      </c>
    </row>
    <row r="789" spans="1:7" x14ac:dyDescent="0.25">
      <c r="A789">
        <v>157</v>
      </c>
      <c r="B789">
        <v>2017</v>
      </c>
      <c r="C789" t="str">
        <f>VLOOKUP(A789,[2]Tabelle1!$A$1:$B$68,2,FALSE)</f>
        <v>Peine</v>
      </c>
      <c r="D789" t="s">
        <v>3</v>
      </c>
      <c r="E789" t="s">
        <v>4</v>
      </c>
      <c r="F789" t="str">
        <f>VLOOKUP(A789,[1]Kreise!$A$1:$C$53,3,FALSE)</f>
        <v>K03157</v>
      </c>
      <c r="G789">
        <v>17</v>
      </c>
    </row>
    <row r="790" spans="1:7" x14ac:dyDescent="0.25">
      <c r="A790">
        <v>158</v>
      </c>
      <c r="B790">
        <v>2017</v>
      </c>
      <c r="C790" t="str">
        <f>VLOOKUP(A790,[2]Tabelle1!$A$1:$B$68,2,FALSE)</f>
        <v>Wolfenbüttel</v>
      </c>
      <c r="D790" t="s">
        <v>3</v>
      </c>
      <c r="E790" t="s">
        <v>4</v>
      </c>
      <c r="F790" t="str">
        <f>VLOOKUP(A790,[1]Kreise!$A$1:$C$53,3,FALSE)</f>
        <v>K03158</v>
      </c>
      <c r="G790">
        <v>16</v>
      </c>
    </row>
    <row r="791" spans="1:7" x14ac:dyDescent="0.25">
      <c r="A791">
        <v>159</v>
      </c>
      <c r="B791">
        <v>2017</v>
      </c>
      <c r="C791" t="str">
        <f>VLOOKUP(A791,[2]Tabelle1!$A$1:$B$68,2,FALSE)</f>
        <v>Göttingen</v>
      </c>
      <c r="D791" t="s">
        <v>3</v>
      </c>
      <c r="E791" t="s">
        <v>4</v>
      </c>
      <c r="F791" t="str">
        <f>VLOOKUP(A791,[1]Kreise!$A$1:$C$53,3,FALSE)</f>
        <v>K03159</v>
      </c>
      <c r="G791">
        <v>37</v>
      </c>
    </row>
    <row r="792" spans="1:7" x14ac:dyDescent="0.25">
      <c r="A792">
        <v>1</v>
      </c>
      <c r="B792">
        <v>2017</v>
      </c>
      <c r="C792" t="str">
        <f>VLOOKUP(A792,[2]Tabelle1!$A$1:$B$68,2,FALSE)</f>
        <v>Statistische Region Braunschweig</v>
      </c>
      <c r="D792" t="s">
        <v>3</v>
      </c>
      <c r="E792" t="s">
        <v>4</v>
      </c>
      <c r="F792" t="str">
        <f>VLOOKUP(A792,[1]Kreise!$A$1:$C$53,3,FALSE)</f>
        <v>K031</v>
      </c>
      <c r="G792">
        <v>210</v>
      </c>
    </row>
    <row r="793" spans="1:7" x14ac:dyDescent="0.25">
      <c r="A793">
        <v>241</v>
      </c>
      <c r="B793">
        <v>2017</v>
      </c>
      <c r="C793" t="str">
        <f>VLOOKUP(A793,[2]Tabelle1!$A$1:$B$68,2,FALSE)</f>
        <v>Hannover  Region</v>
      </c>
      <c r="D793" t="s">
        <v>3</v>
      </c>
      <c r="E793" t="s">
        <v>4</v>
      </c>
      <c r="F793" t="str">
        <f>VLOOKUP(A793,[1]Kreise!$A$1:$C$53,3,FALSE)</f>
        <v>K03241</v>
      </c>
      <c r="G793">
        <v>211</v>
      </c>
    </row>
    <row r="794" spans="1:7" x14ac:dyDescent="0.25">
      <c r="A794">
        <v>241001</v>
      </c>
      <c r="B794">
        <v>2017</v>
      </c>
      <c r="C794" t="str">
        <f>VLOOKUP(A794,[2]Tabelle1!$A$1:$B$68,2,FALSE)</f>
        <v>dav. Hannover  Lhst.</v>
      </c>
      <c r="D794" t="s">
        <v>3</v>
      </c>
      <c r="E794" t="s">
        <v>4</v>
      </c>
      <c r="F794" t="str">
        <f>VLOOKUP(A794,[1]Kreise!$A$1:$C$53,3,FALSE)</f>
        <v>K03241001</v>
      </c>
      <c r="G794">
        <v>129</v>
      </c>
    </row>
    <row r="795" spans="1:7" x14ac:dyDescent="0.25">
      <c r="A795">
        <v>241999</v>
      </c>
      <c r="B795">
        <v>2017</v>
      </c>
      <c r="C795" t="str">
        <f>VLOOKUP(A795,[2]Tabelle1!$A$1:$B$68,2,FALSE)</f>
        <v>dav. Hannover  Umland</v>
      </c>
      <c r="D795" t="s">
        <v>3</v>
      </c>
      <c r="E795" t="s">
        <v>4</v>
      </c>
      <c r="F795" t="str">
        <f>VLOOKUP(A795,[1]Kreise!$A$1:$C$53,3,FALSE)</f>
        <v>K03241999</v>
      </c>
      <c r="G795">
        <v>82</v>
      </c>
    </row>
    <row r="796" spans="1:7" x14ac:dyDescent="0.25">
      <c r="A796">
        <v>251</v>
      </c>
      <c r="B796">
        <v>2017</v>
      </c>
      <c r="C796" t="str">
        <f>VLOOKUP(A796,[2]Tabelle1!$A$1:$B$68,2,FALSE)</f>
        <v>Diepholz</v>
      </c>
      <c r="D796" t="s">
        <v>3</v>
      </c>
      <c r="E796" t="s">
        <v>4</v>
      </c>
      <c r="F796" t="str">
        <f>VLOOKUP(A796,[1]Kreise!$A$1:$C$53,3,FALSE)</f>
        <v>K03251</v>
      </c>
      <c r="G796">
        <v>31</v>
      </c>
    </row>
    <row r="797" spans="1:7" x14ac:dyDescent="0.25">
      <c r="A797">
        <v>252</v>
      </c>
      <c r="B797">
        <v>2017</v>
      </c>
      <c r="C797" t="str">
        <f>VLOOKUP(A797,[2]Tabelle1!$A$1:$B$68,2,FALSE)</f>
        <v>Hameln-Pyrmont</v>
      </c>
      <c r="D797" t="s">
        <v>3</v>
      </c>
      <c r="E797" t="s">
        <v>4</v>
      </c>
      <c r="F797" t="str">
        <f>VLOOKUP(A797,[1]Kreise!$A$1:$C$53,3,FALSE)</f>
        <v>K03252</v>
      </c>
      <c r="G797">
        <v>18</v>
      </c>
    </row>
    <row r="798" spans="1:7" x14ac:dyDescent="0.25">
      <c r="A798">
        <v>254</v>
      </c>
      <c r="B798">
        <v>2017</v>
      </c>
      <c r="C798" t="str">
        <f>VLOOKUP(A798,[2]Tabelle1!$A$1:$B$68,2,FALSE)</f>
        <v>Hildesheim</v>
      </c>
      <c r="D798" t="s">
        <v>3</v>
      </c>
      <c r="E798" t="s">
        <v>4</v>
      </c>
      <c r="F798" t="str">
        <f>VLOOKUP(A798,[1]Kreise!$A$1:$C$53,3,FALSE)</f>
        <v>K03254</v>
      </c>
      <c r="G798">
        <v>46</v>
      </c>
    </row>
    <row r="799" spans="1:7" x14ac:dyDescent="0.25">
      <c r="A799">
        <v>255</v>
      </c>
      <c r="B799">
        <v>2017</v>
      </c>
      <c r="C799" t="str">
        <f>VLOOKUP(A799,[2]Tabelle1!$A$1:$B$68,2,FALSE)</f>
        <v>Holzminden</v>
      </c>
      <c r="D799" t="s">
        <v>3</v>
      </c>
      <c r="E799" t="s">
        <v>4</v>
      </c>
      <c r="F799" t="str">
        <f>VLOOKUP(A799,[1]Kreise!$A$1:$C$53,3,FALSE)</f>
        <v>K03255</v>
      </c>
      <c r="G799">
        <v>2</v>
      </c>
    </row>
    <row r="800" spans="1:7" x14ac:dyDescent="0.25">
      <c r="A800">
        <v>256</v>
      </c>
      <c r="B800">
        <v>2017</v>
      </c>
      <c r="C800" t="str">
        <f>VLOOKUP(A800,[2]Tabelle1!$A$1:$B$68,2,FALSE)</f>
        <v>Nienburg (Weser)</v>
      </c>
      <c r="D800" t="s">
        <v>3</v>
      </c>
      <c r="E800" t="s">
        <v>4</v>
      </c>
      <c r="F800" t="str">
        <f>VLOOKUP(A800,[1]Kreise!$A$1:$C$53,3,FALSE)</f>
        <v>K03256</v>
      </c>
      <c r="G800">
        <v>19</v>
      </c>
    </row>
    <row r="801" spans="1:7" x14ac:dyDescent="0.25">
      <c r="A801">
        <v>257</v>
      </c>
      <c r="B801">
        <v>2017</v>
      </c>
      <c r="C801" t="str">
        <f>VLOOKUP(A801,[2]Tabelle1!$A$1:$B$68,2,FALSE)</f>
        <v>Schaumburg</v>
      </c>
      <c r="D801" t="s">
        <v>3</v>
      </c>
      <c r="E801" t="s">
        <v>4</v>
      </c>
      <c r="F801" t="str">
        <f>VLOOKUP(A801,[1]Kreise!$A$1:$C$53,3,FALSE)</f>
        <v>K03257</v>
      </c>
      <c r="G801">
        <v>41</v>
      </c>
    </row>
    <row r="802" spans="1:7" x14ac:dyDescent="0.25">
      <c r="A802">
        <v>2</v>
      </c>
      <c r="B802">
        <v>2017</v>
      </c>
      <c r="C802" t="str">
        <f>VLOOKUP(A802,[2]Tabelle1!$A$1:$B$68,2,FALSE)</f>
        <v>Statistische Region Hannover</v>
      </c>
      <c r="D802" t="s">
        <v>3</v>
      </c>
      <c r="E802" t="s">
        <v>4</v>
      </c>
      <c r="F802" t="str">
        <f>VLOOKUP(A802,[1]Kreise!$A$1:$C$53,3,FALSE)</f>
        <v>K032</v>
      </c>
      <c r="G802">
        <v>368</v>
      </c>
    </row>
    <row r="803" spans="1:7" x14ac:dyDescent="0.25">
      <c r="A803">
        <v>351</v>
      </c>
      <c r="B803">
        <v>2017</v>
      </c>
      <c r="C803" t="str">
        <f>VLOOKUP(A803,[2]Tabelle1!$A$1:$B$68,2,FALSE)</f>
        <v>Celle</v>
      </c>
      <c r="D803" t="s">
        <v>3</v>
      </c>
      <c r="E803" t="s">
        <v>4</v>
      </c>
      <c r="F803" t="str">
        <f>VLOOKUP(A803,[1]Kreise!$A$1:$C$53,3,FALSE)</f>
        <v>K03351</v>
      </c>
      <c r="G803">
        <v>22</v>
      </c>
    </row>
    <row r="804" spans="1:7" x14ac:dyDescent="0.25">
      <c r="A804">
        <v>352</v>
      </c>
      <c r="B804">
        <v>2017</v>
      </c>
      <c r="C804" t="str">
        <f>VLOOKUP(A804,[2]Tabelle1!$A$1:$B$68,2,FALSE)</f>
        <v>Cuxhaven</v>
      </c>
      <c r="D804" t="s">
        <v>3</v>
      </c>
      <c r="E804" t="s">
        <v>4</v>
      </c>
      <c r="F804" t="str">
        <f>VLOOKUP(A804,[1]Kreise!$A$1:$C$53,3,FALSE)</f>
        <v>K03352</v>
      </c>
      <c r="G804">
        <v>40</v>
      </c>
    </row>
    <row r="805" spans="1:7" x14ac:dyDescent="0.25">
      <c r="A805">
        <v>353</v>
      </c>
      <c r="B805">
        <v>2017</v>
      </c>
      <c r="C805" t="str">
        <f>VLOOKUP(A805,[2]Tabelle1!$A$1:$B$68,2,FALSE)</f>
        <v>Harburg</v>
      </c>
      <c r="D805" t="s">
        <v>3</v>
      </c>
      <c r="E805" t="s">
        <v>4</v>
      </c>
      <c r="F805" t="str">
        <f>VLOOKUP(A805,[1]Kreise!$A$1:$C$53,3,FALSE)</f>
        <v>K03353</v>
      </c>
      <c r="G805">
        <v>23</v>
      </c>
    </row>
    <row r="806" spans="1:7" x14ac:dyDescent="0.25">
      <c r="A806">
        <v>354</v>
      </c>
      <c r="B806">
        <v>2017</v>
      </c>
      <c r="C806" t="str">
        <f>VLOOKUP(A806,[2]Tabelle1!$A$1:$B$68,2,FALSE)</f>
        <v>Lüchow-Dannenberg</v>
      </c>
      <c r="D806" t="s">
        <v>3</v>
      </c>
      <c r="E806" t="s">
        <v>4</v>
      </c>
      <c r="F806" t="str">
        <f>VLOOKUP(A806,[1]Kreise!$A$1:$C$53,3,FALSE)</f>
        <v>K03354</v>
      </c>
      <c r="G806">
        <v>8</v>
      </c>
    </row>
    <row r="807" spans="1:7" x14ac:dyDescent="0.25">
      <c r="A807">
        <v>355</v>
      </c>
      <c r="B807">
        <v>2017</v>
      </c>
      <c r="C807" t="str">
        <f>VLOOKUP(A807,[2]Tabelle1!$A$1:$B$68,2,FALSE)</f>
        <v>Lüneburg</v>
      </c>
      <c r="D807" t="s">
        <v>3</v>
      </c>
      <c r="E807" t="s">
        <v>4</v>
      </c>
      <c r="F807" t="str">
        <f>VLOOKUP(A807,[1]Kreise!$A$1:$C$53,3,FALSE)</f>
        <v>K03355</v>
      </c>
      <c r="G807">
        <v>12</v>
      </c>
    </row>
    <row r="808" spans="1:7" x14ac:dyDescent="0.25">
      <c r="A808">
        <v>356</v>
      </c>
      <c r="B808">
        <v>2017</v>
      </c>
      <c r="C808" t="str">
        <f>VLOOKUP(A808,[2]Tabelle1!$A$1:$B$68,2,FALSE)</f>
        <v>Osterholz</v>
      </c>
      <c r="D808" t="s">
        <v>3</v>
      </c>
      <c r="E808" t="s">
        <v>4</v>
      </c>
      <c r="F808" t="str">
        <f>VLOOKUP(A808,[1]Kreise!$A$1:$C$53,3,FALSE)</f>
        <v>K03356</v>
      </c>
      <c r="G808">
        <v>7</v>
      </c>
    </row>
    <row r="809" spans="1:7" x14ac:dyDescent="0.25">
      <c r="A809">
        <v>357</v>
      </c>
      <c r="B809">
        <v>2017</v>
      </c>
      <c r="C809" t="str">
        <f>VLOOKUP(A809,[2]Tabelle1!$A$1:$B$68,2,FALSE)</f>
        <v>Rotenburg (Wümme)</v>
      </c>
      <c r="D809" t="s">
        <v>3</v>
      </c>
      <c r="E809" t="s">
        <v>4</v>
      </c>
      <c r="F809" t="str">
        <f>VLOOKUP(A809,[1]Kreise!$A$1:$C$53,3,FALSE)</f>
        <v>K03357</v>
      </c>
      <c r="G809">
        <v>17</v>
      </c>
    </row>
    <row r="810" spans="1:7" x14ac:dyDescent="0.25">
      <c r="A810">
        <v>358</v>
      </c>
      <c r="B810">
        <v>2017</v>
      </c>
      <c r="C810" t="str">
        <f>VLOOKUP(A810,[2]Tabelle1!$A$1:$B$68,2,FALSE)</f>
        <v>Heidekreis</v>
      </c>
      <c r="D810" t="s">
        <v>3</v>
      </c>
      <c r="E810" t="s">
        <v>4</v>
      </c>
      <c r="F810" t="str">
        <f>VLOOKUP(A810,[1]Kreise!$A$1:$C$53,3,FALSE)</f>
        <v>K03358</v>
      </c>
      <c r="G810">
        <v>17</v>
      </c>
    </row>
    <row r="811" spans="1:7" x14ac:dyDescent="0.25">
      <c r="A811">
        <v>359</v>
      </c>
      <c r="B811">
        <v>2017</v>
      </c>
      <c r="C811" t="str">
        <f>VLOOKUP(A811,[2]Tabelle1!$A$1:$B$68,2,FALSE)</f>
        <v>Stade</v>
      </c>
      <c r="D811" t="s">
        <v>3</v>
      </c>
      <c r="E811" t="s">
        <v>4</v>
      </c>
      <c r="F811" t="str">
        <f>VLOOKUP(A811,[1]Kreise!$A$1:$C$53,3,FALSE)</f>
        <v>K03359</v>
      </c>
      <c r="G811">
        <v>29</v>
      </c>
    </row>
    <row r="812" spans="1:7" x14ac:dyDescent="0.25">
      <c r="A812">
        <v>360</v>
      </c>
      <c r="B812">
        <v>2017</v>
      </c>
      <c r="C812" t="str">
        <f>VLOOKUP(A812,[2]Tabelle1!$A$1:$B$68,2,FALSE)</f>
        <v>Uelzen</v>
      </c>
      <c r="D812" t="s">
        <v>3</v>
      </c>
      <c r="E812" t="s">
        <v>4</v>
      </c>
      <c r="F812" t="str">
        <f>VLOOKUP(A812,[1]Kreise!$A$1:$C$53,3,FALSE)</f>
        <v>K03360</v>
      </c>
      <c r="G812">
        <v>17</v>
      </c>
    </row>
    <row r="813" spans="1:7" x14ac:dyDescent="0.25">
      <c r="A813">
        <v>361</v>
      </c>
      <c r="B813">
        <v>2017</v>
      </c>
      <c r="C813" t="str">
        <f>VLOOKUP(A813,[2]Tabelle1!$A$1:$B$68,2,FALSE)</f>
        <v>Verden</v>
      </c>
      <c r="D813" t="s">
        <v>3</v>
      </c>
      <c r="E813" t="s">
        <v>4</v>
      </c>
      <c r="F813" t="str">
        <f>VLOOKUP(A813,[1]Kreise!$A$1:$C$53,3,FALSE)</f>
        <v>K03361</v>
      </c>
      <c r="G813">
        <v>24</v>
      </c>
    </row>
    <row r="814" spans="1:7" x14ac:dyDescent="0.25">
      <c r="A814">
        <v>3</v>
      </c>
      <c r="B814">
        <v>2017</v>
      </c>
      <c r="C814" t="str">
        <f>VLOOKUP(A814,[2]Tabelle1!$A$1:$B$68,2,FALSE)</f>
        <v>Statistische Region Lüneburg</v>
      </c>
      <c r="D814" t="s">
        <v>3</v>
      </c>
      <c r="E814" t="s">
        <v>4</v>
      </c>
      <c r="F814" t="str">
        <f>VLOOKUP(A814,[1]Kreise!$A$1:$C$53,3,FALSE)</f>
        <v>K033</v>
      </c>
      <c r="G814">
        <v>216</v>
      </c>
    </row>
    <row r="815" spans="1:7" x14ac:dyDescent="0.25">
      <c r="A815">
        <v>401</v>
      </c>
      <c r="B815">
        <v>2017</v>
      </c>
      <c r="C815" t="str">
        <f>VLOOKUP(A815,[2]Tabelle1!$A$1:$B$68,2,FALSE)</f>
        <v>Delmenhorst  Stadt</v>
      </c>
      <c r="D815" t="s">
        <v>3</v>
      </c>
      <c r="E815" t="s">
        <v>4</v>
      </c>
      <c r="F815" t="str">
        <f>VLOOKUP(A815,[1]Kreise!$A$1:$C$53,3,FALSE)</f>
        <v>K03401</v>
      </c>
      <c r="G815">
        <v>40</v>
      </c>
    </row>
    <row r="816" spans="1:7" x14ac:dyDescent="0.25">
      <c r="A816">
        <v>402</v>
      </c>
      <c r="B816">
        <v>2017</v>
      </c>
      <c r="C816" t="str">
        <f>VLOOKUP(A816,[2]Tabelle1!$A$1:$B$68,2,FALSE)</f>
        <v>Emden  Stadt</v>
      </c>
      <c r="D816" t="s">
        <v>3</v>
      </c>
      <c r="E816" t="s">
        <v>4</v>
      </c>
      <c r="F816" t="str">
        <f>VLOOKUP(A816,[1]Kreise!$A$1:$C$53,3,FALSE)</f>
        <v>K03402</v>
      </c>
      <c r="G816">
        <v>14</v>
      </c>
    </row>
    <row r="817" spans="1:7" x14ac:dyDescent="0.25">
      <c r="A817">
        <v>403</v>
      </c>
      <c r="B817">
        <v>2017</v>
      </c>
      <c r="C817" t="str">
        <f>VLOOKUP(A817,[2]Tabelle1!$A$1:$B$68,2,FALSE)</f>
        <v>Oldenburg(Oldb)  Stadt</v>
      </c>
      <c r="D817" t="s">
        <v>3</v>
      </c>
      <c r="E817" t="s">
        <v>4</v>
      </c>
      <c r="F817" t="str">
        <f>VLOOKUP(A817,[1]Kreise!$A$1:$C$53,3,FALSE)</f>
        <v>K03403</v>
      </c>
      <c r="G817">
        <v>17</v>
      </c>
    </row>
    <row r="818" spans="1:7" x14ac:dyDescent="0.25">
      <c r="A818">
        <v>404</v>
      </c>
      <c r="B818">
        <v>2017</v>
      </c>
      <c r="C818" t="str">
        <f>VLOOKUP(A818,[2]Tabelle1!$A$1:$B$68,2,FALSE)</f>
        <v>Osnabrück  Stadt</v>
      </c>
      <c r="D818" t="s">
        <v>3</v>
      </c>
      <c r="E818" t="s">
        <v>4</v>
      </c>
      <c r="F818" t="str">
        <f>VLOOKUP(A818,[1]Kreise!$A$1:$C$53,3,FALSE)</f>
        <v>K03404</v>
      </c>
      <c r="G818">
        <v>21</v>
      </c>
    </row>
    <row r="819" spans="1:7" x14ac:dyDescent="0.25">
      <c r="A819">
        <v>405</v>
      </c>
      <c r="B819">
        <v>2017</v>
      </c>
      <c r="C819" t="str">
        <f>VLOOKUP(A819,[2]Tabelle1!$A$1:$B$68,2,FALSE)</f>
        <v>Wilhelmshaven  Stadt</v>
      </c>
      <c r="D819" t="s">
        <v>3</v>
      </c>
      <c r="E819" t="s">
        <v>4</v>
      </c>
      <c r="F819" t="str">
        <f>VLOOKUP(A819,[1]Kreise!$A$1:$C$53,3,FALSE)</f>
        <v>K03405</v>
      </c>
      <c r="G819">
        <v>4</v>
      </c>
    </row>
    <row r="820" spans="1:7" x14ac:dyDescent="0.25">
      <c r="A820">
        <v>451</v>
      </c>
      <c r="B820">
        <v>2017</v>
      </c>
      <c r="C820" t="str">
        <f>VLOOKUP(A820,[2]Tabelle1!$A$1:$B$68,2,FALSE)</f>
        <v>Ammerland</v>
      </c>
      <c r="D820" t="s">
        <v>3</v>
      </c>
      <c r="E820" t="s">
        <v>4</v>
      </c>
      <c r="F820" t="str">
        <f>VLOOKUP(A820,[1]Kreise!$A$1:$C$53,3,FALSE)</f>
        <v>K03451</v>
      </c>
      <c r="G820">
        <v>7</v>
      </c>
    </row>
    <row r="821" spans="1:7" x14ac:dyDescent="0.25">
      <c r="A821">
        <v>452</v>
      </c>
      <c r="B821">
        <v>2017</v>
      </c>
      <c r="C821" t="str">
        <f>VLOOKUP(A821,[2]Tabelle1!$A$1:$B$68,2,FALSE)</f>
        <v>Aurich</v>
      </c>
      <c r="D821" t="s">
        <v>3</v>
      </c>
      <c r="E821" t="s">
        <v>4</v>
      </c>
      <c r="F821" t="str">
        <f>VLOOKUP(A821,[1]Kreise!$A$1:$C$53,3,FALSE)</f>
        <v>K03452</v>
      </c>
      <c r="G821">
        <v>14</v>
      </c>
    </row>
    <row r="822" spans="1:7" x14ac:dyDescent="0.25">
      <c r="A822">
        <v>453</v>
      </c>
      <c r="B822">
        <v>2017</v>
      </c>
      <c r="C822" t="str">
        <f>VLOOKUP(A822,[2]Tabelle1!$A$1:$B$68,2,FALSE)</f>
        <v>Cloppenburg</v>
      </c>
      <c r="D822" t="s">
        <v>3</v>
      </c>
      <c r="E822" t="s">
        <v>4</v>
      </c>
      <c r="F822" t="str">
        <f>VLOOKUP(A822,[1]Kreise!$A$1:$C$53,3,FALSE)</f>
        <v>K03453</v>
      </c>
      <c r="G822">
        <v>30</v>
      </c>
    </row>
    <row r="823" spans="1:7" x14ac:dyDescent="0.25">
      <c r="A823">
        <v>454</v>
      </c>
      <c r="B823">
        <v>2017</v>
      </c>
      <c r="C823" t="str">
        <f>VLOOKUP(A823,[2]Tabelle1!$A$1:$B$68,2,FALSE)</f>
        <v>Emsland</v>
      </c>
      <c r="D823" t="s">
        <v>3</v>
      </c>
      <c r="E823" t="s">
        <v>4</v>
      </c>
      <c r="F823" t="str">
        <f>VLOOKUP(A823,[1]Kreise!$A$1:$C$53,3,FALSE)</f>
        <v>K03454</v>
      </c>
      <c r="G823">
        <v>95</v>
      </c>
    </row>
    <row r="824" spans="1:7" x14ac:dyDescent="0.25">
      <c r="A824">
        <v>455</v>
      </c>
      <c r="B824">
        <v>2017</v>
      </c>
      <c r="C824" t="str">
        <f>VLOOKUP(A824,[2]Tabelle1!$A$1:$B$68,2,FALSE)</f>
        <v>Friesland</v>
      </c>
      <c r="D824" t="s">
        <v>3</v>
      </c>
      <c r="E824" t="s">
        <v>4</v>
      </c>
      <c r="F824" t="str">
        <f>VLOOKUP(A824,[1]Kreise!$A$1:$C$53,3,FALSE)</f>
        <v>K03455</v>
      </c>
      <c r="G824">
        <v>27</v>
      </c>
    </row>
    <row r="825" spans="1:7" x14ac:dyDescent="0.25">
      <c r="A825">
        <v>456</v>
      </c>
      <c r="B825">
        <v>2017</v>
      </c>
      <c r="C825" t="str">
        <f>VLOOKUP(A825,[2]Tabelle1!$A$1:$B$68,2,FALSE)</f>
        <v>Grafschaft Bentheim</v>
      </c>
      <c r="D825" t="s">
        <v>3</v>
      </c>
      <c r="E825" t="s">
        <v>4</v>
      </c>
      <c r="F825" t="str">
        <f>VLOOKUP(A825,[1]Kreise!$A$1:$C$53,3,FALSE)</f>
        <v>K03456</v>
      </c>
      <c r="G825">
        <v>22</v>
      </c>
    </row>
    <row r="826" spans="1:7" x14ac:dyDescent="0.25">
      <c r="A826">
        <v>457</v>
      </c>
      <c r="B826">
        <v>2017</v>
      </c>
      <c r="C826" t="str">
        <f>VLOOKUP(A826,[2]Tabelle1!$A$1:$B$68,2,FALSE)</f>
        <v>Leer</v>
      </c>
      <c r="D826" t="s">
        <v>3</v>
      </c>
      <c r="E826" t="s">
        <v>4</v>
      </c>
      <c r="F826" t="str">
        <f>VLOOKUP(A826,[1]Kreise!$A$1:$C$53,3,FALSE)</f>
        <v>K03457</v>
      </c>
      <c r="G826">
        <v>29</v>
      </c>
    </row>
    <row r="827" spans="1:7" x14ac:dyDescent="0.25">
      <c r="A827">
        <v>458</v>
      </c>
      <c r="B827">
        <v>2017</v>
      </c>
      <c r="C827" t="str">
        <f>VLOOKUP(A827,[2]Tabelle1!$A$1:$B$68,2,FALSE)</f>
        <v>Oldenburg</v>
      </c>
      <c r="D827" t="s">
        <v>3</v>
      </c>
      <c r="E827" t="s">
        <v>4</v>
      </c>
      <c r="F827" t="str">
        <f>VLOOKUP(A827,[1]Kreise!$A$1:$C$53,3,FALSE)</f>
        <v>K03458</v>
      </c>
      <c r="G827">
        <v>41</v>
      </c>
    </row>
    <row r="828" spans="1:7" x14ac:dyDescent="0.25">
      <c r="A828">
        <v>459</v>
      </c>
      <c r="B828">
        <v>2017</v>
      </c>
      <c r="C828" t="str">
        <f>VLOOKUP(A828,[2]Tabelle1!$A$1:$B$68,2,FALSE)</f>
        <v>Osnabrück</v>
      </c>
      <c r="D828" t="s">
        <v>3</v>
      </c>
      <c r="E828" t="s">
        <v>4</v>
      </c>
      <c r="F828" t="str">
        <f>VLOOKUP(A828,[1]Kreise!$A$1:$C$53,3,FALSE)</f>
        <v>K03459</v>
      </c>
      <c r="G828">
        <v>69</v>
      </c>
    </row>
    <row r="829" spans="1:7" x14ac:dyDescent="0.25">
      <c r="A829">
        <v>460</v>
      </c>
      <c r="B829">
        <v>2017</v>
      </c>
      <c r="C829" t="str">
        <f>VLOOKUP(A829,[2]Tabelle1!$A$1:$B$68,2,FALSE)</f>
        <v>Vechta</v>
      </c>
      <c r="D829" t="s">
        <v>3</v>
      </c>
      <c r="E829" t="s">
        <v>4</v>
      </c>
      <c r="F829" t="str">
        <f>VLOOKUP(A829,[1]Kreise!$A$1:$C$53,3,FALSE)</f>
        <v>K03460</v>
      </c>
      <c r="G829">
        <v>73</v>
      </c>
    </row>
    <row r="830" spans="1:7" x14ac:dyDescent="0.25">
      <c r="A830">
        <v>461</v>
      </c>
      <c r="B830">
        <v>2017</v>
      </c>
      <c r="C830" t="str">
        <f>VLOOKUP(A830,[2]Tabelle1!$A$1:$B$68,2,FALSE)</f>
        <v>Wesermarsch</v>
      </c>
      <c r="D830" t="s">
        <v>3</v>
      </c>
      <c r="E830" t="s">
        <v>4</v>
      </c>
      <c r="F830" t="str">
        <f>VLOOKUP(A830,[1]Kreise!$A$1:$C$53,3,FALSE)</f>
        <v>K03461</v>
      </c>
      <c r="G830">
        <v>10</v>
      </c>
    </row>
    <row r="831" spans="1:7" x14ac:dyDescent="0.25">
      <c r="A831">
        <v>462</v>
      </c>
      <c r="B831">
        <v>2017</v>
      </c>
      <c r="C831" t="str">
        <f>VLOOKUP(A831,[2]Tabelle1!$A$1:$B$68,2,FALSE)</f>
        <v>Wittmund</v>
      </c>
      <c r="D831" t="s">
        <v>3</v>
      </c>
      <c r="E831" t="s">
        <v>4</v>
      </c>
      <c r="F831" t="str">
        <f>VLOOKUP(A831,[1]Kreise!$A$1:$C$53,3,FALSE)</f>
        <v>K03462</v>
      </c>
      <c r="G831">
        <v>3</v>
      </c>
    </row>
    <row r="832" spans="1:7" x14ac:dyDescent="0.25">
      <c r="A832">
        <v>4</v>
      </c>
      <c r="B832">
        <v>2017</v>
      </c>
      <c r="C832" t="str">
        <f>VLOOKUP(A832,[2]Tabelle1!$A$1:$B$68,2,FALSE)</f>
        <v>Statistische Region Weser-Ems</v>
      </c>
      <c r="D832" t="s">
        <v>3</v>
      </c>
      <c r="E832" t="s">
        <v>4</v>
      </c>
      <c r="F832" t="str">
        <f>VLOOKUP(A832,[1]Kreise!$A$1:$C$53,3,FALSE)</f>
        <v>K034</v>
      </c>
      <c r="G832">
        <v>516</v>
      </c>
    </row>
    <row r="833" spans="1:7" x14ac:dyDescent="0.25">
      <c r="A833">
        <v>0</v>
      </c>
      <c r="B833">
        <v>2017</v>
      </c>
      <c r="C833" t="str">
        <f>VLOOKUP(A833,[2]Tabelle1!$A$1:$B$68,2,FALSE)</f>
        <v>Niedersachsen</v>
      </c>
      <c r="D833" t="s">
        <v>3</v>
      </c>
      <c r="E833" t="s">
        <v>4</v>
      </c>
      <c r="F833" t="str">
        <f>VLOOKUP(A833,[1]Kreise!$A$1:$C$53,3,FALSE)</f>
        <v>K030</v>
      </c>
      <c r="G833">
        <v>1310</v>
      </c>
    </row>
    <row r="834" spans="1:7" x14ac:dyDescent="0.25">
      <c r="A834">
        <v>101</v>
      </c>
      <c r="B834">
        <v>2018</v>
      </c>
      <c r="C834" t="str">
        <f>VLOOKUP(A834,[2]Tabelle1!$A$1:$B$68,2,FALSE)</f>
        <v>Braunschweig  Stadt</v>
      </c>
      <c r="D834" t="s">
        <v>2</v>
      </c>
      <c r="E834" t="s">
        <v>4</v>
      </c>
      <c r="F834" t="str">
        <f>VLOOKUP(A834,[1]Kreise!$A$1:$C$53,3,FALSE)</f>
        <v>K03101</v>
      </c>
      <c r="G834">
        <v>103</v>
      </c>
    </row>
    <row r="835" spans="1:7" x14ac:dyDescent="0.25">
      <c r="A835">
        <v>102</v>
      </c>
      <c r="B835">
        <v>2018</v>
      </c>
      <c r="C835" t="str">
        <f>VLOOKUP(A835,[2]Tabelle1!$A$1:$B$68,2,FALSE)</f>
        <v>Salzgitter  Stadt</v>
      </c>
      <c r="D835" t="s">
        <v>2</v>
      </c>
      <c r="E835" t="s">
        <v>4</v>
      </c>
      <c r="F835" t="str">
        <f>VLOOKUP(A835,[1]Kreise!$A$1:$C$53,3,FALSE)</f>
        <v>K03102</v>
      </c>
      <c r="G835">
        <v>68</v>
      </c>
    </row>
    <row r="836" spans="1:7" x14ac:dyDescent="0.25">
      <c r="A836">
        <v>103</v>
      </c>
      <c r="B836">
        <v>2018</v>
      </c>
      <c r="C836" t="str">
        <f>VLOOKUP(A836,[2]Tabelle1!$A$1:$B$68,2,FALSE)</f>
        <v>Wolfsburg  Stadt</v>
      </c>
      <c r="D836" t="s">
        <v>2</v>
      </c>
      <c r="E836" t="s">
        <v>4</v>
      </c>
      <c r="F836" t="str">
        <f>VLOOKUP(A836,[1]Kreise!$A$1:$C$53,3,FALSE)</f>
        <v>K03103</v>
      </c>
      <c r="G836">
        <v>39</v>
      </c>
    </row>
    <row r="837" spans="1:7" x14ac:dyDescent="0.25">
      <c r="A837">
        <v>151</v>
      </c>
      <c r="B837">
        <v>2018</v>
      </c>
      <c r="C837" t="str">
        <f>VLOOKUP(A837,[2]Tabelle1!$A$1:$B$68,2,FALSE)</f>
        <v>Gifhorn</v>
      </c>
      <c r="D837" t="s">
        <v>2</v>
      </c>
      <c r="E837" t="s">
        <v>4</v>
      </c>
      <c r="F837" t="str">
        <f>VLOOKUP(A837,[1]Kreise!$A$1:$C$53,3,FALSE)</f>
        <v>K03151</v>
      </c>
      <c r="G837">
        <v>80</v>
      </c>
    </row>
    <row r="838" spans="1:7" x14ac:dyDescent="0.25">
      <c r="A838">
        <v>153</v>
      </c>
      <c r="B838">
        <v>2018</v>
      </c>
      <c r="C838" t="str">
        <f>VLOOKUP(A838,[2]Tabelle1!$A$1:$B$68,2,FALSE)</f>
        <v>Goslar</v>
      </c>
      <c r="D838" t="s">
        <v>2</v>
      </c>
      <c r="E838" t="s">
        <v>4</v>
      </c>
      <c r="F838" t="str">
        <f>VLOOKUP(A838,[1]Kreise!$A$1:$C$53,3,FALSE)</f>
        <v>K03153</v>
      </c>
      <c r="G838">
        <v>63</v>
      </c>
    </row>
    <row r="839" spans="1:7" x14ac:dyDescent="0.25">
      <c r="A839">
        <v>154</v>
      </c>
      <c r="B839">
        <v>2018</v>
      </c>
      <c r="C839" t="str">
        <f>VLOOKUP(A839,[2]Tabelle1!$A$1:$B$68,2,FALSE)</f>
        <v>Helmstedt</v>
      </c>
      <c r="D839" t="s">
        <v>2</v>
      </c>
      <c r="E839" t="s">
        <v>4</v>
      </c>
      <c r="F839" t="str">
        <f>VLOOKUP(A839,[1]Kreise!$A$1:$C$53,3,FALSE)</f>
        <v>K03154</v>
      </c>
      <c r="G839">
        <v>52</v>
      </c>
    </row>
    <row r="840" spans="1:7" x14ac:dyDescent="0.25">
      <c r="A840">
        <v>155</v>
      </c>
      <c r="B840">
        <v>2018</v>
      </c>
      <c r="C840" t="str">
        <f>VLOOKUP(A840,[2]Tabelle1!$A$1:$B$68,2,FALSE)</f>
        <v>Northeim</v>
      </c>
      <c r="D840" t="s">
        <v>2</v>
      </c>
      <c r="E840" t="s">
        <v>4</v>
      </c>
      <c r="F840" t="str">
        <f>VLOOKUP(A840,[1]Kreise!$A$1:$C$53,3,FALSE)</f>
        <v>K03155</v>
      </c>
      <c r="G840">
        <v>43</v>
      </c>
    </row>
    <row r="841" spans="1:7" x14ac:dyDescent="0.25">
      <c r="A841">
        <v>157</v>
      </c>
      <c r="B841">
        <v>2018</v>
      </c>
      <c r="C841" t="str">
        <f>VLOOKUP(A841,[2]Tabelle1!$A$1:$B$68,2,FALSE)</f>
        <v>Peine</v>
      </c>
      <c r="D841" t="s">
        <v>2</v>
      </c>
      <c r="E841" t="s">
        <v>4</v>
      </c>
      <c r="F841" t="str">
        <f>VLOOKUP(A841,[1]Kreise!$A$1:$C$53,3,FALSE)</f>
        <v>K03157</v>
      </c>
      <c r="G841">
        <v>52</v>
      </c>
    </row>
    <row r="842" spans="1:7" x14ac:dyDescent="0.25">
      <c r="A842">
        <v>158</v>
      </c>
      <c r="B842">
        <v>2018</v>
      </c>
      <c r="C842" t="str">
        <f>VLOOKUP(A842,[2]Tabelle1!$A$1:$B$68,2,FALSE)</f>
        <v>Wolfenbüttel</v>
      </c>
      <c r="D842" t="s">
        <v>2</v>
      </c>
      <c r="E842" t="s">
        <v>4</v>
      </c>
      <c r="F842" t="str">
        <f>VLOOKUP(A842,[1]Kreise!$A$1:$C$53,3,FALSE)</f>
        <v>K03158</v>
      </c>
      <c r="G842">
        <v>42</v>
      </c>
    </row>
    <row r="843" spans="1:7" x14ac:dyDescent="0.25">
      <c r="A843">
        <v>159</v>
      </c>
      <c r="B843">
        <v>2018</v>
      </c>
      <c r="C843" t="str">
        <f>VLOOKUP(A843,[2]Tabelle1!$A$1:$B$68,2,FALSE)</f>
        <v>Göttingen</v>
      </c>
      <c r="D843" t="s">
        <v>2</v>
      </c>
      <c r="E843" t="s">
        <v>4</v>
      </c>
      <c r="F843" t="str">
        <f>VLOOKUP(A843,[1]Kreise!$A$1:$C$53,3,FALSE)</f>
        <v>K03159</v>
      </c>
      <c r="G843">
        <v>118</v>
      </c>
    </row>
    <row r="844" spans="1:7" x14ac:dyDescent="0.25">
      <c r="A844">
        <v>1</v>
      </c>
      <c r="B844">
        <v>2018</v>
      </c>
      <c r="C844" t="str">
        <f>VLOOKUP(A844,[2]Tabelle1!$A$1:$B$68,2,FALSE)</f>
        <v>Statistische Region Braunschweig</v>
      </c>
      <c r="D844" t="s">
        <v>2</v>
      </c>
      <c r="E844" t="s">
        <v>4</v>
      </c>
      <c r="F844" t="str">
        <f>VLOOKUP(A844,[1]Kreise!$A$1:$C$53,3,FALSE)</f>
        <v>K031</v>
      </c>
      <c r="G844">
        <v>660</v>
      </c>
    </row>
    <row r="845" spans="1:7" x14ac:dyDescent="0.25">
      <c r="A845">
        <v>241</v>
      </c>
      <c r="B845">
        <v>2018</v>
      </c>
      <c r="C845" t="str">
        <f>VLOOKUP(A845,[2]Tabelle1!$A$1:$B$68,2,FALSE)</f>
        <v>Hannover  Region</v>
      </c>
      <c r="D845" t="s">
        <v>2</v>
      </c>
      <c r="E845" t="s">
        <v>4</v>
      </c>
      <c r="F845" t="str">
        <f>VLOOKUP(A845,[1]Kreise!$A$1:$C$53,3,FALSE)</f>
        <v>K03241</v>
      </c>
      <c r="G845">
        <v>413</v>
      </c>
    </row>
    <row r="846" spans="1:7" x14ac:dyDescent="0.25">
      <c r="A846">
        <v>241001</v>
      </c>
      <c r="B846">
        <v>2018</v>
      </c>
      <c r="C846" t="str">
        <f>VLOOKUP(A846,[2]Tabelle1!$A$1:$B$68,2,FALSE)</f>
        <v>dav. Hannover  Lhst.</v>
      </c>
      <c r="D846" t="s">
        <v>2</v>
      </c>
      <c r="E846" t="s">
        <v>4</v>
      </c>
      <c r="F846" t="str">
        <f>VLOOKUP(A846,[1]Kreise!$A$1:$C$53,3,FALSE)</f>
        <v>K03241001</v>
      </c>
      <c r="G846">
        <v>222</v>
      </c>
    </row>
    <row r="847" spans="1:7" x14ac:dyDescent="0.25">
      <c r="A847">
        <v>241999</v>
      </c>
      <c r="B847">
        <v>2018</v>
      </c>
      <c r="C847" t="str">
        <f>VLOOKUP(A847,[2]Tabelle1!$A$1:$B$68,2,FALSE)</f>
        <v>dav. Hannover  Umland</v>
      </c>
      <c r="D847" t="s">
        <v>2</v>
      </c>
      <c r="E847" t="s">
        <v>4</v>
      </c>
      <c r="F847" t="str">
        <f>VLOOKUP(A847,[1]Kreise!$A$1:$C$53,3,FALSE)</f>
        <v>K03241999</v>
      </c>
      <c r="G847">
        <v>191</v>
      </c>
    </row>
    <row r="848" spans="1:7" x14ac:dyDescent="0.25">
      <c r="A848">
        <v>251</v>
      </c>
      <c r="B848">
        <v>2018</v>
      </c>
      <c r="C848" t="str">
        <f>VLOOKUP(A848,[2]Tabelle1!$A$1:$B$68,2,FALSE)</f>
        <v>Diepholz</v>
      </c>
      <c r="D848" t="s">
        <v>2</v>
      </c>
      <c r="E848" t="s">
        <v>4</v>
      </c>
      <c r="F848" t="str">
        <f>VLOOKUP(A848,[1]Kreise!$A$1:$C$53,3,FALSE)</f>
        <v>K03251</v>
      </c>
      <c r="G848">
        <v>64</v>
      </c>
    </row>
    <row r="849" spans="1:7" x14ac:dyDescent="0.25">
      <c r="A849">
        <v>252</v>
      </c>
      <c r="B849">
        <v>2018</v>
      </c>
      <c r="C849" t="str">
        <f>VLOOKUP(A849,[2]Tabelle1!$A$1:$B$68,2,FALSE)</f>
        <v>Hameln-Pyrmont</v>
      </c>
      <c r="D849" t="s">
        <v>2</v>
      </c>
      <c r="E849" t="s">
        <v>4</v>
      </c>
      <c r="F849" t="str">
        <f>VLOOKUP(A849,[1]Kreise!$A$1:$C$53,3,FALSE)</f>
        <v>K03252</v>
      </c>
      <c r="G849">
        <v>68</v>
      </c>
    </row>
    <row r="850" spans="1:7" x14ac:dyDescent="0.25">
      <c r="A850">
        <v>254</v>
      </c>
      <c r="B850">
        <v>2018</v>
      </c>
      <c r="C850" t="str">
        <f>VLOOKUP(A850,[2]Tabelle1!$A$1:$B$68,2,FALSE)</f>
        <v>Hildesheim</v>
      </c>
      <c r="D850" t="s">
        <v>2</v>
      </c>
      <c r="E850" t="s">
        <v>4</v>
      </c>
      <c r="F850" t="str">
        <f>VLOOKUP(A850,[1]Kreise!$A$1:$C$53,3,FALSE)</f>
        <v>K03254</v>
      </c>
      <c r="G850">
        <v>129</v>
      </c>
    </row>
    <row r="851" spans="1:7" x14ac:dyDescent="0.25">
      <c r="A851">
        <v>255</v>
      </c>
      <c r="B851">
        <v>2018</v>
      </c>
      <c r="C851" t="str">
        <f>VLOOKUP(A851,[2]Tabelle1!$A$1:$B$68,2,FALSE)</f>
        <v>Holzminden</v>
      </c>
      <c r="D851" t="s">
        <v>2</v>
      </c>
      <c r="E851" t="s">
        <v>4</v>
      </c>
      <c r="F851" t="str">
        <f>VLOOKUP(A851,[1]Kreise!$A$1:$C$53,3,FALSE)</f>
        <v>K03255</v>
      </c>
      <c r="G851">
        <v>50</v>
      </c>
    </row>
    <row r="852" spans="1:7" x14ac:dyDescent="0.25">
      <c r="A852">
        <v>256</v>
      </c>
      <c r="B852">
        <v>2018</v>
      </c>
      <c r="C852" t="str">
        <f>VLOOKUP(A852,[2]Tabelle1!$A$1:$B$68,2,FALSE)</f>
        <v>Nienburg (Weser)</v>
      </c>
      <c r="D852" t="s">
        <v>2</v>
      </c>
      <c r="E852" t="s">
        <v>4</v>
      </c>
      <c r="F852" t="str">
        <f>VLOOKUP(A852,[1]Kreise!$A$1:$C$53,3,FALSE)</f>
        <v>K03256</v>
      </c>
      <c r="G852">
        <v>80</v>
      </c>
    </row>
    <row r="853" spans="1:7" x14ac:dyDescent="0.25">
      <c r="A853">
        <v>257</v>
      </c>
      <c r="B853">
        <v>2018</v>
      </c>
      <c r="C853" t="str">
        <f>VLOOKUP(A853,[2]Tabelle1!$A$1:$B$68,2,FALSE)</f>
        <v>Schaumburg</v>
      </c>
      <c r="D853" t="s">
        <v>2</v>
      </c>
      <c r="E853" t="s">
        <v>4</v>
      </c>
      <c r="F853" t="str">
        <f>VLOOKUP(A853,[1]Kreise!$A$1:$C$53,3,FALSE)</f>
        <v>K03257</v>
      </c>
      <c r="G853">
        <v>55</v>
      </c>
    </row>
    <row r="854" spans="1:7" x14ac:dyDescent="0.25">
      <c r="A854">
        <v>2</v>
      </c>
      <c r="B854">
        <v>2018</v>
      </c>
      <c r="C854" t="str">
        <f>VLOOKUP(A854,[2]Tabelle1!$A$1:$B$68,2,FALSE)</f>
        <v>Statistische Region Hannover</v>
      </c>
      <c r="D854" t="s">
        <v>2</v>
      </c>
      <c r="E854" t="s">
        <v>4</v>
      </c>
      <c r="F854" t="str">
        <f>VLOOKUP(A854,[1]Kreise!$A$1:$C$53,3,FALSE)</f>
        <v>K032</v>
      </c>
      <c r="G854">
        <v>859</v>
      </c>
    </row>
    <row r="855" spans="1:7" x14ac:dyDescent="0.25">
      <c r="A855">
        <v>351</v>
      </c>
      <c r="B855">
        <v>2018</v>
      </c>
      <c r="C855" t="str">
        <f>VLOOKUP(A855,[2]Tabelle1!$A$1:$B$68,2,FALSE)</f>
        <v>Celle</v>
      </c>
      <c r="D855" t="s">
        <v>2</v>
      </c>
      <c r="E855" t="s">
        <v>4</v>
      </c>
      <c r="F855" t="str">
        <f>VLOOKUP(A855,[1]Kreise!$A$1:$C$53,3,FALSE)</f>
        <v>K03351</v>
      </c>
      <c r="G855">
        <v>118</v>
      </c>
    </row>
    <row r="856" spans="1:7" x14ac:dyDescent="0.25">
      <c r="A856">
        <v>352</v>
      </c>
      <c r="B856">
        <v>2018</v>
      </c>
      <c r="C856" t="str">
        <f>VLOOKUP(A856,[2]Tabelle1!$A$1:$B$68,2,FALSE)</f>
        <v>Cuxhaven</v>
      </c>
      <c r="D856" t="s">
        <v>2</v>
      </c>
      <c r="E856" t="s">
        <v>4</v>
      </c>
      <c r="F856" t="str">
        <f>VLOOKUP(A856,[1]Kreise!$A$1:$C$53,3,FALSE)</f>
        <v>K03352</v>
      </c>
      <c r="G856">
        <v>118</v>
      </c>
    </row>
    <row r="857" spans="1:7" x14ac:dyDescent="0.25">
      <c r="A857">
        <v>353</v>
      </c>
      <c r="B857">
        <v>2018</v>
      </c>
      <c r="C857" t="str">
        <f>VLOOKUP(A857,[2]Tabelle1!$A$1:$B$68,2,FALSE)</f>
        <v>Harburg</v>
      </c>
      <c r="D857" t="s">
        <v>2</v>
      </c>
      <c r="E857" t="s">
        <v>4</v>
      </c>
      <c r="F857" t="str">
        <f>VLOOKUP(A857,[1]Kreise!$A$1:$C$53,3,FALSE)</f>
        <v>K03353</v>
      </c>
      <c r="G857">
        <v>63</v>
      </c>
    </row>
    <row r="858" spans="1:7" x14ac:dyDescent="0.25">
      <c r="A858">
        <v>354</v>
      </c>
      <c r="B858">
        <v>2018</v>
      </c>
      <c r="C858" t="str">
        <f>VLOOKUP(A858,[2]Tabelle1!$A$1:$B$68,2,FALSE)</f>
        <v>Lüchow-Dannenberg</v>
      </c>
      <c r="D858" t="s">
        <v>2</v>
      </c>
      <c r="E858" t="s">
        <v>4</v>
      </c>
      <c r="F858" t="str">
        <f>VLOOKUP(A858,[1]Kreise!$A$1:$C$53,3,FALSE)</f>
        <v>K03354</v>
      </c>
      <c r="G858">
        <v>31</v>
      </c>
    </row>
    <row r="859" spans="1:7" x14ac:dyDescent="0.25">
      <c r="A859">
        <v>355</v>
      </c>
      <c r="B859">
        <v>2018</v>
      </c>
      <c r="C859" t="str">
        <f>VLOOKUP(A859,[2]Tabelle1!$A$1:$B$68,2,FALSE)</f>
        <v>Lüneburg</v>
      </c>
      <c r="D859" t="s">
        <v>2</v>
      </c>
      <c r="E859" t="s">
        <v>4</v>
      </c>
      <c r="F859" t="str">
        <f>VLOOKUP(A859,[1]Kreise!$A$1:$C$53,3,FALSE)</f>
        <v>K03355</v>
      </c>
      <c r="G859">
        <v>84</v>
      </c>
    </row>
    <row r="860" spans="1:7" x14ac:dyDescent="0.25">
      <c r="A860">
        <v>356</v>
      </c>
      <c r="B860">
        <v>2018</v>
      </c>
      <c r="C860" t="str">
        <f>VLOOKUP(A860,[2]Tabelle1!$A$1:$B$68,2,FALSE)</f>
        <v>Osterholz</v>
      </c>
      <c r="D860" t="s">
        <v>2</v>
      </c>
      <c r="E860" t="s">
        <v>4</v>
      </c>
      <c r="F860" t="str">
        <f>VLOOKUP(A860,[1]Kreise!$A$1:$C$53,3,FALSE)</f>
        <v>K03356</v>
      </c>
      <c r="G860">
        <v>29</v>
      </c>
    </row>
    <row r="861" spans="1:7" x14ac:dyDescent="0.25">
      <c r="A861">
        <v>357</v>
      </c>
      <c r="B861">
        <v>2018</v>
      </c>
      <c r="C861" t="str">
        <f>VLOOKUP(A861,[2]Tabelle1!$A$1:$B$68,2,FALSE)</f>
        <v>Rotenburg (Wümme)</v>
      </c>
      <c r="D861" t="s">
        <v>2</v>
      </c>
      <c r="E861" t="s">
        <v>4</v>
      </c>
      <c r="F861" t="str">
        <f>VLOOKUP(A861,[1]Kreise!$A$1:$C$53,3,FALSE)</f>
        <v>K03357</v>
      </c>
      <c r="G861">
        <v>108</v>
      </c>
    </row>
    <row r="862" spans="1:7" x14ac:dyDescent="0.25">
      <c r="A862">
        <v>358</v>
      </c>
      <c r="B862">
        <v>2018</v>
      </c>
      <c r="C862" t="str">
        <f>VLOOKUP(A862,[2]Tabelle1!$A$1:$B$68,2,FALSE)</f>
        <v>Heidekreis</v>
      </c>
      <c r="D862" t="s">
        <v>2</v>
      </c>
      <c r="E862" t="s">
        <v>4</v>
      </c>
      <c r="F862" t="str">
        <f>VLOOKUP(A862,[1]Kreise!$A$1:$C$53,3,FALSE)</f>
        <v>K03358</v>
      </c>
      <c r="G862">
        <v>88</v>
      </c>
    </row>
    <row r="863" spans="1:7" x14ac:dyDescent="0.25">
      <c r="A863">
        <v>359</v>
      </c>
      <c r="B863">
        <v>2018</v>
      </c>
      <c r="C863" t="str">
        <f>VLOOKUP(A863,[2]Tabelle1!$A$1:$B$68,2,FALSE)</f>
        <v>Stade</v>
      </c>
      <c r="D863" t="s">
        <v>2</v>
      </c>
      <c r="E863" t="s">
        <v>4</v>
      </c>
      <c r="F863" t="str">
        <f>VLOOKUP(A863,[1]Kreise!$A$1:$C$53,3,FALSE)</f>
        <v>K03359</v>
      </c>
      <c r="G863">
        <v>125</v>
      </c>
    </row>
    <row r="864" spans="1:7" x14ac:dyDescent="0.25">
      <c r="A864">
        <v>360</v>
      </c>
      <c r="B864">
        <v>2018</v>
      </c>
      <c r="C864" t="str">
        <f>VLOOKUP(A864,[2]Tabelle1!$A$1:$B$68,2,FALSE)</f>
        <v>Uelzen</v>
      </c>
      <c r="D864" t="s">
        <v>2</v>
      </c>
      <c r="E864" t="s">
        <v>4</v>
      </c>
      <c r="F864" t="str">
        <f>VLOOKUP(A864,[1]Kreise!$A$1:$C$53,3,FALSE)</f>
        <v>K03360</v>
      </c>
      <c r="G864">
        <v>46</v>
      </c>
    </row>
    <row r="865" spans="1:7" x14ac:dyDescent="0.25">
      <c r="A865">
        <v>361</v>
      </c>
      <c r="B865">
        <v>2018</v>
      </c>
      <c r="C865" t="str">
        <f>VLOOKUP(A865,[2]Tabelle1!$A$1:$B$68,2,FALSE)</f>
        <v>Verden</v>
      </c>
      <c r="D865" t="s">
        <v>2</v>
      </c>
      <c r="E865" t="s">
        <v>4</v>
      </c>
      <c r="F865" t="str">
        <f>VLOOKUP(A865,[1]Kreise!$A$1:$C$53,3,FALSE)</f>
        <v>K03361</v>
      </c>
      <c r="G865">
        <v>39</v>
      </c>
    </row>
    <row r="866" spans="1:7" x14ac:dyDescent="0.25">
      <c r="A866">
        <v>3</v>
      </c>
      <c r="B866">
        <v>2018</v>
      </c>
      <c r="C866" t="str">
        <f>VLOOKUP(A866,[2]Tabelle1!$A$1:$B$68,2,FALSE)</f>
        <v>Statistische Region Lüneburg</v>
      </c>
      <c r="D866" t="s">
        <v>2</v>
      </c>
      <c r="E866" t="s">
        <v>4</v>
      </c>
      <c r="F866" t="str">
        <f>VLOOKUP(A866,[1]Kreise!$A$1:$C$53,3,FALSE)</f>
        <v>K033</v>
      </c>
      <c r="G866">
        <v>849</v>
      </c>
    </row>
    <row r="867" spans="1:7" x14ac:dyDescent="0.25">
      <c r="A867">
        <v>401</v>
      </c>
      <c r="B867">
        <v>2018</v>
      </c>
      <c r="C867" t="str">
        <f>VLOOKUP(A867,[2]Tabelle1!$A$1:$B$68,2,FALSE)</f>
        <v>Delmenhorst  Stadt</v>
      </c>
      <c r="D867" t="s">
        <v>2</v>
      </c>
      <c r="E867" t="s">
        <v>4</v>
      </c>
      <c r="F867" t="str">
        <f>VLOOKUP(A867,[1]Kreise!$A$1:$C$53,3,FALSE)</f>
        <v>K03401</v>
      </c>
      <c r="G867">
        <v>36</v>
      </c>
    </row>
    <row r="868" spans="1:7" x14ac:dyDescent="0.25">
      <c r="A868">
        <v>402</v>
      </c>
      <c r="B868">
        <v>2018</v>
      </c>
      <c r="C868" t="str">
        <f>VLOOKUP(A868,[2]Tabelle1!$A$1:$B$68,2,FALSE)</f>
        <v>Emden  Stadt</v>
      </c>
      <c r="D868" t="s">
        <v>2</v>
      </c>
      <c r="E868" t="s">
        <v>4</v>
      </c>
      <c r="F868" t="str">
        <f>VLOOKUP(A868,[1]Kreise!$A$1:$C$53,3,FALSE)</f>
        <v>K03402</v>
      </c>
      <c r="G868">
        <v>41</v>
      </c>
    </row>
    <row r="869" spans="1:7" x14ac:dyDescent="0.25">
      <c r="A869">
        <v>403</v>
      </c>
      <c r="B869">
        <v>2018</v>
      </c>
      <c r="C869" t="str">
        <f>VLOOKUP(A869,[2]Tabelle1!$A$1:$B$68,2,FALSE)</f>
        <v>Oldenburg(Oldb)  Stadt</v>
      </c>
      <c r="D869" t="s">
        <v>2</v>
      </c>
      <c r="E869" t="s">
        <v>4</v>
      </c>
      <c r="F869" t="str">
        <f>VLOOKUP(A869,[1]Kreise!$A$1:$C$53,3,FALSE)</f>
        <v>K03403</v>
      </c>
      <c r="G869">
        <v>79</v>
      </c>
    </row>
    <row r="870" spans="1:7" x14ac:dyDescent="0.25">
      <c r="A870">
        <v>404</v>
      </c>
      <c r="B870">
        <v>2018</v>
      </c>
      <c r="C870" t="str">
        <f>VLOOKUP(A870,[2]Tabelle1!$A$1:$B$68,2,FALSE)</f>
        <v>Osnabrück  Stadt</v>
      </c>
      <c r="D870" t="s">
        <v>2</v>
      </c>
      <c r="E870" t="s">
        <v>4</v>
      </c>
      <c r="F870" t="str">
        <f>VLOOKUP(A870,[1]Kreise!$A$1:$C$53,3,FALSE)</f>
        <v>K03404</v>
      </c>
      <c r="G870">
        <v>64</v>
      </c>
    </row>
    <row r="871" spans="1:7" x14ac:dyDescent="0.25">
      <c r="A871">
        <v>405</v>
      </c>
      <c r="B871">
        <v>2018</v>
      </c>
      <c r="C871" t="str">
        <f>VLOOKUP(A871,[2]Tabelle1!$A$1:$B$68,2,FALSE)</f>
        <v>Wilhelmshaven  Stadt</v>
      </c>
      <c r="D871" t="s">
        <v>2</v>
      </c>
      <c r="E871" t="s">
        <v>4</v>
      </c>
      <c r="F871" t="str">
        <f>VLOOKUP(A871,[1]Kreise!$A$1:$C$53,3,FALSE)</f>
        <v>K03405</v>
      </c>
      <c r="G871">
        <v>41</v>
      </c>
    </row>
    <row r="872" spans="1:7" x14ac:dyDescent="0.25">
      <c r="A872">
        <v>451</v>
      </c>
      <c r="B872">
        <v>2018</v>
      </c>
      <c r="C872" t="str">
        <f>VLOOKUP(A872,[2]Tabelle1!$A$1:$B$68,2,FALSE)</f>
        <v>Ammerland</v>
      </c>
      <c r="D872" t="s">
        <v>2</v>
      </c>
      <c r="E872" t="s">
        <v>4</v>
      </c>
      <c r="F872" t="str">
        <f>VLOOKUP(A872,[1]Kreise!$A$1:$C$53,3,FALSE)</f>
        <v>K03451</v>
      </c>
      <c r="G872">
        <v>38</v>
      </c>
    </row>
    <row r="873" spans="1:7" x14ac:dyDescent="0.25">
      <c r="A873">
        <v>452</v>
      </c>
      <c r="B873">
        <v>2018</v>
      </c>
      <c r="C873" t="str">
        <f>VLOOKUP(A873,[2]Tabelle1!$A$1:$B$68,2,FALSE)</f>
        <v>Aurich</v>
      </c>
      <c r="D873" t="s">
        <v>2</v>
      </c>
      <c r="E873" t="s">
        <v>4</v>
      </c>
      <c r="F873" t="str">
        <f>VLOOKUP(A873,[1]Kreise!$A$1:$C$53,3,FALSE)</f>
        <v>K03452</v>
      </c>
      <c r="G873">
        <v>166</v>
      </c>
    </row>
    <row r="874" spans="1:7" x14ac:dyDescent="0.25">
      <c r="A874">
        <v>453</v>
      </c>
      <c r="B874">
        <v>2018</v>
      </c>
      <c r="C874" t="str">
        <f>VLOOKUP(A874,[2]Tabelle1!$A$1:$B$68,2,FALSE)</f>
        <v>Cloppenburg</v>
      </c>
      <c r="D874" t="s">
        <v>2</v>
      </c>
      <c r="E874" t="s">
        <v>4</v>
      </c>
      <c r="F874" t="str">
        <f>VLOOKUP(A874,[1]Kreise!$A$1:$C$53,3,FALSE)</f>
        <v>K03453</v>
      </c>
      <c r="G874">
        <v>91</v>
      </c>
    </row>
    <row r="875" spans="1:7" x14ac:dyDescent="0.25">
      <c r="A875">
        <v>454</v>
      </c>
      <c r="B875">
        <v>2018</v>
      </c>
      <c r="C875" t="str">
        <f>VLOOKUP(A875,[2]Tabelle1!$A$1:$B$68,2,FALSE)</f>
        <v>Emsland</v>
      </c>
      <c r="D875" t="s">
        <v>2</v>
      </c>
      <c r="E875" t="s">
        <v>4</v>
      </c>
      <c r="F875" t="str">
        <f>VLOOKUP(A875,[1]Kreise!$A$1:$C$53,3,FALSE)</f>
        <v>K03454</v>
      </c>
      <c r="G875">
        <v>143</v>
      </c>
    </row>
    <row r="876" spans="1:7" x14ac:dyDescent="0.25">
      <c r="A876">
        <v>455</v>
      </c>
      <c r="B876">
        <v>2018</v>
      </c>
      <c r="C876" t="str">
        <f>VLOOKUP(A876,[2]Tabelle1!$A$1:$B$68,2,FALSE)</f>
        <v>Friesland</v>
      </c>
      <c r="D876" t="s">
        <v>2</v>
      </c>
      <c r="E876" t="s">
        <v>4</v>
      </c>
      <c r="F876" t="str">
        <f>VLOOKUP(A876,[1]Kreise!$A$1:$C$53,3,FALSE)</f>
        <v>K03455</v>
      </c>
      <c r="G876">
        <v>90</v>
      </c>
    </row>
    <row r="877" spans="1:7" x14ac:dyDescent="0.25">
      <c r="A877">
        <v>456</v>
      </c>
      <c r="B877">
        <v>2018</v>
      </c>
      <c r="C877" t="str">
        <f>VLOOKUP(A877,[2]Tabelle1!$A$1:$B$68,2,FALSE)</f>
        <v>Grafschaft Bentheim</v>
      </c>
      <c r="D877" t="s">
        <v>2</v>
      </c>
      <c r="E877" t="s">
        <v>4</v>
      </c>
      <c r="F877" t="str">
        <f>VLOOKUP(A877,[1]Kreise!$A$1:$C$53,3,FALSE)</f>
        <v>K03456</v>
      </c>
      <c r="G877">
        <v>70</v>
      </c>
    </row>
    <row r="878" spans="1:7" x14ac:dyDescent="0.25">
      <c r="A878">
        <v>457</v>
      </c>
      <c r="B878">
        <v>2018</v>
      </c>
      <c r="C878" t="str">
        <f>VLOOKUP(A878,[2]Tabelle1!$A$1:$B$68,2,FALSE)</f>
        <v>Leer</v>
      </c>
      <c r="D878" t="s">
        <v>2</v>
      </c>
      <c r="E878" t="s">
        <v>4</v>
      </c>
      <c r="F878" t="str">
        <f>VLOOKUP(A878,[1]Kreise!$A$1:$C$53,3,FALSE)</f>
        <v>K03457</v>
      </c>
      <c r="G878">
        <v>77</v>
      </c>
    </row>
    <row r="879" spans="1:7" x14ac:dyDescent="0.25">
      <c r="A879">
        <v>458</v>
      </c>
      <c r="B879">
        <v>2018</v>
      </c>
      <c r="C879" t="str">
        <f>VLOOKUP(A879,[2]Tabelle1!$A$1:$B$68,2,FALSE)</f>
        <v>Oldenburg</v>
      </c>
      <c r="D879" t="s">
        <v>2</v>
      </c>
      <c r="E879" t="s">
        <v>4</v>
      </c>
      <c r="F879" t="str">
        <f>VLOOKUP(A879,[1]Kreise!$A$1:$C$53,3,FALSE)</f>
        <v>K03458</v>
      </c>
      <c r="G879">
        <v>53</v>
      </c>
    </row>
    <row r="880" spans="1:7" x14ac:dyDescent="0.25">
      <c r="A880">
        <v>459</v>
      </c>
      <c r="B880">
        <v>2018</v>
      </c>
      <c r="C880" t="str">
        <f>VLOOKUP(A880,[2]Tabelle1!$A$1:$B$68,2,FALSE)</f>
        <v>Osnabrück</v>
      </c>
      <c r="D880" t="s">
        <v>2</v>
      </c>
      <c r="E880" t="s">
        <v>4</v>
      </c>
      <c r="F880" t="str">
        <f>VLOOKUP(A880,[1]Kreise!$A$1:$C$53,3,FALSE)</f>
        <v>K03459</v>
      </c>
      <c r="G880">
        <v>146</v>
      </c>
    </row>
    <row r="881" spans="1:7" x14ac:dyDescent="0.25">
      <c r="A881">
        <v>460</v>
      </c>
      <c r="B881">
        <v>2018</v>
      </c>
      <c r="C881" t="str">
        <f>VLOOKUP(A881,[2]Tabelle1!$A$1:$B$68,2,FALSE)</f>
        <v>Vechta</v>
      </c>
      <c r="D881" t="s">
        <v>2</v>
      </c>
      <c r="E881" t="s">
        <v>4</v>
      </c>
      <c r="F881" t="str">
        <f>VLOOKUP(A881,[1]Kreise!$A$1:$C$53,3,FALSE)</f>
        <v>K03460</v>
      </c>
      <c r="G881">
        <v>91</v>
      </c>
    </row>
    <row r="882" spans="1:7" x14ac:dyDescent="0.25">
      <c r="A882">
        <v>461</v>
      </c>
      <c r="B882">
        <v>2018</v>
      </c>
      <c r="C882" t="str">
        <f>VLOOKUP(A882,[2]Tabelle1!$A$1:$B$68,2,FALSE)</f>
        <v>Wesermarsch</v>
      </c>
      <c r="D882" t="s">
        <v>2</v>
      </c>
      <c r="E882" t="s">
        <v>4</v>
      </c>
      <c r="F882" t="str">
        <f>VLOOKUP(A882,[1]Kreise!$A$1:$C$53,3,FALSE)</f>
        <v>K03461</v>
      </c>
      <c r="G882">
        <v>40</v>
      </c>
    </row>
    <row r="883" spans="1:7" x14ac:dyDescent="0.25">
      <c r="A883">
        <v>462</v>
      </c>
      <c r="B883">
        <v>2018</v>
      </c>
      <c r="C883" t="str">
        <f>VLOOKUP(A883,[2]Tabelle1!$A$1:$B$68,2,FALSE)</f>
        <v>Wittmund</v>
      </c>
      <c r="D883" t="s">
        <v>2</v>
      </c>
      <c r="E883" t="s">
        <v>4</v>
      </c>
      <c r="F883" t="str">
        <f>VLOOKUP(A883,[1]Kreise!$A$1:$C$53,3,FALSE)</f>
        <v>K03462</v>
      </c>
      <c r="G883">
        <v>32</v>
      </c>
    </row>
    <row r="884" spans="1:7" x14ac:dyDescent="0.25">
      <c r="A884">
        <v>4</v>
      </c>
      <c r="B884">
        <v>2018</v>
      </c>
      <c r="C884" t="str">
        <f>VLOOKUP(A884,[2]Tabelle1!$A$1:$B$68,2,FALSE)</f>
        <v>Statistische Region Weser-Ems</v>
      </c>
      <c r="D884" t="s">
        <v>2</v>
      </c>
      <c r="E884" t="s">
        <v>4</v>
      </c>
      <c r="F884" t="str">
        <f>VLOOKUP(A884,[1]Kreise!$A$1:$C$53,3,FALSE)</f>
        <v>K034</v>
      </c>
      <c r="G884">
        <v>1298</v>
      </c>
    </row>
    <row r="885" spans="1:7" x14ac:dyDescent="0.25">
      <c r="A885">
        <v>0</v>
      </c>
      <c r="B885">
        <v>2018</v>
      </c>
      <c r="C885" t="str">
        <f>VLOOKUP(A885,[2]Tabelle1!$A$1:$B$68,2,FALSE)</f>
        <v>Niedersachsen</v>
      </c>
      <c r="D885" t="s">
        <v>2</v>
      </c>
      <c r="E885" t="s">
        <v>4</v>
      </c>
      <c r="F885" t="str">
        <f>VLOOKUP(A885,[1]Kreise!$A$1:$C$53,3,FALSE)</f>
        <v>K030</v>
      </c>
      <c r="G885">
        <v>3666</v>
      </c>
    </row>
    <row r="886" spans="1:7" x14ac:dyDescent="0.25">
      <c r="A886">
        <v>101</v>
      </c>
      <c r="B886">
        <v>2018</v>
      </c>
      <c r="C886" t="str">
        <f>VLOOKUP(A886,[2]Tabelle1!$A$1:$B$68,2,FALSE)</f>
        <v>Braunschweig  Stadt</v>
      </c>
      <c r="D886" t="s">
        <v>3</v>
      </c>
      <c r="E886" t="s">
        <v>4</v>
      </c>
      <c r="F886" t="str">
        <f>VLOOKUP(A886,[1]Kreise!$A$1:$C$53,3,FALSE)</f>
        <v>K03101</v>
      </c>
      <c r="G886">
        <v>32</v>
      </c>
    </row>
    <row r="887" spans="1:7" x14ac:dyDescent="0.25">
      <c r="A887">
        <v>102</v>
      </c>
      <c r="B887">
        <v>2018</v>
      </c>
      <c r="C887" t="str">
        <f>VLOOKUP(A887,[2]Tabelle1!$A$1:$B$68,2,FALSE)</f>
        <v>Salzgitter  Stadt</v>
      </c>
      <c r="D887" t="s">
        <v>3</v>
      </c>
      <c r="E887" t="s">
        <v>4</v>
      </c>
      <c r="F887" t="str">
        <f>VLOOKUP(A887,[1]Kreise!$A$1:$C$53,3,FALSE)</f>
        <v>K03102</v>
      </c>
      <c r="G887">
        <v>58</v>
      </c>
    </row>
    <row r="888" spans="1:7" x14ac:dyDescent="0.25">
      <c r="A888">
        <v>103</v>
      </c>
      <c r="B888">
        <v>2018</v>
      </c>
      <c r="C888" t="str">
        <f>VLOOKUP(A888,[2]Tabelle1!$A$1:$B$68,2,FALSE)</f>
        <v>Wolfsburg  Stadt</v>
      </c>
      <c r="D888" t="s">
        <v>3</v>
      </c>
      <c r="E888" t="s">
        <v>4</v>
      </c>
      <c r="F888" t="str">
        <f>VLOOKUP(A888,[1]Kreise!$A$1:$C$53,3,FALSE)</f>
        <v>K03103</v>
      </c>
      <c r="G888">
        <v>20</v>
      </c>
    </row>
    <row r="889" spans="1:7" x14ac:dyDescent="0.25">
      <c r="A889">
        <v>151</v>
      </c>
      <c r="B889">
        <v>2018</v>
      </c>
      <c r="C889" t="str">
        <f>VLOOKUP(A889,[2]Tabelle1!$A$1:$B$68,2,FALSE)</f>
        <v>Gifhorn</v>
      </c>
      <c r="D889" t="s">
        <v>3</v>
      </c>
      <c r="E889" t="s">
        <v>4</v>
      </c>
      <c r="F889" t="str">
        <f>VLOOKUP(A889,[1]Kreise!$A$1:$C$53,3,FALSE)</f>
        <v>K03151</v>
      </c>
      <c r="G889">
        <v>23</v>
      </c>
    </row>
    <row r="890" spans="1:7" x14ac:dyDescent="0.25">
      <c r="A890">
        <v>153</v>
      </c>
      <c r="B890">
        <v>2018</v>
      </c>
      <c r="C890" t="str">
        <f>VLOOKUP(A890,[2]Tabelle1!$A$1:$B$68,2,FALSE)</f>
        <v>Goslar</v>
      </c>
      <c r="D890" t="s">
        <v>3</v>
      </c>
      <c r="E890" t="s">
        <v>4</v>
      </c>
      <c r="F890" t="str">
        <f>VLOOKUP(A890,[1]Kreise!$A$1:$C$53,3,FALSE)</f>
        <v>K03153</v>
      </c>
      <c r="G890">
        <v>13</v>
      </c>
    </row>
    <row r="891" spans="1:7" x14ac:dyDescent="0.25">
      <c r="A891">
        <v>154</v>
      </c>
      <c r="B891">
        <v>2018</v>
      </c>
      <c r="C891" t="str">
        <f>VLOOKUP(A891,[2]Tabelle1!$A$1:$B$68,2,FALSE)</f>
        <v>Helmstedt</v>
      </c>
      <c r="D891" t="s">
        <v>3</v>
      </c>
      <c r="E891" t="s">
        <v>4</v>
      </c>
      <c r="F891" t="str">
        <f>VLOOKUP(A891,[1]Kreise!$A$1:$C$53,3,FALSE)</f>
        <v>K03154</v>
      </c>
      <c r="G891">
        <v>9</v>
      </c>
    </row>
    <row r="892" spans="1:7" x14ac:dyDescent="0.25">
      <c r="A892">
        <v>155</v>
      </c>
      <c r="B892">
        <v>2018</v>
      </c>
      <c r="C892" t="str">
        <f>VLOOKUP(A892,[2]Tabelle1!$A$1:$B$68,2,FALSE)</f>
        <v>Northeim</v>
      </c>
      <c r="D892" t="s">
        <v>3</v>
      </c>
      <c r="E892" t="s">
        <v>4</v>
      </c>
      <c r="F892" t="str">
        <f>VLOOKUP(A892,[1]Kreise!$A$1:$C$53,3,FALSE)</f>
        <v>K03155</v>
      </c>
      <c r="G892">
        <v>16</v>
      </c>
    </row>
    <row r="893" spans="1:7" x14ac:dyDescent="0.25">
      <c r="A893">
        <v>157</v>
      </c>
      <c r="B893">
        <v>2018</v>
      </c>
      <c r="C893" t="str">
        <f>VLOOKUP(A893,[2]Tabelle1!$A$1:$B$68,2,FALSE)</f>
        <v>Peine</v>
      </c>
      <c r="D893" t="s">
        <v>3</v>
      </c>
      <c r="E893" t="s">
        <v>4</v>
      </c>
      <c r="F893" t="str">
        <f>VLOOKUP(A893,[1]Kreise!$A$1:$C$53,3,FALSE)</f>
        <v>K03157</v>
      </c>
      <c r="G893">
        <v>25</v>
      </c>
    </row>
    <row r="894" spans="1:7" x14ac:dyDescent="0.25">
      <c r="A894">
        <v>158</v>
      </c>
      <c r="B894">
        <v>2018</v>
      </c>
      <c r="C894" t="str">
        <f>VLOOKUP(A894,[2]Tabelle1!$A$1:$B$68,2,FALSE)</f>
        <v>Wolfenbüttel</v>
      </c>
      <c r="D894" t="s">
        <v>3</v>
      </c>
      <c r="E894" t="s">
        <v>4</v>
      </c>
      <c r="F894" t="str">
        <f>VLOOKUP(A894,[1]Kreise!$A$1:$C$53,3,FALSE)</f>
        <v>K03158</v>
      </c>
      <c r="G894">
        <v>19</v>
      </c>
    </row>
    <row r="895" spans="1:7" x14ac:dyDescent="0.25">
      <c r="A895">
        <v>159</v>
      </c>
      <c r="B895">
        <v>2018</v>
      </c>
      <c r="C895" t="str">
        <f>VLOOKUP(A895,[2]Tabelle1!$A$1:$B$68,2,FALSE)</f>
        <v>Göttingen</v>
      </c>
      <c r="D895" t="s">
        <v>3</v>
      </c>
      <c r="E895" t="s">
        <v>4</v>
      </c>
      <c r="F895" t="str">
        <f>VLOOKUP(A895,[1]Kreise!$A$1:$C$53,3,FALSE)</f>
        <v>K03159</v>
      </c>
      <c r="G895">
        <v>62</v>
      </c>
    </row>
    <row r="896" spans="1:7" x14ac:dyDescent="0.25">
      <c r="A896">
        <v>1</v>
      </c>
      <c r="B896">
        <v>2018</v>
      </c>
      <c r="C896" t="str">
        <f>VLOOKUP(A896,[2]Tabelle1!$A$1:$B$68,2,FALSE)</f>
        <v>Statistische Region Braunschweig</v>
      </c>
      <c r="D896" t="s">
        <v>3</v>
      </c>
      <c r="E896" t="s">
        <v>4</v>
      </c>
      <c r="F896" t="str">
        <f>VLOOKUP(A896,[1]Kreise!$A$1:$C$53,3,FALSE)</f>
        <v>K031</v>
      </c>
      <c r="G896">
        <v>277</v>
      </c>
    </row>
    <row r="897" spans="1:7" x14ac:dyDescent="0.25">
      <c r="A897">
        <v>241</v>
      </c>
      <c r="B897">
        <v>2018</v>
      </c>
      <c r="C897" t="str">
        <f>VLOOKUP(A897,[2]Tabelle1!$A$1:$B$68,2,FALSE)</f>
        <v>Hannover  Region</v>
      </c>
      <c r="D897" t="s">
        <v>3</v>
      </c>
      <c r="E897" t="s">
        <v>4</v>
      </c>
      <c r="F897" t="str">
        <f>VLOOKUP(A897,[1]Kreise!$A$1:$C$53,3,FALSE)</f>
        <v>K03241</v>
      </c>
      <c r="G897">
        <v>240</v>
      </c>
    </row>
    <row r="898" spans="1:7" x14ac:dyDescent="0.25">
      <c r="A898">
        <v>241001</v>
      </c>
      <c r="B898">
        <v>2018</v>
      </c>
      <c r="C898" t="str">
        <f>VLOOKUP(A898,[2]Tabelle1!$A$1:$B$68,2,FALSE)</f>
        <v>dav. Hannover  Lhst.</v>
      </c>
      <c r="D898" t="s">
        <v>3</v>
      </c>
      <c r="E898" t="s">
        <v>4</v>
      </c>
      <c r="F898" t="str">
        <f>VLOOKUP(A898,[1]Kreise!$A$1:$C$53,3,FALSE)</f>
        <v>K03241001</v>
      </c>
      <c r="G898">
        <v>126</v>
      </c>
    </row>
    <row r="899" spans="1:7" x14ac:dyDescent="0.25">
      <c r="A899">
        <v>241999</v>
      </c>
      <c r="B899">
        <v>2018</v>
      </c>
      <c r="C899" t="str">
        <f>VLOOKUP(A899,[2]Tabelle1!$A$1:$B$68,2,FALSE)</f>
        <v>dav. Hannover  Umland</v>
      </c>
      <c r="D899" t="s">
        <v>3</v>
      </c>
      <c r="E899" t="s">
        <v>4</v>
      </c>
      <c r="F899" t="str">
        <f>VLOOKUP(A899,[1]Kreise!$A$1:$C$53,3,FALSE)</f>
        <v>K03241999</v>
      </c>
      <c r="G899">
        <v>114</v>
      </c>
    </row>
    <row r="900" spans="1:7" x14ac:dyDescent="0.25">
      <c r="A900">
        <v>251</v>
      </c>
      <c r="B900">
        <v>2018</v>
      </c>
      <c r="C900" t="str">
        <f>VLOOKUP(A900,[2]Tabelle1!$A$1:$B$68,2,FALSE)</f>
        <v>Diepholz</v>
      </c>
      <c r="D900" t="s">
        <v>3</v>
      </c>
      <c r="E900" t="s">
        <v>4</v>
      </c>
      <c r="F900" t="str">
        <f>VLOOKUP(A900,[1]Kreise!$A$1:$C$53,3,FALSE)</f>
        <v>K03251</v>
      </c>
      <c r="G900">
        <v>41</v>
      </c>
    </row>
    <row r="901" spans="1:7" x14ac:dyDescent="0.25">
      <c r="A901">
        <v>252</v>
      </c>
      <c r="B901">
        <v>2018</v>
      </c>
      <c r="C901" t="str">
        <f>VLOOKUP(A901,[2]Tabelle1!$A$1:$B$68,2,FALSE)</f>
        <v>Hameln-Pyrmont</v>
      </c>
      <c r="D901" t="s">
        <v>3</v>
      </c>
      <c r="E901" t="s">
        <v>4</v>
      </c>
      <c r="F901" t="str">
        <f>VLOOKUP(A901,[1]Kreise!$A$1:$C$53,3,FALSE)</f>
        <v>K03252</v>
      </c>
      <c r="G901">
        <v>33</v>
      </c>
    </row>
    <row r="902" spans="1:7" x14ac:dyDescent="0.25">
      <c r="A902">
        <v>254</v>
      </c>
      <c r="B902">
        <v>2018</v>
      </c>
      <c r="C902" t="str">
        <f>VLOOKUP(A902,[2]Tabelle1!$A$1:$B$68,2,FALSE)</f>
        <v>Hildesheim</v>
      </c>
      <c r="D902" t="s">
        <v>3</v>
      </c>
      <c r="E902" t="s">
        <v>4</v>
      </c>
      <c r="F902" t="str">
        <f>VLOOKUP(A902,[1]Kreise!$A$1:$C$53,3,FALSE)</f>
        <v>K03254</v>
      </c>
      <c r="G902">
        <v>54</v>
      </c>
    </row>
    <row r="903" spans="1:7" x14ac:dyDescent="0.25">
      <c r="A903">
        <v>255</v>
      </c>
      <c r="B903">
        <v>2018</v>
      </c>
      <c r="C903" t="str">
        <f>VLOOKUP(A903,[2]Tabelle1!$A$1:$B$68,2,FALSE)</f>
        <v>Holzminden</v>
      </c>
      <c r="D903" t="s">
        <v>3</v>
      </c>
      <c r="E903" t="s">
        <v>4</v>
      </c>
      <c r="F903" t="str">
        <f>VLOOKUP(A903,[1]Kreise!$A$1:$C$53,3,FALSE)</f>
        <v>K03255</v>
      </c>
      <c r="G903">
        <v>12</v>
      </c>
    </row>
    <row r="904" spans="1:7" x14ac:dyDescent="0.25">
      <c r="A904">
        <v>256</v>
      </c>
      <c r="B904">
        <v>2018</v>
      </c>
      <c r="C904" t="str">
        <f>VLOOKUP(A904,[2]Tabelle1!$A$1:$B$68,2,FALSE)</f>
        <v>Nienburg (Weser)</v>
      </c>
      <c r="D904" t="s">
        <v>3</v>
      </c>
      <c r="E904" t="s">
        <v>4</v>
      </c>
      <c r="F904" t="str">
        <f>VLOOKUP(A904,[1]Kreise!$A$1:$C$53,3,FALSE)</f>
        <v>K03256</v>
      </c>
      <c r="G904">
        <v>57</v>
      </c>
    </row>
    <row r="905" spans="1:7" x14ac:dyDescent="0.25">
      <c r="A905">
        <v>257</v>
      </c>
      <c r="B905">
        <v>2018</v>
      </c>
      <c r="C905" t="str">
        <f>VLOOKUP(A905,[2]Tabelle1!$A$1:$B$68,2,FALSE)</f>
        <v>Schaumburg</v>
      </c>
      <c r="D905" t="s">
        <v>3</v>
      </c>
      <c r="E905" t="s">
        <v>4</v>
      </c>
      <c r="F905" t="str">
        <f>VLOOKUP(A905,[1]Kreise!$A$1:$C$53,3,FALSE)</f>
        <v>K03257</v>
      </c>
      <c r="G905">
        <v>25</v>
      </c>
    </row>
    <row r="906" spans="1:7" x14ac:dyDescent="0.25">
      <c r="A906">
        <v>2</v>
      </c>
      <c r="B906">
        <v>2018</v>
      </c>
      <c r="C906" t="str">
        <f>VLOOKUP(A906,[2]Tabelle1!$A$1:$B$68,2,FALSE)</f>
        <v>Statistische Region Hannover</v>
      </c>
      <c r="D906" t="s">
        <v>3</v>
      </c>
      <c r="E906" t="s">
        <v>4</v>
      </c>
      <c r="F906" t="str">
        <f>VLOOKUP(A906,[1]Kreise!$A$1:$C$53,3,FALSE)</f>
        <v>K032</v>
      </c>
      <c r="G906">
        <v>462</v>
      </c>
    </row>
    <row r="907" spans="1:7" x14ac:dyDescent="0.25">
      <c r="A907">
        <v>351</v>
      </c>
      <c r="B907">
        <v>2018</v>
      </c>
      <c r="C907" t="str">
        <f>VLOOKUP(A907,[2]Tabelle1!$A$1:$B$68,2,FALSE)</f>
        <v>Celle</v>
      </c>
      <c r="D907" t="s">
        <v>3</v>
      </c>
      <c r="E907" t="s">
        <v>4</v>
      </c>
      <c r="F907" t="str">
        <f>VLOOKUP(A907,[1]Kreise!$A$1:$C$53,3,FALSE)</f>
        <v>K03351</v>
      </c>
      <c r="G907">
        <v>32</v>
      </c>
    </row>
    <row r="908" spans="1:7" x14ac:dyDescent="0.25">
      <c r="A908">
        <v>352</v>
      </c>
      <c r="B908">
        <v>2018</v>
      </c>
      <c r="C908" t="str">
        <f>VLOOKUP(A908,[2]Tabelle1!$A$1:$B$68,2,FALSE)</f>
        <v>Cuxhaven</v>
      </c>
      <c r="D908" t="s">
        <v>3</v>
      </c>
      <c r="E908" t="s">
        <v>4</v>
      </c>
      <c r="F908" t="str">
        <f>VLOOKUP(A908,[1]Kreise!$A$1:$C$53,3,FALSE)</f>
        <v>K03352</v>
      </c>
      <c r="G908">
        <v>23</v>
      </c>
    </row>
    <row r="909" spans="1:7" x14ac:dyDescent="0.25">
      <c r="A909">
        <v>353</v>
      </c>
      <c r="B909">
        <v>2018</v>
      </c>
      <c r="C909" t="str">
        <f>VLOOKUP(A909,[2]Tabelle1!$A$1:$B$68,2,FALSE)</f>
        <v>Harburg</v>
      </c>
      <c r="D909" t="s">
        <v>3</v>
      </c>
      <c r="E909" t="s">
        <v>4</v>
      </c>
      <c r="F909" t="str">
        <f>VLOOKUP(A909,[1]Kreise!$A$1:$C$53,3,FALSE)</f>
        <v>K03353</v>
      </c>
      <c r="G909">
        <v>18</v>
      </c>
    </row>
    <row r="910" spans="1:7" x14ac:dyDescent="0.25">
      <c r="A910">
        <v>354</v>
      </c>
      <c r="B910">
        <v>2018</v>
      </c>
      <c r="C910" t="str">
        <f>VLOOKUP(A910,[2]Tabelle1!$A$1:$B$68,2,FALSE)</f>
        <v>Lüchow-Dannenberg</v>
      </c>
      <c r="D910" t="s">
        <v>3</v>
      </c>
      <c r="E910" t="s">
        <v>4</v>
      </c>
      <c r="F910" t="str">
        <f>VLOOKUP(A910,[1]Kreise!$A$1:$C$53,3,FALSE)</f>
        <v>K03354</v>
      </c>
      <c r="G910">
        <v>7</v>
      </c>
    </row>
    <row r="911" spans="1:7" x14ac:dyDescent="0.25">
      <c r="A911">
        <v>355</v>
      </c>
      <c r="B911">
        <v>2018</v>
      </c>
      <c r="C911" t="str">
        <f>VLOOKUP(A911,[2]Tabelle1!$A$1:$B$68,2,FALSE)</f>
        <v>Lüneburg</v>
      </c>
      <c r="D911" t="s">
        <v>3</v>
      </c>
      <c r="E911" t="s">
        <v>4</v>
      </c>
      <c r="F911" t="str">
        <f>VLOOKUP(A911,[1]Kreise!$A$1:$C$53,3,FALSE)</f>
        <v>K03355</v>
      </c>
      <c r="G911">
        <v>15</v>
      </c>
    </row>
    <row r="912" spans="1:7" x14ac:dyDescent="0.25">
      <c r="A912">
        <v>356</v>
      </c>
      <c r="B912">
        <v>2018</v>
      </c>
      <c r="C912" t="str">
        <f>VLOOKUP(A912,[2]Tabelle1!$A$1:$B$68,2,FALSE)</f>
        <v>Osterholz</v>
      </c>
      <c r="D912" t="s">
        <v>3</v>
      </c>
      <c r="E912" t="s">
        <v>4</v>
      </c>
      <c r="F912" t="str">
        <f>VLOOKUP(A912,[1]Kreise!$A$1:$C$53,3,FALSE)</f>
        <v>K03356</v>
      </c>
      <c r="G912">
        <v>9</v>
      </c>
    </row>
    <row r="913" spans="1:7" x14ac:dyDescent="0.25">
      <c r="A913">
        <v>357</v>
      </c>
      <c r="B913">
        <v>2018</v>
      </c>
      <c r="C913" t="str">
        <f>VLOOKUP(A913,[2]Tabelle1!$A$1:$B$68,2,FALSE)</f>
        <v>Rotenburg (Wümme)</v>
      </c>
      <c r="D913" t="s">
        <v>3</v>
      </c>
      <c r="E913" t="s">
        <v>4</v>
      </c>
      <c r="F913" t="str">
        <f>VLOOKUP(A913,[1]Kreise!$A$1:$C$53,3,FALSE)</f>
        <v>K03357</v>
      </c>
      <c r="G913">
        <v>19</v>
      </c>
    </row>
    <row r="914" spans="1:7" x14ac:dyDescent="0.25">
      <c r="A914">
        <v>358</v>
      </c>
      <c r="B914">
        <v>2018</v>
      </c>
      <c r="C914" t="str">
        <f>VLOOKUP(A914,[2]Tabelle1!$A$1:$B$68,2,FALSE)</f>
        <v>Heidekreis</v>
      </c>
      <c r="D914" t="s">
        <v>3</v>
      </c>
      <c r="E914" t="s">
        <v>4</v>
      </c>
      <c r="F914" t="str">
        <f>VLOOKUP(A914,[1]Kreise!$A$1:$C$53,3,FALSE)</f>
        <v>K03358</v>
      </c>
      <c r="G914">
        <v>16</v>
      </c>
    </row>
    <row r="915" spans="1:7" x14ac:dyDescent="0.25">
      <c r="A915">
        <v>359</v>
      </c>
      <c r="B915">
        <v>2018</v>
      </c>
      <c r="C915" t="str">
        <f>VLOOKUP(A915,[2]Tabelle1!$A$1:$B$68,2,FALSE)</f>
        <v>Stade</v>
      </c>
      <c r="D915" t="s">
        <v>3</v>
      </c>
      <c r="E915" t="s">
        <v>4</v>
      </c>
      <c r="F915" t="str">
        <f>VLOOKUP(A915,[1]Kreise!$A$1:$C$53,3,FALSE)</f>
        <v>K03359</v>
      </c>
      <c r="G915">
        <v>37</v>
      </c>
    </row>
    <row r="916" spans="1:7" x14ac:dyDescent="0.25">
      <c r="A916">
        <v>360</v>
      </c>
      <c r="B916">
        <v>2018</v>
      </c>
      <c r="C916" t="str">
        <f>VLOOKUP(A916,[2]Tabelle1!$A$1:$B$68,2,FALSE)</f>
        <v>Uelzen</v>
      </c>
      <c r="D916" t="s">
        <v>3</v>
      </c>
      <c r="E916" t="s">
        <v>4</v>
      </c>
      <c r="F916" t="str">
        <f>VLOOKUP(A916,[1]Kreise!$A$1:$C$53,3,FALSE)</f>
        <v>K03360</v>
      </c>
      <c r="G916">
        <v>8</v>
      </c>
    </row>
    <row r="917" spans="1:7" x14ac:dyDescent="0.25">
      <c r="A917">
        <v>361</v>
      </c>
      <c r="B917">
        <v>2018</v>
      </c>
      <c r="C917" t="str">
        <f>VLOOKUP(A917,[2]Tabelle1!$A$1:$B$68,2,FALSE)</f>
        <v>Verden</v>
      </c>
      <c r="D917" t="s">
        <v>3</v>
      </c>
      <c r="E917" t="s">
        <v>4</v>
      </c>
      <c r="F917" t="str">
        <f>VLOOKUP(A917,[1]Kreise!$A$1:$C$53,3,FALSE)</f>
        <v>K03361</v>
      </c>
      <c r="G917">
        <v>14</v>
      </c>
    </row>
    <row r="918" spans="1:7" x14ac:dyDescent="0.25">
      <c r="A918">
        <v>3</v>
      </c>
      <c r="B918">
        <v>2018</v>
      </c>
      <c r="C918" t="str">
        <f>VLOOKUP(A918,[2]Tabelle1!$A$1:$B$68,2,FALSE)</f>
        <v>Statistische Region Lüneburg</v>
      </c>
      <c r="D918" t="s">
        <v>3</v>
      </c>
      <c r="E918" t="s">
        <v>4</v>
      </c>
      <c r="F918" t="str">
        <f>VLOOKUP(A918,[1]Kreise!$A$1:$C$53,3,FALSE)</f>
        <v>K033</v>
      </c>
      <c r="G918">
        <v>198</v>
      </c>
    </row>
    <row r="919" spans="1:7" x14ac:dyDescent="0.25">
      <c r="A919">
        <v>401</v>
      </c>
      <c r="B919">
        <v>2018</v>
      </c>
      <c r="C919" t="str">
        <f>VLOOKUP(A919,[2]Tabelle1!$A$1:$B$68,2,FALSE)</f>
        <v>Delmenhorst  Stadt</v>
      </c>
      <c r="D919" t="s">
        <v>3</v>
      </c>
      <c r="E919" t="s">
        <v>4</v>
      </c>
      <c r="F919" t="str">
        <f>VLOOKUP(A919,[1]Kreise!$A$1:$C$53,3,FALSE)</f>
        <v>K03401</v>
      </c>
      <c r="G919">
        <v>37</v>
      </c>
    </row>
    <row r="920" spans="1:7" x14ac:dyDescent="0.25">
      <c r="A920">
        <v>402</v>
      </c>
      <c r="B920">
        <v>2018</v>
      </c>
      <c r="C920" t="str">
        <f>VLOOKUP(A920,[2]Tabelle1!$A$1:$B$68,2,FALSE)</f>
        <v>Emden  Stadt</v>
      </c>
      <c r="D920" t="s">
        <v>3</v>
      </c>
      <c r="E920" t="s">
        <v>4</v>
      </c>
      <c r="F920" t="str">
        <f>VLOOKUP(A920,[1]Kreise!$A$1:$C$53,3,FALSE)</f>
        <v>K03402</v>
      </c>
      <c r="G920">
        <v>8</v>
      </c>
    </row>
    <row r="921" spans="1:7" x14ac:dyDescent="0.25">
      <c r="A921">
        <v>403</v>
      </c>
      <c r="B921">
        <v>2018</v>
      </c>
      <c r="C921" t="str">
        <f>VLOOKUP(A921,[2]Tabelle1!$A$1:$B$68,2,FALSE)</f>
        <v>Oldenburg(Oldb)  Stadt</v>
      </c>
      <c r="D921" t="s">
        <v>3</v>
      </c>
      <c r="E921" t="s">
        <v>4</v>
      </c>
      <c r="F921" t="str">
        <f>VLOOKUP(A921,[1]Kreise!$A$1:$C$53,3,FALSE)</f>
        <v>K03403</v>
      </c>
      <c r="G921">
        <v>24</v>
      </c>
    </row>
    <row r="922" spans="1:7" x14ac:dyDescent="0.25">
      <c r="A922">
        <v>404</v>
      </c>
      <c r="B922">
        <v>2018</v>
      </c>
      <c r="C922" t="str">
        <f>VLOOKUP(A922,[2]Tabelle1!$A$1:$B$68,2,FALSE)</f>
        <v>Osnabrück  Stadt</v>
      </c>
      <c r="D922" t="s">
        <v>3</v>
      </c>
      <c r="E922" t="s">
        <v>4</v>
      </c>
      <c r="F922" t="str">
        <f>VLOOKUP(A922,[1]Kreise!$A$1:$C$53,3,FALSE)</f>
        <v>K03404</v>
      </c>
      <c r="G922">
        <v>28</v>
      </c>
    </row>
    <row r="923" spans="1:7" x14ac:dyDescent="0.25">
      <c r="A923">
        <v>405</v>
      </c>
      <c r="B923">
        <v>2018</v>
      </c>
      <c r="C923" t="str">
        <f>VLOOKUP(A923,[2]Tabelle1!$A$1:$B$68,2,FALSE)</f>
        <v>Wilhelmshaven  Stadt</v>
      </c>
      <c r="D923" t="s">
        <v>3</v>
      </c>
      <c r="E923" t="s">
        <v>4</v>
      </c>
      <c r="F923" t="str">
        <f>VLOOKUP(A923,[1]Kreise!$A$1:$C$53,3,FALSE)</f>
        <v>K03405</v>
      </c>
      <c r="G923">
        <v>3</v>
      </c>
    </row>
    <row r="924" spans="1:7" x14ac:dyDescent="0.25">
      <c r="A924">
        <v>451</v>
      </c>
      <c r="B924">
        <v>2018</v>
      </c>
      <c r="C924" t="str">
        <f>VLOOKUP(A924,[2]Tabelle1!$A$1:$B$68,2,FALSE)</f>
        <v>Ammerland</v>
      </c>
      <c r="D924" t="s">
        <v>3</v>
      </c>
      <c r="E924" t="s">
        <v>4</v>
      </c>
      <c r="F924" t="str">
        <f>VLOOKUP(A924,[1]Kreise!$A$1:$C$53,3,FALSE)</f>
        <v>K03451</v>
      </c>
      <c r="G924">
        <v>2</v>
      </c>
    </row>
    <row r="925" spans="1:7" x14ac:dyDescent="0.25">
      <c r="A925">
        <v>452</v>
      </c>
      <c r="B925">
        <v>2018</v>
      </c>
      <c r="C925" t="str">
        <f>VLOOKUP(A925,[2]Tabelle1!$A$1:$B$68,2,FALSE)</f>
        <v>Aurich</v>
      </c>
      <c r="D925" t="s">
        <v>3</v>
      </c>
      <c r="E925" t="s">
        <v>4</v>
      </c>
      <c r="F925" t="str">
        <f>VLOOKUP(A925,[1]Kreise!$A$1:$C$53,3,FALSE)</f>
        <v>K03452</v>
      </c>
      <c r="G925">
        <v>18</v>
      </c>
    </row>
    <row r="926" spans="1:7" x14ac:dyDescent="0.25">
      <c r="A926">
        <v>453</v>
      </c>
      <c r="B926">
        <v>2018</v>
      </c>
      <c r="C926" t="str">
        <f>VLOOKUP(A926,[2]Tabelle1!$A$1:$B$68,2,FALSE)</f>
        <v>Cloppenburg</v>
      </c>
      <c r="D926" t="s">
        <v>3</v>
      </c>
      <c r="E926" t="s">
        <v>4</v>
      </c>
      <c r="F926" t="str">
        <f>VLOOKUP(A926,[1]Kreise!$A$1:$C$53,3,FALSE)</f>
        <v>K03453</v>
      </c>
      <c r="G926">
        <v>30</v>
      </c>
    </row>
    <row r="927" spans="1:7" x14ac:dyDescent="0.25">
      <c r="A927">
        <v>454</v>
      </c>
      <c r="B927">
        <v>2018</v>
      </c>
      <c r="C927" t="str">
        <f>VLOOKUP(A927,[2]Tabelle1!$A$1:$B$68,2,FALSE)</f>
        <v>Emsland</v>
      </c>
      <c r="D927" t="s">
        <v>3</v>
      </c>
      <c r="E927" t="s">
        <v>4</v>
      </c>
      <c r="F927" t="str">
        <f>VLOOKUP(A927,[1]Kreise!$A$1:$C$53,3,FALSE)</f>
        <v>K03454</v>
      </c>
      <c r="G927">
        <v>86</v>
      </c>
    </row>
    <row r="928" spans="1:7" x14ac:dyDescent="0.25">
      <c r="A928">
        <v>455</v>
      </c>
      <c r="B928">
        <v>2018</v>
      </c>
      <c r="C928" t="str">
        <f>VLOOKUP(A928,[2]Tabelle1!$A$1:$B$68,2,FALSE)</f>
        <v>Friesland</v>
      </c>
      <c r="D928" t="s">
        <v>3</v>
      </c>
      <c r="E928" t="s">
        <v>4</v>
      </c>
      <c r="F928" t="str">
        <f>VLOOKUP(A928,[1]Kreise!$A$1:$C$53,3,FALSE)</f>
        <v>K03455</v>
      </c>
      <c r="G928">
        <v>10</v>
      </c>
    </row>
    <row r="929" spans="1:7" x14ac:dyDescent="0.25">
      <c r="A929">
        <v>456</v>
      </c>
      <c r="B929">
        <v>2018</v>
      </c>
      <c r="C929" t="str">
        <f>VLOOKUP(A929,[2]Tabelle1!$A$1:$B$68,2,FALSE)</f>
        <v>Grafschaft Bentheim</v>
      </c>
      <c r="D929" t="s">
        <v>3</v>
      </c>
      <c r="E929" t="s">
        <v>4</v>
      </c>
      <c r="F929" t="str">
        <f>VLOOKUP(A929,[1]Kreise!$A$1:$C$53,3,FALSE)</f>
        <v>K03456</v>
      </c>
      <c r="G929">
        <v>22</v>
      </c>
    </row>
    <row r="930" spans="1:7" x14ac:dyDescent="0.25">
      <c r="A930">
        <v>457</v>
      </c>
      <c r="B930">
        <v>2018</v>
      </c>
      <c r="C930" t="str">
        <f>VLOOKUP(A930,[2]Tabelle1!$A$1:$B$68,2,FALSE)</f>
        <v>Leer</v>
      </c>
      <c r="D930" t="s">
        <v>3</v>
      </c>
      <c r="E930" t="s">
        <v>4</v>
      </c>
      <c r="F930" t="str">
        <f>VLOOKUP(A930,[1]Kreise!$A$1:$C$53,3,FALSE)</f>
        <v>K03457</v>
      </c>
      <c r="G930">
        <v>31</v>
      </c>
    </row>
    <row r="931" spans="1:7" x14ac:dyDescent="0.25">
      <c r="A931">
        <v>458</v>
      </c>
      <c r="B931">
        <v>2018</v>
      </c>
      <c r="C931" t="str">
        <f>VLOOKUP(A931,[2]Tabelle1!$A$1:$B$68,2,FALSE)</f>
        <v>Oldenburg</v>
      </c>
      <c r="D931" t="s">
        <v>3</v>
      </c>
      <c r="E931" t="s">
        <v>4</v>
      </c>
      <c r="F931" t="str">
        <f>VLOOKUP(A931,[1]Kreise!$A$1:$C$53,3,FALSE)</f>
        <v>K03458</v>
      </c>
      <c r="G931">
        <v>23</v>
      </c>
    </row>
    <row r="932" spans="1:7" x14ac:dyDescent="0.25">
      <c r="A932">
        <v>459</v>
      </c>
      <c r="B932">
        <v>2018</v>
      </c>
      <c r="C932" t="str">
        <f>VLOOKUP(A932,[2]Tabelle1!$A$1:$B$68,2,FALSE)</f>
        <v>Osnabrück</v>
      </c>
      <c r="D932" t="s">
        <v>3</v>
      </c>
      <c r="E932" t="s">
        <v>4</v>
      </c>
      <c r="F932" t="str">
        <f>VLOOKUP(A932,[1]Kreise!$A$1:$C$53,3,FALSE)</f>
        <v>K03459</v>
      </c>
      <c r="G932">
        <v>78</v>
      </c>
    </row>
    <row r="933" spans="1:7" x14ac:dyDescent="0.25">
      <c r="A933">
        <v>460</v>
      </c>
      <c r="B933">
        <v>2018</v>
      </c>
      <c r="C933" t="str">
        <f>VLOOKUP(A933,[2]Tabelle1!$A$1:$B$68,2,FALSE)</f>
        <v>Vechta</v>
      </c>
      <c r="D933" t="s">
        <v>3</v>
      </c>
      <c r="E933" t="s">
        <v>4</v>
      </c>
      <c r="F933" t="str">
        <f>VLOOKUP(A933,[1]Kreise!$A$1:$C$53,3,FALSE)</f>
        <v>K03460</v>
      </c>
      <c r="G933">
        <v>66</v>
      </c>
    </row>
    <row r="934" spans="1:7" x14ac:dyDescent="0.25">
      <c r="A934">
        <v>461</v>
      </c>
      <c r="B934">
        <v>2018</v>
      </c>
      <c r="C934" t="str">
        <f>VLOOKUP(A934,[2]Tabelle1!$A$1:$B$68,2,FALSE)</f>
        <v>Wesermarsch</v>
      </c>
      <c r="D934" t="s">
        <v>3</v>
      </c>
      <c r="E934" t="s">
        <v>4</v>
      </c>
      <c r="F934" t="str">
        <f>VLOOKUP(A934,[1]Kreise!$A$1:$C$53,3,FALSE)</f>
        <v>K03461</v>
      </c>
      <c r="G934">
        <v>23</v>
      </c>
    </row>
    <row r="935" spans="1:7" x14ac:dyDescent="0.25">
      <c r="A935">
        <v>462</v>
      </c>
      <c r="B935">
        <v>2018</v>
      </c>
      <c r="C935" t="str">
        <f>VLOOKUP(A935,[2]Tabelle1!$A$1:$B$68,2,FALSE)</f>
        <v>Wittmund</v>
      </c>
      <c r="D935" t="s">
        <v>3</v>
      </c>
      <c r="E935" t="s">
        <v>4</v>
      </c>
      <c r="F935" t="str">
        <f>VLOOKUP(A935,[1]Kreise!$A$1:$C$53,3,FALSE)</f>
        <v>K03462</v>
      </c>
      <c r="G935">
        <v>1</v>
      </c>
    </row>
    <row r="936" spans="1:7" x14ac:dyDescent="0.25">
      <c r="A936">
        <v>4</v>
      </c>
      <c r="B936">
        <v>2018</v>
      </c>
      <c r="C936" t="str">
        <f>VLOOKUP(A936,[2]Tabelle1!$A$1:$B$68,2,FALSE)</f>
        <v>Statistische Region Weser-Ems</v>
      </c>
      <c r="D936" t="s">
        <v>3</v>
      </c>
      <c r="E936" t="s">
        <v>4</v>
      </c>
      <c r="F936" t="str">
        <f>VLOOKUP(A936,[1]Kreise!$A$1:$C$53,3,FALSE)</f>
        <v>K034</v>
      </c>
      <c r="G936">
        <v>490</v>
      </c>
    </row>
    <row r="937" spans="1:7" x14ac:dyDescent="0.25">
      <c r="A937">
        <v>0</v>
      </c>
      <c r="B937">
        <v>2018</v>
      </c>
      <c r="C937" t="str">
        <f>VLOOKUP(A937,[2]Tabelle1!$A$1:$B$68,2,FALSE)</f>
        <v>Niedersachsen</v>
      </c>
      <c r="D937" t="s">
        <v>3</v>
      </c>
      <c r="E937" t="s">
        <v>4</v>
      </c>
      <c r="F937" t="str">
        <f>VLOOKUP(A937,[1]Kreise!$A$1:$C$53,3,FALSE)</f>
        <v>K030</v>
      </c>
      <c r="G937">
        <v>1427</v>
      </c>
    </row>
    <row r="938" spans="1:7" x14ac:dyDescent="0.25">
      <c r="A938">
        <v>101</v>
      </c>
      <c r="B938">
        <v>2019</v>
      </c>
      <c r="C938" t="str">
        <f>VLOOKUP(A938,[2]Tabelle1!$A$1:$B$68,2,FALSE)</f>
        <v>Braunschweig  Stadt</v>
      </c>
      <c r="D938" t="s">
        <v>2</v>
      </c>
      <c r="E938" t="s">
        <v>4</v>
      </c>
      <c r="F938" t="str">
        <f>VLOOKUP(A938,[1]Kreise!$A$1:$C$53,3,FALSE)</f>
        <v>K03101</v>
      </c>
      <c r="G938">
        <v>121</v>
      </c>
    </row>
    <row r="939" spans="1:7" x14ac:dyDescent="0.25">
      <c r="A939">
        <v>102</v>
      </c>
      <c r="B939">
        <v>2019</v>
      </c>
      <c r="C939" t="str">
        <f>VLOOKUP(A939,[2]Tabelle1!$A$1:$B$68,2,FALSE)</f>
        <v>Salzgitter  Stadt</v>
      </c>
      <c r="D939" t="s">
        <v>2</v>
      </c>
      <c r="E939" t="s">
        <v>4</v>
      </c>
      <c r="F939" t="str">
        <f>VLOOKUP(A939,[1]Kreise!$A$1:$C$53,3,FALSE)</f>
        <v>K03102</v>
      </c>
      <c r="G939">
        <v>54</v>
      </c>
    </row>
    <row r="940" spans="1:7" x14ac:dyDescent="0.25">
      <c r="A940">
        <v>103</v>
      </c>
      <c r="B940">
        <v>2019</v>
      </c>
      <c r="C940" t="str">
        <f>VLOOKUP(A940,[2]Tabelle1!$A$1:$B$68,2,FALSE)</f>
        <v>Wolfsburg  Stadt</v>
      </c>
      <c r="D940" t="s">
        <v>2</v>
      </c>
      <c r="E940" t="s">
        <v>4</v>
      </c>
      <c r="F940" t="str">
        <f>VLOOKUP(A940,[1]Kreise!$A$1:$C$53,3,FALSE)</f>
        <v>K03103</v>
      </c>
      <c r="G940">
        <v>51</v>
      </c>
    </row>
    <row r="941" spans="1:7" x14ac:dyDescent="0.25">
      <c r="A941">
        <v>151</v>
      </c>
      <c r="B941">
        <v>2019</v>
      </c>
      <c r="C941" t="str">
        <f>VLOOKUP(A941,[2]Tabelle1!$A$1:$B$68,2,FALSE)</f>
        <v>Gifhorn</v>
      </c>
      <c r="D941" t="s">
        <v>2</v>
      </c>
      <c r="E941" t="s">
        <v>4</v>
      </c>
      <c r="F941" t="str">
        <f>VLOOKUP(A941,[1]Kreise!$A$1:$C$53,3,FALSE)</f>
        <v>K03151</v>
      </c>
      <c r="G941">
        <v>47</v>
      </c>
    </row>
    <row r="942" spans="1:7" x14ac:dyDescent="0.25">
      <c r="A942">
        <v>153</v>
      </c>
      <c r="B942">
        <v>2019</v>
      </c>
      <c r="C942" t="str">
        <f>VLOOKUP(A942,[2]Tabelle1!$A$1:$B$68,2,FALSE)</f>
        <v>Goslar</v>
      </c>
      <c r="D942" t="s">
        <v>2</v>
      </c>
      <c r="E942" t="s">
        <v>4</v>
      </c>
      <c r="F942" t="str">
        <f>VLOOKUP(A942,[1]Kreise!$A$1:$C$53,3,FALSE)</f>
        <v>K03153</v>
      </c>
      <c r="G942">
        <v>70</v>
      </c>
    </row>
    <row r="943" spans="1:7" x14ac:dyDescent="0.25">
      <c r="A943">
        <v>154</v>
      </c>
      <c r="B943">
        <v>2019</v>
      </c>
      <c r="C943" t="str">
        <f>VLOOKUP(A943,[2]Tabelle1!$A$1:$B$68,2,FALSE)</f>
        <v>Helmstedt</v>
      </c>
      <c r="D943" t="s">
        <v>2</v>
      </c>
      <c r="E943" t="s">
        <v>4</v>
      </c>
      <c r="F943" t="str">
        <f>VLOOKUP(A943,[1]Kreise!$A$1:$C$53,3,FALSE)</f>
        <v>K03154</v>
      </c>
      <c r="G943">
        <v>47</v>
      </c>
    </row>
    <row r="944" spans="1:7" x14ac:dyDescent="0.25">
      <c r="A944">
        <v>155</v>
      </c>
      <c r="B944">
        <v>2019</v>
      </c>
      <c r="C944" t="str">
        <f>VLOOKUP(A944,[2]Tabelle1!$A$1:$B$68,2,FALSE)</f>
        <v>Northeim</v>
      </c>
      <c r="D944" t="s">
        <v>2</v>
      </c>
      <c r="E944" t="s">
        <v>4</v>
      </c>
      <c r="F944" t="str">
        <f>VLOOKUP(A944,[1]Kreise!$A$1:$C$53,3,FALSE)</f>
        <v>K03155</v>
      </c>
      <c r="G944">
        <v>53</v>
      </c>
    </row>
    <row r="945" spans="1:7" x14ac:dyDescent="0.25">
      <c r="A945">
        <v>157</v>
      </c>
      <c r="B945">
        <v>2019</v>
      </c>
      <c r="C945" t="str">
        <f>VLOOKUP(A945,[2]Tabelle1!$A$1:$B$68,2,FALSE)</f>
        <v>Peine</v>
      </c>
      <c r="D945" t="s">
        <v>2</v>
      </c>
      <c r="E945" t="s">
        <v>4</v>
      </c>
      <c r="F945" t="str">
        <f>VLOOKUP(A945,[1]Kreise!$A$1:$C$53,3,FALSE)</f>
        <v>K03157</v>
      </c>
      <c r="G945">
        <v>37</v>
      </c>
    </row>
    <row r="946" spans="1:7" x14ac:dyDescent="0.25">
      <c r="A946">
        <v>158</v>
      </c>
      <c r="B946">
        <v>2019</v>
      </c>
      <c r="C946" t="str">
        <f>VLOOKUP(A946,[2]Tabelle1!$A$1:$B$68,2,FALSE)</f>
        <v>Wolfenbüttel</v>
      </c>
      <c r="D946" t="s">
        <v>2</v>
      </c>
      <c r="E946" t="s">
        <v>4</v>
      </c>
      <c r="F946" t="str">
        <f>VLOOKUP(A946,[1]Kreise!$A$1:$C$53,3,FALSE)</f>
        <v>K03158</v>
      </c>
      <c r="G946">
        <v>43</v>
      </c>
    </row>
    <row r="947" spans="1:7" x14ac:dyDescent="0.25">
      <c r="A947">
        <v>159</v>
      </c>
      <c r="B947">
        <v>2019</v>
      </c>
      <c r="C947" t="str">
        <f>VLOOKUP(A947,[2]Tabelle1!$A$1:$B$68,2,FALSE)</f>
        <v>Göttingen</v>
      </c>
      <c r="D947" t="s">
        <v>2</v>
      </c>
      <c r="E947" t="s">
        <v>4</v>
      </c>
      <c r="F947" t="str">
        <f>VLOOKUP(A947,[1]Kreise!$A$1:$C$53,3,FALSE)</f>
        <v>K03159</v>
      </c>
      <c r="G947">
        <v>152</v>
      </c>
    </row>
    <row r="948" spans="1:7" x14ac:dyDescent="0.25">
      <c r="A948">
        <v>1</v>
      </c>
      <c r="B948">
        <v>2019</v>
      </c>
      <c r="C948" t="str">
        <f>VLOOKUP(A948,[2]Tabelle1!$A$1:$B$68,2,FALSE)</f>
        <v>Statistische Region Braunschweig</v>
      </c>
      <c r="D948" t="s">
        <v>2</v>
      </c>
      <c r="E948" t="s">
        <v>4</v>
      </c>
      <c r="F948" t="str">
        <f>VLOOKUP(A948,[1]Kreise!$A$1:$C$53,3,FALSE)</f>
        <v>K031</v>
      </c>
      <c r="G948">
        <v>675</v>
      </c>
    </row>
    <row r="949" spans="1:7" x14ac:dyDescent="0.25">
      <c r="A949">
        <v>241</v>
      </c>
      <c r="B949">
        <v>2019</v>
      </c>
      <c r="C949" t="str">
        <f>VLOOKUP(A949,[2]Tabelle1!$A$1:$B$68,2,FALSE)</f>
        <v>Hannover  Region</v>
      </c>
      <c r="D949" t="s">
        <v>2</v>
      </c>
      <c r="E949" t="s">
        <v>4</v>
      </c>
      <c r="F949" t="str">
        <f>VLOOKUP(A949,[1]Kreise!$A$1:$C$53,3,FALSE)</f>
        <v>K03241</v>
      </c>
      <c r="G949">
        <v>401</v>
      </c>
    </row>
    <row r="950" spans="1:7" x14ac:dyDescent="0.25">
      <c r="A950">
        <v>241001</v>
      </c>
      <c r="B950">
        <v>2019</v>
      </c>
      <c r="C950" t="str">
        <f>VLOOKUP(A950,[2]Tabelle1!$A$1:$B$68,2,FALSE)</f>
        <v>dav. Hannover  Lhst.</v>
      </c>
      <c r="D950" t="s">
        <v>2</v>
      </c>
      <c r="E950" t="s">
        <v>4</v>
      </c>
      <c r="F950" t="str">
        <f>VLOOKUP(A950,[1]Kreise!$A$1:$C$53,3,FALSE)</f>
        <v>K03241001</v>
      </c>
      <c r="G950">
        <v>185</v>
      </c>
    </row>
    <row r="951" spans="1:7" x14ac:dyDescent="0.25">
      <c r="A951">
        <v>241999</v>
      </c>
      <c r="B951">
        <v>2019</v>
      </c>
      <c r="C951" t="str">
        <f>VLOOKUP(A951,[2]Tabelle1!$A$1:$B$68,2,FALSE)</f>
        <v>dav. Hannover  Umland</v>
      </c>
      <c r="D951" t="s">
        <v>2</v>
      </c>
      <c r="E951" t="s">
        <v>4</v>
      </c>
      <c r="F951" t="str">
        <f>VLOOKUP(A951,[1]Kreise!$A$1:$C$53,3,FALSE)</f>
        <v>K03241999</v>
      </c>
      <c r="G951">
        <v>216</v>
      </c>
    </row>
    <row r="952" spans="1:7" x14ac:dyDescent="0.25">
      <c r="A952">
        <v>251</v>
      </c>
      <c r="B952">
        <v>2019</v>
      </c>
      <c r="C952" t="str">
        <f>VLOOKUP(A952,[2]Tabelle1!$A$1:$B$68,2,FALSE)</f>
        <v>Diepholz</v>
      </c>
      <c r="D952" t="s">
        <v>2</v>
      </c>
      <c r="E952" t="s">
        <v>4</v>
      </c>
      <c r="F952" t="str">
        <f>VLOOKUP(A952,[1]Kreise!$A$1:$C$53,3,FALSE)</f>
        <v>K03251</v>
      </c>
      <c r="G952">
        <v>80</v>
      </c>
    </row>
    <row r="953" spans="1:7" x14ac:dyDescent="0.25">
      <c r="A953">
        <v>252</v>
      </c>
      <c r="B953">
        <v>2019</v>
      </c>
      <c r="C953" t="str">
        <f>VLOOKUP(A953,[2]Tabelle1!$A$1:$B$68,2,FALSE)</f>
        <v>Hameln-Pyrmont</v>
      </c>
      <c r="D953" t="s">
        <v>2</v>
      </c>
      <c r="E953" t="s">
        <v>4</v>
      </c>
      <c r="F953" t="str">
        <f>VLOOKUP(A953,[1]Kreise!$A$1:$C$53,3,FALSE)</f>
        <v>K03252</v>
      </c>
      <c r="G953">
        <v>93</v>
      </c>
    </row>
    <row r="954" spans="1:7" x14ac:dyDescent="0.25">
      <c r="A954">
        <v>254</v>
      </c>
      <c r="B954">
        <v>2019</v>
      </c>
      <c r="C954" t="str">
        <f>VLOOKUP(A954,[2]Tabelle1!$A$1:$B$68,2,FALSE)</f>
        <v>Hildesheim</v>
      </c>
      <c r="D954" t="s">
        <v>2</v>
      </c>
      <c r="E954" t="s">
        <v>4</v>
      </c>
      <c r="F954" t="str">
        <f>VLOOKUP(A954,[1]Kreise!$A$1:$C$53,3,FALSE)</f>
        <v>K03254</v>
      </c>
      <c r="G954">
        <v>139</v>
      </c>
    </row>
    <row r="955" spans="1:7" x14ac:dyDescent="0.25">
      <c r="A955">
        <v>255</v>
      </c>
      <c r="B955">
        <v>2019</v>
      </c>
      <c r="C955" t="str">
        <f>VLOOKUP(A955,[2]Tabelle1!$A$1:$B$68,2,FALSE)</f>
        <v>Holzminden</v>
      </c>
      <c r="D955" t="s">
        <v>2</v>
      </c>
      <c r="E955" t="s">
        <v>4</v>
      </c>
      <c r="F955" t="str">
        <f>VLOOKUP(A955,[1]Kreise!$A$1:$C$53,3,FALSE)</f>
        <v>K03255</v>
      </c>
      <c r="G955">
        <v>56</v>
      </c>
    </row>
    <row r="956" spans="1:7" x14ac:dyDescent="0.25">
      <c r="A956">
        <v>256</v>
      </c>
      <c r="B956">
        <v>2019</v>
      </c>
      <c r="C956" t="str">
        <f>VLOOKUP(A956,[2]Tabelle1!$A$1:$B$68,2,FALSE)</f>
        <v>Nienburg (Weser)</v>
      </c>
      <c r="D956" t="s">
        <v>2</v>
      </c>
      <c r="E956" t="s">
        <v>4</v>
      </c>
      <c r="F956" t="str">
        <f>VLOOKUP(A956,[1]Kreise!$A$1:$C$53,3,FALSE)</f>
        <v>K03256</v>
      </c>
      <c r="G956">
        <v>60</v>
      </c>
    </row>
    <row r="957" spans="1:7" x14ac:dyDescent="0.25">
      <c r="A957">
        <v>257</v>
      </c>
      <c r="B957">
        <v>2019</v>
      </c>
      <c r="C957" t="str">
        <f>VLOOKUP(A957,[2]Tabelle1!$A$1:$B$68,2,FALSE)</f>
        <v>Schaumburg</v>
      </c>
      <c r="D957" t="s">
        <v>2</v>
      </c>
      <c r="E957" t="s">
        <v>4</v>
      </c>
      <c r="F957" t="str">
        <f>VLOOKUP(A957,[1]Kreise!$A$1:$C$53,3,FALSE)</f>
        <v>K03257</v>
      </c>
      <c r="G957">
        <v>92</v>
      </c>
    </row>
    <row r="958" spans="1:7" x14ac:dyDescent="0.25">
      <c r="A958">
        <v>2</v>
      </c>
      <c r="B958">
        <v>2019</v>
      </c>
      <c r="C958" t="str">
        <f>VLOOKUP(A958,[2]Tabelle1!$A$1:$B$68,2,FALSE)</f>
        <v>Statistische Region Hannover</v>
      </c>
      <c r="D958" t="s">
        <v>2</v>
      </c>
      <c r="E958" t="s">
        <v>4</v>
      </c>
      <c r="F958" t="str">
        <f>VLOOKUP(A958,[1]Kreise!$A$1:$C$53,3,FALSE)</f>
        <v>K032</v>
      </c>
      <c r="G958">
        <v>921</v>
      </c>
    </row>
    <row r="959" spans="1:7" x14ac:dyDescent="0.25">
      <c r="A959">
        <v>351</v>
      </c>
      <c r="B959">
        <v>2019</v>
      </c>
      <c r="C959" t="str">
        <f>VLOOKUP(A959,[2]Tabelle1!$A$1:$B$68,2,FALSE)</f>
        <v>Celle</v>
      </c>
      <c r="D959" t="s">
        <v>2</v>
      </c>
      <c r="E959" t="s">
        <v>4</v>
      </c>
      <c r="F959" t="str">
        <f>VLOOKUP(A959,[1]Kreise!$A$1:$C$53,3,FALSE)</f>
        <v>K03351</v>
      </c>
      <c r="G959">
        <v>93</v>
      </c>
    </row>
    <row r="960" spans="1:7" x14ac:dyDescent="0.25">
      <c r="A960">
        <v>352</v>
      </c>
      <c r="B960">
        <v>2019</v>
      </c>
      <c r="C960" t="str">
        <f>VLOOKUP(A960,[2]Tabelle1!$A$1:$B$68,2,FALSE)</f>
        <v>Cuxhaven</v>
      </c>
      <c r="D960" t="s">
        <v>2</v>
      </c>
      <c r="E960" t="s">
        <v>4</v>
      </c>
      <c r="F960" t="str">
        <f>VLOOKUP(A960,[1]Kreise!$A$1:$C$53,3,FALSE)</f>
        <v>K03352</v>
      </c>
      <c r="G960">
        <v>116</v>
      </c>
    </row>
    <row r="961" spans="1:7" x14ac:dyDescent="0.25">
      <c r="A961">
        <v>353</v>
      </c>
      <c r="B961">
        <v>2019</v>
      </c>
      <c r="C961" t="str">
        <f>VLOOKUP(A961,[2]Tabelle1!$A$1:$B$68,2,FALSE)</f>
        <v>Harburg</v>
      </c>
      <c r="D961" t="s">
        <v>2</v>
      </c>
      <c r="E961" t="s">
        <v>4</v>
      </c>
      <c r="F961" t="str">
        <f>VLOOKUP(A961,[1]Kreise!$A$1:$C$53,3,FALSE)</f>
        <v>K03353</v>
      </c>
      <c r="G961">
        <v>99</v>
      </c>
    </row>
    <row r="962" spans="1:7" x14ac:dyDescent="0.25">
      <c r="A962">
        <v>354</v>
      </c>
      <c r="B962">
        <v>2019</v>
      </c>
      <c r="C962" t="str">
        <f>VLOOKUP(A962,[2]Tabelle1!$A$1:$B$68,2,FALSE)</f>
        <v>Lüchow-Dannenberg</v>
      </c>
      <c r="D962" t="s">
        <v>2</v>
      </c>
      <c r="E962" t="s">
        <v>4</v>
      </c>
      <c r="F962" t="str">
        <f>VLOOKUP(A962,[1]Kreise!$A$1:$C$53,3,FALSE)</f>
        <v>K03354</v>
      </c>
      <c r="G962">
        <v>40</v>
      </c>
    </row>
    <row r="963" spans="1:7" x14ac:dyDescent="0.25">
      <c r="A963">
        <v>355</v>
      </c>
      <c r="B963">
        <v>2019</v>
      </c>
      <c r="C963" t="str">
        <f>VLOOKUP(A963,[2]Tabelle1!$A$1:$B$68,2,FALSE)</f>
        <v>Lüneburg</v>
      </c>
      <c r="D963" t="s">
        <v>2</v>
      </c>
      <c r="E963" t="s">
        <v>4</v>
      </c>
      <c r="F963" t="str">
        <f>VLOOKUP(A963,[1]Kreise!$A$1:$C$53,3,FALSE)</f>
        <v>K03355</v>
      </c>
      <c r="G963">
        <v>82</v>
      </c>
    </row>
    <row r="964" spans="1:7" x14ac:dyDescent="0.25">
      <c r="A964">
        <v>356</v>
      </c>
      <c r="B964">
        <v>2019</v>
      </c>
      <c r="C964" t="str">
        <f>VLOOKUP(A964,[2]Tabelle1!$A$1:$B$68,2,FALSE)</f>
        <v>Osterholz</v>
      </c>
      <c r="D964" t="s">
        <v>2</v>
      </c>
      <c r="E964" t="s">
        <v>4</v>
      </c>
      <c r="F964" t="str">
        <f>VLOOKUP(A964,[1]Kreise!$A$1:$C$53,3,FALSE)</f>
        <v>K03356</v>
      </c>
      <c r="G964">
        <v>35</v>
      </c>
    </row>
    <row r="965" spans="1:7" x14ac:dyDescent="0.25">
      <c r="A965">
        <v>357</v>
      </c>
      <c r="B965">
        <v>2019</v>
      </c>
      <c r="C965" t="str">
        <f>VLOOKUP(A965,[2]Tabelle1!$A$1:$B$68,2,FALSE)</f>
        <v>Rotenburg (Wümme)</v>
      </c>
      <c r="D965" t="s">
        <v>2</v>
      </c>
      <c r="E965" t="s">
        <v>4</v>
      </c>
      <c r="F965" t="str">
        <f>VLOOKUP(A965,[1]Kreise!$A$1:$C$53,3,FALSE)</f>
        <v>K03357</v>
      </c>
      <c r="G965">
        <v>131</v>
      </c>
    </row>
    <row r="966" spans="1:7" x14ac:dyDescent="0.25">
      <c r="A966">
        <v>358</v>
      </c>
      <c r="B966">
        <v>2019</v>
      </c>
      <c r="C966" t="str">
        <f>VLOOKUP(A966,[2]Tabelle1!$A$1:$B$68,2,FALSE)</f>
        <v>Heidekreis</v>
      </c>
      <c r="D966" t="s">
        <v>2</v>
      </c>
      <c r="E966" t="s">
        <v>4</v>
      </c>
      <c r="F966" t="str">
        <f>VLOOKUP(A966,[1]Kreise!$A$1:$C$53,3,FALSE)</f>
        <v>K03358</v>
      </c>
      <c r="G966">
        <v>72</v>
      </c>
    </row>
    <row r="967" spans="1:7" x14ac:dyDescent="0.25">
      <c r="A967">
        <v>359</v>
      </c>
      <c r="B967">
        <v>2019</v>
      </c>
      <c r="C967" t="str">
        <f>VLOOKUP(A967,[2]Tabelle1!$A$1:$B$68,2,FALSE)</f>
        <v>Stade</v>
      </c>
      <c r="D967" t="s">
        <v>2</v>
      </c>
      <c r="E967" t="s">
        <v>4</v>
      </c>
      <c r="F967" t="str">
        <f>VLOOKUP(A967,[1]Kreise!$A$1:$C$53,3,FALSE)</f>
        <v>K03359</v>
      </c>
      <c r="G967">
        <v>105</v>
      </c>
    </row>
    <row r="968" spans="1:7" x14ac:dyDescent="0.25">
      <c r="A968">
        <v>360</v>
      </c>
      <c r="B968">
        <v>2019</v>
      </c>
      <c r="C968" t="str">
        <f>VLOOKUP(A968,[2]Tabelle1!$A$1:$B$68,2,FALSE)</f>
        <v>Uelzen</v>
      </c>
      <c r="D968" t="s">
        <v>2</v>
      </c>
      <c r="E968" t="s">
        <v>4</v>
      </c>
      <c r="F968" t="str">
        <f>VLOOKUP(A968,[1]Kreise!$A$1:$C$53,3,FALSE)</f>
        <v>K03360</v>
      </c>
      <c r="G968">
        <v>72</v>
      </c>
    </row>
    <row r="969" spans="1:7" x14ac:dyDescent="0.25">
      <c r="A969">
        <v>361</v>
      </c>
      <c r="B969">
        <v>2019</v>
      </c>
      <c r="C969" t="str">
        <f>VLOOKUP(A969,[2]Tabelle1!$A$1:$B$68,2,FALSE)</f>
        <v>Verden</v>
      </c>
      <c r="D969" t="s">
        <v>2</v>
      </c>
      <c r="E969" t="s">
        <v>4</v>
      </c>
      <c r="F969" t="str">
        <f>VLOOKUP(A969,[1]Kreise!$A$1:$C$53,3,FALSE)</f>
        <v>K03361</v>
      </c>
      <c r="G969">
        <v>55</v>
      </c>
    </row>
    <row r="970" spans="1:7" x14ac:dyDescent="0.25">
      <c r="A970">
        <v>3</v>
      </c>
      <c r="B970">
        <v>2019</v>
      </c>
      <c r="C970" t="str">
        <f>VLOOKUP(A970,[2]Tabelle1!$A$1:$B$68,2,FALSE)</f>
        <v>Statistische Region Lüneburg</v>
      </c>
      <c r="D970" t="s">
        <v>2</v>
      </c>
      <c r="E970" t="s">
        <v>4</v>
      </c>
      <c r="F970" t="str">
        <f>VLOOKUP(A970,[1]Kreise!$A$1:$C$53,3,FALSE)</f>
        <v>K033</v>
      </c>
      <c r="G970">
        <v>900</v>
      </c>
    </row>
    <row r="971" spans="1:7" x14ac:dyDescent="0.25">
      <c r="A971">
        <v>401</v>
      </c>
      <c r="B971">
        <v>2019</v>
      </c>
      <c r="C971" t="str">
        <f>VLOOKUP(A971,[2]Tabelle1!$A$1:$B$68,2,FALSE)</f>
        <v>Delmenhorst  Stadt</v>
      </c>
      <c r="D971" t="s">
        <v>2</v>
      </c>
      <c r="E971" t="s">
        <v>4</v>
      </c>
      <c r="F971" t="str">
        <f>VLOOKUP(A971,[1]Kreise!$A$1:$C$53,3,FALSE)</f>
        <v>K03401</v>
      </c>
      <c r="G971">
        <v>42</v>
      </c>
    </row>
    <row r="972" spans="1:7" x14ac:dyDescent="0.25">
      <c r="A972">
        <v>402</v>
      </c>
      <c r="B972">
        <v>2019</v>
      </c>
      <c r="C972" t="str">
        <f>VLOOKUP(A972,[2]Tabelle1!$A$1:$B$68,2,FALSE)</f>
        <v>Emden  Stadt</v>
      </c>
      <c r="D972" t="s">
        <v>2</v>
      </c>
      <c r="E972" t="s">
        <v>4</v>
      </c>
      <c r="F972" t="str">
        <f>VLOOKUP(A972,[1]Kreise!$A$1:$C$53,3,FALSE)</f>
        <v>K03402</v>
      </c>
      <c r="G972">
        <v>33</v>
      </c>
    </row>
    <row r="973" spans="1:7" x14ac:dyDescent="0.25">
      <c r="A973">
        <v>403</v>
      </c>
      <c r="B973">
        <v>2019</v>
      </c>
      <c r="C973" t="str">
        <f>VLOOKUP(A973,[2]Tabelle1!$A$1:$B$68,2,FALSE)</f>
        <v>Oldenburg(Oldb)  Stadt</v>
      </c>
      <c r="D973" t="s">
        <v>2</v>
      </c>
      <c r="E973" t="s">
        <v>4</v>
      </c>
      <c r="F973" t="str">
        <f>VLOOKUP(A973,[1]Kreise!$A$1:$C$53,3,FALSE)</f>
        <v>K03403</v>
      </c>
      <c r="G973">
        <v>65</v>
      </c>
    </row>
    <row r="974" spans="1:7" x14ac:dyDescent="0.25">
      <c r="A974">
        <v>404</v>
      </c>
      <c r="B974">
        <v>2019</v>
      </c>
      <c r="C974" t="str">
        <f>VLOOKUP(A974,[2]Tabelle1!$A$1:$B$68,2,FALSE)</f>
        <v>Osnabrück  Stadt</v>
      </c>
      <c r="D974" t="s">
        <v>2</v>
      </c>
      <c r="E974" t="s">
        <v>4</v>
      </c>
      <c r="F974" t="str">
        <f>VLOOKUP(A974,[1]Kreise!$A$1:$C$53,3,FALSE)</f>
        <v>K03404</v>
      </c>
      <c r="G974">
        <v>67</v>
      </c>
    </row>
    <row r="975" spans="1:7" x14ac:dyDescent="0.25">
      <c r="A975">
        <v>405</v>
      </c>
      <c r="B975">
        <v>2019</v>
      </c>
      <c r="C975" t="str">
        <f>VLOOKUP(A975,[2]Tabelle1!$A$1:$B$68,2,FALSE)</f>
        <v>Wilhelmshaven  Stadt</v>
      </c>
      <c r="D975" t="s">
        <v>2</v>
      </c>
      <c r="E975" t="s">
        <v>4</v>
      </c>
      <c r="F975" t="str">
        <f>VLOOKUP(A975,[1]Kreise!$A$1:$C$53,3,FALSE)</f>
        <v>K03405</v>
      </c>
      <c r="G975">
        <v>33</v>
      </c>
    </row>
    <row r="976" spans="1:7" x14ac:dyDescent="0.25">
      <c r="A976">
        <v>451</v>
      </c>
      <c r="B976">
        <v>2019</v>
      </c>
      <c r="C976" t="str">
        <f>VLOOKUP(A976,[2]Tabelle1!$A$1:$B$68,2,FALSE)</f>
        <v>Ammerland</v>
      </c>
      <c r="D976" t="s">
        <v>2</v>
      </c>
      <c r="E976" t="s">
        <v>4</v>
      </c>
      <c r="F976" t="str">
        <f>VLOOKUP(A976,[1]Kreise!$A$1:$C$53,3,FALSE)</f>
        <v>K03451</v>
      </c>
      <c r="G976">
        <v>92</v>
      </c>
    </row>
    <row r="977" spans="1:7" x14ac:dyDescent="0.25">
      <c r="A977">
        <v>452</v>
      </c>
      <c r="B977">
        <v>2019</v>
      </c>
      <c r="C977" t="str">
        <f>VLOOKUP(A977,[2]Tabelle1!$A$1:$B$68,2,FALSE)</f>
        <v>Aurich</v>
      </c>
      <c r="D977" t="s">
        <v>2</v>
      </c>
      <c r="E977" t="s">
        <v>4</v>
      </c>
      <c r="F977" t="str">
        <f>VLOOKUP(A977,[1]Kreise!$A$1:$C$53,3,FALSE)</f>
        <v>K03452</v>
      </c>
      <c r="G977">
        <v>154</v>
      </c>
    </row>
    <row r="978" spans="1:7" x14ac:dyDescent="0.25">
      <c r="A978">
        <v>453</v>
      </c>
      <c r="B978">
        <v>2019</v>
      </c>
      <c r="C978" t="str">
        <f>VLOOKUP(A978,[2]Tabelle1!$A$1:$B$68,2,FALSE)</f>
        <v>Cloppenburg</v>
      </c>
      <c r="D978" t="s">
        <v>2</v>
      </c>
      <c r="E978" t="s">
        <v>4</v>
      </c>
      <c r="F978" t="str">
        <f>VLOOKUP(A978,[1]Kreise!$A$1:$C$53,3,FALSE)</f>
        <v>K03453</v>
      </c>
      <c r="G978">
        <v>147</v>
      </c>
    </row>
    <row r="979" spans="1:7" x14ac:dyDescent="0.25">
      <c r="A979">
        <v>454</v>
      </c>
      <c r="B979">
        <v>2019</v>
      </c>
      <c r="C979" t="str">
        <f>VLOOKUP(A979,[2]Tabelle1!$A$1:$B$68,2,FALSE)</f>
        <v>Emsland</v>
      </c>
      <c r="D979" t="s">
        <v>2</v>
      </c>
      <c r="E979" t="s">
        <v>4</v>
      </c>
      <c r="F979" t="str">
        <f>VLOOKUP(A979,[1]Kreise!$A$1:$C$53,3,FALSE)</f>
        <v>K03454</v>
      </c>
      <c r="G979">
        <v>196</v>
      </c>
    </row>
    <row r="980" spans="1:7" x14ac:dyDescent="0.25">
      <c r="A980">
        <v>455</v>
      </c>
      <c r="B980">
        <v>2019</v>
      </c>
      <c r="C980" t="str">
        <f>VLOOKUP(A980,[2]Tabelle1!$A$1:$B$68,2,FALSE)</f>
        <v>Friesland</v>
      </c>
      <c r="D980" t="s">
        <v>2</v>
      </c>
      <c r="E980" t="s">
        <v>4</v>
      </c>
      <c r="F980" t="str">
        <f>VLOOKUP(A980,[1]Kreise!$A$1:$C$53,3,FALSE)</f>
        <v>K03455</v>
      </c>
      <c r="G980">
        <v>65</v>
      </c>
    </row>
    <row r="981" spans="1:7" x14ac:dyDescent="0.25">
      <c r="A981">
        <v>456</v>
      </c>
      <c r="B981">
        <v>2019</v>
      </c>
      <c r="C981" t="str">
        <f>VLOOKUP(A981,[2]Tabelle1!$A$1:$B$68,2,FALSE)</f>
        <v>Grafschaft Bentheim</v>
      </c>
      <c r="D981" t="s">
        <v>2</v>
      </c>
      <c r="E981" t="s">
        <v>4</v>
      </c>
      <c r="F981" t="str">
        <f>VLOOKUP(A981,[1]Kreise!$A$1:$C$53,3,FALSE)</f>
        <v>K03456</v>
      </c>
      <c r="G981">
        <v>72</v>
      </c>
    </row>
    <row r="982" spans="1:7" x14ac:dyDescent="0.25">
      <c r="A982">
        <v>457</v>
      </c>
      <c r="B982">
        <v>2019</v>
      </c>
      <c r="C982" t="str">
        <f>VLOOKUP(A982,[2]Tabelle1!$A$1:$B$68,2,FALSE)</f>
        <v>Leer</v>
      </c>
      <c r="D982" t="s">
        <v>2</v>
      </c>
      <c r="E982" t="s">
        <v>4</v>
      </c>
      <c r="F982" t="str">
        <f>VLOOKUP(A982,[1]Kreise!$A$1:$C$53,3,FALSE)</f>
        <v>K03457</v>
      </c>
      <c r="G982">
        <v>98</v>
      </c>
    </row>
    <row r="983" spans="1:7" x14ac:dyDescent="0.25">
      <c r="A983">
        <v>458</v>
      </c>
      <c r="B983">
        <v>2019</v>
      </c>
      <c r="C983" t="str">
        <f>VLOOKUP(A983,[2]Tabelle1!$A$1:$B$68,2,FALSE)</f>
        <v>Oldenburg</v>
      </c>
      <c r="D983" t="s">
        <v>2</v>
      </c>
      <c r="E983" t="s">
        <v>4</v>
      </c>
      <c r="F983" t="str">
        <f>VLOOKUP(A983,[1]Kreise!$A$1:$C$53,3,FALSE)</f>
        <v>K03458</v>
      </c>
      <c r="G983">
        <v>46</v>
      </c>
    </row>
    <row r="984" spans="1:7" x14ac:dyDescent="0.25">
      <c r="A984">
        <v>459</v>
      </c>
      <c r="B984">
        <v>2019</v>
      </c>
      <c r="C984" t="str">
        <f>VLOOKUP(A984,[2]Tabelle1!$A$1:$B$68,2,FALSE)</f>
        <v>Osnabrück</v>
      </c>
      <c r="D984" t="s">
        <v>2</v>
      </c>
      <c r="E984" t="s">
        <v>4</v>
      </c>
      <c r="F984" t="str">
        <f>VLOOKUP(A984,[1]Kreise!$A$1:$C$53,3,FALSE)</f>
        <v>K03459</v>
      </c>
      <c r="G984">
        <v>150</v>
      </c>
    </row>
    <row r="985" spans="1:7" x14ac:dyDescent="0.25">
      <c r="A985">
        <v>460</v>
      </c>
      <c r="B985">
        <v>2019</v>
      </c>
      <c r="C985" t="str">
        <f>VLOOKUP(A985,[2]Tabelle1!$A$1:$B$68,2,FALSE)</f>
        <v>Vechta</v>
      </c>
      <c r="D985" t="s">
        <v>2</v>
      </c>
      <c r="E985" t="s">
        <v>4</v>
      </c>
      <c r="F985" t="str">
        <f>VLOOKUP(A985,[1]Kreise!$A$1:$C$53,3,FALSE)</f>
        <v>K03460</v>
      </c>
      <c r="G985">
        <v>89</v>
      </c>
    </row>
    <row r="986" spans="1:7" x14ac:dyDescent="0.25">
      <c r="A986">
        <v>461</v>
      </c>
      <c r="B986">
        <v>2019</v>
      </c>
      <c r="C986" t="str">
        <f>VLOOKUP(A986,[2]Tabelle1!$A$1:$B$68,2,FALSE)</f>
        <v>Wesermarsch</v>
      </c>
      <c r="D986" t="s">
        <v>2</v>
      </c>
      <c r="E986" t="s">
        <v>4</v>
      </c>
      <c r="F986" t="str">
        <f>VLOOKUP(A986,[1]Kreise!$A$1:$C$53,3,FALSE)</f>
        <v>K03461</v>
      </c>
      <c r="G986">
        <v>36</v>
      </c>
    </row>
    <row r="987" spans="1:7" x14ac:dyDescent="0.25">
      <c r="A987">
        <v>462</v>
      </c>
      <c r="B987">
        <v>2019</v>
      </c>
      <c r="C987" t="str">
        <f>VLOOKUP(A987,[2]Tabelle1!$A$1:$B$68,2,FALSE)</f>
        <v>Wittmund</v>
      </c>
      <c r="D987" t="s">
        <v>2</v>
      </c>
      <c r="E987" t="s">
        <v>4</v>
      </c>
      <c r="F987" t="str">
        <f>VLOOKUP(A987,[1]Kreise!$A$1:$C$53,3,FALSE)</f>
        <v>K03462</v>
      </c>
      <c r="G987">
        <v>27</v>
      </c>
    </row>
    <row r="988" spans="1:7" x14ac:dyDescent="0.25">
      <c r="A988">
        <v>4</v>
      </c>
      <c r="B988">
        <v>2019</v>
      </c>
      <c r="C988" t="str">
        <f>VLOOKUP(A988,[2]Tabelle1!$A$1:$B$68,2,FALSE)</f>
        <v>Statistische Region Weser-Ems</v>
      </c>
      <c r="D988" t="s">
        <v>2</v>
      </c>
      <c r="E988" t="s">
        <v>4</v>
      </c>
      <c r="F988" t="str">
        <f>VLOOKUP(A988,[1]Kreise!$A$1:$C$53,3,FALSE)</f>
        <v>K034</v>
      </c>
      <c r="G988">
        <v>1412</v>
      </c>
    </row>
    <row r="989" spans="1:7" x14ac:dyDescent="0.25">
      <c r="A989">
        <v>0</v>
      </c>
      <c r="B989">
        <v>2019</v>
      </c>
      <c r="C989" t="str">
        <f>VLOOKUP(A989,[2]Tabelle1!$A$1:$B$68,2,FALSE)</f>
        <v>Niedersachsen</v>
      </c>
      <c r="D989" t="s">
        <v>2</v>
      </c>
      <c r="E989" t="s">
        <v>4</v>
      </c>
      <c r="F989" t="str">
        <f>VLOOKUP(A989,[1]Kreise!$A$1:$C$53,3,FALSE)</f>
        <v>K030</v>
      </c>
      <c r="G989">
        <v>3908</v>
      </c>
    </row>
    <row r="990" spans="1:7" x14ac:dyDescent="0.25">
      <c r="A990">
        <v>101</v>
      </c>
      <c r="B990">
        <v>2019</v>
      </c>
      <c r="C990" t="str">
        <f>VLOOKUP(A990,[2]Tabelle1!$A$1:$B$68,2,FALSE)</f>
        <v>Braunschweig  Stadt</v>
      </c>
      <c r="D990" t="s">
        <v>3</v>
      </c>
      <c r="E990" t="s">
        <v>4</v>
      </c>
      <c r="F990" t="str">
        <f>VLOOKUP(A990,[1]Kreise!$A$1:$C$53,3,FALSE)</f>
        <v>K03101</v>
      </c>
      <c r="G990">
        <v>27</v>
      </c>
    </row>
    <row r="991" spans="1:7" x14ac:dyDescent="0.25">
      <c r="A991">
        <v>102</v>
      </c>
      <c r="B991">
        <v>2019</v>
      </c>
      <c r="C991" t="str">
        <f>VLOOKUP(A991,[2]Tabelle1!$A$1:$B$68,2,FALSE)</f>
        <v>Salzgitter  Stadt</v>
      </c>
      <c r="D991" t="s">
        <v>3</v>
      </c>
      <c r="E991" t="s">
        <v>4</v>
      </c>
      <c r="F991" t="str">
        <f>VLOOKUP(A991,[1]Kreise!$A$1:$C$53,3,FALSE)</f>
        <v>K03102</v>
      </c>
      <c r="G991">
        <v>32</v>
      </c>
    </row>
    <row r="992" spans="1:7" x14ac:dyDescent="0.25">
      <c r="A992">
        <v>103</v>
      </c>
      <c r="B992">
        <v>2019</v>
      </c>
      <c r="C992" t="str">
        <f>VLOOKUP(A992,[2]Tabelle1!$A$1:$B$68,2,FALSE)</f>
        <v>Wolfsburg  Stadt</v>
      </c>
      <c r="D992" t="s">
        <v>3</v>
      </c>
      <c r="E992" t="s">
        <v>4</v>
      </c>
      <c r="F992" t="str">
        <f>VLOOKUP(A992,[1]Kreise!$A$1:$C$53,3,FALSE)</f>
        <v>K03103</v>
      </c>
      <c r="G992">
        <v>29</v>
      </c>
    </row>
    <row r="993" spans="1:7" x14ac:dyDescent="0.25">
      <c r="A993">
        <v>151</v>
      </c>
      <c r="B993">
        <v>2019</v>
      </c>
      <c r="C993" t="str">
        <f>VLOOKUP(A993,[2]Tabelle1!$A$1:$B$68,2,FALSE)</f>
        <v>Gifhorn</v>
      </c>
      <c r="D993" t="s">
        <v>3</v>
      </c>
      <c r="E993" t="s">
        <v>4</v>
      </c>
      <c r="F993" t="str">
        <f>VLOOKUP(A993,[1]Kreise!$A$1:$C$53,3,FALSE)</f>
        <v>K03151</v>
      </c>
      <c r="G993">
        <v>8</v>
      </c>
    </row>
    <row r="994" spans="1:7" x14ac:dyDescent="0.25">
      <c r="A994">
        <v>153</v>
      </c>
      <c r="B994">
        <v>2019</v>
      </c>
      <c r="C994" t="str">
        <f>VLOOKUP(A994,[2]Tabelle1!$A$1:$B$68,2,FALSE)</f>
        <v>Goslar</v>
      </c>
      <c r="D994" t="s">
        <v>3</v>
      </c>
      <c r="E994" t="s">
        <v>4</v>
      </c>
      <c r="F994" t="str">
        <f>VLOOKUP(A994,[1]Kreise!$A$1:$C$53,3,FALSE)</f>
        <v>K03153</v>
      </c>
      <c r="G994">
        <v>18</v>
      </c>
    </row>
    <row r="995" spans="1:7" x14ac:dyDescent="0.25">
      <c r="A995">
        <v>154</v>
      </c>
      <c r="B995">
        <v>2019</v>
      </c>
      <c r="C995" t="str">
        <f>VLOOKUP(A995,[2]Tabelle1!$A$1:$B$68,2,FALSE)</f>
        <v>Helmstedt</v>
      </c>
      <c r="D995" t="s">
        <v>3</v>
      </c>
      <c r="E995" t="s">
        <v>4</v>
      </c>
      <c r="F995" t="str">
        <f>VLOOKUP(A995,[1]Kreise!$A$1:$C$53,3,FALSE)</f>
        <v>K03154</v>
      </c>
      <c r="G995">
        <v>11</v>
      </c>
    </row>
    <row r="996" spans="1:7" x14ac:dyDescent="0.25">
      <c r="A996">
        <v>155</v>
      </c>
      <c r="B996">
        <v>2019</v>
      </c>
      <c r="C996" t="str">
        <f>VLOOKUP(A996,[2]Tabelle1!$A$1:$B$68,2,FALSE)</f>
        <v>Northeim</v>
      </c>
      <c r="D996" t="s">
        <v>3</v>
      </c>
      <c r="E996" t="s">
        <v>4</v>
      </c>
      <c r="F996" t="str">
        <f>VLOOKUP(A996,[1]Kreise!$A$1:$C$53,3,FALSE)</f>
        <v>K03155</v>
      </c>
      <c r="G996">
        <v>16</v>
      </c>
    </row>
    <row r="997" spans="1:7" x14ac:dyDescent="0.25">
      <c r="A997">
        <v>157</v>
      </c>
      <c r="B997">
        <v>2019</v>
      </c>
      <c r="C997" t="str">
        <f>VLOOKUP(A997,[2]Tabelle1!$A$1:$B$68,2,FALSE)</f>
        <v>Peine</v>
      </c>
      <c r="D997" t="s">
        <v>3</v>
      </c>
      <c r="E997" t="s">
        <v>4</v>
      </c>
      <c r="F997" t="str">
        <f>VLOOKUP(A997,[1]Kreise!$A$1:$C$53,3,FALSE)</f>
        <v>K03157</v>
      </c>
      <c r="G997">
        <v>18</v>
      </c>
    </row>
    <row r="998" spans="1:7" x14ac:dyDescent="0.25">
      <c r="A998">
        <v>158</v>
      </c>
      <c r="B998">
        <v>2019</v>
      </c>
      <c r="C998" t="str">
        <f>VLOOKUP(A998,[2]Tabelle1!$A$1:$B$68,2,FALSE)</f>
        <v>Wolfenbüttel</v>
      </c>
      <c r="D998" t="s">
        <v>3</v>
      </c>
      <c r="E998" t="s">
        <v>4</v>
      </c>
      <c r="F998" t="str">
        <f>VLOOKUP(A998,[1]Kreise!$A$1:$C$53,3,FALSE)</f>
        <v>K03158</v>
      </c>
      <c r="G998">
        <v>17</v>
      </c>
    </row>
    <row r="999" spans="1:7" x14ac:dyDescent="0.25">
      <c r="A999">
        <v>159</v>
      </c>
      <c r="B999">
        <v>2019</v>
      </c>
      <c r="C999" t="str">
        <f>VLOOKUP(A999,[2]Tabelle1!$A$1:$B$68,2,FALSE)</f>
        <v>Göttingen</v>
      </c>
      <c r="D999" t="s">
        <v>3</v>
      </c>
      <c r="E999" t="s">
        <v>4</v>
      </c>
      <c r="F999" t="str">
        <f>VLOOKUP(A999,[1]Kreise!$A$1:$C$53,3,FALSE)</f>
        <v>K03159</v>
      </c>
      <c r="G999">
        <v>61</v>
      </c>
    </row>
    <row r="1000" spans="1:7" x14ac:dyDescent="0.25">
      <c r="A1000">
        <v>1</v>
      </c>
      <c r="B1000">
        <v>2019</v>
      </c>
      <c r="C1000" t="str">
        <f>VLOOKUP(A1000,[2]Tabelle1!$A$1:$B$68,2,FALSE)</f>
        <v>Statistische Region Braunschweig</v>
      </c>
      <c r="D1000" t="s">
        <v>3</v>
      </c>
      <c r="E1000" t="s">
        <v>4</v>
      </c>
      <c r="F1000" t="str">
        <f>VLOOKUP(A1000,[1]Kreise!$A$1:$C$53,3,FALSE)</f>
        <v>K031</v>
      </c>
      <c r="G1000">
        <v>237</v>
      </c>
    </row>
    <row r="1001" spans="1:7" x14ac:dyDescent="0.25">
      <c r="A1001">
        <v>241</v>
      </c>
      <c r="B1001">
        <v>2019</v>
      </c>
      <c r="C1001" t="str">
        <f>VLOOKUP(A1001,[2]Tabelle1!$A$1:$B$68,2,FALSE)</f>
        <v>Hannover  Region</v>
      </c>
      <c r="D1001" t="s">
        <v>3</v>
      </c>
      <c r="E1001" t="s">
        <v>4</v>
      </c>
      <c r="F1001" t="str">
        <f>VLOOKUP(A1001,[1]Kreise!$A$1:$C$53,3,FALSE)</f>
        <v>K03241</v>
      </c>
      <c r="G1001">
        <v>259</v>
      </c>
    </row>
    <row r="1002" spans="1:7" x14ac:dyDescent="0.25">
      <c r="A1002">
        <v>241001</v>
      </c>
      <c r="B1002">
        <v>2019</v>
      </c>
      <c r="C1002" t="str">
        <f>VLOOKUP(A1002,[2]Tabelle1!$A$1:$B$68,2,FALSE)</f>
        <v>dav. Hannover  Lhst.</v>
      </c>
      <c r="D1002" t="s">
        <v>3</v>
      </c>
      <c r="E1002" t="s">
        <v>4</v>
      </c>
      <c r="F1002" t="str">
        <f>VLOOKUP(A1002,[1]Kreise!$A$1:$C$53,3,FALSE)</f>
        <v>K03241001</v>
      </c>
      <c r="G1002">
        <v>135</v>
      </c>
    </row>
    <row r="1003" spans="1:7" x14ac:dyDescent="0.25">
      <c r="A1003">
        <v>241999</v>
      </c>
      <c r="B1003">
        <v>2019</v>
      </c>
      <c r="C1003" t="str">
        <f>VLOOKUP(A1003,[2]Tabelle1!$A$1:$B$68,2,FALSE)</f>
        <v>dav. Hannover  Umland</v>
      </c>
      <c r="D1003" t="s">
        <v>3</v>
      </c>
      <c r="E1003" t="s">
        <v>4</v>
      </c>
      <c r="F1003" t="str">
        <f>VLOOKUP(A1003,[1]Kreise!$A$1:$C$53,3,FALSE)</f>
        <v>K03241999</v>
      </c>
      <c r="G1003">
        <v>124</v>
      </c>
    </row>
    <row r="1004" spans="1:7" x14ac:dyDescent="0.25">
      <c r="A1004">
        <v>251</v>
      </c>
      <c r="B1004">
        <v>2019</v>
      </c>
      <c r="C1004" t="str">
        <f>VLOOKUP(A1004,[2]Tabelle1!$A$1:$B$68,2,FALSE)</f>
        <v>Diepholz</v>
      </c>
      <c r="D1004" t="s">
        <v>3</v>
      </c>
      <c r="E1004" t="s">
        <v>4</v>
      </c>
      <c r="F1004" t="str">
        <f>VLOOKUP(A1004,[1]Kreise!$A$1:$C$53,3,FALSE)</f>
        <v>K03251</v>
      </c>
      <c r="G1004">
        <v>43</v>
      </c>
    </row>
    <row r="1005" spans="1:7" x14ac:dyDescent="0.25">
      <c r="A1005">
        <v>252</v>
      </c>
      <c r="B1005">
        <v>2019</v>
      </c>
      <c r="C1005" t="str">
        <f>VLOOKUP(A1005,[2]Tabelle1!$A$1:$B$68,2,FALSE)</f>
        <v>Hameln-Pyrmont</v>
      </c>
      <c r="D1005" t="s">
        <v>3</v>
      </c>
      <c r="E1005" t="s">
        <v>4</v>
      </c>
      <c r="F1005" t="str">
        <f>VLOOKUP(A1005,[1]Kreise!$A$1:$C$53,3,FALSE)</f>
        <v>K03252</v>
      </c>
      <c r="G1005">
        <v>54</v>
      </c>
    </row>
    <row r="1006" spans="1:7" x14ac:dyDescent="0.25">
      <c r="A1006">
        <v>254</v>
      </c>
      <c r="B1006">
        <v>2019</v>
      </c>
      <c r="C1006" t="str">
        <f>VLOOKUP(A1006,[2]Tabelle1!$A$1:$B$68,2,FALSE)</f>
        <v>Hildesheim</v>
      </c>
      <c r="D1006" t="s">
        <v>3</v>
      </c>
      <c r="E1006" t="s">
        <v>4</v>
      </c>
      <c r="F1006" t="str">
        <f>VLOOKUP(A1006,[1]Kreise!$A$1:$C$53,3,FALSE)</f>
        <v>K03254</v>
      </c>
      <c r="G1006">
        <v>72</v>
      </c>
    </row>
    <row r="1007" spans="1:7" x14ac:dyDescent="0.25">
      <c r="A1007">
        <v>255</v>
      </c>
      <c r="B1007">
        <v>2019</v>
      </c>
      <c r="C1007" t="str">
        <f>VLOOKUP(A1007,[2]Tabelle1!$A$1:$B$68,2,FALSE)</f>
        <v>Holzminden</v>
      </c>
      <c r="D1007" t="s">
        <v>3</v>
      </c>
      <c r="E1007" t="s">
        <v>4</v>
      </c>
      <c r="F1007" t="str">
        <f>VLOOKUP(A1007,[1]Kreise!$A$1:$C$53,3,FALSE)</f>
        <v>K03255</v>
      </c>
      <c r="G1007">
        <v>7</v>
      </c>
    </row>
    <row r="1008" spans="1:7" x14ac:dyDescent="0.25">
      <c r="A1008">
        <v>256</v>
      </c>
      <c r="B1008">
        <v>2019</v>
      </c>
      <c r="C1008" t="str">
        <f>VLOOKUP(A1008,[2]Tabelle1!$A$1:$B$68,2,FALSE)</f>
        <v>Nienburg (Weser)</v>
      </c>
      <c r="D1008" t="s">
        <v>3</v>
      </c>
      <c r="E1008" t="s">
        <v>4</v>
      </c>
      <c r="F1008" t="str">
        <f>VLOOKUP(A1008,[1]Kreise!$A$1:$C$53,3,FALSE)</f>
        <v>K03256</v>
      </c>
      <c r="G1008">
        <v>25</v>
      </c>
    </row>
    <row r="1009" spans="1:7" x14ac:dyDescent="0.25">
      <c r="A1009">
        <v>257</v>
      </c>
      <c r="B1009">
        <v>2019</v>
      </c>
      <c r="C1009" t="str">
        <f>VLOOKUP(A1009,[2]Tabelle1!$A$1:$B$68,2,FALSE)</f>
        <v>Schaumburg</v>
      </c>
      <c r="D1009" t="s">
        <v>3</v>
      </c>
      <c r="E1009" t="s">
        <v>4</v>
      </c>
      <c r="F1009" t="str">
        <f>VLOOKUP(A1009,[1]Kreise!$A$1:$C$53,3,FALSE)</f>
        <v>K03257</v>
      </c>
      <c r="G1009">
        <v>30</v>
      </c>
    </row>
    <row r="1010" spans="1:7" x14ac:dyDescent="0.25">
      <c r="A1010">
        <v>2</v>
      </c>
      <c r="B1010">
        <v>2019</v>
      </c>
      <c r="C1010" t="str">
        <f>VLOOKUP(A1010,[2]Tabelle1!$A$1:$B$68,2,FALSE)</f>
        <v>Statistische Region Hannover</v>
      </c>
      <c r="D1010" t="s">
        <v>3</v>
      </c>
      <c r="E1010" t="s">
        <v>4</v>
      </c>
      <c r="F1010" t="str">
        <f>VLOOKUP(A1010,[1]Kreise!$A$1:$C$53,3,FALSE)</f>
        <v>K032</v>
      </c>
      <c r="G1010">
        <v>490</v>
      </c>
    </row>
    <row r="1011" spans="1:7" x14ac:dyDescent="0.25">
      <c r="A1011">
        <v>351</v>
      </c>
      <c r="B1011">
        <v>2019</v>
      </c>
      <c r="C1011" t="str">
        <f>VLOOKUP(A1011,[2]Tabelle1!$A$1:$B$68,2,FALSE)</f>
        <v>Celle</v>
      </c>
      <c r="D1011" t="s">
        <v>3</v>
      </c>
      <c r="E1011" t="s">
        <v>4</v>
      </c>
      <c r="F1011" t="str">
        <f>VLOOKUP(A1011,[1]Kreise!$A$1:$C$53,3,FALSE)</f>
        <v>K03351</v>
      </c>
      <c r="G1011">
        <v>30</v>
      </c>
    </row>
    <row r="1012" spans="1:7" x14ac:dyDescent="0.25">
      <c r="A1012">
        <v>352</v>
      </c>
      <c r="B1012">
        <v>2019</v>
      </c>
      <c r="C1012" t="str">
        <f>VLOOKUP(A1012,[2]Tabelle1!$A$1:$B$68,2,FALSE)</f>
        <v>Cuxhaven</v>
      </c>
      <c r="D1012" t="s">
        <v>3</v>
      </c>
      <c r="E1012" t="s">
        <v>4</v>
      </c>
      <c r="F1012" t="str">
        <f>VLOOKUP(A1012,[1]Kreise!$A$1:$C$53,3,FALSE)</f>
        <v>K03352</v>
      </c>
      <c r="G1012">
        <v>35</v>
      </c>
    </row>
    <row r="1013" spans="1:7" x14ac:dyDescent="0.25">
      <c r="A1013">
        <v>353</v>
      </c>
      <c r="B1013">
        <v>2019</v>
      </c>
      <c r="C1013" t="str">
        <f>VLOOKUP(A1013,[2]Tabelle1!$A$1:$B$68,2,FALSE)</f>
        <v>Harburg</v>
      </c>
      <c r="D1013" t="s">
        <v>3</v>
      </c>
      <c r="E1013" t="s">
        <v>4</v>
      </c>
      <c r="F1013" t="str">
        <f>VLOOKUP(A1013,[1]Kreise!$A$1:$C$53,3,FALSE)</f>
        <v>K03353</v>
      </c>
      <c r="G1013">
        <v>21</v>
      </c>
    </row>
    <row r="1014" spans="1:7" x14ac:dyDescent="0.25">
      <c r="A1014">
        <v>354</v>
      </c>
      <c r="B1014">
        <v>2019</v>
      </c>
      <c r="C1014" t="str">
        <f>VLOOKUP(A1014,[2]Tabelle1!$A$1:$B$68,2,FALSE)</f>
        <v>Lüchow-Dannenberg</v>
      </c>
      <c r="D1014" t="s">
        <v>3</v>
      </c>
      <c r="E1014" t="s">
        <v>4</v>
      </c>
      <c r="F1014" t="str">
        <f>VLOOKUP(A1014,[1]Kreise!$A$1:$C$53,3,FALSE)</f>
        <v>K03354</v>
      </c>
      <c r="G1014">
        <v>3</v>
      </c>
    </row>
    <row r="1015" spans="1:7" x14ac:dyDescent="0.25">
      <c r="A1015">
        <v>355</v>
      </c>
      <c r="B1015">
        <v>2019</v>
      </c>
      <c r="C1015" t="str">
        <f>VLOOKUP(A1015,[2]Tabelle1!$A$1:$B$68,2,FALSE)</f>
        <v>Lüneburg</v>
      </c>
      <c r="D1015" t="s">
        <v>3</v>
      </c>
      <c r="E1015" t="s">
        <v>4</v>
      </c>
      <c r="F1015" t="str">
        <f>VLOOKUP(A1015,[1]Kreise!$A$1:$C$53,3,FALSE)</f>
        <v>K03355</v>
      </c>
      <c r="G1015">
        <v>27</v>
      </c>
    </row>
    <row r="1016" spans="1:7" x14ac:dyDescent="0.25">
      <c r="A1016">
        <v>356</v>
      </c>
      <c r="B1016">
        <v>2019</v>
      </c>
      <c r="C1016" t="str">
        <f>VLOOKUP(A1016,[2]Tabelle1!$A$1:$B$68,2,FALSE)</f>
        <v>Osterholz</v>
      </c>
      <c r="D1016" t="s">
        <v>3</v>
      </c>
      <c r="E1016" t="s">
        <v>4</v>
      </c>
      <c r="F1016" t="str">
        <f>VLOOKUP(A1016,[1]Kreise!$A$1:$C$53,3,FALSE)</f>
        <v>K03356</v>
      </c>
      <c r="G1016">
        <v>13</v>
      </c>
    </row>
    <row r="1017" spans="1:7" x14ac:dyDescent="0.25">
      <c r="A1017">
        <v>357</v>
      </c>
      <c r="B1017">
        <v>2019</v>
      </c>
      <c r="C1017" t="str">
        <f>VLOOKUP(A1017,[2]Tabelle1!$A$1:$B$68,2,FALSE)</f>
        <v>Rotenburg (Wümme)</v>
      </c>
      <c r="D1017" t="s">
        <v>3</v>
      </c>
      <c r="E1017" t="s">
        <v>4</v>
      </c>
      <c r="F1017" t="str">
        <f>VLOOKUP(A1017,[1]Kreise!$A$1:$C$53,3,FALSE)</f>
        <v>K03357</v>
      </c>
      <c r="G1017">
        <v>28</v>
      </c>
    </row>
    <row r="1018" spans="1:7" x14ac:dyDescent="0.25">
      <c r="A1018">
        <v>358</v>
      </c>
      <c r="B1018">
        <v>2019</v>
      </c>
      <c r="C1018" t="str">
        <f>VLOOKUP(A1018,[2]Tabelle1!$A$1:$B$68,2,FALSE)</f>
        <v>Heidekreis</v>
      </c>
      <c r="D1018" t="s">
        <v>3</v>
      </c>
      <c r="E1018" t="s">
        <v>4</v>
      </c>
      <c r="F1018" t="str">
        <f>VLOOKUP(A1018,[1]Kreise!$A$1:$C$53,3,FALSE)</f>
        <v>K03358</v>
      </c>
      <c r="G1018">
        <v>13</v>
      </c>
    </row>
    <row r="1019" spans="1:7" x14ac:dyDescent="0.25">
      <c r="A1019">
        <v>359</v>
      </c>
      <c r="B1019">
        <v>2019</v>
      </c>
      <c r="C1019" t="str">
        <f>VLOOKUP(A1019,[2]Tabelle1!$A$1:$B$68,2,FALSE)</f>
        <v>Stade</v>
      </c>
      <c r="D1019" t="s">
        <v>3</v>
      </c>
      <c r="E1019" t="s">
        <v>4</v>
      </c>
      <c r="F1019" t="str">
        <f>VLOOKUP(A1019,[1]Kreise!$A$1:$C$53,3,FALSE)</f>
        <v>K03359</v>
      </c>
      <c r="G1019">
        <v>36</v>
      </c>
    </row>
    <row r="1020" spans="1:7" x14ac:dyDescent="0.25">
      <c r="A1020">
        <v>360</v>
      </c>
      <c r="B1020">
        <v>2019</v>
      </c>
      <c r="C1020" t="str">
        <f>VLOOKUP(A1020,[2]Tabelle1!$A$1:$B$68,2,FALSE)</f>
        <v>Uelzen</v>
      </c>
      <c r="D1020" t="s">
        <v>3</v>
      </c>
      <c r="E1020" t="s">
        <v>4</v>
      </c>
      <c r="F1020" t="str">
        <f>VLOOKUP(A1020,[1]Kreise!$A$1:$C$53,3,FALSE)</f>
        <v>K03360</v>
      </c>
      <c r="G1020">
        <v>9</v>
      </c>
    </row>
    <row r="1021" spans="1:7" x14ac:dyDescent="0.25">
      <c r="A1021">
        <v>361</v>
      </c>
      <c r="B1021">
        <v>2019</v>
      </c>
      <c r="C1021" t="str">
        <f>VLOOKUP(A1021,[2]Tabelle1!$A$1:$B$68,2,FALSE)</f>
        <v>Verden</v>
      </c>
      <c r="D1021" t="s">
        <v>3</v>
      </c>
      <c r="E1021" t="s">
        <v>4</v>
      </c>
      <c r="F1021" t="str">
        <f>VLOOKUP(A1021,[1]Kreise!$A$1:$C$53,3,FALSE)</f>
        <v>K03361</v>
      </c>
      <c r="G1021">
        <v>14</v>
      </c>
    </row>
    <row r="1022" spans="1:7" x14ac:dyDescent="0.25">
      <c r="A1022">
        <v>3</v>
      </c>
      <c r="B1022">
        <v>2019</v>
      </c>
      <c r="C1022" t="str">
        <f>VLOOKUP(A1022,[2]Tabelle1!$A$1:$B$68,2,FALSE)</f>
        <v>Statistische Region Lüneburg</v>
      </c>
      <c r="D1022" t="s">
        <v>3</v>
      </c>
      <c r="E1022" t="s">
        <v>4</v>
      </c>
      <c r="F1022" t="str">
        <f>VLOOKUP(A1022,[1]Kreise!$A$1:$C$53,3,FALSE)</f>
        <v>K033</v>
      </c>
      <c r="G1022">
        <v>229</v>
      </c>
    </row>
    <row r="1023" spans="1:7" x14ac:dyDescent="0.25">
      <c r="A1023">
        <v>401</v>
      </c>
      <c r="B1023">
        <v>2019</v>
      </c>
      <c r="C1023" t="str">
        <f>VLOOKUP(A1023,[2]Tabelle1!$A$1:$B$68,2,FALSE)</f>
        <v>Delmenhorst  Stadt</v>
      </c>
      <c r="D1023" t="s">
        <v>3</v>
      </c>
      <c r="E1023" t="s">
        <v>4</v>
      </c>
      <c r="F1023" t="str">
        <f>VLOOKUP(A1023,[1]Kreise!$A$1:$C$53,3,FALSE)</f>
        <v>K03401</v>
      </c>
      <c r="G1023">
        <v>68</v>
      </c>
    </row>
    <row r="1024" spans="1:7" x14ac:dyDescent="0.25">
      <c r="A1024">
        <v>402</v>
      </c>
      <c r="B1024">
        <v>2019</v>
      </c>
      <c r="C1024" t="str">
        <f>VLOOKUP(A1024,[2]Tabelle1!$A$1:$B$68,2,FALSE)</f>
        <v>Emden  Stadt</v>
      </c>
      <c r="D1024" t="s">
        <v>3</v>
      </c>
      <c r="E1024" t="s">
        <v>4</v>
      </c>
      <c r="F1024" t="str">
        <f>VLOOKUP(A1024,[1]Kreise!$A$1:$C$53,3,FALSE)</f>
        <v>K03402</v>
      </c>
      <c r="G1024">
        <v>14</v>
      </c>
    </row>
    <row r="1025" spans="1:7" x14ac:dyDescent="0.25">
      <c r="A1025">
        <v>403</v>
      </c>
      <c r="B1025">
        <v>2019</v>
      </c>
      <c r="C1025" t="str">
        <f>VLOOKUP(A1025,[2]Tabelle1!$A$1:$B$68,2,FALSE)</f>
        <v>Oldenburg(Oldb)  Stadt</v>
      </c>
      <c r="D1025" t="s">
        <v>3</v>
      </c>
      <c r="E1025" t="s">
        <v>4</v>
      </c>
      <c r="F1025" t="str">
        <f>VLOOKUP(A1025,[1]Kreise!$A$1:$C$53,3,FALSE)</f>
        <v>K03403</v>
      </c>
      <c r="G1025">
        <v>26</v>
      </c>
    </row>
    <row r="1026" spans="1:7" x14ac:dyDescent="0.25">
      <c r="A1026">
        <v>404</v>
      </c>
      <c r="B1026">
        <v>2019</v>
      </c>
      <c r="C1026" t="str">
        <f>VLOOKUP(A1026,[2]Tabelle1!$A$1:$B$68,2,FALSE)</f>
        <v>Osnabrück  Stadt</v>
      </c>
      <c r="D1026" t="s">
        <v>3</v>
      </c>
      <c r="E1026" t="s">
        <v>4</v>
      </c>
      <c r="F1026" t="str">
        <f>VLOOKUP(A1026,[1]Kreise!$A$1:$C$53,3,FALSE)</f>
        <v>K03404</v>
      </c>
      <c r="G1026">
        <v>48</v>
      </c>
    </row>
    <row r="1027" spans="1:7" x14ac:dyDescent="0.25">
      <c r="A1027">
        <v>405</v>
      </c>
      <c r="B1027">
        <v>2019</v>
      </c>
      <c r="C1027" t="str">
        <f>VLOOKUP(A1027,[2]Tabelle1!$A$1:$B$68,2,FALSE)</f>
        <v>Wilhelmshaven  Stadt</v>
      </c>
      <c r="D1027" t="s">
        <v>3</v>
      </c>
      <c r="E1027" t="s">
        <v>4</v>
      </c>
      <c r="F1027" t="str">
        <f>VLOOKUP(A1027,[1]Kreise!$A$1:$C$53,3,FALSE)</f>
        <v>K03405</v>
      </c>
      <c r="G1027">
        <v>19</v>
      </c>
    </row>
    <row r="1028" spans="1:7" x14ac:dyDescent="0.25">
      <c r="A1028">
        <v>451</v>
      </c>
      <c r="B1028">
        <v>2019</v>
      </c>
      <c r="C1028" t="str">
        <f>VLOOKUP(A1028,[2]Tabelle1!$A$1:$B$68,2,FALSE)</f>
        <v>Ammerland</v>
      </c>
      <c r="D1028" t="s">
        <v>3</v>
      </c>
      <c r="E1028" t="s">
        <v>4</v>
      </c>
      <c r="F1028" t="str">
        <f>VLOOKUP(A1028,[1]Kreise!$A$1:$C$53,3,FALSE)</f>
        <v>K03451</v>
      </c>
      <c r="G1028">
        <v>3</v>
      </c>
    </row>
    <row r="1029" spans="1:7" x14ac:dyDescent="0.25">
      <c r="A1029">
        <v>452</v>
      </c>
      <c r="B1029">
        <v>2019</v>
      </c>
      <c r="C1029" t="str">
        <f>VLOOKUP(A1029,[2]Tabelle1!$A$1:$B$68,2,FALSE)</f>
        <v>Aurich</v>
      </c>
      <c r="D1029" t="s">
        <v>3</v>
      </c>
      <c r="E1029" t="s">
        <v>4</v>
      </c>
      <c r="F1029" t="str">
        <f>VLOOKUP(A1029,[1]Kreise!$A$1:$C$53,3,FALSE)</f>
        <v>K03452</v>
      </c>
      <c r="G1029">
        <v>24</v>
      </c>
    </row>
    <row r="1030" spans="1:7" x14ac:dyDescent="0.25">
      <c r="A1030">
        <v>453</v>
      </c>
      <c r="B1030">
        <v>2019</v>
      </c>
      <c r="C1030" t="str">
        <f>VLOOKUP(A1030,[2]Tabelle1!$A$1:$B$68,2,FALSE)</f>
        <v>Cloppenburg</v>
      </c>
      <c r="D1030" t="s">
        <v>3</v>
      </c>
      <c r="E1030" t="s">
        <v>4</v>
      </c>
      <c r="F1030" t="str">
        <f>VLOOKUP(A1030,[1]Kreise!$A$1:$C$53,3,FALSE)</f>
        <v>K03453</v>
      </c>
      <c r="G1030">
        <v>61</v>
      </c>
    </row>
    <row r="1031" spans="1:7" x14ac:dyDescent="0.25">
      <c r="A1031">
        <v>454</v>
      </c>
      <c r="B1031">
        <v>2019</v>
      </c>
      <c r="C1031" t="str">
        <f>VLOOKUP(A1031,[2]Tabelle1!$A$1:$B$68,2,FALSE)</f>
        <v>Emsland</v>
      </c>
      <c r="D1031" t="s">
        <v>3</v>
      </c>
      <c r="E1031" t="s">
        <v>4</v>
      </c>
      <c r="F1031" t="str">
        <f>VLOOKUP(A1031,[1]Kreise!$A$1:$C$53,3,FALSE)</f>
        <v>K03454</v>
      </c>
      <c r="G1031">
        <v>88</v>
      </c>
    </row>
    <row r="1032" spans="1:7" x14ac:dyDescent="0.25">
      <c r="A1032">
        <v>455</v>
      </c>
      <c r="B1032">
        <v>2019</v>
      </c>
      <c r="C1032" t="str">
        <f>VLOOKUP(A1032,[2]Tabelle1!$A$1:$B$68,2,FALSE)</f>
        <v>Friesland</v>
      </c>
      <c r="D1032" t="s">
        <v>3</v>
      </c>
      <c r="E1032" t="s">
        <v>4</v>
      </c>
      <c r="F1032" t="str">
        <f>VLOOKUP(A1032,[1]Kreise!$A$1:$C$53,3,FALSE)</f>
        <v>K03455</v>
      </c>
      <c r="G1032">
        <v>14</v>
      </c>
    </row>
    <row r="1033" spans="1:7" x14ac:dyDescent="0.25">
      <c r="A1033">
        <v>456</v>
      </c>
      <c r="B1033">
        <v>2019</v>
      </c>
      <c r="C1033" t="str">
        <f>VLOOKUP(A1033,[2]Tabelle1!$A$1:$B$68,2,FALSE)</f>
        <v>Grafschaft Bentheim</v>
      </c>
      <c r="D1033" t="s">
        <v>3</v>
      </c>
      <c r="E1033" t="s">
        <v>4</v>
      </c>
      <c r="F1033" t="str">
        <f>VLOOKUP(A1033,[1]Kreise!$A$1:$C$53,3,FALSE)</f>
        <v>K03456</v>
      </c>
      <c r="G1033">
        <v>33</v>
      </c>
    </row>
    <row r="1034" spans="1:7" x14ac:dyDescent="0.25">
      <c r="A1034">
        <v>457</v>
      </c>
      <c r="B1034">
        <v>2019</v>
      </c>
      <c r="C1034" t="str">
        <f>VLOOKUP(A1034,[2]Tabelle1!$A$1:$B$68,2,FALSE)</f>
        <v>Leer</v>
      </c>
      <c r="D1034" t="s">
        <v>3</v>
      </c>
      <c r="E1034" t="s">
        <v>4</v>
      </c>
      <c r="F1034" t="str">
        <f>VLOOKUP(A1034,[1]Kreise!$A$1:$C$53,3,FALSE)</f>
        <v>K03457</v>
      </c>
      <c r="G1034">
        <v>34</v>
      </c>
    </row>
    <row r="1035" spans="1:7" x14ac:dyDescent="0.25">
      <c r="A1035">
        <v>458</v>
      </c>
      <c r="B1035">
        <v>2019</v>
      </c>
      <c r="C1035" t="str">
        <f>VLOOKUP(A1035,[2]Tabelle1!$A$1:$B$68,2,FALSE)</f>
        <v>Oldenburg</v>
      </c>
      <c r="D1035" t="s">
        <v>3</v>
      </c>
      <c r="E1035" t="s">
        <v>4</v>
      </c>
      <c r="F1035" t="str">
        <f>VLOOKUP(A1035,[1]Kreise!$A$1:$C$53,3,FALSE)</f>
        <v>K03458</v>
      </c>
      <c r="G1035">
        <v>15</v>
      </c>
    </row>
    <row r="1036" spans="1:7" x14ac:dyDescent="0.25">
      <c r="A1036">
        <v>459</v>
      </c>
      <c r="B1036">
        <v>2019</v>
      </c>
      <c r="C1036" t="str">
        <f>VLOOKUP(A1036,[2]Tabelle1!$A$1:$B$68,2,FALSE)</f>
        <v>Osnabrück</v>
      </c>
      <c r="D1036" t="s">
        <v>3</v>
      </c>
      <c r="E1036" t="s">
        <v>4</v>
      </c>
      <c r="F1036" t="str">
        <f>VLOOKUP(A1036,[1]Kreise!$A$1:$C$53,3,FALSE)</f>
        <v>K03459</v>
      </c>
      <c r="G1036">
        <v>51</v>
      </c>
    </row>
    <row r="1037" spans="1:7" x14ac:dyDescent="0.25">
      <c r="A1037">
        <v>460</v>
      </c>
      <c r="B1037">
        <v>2019</v>
      </c>
      <c r="C1037" t="str">
        <f>VLOOKUP(A1037,[2]Tabelle1!$A$1:$B$68,2,FALSE)</f>
        <v>Vechta</v>
      </c>
      <c r="D1037" t="s">
        <v>3</v>
      </c>
      <c r="E1037" t="s">
        <v>4</v>
      </c>
      <c r="F1037" t="str">
        <f>VLOOKUP(A1037,[1]Kreise!$A$1:$C$53,3,FALSE)</f>
        <v>K03460</v>
      </c>
      <c r="G1037">
        <v>40</v>
      </c>
    </row>
    <row r="1038" spans="1:7" x14ac:dyDescent="0.25">
      <c r="A1038">
        <v>461</v>
      </c>
      <c r="B1038">
        <v>2019</v>
      </c>
      <c r="C1038" t="str">
        <f>VLOOKUP(A1038,[2]Tabelle1!$A$1:$B$68,2,FALSE)</f>
        <v>Wesermarsch</v>
      </c>
      <c r="D1038" t="s">
        <v>3</v>
      </c>
      <c r="E1038" t="s">
        <v>4</v>
      </c>
      <c r="F1038" t="str">
        <f>VLOOKUP(A1038,[1]Kreise!$A$1:$C$53,3,FALSE)</f>
        <v>K03461</v>
      </c>
      <c r="G1038">
        <v>11</v>
      </c>
    </row>
    <row r="1039" spans="1:7" x14ac:dyDescent="0.25">
      <c r="A1039">
        <v>462</v>
      </c>
      <c r="B1039">
        <v>2019</v>
      </c>
      <c r="C1039" t="str">
        <f>VLOOKUP(A1039,[2]Tabelle1!$A$1:$B$68,2,FALSE)</f>
        <v>Wittmund</v>
      </c>
      <c r="D1039" t="s">
        <v>3</v>
      </c>
      <c r="E1039" t="s">
        <v>4</v>
      </c>
      <c r="F1039" t="str">
        <f>VLOOKUP(A1039,[1]Kreise!$A$1:$C$53,3,FALSE)</f>
        <v>K03462</v>
      </c>
      <c r="G1039">
        <v>11</v>
      </c>
    </row>
    <row r="1040" spans="1:7" x14ac:dyDescent="0.25">
      <c r="A1040">
        <v>4</v>
      </c>
      <c r="B1040">
        <v>2019</v>
      </c>
      <c r="C1040" t="str">
        <f>VLOOKUP(A1040,[2]Tabelle1!$A$1:$B$68,2,FALSE)</f>
        <v>Statistische Region Weser-Ems</v>
      </c>
      <c r="D1040" t="s">
        <v>3</v>
      </c>
      <c r="E1040" t="s">
        <v>4</v>
      </c>
      <c r="F1040" t="str">
        <f>VLOOKUP(A1040,[1]Kreise!$A$1:$C$53,3,FALSE)</f>
        <v>K034</v>
      </c>
      <c r="G1040">
        <v>560</v>
      </c>
    </row>
    <row r="1041" spans="1:7" x14ac:dyDescent="0.25">
      <c r="A1041">
        <v>0</v>
      </c>
      <c r="B1041">
        <v>2019</v>
      </c>
      <c r="C1041" t="str">
        <f>VLOOKUP(A1041,[2]Tabelle1!$A$1:$B$68,2,FALSE)</f>
        <v>Niedersachsen</v>
      </c>
      <c r="D1041" t="s">
        <v>3</v>
      </c>
      <c r="E1041" t="s">
        <v>4</v>
      </c>
      <c r="F1041" t="str">
        <f>VLOOKUP(A1041,[1]Kreise!$A$1:$C$53,3,FALSE)</f>
        <v>K030</v>
      </c>
      <c r="G1041">
        <v>1516</v>
      </c>
    </row>
    <row r="1042" spans="1:7" x14ac:dyDescent="0.25">
      <c r="A1042">
        <v>101</v>
      </c>
      <c r="B1042">
        <v>2020</v>
      </c>
      <c r="C1042" t="str">
        <f>VLOOKUP(A1042,[2]Tabelle1!$A$1:$B$68,2,FALSE)</f>
        <v>Braunschweig  Stadt</v>
      </c>
      <c r="D1042" t="s">
        <v>2</v>
      </c>
      <c r="E1042" t="s">
        <v>4</v>
      </c>
      <c r="F1042" t="str">
        <f>VLOOKUP(A1042,[1]Kreise!$A$1:$C$53,3,FALSE)</f>
        <v>K03101</v>
      </c>
      <c r="G1042">
        <v>90</v>
      </c>
    </row>
    <row r="1043" spans="1:7" x14ac:dyDescent="0.25">
      <c r="A1043">
        <v>102</v>
      </c>
      <c r="B1043">
        <v>2020</v>
      </c>
      <c r="C1043" t="str">
        <f>VLOOKUP(A1043,[2]Tabelle1!$A$1:$B$68,2,FALSE)</f>
        <v>Salzgitter  Stadt</v>
      </c>
      <c r="D1043" t="s">
        <v>2</v>
      </c>
      <c r="E1043" t="s">
        <v>4</v>
      </c>
      <c r="F1043" t="str">
        <f>VLOOKUP(A1043,[1]Kreise!$A$1:$C$53,3,FALSE)</f>
        <v>K03102</v>
      </c>
      <c r="G1043">
        <v>35</v>
      </c>
    </row>
    <row r="1044" spans="1:7" x14ac:dyDescent="0.25">
      <c r="A1044">
        <v>103</v>
      </c>
      <c r="B1044">
        <v>2020</v>
      </c>
      <c r="C1044" t="str">
        <f>VLOOKUP(A1044,[2]Tabelle1!$A$1:$B$68,2,FALSE)</f>
        <v>Wolfsburg  Stadt</v>
      </c>
      <c r="D1044" t="s">
        <v>2</v>
      </c>
      <c r="E1044" t="s">
        <v>4</v>
      </c>
      <c r="F1044" t="str">
        <f>VLOOKUP(A1044,[1]Kreise!$A$1:$C$53,3,FALSE)</f>
        <v>K03103</v>
      </c>
      <c r="G1044">
        <v>38</v>
      </c>
    </row>
    <row r="1045" spans="1:7" x14ac:dyDescent="0.25">
      <c r="A1045">
        <v>151</v>
      </c>
      <c r="B1045">
        <v>2020</v>
      </c>
      <c r="C1045" t="str">
        <f>VLOOKUP(A1045,[2]Tabelle1!$A$1:$B$68,2,FALSE)</f>
        <v>Gifhorn</v>
      </c>
      <c r="D1045" t="s">
        <v>2</v>
      </c>
      <c r="E1045" t="s">
        <v>4</v>
      </c>
      <c r="F1045" t="str">
        <f>VLOOKUP(A1045,[1]Kreise!$A$1:$C$53,3,FALSE)</f>
        <v>K03151</v>
      </c>
      <c r="G1045">
        <v>44</v>
      </c>
    </row>
    <row r="1046" spans="1:7" x14ac:dyDescent="0.25">
      <c r="A1046">
        <v>153</v>
      </c>
      <c r="B1046">
        <v>2020</v>
      </c>
      <c r="C1046" t="str">
        <f>VLOOKUP(A1046,[2]Tabelle1!$A$1:$B$68,2,FALSE)</f>
        <v>Goslar</v>
      </c>
      <c r="D1046" t="s">
        <v>2</v>
      </c>
      <c r="E1046" t="s">
        <v>4</v>
      </c>
      <c r="F1046" t="str">
        <f>VLOOKUP(A1046,[1]Kreise!$A$1:$C$53,3,FALSE)</f>
        <v>K03153</v>
      </c>
      <c r="G1046">
        <v>59</v>
      </c>
    </row>
    <row r="1047" spans="1:7" x14ac:dyDescent="0.25">
      <c r="A1047">
        <v>154</v>
      </c>
      <c r="B1047">
        <v>2020</v>
      </c>
      <c r="C1047" t="str">
        <f>VLOOKUP(A1047,[2]Tabelle1!$A$1:$B$68,2,FALSE)</f>
        <v>Helmstedt</v>
      </c>
      <c r="D1047" t="s">
        <v>2</v>
      </c>
      <c r="E1047" t="s">
        <v>4</v>
      </c>
      <c r="F1047" t="str">
        <f>VLOOKUP(A1047,[1]Kreise!$A$1:$C$53,3,FALSE)</f>
        <v>K03154</v>
      </c>
      <c r="G1047">
        <v>41</v>
      </c>
    </row>
    <row r="1048" spans="1:7" x14ac:dyDescent="0.25">
      <c r="A1048">
        <v>155</v>
      </c>
      <c r="B1048">
        <v>2020</v>
      </c>
      <c r="C1048" t="str">
        <f>VLOOKUP(A1048,[2]Tabelle1!$A$1:$B$68,2,FALSE)</f>
        <v>Northeim</v>
      </c>
      <c r="D1048" t="s">
        <v>2</v>
      </c>
      <c r="E1048" t="s">
        <v>4</v>
      </c>
      <c r="F1048" t="str">
        <f>VLOOKUP(A1048,[1]Kreise!$A$1:$C$53,3,FALSE)</f>
        <v>K03155</v>
      </c>
      <c r="G1048">
        <v>49</v>
      </c>
    </row>
    <row r="1049" spans="1:7" x14ac:dyDescent="0.25">
      <c r="A1049">
        <v>157</v>
      </c>
      <c r="B1049">
        <v>2020</v>
      </c>
      <c r="C1049" t="str">
        <f>VLOOKUP(A1049,[2]Tabelle1!$A$1:$B$68,2,FALSE)</f>
        <v>Peine</v>
      </c>
      <c r="D1049" t="s">
        <v>2</v>
      </c>
      <c r="E1049" t="s">
        <v>4</v>
      </c>
      <c r="F1049" t="str">
        <f>VLOOKUP(A1049,[1]Kreise!$A$1:$C$53,3,FALSE)</f>
        <v>K03157</v>
      </c>
      <c r="G1049">
        <v>30</v>
      </c>
    </row>
    <row r="1050" spans="1:7" x14ac:dyDescent="0.25">
      <c r="A1050">
        <v>158</v>
      </c>
      <c r="B1050">
        <v>2020</v>
      </c>
      <c r="C1050" t="str">
        <f>VLOOKUP(A1050,[2]Tabelle1!$A$1:$B$68,2,FALSE)</f>
        <v>Wolfenbüttel</v>
      </c>
      <c r="D1050" t="s">
        <v>2</v>
      </c>
      <c r="E1050" t="s">
        <v>4</v>
      </c>
      <c r="F1050" t="str">
        <f>VLOOKUP(A1050,[1]Kreise!$A$1:$C$53,3,FALSE)</f>
        <v>K03158</v>
      </c>
      <c r="G1050">
        <v>34</v>
      </c>
    </row>
    <row r="1051" spans="1:7" x14ac:dyDescent="0.25">
      <c r="A1051">
        <v>159</v>
      </c>
      <c r="B1051">
        <v>2020</v>
      </c>
      <c r="C1051" t="str">
        <f>VLOOKUP(A1051,[2]Tabelle1!$A$1:$B$68,2,FALSE)</f>
        <v>Göttingen</v>
      </c>
      <c r="D1051" t="s">
        <v>2</v>
      </c>
      <c r="E1051" t="s">
        <v>4</v>
      </c>
      <c r="F1051" t="str">
        <f>VLOOKUP(A1051,[1]Kreise!$A$1:$C$53,3,FALSE)</f>
        <v>K03159</v>
      </c>
      <c r="G1051">
        <v>131</v>
      </c>
    </row>
    <row r="1052" spans="1:7" x14ac:dyDescent="0.25">
      <c r="A1052">
        <v>1</v>
      </c>
      <c r="B1052">
        <v>2020</v>
      </c>
      <c r="C1052" t="str">
        <f>VLOOKUP(A1052,[2]Tabelle1!$A$1:$B$68,2,FALSE)</f>
        <v>Statistische Region Braunschweig</v>
      </c>
      <c r="D1052" t="s">
        <v>2</v>
      </c>
      <c r="E1052" t="s">
        <v>4</v>
      </c>
      <c r="F1052" t="str">
        <f>VLOOKUP(A1052,[1]Kreise!$A$1:$C$53,3,FALSE)</f>
        <v>K031</v>
      </c>
      <c r="G1052">
        <v>551</v>
      </c>
    </row>
    <row r="1053" spans="1:7" x14ac:dyDescent="0.25">
      <c r="A1053">
        <v>241</v>
      </c>
      <c r="B1053">
        <v>2020</v>
      </c>
      <c r="C1053" t="str">
        <f>VLOOKUP(A1053,[2]Tabelle1!$A$1:$B$68,2,FALSE)</f>
        <v>Hannover  Region</v>
      </c>
      <c r="D1053" t="s">
        <v>2</v>
      </c>
      <c r="E1053" t="s">
        <v>4</v>
      </c>
      <c r="F1053" t="str">
        <f>VLOOKUP(A1053,[1]Kreise!$A$1:$C$53,3,FALSE)</f>
        <v>K03241</v>
      </c>
      <c r="G1053">
        <v>369</v>
      </c>
    </row>
    <row r="1054" spans="1:7" x14ac:dyDescent="0.25">
      <c r="A1054">
        <v>241001</v>
      </c>
      <c r="B1054">
        <v>2020</v>
      </c>
      <c r="C1054" t="str">
        <f>VLOOKUP(A1054,[2]Tabelle1!$A$1:$B$68,2,FALSE)</f>
        <v>dav. Hannover  Lhst.</v>
      </c>
      <c r="D1054" t="s">
        <v>2</v>
      </c>
      <c r="E1054" t="s">
        <v>4</v>
      </c>
      <c r="F1054" t="str">
        <f>VLOOKUP(A1054,[1]Kreise!$A$1:$C$53,3,FALSE)</f>
        <v>K03241001</v>
      </c>
      <c r="G1054">
        <v>185</v>
      </c>
    </row>
    <row r="1055" spans="1:7" x14ac:dyDescent="0.25">
      <c r="A1055">
        <v>241999</v>
      </c>
      <c r="B1055">
        <v>2020</v>
      </c>
      <c r="C1055" t="str">
        <f>VLOOKUP(A1055,[2]Tabelle1!$A$1:$B$68,2,FALSE)</f>
        <v>dav. Hannover  Umland</v>
      </c>
      <c r="D1055" t="s">
        <v>2</v>
      </c>
      <c r="E1055" t="s">
        <v>4</v>
      </c>
      <c r="F1055" t="str">
        <f>VLOOKUP(A1055,[1]Kreise!$A$1:$C$53,3,FALSE)</f>
        <v>K03241999</v>
      </c>
      <c r="G1055">
        <v>184</v>
      </c>
    </row>
    <row r="1056" spans="1:7" x14ac:dyDescent="0.25">
      <c r="A1056">
        <v>251</v>
      </c>
      <c r="B1056">
        <v>2020</v>
      </c>
      <c r="C1056" t="str">
        <f>VLOOKUP(A1056,[2]Tabelle1!$A$1:$B$68,2,FALSE)</f>
        <v>Diepholz</v>
      </c>
      <c r="D1056" t="s">
        <v>2</v>
      </c>
      <c r="E1056" t="s">
        <v>4</v>
      </c>
      <c r="F1056" t="str">
        <f>VLOOKUP(A1056,[1]Kreise!$A$1:$C$53,3,FALSE)</f>
        <v>K03251</v>
      </c>
      <c r="G1056">
        <v>69</v>
      </c>
    </row>
    <row r="1057" spans="1:7" x14ac:dyDescent="0.25">
      <c r="A1057">
        <v>252</v>
      </c>
      <c r="B1057">
        <v>2020</v>
      </c>
      <c r="C1057" t="str">
        <f>VLOOKUP(A1057,[2]Tabelle1!$A$1:$B$68,2,FALSE)</f>
        <v>Hameln-Pyrmont</v>
      </c>
      <c r="D1057" t="s">
        <v>2</v>
      </c>
      <c r="E1057" t="s">
        <v>4</v>
      </c>
      <c r="F1057" t="str">
        <f>VLOOKUP(A1057,[1]Kreise!$A$1:$C$53,3,FALSE)</f>
        <v>K03252</v>
      </c>
      <c r="G1057">
        <v>96</v>
      </c>
    </row>
    <row r="1058" spans="1:7" x14ac:dyDescent="0.25">
      <c r="A1058">
        <v>254</v>
      </c>
      <c r="B1058">
        <v>2020</v>
      </c>
      <c r="C1058" t="str">
        <f>VLOOKUP(A1058,[2]Tabelle1!$A$1:$B$68,2,FALSE)</f>
        <v>Hildesheim</v>
      </c>
      <c r="D1058" t="s">
        <v>2</v>
      </c>
      <c r="E1058" t="s">
        <v>4</v>
      </c>
      <c r="F1058" t="str">
        <f>VLOOKUP(A1058,[1]Kreise!$A$1:$C$53,3,FALSE)</f>
        <v>K03254</v>
      </c>
      <c r="G1058">
        <v>121</v>
      </c>
    </row>
    <row r="1059" spans="1:7" x14ac:dyDescent="0.25">
      <c r="A1059">
        <v>255</v>
      </c>
      <c r="B1059">
        <v>2020</v>
      </c>
      <c r="C1059" t="str">
        <f>VLOOKUP(A1059,[2]Tabelle1!$A$1:$B$68,2,FALSE)</f>
        <v>Holzminden</v>
      </c>
      <c r="D1059" t="s">
        <v>2</v>
      </c>
      <c r="E1059" t="s">
        <v>4</v>
      </c>
      <c r="F1059" t="str">
        <f>VLOOKUP(A1059,[1]Kreise!$A$1:$C$53,3,FALSE)</f>
        <v>K03255</v>
      </c>
      <c r="G1059">
        <v>56</v>
      </c>
    </row>
    <row r="1060" spans="1:7" x14ac:dyDescent="0.25">
      <c r="A1060">
        <v>256</v>
      </c>
      <c r="B1060">
        <v>2020</v>
      </c>
      <c r="C1060" t="str">
        <f>VLOOKUP(A1060,[2]Tabelle1!$A$1:$B$68,2,FALSE)</f>
        <v>Nienburg (Weser)</v>
      </c>
      <c r="D1060" t="s">
        <v>2</v>
      </c>
      <c r="E1060" t="s">
        <v>4</v>
      </c>
      <c r="F1060" t="str">
        <f>VLOOKUP(A1060,[1]Kreise!$A$1:$C$53,3,FALSE)</f>
        <v>K03256</v>
      </c>
      <c r="G1060">
        <v>67</v>
      </c>
    </row>
    <row r="1061" spans="1:7" x14ac:dyDescent="0.25">
      <c r="A1061">
        <v>257</v>
      </c>
      <c r="B1061">
        <v>2020</v>
      </c>
      <c r="C1061" t="str">
        <f>VLOOKUP(A1061,[2]Tabelle1!$A$1:$B$68,2,FALSE)</f>
        <v>Schaumburg</v>
      </c>
      <c r="D1061" t="s">
        <v>2</v>
      </c>
      <c r="E1061" t="s">
        <v>4</v>
      </c>
      <c r="F1061" t="str">
        <f>VLOOKUP(A1061,[1]Kreise!$A$1:$C$53,3,FALSE)</f>
        <v>K03257</v>
      </c>
      <c r="G1061">
        <v>71</v>
      </c>
    </row>
    <row r="1062" spans="1:7" x14ac:dyDescent="0.25">
      <c r="A1062">
        <v>2</v>
      </c>
      <c r="B1062">
        <v>2020</v>
      </c>
      <c r="C1062" t="str">
        <f>VLOOKUP(A1062,[2]Tabelle1!$A$1:$B$68,2,FALSE)</f>
        <v>Statistische Region Hannover</v>
      </c>
      <c r="D1062" t="s">
        <v>2</v>
      </c>
      <c r="E1062" t="s">
        <v>4</v>
      </c>
      <c r="F1062" t="str">
        <f>VLOOKUP(A1062,[1]Kreise!$A$1:$C$53,3,FALSE)</f>
        <v>K032</v>
      </c>
      <c r="G1062">
        <v>849</v>
      </c>
    </row>
    <row r="1063" spans="1:7" x14ac:dyDescent="0.25">
      <c r="A1063">
        <v>351</v>
      </c>
      <c r="B1063">
        <v>2020</v>
      </c>
      <c r="C1063" t="str">
        <f>VLOOKUP(A1063,[2]Tabelle1!$A$1:$B$68,2,FALSE)</f>
        <v>Celle</v>
      </c>
      <c r="D1063" t="s">
        <v>2</v>
      </c>
      <c r="E1063" t="s">
        <v>4</v>
      </c>
      <c r="F1063" t="str">
        <f>VLOOKUP(A1063,[1]Kreise!$A$1:$C$53,3,FALSE)</f>
        <v>K03351</v>
      </c>
      <c r="G1063">
        <v>120</v>
      </c>
    </row>
    <row r="1064" spans="1:7" x14ac:dyDescent="0.25">
      <c r="A1064">
        <v>352</v>
      </c>
      <c r="B1064">
        <v>2020</v>
      </c>
      <c r="C1064" t="str">
        <f>VLOOKUP(A1064,[2]Tabelle1!$A$1:$B$68,2,FALSE)</f>
        <v>Cuxhaven</v>
      </c>
      <c r="D1064" t="s">
        <v>2</v>
      </c>
      <c r="E1064" t="s">
        <v>4</v>
      </c>
      <c r="F1064" t="str">
        <f>VLOOKUP(A1064,[1]Kreise!$A$1:$C$53,3,FALSE)</f>
        <v>K03352</v>
      </c>
      <c r="G1064">
        <v>81</v>
      </c>
    </row>
    <row r="1065" spans="1:7" x14ac:dyDescent="0.25">
      <c r="A1065">
        <v>353</v>
      </c>
      <c r="B1065">
        <v>2020</v>
      </c>
      <c r="C1065" t="str">
        <f>VLOOKUP(A1065,[2]Tabelle1!$A$1:$B$68,2,FALSE)</f>
        <v>Harburg</v>
      </c>
      <c r="D1065" t="s">
        <v>2</v>
      </c>
      <c r="E1065" t="s">
        <v>4</v>
      </c>
      <c r="F1065" t="str">
        <f>VLOOKUP(A1065,[1]Kreise!$A$1:$C$53,3,FALSE)</f>
        <v>K03353</v>
      </c>
      <c r="G1065">
        <v>81</v>
      </c>
    </row>
    <row r="1066" spans="1:7" x14ac:dyDescent="0.25">
      <c r="A1066">
        <v>354</v>
      </c>
      <c r="B1066">
        <v>2020</v>
      </c>
      <c r="C1066" t="str">
        <f>VLOOKUP(A1066,[2]Tabelle1!$A$1:$B$68,2,FALSE)</f>
        <v>Lüchow-Dannenberg</v>
      </c>
      <c r="D1066" t="s">
        <v>2</v>
      </c>
      <c r="E1066" t="s">
        <v>4</v>
      </c>
      <c r="F1066" t="str">
        <f>VLOOKUP(A1066,[1]Kreise!$A$1:$C$53,3,FALSE)</f>
        <v>K03354</v>
      </c>
      <c r="G1066">
        <v>33</v>
      </c>
    </row>
    <row r="1067" spans="1:7" x14ac:dyDescent="0.25">
      <c r="A1067">
        <v>355</v>
      </c>
      <c r="B1067">
        <v>2020</v>
      </c>
      <c r="C1067" t="str">
        <f>VLOOKUP(A1067,[2]Tabelle1!$A$1:$B$68,2,FALSE)</f>
        <v>Lüneburg</v>
      </c>
      <c r="D1067" t="s">
        <v>2</v>
      </c>
      <c r="E1067" t="s">
        <v>4</v>
      </c>
      <c r="F1067" t="str">
        <f>VLOOKUP(A1067,[1]Kreise!$A$1:$C$53,3,FALSE)</f>
        <v>K03355</v>
      </c>
      <c r="G1067">
        <v>96</v>
      </c>
    </row>
    <row r="1068" spans="1:7" x14ac:dyDescent="0.25">
      <c r="A1068">
        <v>356</v>
      </c>
      <c r="B1068">
        <v>2020</v>
      </c>
      <c r="C1068" t="str">
        <f>VLOOKUP(A1068,[2]Tabelle1!$A$1:$B$68,2,FALSE)</f>
        <v>Osterholz</v>
      </c>
      <c r="D1068" t="s">
        <v>2</v>
      </c>
      <c r="E1068" t="s">
        <v>4</v>
      </c>
      <c r="F1068" t="str">
        <f>VLOOKUP(A1068,[1]Kreise!$A$1:$C$53,3,FALSE)</f>
        <v>K03356</v>
      </c>
      <c r="G1068">
        <v>28</v>
      </c>
    </row>
    <row r="1069" spans="1:7" x14ac:dyDescent="0.25">
      <c r="A1069">
        <v>357</v>
      </c>
      <c r="B1069">
        <v>2020</v>
      </c>
      <c r="C1069" t="str">
        <f>VLOOKUP(A1069,[2]Tabelle1!$A$1:$B$68,2,FALSE)</f>
        <v>Rotenburg (Wümme)</v>
      </c>
      <c r="D1069" t="s">
        <v>2</v>
      </c>
      <c r="E1069" t="s">
        <v>4</v>
      </c>
      <c r="F1069" t="str">
        <f>VLOOKUP(A1069,[1]Kreise!$A$1:$C$53,3,FALSE)</f>
        <v>K03357</v>
      </c>
      <c r="G1069">
        <v>104</v>
      </c>
    </row>
    <row r="1070" spans="1:7" x14ac:dyDescent="0.25">
      <c r="A1070">
        <v>358</v>
      </c>
      <c r="B1070">
        <v>2020</v>
      </c>
      <c r="C1070" t="str">
        <f>VLOOKUP(A1070,[2]Tabelle1!$A$1:$B$68,2,FALSE)</f>
        <v>Heidekreis</v>
      </c>
      <c r="D1070" t="s">
        <v>2</v>
      </c>
      <c r="E1070" t="s">
        <v>4</v>
      </c>
      <c r="F1070" t="str">
        <f>VLOOKUP(A1070,[1]Kreise!$A$1:$C$53,3,FALSE)</f>
        <v>K03358</v>
      </c>
      <c r="G1070">
        <v>83</v>
      </c>
    </row>
    <row r="1071" spans="1:7" x14ac:dyDescent="0.25">
      <c r="A1071">
        <v>359</v>
      </c>
      <c r="B1071">
        <v>2020</v>
      </c>
      <c r="C1071" t="str">
        <f>VLOOKUP(A1071,[2]Tabelle1!$A$1:$B$68,2,FALSE)</f>
        <v>Stade</v>
      </c>
      <c r="D1071" t="s">
        <v>2</v>
      </c>
      <c r="E1071" t="s">
        <v>4</v>
      </c>
      <c r="F1071" t="str">
        <f>VLOOKUP(A1071,[1]Kreise!$A$1:$C$53,3,FALSE)</f>
        <v>K03359</v>
      </c>
      <c r="G1071">
        <v>110</v>
      </c>
    </row>
    <row r="1072" spans="1:7" x14ac:dyDescent="0.25">
      <c r="A1072">
        <v>360</v>
      </c>
      <c r="B1072">
        <v>2020</v>
      </c>
      <c r="C1072" t="str">
        <f>VLOOKUP(A1072,[2]Tabelle1!$A$1:$B$68,2,FALSE)</f>
        <v>Uelzen</v>
      </c>
      <c r="D1072" t="s">
        <v>2</v>
      </c>
      <c r="E1072" t="s">
        <v>4</v>
      </c>
      <c r="F1072" t="str">
        <f>VLOOKUP(A1072,[1]Kreise!$A$1:$C$53,3,FALSE)</f>
        <v>K03360</v>
      </c>
      <c r="G1072">
        <v>52</v>
      </c>
    </row>
    <row r="1073" spans="1:7" x14ac:dyDescent="0.25">
      <c r="A1073">
        <v>361</v>
      </c>
      <c r="B1073">
        <v>2020</v>
      </c>
      <c r="C1073" t="str">
        <f>VLOOKUP(A1073,[2]Tabelle1!$A$1:$B$68,2,FALSE)</f>
        <v>Verden</v>
      </c>
      <c r="D1073" t="s">
        <v>2</v>
      </c>
      <c r="E1073" t="s">
        <v>4</v>
      </c>
      <c r="F1073" t="str">
        <f>VLOOKUP(A1073,[1]Kreise!$A$1:$C$53,3,FALSE)</f>
        <v>K03361</v>
      </c>
      <c r="G1073">
        <v>51</v>
      </c>
    </row>
    <row r="1074" spans="1:7" x14ac:dyDescent="0.25">
      <c r="A1074">
        <v>3</v>
      </c>
      <c r="B1074">
        <v>2020</v>
      </c>
      <c r="C1074" t="str">
        <f>VLOOKUP(A1074,[2]Tabelle1!$A$1:$B$68,2,FALSE)</f>
        <v>Statistische Region Lüneburg</v>
      </c>
      <c r="D1074" t="s">
        <v>2</v>
      </c>
      <c r="E1074" t="s">
        <v>4</v>
      </c>
      <c r="F1074" t="str">
        <f>VLOOKUP(A1074,[1]Kreise!$A$1:$C$53,3,FALSE)</f>
        <v>K033</v>
      </c>
      <c r="G1074">
        <v>839</v>
      </c>
    </row>
    <row r="1075" spans="1:7" x14ac:dyDescent="0.25">
      <c r="A1075">
        <v>401</v>
      </c>
      <c r="B1075">
        <v>2020</v>
      </c>
      <c r="C1075" t="str">
        <f>VLOOKUP(A1075,[2]Tabelle1!$A$1:$B$68,2,FALSE)</f>
        <v>Delmenhorst  Stadt</v>
      </c>
      <c r="D1075" t="s">
        <v>2</v>
      </c>
      <c r="E1075" t="s">
        <v>4</v>
      </c>
      <c r="F1075" t="str">
        <f>VLOOKUP(A1075,[1]Kreise!$A$1:$C$53,3,FALSE)</f>
        <v>K03401</v>
      </c>
      <c r="G1075">
        <v>20</v>
      </c>
    </row>
    <row r="1076" spans="1:7" x14ac:dyDescent="0.25">
      <c r="A1076">
        <v>402</v>
      </c>
      <c r="B1076">
        <v>2020</v>
      </c>
      <c r="C1076" t="str">
        <f>VLOOKUP(A1076,[2]Tabelle1!$A$1:$B$68,2,FALSE)</f>
        <v>Emden  Stadt</v>
      </c>
      <c r="D1076" t="s">
        <v>2</v>
      </c>
      <c r="E1076" t="s">
        <v>4</v>
      </c>
      <c r="F1076" t="str">
        <f>VLOOKUP(A1076,[1]Kreise!$A$1:$C$53,3,FALSE)</f>
        <v>K03402</v>
      </c>
      <c r="G1076">
        <v>35</v>
      </c>
    </row>
    <row r="1077" spans="1:7" x14ac:dyDescent="0.25">
      <c r="A1077">
        <v>403</v>
      </c>
      <c r="B1077">
        <v>2020</v>
      </c>
      <c r="C1077" t="str">
        <f>VLOOKUP(A1077,[2]Tabelle1!$A$1:$B$68,2,FALSE)</f>
        <v>Oldenburg(Oldb)  Stadt</v>
      </c>
      <c r="D1077" t="s">
        <v>2</v>
      </c>
      <c r="E1077" t="s">
        <v>4</v>
      </c>
      <c r="F1077" t="str">
        <f>VLOOKUP(A1077,[1]Kreise!$A$1:$C$53,3,FALSE)</f>
        <v>K03403</v>
      </c>
      <c r="G1077">
        <v>61</v>
      </c>
    </row>
    <row r="1078" spans="1:7" x14ac:dyDescent="0.25">
      <c r="A1078">
        <v>404</v>
      </c>
      <c r="B1078">
        <v>2020</v>
      </c>
      <c r="C1078" t="str">
        <f>VLOOKUP(A1078,[2]Tabelle1!$A$1:$B$68,2,FALSE)</f>
        <v>Osnabrück  Stadt</v>
      </c>
      <c r="D1078" t="s">
        <v>2</v>
      </c>
      <c r="E1078" t="s">
        <v>4</v>
      </c>
      <c r="F1078" t="str">
        <f>VLOOKUP(A1078,[1]Kreise!$A$1:$C$53,3,FALSE)</f>
        <v>K03404</v>
      </c>
      <c r="G1078">
        <v>62</v>
      </c>
    </row>
    <row r="1079" spans="1:7" x14ac:dyDescent="0.25">
      <c r="A1079">
        <v>405</v>
      </c>
      <c r="B1079">
        <v>2020</v>
      </c>
      <c r="C1079" t="str">
        <f>VLOOKUP(A1079,[2]Tabelle1!$A$1:$B$68,2,FALSE)</f>
        <v>Wilhelmshaven  Stadt</v>
      </c>
      <c r="D1079" t="s">
        <v>2</v>
      </c>
      <c r="E1079" t="s">
        <v>4</v>
      </c>
      <c r="F1079" t="str">
        <f>VLOOKUP(A1079,[1]Kreise!$A$1:$C$53,3,FALSE)</f>
        <v>K03405</v>
      </c>
      <c r="G1079">
        <v>30</v>
      </c>
    </row>
    <row r="1080" spans="1:7" x14ac:dyDescent="0.25">
      <c r="A1080">
        <v>451</v>
      </c>
      <c r="B1080">
        <v>2020</v>
      </c>
      <c r="C1080" t="str">
        <f>VLOOKUP(A1080,[2]Tabelle1!$A$1:$B$68,2,FALSE)</f>
        <v>Ammerland</v>
      </c>
      <c r="D1080" t="s">
        <v>2</v>
      </c>
      <c r="E1080" t="s">
        <v>4</v>
      </c>
      <c r="F1080" t="str">
        <f>VLOOKUP(A1080,[1]Kreise!$A$1:$C$53,3,FALSE)</f>
        <v>K03451</v>
      </c>
      <c r="G1080">
        <v>46</v>
      </c>
    </row>
    <row r="1081" spans="1:7" x14ac:dyDescent="0.25">
      <c r="A1081">
        <v>452</v>
      </c>
      <c r="B1081">
        <v>2020</v>
      </c>
      <c r="C1081" t="str">
        <f>VLOOKUP(A1081,[2]Tabelle1!$A$1:$B$68,2,FALSE)</f>
        <v>Aurich</v>
      </c>
      <c r="D1081" t="s">
        <v>2</v>
      </c>
      <c r="E1081" t="s">
        <v>4</v>
      </c>
      <c r="F1081" t="str">
        <f>VLOOKUP(A1081,[1]Kreise!$A$1:$C$53,3,FALSE)</f>
        <v>K03452</v>
      </c>
      <c r="G1081">
        <v>141</v>
      </c>
    </row>
    <row r="1082" spans="1:7" x14ac:dyDescent="0.25">
      <c r="A1082">
        <v>453</v>
      </c>
      <c r="B1082">
        <v>2020</v>
      </c>
      <c r="C1082" t="str">
        <f>VLOOKUP(A1082,[2]Tabelle1!$A$1:$B$68,2,FALSE)</f>
        <v>Cloppenburg</v>
      </c>
      <c r="D1082" t="s">
        <v>2</v>
      </c>
      <c r="E1082" t="s">
        <v>4</v>
      </c>
      <c r="F1082" t="str">
        <f>VLOOKUP(A1082,[1]Kreise!$A$1:$C$53,3,FALSE)</f>
        <v>K03453</v>
      </c>
      <c r="G1082">
        <v>100</v>
      </c>
    </row>
    <row r="1083" spans="1:7" x14ac:dyDescent="0.25">
      <c r="A1083">
        <v>454</v>
      </c>
      <c r="B1083">
        <v>2020</v>
      </c>
      <c r="C1083" t="str">
        <f>VLOOKUP(A1083,[2]Tabelle1!$A$1:$B$68,2,FALSE)</f>
        <v>Emsland</v>
      </c>
      <c r="D1083" t="s">
        <v>2</v>
      </c>
      <c r="E1083" t="s">
        <v>4</v>
      </c>
      <c r="F1083" t="str">
        <f>VLOOKUP(A1083,[1]Kreise!$A$1:$C$53,3,FALSE)</f>
        <v>K03454</v>
      </c>
      <c r="G1083">
        <v>164</v>
      </c>
    </row>
    <row r="1084" spans="1:7" x14ac:dyDescent="0.25">
      <c r="A1084">
        <v>455</v>
      </c>
      <c r="B1084">
        <v>2020</v>
      </c>
      <c r="C1084" t="str">
        <f>VLOOKUP(A1084,[2]Tabelle1!$A$1:$B$68,2,FALSE)</f>
        <v>Friesland</v>
      </c>
      <c r="D1084" t="s">
        <v>2</v>
      </c>
      <c r="E1084" t="s">
        <v>4</v>
      </c>
      <c r="F1084" t="str">
        <f>VLOOKUP(A1084,[1]Kreise!$A$1:$C$53,3,FALSE)</f>
        <v>K03455</v>
      </c>
      <c r="G1084">
        <v>28</v>
      </c>
    </row>
    <row r="1085" spans="1:7" x14ac:dyDescent="0.25">
      <c r="A1085">
        <v>456</v>
      </c>
      <c r="B1085">
        <v>2020</v>
      </c>
      <c r="C1085" t="str">
        <f>VLOOKUP(A1085,[2]Tabelle1!$A$1:$B$68,2,FALSE)</f>
        <v>Grafschaft Bentheim</v>
      </c>
      <c r="D1085" t="s">
        <v>2</v>
      </c>
      <c r="E1085" t="s">
        <v>4</v>
      </c>
      <c r="F1085" t="str">
        <f>VLOOKUP(A1085,[1]Kreise!$A$1:$C$53,3,FALSE)</f>
        <v>K03456</v>
      </c>
      <c r="G1085">
        <v>87</v>
      </c>
    </row>
    <row r="1086" spans="1:7" x14ac:dyDescent="0.25">
      <c r="A1086">
        <v>457</v>
      </c>
      <c r="B1086">
        <v>2020</v>
      </c>
      <c r="C1086" t="str">
        <f>VLOOKUP(A1086,[2]Tabelle1!$A$1:$B$68,2,FALSE)</f>
        <v>Leer</v>
      </c>
      <c r="D1086" t="s">
        <v>2</v>
      </c>
      <c r="E1086" t="s">
        <v>4</v>
      </c>
      <c r="F1086" t="str">
        <f>VLOOKUP(A1086,[1]Kreise!$A$1:$C$53,3,FALSE)</f>
        <v>K03457</v>
      </c>
      <c r="G1086">
        <v>90</v>
      </c>
    </row>
    <row r="1087" spans="1:7" x14ac:dyDescent="0.25">
      <c r="A1087">
        <v>458</v>
      </c>
      <c r="B1087">
        <v>2020</v>
      </c>
      <c r="C1087" t="str">
        <f>VLOOKUP(A1087,[2]Tabelle1!$A$1:$B$68,2,FALSE)</f>
        <v>Oldenburg</v>
      </c>
      <c r="D1087" t="s">
        <v>2</v>
      </c>
      <c r="E1087" t="s">
        <v>4</v>
      </c>
      <c r="F1087" t="str">
        <f>VLOOKUP(A1087,[1]Kreise!$A$1:$C$53,3,FALSE)</f>
        <v>K03458</v>
      </c>
      <c r="G1087">
        <v>49</v>
      </c>
    </row>
    <row r="1088" spans="1:7" x14ac:dyDescent="0.25">
      <c r="A1088">
        <v>459</v>
      </c>
      <c r="B1088">
        <v>2020</v>
      </c>
      <c r="C1088" t="str">
        <f>VLOOKUP(A1088,[2]Tabelle1!$A$1:$B$68,2,FALSE)</f>
        <v>Osnabrück</v>
      </c>
      <c r="D1088" t="s">
        <v>2</v>
      </c>
      <c r="E1088" t="s">
        <v>4</v>
      </c>
      <c r="F1088" t="str">
        <f>VLOOKUP(A1088,[1]Kreise!$A$1:$C$53,3,FALSE)</f>
        <v>K03459</v>
      </c>
      <c r="G1088">
        <v>118</v>
      </c>
    </row>
    <row r="1089" spans="1:7" x14ac:dyDescent="0.25">
      <c r="A1089">
        <v>460</v>
      </c>
      <c r="B1089">
        <v>2020</v>
      </c>
      <c r="C1089" t="str">
        <f>VLOOKUP(A1089,[2]Tabelle1!$A$1:$B$68,2,FALSE)</f>
        <v>Vechta</v>
      </c>
      <c r="D1089" t="s">
        <v>2</v>
      </c>
      <c r="E1089" t="s">
        <v>4</v>
      </c>
      <c r="F1089" t="str">
        <f>VLOOKUP(A1089,[1]Kreise!$A$1:$C$53,3,FALSE)</f>
        <v>K03460</v>
      </c>
      <c r="G1089">
        <v>61</v>
      </c>
    </row>
    <row r="1090" spans="1:7" x14ac:dyDescent="0.25">
      <c r="A1090">
        <v>461</v>
      </c>
      <c r="B1090">
        <v>2020</v>
      </c>
      <c r="C1090" t="str">
        <f>VLOOKUP(A1090,[2]Tabelle1!$A$1:$B$68,2,FALSE)</f>
        <v>Wesermarsch</v>
      </c>
      <c r="D1090" t="s">
        <v>2</v>
      </c>
      <c r="E1090" t="s">
        <v>4</v>
      </c>
      <c r="F1090" t="str">
        <f>VLOOKUP(A1090,[1]Kreise!$A$1:$C$53,3,FALSE)</f>
        <v>K03461</v>
      </c>
      <c r="G1090">
        <v>44</v>
      </c>
    </row>
    <row r="1091" spans="1:7" x14ac:dyDescent="0.25">
      <c r="A1091">
        <v>462</v>
      </c>
      <c r="B1091">
        <v>2020</v>
      </c>
      <c r="C1091" t="str">
        <f>VLOOKUP(A1091,[2]Tabelle1!$A$1:$B$68,2,FALSE)</f>
        <v>Wittmund</v>
      </c>
      <c r="D1091" t="s">
        <v>2</v>
      </c>
      <c r="E1091" t="s">
        <v>4</v>
      </c>
      <c r="F1091" t="str">
        <f>VLOOKUP(A1091,[1]Kreise!$A$1:$C$53,3,FALSE)</f>
        <v>K03462</v>
      </c>
      <c r="G1091">
        <v>21</v>
      </c>
    </row>
    <row r="1092" spans="1:7" x14ac:dyDescent="0.25">
      <c r="A1092">
        <v>4</v>
      </c>
      <c r="B1092">
        <v>2020</v>
      </c>
      <c r="C1092" t="str">
        <f>VLOOKUP(A1092,[2]Tabelle1!$A$1:$B$68,2,FALSE)</f>
        <v>Statistische Region Weser-Ems</v>
      </c>
      <c r="D1092" t="s">
        <v>2</v>
      </c>
      <c r="E1092" t="s">
        <v>4</v>
      </c>
      <c r="F1092" t="str">
        <f>VLOOKUP(A1092,[1]Kreise!$A$1:$C$53,3,FALSE)</f>
        <v>K034</v>
      </c>
      <c r="G1092">
        <v>1157</v>
      </c>
    </row>
    <row r="1093" spans="1:7" x14ac:dyDescent="0.25">
      <c r="A1093">
        <v>0</v>
      </c>
      <c r="B1093">
        <v>2020</v>
      </c>
      <c r="C1093" t="str">
        <f>VLOOKUP(A1093,[2]Tabelle1!$A$1:$B$68,2,FALSE)</f>
        <v>Niedersachsen</v>
      </c>
      <c r="D1093" t="s">
        <v>2</v>
      </c>
      <c r="E1093" t="s">
        <v>4</v>
      </c>
      <c r="F1093" t="str">
        <f>VLOOKUP(A1093,[1]Kreise!$A$1:$C$53,3,FALSE)</f>
        <v>K030</v>
      </c>
      <c r="G1093">
        <v>3396</v>
      </c>
    </row>
    <row r="1094" spans="1:7" x14ac:dyDescent="0.25">
      <c r="A1094">
        <v>101</v>
      </c>
      <c r="B1094">
        <v>2020</v>
      </c>
      <c r="C1094" t="str">
        <f>VLOOKUP(A1094,[2]Tabelle1!$A$1:$B$68,2,FALSE)</f>
        <v>Braunschweig  Stadt</v>
      </c>
      <c r="D1094" t="s">
        <v>3</v>
      </c>
      <c r="E1094" t="s">
        <v>4</v>
      </c>
      <c r="F1094" t="str">
        <f>VLOOKUP(A1094,[1]Kreise!$A$1:$C$53,3,FALSE)</f>
        <v>K03101</v>
      </c>
      <c r="G1094">
        <v>25</v>
      </c>
    </row>
    <row r="1095" spans="1:7" x14ac:dyDescent="0.25">
      <c r="A1095">
        <v>102</v>
      </c>
      <c r="B1095">
        <v>2020</v>
      </c>
      <c r="C1095" t="str">
        <f>VLOOKUP(A1095,[2]Tabelle1!$A$1:$B$68,2,FALSE)</f>
        <v>Salzgitter  Stadt</v>
      </c>
      <c r="D1095" t="s">
        <v>3</v>
      </c>
      <c r="E1095" t="s">
        <v>4</v>
      </c>
      <c r="F1095" t="str">
        <f>VLOOKUP(A1095,[1]Kreise!$A$1:$C$53,3,FALSE)</f>
        <v>K03102</v>
      </c>
      <c r="G1095">
        <v>56</v>
      </c>
    </row>
    <row r="1096" spans="1:7" x14ac:dyDescent="0.25">
      <c r="A1096">
        <v>103</v>
      </c>
      <c r="B1096">
        <v>2020</v>
      </c>
      <c r="C1096" t="str">
        <f>VLOOKUP(A1096,[2]Tabelle1!$A$1:$B$68,2,FALSE)</f>
        <v>Wolfsburg  Stadt</v>
      </c>
      <c r="D1096" t="s">
        <v>3</v>
      </c>
      <c r="E1096" t="s">
        <v>4</v>
      </c>
      <c r="F1096" t="str">
        <f>VLOOKUP(A1096,[1]Kreise!$A$1:$C$53,3,FALSE)</f>
        <v>K03103</v>
      </c>
      <c r="G1096">
        <v>11</v>
      </c>
    </row>
    <row r="1097" spans="1:7" x14ac:dyDescent="0.25">
      <c r="A1097">
        <v>151</v>
      </c>
      <c r="B1097">
        <v>2020</v>
      </c>
      <c r="C1097" t="str">
        <f>VLOOKUP(A1097,[2]Tabelle1!$A$1:$B$68,2,FALSE)</f>
        <v>Gifhorn</v>
      </c>
      <c r="D1097" t="s">
        <v>3</v>
      </c>
      <c r="E1097" t="s">
        <v>4</v>
      </c>
      <c r="F1097" t="str">
        <f>VLOOKUP(A1097,[1]Kreise!$A$1:$C$53,3,FALSE)</f>
        <v>K03151</v>
      </c>
      <c r="G1097">
        <v>14</v>
      </c>
    </row>
    <row r="1098" spans="1:7" x14ac:dyDescent="0.25">
      <c r="A1098">
        <v>153</v>
      </c>
      <c r="B1098">
        <v>2020</v>
      </c>
      <c r="C1098" t="str">
        <f>VLOOKUP(A1098,[2]Tabelle1!$A$1:$B$68,2,FALSE)</f>
        <v>Goslar</v>
      </c>
      <c r="D1098" t="s">
        <v>3</v>
      </c>
      <c r="E1098" t="s">
        <v>4</v>
      </c>
      <c r="F1098" t="str">
        <f>VLOOKUP(A1098,[1]Kreise!$A$1:$C$53,3,FALSE)</f>
        <v>K03153</v>
      </c>
      <c r="G1098">
        <v>25</v>
      </c>
    </row>
    <row r="1099" spans="1:7" x14ac:dyDescent="0.25">
      <c r="A1099">
        <v>154</v>
      </c>
      <c r="B1099">
        <v>2020</v>
      </c>
      <c r="C1099" t="str">
        <f>VLOOKUP(A1099,[2]Tabelle1!$A$1:$B$68,2,FALSE)</f>
        <v>Helmstedt</v>
      </c>
      <c r="D1099" t="s">
        <v>3</v>
      </c>
      <c r="E1099" t="s">
        <v>4</v>
      </c>
      <c r="F1099" t="str">
        <f>VLOOKUP(A1099,[1]Kreise!$A$1:$C$53,3,FALSE)</f>
        <v>K03154</v>
      </c>
      <c r="G1099">
        <v>7</v>
      </c>
    </row>
    <row r="1100" spans="1:7" x14ac:dyDescent="0.25">
      <c r="A1100">
        <v>155</v>
      </c>
      <c r="B1100">
        <v>2020</v>
      </c>
      <c r="C1100" t="str">
        <f>VLOOKUP(A1100,[2]Tabelle1!$A$1:$B$68,2,FALSE)</f>
        <v>Northeim</v>
      </c>
      <c r="D1100" t="s">
        <v>3</v>
      </c>
      <c r="E1100" t="s">
        <v>4</v>
      </c>
      <c r="F1100" t="str">
        <f>VLOOKUP(A1100,[1]Kreise!$A$1:$C$53,3,FALSE)</f>
        <v>K03155</v>
      </c>
      <c r="G1100">
        <v>12</v>
      </c>
    </row>
    <row r="1101" spans="1:7" x14ac:dyDescent="0.25">
      <c r="A1101">
        <v>157</v>
      </c>
      <c r="B1101">
        <v>2020</v>
      </c>
      <c r="C1101" t="str">
        <f>VLOOKUP(A1101,[2]Tabelle1!$A$1:$B$68,2,FALSE)</f>
        <v>Peine</v>
      </c>
      <c r="D1101" t="s">
        <v>3</v>
      </c>
      <c r="E1101" t="s">
        <v>4</v>
      </c>
      <c r="F1101" t="str">
        <f>VLOOKUP(A1101,[1]Kreise!$A$1:$C$53,3,FALSE)</f>
        <v>K03157</v>
      </c>
      <c r="G1101">
        <v>11</v>
      </c>
    </row>
    <row r="1102" spans="1:7" x14ac:dyDescent="0.25">
      <c r="A1102">
        <v>158</v>
      </c>
      <c r="B1102">
        <v>2020</v>
      </c>
      <c r="C1102" t="str">
        <f>VLOOKUP(A1102,[2]Tabelle1!$A$1:$B$68,2,FALSE)</f>
        <v>Wolfenbüttel</v>
      </c>
      <c r="D1102" t="s">
        <v>3</v>
      </c>
      <c r="E1102" t="s">
        <v>4</v>
      </c>
      <c r="F1102" t="str">
        <f>VLOOKUP(A1102,[1]Kreise!$A$1:$C$53,3,FALSE)</f>
        <v>K03158</v>
      </c>
      <c r="G1102">
        <v>6</v>
      </c>
    </row>
    <row r="1103" spans="1:7" x14ac:dyDescent="0.25">
      <c r="A1103">
        <v>159</v>
      </c>
      <c r="B1103">
        <v>2020</v>
      </c>
      <c r="C1103" t="str">
        <f>VLOOKUP(A1103,[2]Tabelle1!$A$1:$B$68,2,FALSE)</f>
        <v>Göttingen</v>
      </c>
      <c r="D1103" t="s">
        <v>3</v>
      </c>
      <c r="E1103" t="s">
        <v>4</v>
      </c>
      <c r="F1103" t="str">
        <f>VLOOKUP(A1103,[1]Kreise!$A$1:$C$53,3,FALSE)</f>
        <v>K03159</v>
      </c>
      <c r="G1103">
        <v>36</v>
      </c>
    </row>
    <row r="1104" spans="1:7" x14ac:dyDescent="0.25">
      <c r="A1104">
        <v>1</v>
      </c>
      <c r="B1104">
        <v>2020</v>
      </c>
      <c r="C1104" t="str">
        <f>VLOOKUP(A1104,[2]Tabelle1!$A$1:$B$68,2,FALSE)</f>
        <v>Statistische Region Braunschweig</v>
      </c>
      <c r="D1104" t="s">
        <v>3</v>
      </c>
      <c r="E1104" t="s">
        <v>4</v>
      </c>
      <c r="F1104" t="str">
        <f>VLOOKUP(A1104,[1]Kreise!$A$1:$C$53,3,FALSE)</f>
        <v>K031</v>
      </c>
      <c r="G1104">
        <v>203</v>
      </c>
    </row>
    <row r="1105" spans="1:7" x14ac:dyDescent="0.25">
      <c r="A1105">
        <v>241</v>
      </c>
      <c r="B1105">
        <v>2020</v>
      </c>
      <c r="C1105" t="str">
        <f>VLOOKUP(A1105,[2]Tabelle1!$A$1:$B$68,2,FALSE)</f>
        <v>Hannover  Region</v>
      </c>
      <c r="D1105" t="s">
        <v>3</v>
      </c>
      <c r="E1105" t="s">
        <v>4</v>
      </c>
      <c r="F1105" t="str">
        <f>VLOOKUP(A1105,[1]Kreise!$A$1:$C$53,3,FALSE)</f>
        <v>K03241</v>
      </c>
      <c r="G1105">
        <v>184</v>
      </c>
    </row>
    <row r="1106" spans="1:7" x14ac:dyDescent="0.25">
      <c r="A1106">
        <v>241001</v>
      </c>
      <c r="B1106">
        <v>2020</v>
      </c>
      <c r="C1106" t="str">
        <f>VLOOKUP(A1106,[2]Tabelle1!$A$1:$B$68,2,FALSE)</f>
        <v>dav. Hannover  Lhst.</v>
      </c>
      <c r="D1106" t="s">
        <v>3</v>
      </c>
      <c r="E1106" t="s">
        <v>4</v>
      </c>
      <c r="F1106" t="str">
        <f>VLOOKUP(A1106,[1]Kreise!$A$1:$C$53,3,FALSE)</f>
        <v>K03241001</v>
      </c>
      <c r="G1106">
        <v>98</v>
      </c>
    </row>
    <row r="1107" spans="1:7" x14ac:dyDescent="0.25">
      <c r="A1107">
        <v>241999</v>
      </c>
      <c r="B1107">
        <v>2020</v>
      </c>
      <c r="C1107" t="str">
        <f>VLOOKUP(A1107,[2]Tabelle1!$A$1:$B$68,2,FALSE)</f>
        <v>dav. Hannover  Umland</v>
      </c>
      <c r="D1107" t="s">
        <v>3</v>
      </c>
      <c r="E1107" t="s">
        <v>4</v>
      </c>
      <c r="F1107" t="str">
        <f>VLOOKUP(A1107,[1]Kreise!$A$1:$C$53,3,FALSE)</f>
        <v>K03241999</v>
      </c>
      <c r="G1107">
        <v>86</v>
      </c>
    </row>
    <row r="1108" spans="1:7" x14ac:dyDescent="0.25">
      <c r="A1108">
        <v>251</v>
      </c>
      <c r="B1108">
        <v>2020</v>
      </c>
      <c r="C1108" t="str">
        <f>VLOOKUP(A1108,[2]Tabelle1!$A$1:$B$68,2,FALSE)</f>
        <v>Diepholz</v>
      </c>
      <c r="D1108" t="s">
        <v>3</v>
      </c>
      <c r="E1108" t="s">
        <v>4</v>
      </c>
      <c r="F1108" t="str">
        <f>VLOOKUP(A1108,[1]Kreise!$A$1:$C$53,3,FALSE)</f>
        <v>K03251</v>
      </c>
      <c r="G1108">
        <v>33</v>
      </c>
    </row>
    <row r="1109" spans="1:7" x14ac:dyDescent="0.25">
      <c r="A1109">
        <v>252</v>
      </c>
      <c r="B1109">
        <v>2020</v>
      </c>
      <c r="C1109" t="str">
        <f>VLOOKUP(A1109,[2]Tabelle1!$A$1:$B$68,2,FALSE)</f>
        <v>Hameln-Pyrmont</v>
      </c>
      <c r="D1109" t="s">
        <v>3</v>
      </c>
      <c r="E1109" t="s">
        <v>4</v>
      </c>
      <c r="F1109" t="str">
        <f>VLOOKUP(A1109,[1]Kreise!$A$1:$C$53,3,FALSE)</f>
        <v>K03252</v>
      </c>
      <c r="G1109">
        <v>34</v>
      </c>
    </row>
    <row r="1110" spans="1:7" x14ac:dyDescent="0.25">
      <c r="A1110">
        <v>254</v>
      </c>
      <c r="B1110">
        <v>2020</v>
      </c>
      <c r="C1110" t="str">
        <f>VLOOKUP(A1110,[2]Tabelle1!$A$1:$B$68,2,FALSE)</f>
        <v>Hildesheim</v>
      </c>
      <c r="D1110" t="s">
        <v>3</v>
      </c>
      <c r="E1110" t="s">
        <v>4</v>
      </c>
      <c r="F1110" t="str">
        <f>VLOOKUP(A1110,[1]Kreise!$A$1:$C$53,3,FALSE)</f>
        <v>K03254</v>
      </c>
      <c r="G1110">
        <v>41</v>
      </c>
    </row>
    <row r="1111" spans="1:7" x14ac:dyDescent="0.25">
      <c r="A1111">
        <v>255</v>
      </c>
      <c r="B1111">
        <v>2020</v>
      </c>
      <c r="C1111" t="str">
        <f>VLOOKUP(A1111,[2]Tabelle1!$A$1:$B$68,2,FALSE)</f>
        <v>Holzminden</v>
      </c>
      <c r="D1111" t="s">
        <v>3</v>
      </c>
      <c r="E1111" t="s">
        <v>4</v>
      </c>
      <c r="F1111" t="str">
        <f>VLOOKUP(A1111,[1]Kreise!$A$1:$C$53,3,FALSE)</f>
        <v>K03255</v>
      </c>
      <c r="G1111">
        <v>7</v>
      </c>
    </row>
    <row r="1112" spans="1:7" x14ac:dyDescent="0.25">
      <c r="A1112">
        <v>256</v>
      </c>
      <c r="B1112">
        <v>2020</v>
      </c>
      <c r="C1112" t="str">
        <f>VLOOKUP(A1112,[2]Tabelle1!$A$1:$B$68,2,FALSE)</f>
        <v>Nienburg (Weser)</v>
      </c>
      <c r="D1112" t="s">
        <v>3</v>
      </c>
      <c r="E1112" t="s">
        <v>4</v>
      </c>
      <c r="F1112" t="str">
        <f>VLOOKUP(A1112,[1]Kreise!$A$1:$C$53,3,FALSE)</f>
        <v>K03256</v>
      </c>
      <c r="G1112">
        <v>18</v>
      </c>
    </row>
    <row r="1113" spans="1:7" x14ac:dyDescent="0.25">
      <c r="A1113">
        <v>257</v>
      </c>
      <c r="B1113">
        <v>2020</v>
      </c>
      <c r="C1113" t="str">
        <f>VLOOKUP(A1113,[2]Tabelle1!$A$1:$B$68,2,FALSE)</f>
        <v>Schaumburg</v>
      </c>
      <c r="D1113" t="s">
        <v>3</v>
      </c>
      <c r="E1113" t="s">
        <v>4</v>
      </c>
      <c r="F1113" t="str">
        <f>VLOOKUP(A1113,[1]Kreise!$A$1:$C$53,3,FALSE)</f>
        <v>K03257</v>
      </c>
      <c r="G1113">
        <v>21</v>
      </c>
    </row>
    <row r="1114" spans="1:7" x14ac:dyDescent="0.25">
      <c r="A1114">
        <v>2</v>
      </c>
      <c r="B1114">
        <v>2020</v>
      </c>
      <c r="C1114" t="str">
        <f>VLOOKUP(A1114,[2]Tabelle1!$A$1:$B$68,2,FALSE)</f>
        <v>Statistische Region Hannover</v>
      </c>
      <c r="D1114" t="s">
        <v>3</v>
      </c>
      <c r="E1114" t="s">
        <v>4</v>
      </c>
      <c r="F1114" t="str">
        <f>VLOOKUP(A1114,[1]Kreise!$A$1:$C$53,3,FALSE)</f>
        <v>K032</v>
      </c>
      <c r="G1114">
        <v>338</v>
      </c>
    </row>
    <row r="1115" spans="1:7" x14ac:dyDescent="0.25">
      <c r="A1115">
        <v>351</v>
      </c>
      <c r="B1115">
        <v>2020</v>
      </c>
      <c r="C1115" t="str">
        <f>VLOOKUP(A1115,[2]Tabelle1!$A$1:$B$68,2,FALSE)</f>
        <v>Celle</v>
      </c>
      <c r="D1115" t="s">
        <v>3</v>
      </c>
      <c r="E1115" t="s">
        <v>4</v>
      </c>
      <c r="F1115" t="str">
        <f>VLOOKUP(A1115,[1]Kreise!$A$1:$C$53,3,FALSE)</f>
        <v>K03351</v>
      </c>
      <c r="G1115">
        <v>30</v>
      </c>
    </row>
    <row r="1116" spans="1:7" x14ac:dyDescent="0.25">
      <c r="A1116">
        <v>352</v>
      </c>
      <c r="B1116">
        <v>2020</v>
      </c>
      <c r="C1116" t="str">
        <f>VLOOKUP(A1116,[2]Tabelle1!$A$1:$B$68,2,FALSE)</f>
        <v>Cuxhaven</v>
      </c>
      <c r="D1116" t="s">
        <v>3</v>
      </c>
      <c r="E1116" t="s">
        <v>4</v>
      </c>
      <c r="F1116" t="str">
        <f>VLOOKUP(A1116,[1]Kreise!$A$1:$C$53,3,FALSE)</f>
        <v>K03352</v>
      </c>
      <c r="G1116">
        <v>26</v>
      </c>
    </row>
    <row r="1117" spans="1:7" x14ac:dyDescent="0.25">
      <c r="A1117">
        <v>353</v>
      </c>
      <c r="B1117">
        <v>2020</v>
      </c>
      <c r="C1117" t="str">
        <f>VLOOKUP(A1117,[2]Tabelle1!$A$1:$B$68,2,FALSE)</f>
        <v>Harburg</v>
      </c>
      <c r="D1117" t="s">
        <v>3</v>
      </c>
      <c r="E1117" t="s">
        <v>4</v>
      </c>
      <c r="F1117" t="str">
        <f>VLOOKUP(A1117,[1]Kreise!$A$1:$C$53,3,FALSE)</f>
        <v>K03353</v>
      </c>
      <c r="G1117">
        <v>20</v>
      </c>
    </row>
    <row r="1118" spans="1:7" x14ac:dyDescent="0.25">
      <c r="A1118">
        <v>354</v>
      </c>
      <c r="B1118">
        <v>2020</v>
      </c>
      <c r="C1118" t="str">
        <f>VLOOKUP(A1118,[2]Tabelle1!$A$1:$B$68,2,FALSE)</f>
        <v>Lüchow-Dannenberg</v>
      </c>
      <c r="D1118" t="s">
        <v>3</v>
      </c>
      <c r="E1118" t="s">
        <v>4</v>
      </c>
      <c r="F1118" t="str">
        <f>VLOOKUP(A1118,[1]Kreise!$A$1:$C$53,3,FALSE)</f>
        <v>K03354</v>
      </c>
      <c r="G1118">
        <v>5</v>
      </c>
    </row>
    <row r="1119" spans="1:7" x14ac:dyDescent="0.25">
      <c r="A1119">
        <v>355</v>
      </c>
      <c r="B1119">
        <v>2020</v>
      </c>
      <c r="C1119" t="str">
        <f>VLOOKUP(A1119,[2]Tabelle1!$A$1:$B$68,2,FALSE)</f>
        <v>Lüneburg</v>
      </c>
      <c r="D1119" t="s">
        <v>3</v>
      </c>
      <c r="E1119" t="s">
        <v>4</v>
      </c>
      <c r="F1119" t="str">
        <f>VLOOKUP(A1119,[1]Kreise!$A$1:$C$53,3,FALSE)</f>
        <v>K03355</v>
      </c>
      <c r="G1119">
        <v>17</v>
      </c>
    </row>
    <row r="1120" spans="1:7" x14ac:dyDescent="0.25">
      <c r="A1120">
        <v>356</v>
      </c>
      <c r="B1120">
        <v>2020</v>
      </c>
      <c r="C1120" t="str">
        <f>VLOOKUP(A1120,[2]Tabelle1!$A$1:$B$68,2,FALSE)</f>
        <v>Osterholz</v>
      </c>
      <c r="D1120" t="s">
        <v>3</v>
      </c>
      <c r="E1120" t="s">
        <v>4</v>
      </c>
      <c r="F1120" t="str">
        <f>VLOOKUP(A1120,[1]Kreise!$A$1:$C$53,3,FALSE)</f>
        <v>K03356</v>
      </c>
      <c r="G1120">
        <v>13</v>
      </c>
    </row>
    <row r="1121" spans="1:7" x14ac:dyDescent="0.25">
      <c r="A1121">
        <v>357</v>
      </c>
      <c r="B1121">
        <v>2020</v>
      </c>
      <c r="C1121" t="str">
        <f>VLOOKUP(A1121,[2]Tabelle1!$A$1:$B$68,2,FALSE)</f>
        <v>Rotenburg (Wümme)</v>
      </c>
      <c r="D1121" t="s">
        <v>3</v>
      </c>
      <c r="E1121" t="s">
        <v>4</v>
      </c>
      <c r="F1121" t="str">
        <f>VLOOKUP(A1121,[1]Kreise!$A$1:$C$53,3,FALSE)</f>
        <v>K03357</v>
      </c>
      <c r="G1121">
        <v>30</v>
      </c>
    </row>
    <row r="1122" spans="1:7" x14ac:dyDescent="0.25">
      <c r="A1122">
        <v>358</v>
      </c>
      <c r="B1122">
        <v>2020</v>
      </c>
      <c r="C1122" t="str">
        <f>VLOOKUP(A1122,[2]Tabelle1!$A$1:$B$68,2,FALSE)</f>
        <v>Heidekreis</v>
      </c>
      <c r="D1122" t="s">
        <v>3</v>
      </c>
      <c r="E1122" t="s">
        <v>4</v>
      </c>
      <c r="F1122" t="str">
        <f>VLOOKUP(A1122,[1]Kreise!$A$1:$C$53,3,FALSE)</f>
        <v>K03358</v>
      </c>
      <c r="G1122">
        <v>7</v>
      </c>
    </row>
    <row r="1123" spans="1:7" x14ac:dyDescent="0.25">
      <c r="A1123">
        <v>359</v>
      </c>
      <c r="B1123">
        <v>2020</v>
      </c>
      <c r="C1123" t="str">
        <f>VLOOKUP(A1123,[2]Tabelle1!$A$1:$B$68,2,FALSE)</f>
        <v>Stade</v>
      </c>
      <c r="D1123" t="s">
        <v>3</v>
      </c>
      <c r="E1123" t="s">
        <v>4</v>
      </c>
      <c r="F1123" t="str">
        <f>VLOOKUP(A1123,[1]Kreise!$A$1:$C$53,3,FALSE)</f>
        <v>K03359</v>
      </c>
      <c r="G1123">
        <v>51</v>
      </c>
    </row>
    <row r="1124" spans="1:7" x14ac:dyDescent="0.25">
      <c r="A1124">
        <v>360</v>
      </c>
      <c r="B1124">
        <v>2020</v>
      </c>
      <c r="C1124" t="str">
        <f>VLOOKUP(A1124,[2]Tabelle1!$A$1:$B$68,2,FALSE)</f>
        <v>Uelzen</v>
      </c>
      <c r="D1124" t="s">
        <v>3</v>
      </c>
      <c r="E1124" t="s">
        <v>4</v>
      </c>
      <c r="F1124" t="str">
        <f>VLOOKUP(A1124,[1]Kreise!$A$1:$C$53,3,FALSE)</f>
        <v>K03360</v>
      </c>
      <c r="G1124">
        <v>6</v>
      </c>
    </row>
    <row r="1125" spans="1:7" x14ac:dyDescent="0.25">
      <c r="A1125">
        <v>361</v>
      </c>
      <c r="B1125">
        <v>2020</v>
      </c>
      <c r="C1125" t="str">
        <f>VLOOKUP(A1125,[2]Tabelle1!$A$1:$B$68,2,FALSE)</f>
        <v>Verden</v>
      </c>
      <c r="D1125" t="s">
        <v>3</v>
      </c>
      <c r="E1125" t="s">
        <v>4</v>
      </c>
      <c r="F1125" t="str">
        <f>VLOOKUP(A1125,[1]Kreise!$A$1:$C$53,3,FALSE)</f>
        <v>K03361</v>
      </c>
      <c r="G1125">
        <v>8</v>
      </c>
    </row>
    <row r="1126" spans="1:7" x14ac:dyDescent="0.25">
      <c r="A1126">
        <v>3</v>
      </c>
      <c r="B1126">
        <v>2020</v>
      </c>
      <c r="C1126" t="str">
        <f>VLOOKUP(A1126,[2]Tabelle1!$A$1:$B$68,2,FALSE)</f>
        <v>Statistische Region Lüneburg</v>
      </c>
      <c r="D1126" t="s">
        <v>3</v>
      </c>
      <c r="E1126" t="s">
        <v>4</v>
      </c>
      <c r="F1126" t="str">
        <f>VLOOKUP(A1126,[1]Kreise!$A$1:$C$53,3,FALSE)</f>
        <v>K033</v>
      </c>
      <c r="G1126">
        <v>213</v>
      </c>
    </row>
    <row r="1127" spans="1:7" x14ac:dyDescent="0.25">
      <c r="A1127">
        <v>401</v>
      </c>
      <c r="B1127">
        <v>2020</v>
      </c>
      <c r="C1127" t="str">
        <f>VLOOKUP(A1127,[2]Tabelle1!$A$1:$B$68,2,FALSE)</f>
        <v>Delmenhorst  Stadt</v>
      </c>
      <c r="D1127" t="s">
        <v>3</v>
      </c>
      <c r="E1127" t="s">
        <v>4</v>
      </c>
      <c r="F1127" t="str">
        <f>VLOOKUP(A1127,[1]Kreise!$A$1:$C$53,3,FALSE)</f>
        <v>K03401</v>
      </c>
      <c r="G1127">
        <v>24</v>
      </c>
    </row>
    <row r="1128" spans="1:7" x14ac:dyDescent="0.25">
      <c r="A1128">
        <v>402</v>
      </c>
      <c r="B1128">
        <v>2020</v>
      </c>
      <c r="C1128" t="str">
        <f>VLOOKUP(A1128,[2]Tabelle1!$A$1:$B$68,2,FALSE)</f>
        <v>Emden  Stadt</v>
      </c>
      <c r="D1128" t="s">
        <v>3</v>
      </c>
      <c r="E1128" t="s">
        <v>4</v>
      </c>
      <c r="F1128" t="str">
        <f>VLOOKUP(A1128,[1]Kreise!$A$1:$C$53,3,FALSE)</f>
        <v>K03402</v>
      </c>
      <c r="G1128">
        <v>18</v>
      </c>
    </row>
    <row r="1129" spans="1:7" x14ac:dyDescent="0.25">
      <c r="A1129">
        <v>403</v>
      </c>
      <c r="B1129">
        <v>2020</v>
      </c>
      <c r="C1129" t="str">
        <f>VLOOKUP(A1129,[2]Tabelle1!$A$1:$B$68,2,FALSE)</f>
        <v>Oldenburg(Oldb)  Stadt</v>
      </c>
      <c r="D1129" t="s">
        <v>3</v>
      </c>
      <c r="E1129" t="s">
        <v>4</v>
      </c>
      <c r="F1129" t="str">
        <f>VLOOKUP(A1129,[1]Kreise!$A$1:$C$53,3,FALSE)</f>
        <v>K03403</v>
      </c>
      <c r="G1129">
        <v>29</v>
      </c>
    </row>
    <row r="1130" spans="1:7" x14ac:dyDescent="0.25">
      <c r="A1130">
        <v>404</v>
      </c>
      <c r="B1130">
        <v>2020</v>
      </c>
      <c r="C1130" t="str">
        <f>VLOOKUP(A1130,[2]Tabelle1!$A$1:$B$68,2,FALSE)</f>
        <v>Osnabrück  Stadt</v>
      </c>
      <c r="D1130" t="s">
        <v>3</v>
      </c>
      <c r="E1130" t="s">
        <v>4</v>
      </c>
      <c r="F1130" t="str">
        <f>VLOOKUP(A1130,[1]Kreise!$A$1:$C$53,3,FALSE)</f>
        <v>K03404</v>
      </c>
      <c r="G1130">
        <v>36</v>
      </c>
    </row>
    <row r="1131" spans="1:7" x14ac:dyDescent="0.25">
      <c r="A1131">
        <v>405</v>
      </c>
      <c r="B1131">
        <v>2020</v>
      </c>
      <c r="C1131" t="str">
        <f>VLOOKUP(A1131,[2]Tabelle1!$A$1:$B$68,2,FALSE)</f>
        <v>Wilhelmshaven  Stadt</v>
      </c>
      <c r="D1131" t="s">
        <v>3</v>
      </c>
      <c r="E1131" t="s">
        <v>4</v>
      </c>
      <c r="F1131" t="str">
        <f>VLOOKUP(A1131,[1]Kreise!$A$1:$C$53,3,FALSE)</f>
        <v>K03405</v>
      </c>
      <c r="G1131">
        <v>8</v>
      </c>
    </row>
    <row r="1132" spans="1:7" x14ac:dyDescent="0.25">
      <c r="A1132">
        <v>451</v>
      </c>
      <c r="B1132">
        <v>2020</v>
      </c>
      <c r="C1132" t="str">
        <f>VLOOKUP(A1132,[2]Tabelle1!$A$1:$B$68,2,FALSE)</f>
        <v>Ammerland</v>
      </c>
      <c r="D1132" t="s">
        <v>3</v>
      </c>
      <c r="E1132" t="s">
        <v>4</v>
      </c>
      <c r="F1132" t="str">
        <f>VLOOKUP(A1132,[1]Kreise!$A$1:$C$53,3,FALSE)</f>
        <v>K03451</v>
      </c>
      <c r="G1132">
        <v>9</v>
      </c>
    </row>
    <row r="1133" spans="1:7" x14ac:dyDescent="0.25">
      <c r="A1133">
        <v>452</v>
      </c>
      <c r="B1133">
        <v>2020</v>
      </c>
      <c r="C1133" t="str">
        <f>VLOOKUP(A1133,[2]Tabelle1!$A$1:$B$68,2,FALSE)</f>
        <v>Aurich</v>
      </c>
      <c r="D1133" t="s">
        <v>3</v>
      </c>
      <c r="E1133" t="s">
        <v>4</v>
      </c>
      <c r="F1133" t="str">
        <f>VLOOKUP(A1133,[1]Kreise!$A$1:$C$53,3,FALSE)</f>
        <v>K03452</v>
      </c>
      <c r="G1133">
        <v>16</v>
      </c>
    </row>
    <row r="1134" spans="1:7" x14ac:dyDescent="0.25">
      <c r="A1134">
        <v>453</v>
      </c>
      <c r="B1134">
        <v>2020</v>
      </c>
      <c r="C1134" t="str">
        <f>VLOOKUP(A1134,[2]Tabelle1!$A$1:$B$68,2,FALSE)</f>
        <v>Cloppenburg</v>
      </c>
      <c r="D1134" t="s">
        <v>3</v>
      </c>
      <c r="E1134" t="s">
        <v>4</v>
      </c>
      <c r="F1134" t="str">
        <f>VLOOKUP(A1134,[1]Kreise!$A$1:$C$53,3,FALSE)</f>
        <v>K03453</v>
      </c>
      <c r="G1134">
        <v>40</v>
      </c>
    </row>
    <row r="1135" spans="1:7" x14ac:dyDescent="0.25">
      <c r="A1135">
        <v>454</v>
      </c>
      <c r="B1135">
        <v>2020</v>
      </c>
      <c r="C1135" t="str">
        <f>VLOOKUP(A1135,[2]Tabelle1!$A$1:$B$68,2,FALSE)</f>
        <v>Emsland</v>
      </c>
      <c r="D1135" t="s">
        <v>3</v>
      </c>
      <c r="E1135" t="s">
        <v>4</v>
      </c>
      <c r="F1135" t="str">
        <f>VLOOKUP(A1135,[1]Kreise!$A$1:$C$53,3,FALSE)</f>
        <v>K03454</v>
      </c>
      <c r="G1135">
        <v>72</v>
      </c>
    </row>
    <row r="1136" spans="1:7" x14ac:dyDescent="0.25">
      <c r="A1136">
        <v>455</v>
      </c>
      <c r="B1136">
        <v>2020</v>
      </c>
      <c r="C1136" t="str">
        <f>VLOOKUP(A1136,[2]Tabelle1!$A$1:$B$68,2,FALSE)</f>
        <v>Friesland</v>
      </c>
      <c r="D1136" t="s">
        <v>3</v>
      </c>
      <c r="E1136" t="s">
        <v>4</v>
      </c>
      <c r="F1136" t="str">
        <f>VLOOKUP(A1136,[1]Kreise!$A$1:$C$53,3,FALSE)</f>
        <v>K03455</v>
      </c>
      <c r="G1136">
        <v>10</v>
      </c>
    </row>
    <row r="1137" spans="1:7" x14ac:dyDescent="0.25">
      <c r="A1137">
        <v>456</v>
      </c>
      <c r="B1137">
        <v>2020</v>
      </c>
      <c r="C1137" t="str">
        <f>VLOOKUP(A1137,[2]Tabelle1!$A$1:$B$68,2,FALSE)</f>
        <v>Grafschaft Bentheim</v>
      </c>
      <c r="D1137" t="s">
        <v>3</v>
      </c>
      <c r="E1137" t="s">
        <v>4</v>
      </c>
      <c r="F1137" t="str">
        <f>VLOOKUP(A1137,[1]Kreise!$A$1:$C$53,3,FALSE)</f>
        <v>K03456</v>
      </c>
      <c r="G1137">
        <v>26</v>
      </c>
    </row>
    <row r="1138" spans="1:7" x14ac:dyDescent="0.25">
      <c r="A1138">
        <v>457</v>
      </c>
      <c r="B1138">
        <v>2020</v>
      </c>
      <c r="C1138" t="str">
        <f>VLOOKUP(A1138,[2]Tabelle1!$A$1:$B$68,2,FALSE)</f>
        <v>Leer</v>
      </c>
      <c r="D1138" t="s">
        <v>3</v>
      </c>
      <c r="E1138" t="s">
        <v>4</v>
      </c>
      <c r="F1138" t="str">
        <f>VLOOKUP(A1138,[1]Kreise!$A$1:$C$53,3,FALSE)</f>
        <v>K03457</v>
      </c>
      <c r="G1138">
        <v>31</v>
      </c>
    </row>
    <row r="1139" spans="1:7" x14ac:dyDescent="0.25">
      <c r="A1139">
        <v>458</v>
      </c>
      <c r="B1139">
        <v>2020</v>
      </c>
      <c r="C1139" t="str">
        <f>VLOOKUP(A1139,[2]Tabelle1!$A$1:$B$68,2,FALSE)</f>
        <v>Oldenburg</v>
      </c>
      <c r="D1139" t="s">
        <v>3</v>
      </c>
      <c r="E1139" t="s">
        <v>4</v>
      </c>
      <c r="F1139" t="str">
        <f>VLOOKUP(A1139,[1]Kreise!$A$1:$C$53,3,FALSE)</f>
        <v>K03458</v>
      </c>
      <c r="G1139">
        <v>18</v>
      </c>
    </row>
    <row r="1140" spans="1:7" x14ac:dyDescent="0.25">
      <c r="A1140">
        <v>459</v>
      </c>
      <c r="B1140">
        <v>2020</v>
      </c>
      <c r="C1140" t="str">
        <f>VLOOKUP(A1140,[2]Tabelle1!$A$1:$B$68,2,FALSE)</f>
        <v>Osnabrück</v>
      </c>
      <c r="D1140" t="s">
        <v>3</v>
      </c>
      <c r="E1140" t="s">
        <v>4</v>
      </c>
      <c r="F1140" t="str">
        <f>VLOOKUP(A1140,[1]Kreise!$A$1:$C$53,3,FALSE)</f>
        <v>K03459</v>
      </c>
      <c r="G1140">
        <v>69</v>
      </c>
    </row>
    <row r="1141" spans="1:7" x14ac:dyDescent="0.25">
      <c r="A1141">
        <v>460</v>
      </c>
      <c r="B1141">
        <v>2020</v>
      </c>
      <c r="C1141" t="str">
        <f>VLOOKUP(A1141,[2]Tabelle1!$A$1:$B$68,2,FALSE)</f>
        <v>Vechta</v>
      </c>
      <c r="D1141" t="s">
        <v>3</v>
      </c>
      <c r="E1141" t="s">
        <v>4</v>
      </c>
      <c r="F1141" t="str">
        <f>VLOOKUP(A1141,[1]Kreise!$A$1:$C$53,3,FALSE)</f>
        <v>K03460</v>
      </c>
      <c r="G1141">
        <v>39</v>
      </c>
    </row>
    <row r="1142" spans="1:7" x14ac:dyDescent="0.25">
      <c r="A1142">
        <v>461</v>
      </c>
      <c r="B1142">
        <v>2020</v>
      </c>
      <c r="C1142" t="str">
        <f>VLOOKUP(A1142,[2]Tabelle1!$A$1:$B$68,2,FALSE)</f>
        <v>Wesermarsch</v>
      </c>
      <c r="D1142" t="s">
        <v>3</v>
      </c>
      <c r="E1142" t="s">
        <v>4</v>
      </c>
      <c r="F1142" t="str">
        <f>VLOOKUP(A1142,[1]Kreise!$A$1:$C$53,3,FALSE)</f>
        <v>K03461</v>
      </c>
      <c r="G1142">
        <v>11</v>
      </c>
    </row>
    <row r="1143" spans="1:7" x14ac:dyDescent="0.25">
      <c r="A1143">
        <v>462</v>
      </c>
      <c r="B1143">
        <v>2020</v>
      </c>
      <c r="C1143" t="str">
        <f>VLOOKUP(A1143,[2]Tabelle1!$A$1:$B$68,2,FALSE)</f>
        <v>Wittmund</v>
      </c>
      <c r="D1143" t="s">
        <v>3</v>
      </c>
      <c r="E1143" t="s">
        <v>4</v>
      </c>
      <c r="F1143" t="str">
        <f>VLOOKUP(A1143,[1]Kreise!$A$1:$C$53,3,FALSE)</f>
        <v>K03462</v>
      </c>
      <c r="G1143">
        <v>6</v>
      </c>
    </row>
    <row r="1144" spans="1:7" x14ac:dyDescent="0.25">
      <c r="A1144">
        <v>4</v>
      </c>
      <c r="B1144">
        <v>2020</v>
      </c>
      <c r="C1144" t="str">
        <f>VLOOKUP(A1144,[2]Tabelle1!$A$1:$B$68,2,FALSE)</f>
        <v>Statistische Region Weser-Ems</v>
      </c>
      <c r="D1144" t="s">
        <v>3</v>
      </c>
      <c r="E1144" t="s">
        <v>4</v>
      </c>
      <c r="F1144" t="str">
        <f>VLOOKUP(A1144,[1]Kreise!$A$1:$C$53,3,FALSE)</f>
        <v>K034</v>
      </c>
      <c r="G1144">
        <v>462</v>
      </c>
    </row>
    <row r="1145" spans="1:7" x14ac:dyDescent="0.25">
      <c r="A1145">
        <v>0</v>
      </c>
      <c r="B1145">
        <v>2020</v>
      </c>
      <c r="C1145" t="str">
        <f>VLOOKUP(A1145,[2]Tabelle1!$A$1:$B$68,2,FALSE)</f>
        <v>Niedersachsen</v>
      </c>
      <c r="D1145" t="s">
        <v>3</v>
      </c>
      <c r="E1145" t="s">
        <v>4</v>
      </c>
      <c r="F1145" t="str">
        <f>VLOOKUP(A1145,[1]Kreise!$A$1:$C$53,3,FALSE)</f>
        <v>K030</v>
      </c>
      <c r="G1145">
        <v>1216</v>
      </c>
    </row>
    <row r="1146" spans="1:7" x14ac:dyDescent="0.25">
      <c r="A1146">
        <v>101</v>
      </c>
      <c r="B1146">
        <v>2005</v>
      </c>
      <c r="C1146" t="str">
        <f>VLOOKUP(A1146,[2]Tabelle1!$A$1:$B$68,2,FALSE)</f>
        <v>Braunschweig  Stadt</v>
      </c>
      <c r="D1146" t="s">
        <v>2</v>
      </c>
      <c r="E1146" t="s">
        <v>162</v>
      </c>
      <c r="F1146" t="str">
        <f>VLOOKUP(A1146,[1]Kreise!$A$1:$C$53,3,FALSE)</f>
        <v>K03101</v>
      </c>
      <c r="G1146">
        <v>7.2246065808297564</v>
      </c>
    </row>
    <row r="1147" spans="1:7" x14ac:dyDescent="0.25">
      <c r="A1147">
        <v>102</v>
      </c>
      <c r="B1147">
        <v>2005</v>
      </c>
      <c r="C1147" t="str">
        <f>VLOOKUP(A1147,[2]Tabelle1!$A$1:$B$68,2,FALSE)</f>
        <v>Salzgitter  Stadt</v>
      </c>
      <c r="D1147" t="s">
        <v>2</v>
      </c>
      <c r="E1147" t="s">
        <v>162</v>
      </c>
      <c r="F1147" t="str">
        <f>VLOOKUP(A1147,[1]Kreise!$A$1:$C$53,3,FALSE)</f>
        <v>K03102</v>
      </c>
      <c r="G1147">
        <v>5.5656934306569346</v>
      </c>
    </row>
    <row r="1148" spans="1:7" x14ac:dyDescent="0.25">
      <c r="A1148">
        <v>103</v>
      </c>
      <c r="B1148">
        <v>2005</v>
      </c>
      <c r="C1148" t="str">
        <f>VLOOKUP(A1148,[2]Tabelle1!$A$1:$B$68,2,FALSE)</f>
        <v>Wolfsburg  Stadt</v>
      </c>
      <c r="D1148" t="s">
        <v>2</v>
      </c>
      <c r="E1148" t="s">
        <v>162</v>
      </c>
      <c r="F1148" t="str">
        <f>VLOOKUP(A1148,[1]Kreise!$A$1:$C$53,3,FALSE)</f>
        <v>K03103</v>
      </c>
      <c r="G1148">
        <v>5.9589041095890405</v>
      </c>
    </row>
    <row r="1149" spans="1:7" x14ac:dyDescent="0.25">
      <c r="A1149">
        <v>151</v>
      </c>
      <c r="B1149">
        <v>2005</v>
      </c>
      <c r="C1149" t="str">
        <f>VLOOKUP(A1149,[2]Tabelle1!$A$1:$B$68,2,FALSE)</f>
        <v>Gifhorn</v>
      </c>
      <c r="D1149" t="s">
        <v>2</v>
      </c>
      <c r="E1149" t="s">
        <v>162</v>
      </c>
      <c r="F1149" t="str">
        <f>VLOOKUP(A1149,[1]Kreise!$A$1:$C$53,3,FALSE)</f>
        <v>K03151</v>
      </c>
      <c r="G1149">
        <v>5.8913153885220924</v>
      </c>
    </row>
    <row r="1150" spans="1:7" x14ac:dyDescent="0.25">
      <c r="A1150">
        <v>153</v>
      </c>
      <c r="B1150">
        <v>2005</v>
      </c>
      <c r="C1150" t="str">
        <f>VLOOKUP(A1150,[2]Tabelle1!$A$1:$B$68,2,FALSE)</f>
        <v>Goslar</v>
      </c>
      <c r="D1150" t="s">
        <v>2</v>
      </c>
      <c r="E1150" t="s">
        <v>162</v>
      </c>
      <c r="F1150" t="str">
        <f>VLOOKUP(A1150,[1]Kreise!$A$1:$C$53,3,FALSE)</f>
        <v>K03153</v>
      </c>
      <c r="G1150">
        <v>10.68289384719405</v>
      </c>
    </row>
    <row r="1151" spans="1:7" x14ac:dyDescent="0.25">
      <c r="A1151">
        <v>154</v>
      </c>
      <c r="B1151">
        <v>2005</v>
      </c>
      <c r="C1151" t="str">
        <f>VLOOKUP(A1151,[2]Tabelle1!$A$1:$B$68,2,FALSE)</f>
        <v>Helmstedt</v>
      </c>
      <c r="D1151" t="s">
        <v>2</v>
      </c>
      <c r="E1151" t="s">
        <v>162</v>
      </c>
      <c r="F1151" t="str">
        <f>VLOOKUP(A1151,[1]Kreise!$A$1:$C$53,3,FALSE)</f>
        <v>K03154</v>
      </c>
      <c r="G1151">
        <v>7.0873786407766994</v>
      </c>
    </row>
    <row r="1152" spans="1:7" x14ac:dyDescent="0.25">
      <c r="A1152">
        <v>155</v>
      </c>
      <c r="B1152">
        <v>2005</v>
      </c>
      <c r="C1152" t="str">
        <f>VLOOKUP(A1152,[2]Tabelle1!$A$1:$B$68,2,FALSE)</f>
        <v>Northeim</v>
      </c>
      <c r="D1152" t="s">
        <v>2</v>
      </c>
      <c r="E1152" t="s">
        <v>162</v>
      </c>
      <c r="F1152" t="str">
        <f>VLOOKUP(A1152,[1]Kreise!$A$1:$C$53,3,FALSE)</f>
        <v>K03155</v>
      </c>
      <c r="G1152">
        <v>8.596713021491782</v>
      </c>
    </row>
    <row r="1153" spans="1:7" x14ac:dyDescent="0.25">
      <c r="A1153">
        <v>157</v>
      </c>
      <c r="B1153">
        <v>2005</v>
      </c>
      <c r="C1153" t="str">
        <f>VLOOKUP(A1153,[2]Tabelle1!$A$1:$B$68,2,FALSE)</f>
        <v>Peine</v>
      </c>
      <c r="D1153" t="s">
        <v>2</v>
      </c>
      <c r="E1153" t="s">
        <v>162</v>
      </c>
      <c r="F1153" t="str">
        <f>VLOOKUP(A1153,[1]Kreise!$A$1:$C$53,3,FALSE)</f>
        <v>K03157</v>
      </c>
      <c r="G1153">
        <v>8.5450346420323324</v>
      </c>
    </row>
    <row r="1154" spans="1:7" x14ac:dyDescent="0.25">
      <c r="A1154">
        <v>158</v>
      </c>
      <c r="B1154">
        <v>2005</v>
      </c>
      <c r="C1154" t="str">
        <f>VLOOKUP(A1154,[2]Tabelle1!$A$1:$B$68,2,FALSE)</f>
        <v>Wolfenbüttel</v>
      </c>
      <c r="D1154" t="s">
        <v>2</v>
      </c>
      <c r="E1154" t="s">
        <v>162</v>
      </c>
      <c r="F1154" t="str">
        <f>VLOOKUP(A1154,[1]Kreise!$A$1:$C$53,3,FALSE)</f>
        <v>K03158</v>
      </c>
      <c r="G1154">
        <v>6.487488415199258</v>
      </c>
    </row>
    <row r="1155" spans="1:7" x14ac:dyDescent="0.25">
      <c r="A1155">
        <v>159</v>
      </c>
      <c r="B1155">
        <v>2005</v>
      </c>
      <c r="C1155" t="str">
        <f>VLOOKUP(A1155,[2]Tabelle1!$A$1:$B$68,2,FALSE)</f>
        <v>Göttingen</v>
      </c>
      <c r="D1155" t="s">
        <v>2</v>
      </c>
      <c r="E1155" t="s">
        <v>162</v>
      </c>
      <c r="F1155" t="str">
        <f>VLOOKUP(A1155,[1]Kreise!$A$1:$C$53,3,FALSE)</f>
        <v>K03159</v>
      </c>
      <c r="G1155">
        <v>7.8176795580110499</v>
      </c>
    </row>
    <row r="1156" spans="1:7" x14ac:dyDescent="0.25">
      <c r="A1156">
        <v>1</v>
      </c>
      <c r="B1156">
        <v>2005</v>
      </c>
      <c r="C1156" t="str">
        <f>VLOOKUP(A1156,[2]Tabelle1!$A$1:$B$68,2,FALSE)</f>
        <v>Statistische Region Braunschweig</v>
      </c>
      <c r="D1156" t="s">
        <v>2</v>
      </c>
      <c r="E1156" t="s">
        <v>162</v>
      </c>
      <c r="F1156" t="str">
        <f>VLOOKUP(A1156,[1]Kreise!$A$1:$C$53,3,FALSE)</f>
        <v>K031</v>
      </c>
      <c r="G1156">
        <v>7.4497415278575536</v>
      </c>
    </row>
    <row r="1157" spans="1:7" x14ac:dyDescent="0.25">
      <c r="A1157">
        <v>241</v>
      </c>
      <c r="B1157">
        <v>2005</v>
      </c>
      <c r="C1157" t="str">
        <f>VLOOKUP(A1157,[2]Tabelle1!$A$1:$B$68,2,FALSE)</f>
        <v>Hannover  Region</v>
      </c>
      <c r="D1157" t="s">
        <v>2</v>
      </c>
      <c r="E1157" t="s">
        <v>162</v>
      </c>
      <c r="F1157" t="str">
        <f>VLOOKUP(A1157,[1]Kreise!$A$1:$C$53,3,FALSE)</f>
        <v>K03241</v>
      </c>
      <c r="G1157">
        <v>6.6007247086475376</v>
      </c>
    </row>
    <row r="1158" spans="1:7" x14ac:dyDescent="0.25">
      <c r="A1158">
        <v>241001</v>
      </c>
      <c r="B1158">
        <v>2005</v>
      </c>
      <c r="C1158" t="str">
        <f>VLOOKUP(A1158,[2]Tabelle1!$A$1:$B$68,2,FALSE)</f>
        <v>dav. Hannover  Lhst.</v>
      </c>
      <c r="D1158" t="s">
        <v>2</v>
      </c>
      <c r="E1158" t="s">
        <v>162</v>
      </c>
      <c r="F1158" t="str">
        <f>VLOOKUP(A1158,[1]Kreise!$A$1:$C$53,3,FALSE)</f>
        <v>K03241001</v>
      </c>
      <c r="G1158">
        <v>7.3026801081878538</v>
      </c>
    </row>
    <row r="1159" spans="1:7" x14ac:dyDescent="0.25">
      <c r="A1159">
        <v>241999</v>
      </c>
      <c r="B1159">
        <v>2005</v>
      </c>
      <c r="C1159" t="str">
        <f>VLOOKUP(A1159,[2]Tabelle1!$A$1:$B$68,2,FALSE)</f>
        <v>dav. Hannover  Umland</v>
      </c>
      <c r="D1159" t="s">
        <v>2</v>
      </c>
      <c r="E1159" t="s">
        <v>162</v>
      </c>
      <c r="F1159" t="str">
        <f>VLOOKUP(A1159,[1]Kreise!$A$1:$C$53,3,FALSE)</f>
        <v>K03241999</v>
      </c>
      <c r="G1159">
        <v>6.1360677083333339</v>
      </c>
    </row>
    <row r="1160" spans="1:7" x14ac:dyDescent="0.25">
      <c r="A1160">
        <v>251</v>
      </c>
      <c r="B1160">
        <v>2005</v>
      </c>
      <c r="C1160" t="str">
        <f>VLOOKUP(A1160,[2]Tabelle1!$A$1:$B$68,2,FALSE)</f>
        <v>Diepholz</v>
      </c>
      <c r="D1160" t="s">
        <v>2</v>
      </c>
      <c r="E1160" t="s">
        <v>162</v>
      </c>
      <c r="F1160" t="str">
        <f>VLOOKUP(A1160,[1]Kreise!$A$1:$C$53,3,FALSE)</f>
        <v>K03251</v>
      </c>
      <c r="G1160">
        <v>5.3489343919765986</v>
      </c>
    </row>
    <row r="1161" spans="1:7" x14ac:dyDescent="0.25">
      <c r="A1161">
        <v>252</v>
      </c>
      <c r="B1161">
        <v>2005</v>
      </c>
      <c r="C1161" t="str">
        <f>VLOOKUP(A1161,[2]Tabelle1!$A$1:$B$68,2,FALSE)</f>
        <v>Hameln-Pyrmont</v>
      </c>
      <c r="D1161" t="s">
        <v>2</v>
      </c>
      <c r="E1161" t="s">
        <v>162</v>
      </c>
      <c r="F1161" t="str">
        <f>VLOOKUP(A1161,[1]Kreise!$A$1:$C$53,3,FALSE)</f>
        <v>K03252</v>
      </c>
      <c r="G1161">
        <v>9.8307291666666679</v>
      </c>
    </row>
    <row r="1162" spans="1:7" x14ac:dyDescent="0.25">
      <c r="A1162">
        <v>254</v>
      </c>
      <c r="B1162">
        <v>2005</v>
      </c>
      <c r="C1162" t="str">
        <f>VLOOKUP(A1162,[2]Tabelle1!$A$1:$B$68,2,FALSE)</f>
        <v>Hildesheim</v>
      </c>
      <c r="D1162" t="s">
        <v>2</v>
      </c>
      <c r="E1162" t="s">
        <v>162</v>
      </c>
      <c r="F1162" t="str">
        <f>VLOOKUP(A1162,[1]Kreise!$A$1:$C$53,3,FALSE)</f>
        <v>K03254</v>
      </c>
      <c r="G1162">
        <v>8.3077970718420158</v>
      </c>
    </row>
    <row r="1163" spans="1:7" x14ac:dyDescent="0.25">
      <c r="A1163">
        <v>255</v>
      </c>
      <c r="B1163">
        <v>2005</v>
      </c>
      <c r="C1163" t="str">
        <f>VLOOKUP(A1163,[2]Tabelle1!$A$1:$B$68,2,FALSE)</f>
        <v>Holzminden</v>
      </c>
      <c r="D1163" t="s">
        <v>2</v>
      </c>
      <c r="E1163" t="s">
        <v>162</v>
      </c>
      <c r="F1163" t="str">
        <f>VLOOKUP(A1163,[1]Kreise!$A$1:$C$53,3,FALSE)</f>
        <v>K03255</v>
      </c>
      <c r="G1163">
        <v>7.7355836849507735</v>
      </c>
    </row>
    <row r="1164" spans="1:7" x14ac:dyDescent="0.25">
      <c r="A1164">
        <v>256</v>
      </c>
      <c r="B1164">
        <v>2005</v>
      </c>
      <c r="C1164" t="str">
        <f>VLOOKUP(A1164,[2]Tabelle1!$A$1:$B$68,2,FALSE)</f>
        <v>Nienburg (Weser)</v>
      </c>
      <c r="D1164" t="s">
        <v>2</v>
      </c>
      <c r="E1164" t="s">
        <v>162</v>
      </c>
      <c r="F1164" t="str">
        <f>VLOOKUP(A1164,[1]Kreise!$A$1:$C$53,3,FALSE)</f>
        <v>K03256</v>
      </c>
      <c r="G1164">
        <v>7.7039274924471295</v>
      </c>
    </row>
    <row r="1165" spans="1:7" x14ac:dyDescent="0.25">
      <c r="A1165">
        <v>257</v>
      </c>
      <c r="B1165">
        <v>2005</v>
      </c>
      <c r="C1165" t="str">
        <f>VLOOKUP(A1165,[2]Tabelle1!$A$1:$B$68,2,FALSE)</f>
        <v>Schaumburg</v>
      </c>
      <c r="D1165" t="s">
        <v>2</v>
      </c>
      <c r="E1165" t="s">
        <v>162</v>
      </c>
      <c r="F1165" t="str">
        <f>VLOOKUP(A1165,[1]Kreise!$A$1:$C$53,3,FALSE)</f>
        <v>K03257</v>
      </c>
      <c r="G1165">
        <v>9.1617933723196874</v>
      </c>
    </row>
    <row r="1166" spans="1:7" x14ac:dyDescent="0.25">
      <c r="A1166">
        <v>2</v>
      </c>
      <c r="B1166">
        <v>2005</v>
      </c>
      <c r="C1166" t="str">
        <f>VLOOKUP(A1166,[2]Tabelle1!$A$1:$B$68,2,FALSE)</f>
        <v>Statistische Region Hannover</v>
      </c>
      <c r="D1166" t="s">
        <v>2</v>
      </c>
      <c r="E1166" t="s">
        <v>162</v>
      </c>
      <c r="F1166" t="str">
        <f>VLOOKUP(A1166,[1]Kreise!$A$1:$C$53,3,FALSE)</f>
        <v>K032</v>
      </c>
      <c r="G1166">
        <v>7.2393588688199113</v>
      </c>
    </row>
    <row r="1167" spans="1:7" x14ac:dyDescent="0.25">
      <c r="A1167">
        <v>351</v>
      </c>
      <c r="B1167">
        <v>2005</v>
      </c>
      <c r="C1167" t="str">
        <f>VLOOKUP(A1167,[2]Tabelle1!$A$1:$B$68,2,FALSE)</f>
        <v>Celle</v>
      </c>
      <c r="D1167" t="s">
        <v>2</v>
      </c>
      <c r="E1167" t="s">
        <v>162</v>
      </c>
      <c r="F1167" t="str">
        <f>VLOOKUP(A1167,[1]Kreise!$A$1:$C$53,3,FALSE)</f>
        <v>K03351</v>
      </c>
      <c r="G1167">
        <v>8.8163662932294198</v>
      </c>
    </row>
    <row r="1168" spans="1:7" x14ac:dyDescent="0.25">
      <c r="A1168">
        <v>352</v>
      </c>
      <c r="B1168">
        <v>2005</v>
      </c>
      <c r="C1168" t="str">
        <f>VLOOKUP(A1168,[2]Tabelle1!$A$1:$B$68,2,FALSE)</f>
        <v>Cuxhaven</v>
      </c>
      <c r="D1168" t="s">
        <v>2</v>
      </c>
      <c r="E1168" t="s">
        <v>162</v>
      </c>
      <c r="F1168" t="str">
        <f>VLOOKUP(A1168,[1]Kreise!$A$1:$C$53,3,FALSE)</f>
        <v>K03352</v>
      </c>
      <c r="G1168">
        <v>9.0771558245083206</v>
      </c>
    </row>
    <row r="1169" spans="1:7" x14ac:dyDescent="0.25">
      <c r="A1169">
        <v>353</v>
      </c>
      <c r="B1169">
        <v>2005</v>
      </c>
      <c r="C1169" t="str">
        <f>VLOOKUP(A1169,[2]Tabelle1!$A$1:$B$68,2,FALSE)</f>
        <v>Harburg</v>
      </c>
      <c r="D1169" t="s">
        <v>2</v>
      </c>
      <c r="E1169" t="s">
        <v>162</v>
      </c>
      <c r="F1169" t="str">
        <f>VLOOKUP(A1169,[1]Kreise!$A$1:$C$53,3,FALSE)</f>
        <v>K03353</v>
      </c>
      <c r="G1169">
        <v>6.8475452196382429</v>
      </c>
    </row>
    <row r="1170" spans="1:7" x14ac:dyDescent="0.25">
      <c r="A1170">
        <v>354</v>
      </c>
      <c r="B1170">
        <v>2005</v>
      </c>
      <c r="C1170" t="str">
        <f>VLOOKUP(A1170,[2]Tabelle1!$A$1:$B$68,2,FALSE)</f>
        <v>Lüchow-Dannenberg</v>
      </c>
      <c r="D1170" t="s">
        <v>2</v>
      </c>
      <c r="E1170" t="s">
        <v>162</v>
      </c>
      <c r="F1170" t="str">
        <f>VLOOKUP(A1170,[1]Kreise!$A$1:$C$53,3,FALSE)</f>
        <v>K03354</v>
      </c>
      <c r="G1170">
        <v>9.5599393019726868</v>
      </c>
    </row>
    <row r="1171" spans="1:7" x14ac:dyDescent="0.25">
      <c r="A1171">
        <v>355</v>
      </c>
      <c r="B1171">
        <v>2005</v>
      </c>
      <c r="C1171" t="str">
        <f>VLOOKUP(A1171,[2]Tabelle1!$A$1:$B$68,2,FALSE)</f>
        <v>Lüneburg</v>
      </c>
      <c r="D1171" t="s">
        <v>2</v>
      </c>
      <c r="E1171" t="s">
        <v>162</v>
      </c>
      <c r="F1171" t="str">
        <f>VLOOKUP(A1171,[1]Kreise!$A$1:$C$53,3,FALSE)</f>
        <v>K03355</v>
      </c>
      <c r="G1171">
        <v>5.8430717863105182</v>
      </c>
    </row>
    <row r="1172" spans="1:7" x14ac:dyDescent="0.25">
      <c r="A1172">
        <v>356</v>
      </c>
      <c r="B1172">
        <v>2005</v>
      </c>
      <c r="C1172" t="str">
        <f>VLOOKUP(A1172,[2]Tabelle1!$A$1:$B$68,2,FALSE)</f>
        <v>Osterholz</v>
      </c>
      <c r="D1172" t="s">
        <v>2</v>
      </c>
      <c r="E1172" t="s">
        <v>162</v>
      </c>
      <c r="F1172" t="str">
        <f>VLOOKUP(A1172,[1]Kreise!$A$1:$C$53,3,FALSE)</f>
        <v>K03356</v>
      </c>
      <c r="G1172">
        <v>5.5360281195079093</v>
      </c>
    </row>
    <row r="1173" spans="1:7" x14ac:dyDescent="0.25">
      <c r="A1173">
        <v>357</v>
      </c>
      <c r="B1173">
        <v>2005</v>
      </c>
      <c r="C1173" t="str">
        <f>VLOOKUP(A1173,[2]Tabelle1!$A$1:$B$68,2,FALSE)</f>
        <v>Rotenburg (Wümme)</v>
      </c>
      <c r="D1173" t="s">
        <v>2</v>
      </c>
      <c r="E1173" t="s">
        <v>162</v>
      </c>
      <c r="F1173" t="str">
        <f>VLOOKUP(A1173,[1]Kreise!$A$1:$C$53,3,FALSE)</f>
        <v>K03357</v>
      </c>
      <c r="G1173">
        <v>11.266149870801033</v>
      </c>
    </row>
    <row r="1174" spans="1:7" x14ac:dyDescent="0.25">
      <c r="A1174">
        <v>358</v>
      </c>
      <c r="B1174">
        <v>2005</v>
      </c>
      <c r="C1174" t="str">
        <f>VLOOKUP(A1174,[2]Tabelle1!$A$1:$B$68,2,FALSE)</f>
        <v>Heidekreis</v>
      </c>
      <c r="D1174" t="s">
        <v>2</v>
      </c>
      <c r="E1174" t="s">
        <v>162</v>
      </c>
      <c r="F1174" t="str">
        <f>VLOOKUP(A1174,[1]Kreise!$A$1:$C$53,3,FALSE)</f>
        <v>K03358</v>
      </c>
      <c r="G1174">
        <v>9.1666666666666661</v>
      </c>
    </row>
    <row r="1175" spans="1:7" x14ac:dyDescent="0.25">
      <c r="A1175">
        <v>359</v>
      </c>
      <c r="B1175">
        <v>2005</v>
      </c>
      <c r="C1175" t="str">
        <f>VLOOKUP(A1175,[2]Tabelle1!$A$1:$B$68,2,FALSE)</f>
        <v>Stade</v>
      </c>
      <c r="D1175" t="s">
        <v>2</v>
      </c>
      <c r="E1175" t="s">
        <v>162</v>
      </c>
      <c r="F1175" t="str">
        <f>VLOOKUP(A1175,[1]Kreise!$A$1:$C$53,3,FALSE)</f>
        <v>K03359</v>
      </c>
      <c r="G1175">
        <v>9.2036242250834519</v>
      </c>
    </row>
    <row r="1176" spans="1:7" x14ac:dyDescent="0.25">
      <c r="A1176">
        <v>360</v>
      </c>
      <c r="B1176">
        <v>2005</v>
      </c>
      <c r="C1176" t="str">
        <f>VLOOKUP(A1176,[2]Tabelle1!$A$1:$B$68,2,FALSE)</f>
        <v>Uelzen</v>
      </c>
      <c r="D1176" t="s">
        <v>2</v>
      </c>
      <c r="E1176" t="s">
        <v>162</v>
      </c>
      <c r="F1176" t="str">
        <f>VLOOKUP(A1176,[1]Kreise!$A$1:$C$53,3,FALSE)</f>
        <v>K03360</v>
      </c>
      <c r="G1176">
        <v>9.9195710455764079</v>
      </c>
    </row>
    <row r="1177" spans="1:7" x14ac:dyDescent="0.25">
      <c r="A1177">
        <v>361</v>
      </c>
      <c r="B1177">
        <v>2005</v>
      </c>
      <c r="C1177" t="str">
        <f>VLOOKUP(A1177,[2]Tabelle1!$A$1:$B$68,2,FALSE)</f>
        <v>Verden</v>
      </c>
      <c r="D1177" t="s">
        <v>2</v>
      </c>
      <c r="E1177" t="s">
        <v>162</v>
      </c>
      <c r="F1177" t="str">
        <f>VLOOKUP(A1177,[1]Kreise!$A$1:$C$53,3,FALSE)</f>
        <v>K03361</v>
      </c>
      <c r="G1177">
        <v>8.1645983017635544</v>
      </c>
    </row>
    <row r="1178" spans="1:7" x14ac:dyDescent="0.25">
      <c r="A1178">
        <v>3</v>
      </c>
      <c r="B1178">
        <v>2005</v>
      </c>
      <c r="C1178" t="str">
        <f>VLOOKUP(A1178,[2]Tabelle1!$A$1:$B$68,2,FALSE)</f>
        <v>Statistische Region Lüneburg</v>
      </c>
      <c r="D1178" t="s">
        <v>2</v>
      </c>
      <c r="E1178" t="s">
        <v>162</v>
      </c>
      <c r="F1178" t="str">
        <f>VLOOKUP(A1178,[1]Kreise!$A$1:$C$53,3,FALSE)</f>
        <v>K033</v>
      </c>
      <c r="G1178">
        <v>8.4698252171045407</v>
      </c>
    </row>
    <row r="1179" spans="1:7" x14ac:dyDescent="0.25">
      <c r="A1179">
        <v>401</v>
      </c>
      <c r="B1179">
        <v>2005</v>
      </c>
      <c r="C1179" t="str">
        <f>VLOOKUP(A1179,[2]Tabelle1!$A$1:$B$68,2,FALSE)</f>
        <v>Delmenhorst  Stadt</v>
      </c>
      <c r="D1179" t="s">
        <v>2</v>
      </c>
      <c r="E1179" t="s">
        <v>162</v>
      </c>
      <c r="F1179" t="str">
        <f>VLOOKUP(A1179,[1]Kreise!$A$1:$C$53,3,FALSE)</f>
        <v>K03401</v>
      </c>
      <c r="G1179">
        <v>10.131578947368421</v>
      </c>
    </row>
    <row r="1180" spans="1:7" x14ac:dyDescent="0.25">
      <c r="A1180">
        <v>402</v>
      </c>
      <c r="B1180">
        <v>2005</v>
      </c>
      <c r="C1180" t="str">
        <f>VLOOKUP(A1180,[2]Tabelle1!$A$1:$B$68,2,FALSE)</f>
        <v>Emden  Stadt</v>
      </c>
      <c r="D1180" t="s">
        <v>2</v>
      </c>
      <c r="E1180" t="s">
        <v>162</v>
      </c>
      <c r="F1180" t="str">
        <f>VLOOKUP(A1180,[1]Kreise!$A$1:$C$53,3,FALSE)</f>
        <v>K03402</v>
      </c>
      <c r="G1180">
        <v>9.9485420240137223</v>
      </c>
    </row>
    <row r="1181" spans="1:7" x14ac:dyDescent="0.25">
      <c r="A1181">
        <v>403</v>
      </c>
      <c r="B1181">
        <v>2005</v>
      </c>
      <c r="C1181" t="str">
        <f>VLOOKUP(A1181,[2]Tabelle1!$A$1:$B$68,2,FALSE)</f>
        <v>Oldenburg(Oldb)  Stadt</v>
      </c>
      <c r="D1181" t="s">
        <v>2</v>
      </c>
      <c r="E1181" t="s">
        <v>162</v>
      </c>
      <c r="F1181" t="str">
        <f>VLOOKUP(A1181,[1]Kreise!$A$1:$C$53,3,FALSE)</f>
        <v>K03403</v>
      </c>
      <c r="G1181">
        <v>6.7894131185270421</v>
      </c>
    </row>
    <row r="1182" spans="1:7" x14ac:dyDescent="0.25">
      <c r="A1182">
        <v>404</v>
      </c>
      <c r="B1182">
        <v>2005</v>
      </c>
      <c r="C1182" t="str">
        <f>VLOOKUP(A1182,[2]Tabelle1!$A$1:$B$68,2,FALSE)</f>
        <v>Osnabrück  Stadt</v>
      </c>
      <c r="D1182" t="s">
        <v>2</v>
      </c>
      <c r="E1182" t="s">
        <v>162</v>
      </c>
      <c r="F1182" t="str">
        <f>VLOOKUP(A1182,[1]Kreise!$A$1:$C$53,3,FALSE)</f>
        <v>K03404</v>
      </c>
      <c r="G1182">
        <v>3.9707419017763845</v>
      </c>
    </row>
    <row r="1183" spans="1:7" x14ac:dyDescent="0.25">
      <c r="A1183">
        <v>405</v>
      </c>
      <c r="B1183">
        <v>2005</v>
      </c>
      <c r="C1183" t="str">
        <f>VLOOKUP(A1183,[2]Tabelle1!$A$1:$B$68,2,FALSE)</f>
        <v>Wilhelmshaven  Stadt</v>
      </c>
      <c r="D1183" t="s">
        <v>2</v>
      </c>
      <c r="E1183" t="s">
        <v>162</v>
      </c>
      <c r="F1183" t="str">
        <f>VLOOKUP(A1183,[1]Kreise!$A$1:$C$53,3,FALSE)</f>
        <v>K03405</v>
      </c>
      <c r="G1183">
        <v>8.0402010050251249</v>
      </c>
    </row>
    <row r="1184" spans="1:7" x14ac:dyDescent="0.25">
      <c r="A1184">
        <v>451</v>
      </c>
      <c r="B1184">
        <v>2005</v>
      </c>
      <c r="C1184" t="str">
        <f>VLOOKUP(A1184,[2]Tabelle1!$A$1:$B$68,2,FALSE)</f>
        <v>Ammerland</v>
      </c>
      <c r="D1184" t="s">
        <v>2</v>
      </c>
      <c r="E1184" t="s">
        <v>162</v>
      </c>
      <c r="F1184" t="str">
        <f>VLOOKUP(A1184,[1]Kreise!$A$1:$C$53,3,FALSE)</f>
        <v>K03451</v>
      </c>
      <c r="G1184">
        <v>9.0347490347490336</v>
      </c>
    </row>
    <row r="1185" spans="1:7" x14ac:dyDescent="0.25">
      <c r="A1185">
        <v>452</v>
      </c>
      <c r="B1185">
        <v>2005</v>
      </c>
      <c r="C1185" t="str">
        <f>VLOOKUP(A1185,[2]Tabelle1!$A$1:$B$68,2,FALSE)</f>
        <v>Aurich</v>
      </c>
      <c r="D1185" t="s">
        <v>2</v>
      </c>
      <c r="E1185" t="s">
        <v>162</v>
      </c>
      <c r="F1185" t="str">
        <f>VLOOKUP(A1185,[1]Kreise!$A$1:$C$53,3,FALSE)</f>
        <v>K03452</v>
      </c>
      <c r="G1185">
        <v>11.683417085427136</v>
      </c>
    </row>
    <row r="1186" spans="1:7" x14ac:dyDescent="0.25">
      <c r="A1186">
        <v>453</v>
      </c>
      <c r="B1186">
        <v>2005</v>
      </c>
      <c r="C1186" t="str">
        <f>VLOOKUP(A1186,[2]Tabelle1!$A$1:$B$68,2,FALSE)</f>
        <v>Cloppenburg</v>
      </c>
      <c r="D1186" t="s">
        <v>2</v>
      </c>
      <c r="E1186" t="s">
        <v>162</v>
      </c>
      <c r="F1186" t="str">
        <f>VLOOKUP(A1186,[1]Kreise!$A$1:$C$53,3,FALSE)</f>
        <v>K03453</v>
      </c>
      <c r="G1186">
        <v>8.4983099951714145</v>
      </c>
    </row>
    <row r="1187" spans="1:7" x14ac:dyDescent="0.25">
      <c r="A1187">
        <v>454</v>
      </c>
      <c r="B1187">
        <v>2005</v>
      </c>
      <c r="C1187" t="str">
        <f>VLOOKUP(A1187,[2]Tabelle1!$A$1:$B$68,2,FALSE)</f>
        <v>Emsland</v>
      </c>
      <c r="D1187" t="s">
        <v>2</v>
      </c>
      <c r="E1187" t="s">
        <v>162</v>
      </c>
      <c r="F1187" t="str">
        <f>VLOOKUP(A1187,[1]Kreise!$A$1:$C$53,3,FALSE)</f>
        <v>K03454</v>
      </c>
      <c r="G1187">
        <v>7.3468447719944718</v>
      </c>
    </row>
    <row r="1188" spans="1:7" x14ac:dyDescent="0.25">
      <c r="A1188">
        <v>455</v>
      </c>
      <c r="B1188">
        <v>2005</v>
      </c>
      <c r="C1188" t="str">
        <f>VLOOKUP(A1188,[2]Tabelle1!$A$1:$B$68,2,FALSE)</f>
        <v>Friesland</v>
      </c>
      <c r="D1188" t="s">
        <v>2</v>
      </c>
      <c r="E1188" t="s">
        <v>162</v>
      </c>
      <c r="F1188" t="str">
        <f>VLOOKUP(A1188,[1]Kreise!$A$1:$C$53,3,FALSE)</f>
        <v>K03455</v>
      </c>
      <c r="G1188">
        <v>10.269192422731804</v>
      </c>
    </row>
    <row r="1189" spans="1:7" x14ac:dyDescent="0.25">
      <c r="A1189">
        <v>456</v>
      </c>
      <c r="B1189">
        <v>2005</v>
      </c>
      <c r="C1189" t="str">
        <f>VLOOKUP(A1189,[2]Tabelle1!$A$1:$B$68,2,FALSE)</f>
        <v>Grafschaft Bentheim</v>
      </c>
      <c r="D1189" t="s">
        <v>2</v>
      </c>
      <c r="E1189" t="s">
        <v>162</v>
      </c>
      <c r="F1189" t="str">
        <f>VLOOKUP(A1189,[1]Kreise!$A$1:$C$53,3,FALSE)</f>
        <v>K03456</v>
      </c>
      <c r="G1189">
        <v>10.291262135922331</v>
      </c>
    </row>
    <row r="1190" spans="1:7" x14ac:dyDescent="0.25">
      <c r="A1190">
        <v>457</v>
      </c>
      <c r="B1190">
        <v>2005</v>
      </c>
      <c r="C1190" t="str">
        <f>VLOOKUP(A1190,[2]Tabelle1!$A$1:$B$68,2,FALSE)</f>
        <v>Leer</v>
      </c>
      <c r="D1190" t="s">
        <v>2</v>
      </c>
      <c r="E1190" t="s">
        <v>162</v>
      </c>
      <c r="F1190" t="str">
        <f>VLOOKUP(A1190,[1]Kreise!$A$1:$C$53,3,FALSE)</f>
        <v>K03457</v>
      </c>
      <c r="G1190">
        <v>9.8613251155624049</v>
      </c>
    </row>
    <row r="1191" spans="1:7" x14ac:dyDescent="0.25">
      <c r="A1191">
        <v>458</v>
      </c>
      <c r="B1191">
        <v>2005</v>
      </c>
      <c r="C1191" t="str">
        <f>VLOOKUP(A1191,[2]Tabelle1!$A$1:$B$68,2,FALSE)</f>
        <v>Oldenburg</v>
      </c>
      <c r="D1191" t="s">
        <v>2</v>
      </c>
      <c r="E1191" t="s">
        <v>162</v>
      </c>
      <c r="F1191" t="str">
        <f>VLOOKUP(A1191,[1]Kreise!$A$1:$C$53,3,FALSE)</f>
        <v>K03458</v>
      </c>
      <c r="G1191">
        <v>6.30048465266559</v>
      </c>
    </row>
    <row r="1192" spans="1:7" x14ac:dyDescent="0.25">
      <c r="A1192">
        <v>459</v>
      </c>
      <c r="B1192">
        <v>2005</v>
      </c>
      <c r="C1192" t="str">
        <f>VLOOKUP(A1192,[2]Tabelle1!$A$1:$B$68,2,FALSE)</f>
        <v>Osnabrück</v>
      </c>
      <c r="D1192" t="s">
        <v>2</v>
      </c>
      <c r="E1192" t="s">
        <v>162</v>
      </c>
      <c r="F1192" t="str">
        <f>VLOOKUP(A1192,[1]Kreise!$A$1:$C$53,3,FALSE)</f>
        <v>K03459</v>
      </c>
      <c r="G1192">
        <v>7.1447265113844542</v>
      </c>
    </row>
    <row r="1193" spans="1:7" x14ac:dyDescent="0.25">
      <c r="A1193">
        <v>460</v>
      </c>
      <c r="B1193">
        <v>2005</v>
      </c>
      <c r="C1193" t="str">
        <f>VLOOKUP(A1193,[2]Tabelle1!$A$1:$B$68,2,FALSE)</f>
        <v>Vechta</v>
      </c>
      <c r="D1193" t="s">
        <v>2</v>
      </c>
      <c r="E1193" t="s">
        <v>162</v>
      </c>
      <c r="F1193" t="str">
        <f>VLOOKUP(A1193,[1]Kreise!$A$1:$C$53,3,FALSE)</f>
        <v>K03460</v>
      </c>
      <c r="G1193">
        <v>7.8626799557032108</v>
      </c>
    </row>
    <row r="1194" spans="1:7" x14ac:dyDescent="0.25">
      <c r="A1194">
        <v>461</v>
      </c>
      <c r="B1194">
        <v>2005</v>
      </c>
      <c r="C1194" t="str">
        <f>VLOOKUP(A1194,[2]Tabelle1!$A$1:$B$68,2,FALSE)</f>
        <v>Wesermarsch</v>
      </c>
      <c r="D1194" t="s">
        <v>2</v>
      </c>
      <c r="E1194" t="s">
        <v>162</v>
      </c>
      <c r="F1194" t="str">
        <f>VLOOKUP(A1194,[1]Kreise!$A$1:$C$53,3,FALSE)</f>
        <v>K03461</v>
      </c>
      <c r="G1194">
        <v>7.3327961321514907</v>
      </c>
    </row>
    <row r="1195" spans="1:7" x14ac:dyDescent="0.25">
      <c r="A1195">
        <v>462</v>
      </c>
      <c r="B1195">
        <v>2005</v>
      </c>
      <c r="C1195" t="str">
        <f>VLOOKUP(A1195,[2]Tabelle1!$A$1:$B$68,2,FALSE)</f>
        <v>Wittmund</v>
      </c>
      <c r="D1195" t="s">
        <v>2</v>
      </c>
      <c r="E1195" t="s">
        <v>162</v>
      </c>
      <c r="F1195" t="str">
        <f>VLOOKUP(A1195,[1]Kreise!$A$1:$C$53,3,FALSE)</f>
        <v>K03462</v>
      </c>
      <c r="G1195">
        <v>9.7810218978102181</v>
      </c>
    </row>
    <row r="1196" spans="1:7" x14ac:dyDescent="0.25">
      <c r="A1196">
        <v>4</v>
      </c>
      <c r="B1196">
        <v>2005</v>
      </c>
      <c r="C1196" t="str">
        <f>VLOOKUP(A1196,[2]Tabelle1!$A$1:$B$68,2,FALSE)</f>
        <v>Statistische Region Weser-Ems</v>
      </c>
      <c r="D1196" t="s">
        <v>2</v>
      </c>
      <c r="E1196" t="s">
        <v>162</v>
      </c>
      <c r="F1196" t="str">
        <f>VLOOKUP(A1196,[1]Kreise!$A$1:$C$53,3,FALSE)</f>
        <v>K034</v>
      </c>
      <c r="G1196">
        <v>8.1880702710064011</v>
      </c>
    </row>
    <row r="1197" spans="1:7" x14ac:dyDescent="0.25">
      <c r="A1197">
        <v>0</v>
      </c>
      <c r="B1197">
        <v>2005</v>
      </c>
      <c r="C1197" t="str">
        <f>VLOOKUP(A1197,[2]Tabelle1!$A$1:$B$68,2,FALSE)</f>
        <v>Niedersachsen</v>
      </c>
      <c r="D1197" t="s">
        <v>2</v>
      </c>
      <c r="E1197" t="s">
        <v>162</v>
      </c>
      <c r="F1197" t="str">
        <f>VLOOKUP(A1197,[1]Kreise!$A$1:$C$53,3,FALSE)</f>
        <v>K030</v>
      </c>
      <c r="G1197">
        <v>7.8690132785219618</v>
      </c>
    </row>
    <row r="1198" spans="1:7" x14ac:dyDescent="0.25">
      <c r="A1198">
        <v>101</v>
      </c>
      <c r="B1198">
        <v>2005</v>
      </c>
      <c r="C1198" t="str">
        <f>VLOOKUP(A1198,[2]Tabelle1!$A$1:$B$68,2,FALSE)</f>
        <v>Braunschweig  Stadt</v>
      </c>
      <c r="D1198" t="s">
        <v>3</v>
      </c>
      <c r="E1198" t="s">
        <v>162</v>
      </c>
      <c r="F1198" t="str">
        <f>VLOOKUP(A1198,[1]Kreise!$A$1:$C$53,3,FALSE)</f>
        <v>K03101</v>
      </c>
      <c r="G1198">
        <v>20.465116279069768</v>
      </c>
    </row>
    <row r="1199" spans="1:7" x14ac:dyDescent="0.25">
      <c r="A1199">
        <v>102</v>
      </c>
      <c r="B1199">
        <v>2005</v>
      </c>
      <c r="C1199" t="str">
        <f>VLOOKUP(A1199,[2]Tabelle1!$A$1:$B$68,2,FALSE)</f>
        <v>Salzgitter  Stadt</v>
      </c>
      <c r="D1199" t="s">
        <v>3</v>
      </c>
      <c r="E1199" t="s">
        <v>162</v>
      </c>
      <c r="F1199" t="str">
        <f>VLOOKUP(A1199,[1]Kreise!$A$1:$C$53,3,FALSE)</f>
        <v>K03102</v>
      </c>
      <c r="G1199">
        <v>16.483516483516482</v>
      </c>
    </row>
    <row r="1200" spans="1:7" x14ac:dyDescent="0.25">
      <c r="A1200">
        <v>103</v>
      </c>
      <c r="B1200">
        <v>2005</v>
      </c>
      <c r="C1200" t="str">
        <f>VLOOKUP(A1200,[2]Tabelle1!$A$1:$B$68,2,FALSE)</f>
        <v>Wolfsburg  Stadt</v>
      </c>
      <c r="D1200" t="s">
        <v>3</v>
      </c>
      <c r="E1200" t="s">
        <v>162</v>
      </c>
      <c r="F1200" t="str">
        <f>VLOOKUP(A1200,[1]Kreise!$A$1:$C$53,3,FALSE)</f>
        <v>K03103</v>
      </c>
      <c r="G1200">
        <v>18.367346938775512</v>
      </c>
    </row>
    <row r="1201" spans="1:7" x14ac:dyDescent="0.25">
      <c r="A1201">
        <v>151</v>
      </c>
      <c r="B1201">
        <v>2005</v>
      </c>
      <c r="C1201" t="str">
        <f>VLOOKUP(A1201,[2]Tabelle1!$A$1:$B$68,2,FALSE)</f>
        <v>Gifhorn</v>
      </c>
      <c r="D1201" t="s">
        <v>3</v>
      </c>
      <c r="E1201" t="s">
        <v>162</v>
      </c>
      <c r="F1201" t="str">
        <f>VLOOKUP(A1201,[1]Kreise!$A$1:$C$53,3,FALSE)</f>
        <v>K03151</v>
      </c>
      <c r="G1201">
        <v>38.202247191011232</v>
      </c>
    </row>
    <row r="1202" spans="1:7" x14ac:dyDescent="0.25">
      <c r="A1202">
        <v>153</v>
      </c>
      <c r="B1202">
        <v>2005</v>
      </c>
      <c r="C1202" t="str">
        <f>VLOOKUP(A1202,[2]Tabelle1!$A$1:$B$68,2,FALSE)</f>
        <v>Goslar</v>
      </c>
      <c r="D1202" t="s">
        <v>3</v>
      </c>
      <c r="E1202" t="s">
        <v>162</v>
      </c>
      <c r="F1202" t="str">
        <f>VLOOKUP(A1202,[1]Kreise!$A$1:$C$53,3,FALSE)</f>
        <v>K03153</v>
      </c>
      <c r="G1202">
        <v>34.736842105263158</v>
      </c>
    </row>
    <row r="1203" spans="1:7" x14ac:dyDescent="0.25">
      <c r="A1203">
        <v>154</v>
      </c>
      <c r="B1203">
        <v>2005</v>
      </c>
      <c r="C1203" t="str">
        <f>VLOOKUP(A1203,[2]Tabelle1!$A$1:$B$68,2,FALSE)</f>
        <v>Helmstedt</v>
      </c>
      <c r="D1203" t="s">
        <v>3</v>
      </c>
      <c r="E1203" t="s">
        <v>162</v>
      </c>
      <c r="F1203" t="str">
        <f>VLOOKUP(A1203,[1]Kreise!$A$1:$C$53,3,FALSE)</f>
        <v>K03154</v>
      </c>
      <c r="G1203">
        <v>12.76595744680851</v>
      </c>
    </row>
    <row r="1204" spans="1:7" x14ac:dyDescent="0.25">
      <c r="A1204">
        <v>155</v>
      </c>
      <c r="B1204">
        <v>2005</v>
      </c>
      <c r="C1204" t="str">
        <f>VLOOKUP(A1204,[2]Tabelle1!$A$1:$B$68,2,FALSE)</f>
        <v>Northeim</v>
      </c>
      <c r="D1204" t="s">
        <v>3</v>
      </c>
      <c r="E1204" t="s">
        <v>162</v>
      </c>
      <c r="F1204" t="str">
        <f>VLOOKUP(A1204,[1]Kreise!$A$1:$C$53,3,FALSE)</f>
        <v>K03155</v>
      </c>
      <c r="G1204">
        <v>28.39506172839506</v>
      </c>
    </row>
    <row r="1205" spans="1:7" x14ac:dyDescent="0.25">
      <c r="A1205">
        <v>157</v>
      </c>
      <c r="B1205">
        <v>2005</v>
      </c>
      <c r="C1205" t="str">
        <f>VLOOKUP(A1205,[2]Tabelle1!$A$1:$B$68,2,FALSE)</f>
        <v>Peine</v>
      </c>
      <c r="D1205" t="s">
        <v>3</v>
      </c>
      <c r="E1205" t="s">
        <v>162</v>
      </c>
      <c r="F1205" t="str">
        <f>VLOOKUP(A1205,[1]Kreise!$A$1:$C$53,3,FALSE)</f>
        <v>K03157</v>
      </c>
      <c r="G1205">
        <v>22.76422764227642</v>
      </c>
    </row>
    <row r="1206" spans="1:7" x14ac:dyDescent="0.25">
      <c r="A1206">
        <v>158</v>
      </c>
      <c r="B1206">
        <v>2005</v>
      </c>
      <c r="C1206" t="str">
        <f>VLOOKUP(A1206,[2]Tabelle1!$A$1:$B$68,2,FALSE)</f>
        <v>Wolfenbüttel</v>
      </c>
      <c r="D1206" t="s">
        <v>3</v>
      </c>
      <c r="E1206" t="s">
        <v>162</v>
      </c>
      <c r="F1206" t="str">
        <f>VLOOKUP(A1206,[1]Kreise!$A$1:$C$53,3,FALSE)</f>
        <v>K03158</v>
      </c>
      <c r="G1206">
        <v>16.393442622950818</v>
      </c>
    </row>
    <row r="1207" spans="1:7" x14ac:dyDescent="0.25">
      <c r="A1207">
        <v>159</v>
      </c>
      <c r="B1207">
        <v>2005</v>
      </c>
      <c r="C1207" t="str">
        <f>VLOOKUP(A1207,[2]Tabelle1!$A$1:$B$68,2,FALSE)</f>
        <v>Göttingen</v>
      </c>
      <c r="D1207" t="s">
        <v>3</v>
      </c>
      <c r="E1207" t="s">
        <v>162</v>
      </c>
      <c r="F1207" t="str">
        <f>VLOOKUP(A1207,[1]Kreise!$A$1:$C$53,3,FALSE)</f>
        <v>K03159</v>
      </c>
      <c r="G1207">
        <v>28.01556420233463</v>
      </c>
    </row>
    <row r="1208" spans="1:7" x14ac:dyDescent="0.25">
      <c r="A1208">
        <v>1</v>
      </c>
      <c r="B1208">
        <v>2005</v>
      </c>
      <c r="C1208" t="str">
        <f>VLOOKUP(A1208,[2]Tabelle1!$A$1:$B$68,2,FALSE)</f>
        <v>Statistische Region Braunschweig</v>
      </c>
      <c r="D1208" t="s">
        <v>3</v>
      </c>
      <c r="E1208" t="s">
        <v>162</v>
      </c>
      <c r="F1208" t="str">
        <f>VLOOKUP(A1208,[1]Kreise!$A$1:$C$53,3,FALSE)</f>
        <v>K031</v>
      </c>
      <c r="G1208">
        <v>23.476968796433876</v>
      </c>
    </row>
    <row r="1209" spans="1:7" x14ac:dyDescent="0.25">
      <c r="A1209">
        <v>241</v>
      </c>
      <c r="B1209">
        <v>2005</v>
      </c>
      <c r="C1209" t="str">
        <f>VLOOKUP(A1209,[2]Tabelle1!$A$1:$B$68,2,FALSE)</f>
        <v>Hannover  Region</v>
      </c>
      <c r="D1209" t="s">
        <v>3</v>
      </c>
      <c r="E1209" t="s">
        <v>162</v>
      </c>
      <c r="F1209" t="str">
        <f>VLOOKUP(A1209,[1]Kreise!$A$1:$C$53,3,FALSE)</f>
        <v>K03241</v>
      </c>
      <c r="G1209">
        <v>19.961489088575096</v>
      </c>
    </row>
    <row r="1210" spans="1:7" x14ac:dyDescent="0.25">
      <c r="A1210">
        <v>241001</v>
      </c>
      <c r="B1210">
        <v>2005</v>
      </c>
      <c r="C1210" t="str">
        <f>VLOOKUP(A1210,[2]Tabelle1!$A$1:$B$68,2,FALSE)</f>
        <v>dav. Hannover  Lhst.</v>
      </c>
      <c r="D1210" t="s">
        <v>3</v>
      </c>
      <c r="E1210" t="s">
        <v>162</v>
      </c>
      <c r="F1210" t="str">
        <f>VLOOKUP(A1210,[1]Kreise!$A$1:$C$53,3,FALSE)</f>
        <v>K03241001</v>
      </c>
      <c r="G1210">
        <v>17.948717948717949</v>
      </c>
    </row>
    <row r="1211" spans="1:7" x14ac:dyDescent="0.25">
      <c r="A1211">
        <v>241999</v>
      </c>
      <c r="B1211">
        <v>2005</v>
      </c>
      <c r="C1211" t="str">
        <f>VLOOKUP(A1211,[2]Tabelle1!$A$1:$B$68,2,FALSE)</f>
        <v>dav. Hannover  Umland</v>
      </c>
      <c r="D1211" t="s">
        <v>3</v>
      </c>
      <c r="E1211" t="s">
        <v>162</v>
      </c>
      <c r="F1211" t="str">
        <f>VLOOKUP(A1211,[1]Kreise!$A$1:$C$53,3,FALSE)</f>
        <v>K03241999</v>
      </c>
      <c r="G1211">
        <v>23.713235294117645</v>
      </c>
    </row>
    <row r="1212" spans="1:7" x14ac:dyDescent="0.25">
      <c r="A1212">
        <v>251</v>
      </c>
      <c r="B1212">
        <v>2005</v>
      </c>
      <c r="C1212" t="str">
        <f>VLOOKUP(A1212,[2]Tabelle1!$A$1:$B$68,2,FALSE)</f>
        <v>Diepholz</v>
      </c>
      <c r="D1212" t="s">
        <v>3</v>
      </c>
      <c r="E1212" t="s">
        <v>162</v>
      </c>
      <c r="F1212" t="str">
        <f>VLOOKUP(A1212,[1]Kreise!$A$1:$C$53,3,FALSE)</f>
        <v>K03251</v>
      </c>
      <c r="G1212">
        <v>23.809523809523807</v>
      </c>
    </row>
    <row r="1213" spans="1:7" x14ac:dyDescent="0.25">
      <c r="A1213">
        <v>252</v>
      </c>
      <c r="B1213">
        <v>2005</v>
      </c>
      <c r="C1213" t="str">
        <f>VLOOKUP(A1213,[2]Tabelle1!$A$1:$B$68,2,FALSE)</f>
        <v>Hameln-Pyrmont</v>
      </c>
      <c r="D1213" t="s">
        <v>3</v>
      </c>
      <c r="E1213" t="s">
        <v>162</v>
      </c>
      <c r="F1213" t="str">
        <f>VLOOKUP(A1213,[1]Kreise!$A$1:$C$53,3,FALSE)</f>
        <v>K03252</v>
      </c>
      <c r="G1213">
        <v>30.519480519480517</v>
      </c>
    </row>
    <row r="1214" spans="1:7" x14ac:dyDescent="0.25">
      <c r="A1214">
        <v>254</v>
      </c>
      <c r="B1214">
        <v>2005</v>
      </c>
      <c r="C1214" t="str">
        <f>VLOOKUP(A1214,[2]Tabelle1!$A$1:$B$68,2,FALSE)</f>
        <v>Hildesheim</v>
      </c>
      <c r="D1214" t="s">
        <v>3</v>
      </c>
      <c r="E1214" t="s">
        <v>162</v>
      </c>
      <c r="F1214" t="str">
        <f>VLOOKUP(A1214,[1]Kreise!$A$1:$C$53,3,FALSE)</f>
        <v>K03254</v>
      </c>
      <c r="G1214">
        <v>28.87323943661972</v>
      </c>
    </row>
    <row r="1215" spans="1:7" x14ac:dyDescent="0.25">
      <c r="A1215">
        <v>255</v>
      </c>
      <c r="B1215">
        <v>2005</v>
      </c>
      <c r="C1215" t="str">
        <f>VLOOKUP(A1215,[2]Tabelle1!$A$1:$B$68,2,FALSE)</f>
        <v>Holzminden</v>
      </c>
      <c r="D1215" t="s">
        <v>3</v>
      </c>
      <c r="E1215" t="s">
        <v>162</v>
      </c>
      <c r="F1215" t="str">
        <f>VLOOKUP(A1215,[1]Kreise!$A$1:$C$53,3,FALSE)</f>
        <v>K03255</v>
      </c>
      <c r="G1215">
        <v>14.634146341463413</v>
      </c>
    </row>
    <row r="1216" spans="1:7" x14ac:dyDescent="0.25">
      <c r="A1216">
        <v>256</v>
      </c>
      <c r="B1216">
        <v>2005</v>
      </c>
      <c r="C1216" t="str">
        <f>VLOOKUP(A1216,[2]Tabelle1!$A$1:$B$68,2,FALSE)</f>
        <v>Nienburg (Weser)</v>
      </c>
      <c r="D1216" t="s">
        <v>3</v>
      </c>
      <c r="E1216" t="s">
        <v>162</v>
      </c>
      <c r="F1216" t="str">
        <f>VLOOKUP(A1216,[1]Kreise!$A$1:$C$53,3,FALSE)</f>
        <v>K03256</v>
      </c>
      <c r="G1216">
        <v>29.82456140350877</v>
      </c>
    </row>
    <row r="1217" spans="1:7" x14ac:dyDescent="0.25">
      <c r="A1217">
        <v>257</v>
      </c>
      <c r="B1217">
        <v>2005</v>
      </c>
      <c r="C1217" t="str">
        <f>VLOOKUP(A1217,[2]Tabelle1!$A$1:$B$68,2,FALSE)</f>
        <v>Schaumburg</v>
      </c>
      <c r="D1217" t="s">
        <v>3</v>
      </c>
      <c r="E1217" t="s">
        <v>162</v>
      </c>
      <c r="F1217" t="str">
        <f>VLOOKUP(A1217,[1]Kreise!$A$1:$C$53,3,FALSE)</f>
        <v>K03257</v>
      </c>
      <c r="G1217">
        <v>13.450292397660817</v>
      </c>
    </row>
    <row r="1218" spans="1:7" x14ac:dyDescent="0.25">
      <c r="A1218">
        <v>2</v>
      </c>
      <c r="B1218">
        <v>2005</v>
      </c>
      <c r="C1218" t="str">
        <f>VLOOKUP(A1218,[2]Tabelle1!$A$1:$B$68,2,FALSE)</f>
        <v>Statistische Region Hannover</v>
      </c>
      <c r="D1218" t="s">
        <v>3</v>
      </c>
      <c r="E1218" t="s">
        <v>162</v>
      </c>
      <c r="F1218" t="str">
        <f>VLOOKUP(A1218,[1]Kreise!$A$1:$C$53,3,FALSE)</f>
        <v>K032</v>
      </c>
      <c r="G1218">
        <v>21.772875816993466</v>
      </c>
    </row>
    <row r="1219" spans="1:7" x14ac:dyDescent="0.25">
      <c r="A1219">
        <v>351</v>
      </c>
      <c r="B1219">
        <v>2005</v>
      </c>
      <c r="C1219" t="str">
        <f>VLOOKUP(A1219,[2]Tabelle1!$A$1:$B$68,2,FALSE)</f>
        <v>Celle</v>
      </c>
      <c r="D1219" t="s">
        <v>3</v>
      </c>
      <c r="E1219" t="s">
        <v>162</v>
      </c>
      <c r="F1219" t="str">
        <f>VLOOKUP(A1219,[1]Kreise!$A$1:$C$53,3,FALSE)</f>
        <v>K03351</v>
      </c>
      <c r="G1219">
        <v>27.027027027027028</v>
      </c>
    </row>
    <row r="1220" spans="1:7" x14ac:dyDescent="0.25">
      <c r="A1220">
        <v>352</v>
      </c>
      <c r="B1220">
        <v>2005</v>
      </c>
      <c r="C1220" t="str">
        <f>VLOOKUP(A1220,[2]Tabelle1!$A$1:$B$68,2,FALSE)</f>
        <v>Cuxhaven</v>
      </c>
      <c r="D1220" t="s">
        <v>3</v>
      </c>
      <c r="E1220" t="s">
        <v>162</v>
      </c>
      <c r="F1220" t="str">
        <f>VLOOKUP(A1220,[1]Kreise!$A$1:$C$53,3,FALSE)</f>
        <v>K03352</v>
      </c>
      <c r="G1220">
        <v>35</v>
      </c>
    </row>
    <row r="1221" spans="1:7" x14ac:dyDescent="0.25">
      <c r="A1221">
        <v>353</v>
      </c>
      <c r="B1221">
        <v>2005</v>
      </c>
      <c r="C1221" t="str">
        <f>VLOOKUP(A1221,[2]Tabelle1!$A$1:$B$68,2,FALSE)</f>
        <v>Harburg</v>
      </c>
      <c r="D1221" t="s">
        <v>3</v>
      </c>
      <c r="E1221" t="s">
        <v>162</v>
      </c>
      <c r="F1221" t="str">
        <f>VLOOKUP(A1221,[1]Kreise!$A$1:$C$53,3,FALSE)</f>
        <v>K03353</v>
      </c>
      <c r="G1221">
        <v>37.962962962962962</v>
      </c>
    </row>
    <row r="1222" spans="1:7" x14ac:dyDescent="0.25">
      <c r="A1222">
        <v>354</v>
      </c>
      <c r="B1222">
        <v>2005</v>
      </c>
      <c r="C1222" t="str">
        <f>VLOOKUP(A1222,[2]Tabelle1!$A$1:$B$68,2,FALSE)</f>
        <v>Lüchow-Dannenberg</v>
      </c>
      <c r="D1222" t="s">
        <v>3</v>
      </c>
      <c r="E1222" t="s">
        <v>162</v>
      </c>
      <c r="F1222" t="str">
        <f>VLOOKUP(A1222,[1]Kreise!$A$1:$C$53,3,FALSE)</f>
        <v>K03354</v>
      </c>
      <c r="G1222">
        <v>57.142857142857139</v>
      </c>
    </row>
    <row r="1223" spans="1:7" x14ac:dyDescent="0.25">
      <c r="A1223">
        <v>355</v>
      </c>
      <c r="B1223">
        <v>2005</v>
      </c>
      <c r="C1223" t="str">
        <f>VLOOKUP(A1223,[2]Tabelle1!$A$1:$B$68,2,FALSE)</f>
        <v>Lüneburg</v>
      </c>
      <c r="D1223" t="s">
        <v>3</v>
      </c>
      <c r="E1223" t="s">
        <v>162</v>
      </c>
      <c r="F1223" t="str">
        <f>VLOOKUP(A1223,[1]Kreise!$A$1:$C$53,3,FALSE)</f>
        <v>K03355</v>
      </c>
      <c r="G1223">
        <v>26.506024096385545</v>
      </c>
    </row>
    <row r="1224" spans="1:7" x14ac:dyDescent="0.25">
      <c r="A1224">
        <v>356</v>
      </c>
      <c r="B1224">
        <v>2005</v>
      </c>
      <c r="C1224" t="str">
        <f>VLOOKUP(A1224,[2]Tabelle1!$A$1:$B$68,2,FALSE)</f>
        <v>Osterholz</v>
      </c>
      <c r="D1224" t="s">
        <v>3</v>
      </c>
      <c r="E1224" t="s">
        <v>162</v>
      </c>
      <c r="F1224" t="str">
        <f>VLOOKUP(A1224,[1]Kreise!$A$1:$C$53,3,FALSE)</f>
        <v>K03356</v>
      </c>
      <c r="G1224">
        <v>37.5</v>
      </c>
    </row>
    <row r="1225" spans="1:7" x14ac:dyDescent="0.25">
      <c r="A1225">
        <v>357</v>
      </c>
      <c r="B1225">
        <v>2005</v>
      </c>
      <c r="C1225" t="str">
        <f>VLOOKUP(A1225,[2]Tabelle1!$A$1:$B$68,2,FALSE)</f>
        <v>Rotenburg (Wümme)</v>
      </c>
      <c r="D1225" t="s">
        <v>3</v>
      </c>
      <c r="E1225" t="s">
        <v>162</v>
      </c>
      <c r="F1225" t="str">
        <f>VLOOKUP(A1225,[1]Kreise!$A$1:$C$53,3,FALSE)</f>
        <v>K03357</v>
      </c>
      <c r="G1225">
        <v>20.224719101123593</v>
      </c>
    </row>
    <row r="1226" spans="1:7" x14ac:dyDescent="0.25">
      <c r="A1226">
        <v>358</v>
      </c>
      <c r="B1226">
        <v>2005</v>
      </c>
      <c r="C1226" t="str">
        <f>VLOOKUP(A1226,[2]Tabelle1!$A$1:$B$68,2,FALSE)</f>
        <v>Heidekreis</v>
      </c>
      <c r="D1226" t="s">
        <v>3</v>
      </c>
      <c r="E1226" t="s">
        <v>162</v>
      </c>
      <c r="F1226" t="str">
        <f>VLOOKUP(A1226,[1]Kreise!$A$1:$C$53,3,FALSE)</f>
        <v>K03358</v>
      </c>
      <c r="G1226">
        <v>28.695652173913043</v>
      </c>
    </row>
    <row r="1227" spans="1:7" x14ac:dyDescent="0.25">
      <c r="A1227">
        <v>359</v>
      </c>
      <c r="B1227">
        <v>2005</v>
      </c>
      <c r="C1227" t="str">
        <f>VLOOKUP(A1227,[2]Tabelle1!$A$1:$B$68,2,FALSE)</f>
        <v>Stade</v>
      </c>
      <c r="D1227" t="s">
        <v>3</v>
      </c>
      <c r="E1227" t="s">
        <v>162</v>
      </c>
      <c r="F1227" t="str">
        <f>VLOOKUP(A1227,[1]Kreise!$A$1:$C$53,3,FALSE)</f>
        <v>K03359</v>
      </c>
      <c r="G1227">
        <v>25.688073394495415</v>
      </c>
    </row>
    <row r="1228" spans="1:7" x14ac:dyDescent="0.25">
      <c r="A1228">
        <v>360</v>
      </c>
      <c r="B1228">
        <v>2005</v>
      </c>
      <c r="C1228" t="str">
        <f>VLOOKUP(A1228,[2]Tabelle1!$A$1:$B$68,2,FALSE)</f>
        <v>Uelzen</v>
      </c>
      <c r="D1228" t="s">
        <v>3</v>
      </c>
      <c r="E1228" t="s">
        <v>162</v>
      </c>
      <c r="F1228" t="str">
        <f>VLOOKUP(A1228,[1]Kreise!$A$1:$C$53,3,FALSE)</f>
        <v>K03360</v>
      </c>
      <c r="G1228">
        <v>45.238095238095241</v>
      </c>
    </row>
    <row r="1229" spans="1:7" x14ac:dyDescent="0.25">
      <c r="A1229">
        <v>361</v>
      </c>
      <c r="B1229">
        <v>2005</v>
      </c>
      <c r="C1229" t="str">
        <f>VLOOKUP(A1229,[2]Tabelle1!$A$1:$B$68,2,FALSE)</f>
        <v>Verden</v>
      </c>
      <c r="D1229" t="s">
        <v>3</v>
      </c>
      <c r="E1229" t="s">
        <v>162</v>
      </c>
      <c r="F1229" t="str">
        <f>VLOOKUP(A1229,[1]Kreise!$A$1:$C$53,3,FALSE)</f>
        <v>K03361</v>
      </c>
      <c r="G1229">
        <v>35.606060606060609</v>
      </c>
    </row>
    <row r="1230" spans="1:7" x14ac:dyDescent="0.25">
      <c r="A1230">
        <v>3</v>
      </c>
      <c r="B1230">
        <v>2005</v>
      </c>
      <c r="C1230" t="str">
        <f>VLOOKUP(A1230,[2]Tabelle1!$A$1:$B$68,2,FALSE)</f>
        <v>Statistische Region Lüneburg</v>
      </c>
      <c r="D1230" t="s">
        <v>3</v>
      </c>
      <c r="E1230" t="s">
        <v>162</v>
      </c>
      <c r="F1230" t="str">
        <f>VLOOKUP(A1230,[1]Kreise!$A$1:$C$53,3,FALSE)</f>
        <v>K033</v>
      </c>
      <c r="G1230">
        <v>31.244064577397911</v>
      </c>
    </row>
    <row r="1231" spans="1:7" x14ac:dyDescent="0.25">
      <c r="A1231">
        <v>401</v>
      </c>
      <c r="B1231">
        <v>2005</v>
      </c>
      <c r="C1231" t="str">
        <f>VLOOKUP(A1231,[2]Tabelle1!$A$1:$B$68,2,FALSE)</f>
        <v>Delmenhorst  Stadt</v>
      </c>
      <c r="D1231" t="s">
        <v>3</v>
      </c>
      <c r="E1231" t="s">
        <v>162</v>
      </c>
      <c r="F1231" t="str">
        <f>VLOOKUP(A1231,[1]Kreise!$A$1:$C$53,3,FALSE)</f>
        <v>K03401</v>
      </c>
      <c r="G1231">
        <v>25.563909774436087</v>
      </c>
    </row>
    <row r="1232" spans="1:7" x14ac:dyDescent="0.25">
      <c r="A1232">
        <v>402</v>
      </c>
      <c r="B1232">
        <v>2005</v>
      </c>
      <c r="C1232" t="str">
        <f>VLOOKUP(A1232,[2]Tabelle1!$A$1:$B$68,2,FALSE)</f>
        <v>Emden  Stadt</v>
      </c>
      <c r="D1232" t="s">
        <v>3</v>
      </c>
      <c r="E1232" t="s">
        <v>162</v>
      </c>
      <c r="F1232" t="str">
        <f>VLOOKUP(A1232,[1]Kreise!$A$1:$C$53,3,FALSE)</f>
        <v>K03402</v>
      </c>
      <c r="G1232">
        <v>45.454545454545453</v>
      </c>
    </row>
    <row r="1233" spans="1:7" x14ac:dyDescent="0.25">
      <c r="A1233">
        <v>403</v>
      </c>
      <c r="B1233">
        <v>2005</v>
      </c>
      <c r="C1233" t="str">
        <f>VLOOKUP(A1233,[2]Tabelle1!$A$1:$B$68,2,FALSE)</f>
        <v>Oldenburg(Oldb)  Stadt</v>
      </c>
      <c r="D1233" t="s">
        <v>3</v>
      </c>
      <c r="E1233" t="s">
        <v>162</v>
      </c>
      <c r="F1233" t="str">
        <f>VLOOKUP(A1233,[1]Kreise!$A$1:$C$53,3,FALSE)</f>
        <v>K03403</v>
      </c>
      <c r="G1233">
        <v>29.545454545454547</v>
      </c>
    </row>
    <row r="1234" spans="1:7" x14ac:dyDescent="0.25">
      <c r="A1234">
        <v>404</v>
      </c>
      <c r="B1234">
        <v>2005</v>
      </c>
      <c r="C1234" t="str">
        <f>VLOOKUP(A1234,[2]Tabelle1!$A$1:$B$68,2,FALSE)</f>
        <v>Osnabrück  Stadt</v>
      </c>
      <c r="D1234" t="s">
        <v>3</v>
      </c>
      <c r="E1234" t="s">
        <v>162</v>
      </c>
      <c r="F1234" t="str">
        <f>VLOOKUP(A1234,[1]Kreise!$A$1:$C$53,3,FALSE)</f>
        <v>K03404</v>
      </c>
      <c r="G1234">
        <v>16.513761467889911</v>
      </c>
    </row>
    <row r="1235" spans="1:7" x14ac:dyDescent="0.25">
      <c r="A1235">
        <v>405</v>
      </c>
      <c r="B1235">
        <v>2005</v>
      </c>
      <c r="C1235" t="str">
        <f>VLOOKUP(A1235,[2]Tabelle1!$A$1:$B$68,2,FALSE)</f>
        <v>Wilhelmshaven  Stadt</v>
      </c>
      <c r="D1235" t="s">
        <v>3</v>
      </c>
      <c r="E1235" t="s">
        <v>162</v>
      </c>
      <c r="F1235" t="str">
        <f>VLOOKUP(A1235,[1]Kreise!$A$1:$C$53,3,FALSE)</f>
        <v>K03405</v>
      </c>
      <c r="G1235">
        <v>27.027027027027028</v>
      </c>
    </row>
    <row r="1236" spans="1:7" x14ac:dyDescent="0.25">
      <c r="A1236">
        <v>451</v>
      </c>
      <c r="B1236">
        <v>2005</v>
      </c>
      <c r="C1236" t="str">
        <f>VLOOKUP(A1236,[2]Tabelle1!$A$1:$B$68,2,FALSE)</f>
        <v>Ammerland</v>
      </c>
      <c r="D1236" t="s">
        <v>3</v>
      </c>
      <c r="E1236" t="s">
        <v>162</v>
      </c>
      <c r="F1236" t="str">
        <f>VLOOKUP(A1236,[1]Kreise!$A$1:$C$53,3,FALSE)</f>
        <v>K03451</v>
      </c>
      <c r="G1236">
        <v>30.612244897959183</v>
      </c>
    </row>
    <row r="1237" spans="1:7" x14ac:dyDescent="0.25">
      <c r="A1237">
        <v>452</v>
      </c>
      <c r="B1237">
        <v>2005</v>
      </c>
      <c r="C1237" t="str">
        <f>VLOOKUP(A1237,[2]Tabelle1!$A$1:$B$68,2,FALSE)</f>
        <v>Aurich</v>
      </c>
      <c r="D1237" t="s">
        <v>3</v>
      </c>
      <c r="E1237" t="s">
        <v>162</v>
      </c>
      <c r="F1237" t="str">
        <f>VLOOKUP(A1237,[1]Kreise!$A$1:$C$53,3,FALSE)</f>
        <v>K03452</v>
      </c>
      <c r="G1237">
        <v>30</v>
      </c>
    </row>
    <row r="1238" spans="1:7" x14ac:dyDescent="0.25">
      <c r="A1238">
        <v>453</v>
      </c>
      <c r="B1238">
        <v>2005</v>
      </c>
      <c r="C1238" t="str">
        <f>VLOOKUP(A1238,[2]Tabelle1!$A$1:$B$68,2,FALSE)</f>
        <v>Cloppenburg</v>
      </c>
      <c r="D1238" t="s">
        <v>3</v>
      </c>
      <c r="E1238" t="s">
        <v>162</v>
      </c>
      <c r="F1238" t="str">
        <f>VLOOKUP(A1238,[1]Kreise!$A$1:$C$53,3,FALSE)</f>
        <v>K03453</v>
      </c>
      <c r="G1238">
        <v>36.363636363636367</v>
      </c>
    </row>
    <row r="1239" spans="1:7" x14ac:dyDescent="0.25">
      <c r="A1239">
        <v>454</v>
      </c>
      <c r="B1239">
        <v>2005</v>
      </c>
      <c r="C1239" t="str">
        <f>VLOOKUP(A1239,[2]Tabelle1!$A$1:$B$68,2,FALSE)</f>
        <v>Emsland</v>
      </c>
      <c r="D1239" t="s">
        <v>3</v>
      </c>
      <c r="E1239" t="s">
        <v>162</v>
      </c>
      <c r="F1239" t="str">
        <f>VLOOKUP(A1239,[1]Kreise!$A$1:$C$53,3,FALSE)</f>
        <v>K03454</v>
      </c>
      <c r="G1239">
        <v>37.623762376237622</v>
      </c>
    </row>
    <row r="1240" spans="1:7" x14ac:dyDescent="0.25">
      <c r="A1240">
        <v>455</v>
      </c>
      <c r="B1240">
        <v>2005</v>
      </c>
      <c r="C1240" t="str">
        <f>VLOOKUP(A1240,[2]Tabelle1!$A$1:$B$68,2,FALSE)</f>
        <v>Friesland</v>
      </c>
      <c r="D1240" t="s">
        <v>3</v>
      </c>
      <c r="E1240" t="s">
        <v>162</v>
      </c>
      <c r="F1240" t="str">
        <f>VLOOKUP(A1240,[1]Kreise!$A$1:$C$53,3,FALSE)</f>
        <v>K03455</v>
      </c>
      <c r="G1240">
        <v>32.352941176470587</v>
      </c>
    </row>
    <row r="1241" spans="1:7" x14ac:dyDescent="0.25">
      <c r="A1241">
        <v>456</v>
      </c>
      <c r="B1241">
        <v>2005</v>
      </c>
      <c r="C1241" t="str">
        <f>VLOOKUP(A1241,[2]Tabelle1!$A$1:$B$68,2,FALSE)</f>
        <v>Grafschaft Bentheim</v>
      </c>
      <c r="D1241" t="s">
        <v>3</v>
      </c>
      <c r="E1241" t="s">
        <v>162</v>
      </c>
      <c r="F1241" t="str">
        <f>VLOOKUP(A1241,[1]Kreise!$A$1:$C$53,3,FALSE)</f>
        <v>K03456</v>
      </c>
      <c r="G1241">
        <v>27.450980392156865</v>
      </c>
    </row>
    <row r="1242" spans="1:7" x14ac:dyDescent="0.25">
      <c r="A1242">
        <v>457</v>
      </c>
      <c r="B1242">
        <v>2005</v>
      </c>
      <c r="C1242" t="str">
        <f>VLOOKUP(A1242,[2]Tabelle1!$A$1:$B$68,2,FALSE)</f>
        <v>Leer</v>
      </c>
      <c r="D1242" t="s">
        <v>3</v>
      </c>
      <c r="E1242" t="s">
        <v>162</v>
      </c>
      <c r="F1242" t="str">
        <f>VLOOKUP(A1242,[1]Kreise!$A$1:$C$53,3,FALSE)</f>
        <v>K03457</v>
      </c>
      <c r="G1242">
        <v>34.848484848484851</v>
      </c>
    </row>
    <row r="1243" spans="1:7" x14ac:dyDescent="0.25">
      <c r="A1243">
        <v>458</v>
      </c>
      <c r="B1243">
        <v>2005</v>
      </c>
      <c r="C1243" t="str">
        <f>VLOOKUP(A1243,[2]Tabelle1!$A$1:$B$68,2,FALSE)</f>
        <v>Oldenburg</v>
      </c>
      <c r="D1243" t="s">
        <v>3</v>
      </c>
      <c r="E1243" t="s">
        <v>162</v>
      </c>
      <c r="F1243" t="str">
        <f>VLOOKUP(A1243,[1]Kreise!$A$1:$C$53,3,FALSE)</f>
        <v>K03458</v>
      </c>
      <c r="G1243">
        <v>27.777777777777779</v>
      </c>
    </row>
    <row r="1244" spans="1:7" x14ac:dyDescent="0.25">
      <c r="A1244">
        <v>459</v>
      </c>
      <c r="B1244">
        <v>2005</v>
      </c>
      <c r="C1244" t="str">
        <f>VLOOKUP(A1244,[2]Tabelle1!$A$1:$B$68,2,FALSE)</f>
        <v>Osnabrück</v>
      </c>
      <c r="D1244" t="s">
        <v>3</v>
      </c>
      <c r="E1244" t="s">
        <v>162</v>
      </c>
      <c r="F1244" t="str">
        <f>VLOOKUP(A1244,[1]Kreise!$A$1:$C$53,3,FALSE)</f>
        <v>K03459</v>
      </c>
      <c r="G1244">
        <v>27.983539094650205</v>
      </c>
    </row>
    <row r="1245" spans="1:7" x14ac:dyDescent="0.25">
      <c r="A1245">
        <v>460</v>
      </c>
      <c r="B1245">
        <v>2005</v>
      </c>
      <c r="C1245" t="str">
        <f>VLOOKUP(A1245,[2]Tabelle1!$A$1:$B$68,2,FALSE)</f>
        <v>Vechta</v>
      </c>
      <c r="D1245" t="s">
        <v>3</v>
      </c>
      <c r="E1245" t="s">
        <v>162</v>
      </c>
      <c r="F1245" t="str">
        <f>VLOOKUP(A1245,[1]Kreise!$A$1:$C$53,3,FALSE)</f>
        <v>K03460</v>
      </c>
      <c r="G1245">
        <v>23.622047244094489</v>
      </c>
    </row>
    <row r="1246" spans="1:7" x14ac:dyDescent="0.25">
      <c r="A1246">
        <v>461</v>
      </c>
      <c r="B1246">
        <v>2005</v>
      </c>
      <c r="C1246" t="str">
        <f>VLOOKUP(A1246,[2]Tabelle1!$A$1:$B$68,2,FALSE)</f>
        <v>Wesermarsch</v>
      </c>
      <c r="D1246" t="s">
        <v>3</v>
      </c>
      <c r="E1246" t="s">
        <v>162</v>
      </c>
      <c r="F1246" t="str">
        <f>VLOOKUP(A1246,[1]Kreise!$A$1:$C$53,3,FALSE)</f>
        <v>K03461</v>
      </c>
      <c r="G1246">
        <v>14.492753623188406</v>
      </c>
    </row>
    <row r="1247" spans="1:7" x14ac:dyDescent="0.25">
      <c r="A1247">
        <v>462</v>
      </c>
      <c r="B1247">
        <v>2005</v>
      </c>
      <c r="C1247" t="str">
        <f>VLOOKUP(A1247,[2]Tabelle1!$A$1:$B$68,2,FALSE)</f>
        <v>Wittmund</v>
      </c>
      <c r="D1247" t="s">
        <v>3</v>
      </c>
      <c r="E1247" t="s">
        <v>162</v>
      </c>
      <c r="F1247" t="str">
        <f>VLOOKUP(A1247,[1]Kreise!$A$1:$C$53,3,FALSE)</f>
        <v>K03462</v>
      </c>
      <c r="G1247">
        <v>25.925925925925924</v>
      </c>
    </row>
    <row r="1248" spans="1:7" x14ac:dyDescent="0.25">
      <c r="A1248">
        <v>4</v>
      </c>
      <c r="B1248">
        <v>2005</v>
      </c>
      <c r="C1248" t="str">
        <f>VLOOKUP(A1248,[2]Tabelle1!$A$1:$B$68,2,FALSE)</f>
        <v>Statistische Region Weser-Ems</v>
      </c>
      <c r="D1248" t="s">
        <v>3</v>
      </c>
      <c r="E1248" t="s">
        <v>162</v>
      </c>
      <c r="F1248" t="str">
        <f>VLOOKUP(A1248,[1]Kreise!$A$1:$C$53,3,FALSE)</f>
        <v>K034</v>
      </c>
      <c r="G1248">
        <v>27.238095238095241</v>
      </c>
    </row>
    <row r="1249" spans="1:7" x14ac:dyDescent="0.25">
      <c r="A1249">
        <v>0</v>
      </c>
      <c r="B1249">
        <v>2005</v>
      </c>
      <c r="C1249" t="str">
        <f>VLOOKUP(A1249,[2]Tabelle1!$A$1:$B$68,2,FALSE)</f>
        <v>Niedersachsen</v>
      </c>
      <c r="D1249" t="s">
        <v>3</v>
      </c>
      <c r="E1249" t="s">
        <v>162</v>
      </c>
      <c r="F1249" t="str">
        <f>VLOOKUP(A1249,[1]Kreise!$A$1:$C$53,3,FALSE)</f>
        <v>K030</v>
      </c>
      <c r="G1249">
        <v>25.023357209592028</v>
      </c>
    </row>
    <row r="1250" spans="1:7" x14ac:dyDescent="0.25">
      <c r="A1250">
        <v>101</v>
      </c>
      <c r="B1250">
        <v>2011</v>
      </c>
      <c r="C1250" t="str">
        <f>VLOOKUP(A1250,[2]Tabelle1!$A$1:$B$68,2,FALSE)</f>
        <v>Braunschweig  Stadt</v>
      </c>
      <c r="D1250" t="s">
        <v>2</v>
      </c>
      <c r="E1250" t="s">
        <v>162</v>
      </c>
      <c r="F1250" t="str">
        <f>VLOOKUP(A1250,[1]Kreise!$A$1:$C$53,3,FALSE)</f>
        <v>K03101</v>
      </c>
      <c r="G1250">
        <v>3.918022905364678</v>
      </c>
    </row>
    <row r="1251" spans="1:7" x14ac:dyDescent="0.25">
      <c r="A1251">
        <v>102</v>
      </c>
      <c r="B1251">
        <v>2011</v>
      </c>
      <c r="C1251" t="str">
        <f>VLOOKUP(A1251,[2]Tabelle1!$A$1:$B$68,2,FALSE)</f>
        <v>Salzgitter  Stadt</v>
      </c>
      <c r="D1251" t="s">
        <v>2</v>
      </c>
      <c r="E1251" t="s">
        <v>162</v>
      </c>
      <c r="F1251" t="str">
        <f>VLOOKUP(A1251,[1]Kreise!$A$1:$C$53,3,FALSE)</f>
        <v>K03102</v>
      </c>
      <c r="G1251">
        <v>2.763157894736842</v>
      </c>
    </row>
    <row r="1252" spans="1:7" x14ac:dyDescent="0.25">
      <c r="A1252">
        <v>103</v>
      </c>
      <c r="B1252">
        <v>2011</v>
      </c>
      <c r="C1252" t="str">
        <f>VLOOKUP(A1252,[2]Tabelle1!$A$1:$B$68,2,FALSE)</f>
        <v>Wolfsburg  Stadt</v>
      </c>
      <c r="D1252" t="s">
        <v>2</v>
      </c>
      <c r="E1252" t="s">
        <v>162</v>
      </c>
      <c r="F1252" t="str">
        <f>VLOOKUP(A1252,[1]Kreise!$A$1:$C$53,3,FALSE)</f>
        <v>K03103</v>
      </c>
      <c r="G1252">
        <v>5.2154195011337867</v>
      </c>
    </row>
    <row r="1253" spans="1:7" x14ac:dyDescent="0.25">
      <c r="A1253">
        <v>151</v>
      </c>
      <c r="B1253">
        <v>2011</v>
      </c>
      <c r="C1253" t="str">
        <f>VLOOKUP(A1253,[2]Tabelle1!$A$1:$B$68,2,FALSE)</f>
        <v>Gifhorn</v>
      </c>
      <c r="D1253" t="s">
        <v>2</v>
      </c>
      <c r="E1253" t="s">
        <v>162</v>
      </c>
      <c r="F1253" t="str">
        <f>VLOOKUP(A1253,[1]Kreise!$A$1:$C$53,3,FALSE)</f>
        <v>K03151</v>
      </c>
      <c r="G1253">
        <v>4.5808966861598437</v>
      </c>
    </row>
    <row r="1254" spans="1:7" x14ac:dyDescent="0.25">
      <c r="A1254">
        <v>153</v>
      </c>
      <c r="B1254">
        <v>2011</v>
      </c>
      <c r="C1254" t="str">
        <f>VLOOKUP(A1254,[2]Tabelle1!$A$1:$B$68,2,FALSE)</f>
        <v>Goslar</v>
      </c>
      <c r="D1254" t="s">
        <v>2</v>
      </c>
      <c r="E1254" t="s">
        <v>162</v>
      </c>
      <c r="F1254" t="str">
        <f>VLOOKUP(A1254,[1]Kreise!$A$1:$C$53,3,FALSE)</f>
        <v>K03153</v>
      </c>
      <c r="G1254">
        <v>4.9689440993788816</v>
      </c>
    </row>
    <row r="1255" spans="1:7" x14ac:dyDescent="0.25">
      <c r="A1255">
        <v>154</v>
      </c>
      <c r="B1255">
        <v>2011</v>
      </c>
      <c r="C1255" t="str">
        <f>VLOOKUP(A1255,[2]Tabelle1!$A$1:$B$68,2,FALSE)</f>
        <v>Helmstedt</v>
      </c>
      <c r="D1255" t="s">
        <v>2</v>
      </c>
      <c r="E1255" t="s">
        <v>162</v>
      </c>
      <c r="F1255" t="str">
        <f>VLOOKUP(A1255,[1]Kreise!$A$1:$C$53,3,FALSE)</f>
        <v>K03154</v>
      </c>
      <c r="G1255">
        <v>4.0254237288135588</v>
      </c>
    </row>
    <row r="1256" spans="1:7" x14ac:dyDescent="0.25">
      <c r="A1256">
        <v>155</v>
      </c>
      <c r="B1256">
        <v>2011</v>
      </c>
      <c r="C1256" t="str">
        <f>VLOOKUP(A1256,[2]Tabelle1!$A$1:$B$68,2,FALSE)</f>
        <v>Northeim</v>
      </c>
      <c r="D1256" t="s">
        <v>2</v>
      </c>
      <c r="E1256" t="s">
        <v>162</v>
      </c>
      <c r="F1256" t="str">
        <f>VLOOKUP(A1256,[1]Kreise!$A$1:$C$53,3,FALSE)</f>
        <v>K03155</v>
      </c>
      <c r="G1256">
        <v>2.8344671201814062</v>
      </c>
    </row>
    <row r="1257" spans="1:7" x14ac:dyDescent="0.25">
      <c r="A1257">
        <v>157</v>
      </c>
      <c r="B1257">
        <v>2011</v>
      </c>
      <c r="C1257" t="str">
        <f>VLOOKUP(A1257,[2]Tabelle1!$A$1:$B$68,2,FALSE)</f>
        <v>Peine</v>
      </c>
      <c r="D1257" t="s">
        <v>2</v>
      </c>
      <c r="E1257" t="s">
        <v>162</v>
      </c>
      <c r="F1257" t="str">
        <f>VLOOKUP(A1257,[1]Kreise!$A$1:$C$53,3,FALSE)</f>
        <v>K03157</v>
      </c>
      <c r="G1257">
        <v>2.6345933562428407</v>
      </c>
    </row>
    <row r="1258" spans="1:7" x14ac:dyDescent="0.25">
      <c r="A1258">
        <v>158</v>
      </c>
      <c r="B1258">
        <v>2011</v>
      </c>
      <c r="C1258" t="str">
        <f>VLOOKUP(A1258,[2]Tabelle1!$A$1:$B$68,2,FALSE)</f>
        <v>Wolfenbüttel</v>
      </c>
      <c r="D1258" t="s">
        <v>2</v>
      </c>
      <c r="E1258" t="s">
        <v>162</v>
      </c>
      <c r="F1258" t="str">
        <f>VLOOKUP(A1258,[1]Kreise!$A$1:$C$53,3,FALSE)</f>
        <v>K03158</v>
      </c>
      <c r="G1258">
        <v>4.2016806722689077</v>
      </c>
    </row>
    <row r="1259" spans="1:7" x14ac:dyDescent="0.25">
      <c r="A1259">
        <v>159</v>
      </c>
      <c r="B1259">
        <v>2011</v>
      </c>
      <c r="C1259" t="str">
        <f>VLOOKUP(A1259,[2]Tabelle1!$A$1:$B$68,2,FALSE)</f>
        <v>Göttingen</v>
      </c>
      <c r="D1259" t="s">
        <v>2</v>
      </c>
      <c r="E1259" t="s">
        <v>162</v>
      </c>
      <c r="F1259" t="str">
        <f>VLOOKUP(A1259,[1]Kreise!$A$1:$C$53,3,FALSE)</f>
        <v>K03159</v>
      </c>
      <c r="G1259">
        <v>4.0409079570965334</v>
      </c>
    </row>
    <row r="1260" spans="1:7" x14ac:dyDescent="0.25">
      <c r="A1260">
        <v>1</v>
      </c>
      <c r="B1260">
        <v>2011</v>
      </c>
      <c r="C1260" t="str">
        <f>VLOOKUP(A1260,[2]Tabelle1!$A$1:$B$68,2,FALSE)</f>
        <v>Statistische Region Braunschweig</v>
      </c>
      <c r="D1260" t="s">
        <v>2</v>
      </c>
      <c r="E1260" t="s">
        <v>162</v>
      </c>
      <c r="F1260" t="str">
        <f>VLOOKUP(A1260,[1]Kreise!$A$1:$C$53,3,FALSE)</f>
        <v>K031</v>
      </c>
      <c r="G1260">
        <v>3.8253515586586682</v>
      </c>
    </row>
    <row r="1261" spans="1:7" x14ac:dyDescent="0.25">
      <c r="A1261">
        <v>241</v>
      </c>
      <c r="B1261">
        <v>2011</v>
      </c>
      <c r="C1261" t="str">
        <f>VLOOKUP(A1261,[2]Tabelle1!$A$1:$B$68,2,FALSE)</f>
        <v>Hannover  Region</v>
      </c>
      <c r="D1261" t="s">
        <v>2</v>
      </c>
      <c r="E1261" t="s">
        <v>162</v>
      </c>
      <c r="F1261" t="str">
        <f>VLOOKUP(A1261,[1]Kreise!$A$1:$C$53,3,FALSE)</f>
        <v>K03241</v>
      </c>
      <c r="G1261">
        <v>3.8193391936950594</v>
      </c>
    </row>
    <row r="1262" spans="1:7" x14ac:dyDescent="0.25">
      <c r="A1262">
        <v>241001</v>
      </c>
      <c r="B1262">
        <v>2011</v>
      </c>
      <c r="C1262" t="str">
        <f>VLOOKUP(A1262,[2]Tabelle1!$A$1:$B$68,2,FALSE)</f>
        <v>dav. Hannover  Lhst.</v>
      </c>
      <c r="D1262" t="s">
        <v>2</v>
      </c>
      <c r="E1262" t="s">
        <v>162</v>
      </c>
      <c r="F1262" t="str">
        <f>VLOOKUP(A1262,[1]Kreise!$A$1:$C$53,3,FALSE)</f>
        <v>K03241001</v>
      </c>
      <c r="G1262">
        <v>4.4288224956063269</v>
      </c>
    </row>
    <row r="1263" spans="1:7" x14ac:dyDescent="0.25">
      <c r="A1263">
        <v>241999</v>
      </c>
      <c r="B1263">
        <v>2011</v>
      </c>
      <c r="C1263" t="str">
        <f>VLOOKUP(A1263,[2]Tabelle1!$A$1:$B$68,2,FALSE)</f>
        <v>dav. Hannover  Umland</v>
      </c>
      <c r="D1263" t="s">
        <v>2</v>
      </c>
      <c r="E1263" t="s">
        <v>162</v>
      </c>
      <c r="F1263" t="str">
        <f>VLOOKUP(A1263,[1]Kreise!$A$1:$C$53,3,FALSE)</f>
        <v>K03241999</v>
      </c>
      <c r="G1263">
        <v>3.3573141486810552</v>
      </c>
    </row>
    <row r="1264" spans="1:7" x14ac:dyDescent="0.25">
      <c r="A1264">
        <v>251</v>
      </c>
      <c r="B1264">
        <v>2011</v>
      </c>
      <c r="C1264" t="str">
        <f>VLOOKUP(A1264,[2]Tabelle1!$A$1:$B$68,2,FALSE)</f>
        <v>Diepholz</v>
      </c>
      <c r="D1264" t="s">
        <v>2</v>
      </c>
      <c r="E1264" t="s">
        <v>162</v>
      </c>
      <c r="F1264" t="str">
        <f>VLOOKUP(A1264,[1]Kreise!$A$1:$C$53,3,FALSE)</f>
        <v>K03251</v>
      </c>
      <c r="G1264">
        <v>3.7267080745341614</v>
      </c>
    </row>
    <row r="1265" spans="1:7" x14ac:dyDescent="0.25">
      <c r="A1265">
        <v>252</v>
      </c>
      <c r="B1265">
        <v>2011</v>
      </c>
      <c r="C1265" t="str">
        <f>VLOOKUP(A1265,[2]Tabelle1!$A$1:$B$68,2,FALSE)</f>
        <v>Hameln-Pyrmont</v>
      </c>
      <c r="D1265" t="s">
        <v>2</v>
      </c>
      <c r="E1265" t="s">
        <v>162</v>
      </c>
      <c r="F1265" t="str">
        <f>VLOOKUP(A1265,[1]Kreise!$A$1:$C$53,3,FALSE)</f>
        <v>K03252</v>
      </c>
      <c r="G1265">
        <v>6.072477962781587</v>
      </c>
    </row>
    <row r="1266" spans="1:7" x14ac:dyDescent="0.25">
      <c r="A1266">
        <v>254</v>
      </c>
      <c r="B1266">
        <v>2011</v>
      </c>
      <c r="C1266" t="str">
        <f>VLOOKUP(A1266,[2]Tabelle1!$A$1:$B$68,2,FALSE)</f>
        <v>Hildesheim</v>
      </c>
      <c r="D1266" t="s">
        <v>2</v>
      </c>
      <c r="E1266" t="s">
        <v>162</v>
      </c>
      <c r="F1266" t="str">
        <f>VLOOKUP(A1266,[1]Kreise!$A$1:$C$53,3,FALSE)</f>
        <v>K03254</v>
      </c>
      <c r="G1266">
        <v>4.2381974248927046</v>
      </c>
    </row>
    <row r="1267" spans="1:7" x14ac:dyDescent="0.25">
      <c r="A1267">
        <v>255</v>
      </c>
      <c r="B1267">
        <v>2011</v>
      </c>
      <c r="C1267" t="str">
        <f>VLOOKUP(A1267,[2]Tabelle1!$A$1:$B$68,2,FALSE)</f>
        <v>Holzminden</v>
      </c>
      <c r="D1267" t="s">
        <v>2</v>
      </c>
      <c r="E1267" t="s">
        <v>162</v>
      </c>
      <c r="F1267" t="str">
        <f>VLOOKUP(A1267,[1]Kreise!$A$1:$C$53,3,FALSE)</f>
        <v>K03255</v>
      </c>
      <c r="G1267">
        <v>2.9891304347826089</v>
      </c>
    </row>
    <row r="1268" spans="1:7" x14ac:dyDescent="0.25">
      <c r="A1268">
        <v>256</v>
      </c>
      <c r="B1268">
        <v>2011</v>
      </c>
      <c r="C1268" t="str">
        <f>VLOOKUP(A1268,[2]Tabelle1!$A$1:$B$68,2,FALSE)</f>
        <v>Nienburg (Weser)</v>
      </c>
      <c r="D1268" t="s">
        <v>2</v>
      </c>
      <c r="E1268" t="s">
        <v>162</v>
      </c>
      <c r="F1268" t="str">
        <f>VLOOKUP(A1268,[1]Kreise!$A$1:$C$53,3,FALSE)</f>
        <v>K03256</v>
      </c>
      <c r="G1268">
        <v>2.715466351829988</v>
      </c>
    </row>
    <row r="1269" spans="1:7" x14ac:dyDescent="0.25">
      <c r="A1269">
        <v>257</v>
      </c>
      <c r="B1269">
        <v>2011</v>
      </c>
      <c r="C1269" t="str">
        <f>VLOOKUP(A1269,[2]Tabelle1!$A$1:$B$68,2,FALSE)</f>
        <v>Schaumburg</v>
      </c>
      <c r="D1269" t="s">
        <v>2</v>
      </c>
      <c r="E1269" t="s">
        <v>162</v>
      </c>
      <c r="F1269" t="str">
        <f>VLOOKUP(A1269,[1]Kreise!$A$1:$C$53,3,FALSE)</f>
        <v>K03257</v>
      </c>
      <c r="G1269">
        <v>3.6398467432950192</v>
      </c>
    </row>
    <row r="1270" spans="1:7" x14ac:dyDescent="0.25">
      <c r="A1270">
        <v>2</v>
      </c>
      <c r="B1270">
        <v>2011</v>
      </c>
      <c r="C1270" t="str">
        <f>VLOOKUP(A1270,[2]Tabelle1!$A$1:$B$68,2,FALSE)</f>
        <v>Statistische Region Hannover</v>
      </c>
      <c r="D1270" t="s">
        <v>2</v>
      </c>
      <c r="E1270" t="s">
        <v>162</v>
      </c>
      <c r="F1270" t="str">
        <f>VLOOKUP(A1270,[1]Kreise!$A$1:$C$53,3,FALSE)</f>
        <v>K032</v>
      </c>
      <c r="G1270">
        <v>3.9345007959972707</v>
      </c>
    </row>
    <row r="1271" spans="1:7" x14ac:dyDescent="0.25">
      <c r="A1271">
        <v>351</v>
      </c>
      <c r="B1271">
        <v>2011</v>
      </c>
      <c r="C1271" t="str">
        <f>VLOOKUP(A1271,[2]Tabelle1!$A$1:$B$68,2,FALSE)</f>
        <v>Celle</v>
      </c>
      <c r="D1271" t="s">
        <v>2</v>
      </c>
      <c r="E1271" t="s">
        <v>162</v>
      </c>
      <c r="F1271" t="str">
        <f>VLOOKUP(A1271,[1]Kreise!$A$1:$C$53,3,FALSE)</f>
        <v>K03351</v>
      </c>
      <c r="G1271">
        <v>4.5335658238884049</v>
      </c>
    </row>
    <row r="1272" spans="1:7" x14ac:dyDescent="0.25">
      <c r="A1272">
        <v>352</v>
      </c>
      <c r="B1272">
        <v>2011</v>
      </c>
      <c r="C1272" t="str">
        <f>VLOOKUP(A1272,[2]Tabelle1!$A$1:$B$68,2,FALSE)</f>
        <v>Cuxhaven</v>
      </c>
      <c r="D1272" t="s">
        <v>2</v>
      </c>
      <c r="E1272" t="s">
        <v>162</v>
      </c>
      <c r="F1272" t="str">
        <f>VLOOKUP(A1272,[1]Kreise!$A$1:$C$53,3,FALSE)</f>
        <v>K03352</v>
      </c>
      <c r="G1272">
        <v>4.0234702430846605</v>
      </c>
    </row>
    <row r="1273" spans="1:7" x14ac:dyDescent="0.25">
      <c r="A1273">
        <v>353</v>
      </c>
      <c r="B1273">
        <v>2011</v>
      </c>
      <c r="C1273" t="str">
        <f>VLOOKUP(A1273,[2]Tabelle1!$A$1:$B$68,2,FALSE)</f>
        <v>Harburg</v>
      </c>
      <c r="D1273" t="s">
        <v>2</v>
      </c>
      <c r="E1273" t="s">
        <v>162</v>
      </c>
      <c r="F1273" t="str">
        <f>VLOOKUP(A1273,[1]Kreise!$A$1:$C$53,3,FALSE)</f>
        <v>K03353</v>
      </c>
      <c r="G1273">
        <v>3.1003039513677813</v>
      </c>
    </row>
    <row r="1274" spans="1:7" x14ac:dyDescent="0.25">
      <c r="A1274">
        <v>354</v>
      </c>
      <c r="B1274">
        <v>2011</v>
      </c>
      <c r="C1274" t="str">
        <f>VLOOKUP(A1274,[2]Tabelle1!$A$1:$B$68,2,FALSE)</f>
        <v>Lüchow-Dannenberg</v>
      </c>
      <c r="D1274" t="s">
        <v>2</v>
      </c>
      <c r="E1274" t="s">
        <v>162</v>
      </c>
      <c r="F1274" t="str">
        <f>VLOOKUP(A1274,[1]Kreise!$A$1:$C$53,3,FALSE)</f>
        <v>K03354</v>
      </c>
      <c r="G1274">
        <v>3.4129692832764507</v>
      </c>
    </row>
    <row r="1275" spans="1:7" x14ac:dyDescent="0.25">
      <c r="A1275">
        <v>355</v>
      </c>
      <c r="B1275">
        <v>2011</v>
      </c>
      <c r="C1275" t="str">
        <f>VLOOKUP(A1275,[2]Tabelle1!$A$1:$B$68,2,FALSE)</f>
        <v>Lüneburg</v>
      </c>
      <c r="D1275" t="s">
        <v>2</v>
      </c>
      <c r="E1275" t="s">
        <v>162</v>
      </c>
      <c r="F1275" t="str">
        <f>VLOOKUP(A1275,[1]Kreise!$A$1:$C$53,3,FALSE)</f>
        <v>K03355</v>
      </c>
      <c r="G1275">
        <v>2.9387069689336691</v>
      </c>
    </row>
    <row r="1276" spans="1:7" x14ac:dyDescent="0.25">
      <c r="A1276">
        <v>356</v>
      </c>
      <c r="B1276">
        <v>2011</v>
      </c>
      <c r="C1276" t="str">
        <f>VLOOKUP(A1276,[2]Tabelle1!$A$1:$B$68,2,FALSE)</f>
        <v>Osterholz</v>
      </c>
      <c r="D1276" t="s">
        <v>2</v>
      </c>
      <c r="E1276" t="s">
        <v>162</v>
      </c>
      <c r="F1276" t="str">
        <f>VLOOKUP(A1276,[1]Kreise!$A$1:$C$53,3,FALSE)</f>
        <v>K03356</v>
      </c>
      <c r="G1276">
        <v>3.5820895522388061</v>
      </c>
    </row>
    <row r="1277" spans="1:7" x14ac:dyDescent="0.25">
      <c r="A1277">
        <v>357</v>
      </c>
      <c r="B1277">
        <v>2011</v>
      </c>
      <c r="C1277" t="str">
        <f>VLOOKUP(A1277,[2]Tabelle1!$A$1:$B$68,2,FALSE)</f>
        <v>Rotenburg (Wümme)</v>
      </c>
      <c r="D1277" t="s">
        <v>2</v>
      </c>
      <c r="E1277" t="s">
        <v>162</v>
      </c>
      <c r="F1277" t="str">
        <f>VLOOKUP(A1277,[1]Kreise!$A$1:$C$53,3,FALSE)</f>
        <v>K03357</v>
      </c>
      <c r="G1277">
        <v>3.6915504511894994</v>
      </c>
    </row>
    <row r="1278" spans="1:7" x14ac:dyDescent="0.25">
      <c r="A1278">
        <v>358</v>
      </c>
      <c r="B1278">
        <v>2011</v>
      </c>
      <c r="C1278" t="str">
        <f>VLOOKUP(A1278,[2]Tabelle1!$A$1:$B$68,2,FALSE)</f>
        <v>Heidekreis</v>
      </c>
      <c r="D1278" t="s">
        <v>2</v>
      </c>
      <c r="E1278" t="s">
        <v>162</v>
      </c>
      <c r="F1278" t="str">
        <f>VLOOKUP(A1278,[1]Kreise!$A$1:$C$53,3,FALSE)</f>
        <v>K03358</v>
      </c>
      <c r="G1278">
        <v>4.4421487603305785</v>
      </c>
    </row>
    <row r="1279" spans="1:7" x14ac:dyDescent="0.25">
      <c r="A1279">
        <v>359</v>
      </c>
      <c r="B1279">
        <v>2011</v>
      </c>
      <c r="C1279" t="str">
        <f>VLOOKUP(A1279,[2]Tabelle1!$A$1:$B$68,2,FALSE)</f>
        <v>Stade</v>
      </c>
      <c r="D1279" t="s">
        <v>2</v>
      </c>
      <c r="E1279" t="s">
        <v>162</v>
      </c>
      <c r="F1279" t="str">
        <f>VLOOKUP(A1279,[1]Kreise!$A$1:$C$53,3,FALSE)</f>
        <v>K03359</v>
      </c>
      <c r="G1279">
        <v>3.8961038961038961</v>
      </c>
    </row>
    <row r="1280" spans="1:7" x14ac:dyDescent="0.25">
      <c r="A1280">
        <v>360</v>
      </c>
      <c r="B1280">
        <v>2011</v>
      </c>
      <c r="C1280" t="str">
        <f>VLOOKUP(A1280,[2]Tabelle1!$A$1:$B$68,2,FALSE)</f>
        <v>Uelzen</v>
      </c>
      <c r="D1280" t="s">
        <v>2</v>
      </c>
      <c r="E1280" t="s">
        <v>162</v>
      </c>
      <c r="F1280" t="str">
        <f>VLOOKUP(A1280,[1]Kreise!$A$1:$C$53,3,FALSE)</f>
        <v>K03360</v>
      </c>
      <c r="G1280">
        <v>2.8963414634146343</v>
      </c>
    </row>
    <row r="1281" spans="1:7" x14ac:dyDescent="0.25">
      <c r="A1281">
        <v>361</v>
      </c>
      <c r="B1281">
        <v>2011</v>
      </c>
      <c r="C1281" t="str">
        <f>VLOOKUP(A1281,[2]Tabelle1!$A$1:$B$68,2,FALSE)</f>
        <v>Verden</v>
      </c>
      <c r="D1281" t="s">
        <v>2</v>
      </c>
      <c r="E1281" t="s">
        <v>162</v>
      </c>
      <c r="F1281" t="str">
        <f>VLOOKUP(A1281,[1]Kreise!$A$1:$C$53,3,FALSE)</f>
        <v>K03361</v>
      </c>
      <c r="G1281">
        <v>2.9655990510083039</v>
      </c>
    </row>
    <row r="1282" spans="1:7" x14ac:dyDescent="0.25">
      <c r="A1282">
        <v>3</v>
      </c>
      <c r="B1282">
        <v>2011</v>
      </c>
      <c r="C1282" t="str">
        <f>VLOOKUP(A1282,[2]Tabelle1!$A$1:$B$68,2,FALSE)</f>
        <v>Statistische Region Lüneburg</v>
      </c>
      <c r="D1282" t="s">
        <v>2</v>
      </c>
      <c r="E1282" t="s">
        <v>162</v>
      </c>
      <c r="F1282" t="str">
        <f>VLOOKUP(A1282,[1]Kreise!$A$1:$C$53,3,FALSE)</f>
        <v>K033</v>
      </c>
      <c r="G1282">
        <v>3.619543739895815</v>
      </c>
    </row>
    <row r="1283" spans="1:7" x14ac:dyDescent="0.25">
      <c r="A1283">
        <v>401</v>
      </c>
      <c r="B1283">
        <v>2011</v>
      </c>
      <c r="C1283" t="str">
        <f>VLOOKUP(A1283,[2]Tabelle1!$A$1:$B$68,2,FALSE)</f>
        <v>Delmenhorst  Stadt</v>
      </c>
      <c r="D1283" t="s">
        <v>2</v>
      </c>
      <c r="E1283" t="s">
        <v>162</v>
      </c>
      <c r="F1283" t="str">
        <f>VLOOKUP(A1283,[1]Kreise!$A$1:$C$53,3,FALSE)</f>
        <v>K03401</v>
      </c>
      <c r="G1283">
        <v>5.6925996204933584</v>
      </c>
    </row>
    <row r="1284" spans="1:7" x14ac:dyDescent="0.25">
      <c r="A1284">
        <v>402</v>
      </c>
      <c r="B1284">
        <v>2011</v>
      </c>
      <c r="C1284" t="str">
        <f>VLOOKUP(A1284,[2]Tabelle1!$A$1:$B$68,2,FALSE)</f>
        <v>Emden  Stadt</v>
      </c>
      <c r="D1284" t="s">
        <v>2</v>
      </c>
      <c r="E1284" t="s">
        <v>162</v>
      </c>
      <c r="F1284" t="str">
        <f>VLOOKUP(A1284,[1]Kreise!$A$1:$C$53,3,FALSE)</f>
        <v>K03402</v>
      </c>
      <c r="G1284">
        <v>3.7135278514588856</v>
      </c>
    </row>
    <row r="1285" spans="1:7" x14ac:dyDescent="0.25">
      <c r="A1285">
        <v>403</v>
      </c>
      <c r="B1285">
        <v>2011</v>
      </c>
      <c r="C1285" t="str">
        <f>VLOOKUP(A1285,[2]Tabelle1!$A$1:$B$68,2,FALSE)</f>
        <v>Oldenburg(Oldb)  Stadt</v>
      </c>
      <c r="D1285" t="s">
        <v>2</v>
      </c>
      <c r="E1285" t="s">
        <v>162</v>
      </c>
      <c r="F1285" t="str">
        <f>VLOOKUP(A1285,[1]Kreise!$A$1:$C$53,3,FALSE)</f>
        <v>K03403</v>
      </c>
      <c r="G1285">
        <v>3.9401103230890469</v>
      </c>
    </row>
    <row r="1286" spans="1:7" x14ac:dyDescent="0.25">
      <c r="A1286">
        <v>404</v>
      </c>
      <c r="B1286">
        <v>2011</v>
      </c>
      <c r="C1286" t="str">
        <f>VLOOKUP(A1286,[2]Tabelle1!$A$1:$B$68,2,FALSE)</f>
        <v>Osnabrück  Stadt</v>
      </c>
      <c r="D1286" t="s">
        <v>2</v>
      </c>
      <c r="E1286" t="s">
        <v>162</v>
      </c>
      <c r="F1286" t="str">
        <f>VLOOKUP(A1286,[1]Kreise!$A$1:$C$53,3,FALSE)</f>
        <v>K03404</v>
      </c>
      <c r="G1286">
        <v>4.0143369175627237</v>
      </c>
    </row>
    <row r="1287" spans="1:7" x14ac:dyDescent="0.25">
      <c r="A1287">
        <v>405</v>
      </c>
      <c r="B1287">
        <v>2011</v>
      </c>
      <c r="C1287" t="str">
        <f>VLOOKUP(A1287,[2]Tabelle1!$A$1:$B$68,2,FALSE)</f>
        <v>Wilhelmshaven  Stadt</v>
      </c>
      <c r="D1287" t="s">
        <v>2</v>
      </c>
      <c r="E1287" t="s">
        <v>162</v>
      </c>
      <c r="F1287" t="str">
        <f>VLOOKUP(A1287,[1]Kreise!$A$1:$C$53,3,FALSE)</f>
        <v>K03405</v>
      </c>
      <c r="G1287">
        <v>2.5</v>
      </c>
    </row>
    <row r="1288" spans="1:7" x14ac:dyDescent="0.25">
      <c r="A1288">
        <v>451</v>
      </c>
      <c r="B1288">
        <v>2011</v>
      </c>
      <c r="C1288" t="str">
        <f>VLOOKUP(A1288,[2]Tabelle1!$A$1:$B$68,2,FALSE)</f>
        <v>Ammerland</v>
      </c>
      <c r="D1288" t="s">
        <v>2</v>
      </c>
      <c r="E1288" t="s">
        <v>162</v>
      </c>
      <c r="F1288" t="str">
        <f>VLOOKUP(A1288,[1]Kreise!$A$1:$C$53,3,FALSE)</f>
        <v>K03451</v>
      </c>
      <c r="G1288">
        <v>3.1377899045020468</v>
      </c>
    </row>
    <row r="1289" spans="1:7" x14ac:dyDescent="0.25">
      <c r="A1289">
        <v>452</v>
      </c>
      <c r="B1289">
        <v>2011</v>
      </c>
      <c r="C1289" t="str">
        <f>VLOOKUP(A1289,[2]Tabelle1!$A$1:$B$68,2,FALSE)</f>
        <v>Aurich</v>
      </c>
      <c r="D1289" t="s">
        <v>2</v>
      </c>
      <c r="E1289" t="s">
        <v>162</v>
      </c>
      <c r="F1289" t="str">
        <f>VLOOKUP(A1289,[1]Kreise!$A$1:$C$53,3,FALSE)</f>
        <v>K03452</v>
      </c>
      <c r="G1289">
        <v>5.9904153354632586</v>
      </c>
    </row>
    <row r="1290" spans="1:7" x14ac:dyDescent="0.25">
      <c r="A1290">
        <v>453</v>
      </c>
      <c r="B1290">
        <v>2011</v>
      </c>
      <c r="C1290" t="str">
        <f>VLOOKUP(A1290,[2]Tabelle1!$A$1:$B$68,2,FALSE)</f>
        <v>Cloppenburg</v>
      </c>
      <c r="D1290" t="s">
        <v>2</v>
      </c>
      <c r="E1290" t="s">
        <v>162</v>
      </c>
      <c r="F1290" t="str">
        <f>VLOOKUP(A1290,[1]Kreise!$A$1:$C$53,3,FALSE)</f>
        <v>K03453</v>
      </c>
      <c r="G1290">
        <v>4.8739495798319332</v>
      </c>
    </row>
    <row r="1291" spans="1:7" x14ac:dyDescent="0.25">
      <c r="A1291">
        <v>454</v>
      </c>
      <c r="B1291">
        <v>2011</v>
      </c>
      <c r="C1291" t="str">
        <f>VLOOKUP(A1291,[2]Tabelle1!$A$1:$B$68,2,FALSE)</f>
        <v>Emsland</v>
      </c>
      <c r="D1291" t="s">
        <v>2</v>
      </c>
      <c r="E1291" t="s">
        <v>162</v>
      </c>
      <c r="F1291" t="str">
        <f>VLOOKUP(A1291,[1]Kreise!$A$1:$C$53,3,FALSE)</f>
        <v>K03454</v>
      </c>
      <c r="G1291">
        <v>2.6934587430525863</v>
      </c>
    </row>
    <row r="1292" spans="1:7" x14ac:dyDescent="0.25">
      <c r="A1292">
        <v>455</v>
      </c>
      <c r="B1292">
        <v>2011</v>
      </c>
      <c r="C1292" t="str">
        <f>VLOOKUP(A1292,[2]Tabelle1!$A$1:$B$68,2,FALSE)</f>
        <v>Friesland</v>
      </c>
      <c r="D1292" t="s">
        <v>2</v>
      </c>
      <c r="E1292" t="s">
        <v>162</v>
      </c>
      <c r="F1292" t="str">
        <f>VLOOKUP(A1292,[1]Kreise!$A$1:$C$53,3,FALSE)</f>
        <v>K03455</v>
      </c>
      <c r="G1292">
        <v>2.6119402985074625</v>
      </c>
    </row>
    <row r="1293" spans="1:7" x14ac:dyDescent="0.25">
      <c r="A1293">
        <v>456</v>
      </c>
      <c r="B1293">
        <v>2011</v>
      </c>
      <c r="C1293" t="str">
        <f>VLOOKUP(A1293,[2]Tabelle1!$A$1:$B$68,2,FALSE)</f>
        <v>Grafschaft Bentheim</v>
      </c>
      <c r="D1293" t="s">
        <v>2</v>
      </c>
      <c r="E1293" t="s">
        <v>162</v>
      </c>
      <c r="F1293" t="str">
        <f>VLOOKUP(A1293,[1]Kreise!$A$1:$C$53,3,FALSE)</f>
        <v>K03456</v>
      </c>
      <c r="G1293">
        <v>4.0553907022749751</v>
      </c>
    </row>
    <row r="1294" spans="1:7" x14ac:dyDescent="0.25">
      <c r="A1294">
        <v>457</v>
      </c>
      <c r="B1294">
        <v>2011</v>
      </c>
      <c r="C1294" t="str">
        <f>VLOOKUP(A1294,[2]Tabelle1!$A$1:$B$68,2,FALSE)</f>
        <v>Leer</v>
      </c>
      <c r="D1294" t="s">
        <v>2</v>
      </c>
      <c r="E1294" t="s">
        <v>162</v>
      </c>
      <c r="F1294" t="str">
        <f>VLOOKUP(A1294,[1]Kreise!$A$1:$C$53,3,FALSE)</f>
        <v>K03457</v>
      </c>
      <c r="G1294">
        <v>7.5335397316821471</v>
      </c>
    </row>
    <row r="1295" spans="1:7" x14ac:dyDescent="0.25">
      <c r="A1295">
        <v>458</v>
      </c>
      <c r="B1295">
        <v>2011</v>
      </c>
      <c r="C1295" t="str">
        <f>VLOOKUP(A1295,[2]Tabelle1!$A$1:$B$68,2,FALSE)</f>
        <v>Oldenburg</v>
      </c>
      <c r="D1295" t="s">
        <v>2</v>
      </c>
      <c r="E1295" t="s">
        <v>162</v>
      </c>
      <c r="F1295" t="str">
        <f>VLOOKUP(A1295,[1]Kreise!$A$1:$C$53,3,FALSE)</f>
        <v>K03458</v>
      </c>
      <c r="G1295">
        <v>4.281345565749235</v>
      </c>
    </row>
    <row r="1296" spans="1:7" x14ac:dyDescent="0.25">
      <c r="A1296">
        <v>459</v>
      </c>
      <c r="B1296">
        <v>2011</v>
      </c>
      <c r="C1296" t="str">
        <f>VLOOKUP(A1296,[2]Tabelle1!$A$1:$B$68,2,FALSE)</f>
        <v>Osnabrück</v>
      </c>
      <c r="D1296" t="s">
        <v>2</v>
      </c>
      <c r="E1296" t="s">
        <v>162</v>
      </c>
      <c r="F1296" t="str">
        <f>VLOOKUP(A1296,[1]Kreise!$A$1:$C$53,3,FALSE)</f>
        <v>K03459</v>
      </c>
      <c r="G1296">
        <v>3.6863966770508827</v>
      </c>
    </row>
    <row r="1297" spans="1:7" x14ac:dyDescent="0.25">
      <c r="A1297">
        <v>460</v>
      </c>
      <c r="B1297">
        <v>2011</v>
      </c>
      <c r="C1297" t="str">
        <f>VLOOKUP(A1297,[2]Tabelle1!$A$1:$B$68,2,FALSE)</f>
        <v>Vechta</v>
      </c>
      <c r="D1297" t="s">
        <v>2</v>
      </c>
      <c r="E1297" t="s">
        <v>162</v>
      </c>
      <c r="F1297" t="str">
        <f>VLOOKUP(A1297,[1]Kreise!$A$1:$C$53,3,FALSE)</f>
        <v>K03460</v>
      </c>
      <c r="G1297">
        <v>3.8994800693240896</v>
      </c>
    </row>
    <row r="1298" spans="1:7" x14ac:dyDescent="0.25">
      <c r="A1298">
        <v>461</v>
      </c>
      <c r="B1298">
        <v>2011</v>
      </c>
      <c r="C1298" t="str">
        <f>VLOOKUP(A1298,[2]Tabelle1!$A$1:$B$68,2,FALSE)</f>
        <v>Wesermarsch</v>
      </c>
      <c r="D1298" t="s">
        <v>2</v>
      </c>
      <c r="E1298" t="s">
        <v>162</v>
      </c>
      <c r="F1298" t="str">
        <f>VLOOKUP(A1298,[1]Kreise!$A$1:$C$53,3,FALSE)</f>
        <v>K03461</v>
      </c>
      <c r="G1298">
        <v>1.8461538461538463</v>
      </c>
    </row>
    <row r="1299" spans="1:7" x14ac:dyDescent="0.25">
      <c r="A1299">
        <v>462</v>
      </c>
      <c r="B1299">
        <v>2011</v>
      </c>
      <c r="C1299" t="str">
        <f>VLOOKUP(A1299,[2]Tabelle1!$A$1:$B$68,2,FALSE)</f>
        <v>Wittmund</v>
      </c>
      <c r="D1299" t="s">
        <v>2</v>
      </c>
      <c r="E1299" t="s">
        <v>162</v>
      </c>
      <c r="F1299" t="str">
        <f>VLOOKUP(A1299,[1]Kreise!$A$1:$C$53,3,FALSE)</f>
        <v>K03462</v>
      </c>
      <c r="G1299">
        <v>4.5023696682464456</v>
      </c>
    </row>
    <row r="1300" spans="1:7" x14ac:dyDescent="0.25">
      <c r="A1300">
        <v>4</v>
      </c>
      <c r="B1300">
        <v>2011</v>
      </c>
      <c r="C1300" t="str">
        <f>VLOOKUP(A1300,[2]Tabelle1!$A$1:$B$68,2,FALSE)</f>
        <v>Statistische Region Weser-Ems</v>
      </c>
      <c r="D1300" t="s">
        <v>2</v>
      </c>
      <c r="E1300" t="s">
        <v>162</v>
      </c>
      <c r="F1300" t="str">
        <f>VLOOKUP(A1300,[1]Kreise!$A$1:$C$53,3,FALSE)</f>
        <v>K034</v>
      </c>
      <c r="G1300">
        <v>4.0511727078891262</v>
      </c>
    </row>
    <row r="1301" spans="1:7" x14ac:dyDescent="0.25">
      <c r="A1301">
        <v>0</v>
      </c>
      <c r="B1301">
        <v>2011</v>
      </c>
      <c r="C1301" t="str">
        <f>VLOOKUP(A1301,[2]Tabelle1!$A$1:$B$68,2,FALSE)</f>
        <v>Niedersachsen</v>
      </c>
      <c r="D1301" t="s">
        <v>2</v>
      </c>
      <c r="E1301" t="s">
        <v>162</v>
      </c>
      <c r="F1301" t="str">
        <f>VLOOKUP(A1301,[1]Kreise!$A$1:$C$53,3,FALSE)</f>
        <v>K030</v>
      </c>
      <c r="G1301">
        <v>3.8829849351862662</v>
      </c>
    </row>
    <row r="1302" spans="1:7" x14ac:dyDescent="0.25">
      <c r="A1302">
        <v>101</v>
      </c>
      <c r="B1302">
        <v>2011</v>
      </c>
      <c r="C1302" t="str">
        <f>VLOOKUP(A1302,[2]Tabelle1!$A$1:$B$68,2,FALSE)</f>
        <v>Braunschweig  Stadt</v>
      </c>
      <c r="D1302" t="s">
        <v>3</v>
      </c>
      <c r="E1302" t="s">
        <v>162</v>
      </c>
      <c r="F1302" t="str">
        <f>VLOOKUP(A1302,[1]Kreise!$A$1:$C$53,3,FALSE)</f>
        <v>K03101</v>
      </c>
      <c r="G1302">
        <v>7.8703703703703702</v>
      </c>
    </row>
    <row r="1303" spans="1:7" x14ac:dyDescent="0.25">
      <c r="A1303">
        <v>102</v>
      </c>
      <c r="B1303">
        <v>2011</v>
      </c>
      <c r="C1303" t="str">
        <f>VLOOKUP(A1303,[2]Tabelle1!$A$1:$B$68,2,FALSE)</f>
        <v>Salzgitter  Stadt</v>
      </c>
      <c r="D1303" t="s">
        <v>3</v>
      </c>
      <c r="E1303" t="s">
        <v>162</v>
      </c>
      <c r="F1303" t="str">
        <f>VLOOKUP(A1303,[1]Kreise!$A$1:$C$53,3,FALSE)</f>
        <v>K03102</v>
      </c>
      <c r="G1303">
        <v>4.5161290322580641</v>
      </c>
    </row>
    <row r="1304" spans="1:7" x14ac:dyDescent="0.25">
      <c r="A1304">
        <v>103</v>
      </c>
      <c r="B1304">
        <v>2011</v>
      </c>
      <c r="C1304" t="str">
        <f>VLOOKUP(A1304,[2]Tabelle1!$A$1:$B$68,2,FALSE)</f>
        <v>Wolfsburg  Stadt</v>
      </c>
      <c r="D1304" t="s">
        <v>3</v>
      </c>
      <c r="E1304" t="s">
        <v>162</v>
      </c>
      <c r="F1304" t="str">
        <f>VLOOKUP(A1304,[1]Kreise!$A$1:$C$53,3,FALSE)</f>
        <v>K03103</v>
      </c>
      <c r="G1304">
        <v>5.1094890510948909</v>
      </c>
    </row>
    <row r="1305" spans="1:7" x14ac:dyDescent="0.25">
      <c r="A1305">
        <v>151</v>
      </c>
      <c r="B1305">
        <v>2011</v>
      </c>
      <c r="C1305" t="str">
        <f>VLOOKUP(A1305,[2]Tabelle1!$A$1:$B$68,2,FALSE)</f>
        <v>Gifhorn</v>
      </c>
      <c r="D1305" t="s">
        <v>3</v>
      </c>
      <c r="E1305" t="s">
        <v>162</v>
      </c>
      <c r="F1305" t="str">
        <f>VLOOKUP(A1305,[1]Kreise!$A$1:$C$53,3,FALSE)</f>
        <v>K03151</v>
      </c>
      <c r="G1305">
        <v>27.777777777777779</v>
      </c>
    </row>
    <row r="1306" spans="1:7" x14ac:dyDescent="0.25">
      <c r="A1306">
        <v>153</v>
      </c>
      <c r="B1306">
        <v>2011</v>
      </c>
      <c r="C1306" t="str">
        <f>VLOOKUP(A1306,[2]Tabelle1!$A$1:$B$68,2,FALSE)</f>
        <v>Goslar</v>
      </c>
      <c r="D1306" t="s">
        <v>3</v>
      </c>
      <c r="E1306" t="s">
        <v>162</v>
      </c>
      <c r="F1306" t="str">
        <f>VLOOKUP(A1306,[1]Kreise!$A$1:$C$53,3,FALSE)</f>
        <v>K03153</v>
      </c>
      <c r="G1306">
        <v>15.11627906976744</v>
      </c>
    </row>
    <row r="1307" spans="1:7" x14ac:dyDescent="0.25">
      <c r="A1307">
        <v>154</v>
      </c>
      <c r="B1307">
        <v>2011</v>
      </c>
      <c r="C1307" t="str">
        <f>VLOOKUP(A1307,[2]Tabelle1!$A$1:$B$68,2,FALSE)</f>
        <v>Helmstedt</v>
      </c>
      <c r="D1307" t="s">
        <v>3</v>
      </c>
      <c r="E1307" t="s">
        <v>162</v>
      </c>
      <c r="F1307" t="str">
        <f>VLOOKUP(A1307,[1]Kreise!$A$1:$C$53,3,FALSE)</f>
        <v>K03154</v>
      </c>
      <c r="G1307">
        <v>13.043478260869565</v>
      </c>
    </row>
    <row r="1308" spans="1:7" x14ac:dyDescent="0.25">
      <c r="A1308">
        <v>155</v>
      </c>
      <c r="B1308">
        <v>2011</v>
      </c>
      <c r="C1308" t="str">
        <f>VLOOKUP(A1308,[2]Tabelle1!$A$1:$B$68,2,FALSE)</f>
        <v>Northeim</v>
      </c>
      <c r="D1308" t="s">
        <v>3</v>
      </c>
      <c r="E1308" t="s">
        <v>162</v>
      </c>
      <c r="F1308" t="str">
        <f>VLOOKUP(A1308,[1]Kreise!$A$1:$C$53,3,FALSE)</f>
        <v>K03155</v>
      </c>
      <c r="G1308">
        <v>17.105263157894736</v>
      </c>
    </row>
    <row r="1309" spans="1:7" x14ac:dyDescent="0.25">
      <c r="A1309">
        <v>157</v>
      </c>
      <c r="B1309">
        <v>2011</v>
      </c>
      <c r="C1309" t="str">
        <f>VLOOKUP(A1309,[2]Tabelle1!$A$1:$B$68,2,FALSE)</f>
        <v>Peine</v>
      </c>
      <c r="D1309" t="s">
        <v>3</v>
      </c>
      <c r="E1309" t="s">
        <v>162</v>
      </c>
      <c r="F1309" t="str">
        <f>VLOOKUP(A1309,[1]Kreise!$A$1:$C$53,3,FALSE)</f>
        <v>K03157</v>
      </c>
      <c r="G1309">
        <v>8.9552238805970141</v>
      </c>
    </row>
    <row r="1310" spans="1:7" x14ac:dyDescent="0.25">
      <c r="A1310">
        <v>158</v>
      </c>
      <c r="B1310">
        <v>2011</v>
      </c>
      <c r="C1310" t="str">
        <f>VLOOKUP(A1310,[2]Tabelle1!$A$1:$B$68,2,FALSE)</f>
        <v>Wolfenbüttel</v>
      </c>
      <c r="D1310" t="s">
        <v>3</v>
      </c>
      <c r="E1310" t="s">
        <v>162</v>
      </c>
      <c r="F1310" t="str">
        <f>VLOOKUP(A1310,[1]Kreise!$A$1:$C$53,3,FALSE)</f>
        <v>K03158</v>
      </c>
      <c r="G1310">
        <v>15.384615384615385</v>
      </c>
    </row>
    <row r="1311" spans="1:7" x14ac:dyDescent="0.25">
      <c r="A1311">
        <v>159</v>
      </c>
      <c r="B1311">
        <v>2011</v>
      </c>
      <c r="C1311" t="str">
        <f>VLOOKUP(A1311,[2]Tabelle1!$A$1:$B$68,2,FALSE)</f>
        <v>Göttingen</v>
      </c>
      <c r="D1311" t="s">
        <v>3</v>
      </c>
      <c r="E1311" t="s">
        <v>162</v>
      </c>
      <c r="F1311" t="str">
        <f>VLOOKUP(A1311,[1]Kreise!$A$1:$C$53,3,FALSE)</f>
        <v>K03159</v>
      </c>
      <c r="G1311">
        <v>20.555555555555554</v>
      </c>
    </row>
    <row r="1312" spans="1:7" x14ac:dyDescent="0.25">
      <c r="A1312">
        <v>1</v>
      </c>
      <c r="B1312">
        <v>2011</v>
      </c>
      <c r="C1312" t="str">
        <f>VLOOKUP(A1312,[2]Tabelle1!$A$1:$B$68,2,FALSE)</f>
        <v>Statistische Region Braunschweig</v>
      </c>
      <c r="D1312" t="s">
        <v>3</v>
      </c>
      <c r="E1312" t="s">
        <v>162</v>
      </c>
      <c r="F1312" t="str">
        <f>VLOOKUP(A1312,[1]Kreise!$A$1:$C$53,3,FALSE)</f>
        <v>K031</v>
      </c>
      <c r="G1312">
        <v>12.323943661971832</v>
      </c>
    </row>
    <row r="1313" spans="1:7" x14ac:dyDescent="0.25">
      <c r="A1313">
        <v>241</v>
      </c>
      <c r="B1313">
        <v>2011</v>
      </c>
      <c r="C1313" t="str">
        <f>VLOOKUP(A1313,[2]Tabelle1!$A$1:$B$68,2,FALSE)</f>
        <v>Hannover  Region</v>
      </c>
      <c r="D1313" t="s">
        <v>3</v>
      </c>
      <c r="E1313" t="s">
        <v>162</v>
      </c>
      <c r="F1313" t="str">
        <f>VLOOKUP(A1313,[1]Kreise!$A$1:$C$53,3,FALSE)</f>
        <v>K03241</v>
      </c>
      <c r="G1313">
        <v>15.365653245686115</v>
      </c>
    </row>
    <row r="1314" spans="1:7" x14ac:dyDescent="0.25">
      <c r="A1314">
        <v>241001</v>
      </c>
      <c r="B1314">
        <v>2011</v>
      </c>
      <c r="C1314" t="str">
        <f>VLOOKUP(A1314,[2]Tabelle1!$A$1:$B$68,2,FALSE)</f>
        <v>dav. Hannover  Lhst.</v>
      </c>
      <c r="D1314" t="s">
        <v>3</v>
      </c>
      <c r="E1314" t="s">
        <v>162</v>
      </c>
      <c r="F1314" t="str">
        <f>VLOOKUP(A1314,[1]Kreise!$A$1:$C$53,3,FALSE)</f>
        <v>K03241001</v>
      </c>
      <c r="G1314">
        <v>15.316455696202533</v>
      </c>
    </row>
    <row r="1315" spans="1:7" x14ac:dyDescent="0.25">
      <c r="A1315">
        <v>241999</v>
      </c>
      <c r="B1315">
        <v>2011</v>
      </c>
      <c r="C1315" t="str">
        <f>VLOOKUP(A1315,[2]Tabelle1!$A$1:$B$68,2,FALSE)</f>
        <v>dav. Hannover  Umland</v>
      </c>
      <c r="D1315" t="s">
        <v>3</v>
      </c>
      <c r="E1315" t="s">
        <v>162</v>
      </c>
      <c r="F1315" t="str">
        <f>VLOOKUP(A1315,[1]Kreise!$A$1:$C$53,3,FALSE)</f>
        <v>K03241999</v>
      </c>
      <c r="G1315">
        <v>15.456674473067917</v>
      </c>
    </row>
    <row r="1316" spans="1:7" x14ac:dyDescent="0.25">
      <c r="A1316">
        <v>251</v>
      </c>
      <c r="B1316">
        <v>2011</v>
      </c>
      <c r="C1316" t="str">
        <f>VLOOKUP(A1316,[2]Tabelle1!$A$1:$B$68,2,FALSE)</f>
        <v>Diepholz</v>
      </c>
      <c r="D1316" t="s">
        <v>3</v>
      </c>
      <c r="E1316" t="s">
        <v>162</v>
      </c>
      <c r="F1316" t="str">
        <f>VLOOKUP(A1316,[1]Kreise!$A$1:$C$53,3,FALSE)</f>
        <v>K03251</v>
      </c>
      <c r="G1316">
        <v>9.7087378640776691</v>
      </c>
    </row>
    <row r="1317" spans="1:7" x14ac:dyDescent="0.25">
      <c r="A1317">
        <v>252</v>
      </c>
      <c r="B1317">
        <v>2011</v>
      </c>
      <c r="C1317" t="str">
        <f>VLOOKUP(A1317,[2]Tabelle1!$A$1:$B$68,2,FALSE)</f>
        <v>Hameln-Pyrmont</v>
      </c>
      <c r="D1317" t="s">
        <v>3</v>
      </c>
      <c r="E1317" t="s">
        <v>162</v>
      </c>
      <c r="F1317" t="str">
        <f>VLOOKUP(A1317,[1]Kreise!$A$1:$C$53,3,FALSE)</f>
        <v>K03252</v>
      </c>
      <c r="G1317">
        <v>12.5</v>
      </c>
    </row>
    <row r="1318" spans="1:7" x14ac:dyDescent="0.25">
      <c r="A1318">
        <v>254</v>
      </c>
      <c r="B1318">
        <v>2011</v>
      </c>
      <c r="C1318" t="str">
        <f>VLOOKUP(A1318,[2]Tabelle1!$A$1:$B$68,2,FALSE)</f>
        <v>Hildesheim</v>
      </c>
      <c r="D1318" t="s">
        <v>3</v>
      </c>
      <c r="E1318" t="s">
        <v>162</v>
      </c>
      <c r="F1318" t="str">
        <f>VLOOKUP(A1318,[1]Kreise!$A$1:$C$53,3,FALSE)</f>
        <v>K03254</v>
      </c>
      <c r="G1318">
        <v>16.666666666666664</v>
      </c>
    </row>
    <row r="1319" spans="1:7" x14ac:dyDescent="0.25">
      <c r="A1319">
        <v>255</v>
      </c>
      <c r="B1319">
        <v>2011</v>
      </c>
      <c r="C1319" t="str">
        <f>VLOOKUP(A1319,[2]Tabelle1!$A$1:$B$68,2,FALSE)</f>
        <v>Holzminden</v>
      </c>
      <c r="D1319" t="s">
        <v>3</v>
      </c>
      <c r="E1319" t="s">
        <v>162</v>
      </c>
      <c r="F1319" t="str">
        <f>VLOOKUP(A1319,[1]Kreise!$A$1:$C$53,3,FALSE)</f>
        <v>K03255</v>
      </c>
      <c r="G1319">
        <v>4.0816326530612246</v>
      </c>
    </row>
    <row r="1320" spans="1:7" x14ac:dyDescent="0.25">
      <c r="A1320">
        <v>256</v>
      </c>
      <c r="B1320">
        <v>2011</v>
      </c>
      <c r="C1320" t="str">
        <f>VLOOKUP(A1320,[2]Tabelle1!$A$1:$B$68,2,FALSE)</f>
        <v>Nienburg (Weser)</v>
      </c>
      <c r="D1320" t="s">
        <v>3</v>
      </c>
      <c r="E1320" t="s">
        <v>162</v>
      </c>
      <c r="F1320" t="str">
        <f>VLOOKUP(A1320,[1]Kreise!$A$1:$C$53,3,FALSE)</f>
        <v>K03256</v>
      </c>
      <c r="G1320">
        <v>22.972972972972975</v>
      </c>
    </row>
    <row r="1321" spans="1:7" x14ac:dyDescent="0.25">
      <c r="A1321">
        <v>257</v>
      </c>
      <c r="B1321">
        <v>2011</v>
      </c>
      <c r="C1321" t="str">
        <f>VLOOKUP(A1321,[2]Tabelle1!$A$1:$B$68,2,FALSE)</f>
        <v>Schaumburg</v>
      </c>
      <c r="D1321" t="s">
        <v>3</v>
      </c>
      <c r="E1321" t="s">
        <v>162</v>
      </c>
      <c r="F1321" t="str">
        <f>VLOOKUP(A1321,[1]Kreise!$A$1:$C$53,3,FALSE)</f>
        <v>K03257</v>
      </c>
      <c r="G1321">
        <v>11.627906976744185</v>
      </c>
    </row>
    <row r="1322" spans="1:7" x14ac:dyDescent="0.25">
      <c r="A1322">
        <v>2</v>
      </c>
      <c r="B1322">
        <v>2011</v>
      </c>
      <c r="C1322" t="str">
        <f>VLOOKUP(A1322,[2]Tabelle1!$A$1:$B$68,2,FALSE)</f>
        <v>Statistische Region Hannover</v>
      </c>
      <c r="D1322" t="s">
        <v>3</v>
      </c>
      <c r="E1322" t="s">
        <v>162</v>
      </c>
      <c r="F1322" t="str">
        <f>VLOOKUP(A1322,[1]Kreise!$A$1:$C$53,3,FALSE)</f>
        <v>K032</v>
      </c>
      <c r="G1322">
        <v>14.718162839248434</v>
      </c>
    </row>
    <row r="1323" spans="1:7" x14ac:dyDescent="0.25">
      <c r="A1323">
        <v>351</v>
      </c>
      <c r="B1323">
        <v>2011</v>
      </c>
      <c r="C1323" t="str">
        <f>VLOOKUP(A1323,[2]Tabelle1!$A$1:$B$68,2,FALSE)</f>
        <v>Celle</v>
      </c>
      <c r="D1323" t="s">
        <v>3</v>
      </c>
      <c r="E1323" t="s">
        <v>162</v>
      </c>
      <c r="F1323" t="str">
        <f>VLOOKUP(A1323,[1]Kreise!$A$1:$C$53,3,FALSE)</f>
        <v>K03351</v>
      </c>
      <c r="G1323">
        <v>28.571428571428569</v>
      </c>
    </row>
    <row r="1324" spans="1:7" x14ac:dyDescent="0.25">
      <c r="A1324">
        <v>352</v>
      </c>
      <c r="B1324">
        <v>2011</v>
      </c>
      <c r="C1324" t="str">
        <f>VLOOKUP(A1324,[2]Tabelle1!$A$1:$B$68,2,FALSE)</f>
        <v>Cuxhaven</v>
      </c>
      <c r="D1324" t="s">
        <v>3</v>
      </c>
      <c r="E1324" t="s">
        <v>162</v>
      </c>
      <c r="F1324" t="str">
        <f>VLOOKUP(A1324,[1]Kreise!$A$1:$C$53,3,FALSE)</f>
        <v>K03352</v>
      </c>
      <c r="G1324">
        <v>16.842105263157894</v>
      </c>
    </row>
    <row r="1325" spans="1:7" x14ac:dyDescent="0.25">
      <c r="A1325">
        <v>353</v>
      </c>
      <c r="B1325">
        <v>2011</v>
      </c>
      <c r="C1325" t="str">
        <f>VLOOKUP(A1325,[2]Tabelle1!$A$1:$B$68,2,FALSE)</f>
        <v>Harburg</v>
      </c>
      <c r="D1325" t="s">
        <v>3</v>
      </c>
      <c r="E1325" t="s">
        <v>162</v>
      </c>
      <c r="F1325" t="str">
        <f>VLOOKUP(A1325,[1]Kreise!$A$1:$C$53,3,FALSE)</f>
        <v>K03353</v>
      </c>
      <c r="G1325">
        <v>20.202020202020201</v>
      </c>
    </row>
    <row r="1326" spans="1:7" x14ac:dyDescent="0.25">
      <c r="A1326">
        <v>354</v>
      </c>
      <c r="B1326">
        <v>2011</v>
      </c>
      <c r="C1326" t="str">
        <f>VLOOKUP(A1326,[2]Tabelle1!$A$1:$B$68,2,FALSE)</f>
        <v>Lüchow-Dannenberg</v>
      </c>
      <c r="D1326" t="s">
        <v>3</v>
      </c>
      <c r="E1326" t="s">
        <v>162</v>
      </c>
      <c r="F1326" t="str">
        <f>VLOOKUP(A1326,[1]Kreise!$A$1:$C$53,3,FALSE)</f>
        <v>K03354</v>
      </c>
      <c r="G1326">
        <v>28.571428571428569</v>
      </c>
    </row>
    <row r="1327" spans="1:7" x14ac:dyDescent="0.25">
      <c r="A1327">
        <v>355</v>
      </c>
      <c r="B1327">
        <v>2011</v>
      </c>
      <c r="C1327" t="str">
        <f>VLOOKUP(A1327,[2]Tabelle1!$A$1:$B$68,2,FALSE)</f>
        <v>Lüneburg</v>
      </c>
      <c r="D1327" t="s">
        <v>3</v>
      </c>
      <c r="E1327" t="s">
        <v>162</v>
      </c>
      <c r="F1327" t="str">
        <f>VLOOKUP(A1327,[1]Kreise!$A$1:$C$53,3,FALSE)</f>
        <v>K03355</v>
      </c>
      <c r="G1327">
        <v>8.695652173913043</v>
      </c>
    </row>
    <row r="1328" spans="1:7" x14ac:dyDescent="0.25">
      <c r="A1328">
        <v>356</v>
      </c>
      <c r="B1328">
        <v>2011</v>
      </c>
      <c r="C1328" t="str">
        <f>VLOOKUP(A1328,[2]Tabelle1!$A$1:$B$68,2,FALSE)</f>
        <v>Osterholz</v>
      </c>
      <c r="D1328" t="s">
        <v>3</v>
      </c>
      <c r="E1328" t="s">
        <v>162</v>
      </c>
      <c r="F1328" t="str">
        <f>VLOOKUP(A1328,[1]Kreise!$A$1:$C$53,3,FALSE)</f>
        <v>K03356</v>
      </c>
      <c r="G1328">
        <v>18.604651162790699</v>
      </c>
    </row>
    <row r="1329" spans="1:7" x14ac:dyDescent="0.25">
      <c r="A1329">
        <v>357</v>
      </c>
      <c r="B1329">
        <v>2011</v>
      </c>
      <c r="C1329" t="str">
        <f>VLOOKUP(A1329,[2]Tabelle1!$A$1:$B$68,2,FALSE)</f>
        <v>Rotenburg (Wümme)</v>
      </c>
      <c r="D1329" t="s">
        <v>3</v>
      </c>
      <c r="E1329" t="s">
        <v>162</v>
      </c>
      <c r="F1329" t="str">
        <f>VLOOKUP(A1329,[1]Kreise!$A$1:$C$53,3,FALSE)</f>
        <v>K03357</v>
      </c>
      <c r="G1329">
        <v>16.666666666666664</v>
      </c>
    </row>
    <row r="1330" spans="1:7" x14ac:dyDescent="0.25">
      <c r="A1330">
        <v>358</v>
      </c>
      <c r="B1330">
        <v>2011</v>
      </c>
      <c r="C1330" t="str">
        <f>VLOOKUP(A1330,[2]Tabelle1!$A$1:$B$68,2,FALSE)</f>
        <v>Heidekreis</v>
      </c>
      <c r="D1330" t="s">
        <v>3</v>
      </c>
      <c r="E1330" t="s">
        <v>162</v>
      </c>
      <c r="F1330" t="str">
        <f>VLOOKUP(A1330,[1]Kreise!$A$1:$C$53,3,FALSE)</f>
        <v>K03358</v>
      </c>
      <c r="G1330">
        <v>17.543859649122805</v>
      </c>
    </row>
    <row r="1331" spans="1:7" x14ac:dyDescent="0.25">
      <c r="A1331">
        <v>359</v>
      </c>
      <c r="B1331">
        <v>2011</v>
      </c>
      <c r="C1331" t="str">
        <f>VLOOKUP(A1331,[2]Tabelle1!$A$1:$B$68,2,FALSE)</f>
        <v>Stade</v>
      </c>
      <c r="D1331" t="s">
        <v>3</v>
      </c>
      <c r="E1331" t="s">
        <v>162</v>
      </c>
      <c r="F1331" t="str">
        <f>VLOOKUP(A1331,[1]Kreise!$A$1:$C$53,3,FALSE)</f>
        <v>K03359</v>
      </c>
      <c r="G1331">
        <v>19.736842105263158</v>
      </c>
    </row>
    <row r="1332" spans="1:7" x14ac:dyDescent="0.25">
      <c r="A1332">
        <v>360</v>
      </c>
      <c r="B1332">
        <v>2011</v>
      </c>
      <c r="C1332" t="str">
        <f>VLOOKUP(A1332,[2]Tabelle1!$A$1:$B$68,2,FALSE)</f>
        <v>Uelzen</v>
      </c>
      <c r="D1332" t="s">
        <v>3</v>
      </c>
      <c r="E1332" t="s">
        <v>162</v>
      </c>
      <c r="F1332" t="str">
        <f>VLOOKUP(A1332,[1]Kreise!$A$1:$C$53,3,FALSE)</f>
        <v>K03360</v>
      </c>
      <c r="G1332">
        <v>7.1428571428571423</v>
      </c>
    </row>
    <row r="1333" spans="1:7" x14ac:dyDescent="0.25">
      <c r="A1333">
        <v>361</v>
      </c>
      <c r="B1333">
        <v>2011</v>
      </c>
      <c r="C1333" t="str">
        <f>VLOOKUP(A1333,[2]Tabelle1!$A$1:$B$68,2,FALSE)</f>
        <v>Verden</v>
      </c>
      <c r="D1333" t="s">
        <v>3</v>
      </c>
      <c r="E1333" t="s">
        <v>162</v>
      </c>
      <c r="F1333" t="str">
        <f>VLOOKUP(A1333,[1]Kreise!$A$1:$C$53,3,FALSE)</f>
        <v>K03361</v>
      </c>
      <c r="G1333">
        <v>12.76595744680851</v>
      </c>
    </row>
    <row r="1334" spans="1:7" x14ac:dyDescent="0.25">
      <c r="A1334">
        <v>3</v>
      </c>
      <c r="B1334">
        <v>2011</v>
      </c>
      <c r="C1334" t="str">
        <f>VLOOKUP(A1334,[2]Tabelle1!$A$1:$B$68,2,FALSE)</f>
        <v>Statistische Region Lüneburg</v>
      </c>
      <c r="D1334" t="s">
        <v>3</v>
      </c>
      <c r="E1334" t="s">
        <v>162</v>
      </c>
      <c r="F1334" t="str">
        <f>VLOOKUP(A1334,[1]Kreise!$A$1:$C$53,3,FALSE)</f>
        <v>K033</v>
      </c>
      <c r="G1334">
        <v>16.931982633863964</v>
      </c>
    </row>
    <row r="1335" spans="1:7" x14ac:dyDescent="0.25">
      <c r="A1335">
        <v>401</v>
      </c>
      <c r="B1335">
        <v>2011</v>
      </c>
      <c r="C1335" t="str">
        <f>VLOOKUP(A1335,[2]Tabelle1!$A$1:$B$68,2,FALSE)</f>
        <v>Delmenhorst  Stadt</v>
      </c>
      <c r="D1335" t="s">
        <v>3</v>
      </c>
      <c r="E1335" t="s">
        <v>162</v>
      </c>
      <c r="F1335" t="str">
        <f>VLOOKUP(A1335,[1]Kreise!$A$1:$C$53,3,FALSE)</f>
        <v>K03401</v>
      </c>
      <c r="G1335">
        <v>20</v>
      </c>
    </row>
    <row r="1336" spans="1:7" x14ac:dyDescent="0.25">
      <c r="A1336">
        <v>402</v>
      </c>
      <c r="B1336">
        <v>2011</v>
      </c>
      <c r="C1336" t="str">
        <f>VLOOKUP(A1336,[2]Tabelle1!$A$1:$B$68,2,FALSE)</f>
        <v>Emden  Stadt</v>
      </c>
      <c r="D1336" t="s">
        <v>3</v>
      </c>
      <c r="E1336" t="s">
        <v>162</v>
      </c>
      <c r="F1336" t="str">
        <f>VLOOKUP(A1336,[1]Kreise!$A$1:$C$53,3,FALSE)</f>
        <v>K03402</v>
      </c>
      <c r="G1336">
        <v>21.052631578947366</v>
      </c>
    </row>
    <row r="1337" spans="1:7" x14ac:dyDescent="0.25">
      <c r="A1337">
        <v>403</v>
      </c>
      <c r="B1337">
        <v>2011</v>
      </c>
      <c r="C1337" t="str">
        <f>VLOOKUP(A1337,[2]Tabelle1!$A$1:$B$68,2,FALSE)</f>
        <v>Oldenburg(Oldb)  Stadt</v>
      </c>
      <c r="D1337" t="s">
        <v>3</v>
      </c>
      <c r="E1337" t="s">
        <v>162</v>
      </c>
      <c r="F1337" t="str">
        <f>VLOOKUP(A1337,[1]Kreise!$A$1:$C$53,3,FALSE)</f>
        <v>K03403</v>
      </c>
      <c r="G1337">
        <v>11.428571428571429</v>
      </c>
    </row>
    <row r="1338" spans="1:7" x14ac:dyDescent="0.25">
      <c r="A1338">
        <v>404</v>
      </c>
      <c r="B1338">
        <v>2011</v>
      </c>
      <c r="C1338" t="str">
        <f>VLOOKUP(A1338,[2]Tabelle1!$A$1:$B$68,2,FALSE)</f>
        <v>Osnabrück  Stadt</v>
      </c>
      <c r="D1338" t="s">
        <v>3</v>
      </c>
      <c r="E1338" t="s">
        <v>162</v>
      </c>
      <c r="F1338" t="str">
        <f>VLOOKUP(A1338,[1]Kreise!$A$1:$C$53,3,FALSE)</f>
        <v>K03404</v>
      </c>
      <c r="G1338">
        <v>17.391304347826086</v>
      </c>
    </row>
    <row r="1339" spans="1:7" x14ac:dyDescent="0.25">
      <c r="A1339">
        <v>405</v>
      </c>
      <c r="B1339">
        <v>2011</v>
      </c>
      <c r="C1339" t="str">
        <f>VLOOKUP(A1339,[2]Tabelle1!$A$1:$B$68,2,FALSE)</f>
        <v>Wilhelmshaven  Stadt</v>
      </c>
      <c r="D1339" t="s">
        <v>3</v>
      </c>
      <c r="E1339" t="s">
        <v>162</v>
      </c>
      <c r="F1339" t="str">
        <f>VLOOKUP(A1339,[1]Kreise!$A$1:$C$53,3,FALSE)</f>
        <v>K03405</v>
      </c>
      <c r="G1339">
        <v>13.559322033898304</v>
      </c>
    </row>
    <row r="1340" spans="1:7" x14ac:dyDescent="0.25">
      <c r="A1340">
        <v>451</v>
      </c>
      <c r="B1340">
        <v>2011</v>
      </c>
      <c r="C1340" t="str">
        <f>VLOOKUP(A1340,[2]Tabelle1!$A$1:$B$68,2,FALSE)</f>
        <v>Ammerland</v>
      </c>
      <c r="D1340" t="s">
        <v>3</v>
      </c>
      <c r="E1340" t="s">
        <v>162</v>
      </c>
      <c r="F1340" t="str">
        <f>VLOOKUP(A1340,[1]Kreise!$A$1:$C$53,3,FALSE)</f>
        <v>K03451</v>
      </c>
      <c r="G1340">
        <v>37.5</v>
      </c>
    </row>
    <row r="1341" spans="1:7" x14ac:dyDescent="0.25">
      <c r="A1341">
        <v>452</v>
      </c>
      <c r="B1341">
        <v>2011</v>
      </c>
      <c r="C1341" t="str">
        <f>VLOOKUP(A1341,[2]Tabelle1!$A$1:$B$68,2,FALSE)</f>
        <v>Aurich</v>
      </c>
      <c r="D1341" t="s">
        <v>3</v>
      </c>
      <c r="E1341" t="s">
        <v>162</v>
      </c>
      <c r="F1341" t="str">
        <f>VLOOKUP(A1341,[1]Kreise!$A$1:$C$53,3,FALSE)</f>
        <v>K03452</v>
      </c>
      <c r="G1341">
        <v>35.714285714285715</v>
      </c>
    </row>
    <row r="1342" spans="1:7" x14ac:dyDescent="0.25">
      <c r="A1342">
        <v>453</v>
      </c>
      <c r="B1342">
        <v>2011</v>
      </c>
      <c r="C1342" t="str">
        <f>VLOOKUP(A1342,[2]Tabelle1!$A$1:$B$68,2,FALSE)</f>
        <v>Cloppenburg</v>
      </c>
      <c r="D1342" t="s">
        <v>3</v>
      </c>
      <c r="E1342" t="s">
        <v>162</v>
      </c>
      <c r="F1342" t="str">
        <f>VLOOKUP(A1342,[1]Kreise!$A$1:$C$53,3,FALSE)</f>
        <v>K03453</v>
      </c>
      <c r="G1342">
        <v>20.588235294117645</v>
      </c>
    </row>
    <row r="1343" spans="1:7" x14ac:dyDescent="0.25">
      <c r="A1343">
        <v>454</v>
      </c>
      <c r="B1343">
        <v>2011</v>
      </c>
      <c r="C1343" t="str">
        <f>VLOOKUP(A1343,[2]Tabelle1!$A$1:$B$68,2,FALSE)</f>
        <v>Emsland</v>
      </c>
      <c r="D1343" t="s">
        <v>3</v>
      </c>
      <c r="E1343" t="s">
        <v>162</v>
      </c>
      <c r="F1343" t="str">
        <f>VLOOKUP(A1343,[1]Kreise!$A$1:$C$53,3,FALSE)</f>
        <v>K03454</v>
      </c>
      <c r="G1343">
        <v>16.101694915254235</v>
      </c>
    </row>
    <row r="1344" spans="1:7" x14ac:dyDescent="0.25">
      <c r="A1344">
        <v>455</v>
      </c>
      <c r="B1344">
        <v>2011</v>
      </c>
      <c r="C1344" t="str">
        <f>VLOOKUP(A1344,[2]Tabelle1!$A$1:$B$68,2,FALSE)</f>
        <v>Friesland</v>
      </c>
      <c r="D1344" t="s">
        <v>3</v>
      </c>
      <c r="E1344" t="s">
        <v>162</v>
      </c>
      <c r="F1344" t="str">
        <f>VLOOKUP(A1344,[1]Kreise!$A$1:$C$53,3,FALSE)</f>
        <v>K03455</v>
      </c>
      <c r="G1344">
        <v>12.195121951219512</v>
      </c>
    </row>
    <row r="1345" spans="1:7" x14ac:dyDescent="0.25">
      <c r="A1345">
        <v>456</v>
      </c>
      <c r="B1345">
        <v>2011</v>
      </c>
      <c r="C1345" t="str">
        <f>VLOOKUP(A1345,[2]Tabelle1!$A$1:$B$68,2,FALSE)</f>
        <v>Grafschaft Bentheim</v>
      </c>
      <c r="D1345" t="s">
        <v>3</v>
      </c>
      <c r="E1345" t="s">
        <v>162</v>
      </c>
      <c r="F1345" t="str">
        <f>VLOOKUP(A1345,[1]Kreise!$A$1:$C$53,3,FALSE)</f>
        <v>K03456</v>
      </c>
      <c r="G1345">
        <v>16.8</v>
      </c>
    </row>
    <row r="1346" spans="1:7" x14ac:dyDescent="0.25">
      <c r="A1346">
        <v>457</v>
      </c>
      <c r="B1346">
        <v>2011</v>
      </c>
      <c r="C1346" t="str">
        <f>VLOOKUP(A1346,[2]Tabelle1!$A$1:$B$68,2,FALSE)</f>
        <v>Leer</v>
      </c>
      <c r="D1346" t="s">
        <v>3</v>
      </c>
      <c r="E1346" t="s">
        <v>162</v>
      </c>
      <c r="F1346" t="str">
        <f>VLOOKUP(A1346,[1]Kreise!$A$1:$C$53,3,FALSE)</f>
        <v>K03457</v>
      </c>
      <c r="G1346">
        <v>34.782608695652172</v>
      </c>
    </row>
    <row r="1347" spans="1:7" x14ac:dyDescent="0.25">
      <c r="A1347">
        <v>458</v>
      </c>
      <c r="B1347">
        <v>2011</v>
      </c>
      <c r="C1347" t="str">
        <f>VLOOKUP(A1347,[2]Tabelle1!$A$1:$B$68,2,FALSE)</f>
        <v>Oldenburg</v>
      </c>
      <c r="D1347" t="s">
        <v>3</v>
      </c>
      <c r="E1347" t="s">
        <v>162</v>
      </c>
      <c r="F1347" t="str">
        <f>VLOOKUP(A1347,[1]Kreise!$A$1:$C$53,3,FALSE)</f>
        <v>K03458</v>
      </c>
      <c r="G1347">
        <v>20</v>
      </c>
    </row>
    <row r="1348" spans="1:7" x14ac:dyDescent="0.25">
      <c r="A1348">
        <v>459</v>
      </c>
      <c r="B1348">
        <v>2011</v>
      </c>
      <c r="C1348" t="str">
        <f>VLOOKUP(A1348,[2]Tabelle1!$A$1:$B$68,2,FALSE)</f>
        <v>Osnabrück</v>
      </c>
      <c r="D1348" t="s">
        <v>3</v>
      </c>
      <c r="E1348" t="s">
        <v>162</v>
      </c>
      <c r="F1348" t="str">
        <f>VLOOKUP(A1348,[1]Kreise!$A$1:$C$53,3,FALSE)</f>
        <v>K03459</v>
      </c>
      <c r="G1348">
        <v>21.761658031088082</v>
      </c>
    </row>
    <row r="1349" spans="1:7" x14ac:dyDescent="0.25">
      <c r="A1349">
        <v>460</v>
      </c>
      <c r="B1349">
        <v>2011</v>
      </c>
      <c r="C1349" t="str">
        <f>VLOOKUP(A1349,[2]Tabelle1!$A$1:$B$68,2,FALSE)</f>
        <v>Vechta</v>
      </c>
      <c r="D1349" t="s">
        <v>3</v>
      </c>
      <c r="E1349" t="s">
        <v>162</v>
      </c>
      <c r="F1349" t="str">
        <f>VLOOKUP(A1349,[1]Kreise!$A$1:$C$53,3,FALSE)</f>
        <v>K03460</v>
      </c>
      <c r="G1349">
        <v>20.437956204379564</v>
      </c>
    </row>
    <row r="1350" spans="1:7" x14ac:dyDescent="0.25">
      <c r="A1350">
        <v>461</v>
      </c>
      <c r="B1350">
        <v>2011</v>
      </c>
      <c r="C1350" t="str">
        <f>VLOOKUP(A1350,[2]Tabelle1!$A$1:$B$68,2,FALSE)</f>
        <v>Wesermarsch</v>
      </c>
      <c r="D1350" t="s">
        <v>3</v>
      </c>
      <c r="E1350" t="s">
        <v>162</v>
      </c>
      <c r="F1350" t="str">
        <f>VLOOKUP(A1350,[1]Kreise!$A$1:$C$53,3,FALSE)</f>
        <v>K03461</v>
      </c>
      <c r="G1350">
        <v>14.893617021276595</v>
      </c>
    </row>
    <row r="1351" spans="1:7" x14ac:dyDescent="0.25">
      <c r="A1351">
        <v>462</v>
      </c>
      <c r="B1351">
        <v>2011</v>
      </c>
      <c r="C1351" t="str">
        <f>VLOOKUP(A1351,[2]Tabelle1!$A$1:$B$68,2,FALSE)</f>
        <v>Wittmund</v>
      </c>
      <c r="D1351" t="s">
        <v>3</v>
      </c>
      <c r="E1351" t="s">
        <v>162</v>
      </c>
      <c r="F1351" t="str">
        <f>VLOOKUP(A1351,[1]Kreise!$A$1:$C$53,3,FALSE)</f>
        <v>K03462</v>
      </c>
      <c r="G1351">
        <v>16.666666666666664</v>
      </c>
    </row>
    <row r="1352" spans="1:7" x14ac:dyDescent="0.25">
      <c r="A1352">
        <v>4</v>
      </c>
      <c r="B1352">
        <v>2011</v>
      </c>
      <c r="C1352" t="str">
        <f>VLOOKUP(A1352,[2]Tabelle1!$A$1:$B$68,2,FALSE)</f>
        <v>Statistische Region Weser-Ems</v>
      </c>
      <c r="D1352" t="s">
        <v>3</v>
      </c>
      <c r="E1352" t="s">
        <v>162</v>
      </c>
      <c r="F1352" t="str">
        <f>VLOOKUP(A1352,[1]Kreise!$A$1:$C$53,3,FALSE)</f>
        <v>K034</v>
      </c>
      <c r="G1352">
        <v>19.21072226358898</v>
      </c>
    </row>
    <row r="1353" spans="1:7" x14ac:dyDescent="0.25">
      <c r="A1353">
        <v>0</v>
      </c>
      <c r="B1353">
        <v>2011</v>
      </c>
      <c r="C1353" t="str">
        <f>VLOOKUP(A1353,[2]Tabelle1!$A$1:$B$68,2,FALSE)</f>
        <v>Niedersachsen</v>
      </c>
      <c r="D1353" t="s">
        <v>3</v>
      </c>
      <c r="E1353" t="s">
        <v>162</v>
      </c>
      <c r="F1353" t="str">
        <f>VLOOKUP(A1353,[1]Kreise!$A$1:$C$53,3,FALSE)</f>
        <v>K030</v>
      </c>
      <c r="G1353">
        <v>15.670467951238695</v>
      </c>
    </row>
    <row r="1354" spans="1:7" x14ac:dyDescent="0.25">
      <c r="A1354">
        <v>101</v>
      </c>
      <c r="B1354">
        <v>2012</v>
      </c>
      <c r="C1354" t="str">
        <f>VLOOKUP(A1354,[2]Tabelle1!$A$1:$B$68,2,FALSE)</f>
        <v>Braunschweig  Stadt</v>
      </c>
      <c r="D1354" t="s">
        <v>2</v>
      </c>
      <c r="E1354" t="s">
        <v>162</v>
      </c>
      <c r="F1354" t="str">
        <f>VLOOKUP(A1354,[1]Kreise!$A$1:$C$53,3,FALSE)</f>
        <v>K03101</v>
      </c>
      <c r="G1354">
        <v>5.8299595141700404</v>
      </c>
    </row>
    <row r="1355" spans="1:7" x14ac:dyDescent="0.25">
      <c r="A1355">
        <v>102</v>
      </c>
      <c r="B1355">
        <v>2012</v>
      </c>
      <c r="C1355" t="str">
        <f>VLOOKUP(A1355,[2]Tabelle1!$A$1:$B$68,2,FALSE)</f>
        <v>Salzgitter  Stadt</v>
      </c>
      <c r="D1355" t="s">
        <v>2</v>
      </c>
      <c r="E1355" t="s">
        <v>162</v>
      </c>
      <c r="F1355" t="str">
        <f>VLOOKUP(A1355,[1]Kreise!$A$1:$C$53,3,FALSE)</f>
        <v>K03102</v>
      </c>
      <c r="G1355">
        <v>3.3367037411526792</v>
      </c>
    </row>
    <row r="1356" spans="1:7" x14ac:dyDescent="0.25">
      <c r="A1356">
        <v>103</v>
      </c>
      <c r="B1356">
        <v>2012</v>
      </c>
      <c r="C1356" t="str">
        <f>VLOOKUP(A1356,[2]Tabelle1!$A$1:$B$68,2,FALSE)</f>
        <v>Wolfsburg  Stadt</v>
      </c>
      <c r="D1356" t="s">
        <v>2</v>
      </c>
      <c r="E1356" t="s">
        <v>162</v>
      </c>
      <c r="F1356" t="str">
        <f>VLOOKUP(A1356,[1]Kreise!$A$1:$C$53,3,FALSE)</f>
        <v>K03103</v>
      </c>
      <c r="G1356">
        <v>3.4702549575070822</v>
      </c>
    </row>
    <row r="1357" spans="1:7" x14ac:dyDescent="0.25">
      <c r="A1357">
        <v>151</v>
      </c>
      <c r="B1357">
        <v>2012</v>
      </c>
      <c r="C1357" t="str">
        <f>VLOOKUP(A1357,[2]Tabelle1!$A$1:$B$68,2,FALSE)</f>
        <v>Gifhorn</v>
      </c>
      <c r="D1357" t="s">
        <v>2</v>
      </c>
      <c r="E1357" t="s">
        <v>162</v>
      </c>
      <c r="F1357" t="str">
        <f>VLOOKUP(A1357,[1]Kreise!$A$1:$C$53,3,FALSE)</f>
        <v>K03151</v>
      </c>
      <c r="G1357">
        <v>4.2864610559330893</v>
      </c>
    </row>
    <row r="1358" spans="1:7" x14ac:dyDescent="0.25">
      <c r="A1358">
        <v>153</v>
      </c>
      <c r="B1358">
        <v>2012</v>
      </c>
      <c r="C1358" t="str">
        <f>VLOOKUP(A1358,[2]Tabelle1!$A$1:$B$68,2,FALSE)</f>
        <v>Goslar</v>
      </c>
      <c r="D1358" t="s">
        <v>2</v>
      </c>
      <c r="E1358" t="s">
        <v>162</v>
      </c>
      <c r="F1358" t="str">
        <f>VLOOKUP(A1358,[1]Kreise!$A$1:$C$53,3,FALSE)</f>
        <v>K03153</v>
      </c>
      <c r="G1358">
        <v>6.0443764345830147</v>
      </c>
    </row>
    <row r="1359" spans="1:7" x14ac:dyDescent="0.25">
      <c r="A1359">
        <v>154</v>
      </c>
      <c r="B1359">
        <v>2012</v>
      </c>
      <c r="C1359" t="str">
        <f>VLOOKUP(A1359,[2]Tabelle1!$A$1:$B$68,2,FALSE)</f>
        <v>Helmstedt</v>
      </c>
      <c r="D1359" t="s">
        <v>2</v>
      </c>
      <c r="E1359" t="s">
        <v>162</v>
      </c>
      <c r="F1359" t="str">
        <f>VLOOKUP(A1359,[1]Kreise!$A$1:$C$53,3,FALSE)</f>
        <v>K03154</v>
      </c>
      <c r="G1359">
        <v>5.9538274605103281</v>
      </c>
    </row>
    <row r="1360" spans="1:7" x14ac:dyDescent="0.25">
      <c r="A1360">
        <v>155</v>
      </c>
      <c r="B1360">
        <v>2012</v>
      </c>
      <c r="C1360" t="str">
        <f>VLOOKUP(A1360,[2]Tabelle1!$A$1:$B$68,2,FALSE)</f>
        <v>Northeim</v>
      </c>
      <c r="D1360" t="s">
        <v>2</v>
      </c>
      <c r="E1360" t="s">
        <v>162</v>
      </c>
      <c r="F1360" t="str">
        <f>VLOOKUP(A1360,[1]Kreise!$A$1:$C$53,3,FALSE)</f>
        <v>K03155</v>
      </c>
      <c r="G1360">
        <v>5.2701801200800533</v>
      </c>
    </row>
    <row r="1361" spans="1:7" x14ac:dyDescent="0.25">
      <c r="A1361">
        <v>157</v>
      </c>
      <c r="B1361">
        <v>2012</v>
      </c>
      <c r="C1361" t="str">
        <f>VLOOKUP(A1361,[2]Tabelle1!$A$1:$B$68,2,FALSE)</f>
        <v>Peine</v>
      </c>
      <c r="D1361" t="s">
        <v>2</v>
      </c>
      <c r="E1361" t="s">
        <v>162</v>
      </c>
      <c r="F1361" t="str">
        <f>VLOOKUP(A1361,[1]Kreise!$A$1:$C$53,3,FALSE)</f>
        <v>K03157</v>
      </c>
      <c r="G1361">
        <v>3.7037037037037033</v>
      </c>
    </row>
    <row r="1362" spans="1:7" x14ac:dyDescent="0.25">
      <c r="A1362">
        <v>158</v>
      </c>
      <c r="B1362">
        <v>2012</v>
      </c>
      <c r="C1362" t="str">
        <f>VLOOKUP(A1362,[2]Tabelle1!$A$1:$B$68,2,FALSE)</f>
        <v>Wolfenbüttel</v>
      </c>
      <c r="D1362" t="s">
        <v>2</v>
      </c>
      <c r="E1362" t="s">
        <v>162</v>
      </c>
      <c r="F1362" t="str">
        <f>VLOOKUP(A1362,[1]Kreise!$A$1:$C$53,3,FALSE)</f>
        <v>K03158</v>
      </c>
      <c r="G1362">
        <v>3.8394415357766145</v>
      </c>
    </row>
    <row r="1363" spans="1:7" x14ac:dyDescent="0.25">
      <c r="A1363">
        <v>159</v>
      </c>
      <c r="B1363">
        <v>2012</v>
      </c>
      <c r="C1363" t="str">
        <f>VLOOKUP(A1363,[2]Tabelle1!$A$1:$B$68,2,FALSE)</f>
        <v>Göttingen</v>
      </c>
      <c r="D1363" t="s">
        <v>2</v>
      </c>
      <c r="E1363" t="s">
        <v>162</v>
      </c>
      <c r="F1363" t="str">
        <f>VLOOKUP(A1363,[1]Kreise!$A$1:$C$53,3,FALSE)</f>
        <v>K03159</v>
      </c>
      <c r="G1363">
        <v>4.0211970074812964</v>
      </c>
    </row>
    <row r="1364" spans="1:7" x14ac:dyDescent="0.25">
      <c r="A1364">
        <v>1</v>
      </c>
      <c r="B1364">
        <v>2012</v>
      </c>
      <c r="C1364" t="str">
        <f>VLOOKUP(A1364,[2]Tabelle1!$A$1:$B$68,2,FALSE)</f>
        <v>Statistische Region Braunschweig</v>
      </c>
      <c r="D1364" t="s">
        <v>2</v>
      </c>
      <c r="E1364" t="s">
        <v>162</v>
      </c>
      <c r="F1364" t="str">
        <f>VLOOKUP(A1364,[1]Kreise!$A$1:$C$53,3,FALSE)</f>
        <v>K031</v>
      </c>
      <c r="G1364">
        <v>4.5775520317145695</v>
      </c>
    </row>
    <row r="1365" spans="1:7" x14ac:dyDescent="0.25">
      <c r="A1365">
        <v>241</v>
      </c>
      <c r="B1365">
        <v>2012</v>
      </c>
      <c r="C1365" t="str">
        <f>VLOOKUP(A1365,[2]Tabelle1!$A$1:$B$68,2,FALSE)</f>
        <v>Hannover  Region</v>
      </c>
      <c r="D1365" t="s">
        <v>2</v>
      </c>
      <c r="E1365" t="s">
        <v>162</v>
      </c>
      <c r="F1365" t="str">
        <f>VLOOKUP(A1365,[1]Kreise!$A$1:$C$53,3,FALSE)</f>
        <v>K03241</v>
      </c>
      <c r="G1365">
        <v>4.4068790306820409</v>
      </c>
    </row>
    <row r="1366" spans="1:7" x14ac:dyDescent="0.25">
      <c r="A1366">
        <v>241001</v>
      </c>
      <c r="B1366">
        <v>2012</v>
      </c>
      <c r="C1366" t="str">
        <f>VLOOKUP(A1366,[2]Tabelle1!$A$1:$B$68,2,FALSE)</f>
        <v>dav. Hannover  Lhst.</v>
      </c>
      <c r="D1366" t="s">
        <v>2</v>
      </c>
      <c r="E1366" t="s">
        <v>162</v>
      </c>
      <c r="F1366" t="str">
        <f>VLOOKUP(A1366,[1]Kreise!$A$1:$C$53,3,FALSE)</f>
        <v>K03241001</v>
      </c>
      <c r="G1366">
        <v>5.47808764940239</v>
      </c>
    </row>
    <row r="1367" spans="1:7" x14ac:dyDescent="0.25">
      <c r="A1367">
        <v>241999</v>
      </c>
      <c r="B1367">
        <v>2012</v>
      </c>
      <c r="C1367" t="str">
        <f>VLOOKUP(A1367,[2]Tabelle1!$A$1:$B$68,2,FALSE)</f>
        <v>dav. Hannover  Umland</v>
      </c>
      <c r="D1367" t="s">
        <v>2</v>
      </c>
      <c r="E1367" t="s">
        <v>162</v>
      </c>
      <c r="F1367" t="str">
        <f>VLOOKUP(A1367,[1]Kreise!$A$1:$C$53,3,FALSE)</f>
        <v>K03241999</v>
      </c>
      <c r="G1367">
        <v>3.7150209070440656</v>
      </c>
    </row>
    <row r="1368" spans="1:7" x14ac:dyDescent="0.25">
      <c r="A1368">
        <v>251</v>
      </c>
      <c r="B1368">
        <v>2012</v>
      </c>
      <c r="C1368" t="str">
        <f>VLOOKUP(A1368,[2]Tabelle1!$A$1:$B$68,2,FALSE)</f>
        <v>Diepholz</v>
      </c>
      <c r="D1368" t="s">
        <v>2</v>
      </c>
      <c r="E1368" t="s">
        <v>162</v>
      </c>
      <c r="F1368" t="str">
        <f>VLOOKUP(A1368,[1]Kreise!$A$1:$C$53,3,FALSE)</f>
        <v>K03251</v>
      </c>
      <c r="G1368">
        <v>3.7885874649204863</v>
      </c>
    </row>
    <row r="1369" spans="1:7" x14ac:dyDescent="0.25">
      <c r="A1369">
        <v>252</v>
      </c>
      <c r="B1369">
        <v>2012</v>
      </c>
      <c r="C1369" t="str">
        <f>VLOOKUP(A1369,[2]Tabelle1!$A$1:$B$68,2,FALSE)</f>
        <v>Hameln-Pyrmont</v>
      </c>
      <c r="D1369" t="s">
        <v>2</v>
      </c>
      <c r="E1369" t="s">
        <v>162</v>
      </c>
      <c r="F1369" t="str">
        <f>VLOOKUP(A1369,[1]Kreise!$A$1:$C$53,3,FALSE)</f>
        <v>K03252</v>
      </c>
      <c r="G1369">
        <v>5.7254391672088483</v>
      </c>
    </row>
    <row r="1370" spans="1:7" x14ac:dyDescent="0.25">
      <c r="A1370">
        <v>254</v>
      </c>
      <c r="B1370">
        <v>2012</v>
      </c>
      <c r="C1370" t="str">
        <f>VLOOKUP(A1370,[2]Tabelle1!$A$1:$B$68,2,FALSE)</f>
        <v>Hildesheim</v>
      </c>
      <c r="D1370" t="s">
        <v>2</v>
      </c>
      <c r="E1370" t="s">
        <v>162</v>
      </c>
      <c r="F1370" t="str">
        <f>VLOOKUP(A1370,[1]Kreise!$A$1:$C$53,3,FALSE)</f>
        <v>K03254</v>
      </c>
      <c r="G1370">
        <v>5.1363797378675171</v>
      </c>
    </row>
    <row r="1371" spans="1:7" x14ac:dyDescent="0.25">
      <c r="A1371">
        <v>255</v>
      </c>
      <c r="B1371">
        <v>2012</v>
      </c>
      <c r="C1371" t="str">
        <f>VLOOKUP(A1371,[2]Tabelle1!$A$1:$B$68,2,FALSE)</f>
        <v>Holzminden</v>
      </c>
      <c r="D1371" t="s">
        <v>2</v>
      </c>
      <c r="E1371" t="s">
        <v>162</v>
      </c>
      <c r="F1371" t="str">
        <f>VLOOKUP(A1371,[1]Kreise!$A$1:$C$53,3,FALSE)</f>
        <v>K03255</v>
      </c>
      <c r="G1371">
        <v>6.5255731922398583</v>
      </c>
    </row>
    <row r="1372" spans="1:7" x14ac:dyDescent="0.25">
      <c r="A1372">
        <v>256</v>
      </c>
      <c r="B1372">
        <v>2012</v>
      </c>
      <c r="C1372" t="str">
        <f>VLOOKUP(A1372,[2]Tabelle1!$A$1:$B$68,2,FALSE)</f>
        <v>Nienburg (Weser)</v>
      </c>
      <c r="D1372" t="s">
        <v>2</v>
      </c>
      <c r="E1372" t="s">
        <v>162</v>
      </c>
      <c r="F1372" t="str">
        <f>VLOOKUP(A1372,[1]Kreise!$A$1:$C$53,3,FALSE)</f>
        <v>K03256</v>
      </c>
      <c r="G1372">
        <v>4.7582501918649278</v>
      </c>
    </row>
    <row r="1373" spans="1:7" x14ac:dyDescent="0.25">
      <c r="A1373">
        <v>257</v>
      </c>
      <c r="B1373">
        <v>2012</v>
      </c>
      <c r="C1373" t="str">
        <f>VLOOKUP(A1373,[2]Tabelle1!$A$1:$B$68,2,FALSE)</f>
        <v>Schaumburg</v>
      </c>
      <c r="D1373" t="s">
        <v>2</v>
      </c>
      <c r="E1373" t="s">
        <v>162</v>
      </c>
      <c r="F1373" t="str">
        <f>VLOOKUP(A1373,[1]Kreise!$A$1:$C$53,3,FALSE)</f>
        <v>K03257</v>
      </c>
      <c r="G1373">
        <v>3.7580739870816204</v>
      </c>
    </row>
    <row r="1374" spans="1:7" x14ac:dyDescent="0.25">
      <c r="A1374">
        <v>2</v>
      </c>
      <c r="B1374">
        <v>2012</v>
      </c>
      <c r="C1374" t="str">
        <f>VLOOKUP(A1374,[2]Tabelle1!$A$1:$B$68,2,FALSE)</f>
        <v>Statistische Region Hannover</v>
      </c>
      <c r="D1374" t="s">
        <v>2</v>
      </c>
      <c r="E1374" t="s">
        <v>162</v>
      </c>
      <c r="F1374" t="str">
        <f>VLOOKUP(A1374,[1]Kreise!$A$1:$C$53,3,FALSE)</f>
        <v>K032</v>
      </c>
      <c r="G1374">
        <v>4.5703028810637774</v>
      </c>
    </row>
    <row r="1375" spans="1:7" x14ac:dyDescent="0.25">
      <c r="A1375">
        <v>351</v>
      </c>
      <c r="B1375">
        <v>2012</v>
      </c>
      <c r="C1375" t="str">
        <f>VLOOKUP(A1375,[2]Tabelle1!$A$1:$B$68,2,FALSE)</f>
        <v>Celle</v>
      </c>
      <c r="D1375" t="s">
        <v>2</v>
      </c>
      <c r="E1375" t="s">
        <v>162</v>
      </c>
      <c r="F1375" t="str">
        <f>VLOOKUP(A1375,[1]Kreise!$A$1:$C$53,3,FALSE)</f>
        <v>K03351</v>
      </c>
      <c r="G1375">
        <v>6.3031515757878935</v>
      </c>
    </row>
    <row r="1376" spans="1:7" x14ac:dyDescent="0.25">
      <c r="A1376">
        <v>352</v>
      </c>
      <c r="B1376">
        <v>2012</v>
      </c>
      <c r="C1376" t="str">
        <f>VLOOKUP(A1376,[2]Tabelle1!$A$1:$B$68,2,FALSE)</f>
        <v>Cuxhaven</v>
      </c>
      <c r="D1376" t="s">
        <v>2</v>
      </c>
      <c r="E1376" t="s">
        <v>162</v>
      </c>
      <c r="F1376" t="str">
        <f>VLOOKUP(A1376,[1]Kreise!$A$1:$C$53,3,FALSE)</f>
        <v>K03352</v>
      </c>
      <c r="G1376">
        <v>7.9228034535297098</v>
      </c>
    </row>
    <row r="1377" spans="1:7" x14ac:dyDescent="0.25">
      <c r="A1377">
        <v>353</v>
      </c>
      <c r="B1377">
        <v>2012</v>
      </c>
      <c r="C1377" t="str">
        <f>VLOOKUP(A1377,[2]Tabelle1!$A$1:$B$68,2,FALSE)</f>
        <v>Harburg</v>
      </c>
      <c r="D1377" t="s">
        <v>2</v>
      </c>
      <c r="E1377" t="s">
        <v>162</v>
      </c>
      <c r="F1377" t="str">
        <f>VLOOKUP(A1377,[1]Kreise!$A$1:$C$53,3,FALSE)</f>
        <v>K03353</v>
      </c>
      <c r="G1377">
        <v>3.3771106941838651</v>
      </c>
    </row>
    <row r="1378" spans="1:7" x14ac:dyDescent="0.25">
      <c r="A1378">
        <v>354</v>
      </c>
      <c r="B1378">
        <v>2012</v>
      </c>
      <c r="C1378" t="str">
        <f>VLOOKUP(A1378,[2]Tabelle1!$A$1:$B$68,2,FALSE)</f>
        <v>Lüchow-Dannenberg</v>
      </c>
      <c r="D1378" t="s">
        <v>2</v>
      </c>
      <c r="E1378" t="s">
        <v>162</v>
      </c>
      <c r="F1378" t="str">
        <f>VLOOKUP(A1378,[1]Kreise!$A$1:$C$53,3,FALSE)</f>
        <v>K03354</v>
      </c>
      <c r="G1378">
        <v>5.6201550387596901</v>
      </c>
    </row>
    <row r="1379" spans="1:7" x14ac:dyDescent="0.25">
      <c r="A1379">
        <v>355</v>
      </c>
      <c r="B1379">
        <v>2012</v>
      </c>
      <c r="C1379" t="str">
        <f>VLOOKUP(A1379,[2]Tabelle1!$A$1:$B$68,2,FALSE)</f>
        <v>Lüneburg</v>
      </c>
      <c r="D1379" t="s">
        <v>2</v>
      </c>
      <c r="E1379" t="s">
        <v>162</v>
      </c>
      <c r="F1379" t="str">
        <f>VLOOKUP(A1379,[1]Kreise!$A$1:$C$53,3,FALSE)</f>
        <v>K03355</v>
      </c>
      <c r="G1379">
        <v>4.4467972472207515</v>
      </c>
    </row>
    <row r="1380" spans="1:7" x14ac:dyDescent="0.25">
      <c r="A1380">
        <v>356</v>
      </c>
      <c r="B1380">
        <v>2012</v>
      </c>
      <c r="C1380" t="str">
        <f>VLOOKUP(A1380,[2]Tabelle1!$A$1:$B$68,2,FALSE)</f>
        <v>Osterholz</v>
      </c>
      <c r="D1380" t="s">
        <v>2</v>
      </c>
      <c r="E1380" t="s">
        <v>162</v>
      </c>
      <c r="F1380" t="str">
        <f>VLOOKUP(A1380,[1]Kreise!$A$1:$C$53,3,FALSE)</f>
        <v>K03356</v>
      </c>
      <c r="G1380">
        <v>3.6303630363036308</v>
      </c>
    </row>
    <row r="1381" spans="1:7" x14ac:dyDescent="0.25">
      <c r="A1381">
        <v>357</v>
      </c>
      <c r="B1381">
        <v>2012</v>
      </c>
      <c r="C1381" t="str">
        <f>VLOOKUP(A1381,[2]Tabelle1!$A$1:$B$68,2,FALSE)</f>
        <v>Rotenburg (Wümme)</v>
      </c>
      <c r="D1381" t="s">
        <v>2</v>
      </c>
      <c r="E1381" t="s">
        <v>162</v>
      </c>
      <c r="F1381" t="str">
        <f>VLOOKUP(A1381,[1]Kreise!$A$1:$C$53,3,FALSE)</f>
        <v>K03357</v>
      </c>
      <c r="G1381">
        <v>4.4711014176663033</v>
      </c>
    </row>
    <row r="1382" spans="1:7" x14ac:dyDescent="0.25">
      <c r="A1382">
        <v>358</v>
      </c>
      <c r="B1382">
        <v>2012</v>
      </c>
      <c r="C1382" t="str">
        <f>VLOOKUP(A1382,[2]Tabelle1!$A$1:$B$68,2,FALSE)</f>
        <v>Heidekreis</v>
      </c>
      <c r="D1382" t="s">
        <v>2</v>
      </c>
      <c r="E1382" t="s">
        <v>162</v>
      </c>
      <c r="F1382" t="str">
        <f>VLOOKUP(A1382,[1]Kreise!$A$1:$C$53,3,FALSE)</f>
        <v>K03358</v>
      </c>
      <c r="G1382">
        <v>6.5940713853599524</v>
      </c>
    </row>
    <row r="1383" spans="1:7" x14ac:dyDescent="0.25">
      <c r="A1383">
        <v>359</v>
      </c>
      <c r="B1383">
        <v>2012</v>
      </c>
      <c r="C1383" t="str">
        <f>VLOOKUP(A1383,[2]Tabelle1!$A$1:$B$68,2,FALSE)</f>
        <v>Stade</v>
      </c>
      <c r="D1383" t="s">
        <v>2</v>
      </c>
      <c r="E1383" t="s">
        <v>162</v>
      </c>
      <c r="F1383" t="str">
        <f>VLOOKUP(A1383,[1]Kreise!$A$1:$C$53,3,FALSE)</f>
        <v>K03359</v>
      </c>
      <c r="G1383">
        <v>5.045045045045045</v>
      </c>
    </row>
    <row r="1384" spans="1:7" x14ac:dyDescent="0.25">
      <c r="A1384">
        <v>360</v>
      </c>
      <c r="B1384">
        <v>2012</v>
      </c>
      <c r="C1384" t="str">
        <f>VLOOKUP(A1384,[2]Tabelle1!$A$1:$B$68,2,FALSE)</f>
        <v>Uelzen</v>
      </c>
      <c r="D1384" t="s">
        <v>2</v>
      </c>
      <c r="E1384" t="s">
        <v>162</v>
      </c>
      <c r="F1384" t="str">
        <f>VLOOKUP(A1384,[1]Kreise!$A$1:$C$53,3,FALSE)</f>
        <v>K03360</v>
      </c>
      <c r="G1384">
        <v>4.3562439496611809</v>
      </c>
    </row>
    <row r="1385" spans="1:7" x14ac:dyDescent="0.25">
      <c r="A1385">
        <v>361</v>
      </c>
      <c r="B1385">
        <v>2012</v>
      </c>
      <c r="C1385" t="str">
        <f>VLOOKUP(A1385,[2]Tabelle1!$A$1:$B$68,2,FALSE)</f>
        <v>Verden</v>
      </c>
      <c r="D1385" t="s">
        <v>2</v>
      </c>
      <c r="E1385" t="s">
        <v>162</v>
      </c>
      <c r="F1385" t="str">
        <f>VLOOKUP(A1385,[1]Kreise!$A$1:$C$53,3,FALSE)</f>
        <v>K03361</v>
      </c>
      <c r="G1385">
        <v>3.5901271503365741</v>
      </c>
    </row>
    <row r="1386" spans="1:7" x14ac:dyDescent="0.25">
      <c r="A1386">
        <v>3</v>
      </c>
      <c r="B1386">
        <v>2012</v>
      </c>
      <c r="C1386" t="str">
        <f>VLOOKUP(A1386,[2]Tabelle1!$A$1:$B$68,2,FALSE)</f>
        <v>Statistische Region Lüneburg</v>
      </c>
      <c r="D1386" t="s">
        <v>2</v>
      </c>
      <c r="E1386" t="s">
        <v>162</v>
      </c>
      <c r="F1386" t="str">
        <f>VLOOKUP(A1386,[1]Kreise!$A$1:$C$53,3,FALSE)</f>
        <v>K033</v>
      </c>
      <c r="G1386">
        <v>5.0471981229879415</v>
      </c>
    </row>
    <row r="1387" spans="1:7" x14ac:dyDescent="0.25">
      <c r="A1387">
        <v>401</v>
      </c>
      <c r="B1387">
        <v>2012</v>
      </c>
      <c r="C1387" t="str">
        <f>VLOOKUP(A1387,[2]Tabelle1!$A$1:$B$68,2,FALSE)</f>
        <v>Delmenhorst  Stadt</v>
      </c>
      <c r="D1387" t="s">
        <v>2</v>
      </c>
      <c r="E1387" t="s">
        <v>162</v>
      </c>
      <c r="F1387" t="str">
        <f>VLOOKUP(A1387,[1]Kreise!$A$1:$C$53,3,FALSE)</f>
        <v>K03401</v>
      </c>
      <c r="G1387">
        <v>4.9932523616734139</v>
      </c>
    </row>
    <row r="1388" spans="1:7" x14ac:dyDescent="0.25">
      <c r="A1388">
        <v>402</v>
      </c>
      <c r="B1388">
        <v>2012</v>
      </c>
      <c r="C1388" t="str">
        <f>VLOOKUP(A1388,[2]Tabelle1!$A$1:$B$68,2,FALSE)</f>
        <v>Emden  Stadt</v>
      </c>
      <c r="D1388" t="s">
        <v>2</v>
      </c>
      <c r="E1388" t="s">
        <v>162</v>
      </c>
      <c r="F1388" t="str">
        <f>VLOOKUP(A1388,[1]Kreise!$A$1:$C$53,3,FALSE)</f>
        <v>K03402</v>
      </c>
      <c r="G1388">
        <v>8.9416058394160594</v>
      </c>
    </row>
    <row r="1389" spans="1:7" x14ac:dyDescent="0.25">
      <c r="A1389">
        <v>403</v>
      </c>
      <c r="B1389">
        <v>2012</v>
      </c>
      <c r="C1389" t="str">
        <f>VLOOKUP(A1389,[2]Tabelle1!$A$1:$B$68,2,FALSE)</f>
        <v>Oldenburg(Oldb)  Stadt</v>
      </c>
      <c r="D1389" t="s">
        <v>2</v>
      </c>
      <c r="E1389" t="s">
        <v>162</v>
      </c>
      <c r="F1389" t="str">
        <f>VLOOKUP(A1389,[1]Kreise!$A$1:$C$53,3,FALSE)</f>
        <v>K03403</v>
      </c>
      <c r="G1389">
        <v>4.2530568846358321</v>
      </c>
    </row>
    <row r="1390" spans="1:7" x14ac:dyDescent="0.25">
      <c r="A1390">
        <v>404</v>
      </c>
      <c r="B1390">
        <v>2012</v>
      </c>
      <c r="C1390" t="str">
        <f>VLOOKUP(A1390,[2]Tabelle1!$A$1:$B$68,2,FALSE)</f>
        <v>Osnabrück  Stadt</v>
      </c>
      <c r="D1390" t="s">
        <v>2</v>
      </c>
      <c r="E1390" t="s">
        <v>162</v>
      </c>
      <c r="F1390" t="str">
        <f>VLOOKUP(A1390,[1]Kreise!$A$1:$C$53,3,FALSE)</f>
        <v>K03404</v>
      </c>
      <c r="G1390">
        <v>4.5745204131824888</v>
      </c>
    </row>
    <row r="1391" spans="1:7" x14ac:dyDescent="0.25">
      <c r="A1391">
        <v>405</v>
      </c>
      <c r="B1391">
        <v>2012</v>
      </c>
      <c r="C1391" t="str">
        <f>VLOOKUP(A1391,[2]Tabelle1!$A$1:$B$68,2,FALSE)</f>
        <v>Wilhelmshaven  Stadt</v>
      </c>
      <c r="D1391" t="s">
        <v>2</v>
      </c>
      <c r="E1391" t="s">
        <v>162</v>
      </c>
      <c r="F1391" t="str">
        <f>VLOOKUP(A1391,[1]Kreise!$A$1:$C$53,3,FALSE)</f>
        <v>K03405</v>
      </c>
      <c r="G1391">
        <v>3.8461538461538463</v>
      </c>
    </row>
    <row r="1392" spans="1:7" x14ac:dyDescent="0.25">
      <c r="A1392">
        <v>451</v>
      </c>
      <c r="B1392">
        <v>2012</v>
      </c>
      <c r="C1392" t="str">
        <f>VLOOKUP(A1392,[2]Tabelle1!$A$1:$B$68,2,FALSE)</f>
        <v>Ammerland</v>
      </c>
      <c r="D1392" t="s">
        <v>2</v>
      </c>
      <c r="E1392" t="s">
        <v>162</v>
      </c>
      <c r="F1392" t="str">
        <f>VLOOKUP(A1392,[1]Kreise!$A$1:$C$53,3,FALSE)</f>
        <v>K03451</v>
      </c>
      <c r="G1392">
        <v>3.2738095238095242</v>
      </c>
    </row>
    <row r="1393" spans="1:7" x14ac:dyDescent="0.25">
      <c r="A1393">
        <v>452</v>
      </c>
      <c r="B1393">
        <v>2012</v>
      </c>
      <c r="C1393" t="str">
        <f>VLOOKUP(A1393,[2]Tabelle1!$A$1:$B$68,2,FALSE)</f>
        <v>Aurich</v>
      </c>
      <c r="D1393" t="s">
        <v>2</v>
      </c>
      <c r="E1393" t="s">
        <v>162</v>
      </c>
      <c r="F1393" t="str">
        <f>VLOOKUP(A1393,[1]Kreise!$A$1:$C$53,3,FALSE)</f>
        <v>K03452</v>
      </c>
      <c r="G1393">
        <v>8.1818181818181817</v>
      </c>
    </row>
    <row r="1394" spans="1:7" x14ac:dyDescent="0.25">
      <c r="A1394">
        <v>453</v>
      </c>
      <c r="B1394">
        <v>2012</v>
      </c>
      <c r="C1394" t="str">
        <f>VLOOKUP(A1394,[2]Tabelle1!$A$1:$B$68,2,FALSE)</f>
        <v>Cloppenburg</v>
      </c>
      <c r="D1394" t="s">
        <v>2</v>
      </c>
      <c r="E1394" t="s">
        <v>162</v>
      </c>
      <c r="F1394" t="str">
        <f>VLOOKUP(A1394,[1]Kreise!$A$1:$C$53,3,FALSE)</f>
        <v>K03453</v>
      </c>
      <c r="G1394">
        <v>5.620723362658846</v>
      </c>
    </row>
    <row r="1395" spans="1:7" x14ac:dyDescent="0.25">
      <c r="A1395">
        <v>454</v>
      </c>
      <c r="B1395">
        <v>2012</v>
      </c>
      <c r="C1395" t="str">
        <f>VLOOKUP(A1395,[2]Tabelle1!$A$1:$B$68,2,FALSE)</f>
        <v>Emsland</v>
      </c>
      <c r="D1395" t="s">
        <v>2</v>
      </c>
      <c r="E1395" t="s">
        <v>162</v>
      </c>
      <c r="F1395" t="str">
        <f>VLOOKUP(A1395,[1]Kreise!$A$1:$C$53,3,FALSE)</f>
        <v>K03454</v>
      </c>
      <c r="G1395">
        <v>4.3317485472794504</v>
      </c>
    </row>
    <row r="1396" spans="1:7" x14ac:dyDescent="0.25">
      <c r="A1396">
        <v>455</v>
      </c>
      <c r="B1396">
        <v>2012</v>
      </c>
      <c r="C1396" t="str">
        <f>VLOOKUP(A1396,[2]Tabelle1!$A$1:$B$68,2,FALSE)</f>
        <v>Friesland</v>
      </c>
      <c r="D1396" t="s">
        <v>2</v>
      </c>
      <c r="E1396" t="s">
        <v>162</v>
      </c>
      <c r="F1396" t="str">
        <f>VLOOKUP(A1396,[1]Kreise!$A$1:$C$53,3,FALSE)</f>
        <v>K03455</v>
      </c>
      <c r="G1396">
        <v>5.6807051909892259</v>
      </c>
    </row>
    <row r="1397" spans="1:7" x14ac:dyDescent="0.25">
      <c r="A1397">
        <v>456</v>
      </c>
      <c r="B1397">
        <v>2012</v>
      </c>
      <c r="C1397" t="str">
        <f>VLOOKUP(A1397,[2]Tabelle1!$A$1:$B$68,2,FALSE)</f>
        <v>Grafschaft Bentheim</v>
      </c>
      <c r="D1397" t="s">
        <v>2</v>
      </c>
      <c r="E1397" t="s">
        <v>162</v>
      </c>
      <c r="F1397" t="str">
        <f>VLOOKUP(A1397,[1]Kreise!$A$1:$C$53,3,FALSE)</f>
        <v>K03456</v>
      </c>
      <c r="G1397">
        <v>5.828421741977734</v>
      </c>
    </row>
    <row r="1398" spans="1:7" x14ac:dyDescent="0.25">
      <c r="A1398">
        <v>457</v>
      </c>
      <c r="B1398">
        <v>2012</v>
      </c>
      <c r="C1398" t="str">
        <f>VLOOKUP(A1398,[2]Tabelle1!$A$1:$B$68,2,FALSE)</f>
        <v>Leer</v>
      </c>
      <c r="D1398" t="s">
        <v>2</v>
      </c>
      <c r="E1398" t="s">
        <v>162</v>
      </c>
      <c r="F1398" t="str">
        <f>VLOOKUP(A1398,[1]Kreise!$A$1:$C$53,3,FALSE)</f>
        <v>K03457</v>
      </c>
      <c r="G1398">
        <v>8.5861476817401261</v>
      </c>
    </row>
    <row r="1399" spans="1:7" x14ac:dyDescent="0.25">
      <c r="A1399">
        <v>458</v>
      </c>
      <c r="B1399">
        <v>2012</v>
      </c>
      <c r="C1399" t="str">
        <f>VLOOKUP(A1399,[2]Tabelle1!$A$1:$B$68,2,FALSE)</f>
        <v>Oldenburg</v>
      </c>
      <c r="D1399" t="s">
        <v>2</v>
      </c>
      <c r="E1399" t="s">
        <v>162</v>
      </c>
      <c r="F1399" t="str">
        <f>VLOOKUP(A1399,[1]Kreise!$A$1:$C$53,3,FALSE)</f>
        <v>K03458</v>
      </c>
      <c r="G1399">
        <v>5.064308681672026</v>
      </c>
    </row>
    <row r="1400" spans="1:7" x14ac:dyDescent="0.25">
      <c r="A1400">
        <v>459</v>
      </c>
      <c r="B1400">
        <v>2012</v>
      </c>
      <c r="C1400" t="str">
        <f>VLOOKUP(A1400,[2]Tabelle1!$A$1:$B$68,2,FALSE)</f>
        <v>Osnabrück</v>
      </c>
      <c r="D1400" t="s">
        <v>2</v>
      </c>
      <c r="E1400" t="s">
        <v>162</v>
      </c>
      <c r="F1400" t="str">
        <f>VLOOKUP(A1400,[1]Kreise!$A$1:$C$53,3,FALSE)</f>
        <v>K03459</v>
      </c>
      <c r="G1400">
        <v>5.3044002411091018</v>
      </c>
    </row>
    <row r="1401" spans="1:7" x14ac:dyDescent="0.25">
      <c r="A1401">
        <v>460</v>
      </c>
      <c r="B1401">
        <v>2012</v>
      </c>
      <c r="C1401" t="str">
        <f>VLOOKUP(A1401,[2]Tabelle1!$A$1:$B$68,2,FALSE)</f>
        <v>Vechta</v>
      </c>
      <c r="D1401" t="s">
        <v>2</v>
      </c>
      <c r="E1401" t="s">
        <v>162</v>
      </c>
      <c r="F1401" t="str">
        <f>VLOOKUP(A1401,[1]Kreise!$A$1:$C$53,3,FALSE)</f>
        <v>K03460</v>
      </c>
      <c r="G1401">
        <v>6.4673581452104942</v>
      </c>
    </row>
    <row r="1402" spans="1:7" x14ac:dyDescent="0.25">
      <c r="A1402">
        <v>461</v>
      </c>
      <c r="B1402">
        <v>2012</v>
      </c>
      <c r="C1402" t="str">
        <f>VLOOKUP(A1402,[2]Tabelle1!$A$1:$B$68,2,FALSE)</f>
        <v>Wesermarsch</v>
      </c>
      <c r="D1402" t="s">
        <v>2</v>
      </c>
      <c r="E1402" t="s">
        <v>162</v>
      </c>
      <c r="F1402" t="str">
        <f>VLOOKUP(A1402,[1]Kreise!$A$1:$C$53,3,FALSE)</f>
        <v>K03461</v>
      </c>
      <c r="G1402">
        <v>3.1164069660861595</v>
      </c>
    </row>
    <row r="1403" spans="1:7" x14ac:dyDescent="0.25">
      <c r="A1403">
        <v>462</v>
      </c>
      <c r="B1403">
        <v>2012</v>
      </c>
      <c r="C1403" t="str">
        <f>VLOOKUP(A1403,[2]Tabelle1!$A$1:$B$68,2,FALSE)</f>
        <v>Wittmund</v>
      </c>
      <c r="D1403" t="s">
        <v>2</v>
      </c>
      <c r="E1403" t="s">
        <v>162</v>
      </c>
      <c r="F1403" t="str">
        <f>VLOOKUP(A1403,[1]Kreise!$A$1:$C$53,3,FALSE)</f>
        <v>K03462</v>
      </c>
      <c r="G1403">
        <v>4.2313117066290546</v>
      </c>
    </row>
    <row r="1404" spans="1:7" x14ac:dyDescent="0.25">
      <c r="A1404">
        <v>4</v>
      </c>
      <c r="B1404">
        <v>2012</v>
      </c>
      <c r="C1404" t="str">
        <f>VLOOKUP(A1404,[2]Tabelle1!$A$1:$B$68,2,FALSE)</f>
        <v>Statistische Region Weser-Ems</v>
      </c>
      <c r="D1404" t="s">
        <v>2</v>
      </c>
      <c r="E1404" t="s">
        <v>162</v>
      </c>
      <c r="F1404" t="str">
        <f>VLOOKUP(A1404,[1]Kreise!$A$1:$C$53,3,FALSE)</f>
        <v>K034</v>
      </c>
      <c r="G1404">
        <v>5.4042290812810565</v>
      </c>
    </row>
    <row r="1405" spans="1:7" x14ac:dyDescent="0.25">
      <c r="A1405">
        <v>0</v>
      </c>
      <c r="B1405">
        <v>2012</v>
      </c>
      <c r="C1405" t="str">
        <f>VLOOKUP(A1405,[2]Tabelle1!$A$1:$B$68,2,FALSE)</f>
        <v>Niedersachsen</v>
      </c>
      <c r="D1405" t="s">
        <v>2</v>
      </c>
      <c r="E1405" t="s">
        <v>162</v>
      </c>
      <c r="F1405" t="str">
        <f>VLOOKUP(A1405,[1]Kreise!$A$1:$C$53,3,FALSE)</f>
        <v>K030</v>
      </c>
      <c r="G1405">
        <v>4.9570719030444339</v>
      </c>
    </row>
    <row r="1406" spans="1:7" x14ac:dyDescent="0.25">
      <c r="A1406">
        <v>101</v>
      </c>
      <c r="B1406">
        <v>2012</v>
      </c>
      <c r="C1406" t="str">
        <f>VLOOKUP(A1406,[2]Tabelle1!$A$1:$B$68,2,FALSE)</f>
        <v>Braunschweig  Stadt</v>
      </c>
      <c r="D1406" t="s">
        <v>3</v>
      </c>
      <c r="E1406" t="s">
        <v>162</v>
      </c>
      <c r="F1406" t="str">
        <f>VLOOKUP(A1406,[1]Kreise!$A$1:$C$53,3,FALSE)</f>
        <v>K03101</v>
      </c>
      <c r="G1406">
        <v>10.344827586206897</v>
      </c>
    </row>
    <row r="1407" spans="1:7" x14ac:dyDescent="0.25">
      <c r="A1407">
        <v>102</v>
      </c>
      <c r="B1407">
        <v>2012</v>
      </c>
      <c r="C1407" t="str">
        <f>VLOOKUP(A1407,[2]Tabelle1!$A$1:$B$68,2,FALSE)</f>
        <v>Salzgitter  Stadt</v>
      </c>
      <c r="D1407" t="s">
        <v>3</v>
      </c>
      <c r="E1407" t="s">
        <v>162</v>
      </c>
      <c r="F1407" t="str">
        <f>VLOOKUP(A1407,[1]Kreise!$A$1:$C$53,3,FALSE)</f>
        <v>K03102</v>
      </c>
      <c r="G1407">
        <v>0.625</v>
      </c>
    </row>
    <row r="1408" spans="1:7" x14ac:dyDescent="0.25">
      <c r="A1408">
        <v>103</v>
      </c>
      <c r="B1408">
        <v>2012</v>
      </c>
      <c r="C1408" t="str">
        <f>VLOOKUP(A1408,[2]Tabelle1!$A$1:$B$68,2,FALSE)</f>
        <v>Wolfsburg  Stadt</v>
      </c>
      <c r="D1408" t="s">
        <v>3</v>
      </c>
      <c r="E1408" t="s">
        <v>162</v>
      </c>
      <c r="F1408" t="str">
        <f>VLOOKUP(A1408,[1]Kreise!$A$1:$C$53,3,FALSE)</f>
        <v>K03103</v>
      </c>
      <c r="G1408">
        <v>6.7669172932330826</v>
      </c>
    </row>
    <row r="1409" spans="1:7" x14ac:dyDescent="0.25">
      <c r="A1409">
        <v>151</v>
      </c>
      <c r="B1409">
        <v>2012</v>
      </c>
      <c r="C1409" t="str">
        <f>VLOOKUP(A1409,[2]Tabelle1!$A$1:$B$68,2,FALSE)</f>
        <v>Gifhorn</v>
      </c>
      <c r="D1409" t="s">
        <v>3</v>
      </c>
      <c r="E1409" t="s">
        <v>162</v>
      </c>
      <c r="F1409" t="str">
        <f>VLOOKUP(A1409,[1]Kreise!$A$1:$C$53,3,FALSE)</f>
        <v>K03151</v>
      </c>
      <c r="G1409">
        <v>9.0909090909090917</v>
      </c>
    </row>
    <row r="1410" spans="1:7" x14ac:dyDescent="0.25">
      <c r="A1410">
        <v>153</v>
      </c>
      <c r="B1410">
        <v>2012</v>
      </c>
      <c r="C1410" t="str">
        <f>VLOOKUP(A1410,[2]Tabelle1!$A$1:$B$68,2,FALSE)</f>
        <v>Goslar</v>
      </c>
      <c r="D1410" t="s">
        <v>3</v>
      </c>
      <c r="E1410" t="s">
        <v>162</v>
      </c>
      <c r="F1410" t="str">
        <f>VLOOKUP(A1410,[1]Kreise!$A$1:$C$53,3,FALSE)</f>
        <v>K03153</v>
      </c>
      <c r="G1410">
        <v>13.888888888888889</v>
      </c>
    </row>
    <row r="1411" spans="1:7" x14ac:dyDescent="0.25">
      <c r="A1411">
        <v>154</v>
      </c>
      <c r="B1411">
        <v>2012</v>
      </c>
      <c r="C1411" t="str">
        <f>VLOOKUP(A1411,[2]Tabelle1!$A$1:$B$68,2,FALSE)</f>
        <v>Helmstedt</v>
      </c>
      <c r="D1411" t="s">
        <v>3</v>
      </c>
      <c r="E1411" t="s">
        <v>162</v>
      </c>
      <c r="F1411" t="str">
        <f>VLOOKUP(A1411,[1]Kreise!$A$1:$C$53,3,FALSE)</f>
        <v>K03154</v>
      </c>
      <c r="G1411">
        <v>4.5454545454545459</v>
      </c>
    </row>
    <row r="1412" spans="1:7" x14ac:dyDescent="0.25">
      <c r="A1412">
        <v>155</v>
      </c>
      <c r="B1412">
        <v>2012</v>
      </c>
      <c r="C1412" t="str">
        <f>VLOOKUP(A1412,[2]Tabelle1!$A$1:$B$68,2,FALSE)</f>
        <v>Northeim</v>
      </c>
      <c r="D1412" t="s">
        <v>3</v>
      </c>
      <c r="E1412" t="s">
        <v>162</v>
      </c>
      <c r="F1412" t="str">
        <f>VLOOKUP(A1412,[1]Kreise!$A$1:$C$53,3,FALSE)</f>
        <v>K03155</v>
      </c>
      <c r="G1412">
        <v>18.478260869565215</v>
      </c>
    </row>
    <row r="1413" spans="1:7" x14ac:dyDescent="0.25">
      <c r="A1413">
        <v>157</v>
      </c>
      <c r="B1413">
        <v>2012</v>
      </c>
      <c r="C1413" t="str">
        <f>VLOOKUP(A1413,[2]Tabelle1!$A$1:$B$68,2,FALSE)</f>
        <v>Peine</v>
      </c>
      <c r="D1413" t="s">
        <v>3</v>
      </c>
      <c r="E1413" t="s">
        <v>162</v>
      </c>
      <c r="F1413" t="str">
        <f>VLOOKUP(A1413,[1]Kreise!$A$1:$C$53,3,FALSE)</f>
        <v>K03157</v>
      </c>
      <c r="G1413">
        <v>7.7844311377245514</v>
      </c>
    </row>
    <row r="1414" spans="1:7" x14ac:dyDescent="0.25">
      <c r="A1414">
        <v>158</v>
      </c>
      <c r="B1414">
        <v>2012</v>
      </c>
      <c r="C1414" t="str">
        <f>VLOOKUP(A1414,[2]Tabelle1!$A$1:$B$68,2,FALSE)</f>
        <v>Wolfenbüttel</v>
      </c>
      <c r="D1414" t="s">
        <v>3</v>
      </c>
      <c r="E1414" t="s">
        <v>162</v>
      </c>
      <c r="F1414" t="str">
        <f>VLOOKUP(A1414,[1]Kreise!$A$1:$C$53,3,FALSE)</f>
        <v>K03158</v>
      </c>
      <c r="G1414">
        <v>16.129032258064516</v>
      </c>
    </row>
    <row r="1415" spans="1:7" x14ac:dyDescent="0.25">
      <c r="A1415">
        <v>159</v>
      </c>
      <c r="B1415">
        <v>2012</v>
      </c>
      <c r="C1415" t="str">
        <f>VLOOKUP(A1415,[2]Tabelle1!$A$1:$B$68,2,FALSE)</f>
        <v>Göttingen</v>
      </c>
      <c r="D1415" t="s">
        <v>3</v>
      </c>
      <c r="E1415" t="s">
        <v>162</v>
      </c>
      <c r="F1415" t="str">
        <f>VLOOKUP(A1415,[1]Kreise!$A$1:$C$53,3,FALSE)</f>
        <v>K03159</v>
      </c>
      <c r="G1415">
        <v>12.154696132596685</v>
      </c>
    </row>
    <row r="1416" spans="1:7" x14ac:dyDescent="0.25">
      <c r="A1416">
        <v>1</v>
      </c>
      <c r="B1416">
        <v>2012</v>
      </c>
      <c r="C1416" t="str">
        <f>VLOOKUP(A1416,[2]Tabelle1!$A$1:$B$68,2,FALSE)</f>
        <v>Statistische Region Braunschweig</v>
      </c>
      <c r="D1416" t="s">
        <v>3</v>
      </c>
      <c r="E1416" t="s">
        <v>162</v>
      </c>
      <c r="F1416" t="str">
        <f>VLOOKUP(A1416,[1]Kreise!$A$1:$C$53,3,FALSE)</f>
        <v>K031</v>
      </c>
      <c r="G1416">
        <v>9.2575618698441797</v>
      </c>
    </row>
    <row r="1417" spans="1:7" x14ac:dyDescent="0.25">
      <c r="A1417">
        <v>241</v>
      </c>
      <c r="B1417">
        <v>2012</v>
      </c>
      <c r="C1417" t="str">
        <f>VLOOKUP(A1417,[2]Tabelle1!$A$1:$B$68,2,FALSE)</f>
        <v>Hannover  Region</v>
      </c>
      <c r="D1417" t="s">
        <v>3</v>
      </c>
      <c r="E1417" t="s">
        <v>162</v>
      </c>
      <c r="F1417" t="str">
        <f>VLOOKUP(A1417,[1]Kreise!$A$1:$C$53,3,FALSE)</f>
        <v>K03241</v>
      </c>
      <c r="G1417">
        <v>12.209737827715356</v>
      </c>
    </row>
    <row r="1418" spans="1:7" x14ac:dyDescent="0.25">
      <c r="A1418">
        <v>241001</v>
      </c>
      <c r="B1418">
        <v>2012</v>
      </c>
      <c r="C1418" t="str">
        <f>VLOOKUP(A1418,[2]Tabelle1!$A$1:$B$68,2,FALSE)</f>
        <v>dav. Hannover  Lhst.</v>
      </c>
      <c r="D1418" t="s">
        <v>3</v>
      </c>
      <c r="E1418" t="s">
        <v>162</v>
      </c>
      <c r="F1418" t="str">
        <f>VLOOKUP(A1418,[1]Kreise!$A$1:$C$53,3,FALSE)</f>
        <v>K03241001</v>
      </c>
      <c r="G1418">
        <v>12.20715166461159</v>
      </c>
    </row>
    <row r="1419" spans="1:7" x14ac:dyDescent="0.25">
      <c r="A1419">
        <v>241999</v>
      </c>
      <c r="B1419">
        <v>2012</v>
      </c>
      <c r="C1419" t="str">
        <f>VLOOKUP(A1419,[2]Tabelle1!$A$1:$B$68,2,FALSE)</f>
        <v>dav. Hannover  Umland</v>
      </c>
      <c r="D1419" t="s">
        <v>3</v>
      </c>
      <c r="E1419" t="s">
        <v>162</v>
      </c>
      <c r="F1419" t="str">
        <f>VLOOKUP(A1419,[1]Kreise!$A$1:$C$53,3,FALSE)</f>
        <v>K03241999</v>
      </c>
      <c r="G1419">
        <v>12.213740458015266</v>
      </c>
    </row>
    <row r="1420" spans="1:7" x14ac:dyDescent="0.25">
      <c r="A1420">
        <v>251</v>
      </c>
      <c r="B1420">
        <v>2012</v>
      </c>
      <c r="C1420" t="str">
        <f>VLOOKUP(A1420,[2]Tabelle1!$A$1:$B$68,2,FALSE)</f>
        <v>Diepholz</v>
      </c>
      <c r="D1420" t="s">
        <v>3</v>
      </c>
      <c r="E1420" t="s">
        <v>162</v>
      </c>
      <c r="F1420" t="str">
        <f>VLOOKUP(A1420,[1]Kreise!$A$1:$C$53,3,FALSE)</f>
        <v>K03251</v>
      </c>
      <c r="G1420">
        <v>4.8128342245989302</v>
      </c>
    </row>
    <row r="1421" spans="1:7" x14ac:dyDescent="0.25">
      <c r="A1421">
        <v>252</v>
      </c>
      <c r="B1421">
        <v>2012</v>
      </c>
      <c r="C1421" t="str">
        <f>VLOOKUP(A1421,[2]Tabelle1!$A$1:$B$68,2,FALSE)</f>
        <v>Hameln-Pyrmont</v>
      </c>
      <c r="D1421" t="s">
        <v>3</v>
      </c>
      <c r="E1421" t="s">
        <v>162</v>
      </c>
      <c r="F1421" t="str">
        <f>VLOOKUP(A1421,[1]Kreise!$A$1:$C$53,3,FALSE)</f>
        <v>K03252</v>
      </c>
      <c r="G1421">
        <v>9.8901098901098905</v>
      </c>
    </row>
    <row r="1422" spans="1:7" x14ac:dyDescent="0.25">
      <c r="A1422">
        <v>254</v>
      </c>
      <c r="B1422">
        <v>2012</v>
      </c>
      <c r="C1422" t="str">
        <f>VLOOKUP(A1422,[2]Tabelle1!$A$1:$B$68,2,FALSE)</f>
        <v>Hildesheim</v>
      </c>
      <c r="D1422" t="s">
        <v>3</v>
      </c>
      <c r="E1422" t="s">
        <v>162</v>
      </c>
      <c r="F1422" t="str">
        <f>VLOOKUP(A1422,[1]Kreise!$A$1:$C$53,3,FALSE)</f>
        <v>K03254</v>
      </c>
      <c r="G1422">
        <v>14.792899408284024</v>
      </c>
    </row>
    <row r="1423" spans="1:7" x14ac:dyDescent="0.25">
      <c r="A1423">
        <v>255</v>
      </c>
      <c r="B1423">
        <v>2012</v>
      </c>
      <c r="C1423" t="str">
        <f>VLOOKUP(A1423,[2]Tabelle1!$A$1:$B$68,2,FALSE)</f>
        <v>Holzminden</v>
      </c>
      <c r="D1423" t="s">
        <v>3</v>
      </c>
      <c r="E1423" t="s">
        <v>162</v>
      </c>
      <c r="F1423" t="str">
        <f>VLOOKUP(A1423,[1]Kreise!$A$1:$C$53,3,FALSE)</f>
        <v>K03255</v>
      </c>
      <c r="G1423">
        <v>10.204081632653061</v>
      </c>
    </row>
    <row r="1424" spans="1:7" x14ac:dyDescent="0.25">
      <c r="A1424">
        <v>256</v>
      </c>
      <c r="B1424">
        <v>2012</v>
      </c>
      <c r="C1424" t="str">
        <f>VLOOKUP(A1424,[2]Tabelle1!$A$1:$B$68,2,FALSE)</f>
        <v>Nienburg (Weser)</v>
      </c>
      <c r="D1424" t="s">
        <v>3</v>
      </c>
      <c r="E1424" t="s">
        <v>162</v>
      </c>
      <c r="F1424" t="str">
        <f>VLOOKUP(A1424,[1]Kreise!$A$1:$C$53,3,FALSE)</f>
        <v>K03256</v>
      </c>
      <c r="G1424">
        <v>20.8955223880597</v>
      </c>
    </row>
    <row r="1425" spans="1:7" x14ac:dyDescent="0.25">
      <c r="A1425">
        <v>257</v>
      </c>
      <c r="B1425">
        <v>2012</v>
      </c>
      <c r="C1425" t="str">
        <f>VLOOKUP(A1425,[2]Tabelle1!$A$1:$B$68,2,FALSE)</f>
        <v>Schaumburg</v>
      </c>
      <c r="D1425" t="s">
        <v>3</v>
      </c>
      <c r="E1425" t="s">
        <v>162</v>
      </c>
      <c r="F1425" t="str">
        <f>VLOOKUP(A1425,[1]Kreise!$A$1:$C$53,3,FALSE)</f>
        <v>K03257</v>
      </c>
      <c r="G1425">
        <v>11.926605504587156</v>
      </c>
    </row>
    <row r="1426" spans="1:7" x14ac:dyDescent="0.25">
      <c r="A1426">
        <v>2</v>
      </c>
      <c r="B1426">
        <v>2012</v>
      </c>
      <c r="C1426" t="str">
        <f>VLOOKUP(A1426,[2]Tabelle1!$A$1:$B$68,2,FALSE)</f>
        <v>Statistische Region Hannover</v>
      </c>
      <c r="D1426" t="s">
        <v>3</v>
      </c>
      <c r="E1426" t="s">
        <v>162</v>
      </c>
      <c r="F1426" t="str">
        <f>VLOOKUP(A1426,[1]Kreise!$A$1:$C$53,3,FALSE)</f>
        <v>K032</v>
      </c>
      <c r="G1426">
        <v>11.858495266567015</v>
      </c>
    </row>
    <row r="1427" spans="1:7" x14ac:dyDescent="0.25">
      <c r="A1427">
        <v>351</v>
      </c>
      <c r="B1427">
        <v>2012</v>
      </c>
      <c r="C1427" t="str">
        <f>VLOOKUP(A1427,[2]Tabelle1!$A$1:$B$68,2,FALSE)</f>
        <v>Celle</v>
      </c>
      <c r="D1427" t="s">
        <v>3</v>
      </c>
      <c r="E1427" t="s">
        <v>162</v>
      </c>
      <c r="F1427" t="str">
        <f>VLOOKUP(A1427,[1]Kreise!$A$1:$C$53,3,FALSE)</f>
        <v>K03351</v>
      </c>
      <c r="G1427">
        <v>8.3333333333333321</v>
      </c>
    </row>
    <row r="1428" spans="1:7" x14ac:dyDescent="0.25">
      <c r="A1428">
        <v>352</v>
      </c>
      <c r="B1428">
        <v>2012</v>
      </c>
      <c r="C1428" t="str">
        <f>VLOOKUP(A1428,[2]Tabelle1!$A$1:$B$68,2,FALSE)</f>
        <v>Cuxhaven</v>
      </c>
      <c r="D1428" t="s">
        <v>3</v>
      </c>
      <c r="E1428" t="s">
        <v>162</v>
      </c>
      <c r="F1428" t="str">
        <f>VLOOKUP(A1428,[1]Kreise!$A$1:$C$53,3,FALSE)</f>
        <v>K03352</v>
      </c>
      <c r="G1428">
        <v>22</v>
      </c>
    </row>
    <row r="1429" spans="1:7" x14ac:dyDescent="0.25">
      <c r="A1429">
        <v>353</v>
      </c>
      <c r="B1429">
        <v>2012</v>
      </c>
      <c r="C1429" t="str">
        <f>VLOOKUP(A1429,[2]Tabelle1!$A$1:$B$68,2,FALSE)</f>
        <v>Harburg</v>
      </c>
      <c r="D1429" t="s">
        <v>3</v>
      </c>
      <c r="E1429" t="s">
        <v>162</v>
      </c>
      <c r="F1429" t="str">
        <f>VLOOKUP(A1429,[1]Kreise!$A$1:$C$53,3,FALSE)</f>
        <v>K03353</v>
      </c>
      <c r="G1429">
        <v>14.634146341463413</v>
      </c>
    </row>
    <row r="1430" spans="1:7" x14ac:dyDescent="0.25">
      <c r="A1430">
        <v>354</v>
      </c>
      <c r="B1430">
        <v>2012</v>
      </c>
      <c r="C1430" t="str">
        <f>VLOOKUP(A1430,[2]Tabelle1!$A$1:$B$68,2,FALSE)</f>
        <v>Lüchow-Dannenberg</v>
      </c>
      <c r="D1430" t="s">
        <v>3</v>
      </c>
      <c r="E1430" t="s">
        <v>162</v>
      </c>
      <c r="F1430" t="str">
        <f>VLOOKUP(A1430,[1]Kreise!$A$1:$C$53,3,FALSE)</f>
        <v>K03354</v>
      </c>
      <c r="G1430">
        <v>20</v>
      </c>
    </row>
    <row r="1431" spans="1:7" x14ac:dyDescent="0.25">
      <c r="A1431">
        <v>355</v>
      </c>
      <c r="B1431">
        <v>2012</v>
      </c>
      <c r="C1431" t="str">
        <f>VLOOKUP(A1431,[2]Tabelle1!$A$1:$B$68,2,FALSE)</f>
        <v>Lüneburg</v>
      </c>
      <c r="D1431" t="s">
        <v>3</v>
      </c>
      <c r="E1431" t="s">
        <v>162</v>
      </c>
      <c r="F1431" t="str">
        <f>VLOOKUP(A1431,[1]Kreise!$A$1:$C$53,3,FALSE)</f>
        <v>K03355</v>
      </c>
      <c r="G1431">
        <v>7.0175438596491224</v>
      </c>
    </row>
    <row r="1432" spans="1:7" x14ac:dyDescent="0.25">
      <c r="A1432">
        <v>356</v>
      </c>
      <c r="B1432">
        <v>2012</v>
      </c>
      <c r="C1432" t="str">
        <f>VLOOKUP(A1432,[2]Tabelle1!$A$1:$B$68,2,FALSE)</f>
        <v>Osterholz</v>
      </c>
      <c r="D1432" t="s">
        <v>3</v>
      </c>
      <c r="E1432" t="s">
        <v>162</v>
      </c>
      <c r="F1432" t="str">
        <f>VLOOKUP(A1432,[1]Kreise!$A$1:$C$53,3,FALSE)</f>
        <v>K03356</v>
      </c>
      <c r="G1432">
        <v>30</v>
      </c>
    </row>
    <row r="1433" spans="1:7" x14ac:dyDescent="0.25">
      <c r="A1433">
        <v>357</v>
      </c>
      <c r="B1433">
        <v>2012</v>
      </c>
      <c r="C1433" t="str">
        <f>VLOOKUP(A1433,[2]Tabelle1!$A$1:$B$68,2,FALSE)</f>
        <v>Rotenburg (Wümme)</v>
      </c>
      <c r="D1433" t="s">
        <v>3</v>
      </c>
      <c r="E1433" t="s">
        <v>162</v>
      </c>
      <c r="F1433" t="str">
        <f>VLOOKUP(A1433,[1]Kreise!$A$1:$C$53,3,FALSE)</f>
        <v>K03357</v>
      </c>
      <c r="G1433">
        <v>17.391304347826086</v>
      </c>
    </row>
    <row r="1434" spans="1:7" x14ac:dyDescent="0.25">
      <c r="A1434">
        <v>358</v>
      </c>
      <c r="B1434">
        <v>2012</v>
      </c>
      <c r="C1434" t="str">
        <f>VLOOKUP(A1434,[2]Tabelle1!$A$1:$B$68,2,FALSE)</f>
        <v>Heidekreis</v>
      </c>
      <c r="D1434" t="s">
        <v>3</v>
      </c>
      <c r="E1434" t="s">
        <v>162</v>
      </c>
      <c r="F1434" t="str">
        <f>VLOOKUP(A1434,[1]Kreise!$A$1:$C$53,3,FALSE)</f>
        <v>K03358</v>
      </c>
      <c r="G1434">
        <v>18.055555555555554</v>
      </c>
    </row>
    <row r="1435" spans="1:7" x14ac:dyDescent="0.25">
      <c r="A1435">
        <v>359</v>
      </c>
      <c r="B1435">
        <v>2012</v>
      </c>
      <c r="C1435" t="str">
        <f>VLOOKUP(A1435,[2]Tabelle1!$A$1:$B$68,2,FALSE)</f>
        <v>Stade</v>
      </c>
      <c r="D1435" t="s">
        <v>3</v>
      </c>
      <c r="E1435" t="s">
        <v>162</v>
      </c>
      <c r="F1435" t="str">
        <f>VLOOKUP(A1435,[1]Kreise!$A$1:$C$53,3,FALSE)</f>
        <v>K03359</v>
      </c>
      <c r="G1435">
        <v>7.042253521126761</v>
      </c>
    </row>
    <row r="1436" spans="1:7" x14ac:dyDescent="0.25">
      <c r="A1436">
        <v>360</v>
      </c>
      <c r="B1436">
        <v>2012</v>
      </c>
      <c r="C1436" t="str">
        <f>VLOOKUP(A1436,[2]Tabelle1!$A$1:$B$68,2,FALSE)</f>
        <v>Uelzen</v>
      </c>
      <c r="D1436" t="s">
        <v>3</v>
      </c>
      <c r="E1436" t="s">
        <v>162</v>
      </c>
      <c r="F1436" t="str">
        <f>VLOOKUP(A1436,[1]Kreise!$A$1:$C$53,3,FALSE)</f>
        <v>K03360</v>
      </c>
      <c r="G1436">
        <v>3.7037037037037033</v>
      </c>
    </row>
    <row r="1437" spans="1:7" x14ac:dyDescent="0.25">
      <c r="A1437">
        <v>361</v>
      </c>
      <c r="B1437">
        <v>2012</v>
      </c>
      <c r="C1437" t="str">
        <f>VLOOKUP(A1437,[2]Tabelle1!$A$1:$B$68,2,FALSE)</f>
        <v>Verden</v>
      </c>
      <c r="D1437" t="s">
        <v>3</v>
      </c>
      <c r="E1437" t="s">
        <v>162</v>
      </c>
      <c r="F1437" t="str">
        <f>VLOOKUP(A1437,[1]Kreise!$A$1:$C$53,3,FALSE)</f>
        <v>K03361</v>
      </c>
      <c r="G1437">
        <v>8.5470085470085468</v>
      </c>
    </row>
    <row r="1438" spans="1:7" x14ac:dyDescent="0.25">
      <c r="A1438">
        <v>3</v>
      </c>
      <c r="B1438">
        <v>2012</v>
      </c>
      <c r="C1438" t="str">
        <f>VLOOKUP(A1438,[2]Tabelle1!$A$1:$B$68,2,FALSE)</f>
        <v>Statistische Region Lüneburg</v>
      </c>
      <c r="D1438" t="s">
        <v>3</v>
      </c>
      <c r="E1438" t="s">
        <v>162</v>
      </c>
      <c r="F1438" t="str">
        <f>VLOOKUP(A1438,[1]Kreise!$A$1:$C$53,3,FALSE)</f>
        <v>K033</v>
      </c>
      <c r="G1438">
        <v>13.714285714285715</v>
      </c>
    </row>
    <row r="1439" spans="1:7" x14ac:dyDescent="0.25">
      <c r="A1439">
        <v>401</v>
      </c>
      <c r="B1439">
        <v>2012</v>
      </c>
      <c r="C1439" t="str">
        <f>VLOOKUP(A1439,[2]Tabelle1!$A$1:$B$68,2,FALSE)</f>
        <v>Delmenhorst  Stadt</v>
      </c>
      <c r="D1439" t="s">
        <v>3</v>
      </c>
      <c r="E1439" t="s">
        <v>162</v>
      </c>
      <c r="F1439" t="str">
        <f>VLOOKUP(A1439,[1]Kreise!$A$1:$C$53,3,FALSE)</f>
        <v>K03401</v>
      </c>
      <c r="G1439">
        <v>16.101694915254235</v>
      </c>
    </row>
    <row r="1440" spans="1:7" x14ac:dyDescent="0.25">
      <c r="A1440">
        <v>402</v>
      </c>
      <c r="B1440">
        <v>2012</v>
      </c>
      <c r="C1440" t="str">
        <f>VLOOKUP(A1440,[2]Tabelle1!$A$1:$B$68,2,FALSE)</f>
        <v>Emden  Stadt</v>
      </c>
      <c r="D1440" t="s">
        <v>3</v>
      </c>
      <c r="E1440" t="s">
        <v>162</v>
      </c>
      <c r="F1440" t="str">
        <f>VLOOKUP(A1440,[1]Kreise!$A$1:$C$53,3,FALSE)</f>
        <v>K03402</v>
      </c>
      <c r="G1440">
        <v>20</v>
      </c>
    </row>
    <row r="1441" spans="1:7" x14ac:dyDescent="0.25">
      <c r="A1441">
        <v>403</v>
      </c>
      <c r="B1441">
        <v>2012</v>
      </c>
      <c r="C1441" t="str">
        <f>VLOOKUP(A1441,[2]Tabelle1!$A$1:$B$68,2,FALSE)</f>
        <v>Oldenburg(Oldb)  Stadt</v>
      </c>
      <c r="D1441" t="s">
        <v>3</v>
      </c>
      <c r="E1441" t="s">
        <v>162</v>
      </c>
      <c r="F1441" t="str">
        <f>VLOOKUP(A1441,[1]Kreise!$A$1:$C$53,3,FALSE)</f>
        <v>K03403</v>
      </c>
      <c r="G1441">
        <v>13.20754716981132</v>
      </c>
    </row>
    <row r="1442" spans="1:7" x14ac:dyDescent="0.25">
      <c r="A1442">
        <v>404</v>
      </c>
      <c r="B1442">
        <v>2012</v>
      </c>
      <c r="C1442" t="str">
        <f>VLOOKUP(A1442,[2]Tabelle1!$A$1:$B$68,2,FALSE)</f>
        <v>Osnabrück  Stadt</v>
      </c>
      <c r="D1442" t="s">
        <v>3</v>
      </c>
      <c r="E1442" t="s">
        <v>162</v>
      </c>
      <c r="F1442" t="str">
        <f>VLOOKUP(A1442,[1]Kreise!$A$1:$C$53,3,FALSE)</f>
        <v>K03404</v>
      </c>
      <c r="G1442">
        <v>15.384615384615385</v>
      </c>
    </row>
    <row r="1443" spans="1:7" x14ac:dyDescent="0.25">
      <c r="A1443">
        <v>405</v>
      </c>
      <c r="B1443">
        <v>2012</v>
      </c>
      <c r="C1443" t="str">
        <f>VLOOKUP(A1443,[2]Tabelle1!$A$1:$B$68,2,FALSE)</f>
        <v>Wilhelmshaven  Stadt</v>
      </c>
      <c r="D1443" t="s">
        <v>3</v>
      </c>
      <c r="E1443" t="s">
        <v>162</v>
      </c>
      <c r="F1443" t="str">
        <f>VLOOKUP(A1443,[1]Kreise!$A$1:$C$53,3,FALSE)</f>
        <v>K03405</v>
      </c>
      <c r="G1443">
        <v>32.432432432432435</v>
      </c>
    </row>
    <row r="1444" spans="1:7" x14ac:dyDescent="0.25">
      <c r="A1444">
        <v>451</v>
      </c>
      <c r="B1444">
        <v>2012</v>
      </c>
      <c r="C1444" t="str">
        <f>VLOOKUP(A1444,[2]Tabelle1!$A$1:$B$68,2,FALSE)</f>
        <v>Ammerland</v>
      </c>
      <c r="D1444" t="s">
        <v>3</v>
      </c>
      <c r="E1444" t="s">
        <v>162</v>
      </c>
      <c r="F1444" t="str">
        <f>VLOOKUP(A1444,[1]Kreise!$A$1:$C$53,3,FALSE)</f>
        <v>K03451</v>
      </c>
      <c r="G1444">
        <v>10</v>
      </c>
    </row>
    <row r="1445" spans="1:7" x14ac:dyDescent="0.25">
      <c r="A1445">
        <v>452</v>
      </c>
      <c r="B1445">
        <v>2012</v>
      </c>
      <c r="C1445" t="str">
        <f>VLOOKUP(A1445,[2]Tabelle1!$A$1:$B$68,2,FALSE)</f>
        <v>Aurich</v>
      </c>
      <c r="D1445" t="s">
        <v>3</v>
      </c>
      <c r="E1445" t="s">
        <v>162</v>
      </c>
      <c r="F1445" t="str">
        <f>VLOOKUP(A1445,[1]Kreise!$A$1:$C$53,3,FALSE)</f>
        <v>K03452</v>
      </c>
      <c r="G1445">
        <v>37.974683544303801</v>
      </c>
    </row>
    <row r="1446" spans="1:7" x14ac:dyDescent="0.25">
      <c r="A1446">
        <v>453</v>
      </c>
      <c r="B1446">
        <v>2012</v>
      </c>
      <c r="C1446" t="str">
        <f>VLOOKUP(A1446,[2]Tabelle1!$A$1:$B$68,2,FALSE)</f>
        <v>Cloppenburg</v>
      </c>
      <c r="D1446" t="s">
        <v>3</v>
      </c>
      <c r="E1446" t="s">
        <v>162</v>
      </c>
      <c r="F1446" t="str">
        <f>VLOOKUP(A1446,[1]Kreise!$A$1:$C$53,3,FALSE)</f>
        <v>K03453</v>
      </c>
      <c r="G1446">
        <v>22.058823529411764</v>
      </c>
    </row>
    <row r="1447" spans="1:7" x14ac:dyDescent="0.25">
      <c r="A1447">
        <v>454</v>
      </c>
      <c r="B1447">
        <v>2012</v>
      </c>
      <c r="C1447" t="str">
        <f>VLOOKUP(A1447,[2]Tabelle1!$A$1:$B$68,2,FALSE)</f>
        <v>Emsland</v>
      </c>
      <c r="D1447" t="s">
        <v>3</v>
      </c>
      <c r="E1447" t="s">
        <v>162</v>
      </c>
      <c r="F1447" t="str">
        <f>VLOOKUP(A1447,[1]Kreise!$A$1:$C$53,3,FALSE)</f>
        <v>K03454</v>
      </c>
      <c r="G1447">
        <v>19.540229885057471</v>
      </c>
    </row>
    <row r="1448" spans="1:7" x14ac:dyDescent="0.25">
      <c r="A1448">
        <v>455</v>
      </c>
      <c r="B1448">
        <v>2012</v>
      </c>
      <c r="C1448" t="str">
        <f>VLOOKUP(A1448,[2]Tabelle1!$A$1:$B$68,2,FALSE)</f>
        <v>Friesland</v>
      </c>
      <c r="D1448" t="s">
        <v>3</v>
      </c>
      <c r="E1448" t="s">
        <v>162</v>
      </c>
      <c r="F1448" t="str">
        <f>VLOOKUP(A1448,[1]Kreise!$A$1:$C$53,3,FALSE)</f>
        <v>K03455</v>
      </c>
      <c r="G1448">
        <v>6.25</v>
      </c>
    </row>
    <row r="1449" spans="1:7" x14ac:dyDescent="0.25">
      <c r="A1449">
        <v>456</v>
      </c>
      <c r="B1449">
        <v>2012</v>
      </c>
      <c r="C1449" t="str">
        <f>VLOOKUP(A1449,[2]Tabelle1!$A$1:$B$68,2,FALSE)</f>
        <v>Grafschaft Bentheim</v>
      </c>
      <c r="D1449" t="s">
        <v>3</v>
      </c>
      <c r="E1449" t="s">
        <v>162</v>
      </c>
      <c r="F1449" t="str">
        <f>VLOOKUP(A1449,[1]Kreise!$A$1:$C$53,3,FALSE)</f>
        <v>K03456</v>
      </c>
      <c r="G1449">
        <v>28.787878787878789</v>
      </c>
    </row>
    <row r="1450" spans="1:7" x14ac:dyDescent="0.25">
      <c r="A1450">
        <v>457</v>
      </c>
      <c r="B1450">
        <v>2012</v>
      </c>
      <c r="C1450" t="str">
        <f>VLOOKUP(A1450,[2]Tabelle1!$A$1:$B$68,2,FALSE)</f>
        <v>Leer</v>
      </c>
      <c r="D1450" t="s">
        <v>3</v>
      </c>
      <c r="E1450" t="s">
        <v>162</v>
      </c>
      <c r="F1450" t="str">
        <f>VLOOKUP(A1450,[1]Kreise!$A$1:$C$53,3,FALSE)</f>
        <v>K03457</v>
      </c>
      <c r="G1450">
        <v>29.230769230769234</v>
      </c>
    </row>
    <row r="1451" spans="1:7" x14ac:dyDescent="0.25">
      <c r="A1451">
        <v>458</v>
      </c>
      <c r="B1451">
        <v>2012</v>
      </c>
      <c r="C1451" t="str">
        <f>VLOOKUP(A1451,[2]Tabelle1!$A$1:$B$68,2,FALSE)</f>
        <v>Oldenburg</v>
      </c>
      <c r="D1451" t="s">
        <v>3</v>
      </c>
      <c r="E1451" t="s">
        <v>162</v>
      </c>
      <c r="F1451" t="str">
        <f>VLOOKUP(A1451,[1]Kreise!$A$1:$C$53,3,FALSE)</f>
        <v>K03458</v>
      </c>
      <c r="G1451">
        <v>10.810810810810811</v>
      </c>
    </row>
    <row r="1452" spans="1:7" x14ac:dyDescent="0.25">
      <c r="A1452">
        <v>459</v>
      </c>
      <c r="B1452">
        <v>2012</v>
      </c>
      <c r="C1452" t="str">
        <f>VLOOKUP(A1452,[2]Tabelle1!$A$1:$B$68,2,FALSE)</f>
        <v>Osnabrück</v>
      </c>
      <c r="D1452" t="s">
        <v>3</v>
      </c>
      <c r="E1452" t="s">
        <v>162</v>
      </c>
      <c r="F1452" t="str">
        <f>VLOOKUP(A1452,[1]Kreise!$A$1:$C$53,3,FALSE)</f>
        <v>K03459</v>
      </c>
      <c r="G1452">
        <v>17.964071856287426</v>
      </c>
    </row>
    <row r="1453" spans="1:7" x14ac:dyDescent="0.25">
      <c r="A1453">
        <v>460</v>
      </c>
      <c r="B1453">
        <v>2012</v>
      </c>
      <c r="C1453" t="str">
        <f>VLOOKUP(A1453,[2]Tabelle1!$A$1:$B$68,2,FALSE)</f>
        <v>Vechta</v>
      </c>
      <c r="D1453" t="s">
        <v>3</v>
      </c>
      <c r="E1453" t="s">
        <v>162</v>
      </c>
      <c r="F1453" t="str">
        <f>VLOOKUP(A1453,[1]Kreise!$A$1:$C$53,3,FALSE)</f>
        <v>K03460</v>
      </c>
      <c r="G1453">
        <v>30.64516129032258</v>
      </c>
    </row>
    <row r="1454" spans="1:7" x14ac:dyDescent="0.25">
      <c r="A1454">
        <v>461</v>
      </c>
      <c r="B1454">
        <v>2012</v>
      </c>
      <c r="C1454" t="str">
        <f>VLOOKUP(A1454,[2]Tabelle1!$A$1:$B$68,2,FALSE)</f>
        <v>Wesermarsch</v>
      </c>
      <c r="D1454" t="s">
        <v>3</v>
      </c>
      <c r="E1454" t="s">
        <v>162</v>
      </c>
      <c r="F1454" t="str">
        <f>VLOOKUP(A1454,[1]Kreise!$A$1:$C$53,3,FALSE)</f>
        <v>K03461</v>
      </c>
      <c r="G1454">
        <v>4.1666666666666661</v>
      </c>
    </row>
    <row r="1455" spans="1:7" x14ac:dyDescent="0.25">
      <c r="A1455">
        <v>462</v>
      </c>
      <c r="B1455">
        <v>2012</v>
      </c>
      <c r="C1455" t="str">
        <f>VLOOKUP(A1455,[2]Tabelle1!$A$1:$B$68,2,FALSE)</f>
        <v>Wittmund</v>
      </c>
      <c r="D1455" t="s">
        <v>3</v>
      </c>
      <c r="E1455" t="s">
        <v>162</v>
      </c>
      <c r="F1455" t="str">
        <f>VLOOKUP(A1455,[1]Kreise!$A$1:$C$53,3,FALSE)</f>
        <v>K03462</v>
      </c>
      <c r="G1455">
        <v>13.333333333333334</v>
      </c>
    </row>
    <row r="1456" spans="1:7" x14ac:dyDescent="0.25">
      <c r="A1456">
        <v>4</v>
      </c>
      <c r="B1456">
        <v>2012</v>
      </c>
      <c r="C1456" t="str">
        <f>VLOOKUP(A1456,[2]Tabelle1!$A$1:$B$68,2,FALSE)</f>
        <v>Statistische Region Weser-Ems</v>
      </c>
      <c r="D1456" t="s">
        <v>3</v>
      </c>
      <c r="E1456" t="s">
        <v>162</v>
      </c>
      <c r="F1456" t="str">
        <f>VLOOKUP(A1456,[1]Kreise!$A$1:$C$53,3,FALSE)</f>
        <v>K034</v>
      </c>
      <c r="G1456">
        <v>20.141620771046419</v>
      </c>
    </row>
    <row r="1457" spans="1:7" x14ac:dyDescent="0.25">
      <c r="A1457">
        <v>0</v>
      </c>
      <c r="B1457">
        <v>2012</v>
      </c>
      <c r="C1457" t="str">
        <f>VLOOKUP(A1457,[2]Tabelle1!$A$1:$B$68,2,FALSE)</f>
        <v>Niedersachsen</v>
      </c>
      <c r="D1457" t="s">
        <v>3</v>
      </c>
      <c r="E1457" t="s">
        <v>162</v>
      </c>
      <c r="F1457" t="str">
        <f>VLOOKUP(A1457,[1]Kreise!$A$1:$C$53,3,FALSE)</f>
        <v>K030</v>
      </c>
      <c r="G1457">
        <v>13.631880055237719</v>
      </c>
    </row>
    <row r="1458" spans="1:7" x14ac:dyDescent="0.25">
      <c r="A1458">
        <v>101</v>
      </c>
      <c r="B1458">
        <v>2013</v>
      </c>
      <c r="C1458" t="str">
        <f>VLOOKUP(A1458,[2]Tabelle1!$A$1:$B$68,2,FALSE)</f>
        <v>Braunschweig  Stadt</v>
      </c>
      <c r="D1458" t="s">
        <v>2</v>
      </c>
      <c r="E1458" t="s">
        <v>162</v>
      </c>
      <c r="F1458" t="str">
        <f>VLOOKUP(A1458,[1]Kreise!$A$1:$C$53,3,FALSE)</f>
        <v>K03101</v>
      </c>
      <c r="G1458">
        <v>5.1915945611866503</v>
      </c>
    </row>
    <row r="1459" spans="1:7" x14ac:dyDescent="0.25">
      <c r="A1459">
        <v>102</v>
      </c>
      <c r="B1459">
        <v>2013</v>
      </c>
      <c r="C1459" t="str">
        <f>VLOOKUP(A1459,[2]Tabelle1!$A$1:$B$68,2,FALSE)</f>
        <v>Salzgitter  Stadt</v>
      </c>
      <c r="D1459" t="s">
        <v>2</v>
      </c>
      <c r="E1459" t="s">
        <v>162</v>
      </c>
      <c r="F1459" t="str">
        <f>VLOOKUP(A1459,[1]Kreise!$A$1:$C$53,3,FALSE)</f>
        <v>K03102</v>
      </c>
      <c r="G1459">
        <v>2.9015544041450778</v>
      </c>
    </row>
    <row r="1460" spans="1:7" x14ac:dyDescent="0.25">
      <c r="A1460">
        <v>103</v>
      </c>
      <c r="B1460">
        <v>2013</v>
      </c>
      <c r="C1460" t="str">
        <f>VLOOKUP(A1460,[2]Tabelle1!$A$1:$B$68,2,FALSE)</f>
        <v>Wolfsburg  Stadt</v>
      </c>
      <c r="D1460" t="s">
        <v>2</v>
      </c>
      <c r="E1460" t="s">
        <v>162</v>
      </c>
      <c r="F1460" t="str">
        <f>VLOOKUP(A1460,[1]Kreise!$A$1:$C$53,3,FALSE)</f>
        <v>K03103</v>
      </c>
      <c r="G1460">
        <v>3.6585365853658534</v>
      </c>
    </row>
    <row r="1461" spans="1:7" x14ac:dyDescent="0.25">
      <c r="A1461">
        <v>151</v>
      </c>
      <c r="B1461">
        <v>2013</v>
      </c>
      <c r="C1461" t="str">
        <f>VLOOKUP(A1461,[2]Tabelle1!$A$1:$B$68,2,FALSE)</f>
        <v>Gifhorn</v>
      </c>
      <c r="D1461" t="s">
        <v>2</v>
      </c>
      <c r="E1461" t="s">
        <v>162</v>
      </c>
      <c r="F1461" t="str">
        <f>VLOOKUP(A1461,[1]Kreise!$A$1:$C$53,3,FALSE)</f>
        <v>K03151</v>
      </c>
      <c r="G1461">
        <v>4.5265038713519949</v>
      </c>
    </row>
    <row r="1462" spans="1:7" x14ac:dyDescent="0.25">
      <c r="A1462">
        <v>153</v>
      </c>
      <c r="B1462">
        <v>2013</v>
      </c>
      <c r="C1462" t="str">
        <f>VLOOKUP(A1462,[2]Tabelle1!$A$1:$B$68,2,FALSE)</f>
        <v>Goslar</v>
      </c>
      <c r="D1462" t="s">
        <v>2</v>
      </c>
      <c r="E1462" t="s">
        <v>162</v>
      </c>
      <c r="F1462" t="str">
        <f>VLOOKUP(A1462,[1]Kreise!$A$1:$C$53,3,FALSE)</f>
        <v>K03153</v>
      </c>
      <c r="G1462">
        <v>5.8602554470323067</v>
      </c>
    </row>
    <row r="1463" spans="1:7" x14ac:dyDescent="0.25">
      <c r="A1463">
        <v>154</v>
      </c>
      <c r="B1463">
        <v>2013</v>
      </c>
      <c r="C1463" t="str">
        <f>VLOOKUP(A1463,[2]Tabelle1!$A$1:$B$68,2,FALSE)</f>
        <v>Helmstedt</v>
      </c>
      <c r="D1463" t="s">
        <v>2</v>
      </c>
      <c r="E1463" t="s">
        <v>162</v>
      </c>
      <c r="F1463" t="str">
        <f>VLOOKUP(A1463,[1]Kreise!$A$1:$C$53,3,FALSE)</f>
        <v>K03154</v>
      </c>
      <c r="G1463">
        <v>5.6882821387940838</v>
      </c>
    </row>
    <row r="1464" spans="1:7" x14ac:dyDescent="0.25">
      <c r="A1464">
        <v>155</v>
      </c>
      <c r="B1464">
        <v>2013</v>
      </c>
      <c r="C1464" t="str">
        <f>VLOOKUP(A1464,[2]Tabelle1!$A$1:$B$68,2,FALSE)</f>
        <v>Northeim</v>
      </c>
      <c r="D1464" t="s">
        <v>2</v>
      </c>
      <c r="E1464" t="s">
        <v>162</v>
      </c>
      <c r="F1464" t="str">
        <f>VLOOKUP(A1464,[1]Kreise!$A$1:$C$53,3,FALSE)</f>
        <v>K03155</v>
      </c>
      <c r="G1464">
        <v>3.8515406162464987</v>
      </c>
    </row>
    <row r="1465" spans="1:7" x14ac:dyDescent="0.25">
      <c r="A1465">
        <v>157</v>
      </c>
      <c r="B1465">
        <v>2013</v>
      </c>
      <c r="C1465" t="str">
        <f>VLOOKUP(A1465,[2]Tabelle1!$A$1:$B$68,2,FALSE)</f>
        <v>Peine</v>
      </c>
      <c r="D1465" t="s">
        <v>2</v>
      </c>
      <c r="E1465" t="s">
        <v>162</v>
      </c>
      <c r="F1465" t="str">
        <f>VLOOKUP(A1465,[1]Kreise!$A$1:$C$53,3,FALSE)</f>
        <v>K03157</v>
      </c>
      <c r="G1465">
        <v>3.877221324717286</v>
      </c>
    </row>
    <row r="1466" spans="1:7" x14ac:dyDescent="0.25">
      <c r="A1466">
        <v>158</v>
      </c>
      <c r="B1466">
        <v>2013</v>
      </c>
      <c r="C1466" t="str">
        <f>VLOOKUP(A1466,[2]Tabelle1!$A$1:$B$68,2,FALSE)</f>
        <v>Wolfenbüttel</v>
      </c>
      <c r="D1466" t="s">
        <v>2</v>
      </c>
      <c r="E1466" t="s">
        <v>162</v>
      </c>
      <c r="F1466" t="str">
        <f>VLOOKUP(A1466,[1]Kreise!$A$1:$C$53,3,FALSE)</f>
        <v>K03158</v>
      </c>
      <c r="G1466">
        <v>3.8246268656716418</v>
      </c>
    </row>
    <row r="1467" spans="1:7" x14ac:dyDescent="0.25">
      <c r="A1467">
        <v>159</v>
      </c>
      <c r="B1467">
        <v>2013</v>
      </c>
      <c r="C1467" t="str">
        <f>VLOOKUP(A1467,[2]Tabelle1!$A$1:$B$68,2,FALSE)</f>
        <v>Göttingen</v>
      </c>
      <c r="D1467" t="s">
        <v>2</v>
      </c>
      <c r="E1467" t="s">
        <v>162</v>
      </c>
      <c r="F1467" t="str">
        <f>VLOOKUP(A1467,[1]Kreise!$A$1:$C$53,3,FALSE)</f>
        <v>K03159</v>
      </c>
      <c r="G1467">
        <v>3.373015873015873</v>
      </c>
    </row>
    <row r="1468" spans="1:7" x14ac:dyDescent="0.25">
      <c r="A1468">
        <v>1</v>
      </c>
      <c r="B1468">
        <v>2013</v>
      </c>
      <c r="C1468" t="str">
        <f>VLOOKUP(A1468,[2]Tabelle1!$A$1:$B$68,2,FALSE)</f>
        <v>Statistische Region Braunschweig</v>
      </c>
      <c r="D1468" t="s">
        <v>2</v>
      </c>
      <c r="E1468" t="s">
        <v>162</v>
      </c>
      <c r="F1468" t="str">
        <f>VLOOKUP(A1468,[1]Kreise!$A$1:$C$53,3,FALSE)</f>
        <v>K031</v>
      </c>
      <c r="G1468">
        <v>4.2430524065556776</v>
      </c>
    </row>
    <row r="1469" spans="1:7" x14ac:dyDescent="0.25">
      <c r="A1469">
        <v>241</v>
      </c>
      <c r="B1469">
        <v>2013</v>
      </c>
      <c r="C1469" t="str">
        <f>VLOOKUP(A1469,[2]Tabelle1!$A$1:$B$68,2,FALSE)</f>
        <v>Hannover  Region</v>
      </c>
      <c r="D1469" t="s">
        <v>2</v>
      </c>
      <c r="E1469" t="s">
        <v>162</v>
      </c>
      <c r="F1469" t="str">
        <f>VLOOKUP(A1469,[1]Kreise!$A$1:$C$53,3,FALSE)</f>
        <v>K03241</v>
      </c>
      <c r="G1469">
        <v>3.9844606036457813</v>
      </c>
    </row>
    <row r="1470" spans="1:7" x14ac:dyDescent="0.25">
      <c r="A1470">
        <v>241001</v>
      </c>
      <c r="B1470">
        <v>2013</v>
      </c>
      <c r="C1470" t="str">
        <f>VLOOKUP(A1470,[2]Tabelle1!$A$1:$B$68,2,FALSE)</f>
        <v>dav. Hannover  Lhst.</v>
      </c>
      <c r="D1470" t="s">
        <v>2</v>
      </c>
      <c r="E1470" t="s">
        <v>162</v>
      </c>
      <c r="F1470" t="str">
        <f>VLOOKUP(A1470,[1]Kreise!$A$1:$C$53,3,FALSE)</f>
        <v>K03241001</v>
      </c>
      <c r="G1470">
        <v>4.8562933597621409</v>
      </c>
    </row>
    <row r="1471" spans="1:7" x14ac:dyDescent="0.25">
      <c r="A1471">
        <v>241999</v>
      </c>
      <c r="B1471">
        <v>2013</v>
      </c>
      <c r="C1471" t="str">
        <f>VLOOKUP(A1471,[2]Tabelle1!$A$1:$B$68,2,FALSE)</f>
        <v>dav. Hannover  Umland</v>
      </c>
      <c r="D1471" t="s">
        <v>2</v>
      </c>
      <c r="E1471" t="s">
        <v>162</v>
      </c>
      <c r="F1471" t="str">
        <f>VLOOKUP(A1471,[1]Kreise!$A$1:$C$53,3,FALSE)</f>
        <v>K03241999</v>
      </c>
      <c r="G1471">
        <v>3.3983008495752123</v>
      </c>
    </row>
    <row r="1472" spans="1:7" x14ac:dyDescent="0.25">
      <c r="A1472">
        <v>251</v>
      </c>
      <c r="B1472">
        <v>2013</v>
      </c>
      <c r="C1472" t="str">
        <f>VLOOKUP(A1472,[2]Tabelle1!$A$1:$B$68,2,FALSE)</f>
        <v>Diepholz</v>
      </c>
      <c r="D1472" t="s">
        <v>2</v>
      </c>
      <c r="E1472" t="s">
        <v>162</v>
      </c>
      <c r="F1472" t="str">
        <f>VLOOKUP(A1472,[1]Kreise!$A$1:$C$53,3,FALSE)</f>
        <v>K03251</v>
      </c>
      <c r="G1472">
        <v>3.0666666666666664</v>
      </c>
    </row>
    <row r="1473" spans="1:7" x14ac:dyDescent="0.25">
      <c r="A1473">
        <v>252</v>
      </c>
      <c r="B1473">
        <v>2013</v>
      </c>
      <c r="C1473" t="str">
        <f>VLOOKUP(A1473,[2]Tabelle1!$A$1:$B$68,2,FALSE)</f>
        <v>Hameln-Pyrmont</v>
      </c>
      <c r="D1473" t="s">
        <v>2</v>
      </c>
      <c r="E1473" t="s">
        <v>162</v>
      </c>
      <c r="F1473" t="str">
        <f>VLOOKUP(A1473,[1]Kreise!$A$1:$C$53,3,FALSE)</f>
        <v>K03252</v>
      </c>
      <c r="G1473">
        <v>6.88949522510232</v>
      </c>
    </row>
    <row r="1474" spans="1:7" x14ac:dyDescent="0.25">
      <c r="A1474">
        <v>254</v>
      </c>
      <c r="B1474">
        <v>2013</v>
      </c>
      <c r="C1474" t="str">
        <f>VLOOKUP(A1474,[2]Tabelle1!$A$1:$B$68,2,FALSE)</f>
        <v>Hildesheim</v>
      </c>
      <c r="D1474" t="s">
        <v>2</v>
      </c>
      <c r="E1474" t="s">
        <v>162</v>
      </c>
      <c r="F1474" t="str">
        <f>VLOOKUP(A1474,[1]Kreise!$A$1:$C$53,3,FALSE)</f>
        <v>K03254</v>
      </c>
      <c r="G1474">
        <v>5.0478389970306825</v>
      </c>
    </row>
    <row r="1475" spans="1:7" x14ac:dyDescent="0.25">
      <c r="A1475">
        <v>255</v>
      </c>
      <c r="B1475">
        <v>2013</v>
      </c>
      <c r="C1475" t="str">
        <f>VLOOKUP(A1475,[2]Tabelle1!$A$1:$B$68,2,FALSE)</f>
        <v>Holzminden</v>
      </c>
      <c r="D1475" t="s">
        <v>2</v>
      </c>
      <c r="E1475" t="s">
        <v>162</v>
      </c>
      <c r="F1475" t="str">
        <f>VLOOKUP(A1475,[1]Kreise!$A$1:$C$53,3,FALSE)</f>
        <v>K03255</v>
      </c>
      <c r="G1475">
        <v>7.2213500784929359</v>
      </c>
    </row>
    <row r="1476" spans="1:7" x14ac:dyDescent="0.25">
      <c r="A1476">
        <v>256</v>
      </c>
      <c r="B1476">
        <v>2013</v>
      </c>
      <c r="C1476" t="str">
        <f>VLOOKUP(A1476,[2]Tabelle1!$A$1:$B$68,2,FALSE)</f>
        <v>Nienburg (Weser)</v>
      </c>
      <c r="D1476" t="s">
        <v>2</v>
      </c>
      <c r="E1476" t="s">
        <v>162</v>
      </c>
      <c r="F1476" t="str">
        <f>VLOOKUP(A1476,[1]Kreise!$A$1:$C$53,3,FALSE)</f>
        <v>K03256</v>
      </c>
      <c r="G1476">
        <v>4.3859649122807012</v>
      </c>
    </row>
    <row r="1477" spans="1:7" x14ac:dyDescent="0.25">
      <c r="A1477">
        <v>257</v>
      </c>
      <c r="B1477">
        <v>2013</v>
      </c>
      <c r="C1477" t="str">
        <f>VLOOKUP(A1477,[2]Tabelle1!$A$1:$B$68,2,FALSE)</f>
        <v>Schaumburg</v>
      </c>
      <c r="D1477" t="s">
        <v>2</v>
      </c>
      <c r="E1477" t="s">
        <v>162</v>
      </c>
      <c r="F1477" t="str">
        <f>VLOOKUP(A1477,[1]Kreise!$A$1:$C$53,3,FALSE)</f>
        <v>K03257</v>
      </c>
      <c r="G1477">
        <v>3.0927835051546393</v>
      </c>
    </row>
    <row r="1478" spans="1:7" x14ac:dyDescent="0.25">
      <c r="A1478">
        <v>2</v>
      </c>
      <c r="B1478">
        <v>2013</v>
      </c>
      <c r="C1478" t="str">
        <f>VLOOKUP(A1478,[2]Tabelle1!$A$1:$B$68,2,FALSE)</f>
        <v>Statistische Region Hannover</v>
      </c>
      <c r="D1478" t="s">
        <v>2</v>
      </c>
      <c r="E1478" t="s">
        <v>162</v>
      </c>
      <c r="F1478" t="str">
        <f>VLOOKUP(A1478,[1]Kreise!$A$1:$C$53,3,FALSE)</f>
        <v>K032</v>
      </c>
      <c r="G1478">
        <v>4.3114826220853502</v>
      </c>
    </row>
    <row r="1479" spans="1:7" x14ac:dyDescent="0.25">
      <c r="A1479">
        <v>351</v>
      </c>
      <c r="B1479">
        <v>2013</v>
      </c>
      <c r="C1479" t="str">
        <f>VLOOKUP(A1479,[2]Tabelle1!$A$1:$B$68,2,FALSE)</f>
        <v>Celle</v>
      </c>
      <c r="D1479" t="s">
        <v>2</v>
      </c>
      <c r="E1479" t="s">
        <v>162</v>
      </c>
      <c r="F1479" t="str">
        <f>VLOOKUP(A1479,[1]Kreise!$A$1:$C$53,3,FALSE)</f>
        <v>K03351</v>
      </c>
      <c r="G1479">
        <v>5.7291666666666661</v>
      </c>
    </row>
    <row r="1480" spans="1:7" x14ac:dyDescent="0.25">
      <c r="A1480">
        <v>352</v>
      </c>
      <c r="B1480">
        <v>2013</v>
      </c>
      <c r="C1480" t="str">
        <f>VLOOKUP(A1480,[2]Tabelle1!$A$1:$B$68,2,FALSE)</f>
        <v>Cuxhaven</v>
      </c>
      <c r="D1480" t="s">
        <v>2</v>
      </c>
      <c r="E1480" t="s">
        <v>162</v>
      </c>
      <c r="F1480" t="str">
        <f>VLOOKUP(A1480,[1]Kreise!$A$1:$C$53,3,FALSE)</f>
        <v>K03352</v>
      </c>
      <c r="G1480">
        <v>6.9146149816657942</v>
      </c>
    </row>
    <row r="1481" spans="1:7" x14ac:dyDescent="0.25">
      <c r="A1481">
        <v>353</v>
      </c>
      <c r="B1481">
        <v>2013</v>
      </c>
      <c r="C1481" t="str">
        <f>VLOOKUP(A1481,[2]Tabelle1!$A$1:$B$68,2,FALSE)</f>
        <v>Harburg</v>
      </c>
      <c r="D1481" t="s">
        <v>2</v>
      </c>
      <c r="E1481" t="s">
        <v>162</v>
      </c>
      <c r="F1481" t="str">
        <f>VLOOKUP(A1481,[1]Kreise!$A$1:$C$53,3,FALSE)</f>
        <v>K03353</v>
      </c>
      <c r="G1481">
        <v>2.6677445432497979</v>
      </c>
    </row>
    <row r="1482" spans="1:7" x14ac:dyDescent="0.25">
      <c r="A1482">
        <v>354</v>
      </c>
      <c r="B1482">
        <v>2013</v>
      </c>
      <c r="C1482" t="str">
        <f>VLOOKUP(A1482,[2]Tabelle1!$A$1:$B$68,2,FALSE)</f>
        <v>Lüchow-Dannenberg</v>
      </c>
      <c r="D1482" t="s">
        <v>2</v>
      </c>
      <c r="E1482" t="s">
        <v>162</v>
      </c>
      <c r="F1482" t="str">
        <f>VLOOKUP(A1482,[1]Kreise!$A$1:$C$53,3,FALSE)</f>
        <v>K03354</v>
      </c>
      <c r="G1482">
        <v>5.3045186640471513</v>
      </c>
    </row>
    <row r="1483" spans="1:7" x14ac:dyDescent="0.25">
      <c r="A1483">
        <v>355</v>
      </c>
      <c r="B1483">
        <v>2013</v>
      </c>
      <c r="C1483" t="str">
        <f>VLOOKUP(A1483,[2]Tabelle1!$A$1:$B$68,2,FALSE)</f>
        <v>Lüneburg</v>
      </c>
      <c r="D1483" t="s">
        <v>2</v>
      </c>
      <c r="E1483" t="s">
        <v>162</v>
      </c>
      <c r="F1483" t="str">
        <f>VLOOKUP(A1483,[1]Kreise!$A$1:$C$53,3,FALSE)</f>
        <v>K03355</v>
      </c>
      <c r="G1483">
        <v>3.6896364622897448</v>
      </c>
    </row>
    <row r="1484" spans="1:7" x14ac:dyDescent="0.25">
      <c r="A1484">
        <v>356</v>
      </c>
      <c r="B1484">
        <v>2013</v>
      </c>
      <c r="C1484" t="str">
        <f>VLOOKUP(A1484,[2]Tabelle1!$A$1:$B$68,2,FALSE)</f>
        <v>Osterholz</v>
      </c>
      <c r="D1484" t="s">
        <v>2</v>
      </c>
      <c r="E1484" t="s">
        <v>162</v>
      </c>
      <c r="F1484" t="str">
        <f>VLOOKUP(A1484,[1]Kreise!$A$1:$C$53,3,FALSE)</f>
        <v>K03356</v>
      </c>
      <c r="G1484">
        <v>5.9161873459326211</v>
      </c>
    </row>
    <row r="1485" spans="1:7" x14ac:dyDescent="0.25">
      <c r="A1485">
        <v>357</v>
      </c>
      <c r="B1485">
        <v>2013</v>
      </c>
      <c r="C1485" t="str">
        <f>VLOOKUP(A1485,[2]Tabelle1!$A$1:$B$68,2,FALSE)</f>
        <v>Rotenburg (Wümme)</v>
      </c>
      <c r="D1485" t="s">
        <v>2</v>
      </c>
      <c r="E1485" t="s">
        <v>162</v>
      </c>
      <c r="F1485" t="str">
        <f>VLOOKUP(A1485,[1]Kreise!$A$1:$C$53,3,FALSE)</f>
        <v>K03357</v>
      </c>
      <c r="G1485">
        <v>4.7077082255561304</v>
      </c>
    </row>
    <row r="1486" spans="1:7" x14ac:dyDescent="0.25">
      <c r="A1486">
        <v>358</v>
      </c>
      <c r="B1486">
        <v>2013</v>
      </c>
      <c r="C1486" t="str">
        <f>VLOOKUP(A1486,[2]Tabelle1!$A$1:$B$68,2,FALSE)</f>
        <v>Heidekreis</v>
      </c>
      <c r="D1486" t="s">
        <v>2</v>
      </c>
      <c r="E1486" t="s">
        <v>162</v>
      </c>
      <c r="F1486" t="str">
        <f>VLOOKUP(A1486,[1]Kreise!$A$1:$C$53,3,FALSE)</f>
        <v>K03358</v>
      </c>
      <c r="G1486">
        <v>6.5675340768277568</v>
      </c>
    </row>
    <row r="1487" spans="1:7" x14ac:dyDescent="0.25">
      <c r="A1487">
        <v>359</v>
      </c>
      <c r="B1487">
        <v>2013</v>
      </c>
      <c r="C1487" t="str">
        <f>VLOOKUP(A1487,[2]Tabelle1!$A$1:$B$68,2,FALSE)</f>
        <v>Stade</v>
      </c>
      <c r="D1487" t="s">
        <v>2</v>
      </c>
      <c r="E1487" t="s">
        <v>162</v>
      </c>
      <c r="F1487" t="str">
        <f>VLOOKUP(A1487,[1]Kreise!$A$1:$C$53,3,FALSE)</f>
        <v>K03359</v>
      </c>
      <c r="G1487">
        <v>4.838709677419355</v>
      </c>
    </row>
    <row r="1488" spans="1:7" x14ac:dyDescent="0.25">
      <c r="A1488">
        <v>360</v>
      </c>
      <c r="B1488">
        <v>2013</v>
      </c>
      <c r="C1488" t="str">
        <f>VLOOKUP(A1488,[2]Tabelle1!$A$1:$B$68,2,FALSE)</f>
        <v>Uelzen</v>
      </c>
      <c r="D1488" t="s">
        <v>2</v>
      </c>
      <c r="E1488" t="s">
        <v>162</v>
      </c>
      <c r="F1488" t="str">
        <f>VLOOKUP(A1488,[1]Kreise!$A$1:$C$53,3,FALSE)</f>
        <v>K03360</v>
      </c>
      <c r="G1488">
        <v>3.1219512195121952</v>
      </c>
    </row>
    <row r="1489" spans="1:7" x14ac:dyDescent="0.25">
      <c r="A1489">
        <v>361</v>
      </c>
      <c r="B1489">
        <v>2013</v>
      </c>
      <c r="C1489" t="str">
        <f>VLOOKUP(A1489,[2]Tabelle1!$A$1:$B$68,2,FALSE)</f>
        <v>Verden</v>
      </c>
      <c r="D1489" t="s">
        <v>2</v>
      </c>
      <c r="E1489" t="s">
        <v>162</v>
      </c>
      <c r="F1489" t="str">
        <f>VLOOKUP(A1489,[1]Kreise!$A$1:$C$53,3,FALSE)</f>
        <v>K03361</v>
      </c>
      <c r="G1489">
        <v>4.647887323943662</v>
      </c>
    </row>
    <row r="1490" spans="1:7" x14ac:dyDescent="0.25">
      <c r="A1490">
        <v>3</v>
      </c>
      <c r="B1490">
        <v>2013</v>
      </c>
      <c r="C1490" t="str">
        <f>VLOOKUP(A1490,[2]Tabelle1!$A$1:$B$68,2,FALSE)</f>
        <v>Statistische Region Lüneburg</v>
      </c>
      <c r="D1490" t="s">
        <v>2</v>
      </c>
      <c r="E1490" t="s">
        <v>162</v>
      </c>
      <c r="F1490" t="str">
        <f>VLOOKUP(A1490,[1]Kreise!$A$1:$C$53,3,FALSE)</f>
        <v>K033</v>
      </c>
      <c r="G1490">
        <v>4.8519919875361674</v>
      </c>
    </row>
    <row r="1491" spans="1:7" x14ac:dyDescent="0.25">
      <c r="A1491">
        <v>401</v>
      </c>
      <c r="B1491">
        <v>2013</v>
      </c>
      <c r="C1491" t="str">
        <f>VLOOKUP(A1491,[2]Tabelle1!$A$1:$B$68,2,FALSE)</f>
        <v>Delmenhorst  Stadt</v>
      </c>
      <c r="D1491" t="s">
        <v>2</v>
      </c>
      <c r="E1491" t="s">
        <v>162</v>
      </c>
      <c r="F1491" t="str">
        <f>VLOOKUP(A1491,[1]Kreise!$A$1:$C$53,3,FALSE)</f>
        <v>K03401</v>
      </c>
      <c r="G1491">
        <v>5.89041095890411</v>
      </c>
    </row>
    <row r="1492" spans="1:7" x14ac:dyDescent="0.25">
      <c r="A1492">
        <v>402</v>
      </c>
      <c r="B1492">
        <v>2013</v>
      </c>
      <c r="C1492" t="str">
        <f>VLOOKUP(A1492,[2]Tabelle1!$A$1:$B$68,2,FALSE)</f>
        <v>Emden  Stadt</v>
      </c>
      <c r="D1492" t="s">
        <v>2</v>
      </c>
      <c r="E1492" t="s">
        <v>162</v>
      </c>
      <c r="F1492" t="str">
        <f>VLOOKUP(A1492,[1]Kreise!$A$1:$C$53,3,FALSE)</f>
        <v>K03402</v>
      </c>
      <c r="G1492">
        <v>9.0090090090090094</v>
      </c>
    </row>
    <row r="1493" spans="1:7" x14ac:dyDescent="0.25">
      <c r="A1493">
        <v>403</v>
      </c>
      <c r="B1493">
        <v>2013</v>
      </c>
      <c r="C1493" t="str">
        <f>VLOOKUP(A1493,[2]Tabelle1!$A$1:$B$68,2,FALSE)</f>
        <v>Oldenburg(Oldb)  Stadt</v>
      </c>
      <c r="D1493" t="s">
        <v>2</v>
      </c>
      <c r="E1493" t="s">
        <v>162</v>
      </c>
      <c r="F1493" t="str">
        <f>VLOOKUP(A1493,[1]Kreise!$A$1:$C$53,3,FALSE)</f>
        <v>K03403</v>
      </c>
      <c r="G1493">
        <v>5.3185595567867034</v>
      </c>
    </row>
    <row r="1494" spans="1:7" x14ac:dyDescent="0.25">
      <c r="A1494">
        <v>404</v>
      </c>
      <c r="B1494">
        <v>2013</v>
      </c>
      <c r="C1494" t="str">
        <f>VLOOKUP(A1494,[2]Tabelle1!$A$1:$B$68,2,FALSE)</f>
        <v>Osnabrück  Stadt</v>
      </c>
      <c r="D1494" t="s">
        <v>2</v>
      </c>
      <c r="E1494" t="s">
        <v>162</v>
      </c>
      <c r="F1494" t="str">
        <f>VLOOKUP(A1494,[1]Kreise!$A$1:$C$53,3,FALSE)</f>
        <v>K03404</v>
      </c>
      <c r="G1494">
        <v>4.0342914775592531</v>
      </c>
    </row>
    <row r="1495" spans="1:7" x14ac:dyDescent="0.25">
      <c r="A1495">
        <v>405</v>
      </c>
      <c r="B1495">
        <v>2013</v>
      </c>
      <c r="C1495" t="str">
        <f>VLOOKUP(A1495,[2]Tabelle1!$A$1:$B$68,2,FALSE)</f>
        <v>Wilhelmshaven  Stadt</v>
      </c>
      <c r="D1495" t="s">
        <v>2</v>
      </c>
      <c r="E1495" t="s">
        <v>162</v>
      </c>
      <c r="F1495" t="str">
        <f>VLOOKUP(A1495,[1]Kreise!$A$1:$C$53,3,FALSE)</f>
        <v>K03405</v>
      </c>
      <c r="G1495">
        <v>4.8284625158830998</v>
      </c>
    </row>
    <row r="1496" spans="1:7" x14ac:dyDescent="0.25">
      <c r="A1496">
        <v>451</v>
      </c>
      <c r="B1496">
        <v>2013</v>
      </c>
      <c r="C1496" t="str">
        <f>VLOOKUP(A1496,[2]Tabelle1!$A$1:$B$68,2,FALSE)</f>
        <v>Ammerland</v>
      </c>
      <c r="D1496" t="s">
        <v>2</v>
      </c>
      <c r="E1496" t="s">
        <v>162</v>
      </c>
      <c r="F1496" t="str">
        <f>VLOOKUP(A1496,[1]Kreise!$A$1:$C$53,3,FALSE)</f>
        <v>K03451</v>
      </c>
      <c r="G1496">
        <v>2.6455026455026456</v>
      </c>
    </row>
    <row r="1497" spans="1:7" x14ac:dyDescent="0.25">
      <c r="A1497">
        <v>452</v>
      </c>
      <c r="B1497">
        <v>2013</v>
      </c>
      <c r="C1497" t="str">
        <f>VLOOKUP(A1497,[2]Tabelle1!$A$1:$B$68,2,FALSE)</f>
        <v>Aurich</v>
      </c>
      <c r="D1497" t="s">
        <v>2</v>
      </c>
      <c r="E1497" t="s">
        <v>162</v>
      </c>
      <c r="F1497" t="str">
        <f>VLOOKUP(A1497,[1]Kreise!$A$1:$C$53,3,FALSE)</f>
        <v>K03452</v>
      </c>
      <c r="G1497">
        <v>7.7856843867727079</v>
      </c>
    </row>
    <row r="1498" spans="1:7" x14ac:dyDescent="0.25">
      <c r="A1498">
        <v>453</v>
      </c>
      <c r="B1498">
        <v>2013</v>
      </c>
      <c r="C1498" t="str">
        <f>VLOOKUP(A1498,[2]Tabelle1!$A$1:$B$68,2,FALSE)</f>
        <v>Cloppenburg</v>
      </c>
      <c r="D1498" t="s">
        <v>2</v>
      </c>
      <c r="E1498" t="s">
        <v>162</v>
      </c>
      <c r="F1498" t="str">
        <f>VLOOKUP(A1498,[1]Kreise!$A$1:$C$53,3,FALSE)</f>
        <v>K03453</v>
      </c>
      <c r="G1498">
        <v>4.4360547428032087</v>
      </c>
    </row>
    <row r="1499" spans="1:7" x14ac:dyDescent="0.25">
      <c r="A1499">
        <v>454</v>
      </c>
      <c r="B1499">
        <v>2013</v>
      </c>
      <c r="C1499" t="str">
        <f>VLOOKUP(A1499,[2]Tabelle1!$A$1:$B$68,2,FALSE)</f>
        <v>Emsland</v>
      </c>
      <c r="D1499" t="s">
        <v>2</v>
      </c>
      <c r="E1499" t="s">
        <v>162</v>
      </c>
      <c r="F1499" t="str">
        <f>VLOOKUP(A1499,[1]Kreise!$A$1:$C$53,3,FALSE)</f>
        <v>K03454</v>
      </c>
      <c r="G1499">
        <v>4.2213642213642206</v>
      </c>
    </row>
    <row r="1500" spans="1:7" x14ac:dyDescent="0.25">
      <c r="A1500">
        <v>455</v>
      </c>
      <c r="B1500">
        <v>2013</v>
      </c>
      <c r="C1500" t="str">
        <f>VLOOKUP(A1500,[2]Tabelle1!$A$1:$B$68,2,FALSE)</f>
        <v>Friesland</v>
      </c>
      <c r="D1500" t="s">
        <v>2</v>
      </c>
      <c r="E1500" t="s">
        <v>162</v>
      </c>
      <c r="F1500" t="str">
        <f>VLOOKUP(A1500,[1]Kreise!$A$1:$C$53,3,FALSE)</f>
        <v>K03455</v>
      </c>
      <c r="G1500">
        <v>3.2755298651252409</v>
      </c>
    </row>
    <row r="1501" spans="1:7" x14ac:dyDescent="0.25">
      <c r="A1501">
        <v>456</v>
      </c>
      <c r="B1501">
        <v>2013</v>
      </c>
      <c r="C1501" t="str">
        <f>VLOOKUP(A1501,[2]Tabelle1!$A$1:$B$68,2,FALSE)</f>
        <v>Grafschaft Bentheim</v>
      </c>
      <c r="D1501" t="s">
        <v>2</v>
      </c>
      <c r="E1501" t="s">
        <v>162</v>
      </c>
      <c r="F1501" t="str">
        <f>VLOOKUP(A1501,[1]Kreise!$A$1:$C$53,3,FALSE)</f>
        <v>K03456</v>
      </c>
      <c r="G1501">
        <v>5.552089831565814</v>
      </c>
    </row>
    <row r="1502" spans="1:7" x14ac:dyDescent="0.25">
      <c r="A1502">
        <v>457</v>
      </c>
      <c r="B1502">
        <v>2013</v>
      </c>
      <c r="C1502" t="str">
        <f>VLOOKUP(A1502,[2]Tabelle1!$A$1:$B$68,2,FALSE)</f>
        <v>Leer</v>
      </c>
      <c r="D1502" t="s">
        <v>2</v>
      </c>
      <c r="E1502" t="s">
        <v>162</v>
      </c>
      <c r="F1502" t="str">
        <f>VLOOKUP(A1502,[1]Kreise!$A$1:$C$53,3,FALSE)</f>
        <v>K03457</v>
      </c>
      <c r="G1502">
        <v>7.2747621712367092</v>
      </c>
    </row>
    <row r="1503" spans="1:7" x14ac:dyDescent="0.25">
      <c r="A1503">
        <v>458</v>
      </c>
      <c r="B1503">
        <v>2013</v>
      </c>
      <c r="C1503" t="str">
        <f>VLOOKUP(A1503,[2]Tabelle1!$A$1:$B$68,2,FALSE)</f>
        <v>Oldenburg</v>
      </c>
      <c r="D1503" t="s">
        <v>2</v>
      </c>
      <c r="E1503" t="s">
        <v>162</v>
      </c>
      <c r="F1503" t="str">
        <f>VLOOKUP(A1503,[1]Kreise!$A$1:$C$53,3,FALSE)</f>
        <v>K03458</v>
      </c>
      <c r="G1503">
        <v>3.7833190025795354</v>
      </c>
    </row>
    <row r="1504" spans="1:7" x14ac:dyDescent="0.25">
      <c r="A1504">
        <v>459</v>
      </c>
      <c r="B1504">
        <v>2013</v>
      </c>
      <c r="C1504" t="str">
        <f>VLOOKUP(A1504,[2]Tabelle1!$A$1:$B$68,2,FALSE)</f>
        <v>Osnabrück</v>
      </c>
      <c r="D1504" t="s">
        <v>2</v>
      </c>
      <c r="E1504" t="s">
        <v>162</v>
      </c>
      <c r="F1504" t="str">
        <f>VLOOKUP(A1504,[1]Kreise!$A$1:$C$53,3,FALSE)</f>
        <v>K03459</v>
      </c>
      <c r="G1504">
        <v>3.1760435571687839</v>
      </c>
    </row>
    <row r="1505" spans="1:7" x14ac:dyDescent="0.25">
      <c r="A1505">
        <v>460</v>
      </c>
      <c r="B1505">
        <v>2013</v>
      </c>
      <c r="C1505" t="str">
        <f>VLOOKUP(A1505,[2]Tabelle1!$A$1:$B$68,2,FALSE)</f>
        <v>Vechta</v>
      </c>
      <c r="D1505" t="s">
        <v>2</v>
      </c>
      <c r="E1505" t="s">
        <v>162</v>
      </c>
      <c r="F1505" t="str">
        <f>VLOOKUP(A1505,[1]Kreise!$A$1:$C$53,3,FALSE)</f>
        <v>K03460</v>
      </c>
      <c r="G1505">
        <v>3.2582938388625595</v>
      </c>
    </row>
    <row r="1506" spans="1:7" x14ac:dyDescent="0.25">
      <c r="A1506">
        <v>461</v>
      </c>
      <c r="B1506">
        <v>2013</v>
      </c>
      <c r="C1506" t="str">
        <f>VLOOKUP(A1506,[2]Tabelle1!$A$1:$B$68,2,FALSE)</f>
        <v>Wesermarsch</v>
      </c>
      <c r="D1506" t="s">
        <v>2</v>
      </c>
      <c r="E1506" t="s">
        <v>162</v>
      </c>
      <c r="F1506" t="str">
        <f>VLOOKUP(A1506,[1]Kreise!$A$1:$C$53,3,FALSE)</f>
        <v>K03461</v>
      </c>
      <c r="G1506">
        <v>3.8</v>
      </c>
    </row>
    <row r="1507" spans="1:7" x14ac:dyDescent="0.25">
      <c r="A1507">
        <v>462</v>
      </c>
      <c r="B1507">
        <v>2013</v>
      </c>
      <c r="C1507" t="str">
        <f>VLOOKUP(A1507,[2]Tabelle1!$A$1:$B$68,2,FALSE)</f>
        <v>Wittmund</v>
      </c>
      <c r="D1507" t="s">
        <v>2</v>
      </c>
      <c r="E1507" t="s">
        <v>162</v>
      </c>
      <c r="F1507" t="str">
        <f>VLOOKUP(A1507,[1]Kreise!$A$1:$C$53,3,FALSE)</f>
        <v>K03462</v>
      </c>
      <c r="G1507" t="s">
        <v>84</v>
      </c>
    </row>
    <row r="1508" spans="1:7" x14ac:dyDescent="0.25">
      <c r="A1508">
        <v>4</v>
      </c>
      <c r="B1508">
        <v>2013</v>
      </c>
      <c r="C1508" t="str">
        <f>VLOOKUP(A1508,[2]Tabelle1!$A$1:$B$68,2,FALSE)</f>
        <v>Statistische Region Weser-Ems</v>
      </c>
      <c r="D1508" t="s">
        <v>2</v>
      </c>
      <c r="E1508" t="s">
        <v>162</v>
      </c>
      <c r="F1508" t="str">
        <f>VLOOKUP(A1508,[1]Kreise!$A$1:$C$53,3,FALSE)</f>
        <v>K034</v>
      </c>
      <c r="G1508">
        <v>4.7174553026495296</v>
      </c>
    </row>
    <row r="1509" spans="1:7" x14ac:dyDescent="0.25">
      <c r="A1509">
        <v>0</v>
      </c>
      <c r="B1509">
        <v>2013</v>
      </c>
      <c r="C1509" t="str">
        <f>VLOOKUP(A1509,[2]Tabelle1!$A$1:$B$68,2,FALSE)</f>
        <v>Niedersachsen</v>
      </c>
      <c r="D1509" t="s">
        <v>2</v>
      </c>
      <c r="E1509" t="s">
        <v>162</v>
      </c>
      <c r="F1509" t="str">
        <f>VLOOKUP(A1509,[1]Kreise!$A$1:$C$53,3,FALSE)</f>
        <v>K030</v>
      </c>
      <c r="G1509">
        <v>4.5558002936857562</v>
      </c>
    </row>
    <row r="1510" spans="1:7" x14ac:dyDescent="0.25">
      <c r="A1510">
        <v>101</v>
      </c>
      <c r="B1510">
        <v>2013</v>
      </c>
      <c r="C1510" t="str">
        <f>VLOOKUP(A1510,[2]Tabelle1!$A$1:$B$68,2,FALSE)</f>
        <v>Braunschweig  Stadt</v>
      </c>
      <c r="D1510" t="s">
        <v>3</v>
      </c>
      <c r="E1510" t="s">
        <v>162</v>
      </c>
      <c r="F1510" t="str">
        <f>VLOOKUP(A1510,[1]Kreise!$A$1:$C$53,3,FALSE)</f>
        <v>K03101</v>
      </c>
      <c r="G1510">
        <v>16.556291390728479</v>
      </c>
    </row>
    <row r="1511" spans="1:7" x14ac:dyDescent="0.25">
      <c r="A1511">
        <v>102</v>
      </c>
      <c r="B1511">
        <v>2013</v>
      </c>
      <c r="C1511" t="str">
        <f>VLOOKUP(A1511,[2]Tabelle1!$A$1:$B$68,2,FALSE)</f>
        <v>Salzgitter  Stadt</v>
      </c>
      <c r="D1511" t="s">
        <v>3</v>
      </c>
      <c r="E1511" t="s">
        <v>162</v>
      </c>
      <c r="F1511" t="str">
        <f>VLOOKUP(A1511,[1]Kreise!$A$1:$C$53,3,FALSE)</f>
        <v>K03102</v>
      </c>
      <c r="G1511">
        <v>6.0402684563758395</v>
      </c>
    </row>
    <row r="1512" spans="1:7" x14ac:dyDescent="0.25">
      <c r="A1512">
        <v>103</v>
      </c>
      <c r="B1512">
        <v>2013</v>
      </c>
      <c r="C1512" t="str">
        <f>VLOOKUP(A1512,[2]Tabelle1!$A$1:$B$68,2,FALSE)</f>
        <v>Wolfsburg  Stadt</v>
      </c>
      <c r="D1512" t="s">
        <v>3</v>
      </c>
      <c r="E1512" t="s">
        <v>162</v>
      </c>
      <c r="F1512" t="str">
        <f>VLOOKUP(A1512,[1]Kreise!$A$1:$C$53,3,FALSE)</f>
        <v>K03103</v>
      </c>
      <c r="G1512">
        <v>8</v>
      </c>
    </row>
    <row r="1513" spans="1:7" x14ac:dyDescent="0.25">
      <c r="A1513">
        <v>151</v>
      </c>
      <c r="B1513">
        <v>2013</v>
      </c>
      <c r="C1513" t="str">
        <f>VLOOKUP(A1513,[2]Tabelle1!$A$1:$B$68,2,FALSE)</f>
        <v>Gifhorn</v>
      </c>
      <c r="D1513" t="s">
        <v>3</v>
      </c>
      <c r="E1513" t="s">
        <v>162</v>
      </c>
      <c r="F1513" t="str">
        <f>VLOOKUP(A1513,[1]Kreise!$A$1:$C$53,3,FALSE)</f>
        <v>K03151</v>
      </c>
      <c r="G1513">
        <v>11.627906976744185</v>
      </c>
    </row>
    <row r="1514" spans="1:7" x14ac:dyDescent="0.25">
      <c r="A1514">
        <v>153</v>
      </c>
      <c r="B1514">
        <v>2013</v>
      </c>
      <c r="C1514" t="str">
        <f>VLOOKUP(A1514,[2]Tabelle1!$A$1:$B$68,2,FALSE)</f>
        <v>Goslar</v>
      </c>
      <c r="D1514" t="s">
        <v>3</v>
      </c>
      <c r="E1514" t="s">
        <v>162</v>
      </c>
      <c r="F1514" t="str">
        <f>VLOOKUP(A1514,[1]Kreise!$A$1:$C$53,3,FALSE)</f>
        <v>K03153</v>
      </c>
      <c r="G1514">
        <v>4.4444444444444446</v>
      </c>
    </row>
    <row r="1515" spans="1:7" x14ac:dyDescent="0.25">
      <c r="A1515">
        <v>154</v>
      </c>
      <c r="B1515">
        <v>2013</v>
      </c>
      <c r="C1515" t="str">
        <f>VLOOKUP(A1515,[2]Tabelle1!$A$1:$B$68,2,FALSE)</f>
        <v>Helmstedt</v>
      </c>
      <c r="D1515" t="s">
        <v>3</v>
      </c>
      <c r="E1515" t="s">
        <v>162</v>
      </c>
      <c r="F1515" t="str">
        <f>VLOOKUP(A1515,[1]Kreise!$A$1:$C$53,3,FALSE)</f>
        <v>K03154</v>
      </c>
      <c r="G1515">
        <v>18.181818181818183</v>
      </c>
    </row>
    <row r="1516" spans="1:7" x14ac:dyDescent="0.25">
      <c r="A1516">
        <v>155</v>
      </c>
      <c r="B1516">
        <v>2013</v>
      </c>
      <c r="C1516" t="str">
        <f>VLOOKUP(A1516,[2]Tabelle1!$A$1:$B$68,2,FALSE)</f>
        <v>Northeim</v>
      </c>
      <c r="D1516" t="s">
        <v>3</v>
      </c>
      <c r="E1516" t="s">
        <v>162</v>
      </c>
      <c r="F1516" t="str">
        <f>VLOOKUP(A1516,[1]Kreise!$A$1:$C$53,3,FALSE)</f>
        <v>K03155</v>
      </c>
      <c r="G1516">
        <v>16.666666666666664</v>
      </c>
    </row>
    <row r="1517" spans="1:7" x14ac:dyDescent="0.25">
      <c r="A1517">
        <v>157</v>
      </c>
      <c r="B1517">
        <v>2013</v>
      </c>
      <c r="C1517" t="str">
        <f>VLOOKUP(A1517,[2]Tabelle1!$A$1:$B$68,2,FALSE)</f>
        <v>Peine</v>
      </c>
      <c r="D1517" t="s">
        <v>3</v>
      </c>
      <c r="E1517" t="s">
        <v>162</v>
      </c>
      <c r="F1517" t="str">
        <f>VLOOKUP(A1517,[1]Kreise!$A$1:$C$53,3,FALSE)</f>
        <v>K03157</v>
      </c>
      <c r="G1517">
        <v>6.962025316455696</v>
      </c>
    </row>
    <row r="1518" spans="1:7" x14ac:dyDescent="0.25">
      <c r="A1518">
        <v>158</v>
      </c>
      <c r="B1518">
        <v>2013</v>
      </c>
      <c r="C1518" t="str">
        <f>VLOOKUP(A1518,[2]Tabelle1!$A$1:$B$68,2,FALSE)</f>
        <v>Wolfenbüttel</v>
      </c>
      <c r="D1518" t="s">
        <v>3</v>
      </c>
      <c r="E1518" t="s">
        <v>162</v>
      </c>
      <c r="F1518" t="str">
        <f>VLOOKUP(A1518,[1]Kreise!$A$1:$C$53,3,FALSE)</f>
        <v>K03158</v>
      </c>
      <c r="G1518">
        <v>7.4074074074074066</v>
      </c>
    </row>
    <row r="1519" spans="1:7" x14ac:dyDescent="0.25">
      <c r="A1519">
        <v>159</v>
      </c>
      <c r="B1519">
        <v>2013</v>
      </c>
      <c r="C1519" t="str">
        <f>VLOOKUP(A1519,[2]Tabelle1!$A$1:$B$68,2,FALSE)</f>
        <v>Göttingen</v>
      </c>
      <c r="D1519" t="s">
        <v>3</v>
      </c>
      <c r="E1519" t="s">
        <v>162</v>
      </c>
      <c r="F1519" t="str">
        <f>VLOOKUP(A1519,[1]Kreise!$A$1:$C$53,3,FALSE)</f>
        <v>K03159</v>
      </c>
      <c r="G1519">
        <v>18.902439024390244</v>
      </c>
    </row>
    <row r="1520" spans="1:7" x14ac:dyDescent="0.25">
      <c r="A1520">
        <v>1</v>
      </c>
      <c r="B1520">
        <v>2013</v>
      </c>
      <c r="C1520" t="str">
        <f>VLOOKUP(A1520,[2]Tabelle1!$A$1:$B$68,2,FALSE)</f>
        <v>Statistische Region Braunschweig</v>
      </c>
      <c r="D1520" t="s">
        <v>3</v>
      </c>
      <c r="E1520" t="s">
        <v>162</v>
      </c>
      <c r="F1520" t="str">
        <f>VLOOKUP(A1520,[1]Kreise!$A$1:$C$53,3,FALSE)</f>
        <v>K031</v>
      </c>
      <c r="G1520">
        <v>11.398963730569948</v>
      </c>
    </row>
    <row r="1521" spans="1:7" x14ac:dyDescent="0.25">
      <c r="A1521">
        <v>241</v>
      </c>
      <c r="B1521">
        <v>2013</v>
      </c>
      <c r="C1521" t="str">
        <f>VLOOKUP(A1521,[2]Tabelle1!$A$1:$B$68,2,FALSE)</f>
        <v>Hannover  Region</v>
      </c>
      <c r="D1521" t="s">
        <v>3</v>
      </c>
      <c r="E1521" t="s">
        <v>162</v>
      </c>
      <c r="F1521" t="str">
        <f>VLOOKUP(A1521,[1]Kreise!$A$1:$C$53,3,FALSE)</f>
        <v>K03241</v>
      </c>
      <c r="G1521">
        <v>12.381771281169389</v>
      </c>
    </row>
    <row r="1522" spans="1:7" x14ac:dyDescent="0.25">
      <c r="A1522">
        <v>241001</v>
      </c>
      <c r="B1522">
        <v>2013</v>
      </c>
      <c r="C1522" t="str">
        <f>VLOOKUP(A1522,[2]Tabelle1!$A$1:$B$68,2,FALSE)</f>
        <v>dav. Hannover  Lhst.</v>
      </c>
      <c r="D1522" t="s">
        <v>3</v>
      </c>
      <c r="E1522" t="s">
        <v>162</v>
      </c>
      <c r="F1522" t="str">
        <f>VLOOKUP(A1522,[1]Kreise!$A$1:$C$53,3,FALSE)</f>
        <v>K03241001</v>
      </c>
      <c r="G1522">
        <v>10.042432814710041</v>
      </c>
    </row>
    <row r="1523" spans="1:7" x14ac:dyDescent="0.25">
      <c r="A1523">
        <v>241999</v>
      </c>
      <c r="B1523">
        <v>2013</v>
      </c>
      <c r="C1523" t="str">
        <f>VLOOKUP(A1523,[2]Tabelle1!$A$1:$B$68,2,FALSE)</f>
        <v>dav. Hannover  Umland</v>
      </c>
      <c r="D1523" t="s">
        <v>3</v>
      </c>
      <c r="E1523" t="s">
        <v>162</v>
      </c>
      <c r="F1523" t="str">
        <f>VLOOKUP(A1523,[1]Kreise!$A$1:$C$53,3,FALSE)</f>
        <v>K03241999</v>
      </c>
      <c r="G1523">
        <v>16.008771929824562</v>
      </c>
    </row>
    <row r="1524" spans="1:7" x14ac:dyDescent="0.25">
      <c r="A1524">
        <v>251</v>
      </c>
      <c r="B1524">
        <v>2013</v>
      </c>
      <c r="C1524" t="str">
        <f>VLOOKUP(A1524,[2]Tabelle1!$A$1:$B$68,2,FALSE)</f>
        <v>Diepholz</v>
      </c>
      <c r="D1524" t="s">
        <v>3</v>
      </c>
      <c r="E1524" t="s">
        <v>162</v>
      </c>
      <c r="F1524" t="str">
        <f>VLOOKUP(A1524,[1]Kreise!$A$1:$C$53,3,FALSE)</f>
        <v>K03251</v>
      </c>
      <c r="G1524">
        <v>12.612612612612612</v>
      </c>
    </row>
    <row r="1525" spans="1:7" x14ac:dyDescent="0.25">
      <c r="A1525">
        <v>252</v>
      </c>
      <c r="B1525">
        <v>2013</v>
      </c>
      <c r="C1525" t="str">
        <f>VLOOKUP(A1525,[2]Tabelle1!$A$1:$B$68,2,FALSE)</f>
        <v>Hameln-Pyrmont</v>
      </c>
      <c r="D1525" t="s">
        <v>3</v>
      </c>
      <c r="E1525" t="s">
        <v>162</v>
      </c>
      <c r="F1525" t="str">
        <f>VLOOKUP(A1525,[1]Kreise!$A$1:$C$53,3,FALSE)</f>
        <v>K03252</v>
      </c>
      <c r="G1525">
        <v>10.784313725490197</v>
      </c>
    </row>
    <row r="1526" spans="1:7" x14ac:dyDescent="0.25">
      <c r="A1526">
        <v>254</v>
      </c>
      <c r="B1526">
        <v>2013</v>
      </c>
      <c r="C1526" t="str">
        <f>VLOOKUP(A1526,[2]Tabelle1!$A$1:$B$68,2,FALSE)</f>
        <v>Hildesheim</v>
      </c>
      <c r="D1526" t="s">
        <v>3</v>
      </c>
      <c r="E1526" t="s">
        <v>162</v>
      </c>
      <c r="F1526" t="str">
        <f>VLOOKUP(A1526,[1]Kreise!$A$1:$C$53,3,FALSE)</f>
        <v>K03254</v>
      </c>
      <c r="G1526">
        <v>17.5</v>
      </c>
    </row>
    <row r="1527" spans="1:7" x14ac:dyDescent="0.25">
      <c r="A1527">
        <v>255</v>
      </c>
      <c r="B1527">
        <v>2013</v>
      </c>
      <c r="C1527" t="str">
        <f>VLOOKUP(A1527,[2]Tabelle1!$A$1:$B$68,2,FALSE)</f>
        <v>Holzminden</v>
      </c>
      <c r="D1527" t="s">
        <v>3</v>
      </c>
      <c r="E1527" t="s">
        <v>162</v>
      </c>
      <c r="F1527" t="str">
        <f>VLOOKUP(A1527,[1]Kreise!$A$1:$C$53,3,FALSE)</f>
        <v>K03255</v>
      </c>
      <c r="G1527">
        <v>7.2727272727272725</v>
      </c>
    </row>
    <row r="1528" spans="1:7" x14ac:dyDescent="0.25">
      <c r="A1528">
        <v>256</v>
      </c>
      <c r="B1528">
        <v>2013</v>
      </c>
      <c r="C1528" t="str">
        <f>VLOOKUP(A1528,[2]Tabelle1!$A$1:$B$68,2,FALSE)</f>
        <v>Nienburg (Weser)</v>
      </c>
      <c r="D1528" t="s">
        <v>3</v>
      </c>
      <c r="E1528" t="s">
        <v>162</v>
      </c>
      <c r="F1528" t="str">
        <f>VLOOKUP(A1528,[1]Kreise!$A$1:$C$53,3,FALSE)</f>
        <v>K03256</v>
      </c>
      <c r="G1528">
        <v>14.772727272727273</v>
      </c>
    </row>
    <row r="1529" spans="1:7" x14ac:dyDescent="0.25">
      <c r="A1529">
        <v>257</v>
      </c>
      <c r="B1529">
        <v>2013</v>
      </c>
      <c r="C1529" t="str">
        <f>VLOOKUP(A1529,[2]Tabelle1!$A$1:$B$68,2,FALSE)</f>
        <v>Schaumburg</v>
      </c>
      <c r="D1529" t="s">
        <v>3</v>
      </c>
      <c r="E1529" t="s">
        <v>162</v>
      </c>
      <c r="F1529" t="str">
        <f>VLOOKUP(A1529,[1]Kreise!$A$1:$C$53,3,FALSE)</f>
        <v>K03257</v>
      </c>
      <c r="G1529">
        <v>11.38211382113821</v>
      </c>
    </row>
    <row r="1530" spans="1:7" x14ac:dyDescent="0.25">
      <c r="A1530">
        <v>2</v>
      </c>
      <c r="B1530">
        <v>2013</v>
      </c>
      <c r="C1530" t="str">
        <f>VLOOKUP(A1530,[2]Tabelle1!$A$1:$B$68,2,FALSE)</f>
        <v>Statistische Region Hannover</v>
      </c>
      <c r="D1530" t="s">
        <v>3</v>
      </c>
      <c r="E1530" t="s">
        <v>162</v>
      </c>
      <c r="F1530" t="str">
        <f>VLOOKUP(A1530,[1]Kreise!$A$1:$C$53,3,FALSE)</f>
        <v>K032</v>
      </c>
      <c r="G1530">
        <v>12.652608213096558</v>
      </c>
    </row>
    <row r="1531" spans="1:7" x14ac:dyDescent="0.25">
      <c r="A1531">
        <v>351</v>
      </c>
      <c r="B1531">
        <v>2013</v>
      </c>
      <c r="C1531" t="str">
        <f>VLOOKUP(A1531,[2]Tabelle1!$A$1:$B$68,2,FALSE)</f>
        <v>Celle</v>
      </c>
      <c r="D1531" t="s">
        <v>3</v>
      </c>
      <c r="E1531" t="s">
        <v>162</v>
      </c>
      <c r="F1531" t="str">
        <f>VLOOKUP(A1531,[1]Kreise!$A$1:$C$53,3,FALSE)</f>
        <v>K03351</v>
      </c>
      <c r="G1531">
        <v>6.25</v>
      </c>
    </row>
    <row r="1532" spans="1:7" x14ac:dyDescent="0.25">
      <c r="A1532">
        <v>352</v>
      </c>
      <c r="B1532">
        <v>2013</v>
      </c>
      <c r="C1532" t="str">
        <f>VLOOKUP(A1532,[2]Tabelle1!$A$1:$B$68,2,FALSE)</f>
        <v>Cuxhaven</v>
      </c>
      <c r="D1532" t="s">
        <v>3</v>
      </c>
      <c r="E1532" t="s">
        <v>162</v>
      </c>
      <c r="F1532" t="str">
        <f>VLOOKUP(A1532,[1]Kreise!$A$1:$C$53,3,FALSE)</f>
        <v>K03352</v>
      </c>
      <c r="G1532">
        <v>12.5</v>
      </c>
    </row>
    <row r="1533" spans="1:7" x14ac:dyDescent="0.25">
      <c r="A1533">
        <v>353</v>
      </c>
      <c r="B1533">
        <v>2013</v>
      </c>
      <c r="C1533" t="str">
        <f>VLOOKUP(A1533,[2]Tabelle1!$A$1:$B$68,2,FALSE)</f>
        <v>Harburg</v>
      </c>
      <c r="D1533" t="s">
        <v>3</v>
      </c>
      <c r="E1533" t="s">
        <v>162</v>
      </c>
      <c r="F1533" t="str">
        <f>VLOOKUP(A1533,[1]Kreise!$A$1:$C$53,3,FALSE)</f>
        <v>K03353</v>
      </c>
      <c r="G1533">
        <v>10.144927536231885</v>
      </c>
    </row>
    <row r="1534" spans="1:7" x14ac:dyDescent="0.25">
      <c r="A1534">
        <v>354</v>
      </c>
      <c r="B1534">
        <v>2013</v>
      </c>
      <c r="C1534" t="str">
        <f>VLOOKUP(A1534,[2]Tabelle1!$A$1:$B$68,2,FALSE)</f>
        <v>Lüchow-Dannenberg</v>
      </c>
      <c r="D1534" t="s">
        <v>3</v>
      </c>
      <c r="E1534" t="s">
        <v>162</v>
      </c>
      <c r="F1534" t="str">
        <f>VLOOKUP(A1534,[1]Kreise!$A$1:$C$53,3,FALSE)</f>
        <v>K03354</v>
      </c>
      <c r="G1534">
        <v>5.2631578947368416</v>
      </c>
    </row>
    <row r="1535" spans="1:7" x14ac:dyDescent="0.25">
      <c r="A1535">
        <v>355</v>
      </c>
      <c r="B1535">
        <v>2013</v>
      </c>
      <c r="C1535" t="str">
        <f>VLOOKUP(A1535,[2]Tabelle1!$A$1:$B$68,2,FALSE)</f>
        <v>Lüneburg</v>
      </c>
      <c r="D1535" t="s">
        <v>3</v>
      </c>
      <c r="E1535" t="s">
        <v>162</v>
      </c>
      <c r="F1535" t="str">
        <f>VLOOKUP(A1535,[1]Kreise!$A$1:$C$53,3,FALSE)</f>
        <v>K03355</v>
      </c>
      <c r="G1535">
        <v>11.940298507462686</v>
      </c>
    </row>
    <row r="1536" spans="1:7" x14ac:dyDescent="0.25">
      <c r="A1536">
        <v>356</v>
      </c>
      <c r="B1536">
        <v>2013</v>
      </c>
      <c r="C1536" t="str">
        <f>VLOOKUP(A1536,[2]Tabelle1!$A$1:$B$68,2,FALSE)</f>
        <v>Osterholz</v>
      </c>
      <c r="D1536" t="s">
        <v>3</v>
      </c>
      <c r="E1536" t="s">
        <v>162</v>
      </c>
      <c r="F1536" t="str">
        <f>VLOOKUP(A1536,[1]Kreise!$A$1:$C$53,3,FALSE)</f>
        <v>K03356</v>
      </c>
      <c r="G1536">
        <v>8.3333333333333321</v>
      </c>
    </row>
    <row r="1537" spans="1:7" x14ac:dyDescent="0.25">
      <c r="A1537">
        <v>357</v>
      </c>
      <c r="B1537">
        <v>2013</v>
      </c>
      <c r="C1537" t="str">
        <f>VLOOKUP(A1537,[2]Tabelle1!$A$1:$B$68,2,FALSE)</f>
        <v>Rotenburg (Wümme)</v>
      </c>
      <c r="D1537" t="s">
        <v>3</v>
      </c>
      <c r="E1537" t="s">
        <v>162</v>
      </c>
      <c r="F1537" t="str">
        <f>VLOOKUP(A1537,[1]Kreise!$A$1:$C$53,3,FALSE)</f>
        <v>K03357</v>
      </c>
      <c r="G1537">
        <v>5.7971014492753623</v>
      </c>
    </row>
    <row r="1538" spans="1:7" x14ac:dyDescent="0.25">
      <c r="A1538">
        <v>358</v>
      </c>
      <c r="B1538">
        <v>2013</v>
      </c>
      <c r="C1538" t="str">
        <f>VLOOKUP(A1538,[2]Tabelle1!$A$1:$B$68,2,FALSE)</f>
        <v>Heidekreis</v>
      </c>
      <c r="D1538" t="s">
        <v>3</v>
      </c>
      <c r="E1538" t="s">
        <v>162</v>
      </c>
      <c r="F1538" t="str">
        <f>VLOOKUP(A1538,[1]Kreise!$A$1:$C$53,3,FALSE)</f>
        <v>K03358</v>
      </c>
      <c r="G1538">
        <v>29.333333333333332</v>
      </c>
    </row>
    <row r="1539" spans="1:7" x14ac:dyDescent="0.25">
      <c r="A1539">
        <v>359</v>
      </c>
      <c r="B1539">
        <v>2013</v>
      </c>
      <c r="C1539" t="str">
        <f>VLOOKUP(A1539,[2]Tabelle1!$A$1:$B$68,2,FALSE)</f>
        <v>Stade</v>
      </c>
      <c r="D1539" t="s">
        <v>3</v>
      </c>
      <c r="E1539" t="s">
        <v>162</v>
      </c>
      <c r="F1539" t="str">
        <f>VLOOKUP(A1539,[1]Kreise!$A$1:$C$53,3,FALSE)</f>
        <v>K03359</v>
      </c>
      <c r="G1539">
        <v>10.204081632653061</v>
      </c>
    </row>
    <row r="1540" spans="1:7" x14ac:dyDescent="0.25">
      <c r="A1540">
        <v>360</v>
      </c>
      <c r="B1540">
        <v>2013</v>
      </c>
      <c r="C1540" t="str">
        <f>VLOOKUP(A1540,[2]Tabelle1!$A$1:$B$68,2,FALSE)</f>
        <v>Uelzen</v>
      </c>
      <c r="D1540" t="s">
        <v>3</v>
      </c>
      <c r="E1540" t="s">
        <v>162</v>
      </c>
      <c r="F1540" t="str">
        <f>VLOOKUP(A1540,[1]Kreise!$A$1:$C$53,3,FALSE)</f>
        <v>K03360</v>
      </c>
      <c r="G1540">
        <v>12</v>
      </c>
    </row>
    <row r="1541" spans="1:7" x14ac:dyDescent="0.25">
      <c r="A1541">
        <v>361</v>
      </c>
      <c r="B1541">
        <v>2013</v>
      </c>
      <c r="C1541" t="str">
        <f>VLOOKUP(A1541,[2]Tabelle1!$A$1:$B$68,2,FALSE)</f>
        <v>Verden</v>
      </c>
      <c r="D1541" t="s">
        <v>3</v>
      </c>
      <c r="E1541" t="s">
        <v>162</v>
      </c>
      <c r="F1541" t="str">
        <f>VLOOKUP(A1541,[1]Kreise!$A$1:$C$53,3,FALSE)</f>
        <v>K03361</v>
      </c>
      <c r="G1541">
        <v>6.8376068376068382</v>
      </c>
    </row>
    <row r="1542" spans="1:7" x14ac:dyDescent="0.25">
      <c r="A1542">
        <v>3</v>
      </c>
      <c r="B1542">
        <v>2013</v>
      </c>
      <c r="C1542" t="str">
        <f>VLOOKUP(A1542,[2]Tabelle1!$A$1:$B$68,2,FALSE)</f>
        <v>Statistische Region Lüneburg</v>
      </c>
      <c r="D1542" t="s">
        <v>3</v>
      </c>
      <c r="E1542" t="s">
        <v>162</v>
      </c>
      <c r="F1542" t="str">
        <f>VLOOKUP(A1542,[1]Kreise!$A$1:$C$53,3,FALSE)</f>
        <v>K033</v>
      </c>
      <c r="G1542">
        <v>11.141678129298487</v>
      </c>
    </row>
    <row r="1543" spans="1:7" x14ac:dyDescent="0.25">
      <c r="A1543">
        <v>401</v>
      </c>
      <c r="B1543">
        <v>2013</v>
      </c>
      <c r="C1543" t="str">
        <f>VLOOKUP(A1543,[2]Tabelle1!$A$1:$B$68,2,FALSE)</f>
        <v>Delmenhorst  Stadt</v>
      </c>
      <c r="D1543" t="s">
        <v>3</v>
      </c>
      <c r="E1543" t="s">
        <v>162</v>
      </c>
      <c r="F1543" t="str">
        <f>VLOOKUP(A1543,[1]Kreise!$A$1:$C$53,3,FALSE)</f>
        <v>K03401</v>
      </c>
      <c r="G1543">
        <v>11.594202898550725</v>
      </c>
    </row>
    <row r="1544" spans="1:7" x14ac:dyDescent="0.25">
      <c r="A1544">
        <v>402</v>
      </c>
      <c r="B1544">
        <v>2013</v>
      </c>
      <c r="C1544" t="str">
        <f>VLOOKUP(A1544,[2]Tabelle1!$A$1:$B$68,2,FALSE)</f>
        <v>Emden  Stadt</v>
      </c>
      <c r="D1544" t="s">
        <v>3</v>
      </c>
      <c r="E1544" t="s">
        <v>162</v>
      </c>
      <c r="F1544" t="str">
        <f>VLOOKUP(A1544,[1]Kreise!$A$1:$C$53,3,FALSE)</f>
        <v>K03402</v>
      </c>
      <c r="G1544">
        <v>25</v>
      </c>
    </row>
    <row r="1545" spans="1:7" x14ac:dyDescent="0.25">
      <c r="A1545">
        <v>403</v>
      </c>
      <c r="B1545">
        <v>2013</v>
      </c>
      <c r="C1545" t="str">
        <f>VLOOKUP(A1545,[2]Tabelle1!$A$1:$B$68,2,FALSE)</f>
        <v>Oldenburg(Oldb)  Stadt</v>
      </c>
      <c r="D1545" t="s">
        <v>3</v>
      </c>
      <c r="E1545" t="s">
        <v>162</v>
      </c>
      <c r="F1545" t="str">
        <f>VLOOKUP(A1545,[1]Kreise!$A$1:$C$53,3,FALSE)</f>
        <v>K03403</v>
      </c>
      <c r="G1545">
        <v>17.82178217821782</v>
      </c>
    </row>
    <row r="1546" spans="1:7" x14ac:dyDescent="0.25">
      <c r="A1546">
        <v>404</v>
      </c>
      <c r="B1546">
        <v>2013</v>
      </c>
      <c r="C1546" t="str">
        <f>VLOOKUP(A1546,[2]Tabelle1!$A$1:$B$68,2,FALSE)</f>
        <v>Osnabrück  Stadt</v>
      </c>
      <c r="D1546" t="s">
        <v>3</v>
      </c>
      <c r="E1546" t="s">
        <v>162</v>
      </c>
      <c r="F1546" t="str">
        <f>VLOOKUP(A1546,[1]Kreise!$A$1:$C$53,3,FALSE)</f>
        <v>K03404</v>
      </c>
      <c r="G1546">
        <v>13.740458015267176</v>
      </c>
    </row>
    <row r="1547" spans="1:7" x14ac:dyDescent="0.25">
      <c r="A1547">
        <v>405</v>
      </c>
      <c r="B1547">
        <v>2013</v>
      </c>
      <c r="C1547" t="str">
        <f>VLOOKUP(A1547,[2]Tabelle1!$A$1:$B$68,2,FALSE)</f>
        <v>Wilhelmshaven  Stadt</v>
      </c>
      <c r="D1547" t="s">
        <v>3</v>
      </c>
      <c r="E1547" t="s">
        <v>162</v>
      </c>
      <c r="F1547" t="str">
        <f>VLOOKUP(A1547,[1]Kreise!$A$1:$C$53,3,FALSE)</f>
        <v>K03405</v>
      </c>
      <c r="G1547">
        <v>22.5</v>
      </c>
    </row>
    <row r="1548" spans="1:7" x14ac:dyDescent="0.25">
      <c r="A1548">
        <v>451</v>
      </c>
      <c r="B1548">
        <v>2013</v>
      </c>
      <c r="C1548" t="str">
        <f>VLOOKUP(A1548,[2]Tabelle1!$A$1:$B$68,2,FALSE)</f>
        <v>Ammerland</v>
      </c>
      <c r="D1548" t="s">
        <v>3</v>
      </c>
      <c r="E1548" t="s">
        <v>162</v>
      </c>
      <c r="F1548" t="str">
        <f>VLOOKUP(A1548,[1]Kreise!$A$1:$C$53,3,FALSE)</f>
        <v>K03451</v>
      </c>
      <c r="G1548">
        <v>3.5714285714285712</v>
      </c>
    </row>
    <row r="1549" spans="1:7" x14ac:dyDescent="0.25">
      <c r="A1549">
        <v>452</v>
      </c>
      <c r="B1549">
        <v>2013</v>
      </c>
      <c r="C1549" t="str">
        <f>VLOOKUP(A1549,[2]Tabelle1!$A$1:$B$68,2,FALSE)</f>
        <v>Aurich</v>
      </c>
      <c r="D1549" t="s">
        <v>3</v>
      </c>
      <c r="E1549" t="s">
        <v>162</v>
      </c>
      <c r="F1549" t="str">
        <f>VLOOKUP(A1549,[1]Kreise!$A$1:$C$53,3,FALSE)</f>
        <v>K03452</v>
      </c>
      <c r="G1549">
        <v>29.787234042553191</v>
      </c>
    </row>
    <row r="1550" spans="1:7" x14ac:dyDescent="0.25">
      <c r="A1550">
        <v>453</v>
      </c>
      <c r="B1550">
        <v>2013</v>
      </c>
      <c r="C1550" t="str">
        <f>VLOOKUP(A1550,[2]Tabelle1!$A$1:$B$68,2,FALSE)</f>
        <v>Cloppenburg</v>
      </c>
      <c r="D1550" t="s">
        <v>3</v>
      </c>
      <c r="E1550" t="s">
        <v>162</v>
      </c>
      <c r="F1550" t="str">
        <f>VLOOKUP(A1550,[1]Kreise!$A$1:$C$53,3,FALSE)</f>
        <v>K03453</v>
      </c>
      <c r="G1550">
        <v>15.151515151515152</v>
      </c>
    </row>
    <row r="1551" spans="1:7" x14ac:dyDescent="0.25">
      <c r="A1551">
        <v>454</v>
      </c>
      <c r="B1551">
        <v>2013</v>
      </c>
      <c r="C1551" t="str">
        <f>VLOOKUP(A1551,[2]Tabelle1!$A$1:$B$68,2,FALSE)</f>
        <v>Emsland</v>
      </c>
      <c r="D1551" t="s">
        <v>3</v>
      </c>
      <c r="E1551" t="s">
        <v>162</v>
      </c>
      <c r="F1551" t="str">
        <f>VLOOKUP(A1551,[1]Kreise!$A$1:$C$53,3,FALSE)</f>
        <v>K03454</v>
      </c>
      <c r="G1551">
        <v>22.916666666666664</v>
      </c>
    </row>
    <row r="1552" spans="1:7" x14ac:dyDescent="0.25">
      <c r="A1552">
        <v>455</v>
      </c>
      <c r="B1552">
        <v>2013</v>
      </c>
      <c r="C1552" t="str">
        <f>VLOOKUP(A1552,[2]Tabelle1!$A$1:$B$68,2,FALSE)</f>
        <v>Friesland</v>
      </c>
      <c r="D1552" t="s">
        <v>3</v>
      </c>
      <c r="E1552" t="s">
        <v>162</v>
      </c>
      <c r="F1552" t="str">
        <f>VLOOKUP(A1552,[1]Kreise!$A$1:$C$53,3,FALSE)</f>
        <v>K03455</v>
      </c>
      <c r="G1552">
        <v>12.5</v>
      </c>
    </row>
    <row r="1553" spans="1:7" x14ac:dyDescent="0.25">
      <c r="A1553">
        <v>456</v>
      </c>
      <c r="B1553">
        <v>2013</v>
      </c>
      <c r="C1553" t="str">
        <f>VLOOKUP(A1553,[2]Tabelle1!$A$1:$B$68,2,FALSE)</f>
        <v>Grafschaft Bentheim</v>
      </c>
      <c r="D1553" t="s">
        <v>3</v>
      </c>
      <c r="E1553" t="s">
        <v>162</v>
      </c>
      <c r="F1553" t="str">
        <f>VLOOKUP(A1553,[1]Kreise!$A$1:$C$53,3,FALSE)</f>
        <v>K03456</v>
      </c>
      <c r="G1553">
        <v>27.450980392156865</v>
      </c>
    </row>
    <row r="1554" spans="1:7" x14ac:dyDescent="0.25">
      <c r="A1554">
        <v>457</v>
      </c>
      <c r="B1554">
        <v>2013</v>
      </c>
      <c r="C1554" t="str">
        <f>VLOOKUP(A1554,[2]Tabelle1!$A$1:$B$68,2,FALSE)</f>
        <v>Leer</v>
      </c>
      <c r="D1554" t="s">
        <v>3</v>
      </c>
      <c r="E1554" t="s">
        <v>162</v>
      </c>
      <c r="F1554" t="str">
        <f>VLOOKUP(A1554,[1]Kreise!$A$1:$C$53,3,FALSE)</f>
        <v>K03457</v>
      </c>
      <c r="G1554">
        <v>12.048192771084338</v>
      </c>
    </row>
    <row r="1555" spans="1:7" x14ac:dyDescent="0.25">
      <c r="A1555">
        <v>458</v>
      </c>
      <c r="B1555">
        <v>2013</v>
      </c>
      <c r="C1555" t="str">
        <f>VLOOKUP(A1555,[2]Tabelle1!$A$1:$B$68,2,FALSE)</f>
        <v>Oldenburg</v>
      </c>
      <c r="D1555" t="s">
        <v>3</v>
      </c>
      <c r="E1555" t="s">
        <v>162</v>
      </c>
      <c r="F1555" t="str">
        <f>VLOOKUP(A1555,[1]Kreise!$A$1:$C$53,3,FALSE)</f>
        <v>K03458</v>
      </c>
      <c r="G1555">
        <v>19.444444444444446</v>
      </c>
    </row>
    <row r="1556" spans="1:7" x14ac:dyDescent="0.25">
      <c r="A1556">
        <v>459</v>
      </c>
      <c r="B1556">
        <v>2013</v>
      </c>
      <c r="C1556" t="str">
        <f>VLOOKUP(A1556,[2]Tabelle1!$A$1:$B$68,2,FALSE)</f>
        <v>Osnabrück</v>
      </c>
      <c r="D1556" t="s">
        <v>3</v>
      </c>
      <c r="E1556" t="s">
        <v>162</v>
      </c>
      <c r="F1556" t="str">
        <f>VLOOKUP(A1556,[1]Kreise!$A$1:$C$53,3,FALSE)</f>
        <v>K03459</v>
      </c>
      <c r="G1556">
        <v>23.75</v>
      </c>
    </row>
    <row r="1557" spans="1:7" x14ac:dyDescent="0.25">
      <c r="A1557">
        <v>460</v>
      </c>
      <c r="B1557">
        <v>2013</v>
      </c>
      <c r="C1557" t="str">
        <f>VLOOKUP(A1557,[2]Tabelle1!$A$1:$B$68,2,FALSE)</f>
        <v>Vechta</v>
      </c>
      <c r="D1557" t="s">
        <v>3</v>
      </c>
      <c r="E1557" t="s">
        <v>162</v>
      </c>
      <c r="F1557" t="str">
        <f>VLOOKUP(A1557,[1]Kreise!$A$1:$C$53,3,FALSE)</f>
        <v>K03460</v>
      </c>
      <c r="G1557">
        <v>27.368421052631582</v>
      </c>
    </row>
    <row r="1558" spans="1:7" x14ac:dyDescent="0.25">
      <c r="A1558">
        <v>461</v>
      </c>
      <c r="B1558">
        <v>2013</v>
      </c>
      <c r="C1558" t="str">
        <f>VLOOKUP(A1558,[2]Tabelle1!$A$1:$B$68,2,FALSE)</f>
        <v>Wesermarsch</v>
      </c>
      <c r="D1558" t="s">
        <v>3</v>
      </c>
      <c r="E1558" t="s">
        <v>162</v>
      </c>
      <c r="F1558" t="str">
        <f>VLOOKUP(A1558,[1]Kreise!$A$1:$C$53,3,FALSE)</f>
        <v>K03461</v>
      </c>
      <c r="G1558">
        <v>8.8235294117647065</v>
      </c>
    </row>
    <row r="1559" spans="1:7" x14ac:dyDescent="0.25">
      <c r="A1559">
        <v>462</v>
      </c>
      <c r="B1559">
        <v>2013</v>
      </c>
      <c r="C1559" t="str">
        <f>VLOOKUP(A1559,[2]Tabelle1!$A$1:$B$68,2,FALSE)</f>
        <v>Wittmund</v>
      </c>
      <c r="D1559" t="s">
        <v>3</v>
      </c>
      <c r="E1559" t="s">
        <v>162</v>
      </c>
      <c r="F1559" t="str">
        <f>VLOOKUP(A1559,[1]Kreise!$A$1:$C$53,3,FALSE)</f>
        <v>K03462</v>
      </c>
      <c r="G1559" t="s">
        <v>84</v>
      </c>
    </row>
    <row r="1560" spans="1:7" x14ac:dyDescent="0.25">
      <c r="A1560">
        <v>4</v>
      </c>
      <c r="B1560">
        <v>2013</v>
      </c>
      <c r="C1560" t="str">
        <f>VLOOKUP(A1560,[2]Tabelle1!$A$1:$B$68,2,FALSE)</f>
        <v>Statistische Region Weser-Ems</v>
      </c>
      <c r="D1560" t="s">
        <v>3</v>
      </c>
      <c r="E1560" t="s">
        <v>162</v>
      </c>
      <c r="F1560" t="str">
        <f>VLOOKUP(A1560,[1]Kreise!$A$1:$C$53,3,FALSE)</f>
        <v>K034</v>
      </c>
      <c r="G1560">
        <v>18.459069020866771</v>
      </c>
    </row>
    <row r="1561" spans="1:7" x14ac:dyDescent="0.25">
      <c r="A1561">
        <v>0</v>
      </c>
      <c r="B1561">
        <v>2013</v>
      </c>
      <c r="C1561" t="str">
        <f>VLOOKUP(A1561,[2]Tabelle1!$A$1:$B$68,2,FALSE)</f>
        <v>Niedersachsen</v>
      </c>
      <c r="D1561" t="s">
        <v>3</v>
      </c>
      <c r="E1561" t="s">
        <v>162</v>
      </c>
      <c r="F1561" t="str">
        <f>VLOOKUP(A1561,[1]Kreise!$A$1:$C$53,3,FALSE)</f>
        <v>K030</v>
      </c>
      <c r="G1561">
        <v>13.691983122362869</v>
      </c>
    </row>
    <row r="1562" spans="1:7" x14ac:dyDescent="0.25">
      <c r="A1562">
        <v>101</v>
      </c>
      <c r="B1562">
        <v>2014</v>
      </c>
      <c r="C1562" t="str">
        <f>VLOOKUP(A1562,[2]Tabelle1!$A$1:$B$68,2,FALSE)</f>
        <v>Braunschweig  Stadt</v>
      </c>
      <c r="D1562" t="s">
        <v>2</v>
      </c>
      <c r="E1562" t="s">
        <v>162</v>
      </c>
      <c r="F1562" t="str">
        <f>VLOOKUP(A1562,[1]Kreise!$A$1:$C$53,3,FALSE)</f>
        <v>K03101</v>
      </c>
      <c r="G1562">
        <v>4.885301614273577</v>
      </c>
    </row>
    <row r="1563" spans="1:7" x14ac:dyDescent="0.25">
      <c r="A1563">
        <v>102</v>
      </c>
      <c r="B1563">
        <v>2014</v>
      </c>
      <c r="C1563" t="str">
        <f>VLOOKUP(A1563,[2]Tabelle1!$A$1:$B$68,2,FALSE)</f>
        <v>Salzgitter  Stadt</v>
      </c>
      <c r="D1563" t="s">
        <v>2</v>
      </c>
      <c r="E1563" t="s">
        <v>162</v>
      </c>
      <c r="F1563" t="str">
        <f>VLOOKUP(A1563,[1]Kreise!$A$1:$C$53,3,FALSE)</f>
        <v>K03102</v>
      </c>
      <c r="G1563">
        <v>3.0303030303030303</v>
      </c>
    </row>
    <row r="1564" spans="1:7" x14ac:dyDescent="0.25">
      <c r="A1564">
        <v>103</v>
      </c>
      <c r="B1564">
        <v>2014</v>
      </c>
      <c r="C1564" t="str">
        <f>VLOOKUP(A1564,[2]Tabelle1!$A$1:$B$68,2,FALSE)</f>
        <v>Wolfsburg  Stadt</v>
      </c>
      <c r="D1564" t="s">
        <v>2</v>
      </c>
      <c r="E1564" t="s">
        <v>162</v>
      </c>
      <c r="F1564" t="str">
        <f>VLOOKUP(A1564,[1]Kreise!$A$1:$C$53,3,FALSE)</f>
        <v>K03103</v>
      </c>
      <c r="G1564">
        <v>3.5552193645990924</v>
      </c>
    </row>
    <row r="1565" spans="1:7" x14ac:dyDescent="0.25">
      <c r="A1565">
        <v>151</v>
      </c>
      <c r="B1565">
        <v>2014</v>
      </c>
      <c r="C1565" t="str">
        <f>VLOOKUP(A1565,[2]Tabelle1!$A$1:$B$68,2,FALSE)</f>
        <v>Gifhorn</v>
      </c>
      <c r="D1565" t="s">
        <v>2</v>
      </c>
      <c r="E1565" t="s">
        <v>162</v>
      </c>
      <c r="F1565" t="str">
        <f>VLOOKUP(A1565,[1]Kreise!$A$1:$C$53,3,FALSE)</f>
        <v>K03151</v>
      </c>
      <c r="G1565">
        <v>3.3169533169533167</v>
      </c>
    </row>
    <row r="1566" spans="1:7" x14ac:dyDescent="0.25">
      <c r="A1566">
        <v>153</v>
      </c>
      <c r="B1566">
        <v>2014</v>
      </c>
      <c r="C1566" t="str">
        <f>VLOOKUP(A1566,[2]Tabelle1!$A$1:$B$68,2,FALSE)</f>
        <v>Goslar</v>
      </c>
      <c r="D1566" t="s">
        <v>2</v>
      </c>
      <c r="E1566" t="s">
        <v>162</v>
      </c>
      <c r="F1566" t="str">
        <f>VLOOKUP(A1566,[1]Kreise!$A$1:$C$53,3,FALSE)</f>
        <v>K03153</v>
      </c>
      <c r="G1566">
        <v>7.2555205047318623</v>
      </c>
    </row>
    <row r="1567" spans="1:7" x14ac:dyDescent="0.25">
      <c r="A1567">
        <v>154</v>
      </c>
      <c r="B1567">
        <v>2014</v>
      </c>
      <c r="C1567" t="str">
        <f>VLOOKUP(A1567,[2]Tabelle1!$A$1:$B$68,2,FALSE)</f>
        <v>Helmstedt</v>
      </c>
      <c r="D1567" t="s">
        <v>2</v>
      </c>
      <c r="E1567" t="s">
        <v>162</v>
      </c>
      <c r="F1567" t="str">
        <f>VLOOKUP(A1567,[1]Kreise!$A$1:$C$53,3,FALSE)</f>
        <v>K03154</v>
      </c>
      <c r="G1567">
        <v>4.5614035087719298</v>
      </c>
    </row>
    <row r="1568" spans="1:7" x14ac:dyDescent="0.25">
      <c r="A1568">
        <v>155</v>
      </c>
      <c r="B1568">
        <v>2014</v>
      </c>
      <c r="C1568" t="str">
        <f>VLOOKUP(A1568,[2]Tabelle1!$A$1:$B$68,2,FALSE)</f>
        <v>Northeim</v>
      </c>
      <c r="D1568" t="s">
        <v>2</v>
      </c>
      <c r="E1568" t="s">
        <v>162</v>
      </c>
      <c r="F1568" t="str">
        <f>VLOOKUP(A1568,[1]Kreise!$A$1:$C$53,3,FALSE)</f>
        <v>K03155</v>
      </c>
      <c r="G1568">
        <v>4.5674740484429064</v>
      </c>
    </row>
    <row r="1569" spans="1:7" x14ac:dyDescent="0.25">
      <c r="A1569">
        <v>157</v>
      </c>
      <c r="B1569">
        <v>2014</v>
      </c>
      <c r="C1569" t="str">
        <f>VLOOKUP(A1569,[2]Tabelle1!$A$1:$B$68,2,FALSE)</f>
        <v>Peine</v>
      </c>
      <c r="D1569" t="s">
        <v>2</v>
      </c>
      <c r="E1569" t="s">
        <v>162</v>
      </c>
      <c r="F1569" t="str">
        <f>VLOOKUP(A1569,[1]Kreise!$A$1:$C$53,3,FALSE)</f>
        <v>K03157</v>
      </c>
      <c r="G1569">
        <v>2.958152958152958</v>
      </c>
    </row>
    <row r="1570" spans="1:7" x14ac:dyDescent="0.25">
      <c r="A1570">
        <v>158</v>
      </c>
      <c r="B1570">
        <v>2014</v>
      </c>
      <c r="C1570" t="str">
        <f>VLOOKUP(A1570,[2]Tabelle1!$A$1:$B$68,2,FALSE)</f>
        <v>Wolfenbüttel</v>
      </c>
      <c r="D1570" t="s">
        <v>2</v>
      </c>
      <c r="E1570" t="s">
        <v>162</v>
      </c>
      <c r="F1570" t="str">
        <f>VLOOKUP(A1570,[1]Kreise!$A$1:$C$53,3,FALSE)</f>
        <v>K03158</v>
      </c>
      <c r="G1570">
        <v>3.0115146147032772</v>
      </c>
    </row>
    <row r="1571" spans="1:7" x14ac:dyDescent="0.25">
      <c r="A1571">
        <v>159</v>
      </c>
      <c r="B1571">
        <v>2014</v>
      </c>
      <c r="C1571" t="str">
        <f>VLOOKUP(A1571,[2]Tabelle1!$A$1:$B$68,2,FALSE)</f>
        <v>Göttingen</v>
      </c>
      <c r="D1571" t="s">
        <v>2</v>
      </c>
      <c r="E1571" t="s">
        <v>162</v>
      </c>
      <c r="F1571" t="str">
        <f>VLOOKUP(A1571,[1]Kreise!$A$1:$C$53,3,FALSE)</f>
        <v>K03159</v>
      </c>
      <c r="G1571">
        <v>3.4427542033626897</v>
      </c>
    </row>
    <row r="1572" spans="1:7" x14ac:dyDescent="0.25">
      <c r="A1572">
        <v>1</v>
      </c>
      <c r="B1572">
        <v>2014</v>
      </c>
      <c r="C1572" t="str">
        <f>VLOOKUP(A1572,[2]Tabelle1!$A$1:$B$68,2,FALSE)</f>
        <v>Statistische Region Braunschweig</v>
      </c>
      <c r="D1572" t="s">
        <v>2</v>
      </c>
      <c r="E1572" t="s">
        <v>162</v>
      </c>
      <c r="F1572" t="str">
        <f>VLOOKUP(A1572,[1]Kreise!$A$1:$C$53,3,FALSE)</f>
        <v>K031</v>
      </c>
      <c r="G1572">
        <v>4.1545706728598155</v>
      </c>
    </row>
    <row r="1573" spans="1:7" x14ac:dyDescent="0.25">
      <c r="A1573">
        <v>241</v>
      </c>
      <c r="B1573">
        <v>2014</v>
      </c>
      <c r="C1573" t="str">
        <f>VLOOKUP(A1573,[2]Tabelle1!$A$1:$B$68,2,FALSE)</f>
        <v>Hannover  Region</v>
      </c>
      <c r="D1573" t="s">
        <v>2</v>
      </c>
      <c r="E1573" t="s">
        <v>162</v>
      </c>
      <c r="F1573" t="str">
        <f>VLOOKUP(A1573,[1]Kreise!$A$1:$C$53,3,FALSE)</f>
        <v>K03241</v>
      </c>
      <c r="G1573">
        <v>3.8707741548309658</v>
      </c>
    </row>
    <row r="1574" spans="1:7" x14ac:dyDescent="0.25">
      <c r="A1574">
        <v>241001</v>
      </c>
      <c r="B1574">
        <v>2014</v>
      </c>
      <c r="C1574" t="str">
        <f>VLOOKUP(A1574,[2]Tabelle1!$A$1:$B$68,2,FALSE)</f>
        <v>dav. Hannover  Lhst.</v>
      </c>
      <c r="D1574" t="s">
        <v>2</v>
      </c>
      <c r="E1574" t="s">
        <v>162</v>
      </c>
      <c r="F1574" t="str">
        <f>VLOOKUP(A1574,[1]Kreise!$A$1:$C$53,3,FALSE)</f>
        <v>K03241001</v>
      </c>
      <c r="G1574">
        <v>4.89766081871345</v>
      </c>
    </row>
    <row r="1575" spans="1:7" x14ac:dyDescent="0.25">
      <c r="A1575">
        <v>241999</v>
      </c>
      <c r="B1575">
        <v>2014</v>
      </c>
      <c r="C1575" t="str">
        <f>VLOOKUP(A1575,[2]Tabelle1!$A$1:$B$68,2,FALSE)</f>
        <v>dav. Hannover  Umland</v>
      </c>
      <c r="D1575" t="s">
        <v>2</v>
      </c>
      <c r="E1575" t="s">
        <v>162</v>
      </c>
      <c r="F1575" t="str">
        <f>VLOOKUP(A1575,[1]Kreise!$A$1:$C$53,3,FALSE)</f>
        <v>K03241999</v>
      </c>
      <c r="G1575">
        <v>3.1557516118086189</v>
      </c>
    </row>
    <row r="1576" spans="1:7" x14ac:dyDescent="0.25">
      <c r="A1576">
        <v>251</v>
      </c>
      <c r="B1576">
        <v>2014</v>
      </c>
      <c r="C1576" t="str">
        <f>VLOOKUP(A1576,[2]Tabelle1!$A$1:$B$68,2,FALSE)</f>
        <v>Diepholz</v>
      </c>
      <c r="D1576" t="s">
        <v>2</v>
      </c>
      <c r="E1576" t="s">
        <v>162</v>
      </c>
      <c r="F1576" t="str">
        <f>VLOOKUP(A1576,[1]Kreise!$A$1:$C$53,3,FALSE)</f>
        <v>K03251</v>
      </c>
      <c r="G1576">
        <v>2.3033463711429811</v>
      </c>
    </row>
    <row r="1577" spans="1:7" x14ac:dyDescent="0.25">
      <c r="A1577">
        <v>252</v>
      </c>
      <c r="B1577">
        <v>2014</v>
      </c>
      <c r="C1577" t="str">
        <f>VLOOKUP(A1577,[2]Tabelle1!$A$1:$B$68,2,FALSE)</f>
        <v>Hameln-Pyrmont</v>
      </c>
      <c r="D1577" t="s">
        <v>2</v>
      </c>
      <c r="E1577" t="s">
        <v>162</v>
      </c>
      <c r="F1577" t="str">
        <f>VLOOKUP(A1577,[1]Kreise!$A$1:$C$53,3,FALSE)</f>
        <v>K03252</v>
      </c>
      <c r="G1577">
        <v>5.5437100213219619</v>
      </c>
    </row>
    <row r="1578" spans="1:7" x14ac:dyDescent="0.25">
      <c r="A1578">
        <v>254</v>
      </c>
      <c r="B1578">
        <v>2014</v>
      </c>
      <c r="C1578" t="str">
        <f>VLOOKUP(A1578,[2]Tabelle1!$A$1:$B$68,2,FALSE)</f>
        <v>Hildesheim</v>
      </c>
      <c r="D1578" t="s">
        <v>2</v>
      </c>
      <c r="E1578" t="s">
        <v>162</v>
      </c>
      <c r="F1578" t="str">
        <f>VLOOKUP(A1578,[1]Kreise!$A$1:$C$53,3,FALSE)</f>
        <v>K03254</v>
      </c>
      <c r="G1578">
        <v>5.4684778822709852</v>
      </c>
    </row>
    <row r="1579" spans="1:7" x14ac:dyDescent="0.25">
      <c r="A1579">
        <v>255</v>
      </c>
      <c r="B1579">
        <v>2014</v>
      </c>
      <c r="C1579" t="str">
        <f>VLOOKUP(A1579,[2]Tabelle1!$A$1:$B$68,2,FALSE)</f>
        <v>Holzminden</v>
      </c>
      <c r="D1579" t="s">
        <v>2</v>
      </c>
      <c r="E1579" t="s">
        <v>162</v>
      </c>
      <c r="F1579" t="str">
        <f>VLOOKUP(A1579,[1]Kreise!$A$1:$C$53,3,FALSE)</f>
        <v>K03255</v>
      </c>
      <c r="G1579">
        <v>7.7046548956661312</v>
      </c>
    </row>
    <row r="1580" spans="1:7" x14ac:dyDescent="0.25">
      <c r="A1580">
        <v>256</v>
      </c>
      <c r="B1580">
        <v>2014</v>
      </c>
      <c r="C1580" t="str">
        <f>VLOOKUP(A1580,[2]Tabelle1!$A$1:$B$68,2,FALSE)</f>
        <v>Nienburg (Weser)</v>
      </c>
      <c r="D1580" t="s">
        <v>2</v>
      </c>
      <c r="E1580" t="s">
        <v>162</v>
      </c>
      <c r="F1580" t="str">
        <f>VLOOKUP(A1580,[1]Kreise!$A$1:$C$53,3,FALSE)</f>
        <v>K03256</v>
      </c>
      <c r="G1580">
        <v>7.6860841423948223</v>
      </c>
    </row>
    <row r="1581" spans="1:7" x14ac:dyDescent="0.25">
      <c r="A1581">
        <v>257</v>
      </c>
      <c r="B1581">
        <v>2014</v>
      </c>
      <c r="C1581" t="str">
        <f>VLOOKUP(A1581,[2]Tabelle1!$A$1:$B$68,2,FALSE)</f>
        <v>Schaumburg</v>
      </c>
      <c r="D1581" t="s">
        <v>2</v>
      </c>
      <c r="E1581" t="s">
        <v>162</v>
      </c>
      <c r="F1581" t="str">
        <f>VLOOKUP(A1581,[1]Kreise!$A$1:$C$53,3,FALSE)</f>
        <v>K03257</v>
      </c>
      <c r="G1581">
        <v>2.0129870129870131</v>
      </c>
    </row>
    <row r="1582" spans="1:7" x14ac:dyDescent="0.25">
      <c r="A1582">
        <v>2</v>
      </c>
      <c r="B1582">
        <v>2014</v>
      </c>
      <c r="C1582" t="str">
        <f>VLOOKUP(A1582,[2]Tabelle1!$A$1:$B$68,2,FALSE)</f>
        <v>Statistische Region Hannover</v>
      </c>
      <c r="D1582" t="s">
        <v>2</v>
      </c>
      <c r="E1582" t="s">
        <v>162</v>
      </c>
      <c r="F1582" t="str">
        <f>VLOOKUP(A1582,[1]Kreise!$A$1:$C$53,3,FALSE)</f>
        <v>K032</v>
      </c>
      <c r="G1582">
        <v>4.2501001201441726</v>
      </c>
    </row>
    <row r="1583" spans="1:7" x14ac:dyDescent="0.25">
      <c r="A1583">
        <v>351</v>
      </c>
      <c r="B1583">
        <v>2014</v>
      </c>
      <c r="C1583" t="str">
        <f>VLOOKUP(A1583,[2]Tabelle1!$A$1:$B$68,2,FALSE)</f>
        <v>Celle</v>
      </c>
      <c r="D1583" t="s">
        <v>2</v>
      </c>
      <c r="E1583" t="s">
        <v>162</v>
      </c>
      <c r="F1583" t="str">
        <f>VLOOKUP(A1583,[1]Kreise!$A$1:$C$53,3,FALSE)</f>
        <v>K03351</v>
      </c>
      <c r="G1583">
        <v>4.4238121245221187</v>
      </c>
    </row>
    <row r="1584" spans="1:7" x14ac:dyDescent="0.25">
      <c r="A1584">
        <v>352</v>
      </c>
      <c r="B1584">
        <v>2014</v>
      </c>
      <c r="C1584" t="str">
        <f>VLOOKUP(A1584,[2]Tabelle1!$A$1:$B$68,2,FALSE)</f>
        <v>Cuxhaven</v>
      </c>
      <c r="D1584" t="s">
        <v>2</v>
      </c>
      <c r="E1584" t="s">
        <v>162</v>
      </c>
      <c r="F1584" t="str">
        <f>VLOOKUP(A1584,[1]Kreise!$A$1:$C$53,3,FALSE)</f>
        <v>K03352</v>
      </c>
      <c r="G1584">
        <v>6.3114330056906365</v>
      </c>
    </row>
    <row r="1585" spans="1:7" x14ac:dyDescent="0.25">
      <c r="A1585">
        <v>353</v>
      </c>
      <c r="B1585">
        <v>2014</v>
      </c>
      <c r="C1585" t="str">
        <f>VLOOKUP(A1585,[2]Tabelle1!$A$1:$B$68,2,FALSE)</f>
        <v>Harburg</v>
      </c>
      <c r="D1585" t="s">
        <v>2</v>
      </c>
      <c r="E1585" t="s">
        <v>162</v>
      </c>
      <c r="F1585" t="str">
        <f>VLOOKUP(A1585,[1]Kreise!$A$1:$C$53,3,FALSE)</f>
        <v>K03353</v>
      </c>
      <c r="G1585">
        <v>2.4158415841584158</v>
      </c>
    </row>
    <row r="1586" spans="1:7" x14ac:dyDescent="0.25">
      <c r="A1586">
        <v>354</v>
      </c>
      <c r="B1586">
        <v>2014</v>
      </c>
      <c r="C1586" t="str">
        <f>VLOOKUP(A1586,[2]Tabelle1!$A$1:$B$68,2,FALSE)</f>
        <v>Lüchow-Dannenberg</v>
      </c>
      <c r="D1586" t="s">
        <v>2</v>
      </c>
      <c r="E1586" t="s">
        <v>162</v>
      </c>
      <c r="F1586" t="str">
        <f>VLOOKUP(A1586,[1]Kreise!$A$1:$C$53,3,FALSE)</f>
        <v>K03354</v>
      </c>
      <c r="G1586">
        <v>6.8686868686868685</v>
      </c>
    </row>
    <row r="1587" spans="1:7" x14ac:dyDescent="0.25">
      <c r="A1587">
        <v>355</v>
      </c>
      <c r="B1587">
        <v>2014</v>
      </c>
      <c r="C1587" t="str">
        <f>VLOOKUP(A1587,[2]Tabelle1!$A$1:$B$68,2,FALSE)</f>
        <v>Lüneburg</v>
      </c>
      <c r="D1587" t="s">
        <v>2</v>
      </c>
      <c r="E1587" t="s">
        <v>162</v>
      </c>
      <c r="F1587" t="str">
        <f>VLOOKUP(A1587,[1]Kreise!$A$1:$C$53,3,FALSE)</f>
        <v>K03355</v>
      </c>
      <c r="G1587">
        <v>3.5619351408825093</v>
      </c>
    </row>
    <row r="1588" spans="1:7" x14ac:dyDescent="0.25">
      <c r="A1588">
        <v>356</v>
      </c>
      <c r="B1588">
        <v>2014</v>
      </c>
      <c r="C1588" t="str">
        <f>VLOOKUP(A1588,[2]Tabelle1!$A$1:$B$68,2,FALSE)</f>
        <v>Osterholz</v>
      </c>
      <c r="D1588" t="s">
        <v>2</v>
      </c>
      <c r="E1588" t="s">
        <v>162</v>
      </c>
      <c r="F1588" t="str">
        <f>VLOOKUP(A1588,[1]Kreise!$A$1:$C$53,3,FALSE)</f>
        <v>K03356</v>
      </c>
      <c r="G1588">
        <v>4.5950155763239877</v>
      </c>
    </row>
    <row r="1589" spans="1:7" x14ac:dyDescent="0.25">
      <c r="A1589">
        <v>357</v>
      </c>
      <c r="B1589">
        <v>2014</v>
      </c>
      <c r="C1589" t="str">
        <f>VLOOKUP(A1589,[2]Tabelle1!$A$1:$B$68,2,FALSE)</f>
        <v>Rotenburg (Wümme)</v>
      </c>
      <c r="D1589" t="s">
        <v>2</v>
      </c>
      <c r="E1589" t="s">
        <v>162</v>
      </c>
      <c r="F1589" t="str">
        <f>VLOOKUP(A1589,[1]Kreise!$A$1:$C$53,3,FALSE)</f>
        <v>K03357</v>
      </c>
      <c r="G1589">
        <v>4.7174701918092277</v>
      </c>
    </row>
    <row r="1590" spans="1:7" x14ac:dyDescent="0.25">
      <c r="A1590">
        <v>358</v>
      </c>
      <c r="B1590">
        <v>2014</v>
      </c>
      <c r="C1590" t="str">
        <f>VLOOKUP(A1590,[2]Tabelle1!$A$1:$B$68,2,FALSE)</f>
        <v>Heidekreis</v>
      </c>
      <c r="D1590" t="s">
        <v>2</v>
      </c>
      <c r="E1590" t="s">
        <v>162</v>
      </c>
      <c r="F1590" t="str">
        <f>VLOOKUP(A1590,[1]Kreise!$A$1:$C$53,3,FALSE)</f>
        <v>K03358</v>
      </c>
      <c r="G1590">
        <v>4.8463356973995273</v>
      </c>
    </row>
    <row r="1591" spans="1:7" x14ac:dyDescent="0.25">
      <c r="A1591">
        <v>359</v>
      </c>
      <c r="B1591">
        <v>2014</v>
      </c>
      <c r="C1591" t="str">
        <f>VLOOKUP(A1591,[2]Tabelle1!$A$1:$B$68,2,FALSE)</f>
        <v>Stade</v>
      </c>
      <c r="D1591" t="s">
        <v>2</v>
      </c>
      <c r="E1591" t="s">
        <v>162</v>
      </c>
      <c r="F1591" t="str">
        <f>VLOOKUP(A1591,[1]Kreise!$A$1:$C$53,3,FALSE)</f>
        <v>K03359</v>
      </c>
      <c r="G1591">
        <v>3.3656062701705856</v>
      </c>
    </row>
    <row r="1592" spans="1:7" x14ac:dyDescent="0.25">
      <c r="A1592">
        <v>360</v>
      </c>
      <c r="B1592">
        <v>2014</v>
      </c>
      <c r="C1592" t="str">
        <f>VLOOKUP(A1592,[2]Tabelle1!$A$1:$B$68,2,FALSE)</f>
        <v>Uelzen</v>
      </c>
      <c r="D1592" t="s">
        <v>2</v>
      </c>
      <c r="E1592" t="s">
        <v>162</v>
      </c>
      <c r="F1592" t="str">
        <f>VLOOKUP(A1592,[1]Kreise!$A$1:$C$53,3,FALSE)</f>
        <v>K03360</v>
      </c>
      <c r="G1592">
        <v>3.8210624417520966</v>
      </c>
    </row>
    <row r="1593" spans="1:7" x14ac:dyDescent="0.25">
      <c r="A1593">
        <v>361</v>
      </c>
      <c r="B1593">
        <v>2014</v>
      </c>
      <c r="C1593" t="str">
        <f>VLOOKUP(A1593,[2]Tabelle1!$A$1:$B$68,2,FALSE)</f>
        <v>Verden</v>
      </c>
      <c r="D1593" t="s">
        <v>2</v>
      </c>
      <c r="E1593" t="s">
        <v>162</v>
      </c>
      <c r="F1593" t="str">
        <f>VLOOKUP(A1593,[1]Kreise!$A$1:$C$53,3,FALSE)</f>
        <v>K03361</v>
      </c>
      <c r="G1593">
        <v>2.6722925457102673</v>
      </c>
    </row>
    <row r="1594" spans="1:7" x14ac:dyDescent="0.25">
      <c r="A1594">
        <v>3</v>
      </c>
      <c r="B1594">
        <v>2014</v>
      </c>
      <c r="C1594" t="str">
        <f>VLOOKUP(A1594,[2]Tabelle1!$A$1:$B$68,2,FALSE)</f>
        <v>Statistische Region Lüneburg</v>
      </c>
      <c r="D1594" t="s">
        <v>2</v>
      </c>
      <c r="E1594" t="s">
        <v>162</v>
      </c>
      <c r="F1594" t="str">
        <f>VLOOKUP(A1594,[1]Kreise!$A$1:$C$53,3,FALSE)</f>
        <v>K033</v>
      </c>
      <c r="G1594">
        <v>4.1077108698036637</v>
      </c>
    </row>
    <row r="1595" spans="1:7" x14ac:dyDescent="0.25">
      <c r="A1595">
        <v>401</v>
      </c>
      <c r="B1595">
        <v>2014</v>
      </c>
      <c r="C1595" t="str">
        <f>VLOOKUP(A1595,[2]Tabelle1!$A$1:$B$68,2,FALSE)</f>
        <v>Delmenhorst  Stadt</v>
      </c>
      <c r="D1595" t="s">
        <v>2</v>
      </c>
      <c r="E1595" t="s">
        <v>162</v>
      </c>
      <c r="F1595" t="str">
        <f>VLOOKUP(A1595,[1]Kreise!$A$1:$C$53,3,FALSE)</f>
        <v>K03401</v>
      </c>
      <c r="G1595">
        <v>5.1655629139072845</v>
      </c>
    </row>
    <row r="1596" spans="1:7" x14ac:dyDescent="0.25">
      <c r="A1596">
        <v>402</v>
      </c>
      <c r="B1596">
        <v>2014</v>
      </c>
      <c r="C1596" t="str">
        <f>VLOOKUP(A1596,[2]Tabelle1!$A$1:$B$68,2,FALSE)</f>
        <v>Emden  Stadt</v>
      </c>
      <c r="D1596" t="s">
        <v>2</v>
      </c>
      <c r="E1596" t="s">
        <v>162</v>
      </c>
      <c r="F1596" t="str">
        <f>VLOOKUP(A1596,[1]Kreise!$A$1:$C$53,3,FALSE)</f>
        <v>K03402</v>
      </c>
      <c r="G1596">
        <v>10.256410256410255</v>
      </c>
    </row>
    <row r="1597" spans="1:7" x14ac:dyDescent="0.25">
      <c r="A1597">
        <v>403</v>
      </c>
      <c r="B1597">
        <v>2014</v>
      </c>
      <c r="C1597" t="str">
        <f>VLOOKUP(A1597,[2]Tabelle1!$A$1:$B$68,2,FALSE)</f>
        <v>Oldenburg(Oldb)  Stadt</v>
      </c>
      <c r="D1597" t="s">
        <v>2</v>
      </c>
      <c r="E1597" t="s">
        <v>162</v>
      </c>
      <c r="F1597" t="str">
        <f>VLOOKUP(A1597,[1]Kreise!$A$1:$C$53,3,FALSE)</f>
        <v>K03403</v>
      </c>
      <c r="G1597">
        <v>4.2871900826446288</v>
      </c>
    </row>
    <row r="1598" spans="1:7" x14ac:dyDescent="0.25">
      <c r="A1598">
        <v>404</v>
      </c>
      <c r="B1598">
        <v>2014</v>
      </c>
      <c r="C1598" t="str">
        <f>VLOOKUP(A1598,[2]Tabelle1!$A$1:$B$68,2,FALSE)</f>
        <v>Osnabrück  Stadt</v>
      </c>
      <c r="D1598" t="s">
        <v>2</v>
      </c>
      <c r="E1598" t="s">
        <v>162</v>
      </c>
      <c r="F1598" t="str">
        <f>VLOOKUP(A1598,[1]Kreise!$A$1:$C$53,3,FALSE)</f>
        <v>K03404</v>
      </c>
      <c r="G1598">
        <v>3.6381043561512687</v>
      </c>
    </row>
    <row r="1599" spans="1:7" x14ac:dyDescent="0.25">
      <c r="A1599">
        <v>405</v>
      </c>
      <c r="B1599">
        <v>2014</v>
      </c>
      <c r="C1599" t="str">
        <f>VLOOKUP(A1599,[2]Tabelle1!$A$1:$B$68,2,FALSE)</f>
        <v>Wilhelmshaven  Stadt</v>
      </c>
      <c r="D1599" t="s">
        <v>2</v>
      </c>
      <c r="E1599" t="s">
        <v>162</v>
      </c>
      <c r="F1599" t="str">
        <f>VLOOKUP(A1599,[1]Kreise!$A$1:$C$53,3,FALSE)</f>
        <v>K03405</v>
      </c>
      <c r="G1599">
        <v>3.5326086956521738</v>
      </c>
    </row>
    <row r="1600" spans="1:7" x14ac:dyDescent="0.25">
      <c r="A1600">
        <v>451</v>
      </c>
      <c r="B1600">
        <v>2014</v>
      </c>
      <c r="C1600" t="str">
        <f>VLOOKUP(A1600,[2]Tabelle1!$A$1:$B$68,2,FALSE)</f>
        <v>Ammerland</v>
      </c>
      <c r="D1600" t="s">
        <v>2</v>
      </c>
      <c r="E1600" t="s">
        <v>162</v>
      </c>
      <c r="F1600" t="str">
        <f>VLOOKUP(A1600,[1]Kreise!$A$1:$C$53,3,FALSE)</f>
        <v>K03451</v>
      </c>
      <c r="G1600">
        <v>3.3507073715562177</v>
      </c>
    </row>
    <row r="1601" spans="1:7" x14ac:dyDescent="0.25">
      <c r="A1601">
        <v>452</v>
      </c>
      <c r="B1601">
        <v>2014</v>
      </c>
      <c r="C1601" t="str">
        <f>VLOOKUP(A1601,[2]Tabelle1!$A$1:$B$68,2,FALSE)</f>
        <v>Aurich</v>
      </c>
      <c r="D1601" t="s">
        <v>2</v>
      </c>
      <c r="E1601" t="s">
        <v>162</v>
      </c>
      <c r="F1601" t="str">
        <f>VLOOKUP(A1601,[1]Kreise!$A$1:$C$53,3,FALSE)</f>
        <v>K03452</v>
      </c>
      <c r="G1601">
        <v>8.0812445980985306</v>
      </c>
    </row>
    <row r="1602" spans="1:7" x14ac:dyDescent="0.25">
      <c r="A1602">
        <v>453</v>
      </c>
      <c r="B1602">
        <v>2014</v>
      </c>
      <c r="C1602" t="str">
        <f>VLOOKUP(A1602,[2]Tabelle1!$A$1:$B$68,2,FALSE)</f>
        <v>Cloppenburg</v>
      </c>
      <c r="D1602" t="s">
        <v>2</v>
      </c>
      <c r="E1602" t="s">
        <v>162</v>
      </c>
      <c r="F1602" t="str">
        <f>VLOOKUP(A1602,[1]Kreise!$A$1:$C$53,3,FALSE)</f>
        <v>K03453</v>
      </c>
      <c r="G1602">
        <v>3.7445991358617379</v>
      </c>
    </row>
    <row r="1603" spans="1:7" x14ac:dyDescent="0.25">
      <c r="A1603">
        <v>454</v>
      </c>
      <c r="B1603">
        <v>2014</v>
      </c>
      <c r="C1603" t="str">
        <f>VLOOKUP(A1603,[2]Tabelle1!$A$1:$B$68,2,FALSE)</f>
        <v>Emsland</v>
      </c>
      <c r="D1603" t="s">
        <v>2</v>
      </c>
      <c r="E1603" t="s">
        <v>162</v>
      </c>
      <c r="F1603" t="str">
        <f>VLOOKUP(A1603,[1]Kreise!$A$1:$C$53,3,FALSE)</f>
        <v>K03454</v>
      </c>
      <c r="G1603">
        <v>4.784313725490196</v>
      </c>
    </row>
    <row r="1604" spans="1:7" x14ac:dyDescent="0.25">
      <c r="A1604">
        <v>455</v>
      </c>
      <c r="B1604">
        <v>2014</v>
      </c>
      <c r="C1604" t="str">
        <f>VLOOKUP(A1604,[2]Tabelle1!$A$1:$B$68,2,FALSE)</f>
        <v>Friesland</v>
      </c>
      <c r="D1604" t="s">
        <v>2</v>
      </c>
      <c r="E1604" t="s">
        <v>162</v>
      </c>
      <c r="F1604" t="str">
        <f>VLOOKUP(A1604,[1]Kreise!$A$1:$C$53,3,FALSE)</f>
        <v>K03455</v>
      </c>
      <c r="G1604">
        <v>3.5381750465549344</v>
      </c>
    </row>
    <row r="1605" spans="1:7" x14ac:dyDescent="0.25">
      <c r="A1605">
        <v>456</v>
      </c>
      <c r="B1605">
        <v>2014</v>
      </c>
      <c r="C1605" t="str">
        <f>VLOOKUP(A1605,[2]Tabelle1!$A$1:$B$68,2,FALSE)</f>
        <v>Grafschaft Bentheim</v>
      </c>
      <c r="D1605" t="s">
        <v>2</v>
      </c>
      <c r="E1605" t="s">
        <v>162</v>
      </c>
      <c r="F1605" t="str">
        <f>VLOOKUP(A1605,[1]Kreise!$A$1:$C$53,3,FALSE)</f>
        <v>K03456</v>
      </c>
      <c r="G1605">
        <v>4.539295392953929</v>
      </c>
    </row>
    <row r="1606" spans="1:7" x14ac:dyDescent="0.25">
      <c r="A1606">
        <v>457</v>
      </c>
      <c r="B1606">
        <v>2014</v>
      </c>
      <c r="C1606" t="str">
        <f>VLOOKUP(A1606,[2]Tabelle1!$A$1:$B$68,2,FALSE)</f>
        <v>Leer</v>
      </c>
      <c r="D1606" t="s">
        <v>2</v>
      </c>
      <c r="E1606" t="s">
        <v>162</v>
      </c>
      <c r="F1606" t="str">
        <f>VLOOKUP(A1606,[1]Kreise!$A$1:$C$53,3,FALSE)</f>
        <v>K03457</v>
      </c>
      <c r="G1606">
        <v>6.4935064935064926</v>
      </c>
    </row>
    <row r="1607" spans="1:7" x14ac:dyDescent="0.25">
      <c r="A1607">
        <v>458</v>
      </c>
      <c r="B1607">
        <v>2014</v>
      </c>
      <c r="C1607" t="str">
        <f>VLOOKUP(A1607,[2]Tabelle1!$A$1:$B$68,2,FALSE)</f>
        <v>Oldenburg</v>
      </c>
      <c r="D1607" t="s">
        <v>2</v>
      </c>
      <c r="E1607" t="s">
        <v>162</v>
      </c>
      <c r="F1607" t="str">
        <f>VLOOKUP(A1607,[1]Kreise!$A$1:$C$53,3,FALSE)</f>
        <v>K03458</v>
      </c>
      <c r="G1607">
        <v>4.365400161681487</v>
      </c>
    </row>
    <row r="1608" spans="1:7" x14ac:dyDescent="0.25">
      <c r="A1608">
        <v>459</v>
      </c>
      <c r="B1608">
        <v>2014</v>
      </c>
      <c r="C1608" t="str">
        <f>VLOOKUP(A1608,[2]Tabelle1!$A$1:$B$68,2,FALSE)</f>
        <v>Osnabrück</v>
      </c>
      <c r="D1608" t="s">
        <v>2</v>
      </c>
      <c r="E1608" t="s">
        <v>162</v>
      </c>
      <c r="F1608" t="str">
        <f>VLOOKUP(A1608,[1]Kreise!$A$1:$C$53,3,FALSE)</f>
        <v>K03459</v>
      </c>
      <c r="G1608">
        <v>4.3229315774405954</v>
      </c>
    </row>
    <row r="1609" spans="1:7" x14ac:dyDescent="0.25">
      <c r="A1609">
        <v>460</v>
      </c>
      <c r="B1609">
        <v>2014</v>
      </c>
      <c r="C1609" t="str">
        <f>VLOOKUP(A1609,[2]Tabelle1!$A$1:$B$68,2,FALSE)</f>
        <v>Vechta</v>
      </c>
      <c r="D1609" t="s">
        <v>2</v>
      </c>
      <c r="E1609" t="s">
        <v>162</v>
      </c>
      <c r="F1609" t="str">
        <f>VLOOKUP(A1609,[1]Kreise!$A$1:$C$53,3,FALSE)</f>
        <v>K03460</v>
      </c>
      <c r="G1609">
        <v>4.4273907910271548</v>
      </c>
    </row>
    <row r="1610" spans="1:7" x14ac:dyDescent="0.25">
      <c r="A1610">
        <v>461</v>
      </c>
      <c r="B1610">
        <v>2014</v>
      </c>
      <c r="C1610" t="str">
        <f>VLOOKUP(A1610,[2]Tabelle1!$A$1:$B$68,2,FALSE)</f>
        <v>Wesermarsch</v>
      </c>
      <c r="D1610" t="s">
        <v>2</v>
      </c>
      <c r="E1610" t="s">
        <v>162</v>
      </c>
      <c r="F1610" t="str">
        <f>VLOOKUP(A1610,[1]Kreise!$A$1:$C$53,3,FALSE)</f>
        <v>K03461</v>
      </c>
      <c r="G1610">
        <v>4.213483146067416</v>
      </c>
    </row>
    <row r="1611" spans="1:7" x14ac:dyDescent="0.25">
      <c r="A1611">
        <v>462</v>
      </c>
      <c r="B1611">
        <v>2014</v>
      </c>
      <c r="C1611" t="str">
        <f>VLOOKUP(A1611,[2]Tabelle1!$A$1:$B$68,2,FALSE)</f>
        <v>Wittmund</v>
      </c>
      <c r="D1611" t="s">
        <v>2</v>
      </c>
      <c r="E1611" t="s">
        <v>162</v>
      </c>
      <c r="F1611" t="str">
        <f>VLOOKUP(A1611,[1]Kreise!$A$1:$C$53,3,FALSE)</f>
        <v>K03462</v>
      </c>
      <c r="G1611">
        <v>3.5087719298245612</v>
      </c>
    </row>
    <row r="1612" spans="1:7" x14ac:dyDescent="0.25">
      <c r="A1612">
        <v>4</v>
      </c>
      <c r="B1612">
        <v>2014</v>
      </c>
      <c r="C1612" t="str">
        <f>VLOOKUP(A1612,[2]Tabelle1!$A$1:$B$68,2,FALSE)</f>
        <v>Statistische Region Weser-Ems</v>
      </c>
      <c r="D1612" t="s">
        <v>2</v>
      </c>
      <c r="E1612" t="s">
        <v>162</v>
      </c>
      <c r="F1612" t="str">
        <f>VLOOKUP(A1612,[1]Kreise!$A$1:$C$53,3,FALSE)</f>
        <v>K034</v>
      </c>
      <c r="G1612">
        <v>4.7691707178595504</v>
      </c>
    </row>
    <row r="1613" spans="1:7" x14ac:dyDescent="0.25">
      <c r="A1613">
        <v>0</v>
      </c>
      <c r="B1613">
        <v>2014</v>
      </c>
      <c r="C1613" t="str">
        <f>VLOOKUP(A1613,[2]Tabelle1!$A$1:$B$68,2,FALSE)</f>
        <v>Niedersachsen</v>
      </c>
      <c r="D1613" t="s">
        <v>2</v>
      </c>
      <c r="E1613" t="s">
        <v>162</v>
      </c>
      <c r="F1613" t="str">
        <f>VLOOKUP(A1613,[1]Kreise!$A$1:$C$53,3,FALSE)</f>
        <v>K030</v>
      </c>
      <c r="G1613">
        <v>4.3789381136130512</v>
      </c>
    </row>
    <row r="1614" spans="1:7" x14ac:dyDescent="0.25">
      <c r="A1614">
        <v>101</v>
      </c>
      <c r="B1614">
        <v>2014</v>
      </c>
      <c r="C1614" t="str">
        <f>VLOOKUP(A1614,[2]Tabelle1!$A$1:$B$68,2,FALSE)</f>
        <v>Braunschweig  Stadt</v>
      </c>
      <c r="D1614" t="s">
        <v>3</v>
      </c>
      <c r="E1614" t="s">
        <v>162</v>
      </c>
      <c r="F1614" t="str">
        <f>VLOOKUP(A1614,[1]Kreise!$A$1:$C$53,3,FALSE)</f>
        <v>K03101</v>
      </c>
      <c r="G1614">
        <v>15.723270440251572</v>
      </c>
    </row>
    <row r="1615" spans="1:7" x14ac:dyDescent="0.25">
      <c r="A1615">
        <v>102</v>
      </c>
      <c r="B1615">
        <v>2014</v>
      </c>
      <c r="C1615" t="str">
        <f>VLOOKUP(A1615,[2]Tabelle1!$A$1:$B$68,2,FALSE)</f>
        <v>Salzgitter  Stadt</v>
      </c>
      <c r="D1615" t="s">
        <v>3</v>
      </c>
      <c r="E1615" t="s">
        <v>162</v>
      </c>
      <c r="F1615" t="str">
        <f>VLOOKUP(A1615,[1]Kreise!$A$1:$C$53,3,FALSE)</f>
        <v>K03102</v>
      </c>
      <c r="G1615">
        <v>6.25</v>
      </c>
    </row>
    <row r="1616" spans="1:7" x14ac:dyDescent="0.25">
      <c r="A1616">
        <v>103</v>
      </c>
      <c r="B1616">
        <v>2014</v>
      </c>
      <c r="C1616" t="str">
        <f>VLOOKUP(A1616,[2]Tabelle1!$A$1:$B$68,2,FALSE)</f>
        <v>Wolfsburg  Stadt</v>
      </c>
      <c r="D1616" t="s">
        <v>3</v>
      </c>
      <c r="E1616" t="s">
        <v>162</v>
      </c>
      <c r="F1616" t="str">
        <f>VLOOKUP(A1616,[1]Kreise!$A$1:$C$53,3,FALSE)</f>
        <v>K03103</v>
      </c>
      <c r="G1616">
        <v>5.2910052910052912</v>
      </c>
    </row>
    <row r="1617" spans="1:7" x14ac:dyDescent="0.25">
      <c r="A1617">
        <v>151</v>
      </c>
      <c r="B1617">
        <v>2014</v>
      </c>
      <c r="C1617" t="str">
        <f>VLOOKUP(A1617,[2]Tabelle1!$A$1:$B$68,2,FALSE)</f>
        <v>Gifhorn</v>
      </c>
      <c r="D1617" t="s">
        <v>3</v>
      </c>
      <c r="E1617" t="s">
        <v>162</v>
      </c>
      <c r="F1617" t="str">
        <f>VLOOKUP(A1617,[1]Kreise!$A$1:$C$53,3,FALSE)</f>
        <v>K03151</v>
      </c>
      <c r="G1617">
        <v>6.8965517241379306</v>
      </c>
    </row>
    <row r="1618" spans="1:7" x14ac:dyDescent="0.25">
      <c r="A1618">
        <v>153</v>
      </c>
      <c r="B1618">
        <v>2014</v>
      </c>
      <c r="C1618" t="str">
        <f>VLOOKUP(A1618,[2]Tabelle1!$A$1:$B$68,2,FALSE)</f>
        <v>Goslar</v>
      </c>
      <c r="D1618" t="s">
        <v>3</v>
      </c>
      <c r="E1618" t="s">
        <v>162</v>
      </c>
      <c r="F1618" t="str">
        <f>VLOOKUP(A1618,[1]Kreise!$A$1:$C$53,3,FALSE)</f>
        <v>K03153</v>
      </c>
      <c r="G1618">
        <v>18.30985915492958</v>
      </c>
    </row>
    <row r="1619" spans="1:7" x14ac:dyDescent="0.25">
      <c r="A1619">
        <v>154</v>
      </c>
      <c r="B1619">
        <v>2014</v>
      </c>
      <c r="C1619" t="str">
        <f>VLOOKUP(A1619,[2]Tabelle1!$A$1:$B$68,2,FALSE)</f>
        <v>Helmstedt</v>
      </c>
      <c r="D1619" t="s">
        <v>3</v>
      </c>
      <c r="E1619" t="s">
        <v>162</v>
      </c>
      <c r="F1619" t="str">
        <f>VLOOKUP(A1619,[1]Kreise!$A$1:$C$53,3,FALSE)</f>
        <v>K03154</v>
      </c>
      <c r="G1619">
        <v>13.953488372093023</v>
      </c>
    </row>
    <row r="1620" spans="1:7" x14ac:dyDescent="0.25">
      <c r="A1620">
        <v>155</v>
      </c>
      <c r="B1620">
        <v>2014</v>
      </c>
      <c r="C1620" t="str">
        <f>VLOOKUP(A1620,[2]Tabelle1!$A$1:$B$68,2,FALSE)</f>
        <v>Northeim</v>
      </c>
      <c r="D1620" t="s">
        <v>3</v>
      </c>
      <c r="E1620" t="s">
        <v>162</v>
      </c>
      <c r="F1620" t="str">
        <f>VLOOKUP(A1620,[1]Kreise!$A$1:$C$53,3,FALSE)</f>
        <v>K03155</v>
      </c>
      <c r="G1620">
        <v>32.786885245901637</v>
      </c>
    </row>
    <row r="1621" spans="1:7" x14ac:dyDescent="0.25">
      <c r="A1621">
        <v>157</v>
      </c>
      <c r="B1621">
        <v>2014</v>
      </c>
      <c r="C1621" t="str">
        <f>VLOOKUP(A1621,[2]Tabelle1!$A$1:$B$68,2,FALSE)</f>
        <v>Peine</v>
      </c>
      <c r="D1621" t="s">
        <v>3</v>
      </c>
      <c r="E1621" t="s">
        <v>162</v>
      </c>
      <c r="F1621" t="str">
        <f>VLOOKUP(A1621,[1]Kreise!$A$1:$C$53,3,FALSE)</f>
        <v>K03157</v>
      </c>
      <c r="G1621">
        <v>6.8750000000000009</v>
      </c>
    </row>
    <row r="1622" spans="1:7" x14ac:dyDescent="0.25">
      <c r="A1622">
        <v>158</v>
      </c>
      <c r="B1622">
        <v>2014</v>
      </c>
      <c r="C1622" t="str">
        <f>VLOOKUP(A1622,[2]Tabelle1!$A$1:$B$68,2,FALSE)</f>
        <v>Wolfenbüttel</v>
      </c>
      <c r="D1622" t="s">
        <v>3</v>
      </c>
      <c r="E1622" t="s">
        <v>162</v>
      </c>
      <c r="F1622" t="str">
        <f>VLOOKUP(A1622,[1]Kreise!$A$1:$C$53,3,FALSE)</f>
        <v>K03158</v>
      </c>
      <c r="G1622">
        <v>20.37037037037037</v>
      </c>
    </row>
    <row r="1623" spans="1:7" x14ac:dyDescent="0.25">
      <c r="A1623">
        <v>159</v>
      </c>
      <c r="B1623">
        <v>2014</v>
      </c>
      <c r="C1623" t="str">
        <f>VLOOKUP(A1623,[2]Tabelle1!$A$1:$B$68,2,FALSE)</f>
        <v>Göttingen</v>
      </c>
      <c r="D1623" t="s">
        <v>3</v>
      </c>
      <c r="E1623" t="s">
        <v>162</v>
      </c>
      <c r="F1623" t="str">
        <f>VLOOKUP(A1623,[1]Kreise!$A$1:$C$53,3,FALSE)</f>
        <v>K03159</v>
      </c>
      <c r="G1623">
        <v>14.093959731543624</v>
      </c>
    </row>
    <row r="1624" spans="1:7" x14ac:dyDescent="0.25">
      <c r="A1624">
        <v>1</v>
      </c>
      <c r="B1624">
        <v>2014</v>
      </c>
      <c r="C1624" t="str">
        <f>VLOOKUP(A1624,[2]Tabelle1!$A$1:$B$68,2,FALSE)</f>
        <v>Statistische Region Braunschweig</v>
      </c>
      <c r="D1624" t="s">
        <v>3</v>
      </c>
      <c r="E1624" t="s">
        <v>162</v>
      </c>
      <c r="F1624" t="str">
        <f>VLOOKUP(A1624,[1]Kreise!$A$1:$C$53,3,FALSE)</f>
        <v>K031</v>
      </c>
      <c r="G1624">
        <v>11.155378486055776</v>
      </c>
    </row>
    <row r="1625" spans="1:7" x14ac:dyDescent="0.25">
      <c r="A1625">
        <v>241</v>
      </c>
      <c r="B1625">
        <v>2014</v>
      </c>
      <c r="C1625" t="str">
        <f>VLOOKUP(A1625,[2]Tabelle1!$A$1:$B$68,2,FALSE)</f>
        <v>Hannover  Region</v>
      </c>
      <c r="D1625" t="s">
        <v>3</v>
      </c>
      <c r="E1625" t="s">
        <v>162</v>
      </c>
      <c r="F1625" t="str">
        <f>VLOOKUP(A1625,[1]Kreise!$A$1:$C$53,3,FALSE)</f>
        <v>K03241</v>
      </c>
      <c r="G1625">
        <v>9.8793363499245856</v>
      </c>
    </row>
    <row r="1626" spans="1:7" x14ac:dyDescent="0.25">
      <c r="A1626">
        <v>241001</v>
      </c>
      <c r="B1626">
        <v>2014</v>
      </c>
      <c r="C1626" t="str">
        <f>VLOOKUP(A1626,[2]Tabelle1!$A$1:$B$68,2,FALSE)</f>
        <v>dav. Hannover  Lhst.</v>
      </c>
      <c r="D1626" t="s">
        <v>3</v>
      </c>
      <c r="E1626" t="s">
        <v>162</v>
      </c>
      <c r="F1626" t="str">
        <f>VLOOKUP(A1626,[1]Kreise!$A$1:$C$53,3,FALSE)</f>
        <v>K03241001</v>
      </c>
      <c r="G1626">
        <v>9.3081761006289305</v>
      </c>
    </row>
    <row r="1627" spans="1:7" x14ac:dyDescent="0.25">
      <c r="A1627">
        <v>241999</v>
      </c>
      <c r="B1627">
        <v>2014</v>
      </c>
      <c r="C1627" t="str">
        <f>VLOOKUP(A1627,[2]Tabelle1!$A$1:$B$68,2,FALSE)</f>
        <v>dav. Hannover  Umland</v>
      </c>
      <c r="D1627" t="s">
        <v>3</v>
      </c>
      <c r="E1627" t="s">
        <v>162</v>
      </c>
      <c r="F1627" t="str">
        <f>VLOOKUP(A1627,[1]Kreise!$A$1:$C$53,3,FALSE)</f>
        <v>K03241999</v>
      </c>
      <c r="G1627">
        <v>10.734463276836157</v>
      </c>
    </row>
    <row r="1628" spans="1:7" x14ac:dyDescent="0.25">
      <c r="A1628">
        <v>251</v>
      </c>
      <c r="B1628">
        <v>2014</v>
      </c>
      <c r="C1628" t="str">
        <f>VLOOKUP(A1628,[2]Tabelle1!$A$1:$B$68,2,FALSE)</f>
        <v>Diepholz</v>
      </c>
      <c r="D1628" t="s">
        <v>3</v>
      </c>
      <c r="E1628" t="s">
        <v>162</v>
      </c>
      <c r="F1628" t="str">
        <f>VLOOKUP(A1628,[1]Kreise!$A$1:$C$53,3,FALSE)</f>
        <v>K03251</v>
      </c>
      <c r="G1628">
        <v>6.25</v>
      </c>
    </row>
    <row r="1629" spans="1:7" x14ac:dyDescent="0.25">
      <c r="A1629">
        <v>252</v>
      </c>
      <c r="B1629">
        <v>2014</v>
      </c>
      <c r="C1629" t="str">
        <f>VLOOKUP(A1629,[2]Tabelle1!$A$1:$B$68,2,FALSE)</f>
        <v>Hameln-Pyrmont</v>
      </c>
      <c r="D1629" t="s">
        <v>3</v>
      </c>
      <c r="E1629" t="s">
        <v>162</v>
      </c>
      <c r="F1629" t="str">
        <f>VLOOKUP(A1629,[1]Kreise!$A$1:$C$53,3,FALSE)</f>
        <v>K03252</v>
      </c>
      <c r="G1629">
        <v>8</v>
      </c>
    </row>
    <row r="1630" spans="1:7" x14ac:dyDescent="0.25">
      <c r="A1630">
        <v>254</v>
      </c>
      <c r="B1630">
        <v>2014</v>
      </c>
      <c r="C1630" t="str">
        <f>VLOOKUP(A1630,[2]Tabelle1!$A$1:$B$68,2,FALSE)</f>
        <v>Hildesheim</v>
      </c>
      <c r="D1630" t="s">
        <v>3</v>
      </c>
      <c r="E1630" t="s">
        <v>162</v>
      </c>
      <c r="F1630" t="str">
        <f>VLOOKUP(A1630,[1]Kreise!$A$1:$C$53,3,FALSE)</f>
        <v>K03254</v>
      </c>
      <c r="G1630">
        <v>14.285714285714285</v>
      </c>
    </row>
    <row r="1631" spans="1:7" x14ac:dyDescent="0.25">
      <c r="A1631">
        <v>255</v>
      </c>
      <c r="B1631">
        <v>2014</v>
      </c>
      <c r="C1631" t="str">
        <f>VLOOKUP(A1631,[2]Tabelle1!$A$1:$B$68,2,FALSE)</f>
        <v>Holzminden</v>
      </c>
      <c r="D1631" t="s">
        <v>3</v>
      </c>
      <c r="E1631" t="s">
        <v>162</v>
      </c>
      <c r="F1631" t="str">
        <f>VLOOKUP(A1631,[1]Kreise!$A$1:$C$53,3,FALSE)</f>
        <v>K03255</v>
      </c>
      <c r="G1631">
        <v>7.8947368421052628</v>
      </c>
    </row>
    <row r="1632" spans="1:7" x14ac:dyDescent="0.25">
      <c r="A1632">
        <v>256</v>
      </c>
      <c r="B1632">
        <v>2014</v>
      </c>
      <c r="C1632" t="str">
        <f>VLOOKUP(A1632,[2]Tabelle1!$A$1:$B$68,2,FALSE)</f>
        <v>Nienburg (Weser)</v>
      </c>
      <c r="D1632" t="s">
        <v>3</v>
      </c>
      <c r="E1632" t="s">
        <v>162</v>
      </c>
      <c r="F1632" t="str">
        <f>VLOOKUP(A1632,[1]Kreise!$A$1:$C$53,3,FALSE)</f>
        <v>K03256</v>
      </c>
      <c r="G1632">
        <v>30</v>
      </c>
    </row>
    <row r="1633" spans="1:7" x14ac:dyDescent="0.25">
      <c r="A1633">
        <v>257</v>
      </c>
      <c r="B1633">
        <v>2014</v>
      </c>
      <c r="C1633" t="str">
        <f>VLOOKUP(A1633,[2]Tabelle1!$A$1:$B$68,2,FALSE)</f>
        <v>Schaumburg</v>
      </c>
      <c r="D1633" t="s">
        <v>3</v>
      </c>
      <c r="E1633" t="s">
        <v>162</v>
      </c>
      <c r="F1633" t="str">
        <f>VLOOKUP(A1633,[1]Kreise!$A$1:$C$53,3,FALSE)</f>
        <v>K03257</v>
      </c>
      <c r="G1633">
        <v>1.1494252873563218</v>
      </c>
    </row>
    <row r="1634" spans="1:7" x14ac:dyDescent="0.25">
      <c r="A1634">
        <v>2</v>
      </c>
      <c r="B1634">
        <v>2014</v>
      </c>
      <c r="C1634" t="str">
        <f>VLOOKUP(A1634,[2]Tabelle1!$A$1:$B$68,2,FALSE)</f>
        <v>Statistische Region Hannover</v>
      </c>
      <c r="D1634" t="s">
        <v>3</v>
      </c>
      <c r="E1634" t="s">
        <v>162</v>
      </c>
      <c r="F1634" t="str">
        <f>VLOOKUP(A1634,[1]Kreise!$A$1:$C$53,3,FALSE)</f>
        <v>K032</v>
      </c>
      <c r="G1634">
        <v>10.249872514023457</v>
      </c>
    </row>
    <row r="1635" spans="1:7" x14ac:dyDescent="0.25">
      <c r="A1635">
        <v>351</v>
      </c>
      <c r="B1635">
        <v>2014</v>
      </c>
      <c r="C1635" t="str">
        <f>VLOOKUP(A1635,[2]Tabelle1!$A$1:$B$68,2,FALSE)</f>
        <v>Celle</v>
      </c>
      <c r="D1635" t="s">
        <v>3</v>
      </c>
      <c r="E1635" t="s">
        <v>162</v>
      </c>
      <c r="F1635" t="str">
        <f>VLOOKUP(A1635,[1]Kreise!$A$1:$C$53,3,FALSE)</f>
        <v>K03351</v>
      </c>
      <c r="G1635">
        <v>16.417910447761194</v>
      </c>
    </row>
    <row r="1636" spans="1:7" x14ac:dyDescent="0.25">
      <c r="A1636">
        <v>352</v>
      </c>
      <c r="B1636">
        <v>2014</v>
      </c>
      <c r="C1636" t="str">
        <f>VLOOKUP(A1636,[2]Tabelle1!$A$1:$B$68,2,FALSE)</f>
        <v>Cuxhaven</v>
      </c>
      <c r="D1636" t="s">
        <v>3</v>
      </c>
      <c r="E1636" t="s">
        <v>162</v>
      </c>
      <c r="F1636" t="str">
        <f>VLOOKUP(A1636,[1]Kreise!$A$1:$C$53,3,FALSE)</f>
        <v>K03352</v>
      </c>
      <c r="G1636">
        <v>17.582417582417584</v>
      </c>
    </row>
    <row r="1637" spans="1:7" x14ac:dyDescent="0.25">
      <c r="A1637">
        <v>353</v>
      </c>
      <c r="B1637">
        <v>2014</v>
      </c>
      <c r="C1637" t="str">
        <f>VLOOKUP(A1637,[2]Tabelle1!$A$1:$B$68,2,FALSE)</f>
        <v>Harburg</v>
      </c>
      <c r="D1637" t="s">
        <v>3</v>
      </c>
      <c r="E1637" t="s">
        <v>162</v>
      </c>
      <c r="F1637" t="str">
        <f>VLOOKUP(A1637,[1]Kreise!$A$1:$C$53,3,FALSE)</f>
        <v>K03353</v>
      </c>
      <c r="G1637">
        <v>11.111111111111111</v>
      </c>
    </row>
    <row r="1638" spans="1:7" x14ac:dyDescent="0.25">
      <c r="A1638">
        <v>354</v>
      </c>
      <c r="B1638">
        <v>2014</v>
      </c>
      <c r="C1638" t="str">
        <f>VLOOKUP(A1638,[2]Tabelle1!$A$1:$B$68,2,FALSE)</f>
        <v>Lüchow-Dannenberg</v>
      </c>
      <c r="D1638" t="s">
        <v>3</v>
      </c>
      <c r="E1638" t="s">
        <v>162</v>
      </c>
      <c r="F1638" t="str">
        <f>VLOOKUP(A1638,[1]Kreise!$A$1:$C$53,3,FALSE)</f>
        <v>K03354</v>
      </c>
      <c r="G1638">
        <v>40</v>
      </c>
    </row>
    <row r="1639" spans="1:7" x14ac:dyDescent="0.25">
      <c r="A1639">
        <v>355</v>
      </c>
      <c r="B1639">
        <v>2014</v>
      </c>
      <c r="C1639" t="str">
        <f>VLOOKUP(A1639,[2]Tabelle1!$A$1:$B$68,2,FALSE)</f>
        <v>Lüneburg</v>
      </c>
      <c r="D1639" t="s">
        <v>3</v>
      </c>
      <c r="E1639" t="s">
        <v>162</v>
      </c>
      <c r="F1639" t="str">
        <f>VLOOKUP(A1639,[1]Kreise!$A$1:$C$53,3,FALSE)</f>
        <v>K03355</v>
      </c>
      <c r="G1639">
        <v>7.9365079365079358</v>
      </c>
    </row>
    <row r="1640" spans="1:7" x14ac:dyDescent="0.25">
      <c r="A1640">
        <v>356</v>
      </c>
      <c r="B1640">
        <v>2014</v>
      </c>
      <c r="C1640" t="str">
        <f>VLOOKUP(A1640,[2]Tabelle1!$A$1:$B$68,2,FALSE)</f>
        <v>Osterholz</v>
      </c>
      <c r="D1640" t="s">
        <v>3</v>
      </c>
      <c r="E1640" t="s">
        <v>162</v>
      </c>
      <c r="F1640" t="str">
        <f>VLOOKUP(A1640,[1]Kreise!$A$1:$C$53,3,FALSE)</f>
        <v>K03356</v>
      </c>
      <c r="G1640">
        <v>16.666666666666664</v>
      </c>
    </row>
    <row r="1641" spans="1:7" x14ac:dyDescent="0.25">
      <c r="A1641">
        <v>357</v>
      </c>
      <c r="B1641">
        <v>2014</v>
      </c>
      <c r="C1641" t="str">
        <f>VLOOKUP(A1641,[2]Tabelle1!$A$1:$B$68,2,FALSE)</f>
        <v>Rotenburg (Wümme)</v>
      </c>
      <c r="D1641" t="s">
        <v>3</v>
      </c>
      <c r="E1641" t="s">
        <v>162</v>
      </c>
      <c r="F1641" t="str">
        <f>VLOOKUP(A1641,[1]Kreise!$A$1:$C$53,3,FALSE)</f>
        <v>K03357</v>
      </c>
      <c r="G1641">
        <v>7.0588235294117645</v>
      </c>
    </row>
    <row r="1642" spans="1:7" x14ac:dyDescent="0.25">
      <c r="A1642">
        <v>358</v>
      </c>
      <c r="B1642">
        <v>2014</v>
      </c>
      <c r="C1642" t="str">
        <f>VLOOKUP(A1642,[2]Tabelle1!$A$1:$B$68,2,FALSE)</f>
        <v>Heidekreis</v>
      </c>
      <c r="D1642" t="s">
        <v>3</v>
      </c>
      <c r="E1642" t="s">
        <v>162</v>
      </c>
      <c r="F1642" t="str">
        <f>VLOOKUP(A1642,[1]Kreise!$A$1:$C$53,3,FALSE)</f>
        <v>K03358</v>
      </c>
      <c r="G1642">
        <v>17.391304347826086</v>
      </c>
    </row>
    <row r="1643" spans="1:7" x14ac:dyDescent="0.25">
      <c r="A1643">
        <v>359</v>
      </c>
      <c r="B1643">
        <v>2014</v>
      </c>
      <c r="C1643" t="str">
        <f>VLOOKUP(A1643,[2]Tabelle1!$A$1:$B$68,2,FALSE)</f>
        <v>Stade</v>
      </c>
      <c r="D1643" t="s">
        <v>3</v>
      </c>
      <c r="E1643" t="s">
        <v>162</v>
      </c>
      <c r="F1643" t="str">
        <f>VLOOKUP(A1643,[1]Kreise!$A$1:$C$53,3,FALSE)</f>
        <v>K03359</v>
      </c>
      <c r="G1643">
        <v>13.461538461538462</v>
      </c>
    </row>
    <row r="1644" spans="1:7" x14ac:dyDescent="0.25">
      <c r="A1644">
        <v>360</v>
      </c>
      <c r="B1644">
        <v>2014</v>
      </c>
      <c r="C1644" t="str">
        <f>VLOOKUP(A1644,[2]Tabelle1!$A$1:$B$68,2,FALSE)</f>
        <v>Uelzen</v>
      </c>
      <c r="D1644" t="s">
        <v>3</v>
      </c>
      <c r="E1644" t="s">
        <v>162</v>
      </c>
      <c r="F1644" t="str">
        <f>VLOOKUP(A1644,[1]Kreise!$A$1:$C$53,3,FALSE)</f>
        <v>K03360</v>
      </c>
      <c r="G1644">
        <v>15</v>
      </c>
    </row>
    <row r="1645" spans="1:7" x14ac:dyDescent="0.25">
      <c r="A1645">
        <v>361</v>
      </c>
      <c r="B1645">
        <v>2014</v>
      </c>
      <c r="C1645" t="str">
        <f>VLOOKUP(A1645,[2]Tabelle1!$A$1:$B$68,2,FALSE)</f>
        <v>Verden</v>
      </c>
      <c r="D1645" t="s">
        <v>3</v>
      </c>
      <c r="E1645" t="s">
        <v>162</v>
      </c>
      <c r="F1645" t="str">
        <f>VLOOKUP(A1645,[1]Kreise!$A$1:$C$53,3,FALSE)</f>
        <v>K03361</v>
      </c>
      <c r="G1645">
        <v>12.8</v>
      </c>
    </row>
    <row r="1646" spans="1:7" x14ac:dyDescent="0.25">
      <c r="A1646">
        <v>3</v>
      </c>
      <c r="B1646">
        <v>2014</v>
      </c>
      <c r="C1646" t="str">
        <f>VLOOKUP(A1646,[2]Tabelle1!$A$1:$B$68,2,FALSE)</f>
        <v>Statistische Region Lüneburg</v>
      </c>
      <c r="D1646" t="s">
        <v>3</v>
      </c>
      <c r="E1646" t="s">
        <v>162</v>
      </c>
      <c r="F1646" t="str">
        <f>VLOOKUP(A1646,[1]Kreise!$A$1:$C$53,3,FALSE)</f>
        <v>K033</v>
      </c>
      <c r="G1646">
        <v>13.717948717948719</v>
      </c>
    </row>
    <row r="1647" spans="1:7" x14ac:dyDescent="0.25">
      <c r="A1647">
        <v>401</v>
      </c>
      <c r="B1647">
        <v>2014</v>
      </c>
      <c r="C1647" t="str">
        <f>VLOOKUP(A1647,[2]Tabelle1!$A$1:$B$68,2,FALSE)</f>
        <v>Delmenhorst  Stadt</v>
      </c>
      <c r="D1647" t="s">
        <v>3</v>
      </c>
      <c r="E1647" t="s">
        <v>162</v>
      </c>
      <c r="F1647" t="str">
        <f>VLOOKUP(A1647,[1]Kreise!$A$1:$C$53,3,FALSE)</f>
        <v>K03401</v>
      </c>
      <c r="G1647">
        <v>17.80821917808219</v>
      </c>
    </row>
    <row r="1648" spans="1:7" x14ac:dyDescent="0.25">
      <c r="A1648">
        <v>402</v>
      </c>
      <c r="B1648">
        <v>2014</v>
      </c>
      <c r="C1648" t="str">
        <f>VLOOKUP(A1648,[2]Tabelle1!$A$1:$B$68,2,FALSE)</f>
        <v>Emden  Stadt</v>
      </c>
      <c r="D1648" t="s">
        <v>3</v>
      </c>
      <c r="E1648" t="s">
        <v>162</v>
      </c>
      <c r="F1648" t="str">
        <f>VLOOKUP(A1648,[1]Kreise!$A$1:$C$53,3,FALSE)</f>
        <v>K03402</v>
      </c>
      <c r="G1648">
        <v>28.571428571428569</v>
      </c>
    </row>
    <row r="1649" spans="1:7" x14ac:dyDescent="0.25">
      <c r="A1649">
        <v>403</v>
      </c>
      <c r="B1649">
        <v>2014</v>
      </c>
      <c r="C1649" t="str">
        <f>VLOOKUP(A1649,[2]Tabelle1!$A$1:$B$68,2,FALSE)</f>
        <v>Oldenburg(Oldb)  Stadt</v>
      </c>
      <c r="D1649" t="s">
        <v>3</v>
      </c>
      <c r="E1649" t="s">
        <v>162</v>
      </c>
      <c r="F1649" t="str">
        <f>VLOOKUP(A1649,[1]Kreise!$A$1:$C$53,3,FALSE)</f>
        <v>K03403</v>
      </c>
      <c r="G1649">
        <v>9.375</v>
      </c>
    </row>
    <row r="1650" spans="1:7" x14ac:dyDescent="0.25">
      <c r="A1650">
        <v>404</v>
      </c>
      <c r="B1650">
        <v>2014</v>
      </c>
      <c r="C1650" t="str">
        <f>VLOOKUP(A1650,[2]Tabelle1!$A$1:$B$68,2,FALSE)</f>
        <v>Osnabrück  Stadt</v>
      </c>
      <c r="D1650" t="s">
        <v>3</v>
      </c>
      <c r="E1650" t="s">
        <v>162</v>
      </c>
      <c r="F1650" t="str">
        <f>VLOOKUP(A1650,[1]Kreise!$A$1:$C$53,3,FALSE)</f>
        <v>K03404</v>
      </c>
      <c r="G1650">
        <v>10.734463276836157</v>
      </c>
    </row>
    <row r="1651" spans="1:7" x14ac:dyDescent="0.25">
      <c r="A1651">
        <v>405</v>
      </c>
      <c r="B1651">
        <v>2014</v>
      </c>
      <c r="C1651" t="str">
        <f>VLOOKUP(A1651,[2]Tabelle1!$A$1:$B$68,2,FALSE)</f>
        <v>Wilhelmshaven  Stadt</v>
      </c>
      <c r="D1651" t="s">
        <v>3</v>
      </c>
      <c r="E1651" t="s">
        <v>162</v>
      </c>
      <c r="F1651" t="str">
        <f>VLOOKUP(A1651,[1]Kreise!$A$1:$C$53,3,FALSE)</f>
        <v>K03405</v>
      </c>
      <c r="G1651">
        <v>17.241379310344829</v>
      </c>
    </row>
    <row r="1652" spans="1:7" x14ac:dyDescent="0.25">
      <c r="A1652">
        <v>451</v>
      </c>
      <c r="B1652">
        <v>2014</v>
      </c>
      <c r="C1652" t="str">
        <f>VLOOKUP(A1652,[2]Tabelle1!$A$1:$B$68,2,FALSE)</f>
        <v>Ammerland</v>
      </c>
      <c r="D1652" t="s">
        <v>3</v>
      </c>
      <c r="E1652" t="s">
        <v>162</v>
      </c>
      <c r="F1652" t="str">
        <f>VLOOKUP(A1652,[1]Kreise!$A$1:$C$53,3,FALSE)</f>
        <v>K03451</v>
      </c>
      <c r="G1652">
        <v>5.3571428571428568</v>
      </c>
    </row>
    <row r="1653" spans="1:7" x14ac:dyDescent="0.25">
      <c r="A1653">
        <v>452</v>
      </c>
      <c r="B1653">
        <v>2014</v>
      </c>
      <c r="C1653" t="str">
        <f>VLOOKUP(A1653,[2]Tabelle1!$A$1:$B$68,2,FALSE)</f>
        <v>Aurich</v>
      </c>
      <c r="D1653" t="s">
        <v>3</v>
      </c>
      <c r="E1653" t="s">
        <v>162</v>
      </c>
      <c r="F1653" t="str">
        <f>VLOOKUP(A1653,[1]Kreise!$A$1:$C$53,3,FALSE)</f>
        <v>K03452</v>
      </c>
      <c r="G1653">
        <v>20.833333333333336</v>
      </c>
    </row>
    <row r="1654" spans="1:7" x14ac:dyDescent="0.25">
      <c r="A1654">
        <v>453</v>
      </c>
      <c r="B1654">
        <v>2014</v>
      </c>
      <c r="C1654" t="str">
        <f>VLOOKUP(A1654,[2]Tabelle1!$A$1:$B$68,2,FALSE)</f>
        <v>Cloppenburg</v>
      </c>
      <c r="D1654" t="s">
        <v>3</v>
      </c>
      <c r="E1654" t="s">
        <v>162</v>
      </c>
      <c r="F1654" t="str">
        <f>VLOOKUP(A1654,[1]Kreise!$A$1:$C$53,3,FALSE)</f>
        <v>K03453</v>
      </c>
      <c r="G1654">
        <v>17.391304347826086</v>
      </c>
    </row>
    <row r="1655" spans="1:7" x14ac:dyDescent="0.25">
      <c r="A1655">
        <v>454</v>
      </c>
      <c r="B1655">
        <v>2014</v>
      </c>
      <c r="C1655" t="str">
        <f>VLOOKUP(A1655,[2]Tabelle1!$A$1:$B$68,2,FALSE)</f>
        <v>Emsland</v>
      </c>
      <c r="D1655" t="s">
        <v>3</v>
      </c>
      <c r="E1655" t="s">
        <v>162</v>
      </c>
      <c r="F1655" t="str">
        <f>VLOOKUP(A1655,[1]Kreise!$A$1:$C$53,3,FALSE)</f>
        <v>K03454</v>
      </c>
      <c r="G1655">
        <v>20.325203252032519</v>
      </c>
    </row>
    <row r="1656" spans="1:7" x14ac:dyDescent="0.25">
      <c r="A1656">
        <v>455</v>
      </c>
      <c r="B1656">
        <v>2014</v>
      </c>
      <c r="C1656" t="str">
        <f>VLOOKUP(A1656,[2]Tabelle1!$A$1:$B$68,2,FALSE)</f>
        <v>Friesland</v>
      </c>
      <c r="D1656" t="s">
        <v>3</v>
      </c>
      <c r="E1656" t="s">
        <v>162</v>
      </c>
      <c r="F1656" t="str">
        <f>VLOOKUP(A1656,[1]Kreise!$A$1:$C$53,3,FALSE)</f>
        <v>K03455</v>
      </c>
      <c r="G1656">
        <v>2.3809523809523809</v>
      </c>
    </row>
    <row r="1657" spans="1:7" x14ac:dyDescent="0.25">
      <c r="A1657">
        <v>456</v>
      </c>
      <c r="B1657">
        <v>2014</v>
      </c>
      <c r="C1657" t="str">
        <f>VLOOKUP(A1657,[2]Tabelle1!$A$1:$B$68,2,FALSE)</f>
        <v>Grafschaft Bentheim</v>
      </c>
      <c r="D1657" t="s">
        <v>3</v>
      </c>
      <c r="E1657" t="s">
        <v>162</v>
      </c>
      <c r="F1657" t="str">
        <f>VLOOKUP(A1657,[1]Kreise!$A$1:$C$53,3,FALSE)</f>
        <v>K03456</v>
      </c>
      <c r="G1657">
        <v>20.183486238532112</v>
      </c>
    </row>
    <row r="1658" spans="1:7" x14ac:dyDescent="0.25">
      <c r="A1658">
        <v>457</v>
      </c>
      <c r="B1658">
        <v>2014</v>
      </c>
      <c r="C1658" t="str">
        <f>VLOOKUP(A1658,[2]Tabelle1!$A$1:$B$68,2,FALSE)</f>
        <v>Leer</v>
      </c>
      <c r="D1658" t="s">
        <v>3</v>
      </c>
      <c r="E1658" t="s">
        <v>162</v>
      </c>
      <c r="F1658" t="str">
        <f>VLOOKUP(A1658,[1]Kreise!$A$1:$C$53,3,FALSE)</f>
        <v>K03457</v>
      </c>
      <c r="G1658">
        <v>15.584415584415584</v>
      </c>
    </row>
    <row r="1659" spans="1:7" x14ac:dyDescent="0.25">
      <c r="A1659">
        <v>458</v>
      </c>
      <c r="B1659">
        <v>2014</v>
      </c>
      <c r="C1659" t="str">
        <f>VLOOKUP(A1659,[2]Tabelle1!$A$1:$B$68,2,FALSE)</f>
        <v>Oldenburg</v>
      </c>
      <c r="D1659" t="s">
        <v>3</v>
      </c>
      <c r="E1659" t="s">
        <v>162</v>
      </c>
      <c r="F1659" t="str">
        <f>VLOOKUP(A1659,[1]Kreise!$A$1:$C$53,3,FALSE)</f>
        <v>K03458</v>
      </c>
      <c r="G1659">
        <v>10</v>
      </c>
    </row>
    <row r="1660" spans="1:7" x14ac:dyDescent="0.25">
      <c r="A1660">
        <v>459</v>
      </c>
      <c r="B1660">
        <v>2014</v>
      </c>
      <c r="C1660" t="str">
        <f>VLOOKUP(A1660,[2]Tabelle1!$A$1:$B$68,2,FALSE)</f>
        <v>Osnabrück</v>
      </c>
      <c r="D1660" t="s">
        <v>3</v>
      </c>
      <c r="E1660" t="s">
        <v>162</v>
      </c>
      <c r="F1660" t="str">
        <f>VLOOKUP(A1660,[1]Kreise!$A$1:$C$53,3,FALSE)</f>
        <v>K03459</v>
      </c>
      <c r="G1660">
        <v>16.86046511627907</v>
      </c>
    </row>
    <row r="1661" spans="1:7" x14ac:dyDescent="0.25">
      <c r="A1661">
        <v>460</v>
      </c>
      <c r="B1661">
        <v>2014</v>
      </c>
      <c r="C1661" t="str">
        <f>VLOOKUP(A1661,[2]Tabelle1!$A$1:$B$68,2,FALSE)</f>
        <v>Vechta</v>
      </c>
      <c r="D1661" t="s">
        <v>3</v>
      </c>
      <c r="E1661" t="s">
        <v>162</v>
      </c>
      <c r="F1661" t="str">
        <f>VLOOKUP(A1661,[1]Kreise!$A$1:$C$53,3,FALSE)</f>
        <v>K03460</v>
      </c>
      <c r="G1661">
        <v>21.527777777777779</v>
      </c>
    </row>
    <row r="1662" spans="1:7" x14ac:dyDescent="0.25">
      <c r="A1662">
        <v>461</v>
      </c>
      <c r="B1662">
        <v>2014</v>
      </c>
      <c r="C1662" t="str">
        <f>VLOOKUP(A1662,[2]Tabelle1!$A$1:$B$68,2,FALSE)</f>
        <v>Wesermarsch</v>
      </c>
      <c r="D1662" t="s">
        <v>3</v>
      </c>
      <c r="E1662" t="s">
        <v>162</v>
      </c>
      <c r="F1662" t="str">
        <f>VLOOKUP(A1662,[1]Kreise!$A$1:$C$53,3,FALSE)</f>
        <v>K03461</v>
      </c>
      <c r="G1662">
        <v>5.8823529411764701</v>
      </c>
    </row>
    <row r="1663" spans="1:7" x14ac:dyDescent="0.25">
      <c r="A1663">
        <v>462</v>
      </c>
      <c r="B1663">
        <v>2014</v>
      </c>
      <c r="C1663" t="str">
        <f>VLOOKUP(A1663,[2]Tabelle1!$A$1:$B$68,2,FALSE)</f>
        <v>Wittmund</v>
      </c>
      <c r="D1663" t="s">
        <v>3</v>
      </c>
      <c r="E1663" t="s">
        <v>162</v>
      </c>
      <c r="F1663" t="str">
        <f>VLOOKUP(A1663,[1]Kreise!$A$1:$C$53,3,FALSE)</f>
        <v>K03462</v>
      </c>
      <c r="G1663">
        <v>5.2631578947368416</v>
      </c>
    </row>
    <row r="1664" spans="1:7" x14ac:dyDescent="0.25">
      <c r="A1664">
        <v>4</v>
      </c>
      <c r="B1664">
        <v>2014</v>
      </c>
      <c r="C1664" t="str">
        <f>VLOOKUP(A1664,[2]Tabelle1!$A$1:$B$68,2,FALSE)</f>
        <v>Statistische Region Weser-Ems</v>
      </c>
      <c r="D1664" t="s">
        <v>3</v>
      </c>
      <c r="E1664" t="s">
        <v>162</v>
      </c>
      <c r="F1664" t="str">
        <f>VLOOKUP(A1664,[1]Kreise!$A$1:$C$53,3,FALSE)</f>
        <v>K034</v>
      </c>
      <c r="G1664">
        <v>15.114613180515759</v>
      </c>
    </row>
    <row r="1665" spans="1:7" x14ac:dyDescent="0.25">
      <c r="A1665">
        <v>0</v>
      </c>
      <c r="B1665">
        <v>2014</v>
      </c>
      <c r="C1665" t="str">
        <f>VLOOKUP(A1665,[2]Tabelle1!$A$1:$B$68,2,FALSE)</f>
        <v>Niedersachsen</v>
      </c>
      <c r="D1665" t="s">
        <v>3</v>
      </c>
      <c r="E1665" t="s">
        <v>162</v>
      </c>
      <c r="F1665" t="str">
        <f>VLOOKUP(A1665,[1]Kreise!$A$1:$C$53,3,FALSE)</f>
        <v>K030</v>
      </c>
      <c r="G1665">
        <v>12.221810089020771</v>
      </c>
    </row>
    <row r="1666" spans="1:7" x14ac:dyDescent="0.25">
      <c r="A1666">
        <v>101</v>
      </c>
      <c r="B1666">
        <v>2015</v>
      </c>
      <c r="C1666" t="str">
        <f>VLOOKUP(A1666,[2]Tabelle1!$A$1:$B$68,2,FALSE)</f>
        <v>Braunschweig  Stadt</v>
      </c>
      <c r="D1666" t="s">
        <v>2</v>
      </c>
      <c r="E1666" t="s">
        <v>162</v>
      </c>
      <c r="F1666" t="str">
        <f>VLOOKUP(A1666,[1]Kreise!$A$1:$C$53,3,FALSE)</f>
        <v>K03101</v>
      </c>
      <c r="G1666">
        <v>4.4093178036605662</v>
      </c>
    </row>
    <row r="1667" spans="1:7" x14ac:dyDescent="0.25">
      <c r="A1667">
        <v>102</v>
      </c>
      <c r="B1667">
        <v>2015</v>
      </c>
      <c r="C1667" t="str">
        <f>VLOOKUP(A1667,[2]Tabelle1!$A$1:$B$68,2,FALSE)</f>
        <v>Salzgitter  Stadt</v>
      </c>
      <c r="D1667" t="s">
        <v>2</v>
      </c>
      <c r="E1667" t="s">
        <v>162</v>
      </c>
      <c r="F1667" t="str">
        <f>VLOOKUP(A1667,[1]Kreise!$A$1:$C$53,3,FALSE)</f>
        <v>K03102</v>
      </c>
      <c r="G1667">
        <v>3.5587188612099649</v>
      </c>
    </row>
    <row r="1668" spans="1:7" x14ac:dyDescent="0.25">
      <c r="A1668">
        <v>103</v>
      </c>
      <c r="B1668">
        <v>2015</v>
      </c>
      <c r="C1668" t="str">
        <f>VLOOKUP(A1668,[2]Tabelle1!$A$1:$B$68,2,FALSE)</f>
        <v>Wolfsburg  Stadt</v>
      </c>
      <c r="D1668" t="s">
        <v>2</v>
      </c>
      <c r="E1668" t="s">
        <v>162</v>
      </c>
      <c r="F1668" t="str">
        <f>VLOOKUP(A1668,[1]Kreise!$A$1:$C$53,3,FALSE)</f>
        <v>K03103</v>
      </c>
      <c r="G1668">
        <v>2.6217228464419478</v>
      </c>
    </row>
    <row r="1669" spans="1:7" x14ac:dyDescent="0.25">
      <c r="A1669">
        <v>151</v>
      </c>
      <c r="B1669">
        <v>2015</v>
      </c>
      <c r="C1669" t="str">
        <f>VLOOKUP(A1669,[2]Tabelle1!$A$1:$B$68,2,FALSE)</f>
        <v>Gifhorn</v>
      </c>
      <c r="D1669" t="s">
        <v>2</v>
      </c>
      <c r="E1669" t="s">
        <v>162</v>
      </c>
      <c r="F1669" t="str">
        <f>VLOOKUP(A1669,[1]Kreise!$A$1:$C$53,3,FALSE)</f>
        <v>K03151</v>
      </c>
      <c r="G1669">
        <v>3.722397476340694</v>
      </c>
    </row>
    <row r="1670" spans="1:7" x14ac:dyDescent="0.25">
      <c r="A1670">
        <v>153</v>
      </c>
      <c r="B1670">
        <v>2015</v>
      </c>
      <c r="C1670" t="str">
        <f>VLOOKUP(A1670,[2]Tabelle1!$A$1:$B$68,2,FALSE)</f>
        <v>Goslar</v>
      </c>
      <c r="D1670" t="s">
        <v>2</v>
      </c>
      <c r="E1670" t="s">
        <v>162</v>
      </c>
      <c r="F1670" t="str">
        <f>VLOOKUP(A1670,[1]Kreise!$A$1:$C$53,3,FALSE)</f>
        <v>K03153</v>
      </c>
      <c r="G1670">
        <v>3.90625</v>
      </c>
    </row>
    <row r="1671" spans="1:7" x14ac:dyDescent="0.25">
      <c r="A1671">
        <v>154</v>
      </c>
      <c r="B1671">
        <v>2015</v>
      </c>
      <c r="C1671" t="str">
        <f>VLOOKUP(A1671,[2]Tabelle1!$A$1:$B$68,2,FALSE)</f>
        <v>Helmstedt</v>
      </c>
      <c r="D1671" t="s">
        <v>2</v>
      </c>
      <c r="E1671" t="s">
        <v>162</v>
      </c>
      <c r="F1671" t="str">
        <f>VLOOKUP(A1671,[1]Kreise!$A$1:$C$53,3,FALSE)</f>
        <v>K03154</v>
      </c>
      <c r="G1671">
        <v>7.8848560700876096</v>
      </c>
    </row>
    <row r="1672" spans="1:7" x14ac:dyDescent="0.25">
      <c r="A1672">
        <v>155</v>
      </c>
      <c r="B1672">
        <v>2015</v>
      </c>
      <c r="C1672" t="str">
        <f>VLOOKUP(A1672,[2]Tabelle1!$A$1:$B$68,2,FALSE)</f>
        <v>Northeim</v>
      </c>
      <c r="D1672" t="s">
        <v>2</v>
      </c>
      <c r="E1672" t="s">
        <v>162</v>
      </c>
      <c r="F1672" t="str">
        <f>VLOOKUP(A1672,[1]Kreise!$A$1:$C$53,3,FALSE)</f>
        <v>K03155</v>
      </c>
      <c r="G1672">
        <v>3.5333333333333337</v>
      </c>
    </row>
    <row r="1673" spans="1:7" x14ac:dyDescent="0.25">
      <c r="A1673">
        <v>157</v>
      </c>
      <c r="B1673">
        <v>2015</v>
      </c>
      <c r="C1673" t="str">
        <f>VLOOKUP(A1673,[2]Tabelle1!$A$1:$B$68,2,FALSE)</f>
        <v>Peine</v>
      </c>
      <c r="D1673" t="s">
        <v>2</v>
      </c>
      <c r="E1673" t="s">
        <v>162</v>
      </c>
      <c r="F1673" t="str">
        <f>VLOOKUP(A1673,[1]Kreise!$A$1:$C$53,3,FALSE)</f>
        <v>K03157</v>
      </c>
      <c r="G1673">
        <v>3.5610465116279069</v>
      </c>
    </row>
    <row r="1674" spans="1:7" x14ac:dyDescent="0.25">
      <c r="A1674">
        <v>158</v>
      </c>
      <c r="B1674">
        <v>2015</v>
      </c>
      <c r="C1674" t="str">
        <f>VLOOKUP(A1674,[2]Tabelle1!$A$1:$B$68,2,FALSE)</f>
        <v>Wolfenbüttel</v>
      </c>
      <c r="D1674" t="s">
        <v>2</v>
      </c>
      <c r="E1674" t="s">
        <v>162</v>
      </c>
      <c r="F1674" t="str">
        <f>VLOOKUP(A1674,[1]Kreise!$A$1:$C$53,3,FALSE)</f>
        <v>K03158</v>
      </c>
      <c r="G1674">
        <v>5.192479856759177</v>
      </c>
    </row>
    <row r="1675" spans="1:7" x14ac:dyDescent="0.25">
      <c r="A1675">
        <v>159</v>
      </c>
      <c r="B1675">
        <v>2015</v>
      </c>
      <c r="C1675" t="str">
        <f>VLOOKUP(A1675,[2]Tabelle1!$A$1:$B$68,2,FALSE)</f>
        <v>Göttingen</v>
      </c>
      <c r="D1675" t="s">
        <v>2</v>
      </c>
      <c r="E1675" t="s">
        <v>162</v>
      </c>
      <c r="F1675" t="str">
        <f>VLOOKUP(A1675,[1]Kreise!$A$1:$C$53,3,FALSE)</f>
        <v>K03159</v>
      </c>
      <c r="G1675">
        <v>3.047945205479452</v>
      </c>
    </row>
    <row r="1676" spans="1:7" x14ac:dyDescent="0.25">
      <c r="A1676">
        <v>1</v>
      </c>
      <c r="B1676">
        <v>2015</v>
      </c>
      <c r="C1676" t="str">
        <f>VLOOKUP(A1676,[2]Tabelle1!$A$1:$B$68,2,FALSE)</f>
        <v>Statistische Region Braunschweig</v>
      </c>
      <c r="D1676" t="s">
        <v>2</v>
      </c>
      <c r="E1676" t="s">
        <v>162</v>
      </c>
      <c r="F1676" t="str">
        <f>VLOOKUP(A1676,[1]Kreise!$A$1:$C$53,3,FALSE)</f>
        <v>K031</v>
      </c>
      <c r="G1676">
        <v>3.9052624575876522</v>
      </c>
    </row>
    <row r="1677" spans="1:7" x14ac:dyDescent="0.25">
      <c r="A1677">
        <v>241</v>
      </c>
      <c r="B1677">
        <v>2015</v>
      </c>
      <c r="C1677" t="str">
        <f>VLOOKUP(A1677,[2]Tabelle1!$A$1:$B$68,2,FALSE)</f>
        <v>Hannover  Region</v>
      </c>
      <c r="D1677" t="s">
        <v>2</v>
      </c>
      <c r="E1677" t="s">
        <v>162</v>
      </c>
      <c r="F1677" t="str">
        <f>VLOOKUP(A1677,[1]Kreise!$A$1:$C$53,3,FALSE)</f>
        <v>K03241</v>
      </c>
      <c r="G1677">
        <v>3.9907519099316446</v>
      </c>
    </row>
    <row r="1678" spans="1:7" x14ac:dyDescent="0.25">
      <c r="A1678">
        <v>241001</v>
      </c>
      <c r="B1678">
        <v>2015</v>
      </c>
      <c r="C1678" t="str">
        <f>VLOOKUP(A1678,[2]Tabelle1!$A$1:$B$68,2,FALSE)</f>
        <v>dav. Hannover  Lhst.</v>
      </c>
      <c r="D1678" t="s">
        <v>2</v>
      </c>
      <c r="E1678" t="s">
        <v>162</v>
      </c>
      <c r="F1678" t="str">
        <f>VLOOKUP(A1678,[1]Kreise!$A$1:$C$53,3,FALSE)</f>
        <v>K03241001</v>
      </c>
      <c r="G1678">
        <v>5.1134946370665997</v>
      </c>
    </row>
    <row r="1679" spans="1:7" x14ac:dyDescent="0.25">
      <c r="A1679">
        <v>241999</v>
      </c>
      <c r="B1679">
        <v>2015</v>
      </c>
      <c r="C1679" t="str">
        <f>VLOOKUP(A1679,[2]Tabelle1!$A$1:$B$68,2,FALSE)</f>
        <v>dav. Hannover  Umland</v>
      </c>
      <c r="D1679" t="s">
        <v>2</v>
      </c>
      <c r="E1679" t="s">
        <v>162</v>
      </c>
      <c r="F1679" t="str">
        <f>VLOOKUP(A1679,[1]Kreise!$A$1:$C$53,3,FALSE)</f>
        <v>K03241999</v>
      </c>
      <c r="G1679">
        <v>3.2328674861087725</v>
      </c>
    </row>
    <row r="1680" spans="1:7" x14ac:dyDescent="0.25">
      <c r="A1680">
        <v>251</v>
      </c>
      <c r="B1680">
        <v>2015</v>
      </c>
      <c r="C1680" t="str">
        <f>VLOOKUP(A1680,[2]Tabelle1!$A$1:$B$68,2,FALSE)</f>
        <v>Diepholz</v>
      </c>
      <c r="D1680" t="s">
        <v>2</v>
      </c>
      <c r="E1680" t="s">
        <v>162</v>
      </c>
      <c r="F1680" t="str">
        <f>VLOOKUP(A1680,[1]Kreise!$A$1:$C$53,3,FALSE)</f>
        <v>K03251</v>
      </c>
      <c r="G1680">
        <v>2.6420079260237781</v>
      </c>
    </row>
    <row r="1681" spans="1:7" x14ac:dyDescent="0.25">
      <c r="A1681">
        <v>252</v>
      </c>
      <c r="B1681">
        <v>2015</v>
      </c>
      <c r="C1681" t="str">
        <f>VLOOKUP(A1681,[2]Tabelle1!$A$1:$B$68,2,FALSE)</f>
        <v>Hameln-Pyrmont</v>
      </c>
      <c r="D1681" t="s">
        <v>2</v>
      </c>
      <c r="E1681" t="s">
        <v>162</v>
      </c>
      <c r="F1681" t="str">
        <f>VLOOKUP(A1681,[1]Kreise!$A$1:$C$53,3,FALSE)</f>
        <v>K03252</v>
      </c>
      <c r="G1681">
        <v>4.6527777777777777</v>
      </c>
    </row>
    <row r="1682" spans="1:7" x14ac:dyDescent="0.25">
      <c r="A1682">
        <v>254</v>
      </c>
      <c r="B1682">
        <v>2015</v>
      </c>
      <c r="C1682" t="str">
        <f>VLOOKUP(A1682,[2]Tabelle1!$A$1:$B$68,2,FALSE)</f>
        <v>Hildesheim</v>
      </c>
      <c r="D1682" t="s">
        <v>2</v>
      </c>
      <c r="E1682" t="s">
        <v>162</v>
      </c>
      <c r="F1682" t="str">
        <f>VLOOKUP(A1682,[1]Kreise!$A$1:$C$53,3,FALSE)</f>
        <v>K03254</v>
      </c>
      <c r="G1682">
        <v>6.4137004701141711</v>
      </c>
    </row>
    <row r="1683" spans="1:7" x14ac:dyDescent="0.25">
      <c r="A1683">
        <v>255</v>
      </c>
      <c r="B1683">
        <v>2015</v>
      </c>
      <c r="C1683" t="str">
        <f>VLOOKUP(A1683,[2]Tabelle1!$A$1:$B$68,2,FALSE)</f>
        <v>Holzminden</v>
      </c>
      <c r="D1683" t="s">
        <v>2</v>
      </c>
      <c r="E1683" t="s">
        <v>162</v>
      </c>
      <c r="F1683" t="str">
        <f>VLOOKUP(A1683,[1]Kreise!$A$1:$C$53,3,FALSE)</f>
        <v>K03255</v>
      </c>
      <c r="G1683">
        <v>8.3606557377049189</v>
      </c>
    </row>
    <row r="1684" spans="1:7" x14ac:dyDescent="0.25">
      <c r="A1684">
        <v>256</v>
      </c>
      <c r="B1684">
        <v>2015</v>
      </c>
      <c r="C1684" t="str">
        <f>VLOOKUP(A1684,[2]Tabelle1!$A$1:$B$68,2,FALSE)</f>
        <v>Nienburg (Weser)</v>
      </c>
      <c r="D1684" t="s">
        <v>2</v>
      </c>
      <c r="E1684" t="s">
        <v>162</v>
      </c>
      <c r="F1684" t="str">
        <f>VLOOKUP(A1684,[1]Kreise!$A$1:$C$53,3,FALSE)</f>
        <v>K03256</v>
      </c>
      <c r="G1684">
        <v>4.3258832011535686</v>
      </c>
    </row>
    <row r="1685" spans="1:7" x14ac:dyDescent="0.25">
      <c r="A1685">
        <v>257</v>
      </c>
      <c r="B1685">
        <v>2015</v>
      </c>
      <c r="C1685" t="str">
        <f>VLOOKUP(A1685,[2]Tabelle1!$A$1:$B$68,2,FALSE)</f>
        <v>Schaumburg</v>
      </c>
      <c r="D1685" t="s">
        <v>2</v>
      </c>
      <c r="E1685" t="s">
        <v>162</v>
      </c>
      <c r="F1685" t="str">
        <f>VLOOKUP(A1685,[1]Kreise!$A$1:$C$53,3,FALSE)</f>
        <v>K03257</v>
      </c>
      <c r="G1685">
        <v>2.3032629558541267</v>
      </c>
    </row>
    <row r="1686" spans="1:7" x14ac:dyDescent="0.25">
      <c r="A1686">
        <v>2</v>
      </c>
      <c r="B1686">
        <v>2015</v>
      </c>
      <c r="C1686" t="str">
        <f>VLOOKUP(A1686,[2]Tabelle1!$A$1:$B$68,2,FALSE)</f>
        <v>Statistische Region Hannover</v>
      </c>
      <c r="D1686" t="s">
        <v>2</v>
      </c>
      <c r="E1686" t="s">
        <v>162</v>
      </c>
      <c r="F1686" t="str">
        <f>VLOOKUP(A1686,[1]Kreise!$A$1:$C$53,3,FALSE)</f>
        <v>K032</v>
      </c>
      <c r="G1686">
        <v>4.2679605882061686</v>
      </c>
    </row>
    <row r="1687" spans="1:7" x14ac:dyDescent="0.25">
      <c r="A1687">
        <v>351</v>
      </c>
      <c r="B1687">
        <v>2015</v>
      </c>
      <c r="C1687" t="str">
        <f>VLOOKUP(A1687,[2]Tabelle1!$A$1:$B$68,2,FALSE)</f>
        <v>Celle</v>
      </c>
      <c r="D1687" t="s">
        <v>2</v>
      </c>
      <c r="E1687" t="s">
        <v>162</v>
      </c>
      <c r="F1687" t="str">
        <f>VLOOKUP(A1687,[1]Kreise!$A$1:$C$53,3,FALSE)</f>
        <v>K03351</v>
      </c>
      <c r="G1687">
        <v>4.6536796536796539</v>
      </c>
    </row>
    <row r="1688" spans="1:7" x14ac:dyDescent="0.25">
      <c r="A1688">
        <v>352</v>
      </c>
      <c r="B1688">
        <v>2015</v>
      </c>
      <c r="C1688" t="str">
        <f>VLOOKUP(A1688,[2]Tabelle1!$A$1:$B$68,2,FALSE)</f>
        <v>Cuxhaven</v>
      </c>
      <c r="D1688" t="s">
        <v>2</v>
      </c>
      <c r="E1688" t="s">
        <v>162</v>
      </c>
      <c r="F1688" t="str">
        <f>VLOOKUP(A1688,[1]Kreise!$A$1:$C$53,3,FALSE)</f>
        <v>K03352</v>
      </c>
      <c r="G1688">
        <v>3.4536891679748818</v>
      </c>
    </row>
    <row r="1689" spans="1:7" x14ac:dyDescent="0.25">
      <c r="A1689">
        <v>353</v>
      </c>
      <c r="B1689">
        <v>2015</v>
      </c>
      <c r="C1689" t="str">
        <f>VLOOKUP(A1689,[2]Tabelle1!$A$1:$B$68,2,FALSE)</f>
        <v>Harburg</v>
      </c>
      <c r="D1689" t="s">
        <v>2</v>
      </c>
      <c r="E1689" t="s">
        <v>162</v>
      </c>
      <c r="F1689" t="str">
        <f>VLOOKUP(A1689,[1]Kreise!$A$1:$C$53,3,FALSE)</f>
        <v>K03353</v>
      </c>
      <c r="G1689">
        <v>2.107355864811133</v>
      </c>
    </row>
    <row r="1690" spans="1:7" x14ac:dyDescent="0.25">
      <c r="A1690">
        <v>354</v>
      </c>
      <c r="B1690">
        <v>2015</v>
      </c>
      <c r="C1690" t="str">
        <f>VLOOKUP(A1690,[2]Tabelle1!$A$1:$B$68,2,FALSE)</f>
        <v>Lüchow-Dannenberg</v>
      </c>
      <c r="D1690" t="s">
        <v>2</v>
      </c>
      <c r="E1690" t="s">
        <v>162</v>
      </c>
      <c r="F1690" t="str">
        <f>VLOOKUP(A1690,[1]Kreise!$A$1:$C$53,3,FALSE)</f>
        <v>K03354</v>
      </c>
      <c r="G1690">
        <v>6.8359375</v>
      </c>
    </row>
    <row r="1691" spans="1:7" x14ac:dyDescent="0.25">
      <c r="A1691">
        <v>355</v>
      </c>
      <c r="B1691">
        <v>2015</v>
      </c>
      <c r="C1691" t="str">
        <f>VLOOKUP(A1691,[2]Tabelle1!$A$1:$B$68,2,FALSE)</f>
        <v>Lüneburg</v>
      </c>
      <c r="D1691" t="s">
        <v>2</v>
      </c>
      <c r="E1691" t="s">
        <v>162</v>
      </c>
      <c r="F1691" t="str">
        <f>VLOOKUP(A1691,[1]Kreise!$A$1:$C$53,3,FALSE)</f>
        <v>K03355</v>
      </c>
      <c r="G1691">
        <v>2.9411764705882351</v>
      </c>
    </row>
    <row r="1692" spans="1:7" x14ac:dyDescent="0.25">
      <c r="A1692">
        <v>356</v>
      </c>
      <c r="B1692">
        <v>2015</v>
      </c>
      <c r="C1692" t="str">
        <f>VLOOKUP(A1692,[2]Tabelle1!$A$1:$B$68,2,FALSE)</f>
        <v>Osterholz</v>
      </c>
      <c r="D1692" t="s">
        <v>2</v>
      </c>
      <c r="E1692" t="s">
        <v>162</v>
      </c>
      <c r="F1692" t="str">
        <f>VLOOKUP(A1692,[1]Kreise!$A$1:$C$53,3,FALSE)</f>
        <v>K03356</v>
      </c>
      <c r="G1692">
        <v>2.9610829103214891</v>
      </c>
    </row>
    <row r="1693" spans="1:7" x14ac:dyDescent="0.25">
      <c r="A1693">
        <v>357</v>
      </c>
      <c r="B1693">
        <v>2015</v>
      </c>
      <c r="C1693" t="str">
        <f>VLOOKUP(A1693,[2]Tabelle1!$A$1:$B$68,2,FALSE)</f>
        <v>Rotenburg (Wümme)</v>
      </c>
      <c r="D1693" t="s">
        <v>2</v>
      </c>
      <c r="E1693" t="s">
        <v>162</v>
      </c>
      <c r="F1693" t="str">
        <f>VLOOKUP(A1693,[1]Kreise!$A$1:$C$53,3,FALSE)</f>
        <v>K03357</v>
      </c>
      <c r="G1693">
        <v>5.0593701600413006</v>
      </c>
    </row>
    <row r="1694" spans="1:7" x14ac:dyDescent="0.25">
      <c r="A1694">
        <v>358</v>
      </c>
      <c r="B1694">
        <v>2015</v>
      </c>
      <c r="C1694" t="str">
        <f>VLOOKUP(A1694,[2]Tabelle1!$A$1:$B$68,2,FALSE)</f>
        <v>Heidekreis</v>
      </c>
      <c r="D1694" t="s">
        <v>2</v>
      </c>
      <c r="E1694" t="s">
        <v>162</v>
      </c>
      <c r="F1694" t="str">
        <f>VLOOKUP(A1694,[1]Kreise!$A$1:$C$53,3,FALSE)</f>
        <v>K03358</v>
      </c>
      <c r="G1694">
        <v>6.109324758842444</v>
      </c>
    </row>
    <row r="1695" spans="1:7" x14ac:dyDescent="0.25">
      <c r="A1695">
        <v>359</v>
      </c>
      <c r="B1695">
        <v>2015</v>
      </c>
      <c r="C1695" t="str">
        <f>VLOOKUP(A1695,[2]Tabelle1!$A$1:$B$68,2,FALSE)</f>
        <v>Stade</v>
      </c>
      <c r="D1695" t="s">
        <v>2</v>
      </c>
      <c r="E1695" t="s">
        <v>162</v>
      </c>
      <c r="F1695" t="str">
        <f>VLOOKUP(A1695,[1]Kreise!$A$1:$C$53,3,FALSE)</f>
        <v>K03359</v>
      </c>
      <c r="G1695">
        <v>3.2932799287939476</v>
      </c>
    </row>
    <row r="1696" spans="1:7" x14ac:dyDescent="0.25">
      <c r="A1696">
        <v>360</v>
      </c>
      <c r="B1696">
        <v>2015</v>
      </c>
      <c r="C1696" t="str">
        <f>VLOOKUP(A1696,[2]Tabelle1!$A$1:$B$68,2,FALSE)</f>
        <v>Uelzen</v>
      </c>
      <c r="D1696" t="s">
        <v>2</v>
      </c>
      <c r="E1696" t="s">
        <v>162</v>
      </c>
      <c r="F1696" t="str">
        <f>VLOOKUP(A1696,[1]Kreise!$A$1:$C$53,3,FALSE)</f>
        <v>K03360</v>
      </c>
      <c r="G1696">
        <v>2.9000000000000004</v>
      </c>
    </row>
    <row r="1697" spans="1:7" x14ac:dyDescent="0.25">
      <c r="A1697">
        <v>361</v>
      </c>
      <c r="B1697">
        <v>2015</v>
      </c>
      <c r="C1697" t="str">
        <f>VLOOKUP(A1697,[2]Tabelle1!$A$1:$B$68,2,FALSE)</f>
        <v>Verden</v>
      </c>
      <c r="D1697" t="s">
        <v>2</v>
      </c>
      <c r="E1697" t="s">
        <v>162</v>
      </c>
      <c r="F1697" t="str">
        <f>VLOOKUP(A1697,[1]Kreise!$A$1:$C$53,3,FALSE)</f>
        <v>K03361</v>
      </c>
      <c r="G1697">
        <v>3.9940828402366866</v>
      </c>
    </row>
    <row r="1698" spans="1:7" x14ac:dyDescent="0.25">
      <c r="A1698">
        <v>3</v>
      </c>
      <c r="B1698">
        <v>2015</v>
      </c>
      <c r="C1698" t="str">
        <f>VLOOKUP(A1698,[2]Tabelle1!$A$1:$B$68,2,FALSE)</f>
        <v>Statistische Region Lüneburg</v>
      </c>
      <c r="D1698" t="s">
        <v>2</v>
      </c>
      <c r="E1698" t="s">
        <v>162</v>
      </c>
      <c r="F1698" t="str">
        <f>VLOOKUP(A1698,[1]Kreise!$A$1:$C$53,3,FALSE)</f>
        <v>K033</v>
      </c>
      <c r="G1698">
        <v>3.791126203863497</v>
      </c>
    </row>
    <row r="1699" spans="1:7" x14ac:dyDescent="0.25">
      <c r="A1699">
        <v>401</v>
      </c>
      <c r="B1699">
        <v>2015</v>
      </c>
      <c r="C1699" t="str">
        <f>VLOOKUP(A1699,[2]Tabelle1!$A$1:$B$68,2,FALSE)</f>
        <v>Delmenhorst  Stadt</v>
      </c>
      <c r="D1699" t="s">
        <v>2</v>
      </c>
      <c r="E1699" t="s">
        <v>162</v>
      </c>
      <c r="F1699" t="str">
        <f>VLOOKUP(A1699,[1]Kreise!$A$1:$C$53,3,FALSE)</f>
        <v>K03401</v>
      </c>
      <c r="G1699">
        <v>4.1782729805013927</v>
      </c>
    </row>
    <row r="1700" spans="1:7" x14ac:dyDescent="0.25">
      <c r="A1700">
        <v>402</v>
      </c>
      <c r="B1700">
        <v>2015</v>
      </c>
      <c r="C1700" t="str">
        <f>VLOOKUP(A1700,[2]Tabelle1!$A$1:$B$68,2,FALSE)</f>
        <v>Emden  Stadt</v>
      </c>
      <c r="D1700" t="s">
        <v>2</v>
      </c>
      <c r="E1700" t="s">
        <v>162</v>
      </c>
      <c r="F1700" t="str">
        <f>VLOOKUP(A1700,[1]Kreise!$A$1:$C$53,3,FALSE)</f>
        <v>K03402</v>
      </c>
      <c r="G1700">
        <v>8.695652173913043</v>
      </c>
    </row>
    <row r="1701" spans="1:7" x14ac:dyDescent="0.25">
      <c r="A1701">
        <v>403</v>
      </c>
      <c r="B1701">
        <v>2015</v>
      </c>
      <c r="C1701" t="str">
        <f>VLOOKUP(A1701,[2]Tabelle1!$A$1:$B$68,2,FALSE)</f>
        <v>Oldenburg(Oldb)  Stadt</v>
      </c>
      <c r="D1701" t="s">
        <v>2</v>
      </c>
      <c r="E1701" t="s">
        <v>162</v>
      </c>
      <c r="F1701" t="str">
        <f>VLOOKUP(A1701,[1]Kreise!$A$1:$C$53,3,FALSE)</f>
        <v>K03403</v>
      </c>
      <c r="G1701">
        <v>5.6561085972850682</v>
      </c>
    </row>
    <row r="1702" spans="1:7" x14ac:dyDescent="0.25">
      <c r="A1702">
        <v>404</v>
      </c>
      <c r="B1702">
        <v>2015</v>
      </c>
      <c r="C1702" t="str">
        <f>VLOOKUP(A1702,[2]Tabelle1!$A$1:$B$68,2,FALSE)</f>
        <v>Osnabrück  Stadt</v>
      </c>
      <c r="D1702" t="s">
        <v>2</v>
      </c>
      <c r="E1702" t="s">
        <v>162</v>
      </c>
      <c r="F1702" t="str">
        <f>VLOOKUP(A1702,[1]Kreise!$A$1:$C$53,3,FALSE)</f>
        <v>K03404</v>
      </c>
      <c r="G1702">
        <v>5.6564608199273483</v>
      </c>
    </row>
    <row r="1703" spans="1:7" x14ac:dyDescent="0.25">
      <c r="A1703">
        <v>405</v>
      </c>
      <c r="B1703">
        <v>2015</v>
      </c>
      <c r="C1703" t="str">
        <f>VLOOKUP(A1703,[2]Tabelle1!$A$1:$B$68,2,FALSE)</f>
        <v>Wilhelmshaven  Stadt</v>
      </c>
      <c r="D1703" t="s">
        <v>2</v>
      </c>
      <c r="E1703" t="s">
        <v>162</v>
      </c>
      <c r="F1703" t="str">
        <f>VLOOKUP(A1703,[1]Kreise!$A$1:$C$53,3,FALSE)</f>
        <v>K03405</v>
      </c>
      <c r="G1703">
        <v>3.5919540229885056</v>
      </c>
    </row>
    <row r="1704" spans="1:7" x14ac:dyDescent="0.25">
      <c r="A1704">
        <v>451</v>
      </c>
      <c r="B1704">
        <v>2015</v>
      </c>
      <c r="C1704" t="str">
        <f>VLOOKUP(A1704,[2]Tabelle1!$A$1:$B$68,2,FALSE)</f>
        <v>Ammerland</v>
      </c>
      <c r="D1704" t="s">
        <v>2</v>
      </c>
      <c r="E1704" t="s">
        <v>162</v>
      </c>
      <c r="F1704" t="str">
        <f>VLOOKUP(A1704,[1]Kreise!$A$1:$C$53,3,FALSE)</f>
        <v>K03451</v>
      </c>
      <c r="G1704">
        <v>3.9463886820551006</v>
      </c>
    </row>
    <row r="1705" spans="1:7" x14ac:dyDescent="0.25">
      <c r="A1705">
        <v>452</v>
      </c>
      <c r="B1705">
        <v>2015</v>
      </c>
      <c r="C1705" t="str">
        <f>VLOOKUP(A1705,[2]Tabelle1!$A$1:$B$68,2,FALSE)</f>
        <v>Aurich</v>
      </c>
      <c r="D1705" t="s">
        <v>2</v>
      </c>
      <c r="E1705" t="s">
        <v>162</v>
      </c>
      <c r="F1705" t="str">
        <f>VLOOKUP(A1705,[1]Kreise!$A$1:$C$53,3,FALSE)</f>
        <v>K03452</v>
      </c>
      <c r="G1705">
        <v>6.8253255500673555</v>
      </c>
    </row>
    <row r="1706" spans="1:7" x14ac:dyDescent="0.25">
      <c r="A1706">
        <v>453</v>
      </c>
      <c r="B1706">
        <v>2015</v>
      </c>
      <c r="C1706" t="str">
        <f>VLOOKUP(A1706,[2]Tabelle1!$A$1:$B$68,2,FALSE)</f>
        <v>Cloppenburg</v>
      </c>
      <c r="D1706" t="s">
        <v>2</v>
      </c>
      <c r="E1706" t="s">
        <v>162</v>
      </c>
      <c r="F1706" t="str">
        <f>VLOOKUP(A1706,[1]Kreise!$A$1:$C$53,3,FALSE)</f>
        <v>K03453</v>
      </c>
      <c r="G1706">
        <v>3.8593063019052272</v>
      </c>
    </row>
    <row r="1707" spans="1:7" x14ac:dyDescent="0.25">
      <c r="A1707">
        <v>454</v>
      </c>
      <c r="B1707">
        <v>2015</v>
      </c>
      <c r="C1707" t="str">
        <f>VLOOKUP(A1707,[2]Tabelle1!$A$1:$B$68,2,FALSE)</f>
        <v>Emsland</v>
      </c>
      <c r="D1707" t="s">
        <v>2</v>
      </c>
      <c r="E1707" t="s">
        <v>162</v>
      </c>
      <c r="F1707" t="str">
        <f>VLOOKUP(A1707,[1]Kreise!$A$1:$C$53,3,FALSE)</f>
        <v>K03454</v>
      </c>
      <c r="G1707">
        <v>4.7516198704103676</v>
      </c>
    </row>
    <row r="1708" spans="1:7" x14ac:dyDescent="0.25">
      <c r="A1708">
        <v>455</v>
      </c>
      <c r="B1708">
        <v>2015</v>
      </c>
      <c r="C1708" t="str">
        <f>VLOOKUP(A1708,[2]Tabelle1!$A$1:$B$68,2,FALSE)</f>
        <v>Friesland</v>
      </c>
      <c r="D1708" t="s">
        <v>2</v>
      </c>
      <c r="E1708" t="s">
        <v>162</v>
      </c>
      <c r="F1708" t="str">
        <f>VLOOKUP(A1708,[1]Kreise!$A$1:$C$53,3,FALSE)</f>
        <v>K03455</v>
      </c>
      <c r="G1708">
        <v>3.730569948186528</v>
      </c>
    </row>
    <row r="1709" spans="1:7" x14ac:dyDescent="0.25">
      <c r="A1709">
        <v>456</v>
      </c>
      <c r="B1709">
        <v>2015</v>
      </c>
      <c r="C1709" t="str">
        <f>VLOOKUP(A1709,[2]Tabelle1!$A$1:$B$68,2,FALSE)</f>
        <v>Grafschaft Bentheim</v>
      </c>
      <c r="D1709" t="s">
        <v>2</v>
      </c>
      <c r="E1709" t="s">
        <v>162</v>
      </c>
      <c r="F1709" t="str">
        <f>VLOOKUP(A1709,[1]Kreise!$A$1:$C$53,3,FALSE)</f>
        <v>K03456</v>
      </c>
      <c r="G1709">
        <v>6.2371487320082251</v>
      </c>
    </row>
    <row r="1710" spans="1:7" x14ac:dyDescent="0.25">
      <c r="A1710">
        <v>457</v>
      </c>
      <c r="B1710">
        <v>2015</v>
      </c>
      <c r="C1710" t="str">
        <f>VLOOKUP(A1710,[2]Tabelle1!$A$1:$B$68,2,FALSE)</f>
        <v>Leer</v>
      </c>
      <c r="D1710" t="s">
        <v>2</v>
      </c>
      <c r="E1710" t="s">
        <v>162</v>
      </c>
      <c r="F1710" t="str">
        <f>VLOOKUP(A1710,[1]Kreise!$A$1:$C$53,3,FALSE)</f>
        <v>K03457</v>
      </c>
      <c r="G1710">
        <v>7.8902229845626071</v>
      </c>
    </row>
    <row r="1711" spans="1:7" x14ac:dyDescent="0.25">
      <c r="A1711">
        <v>458</v>
      </c>
      <c r="B1711">
        <v>2015</v>
      </c>
      <c r="C1711" t="str">
        <f>VLOOKUP(A1711,[2]Tabelle1!$A$1:$B$68,2,FALSE)</f>
        <v>Oldenburg</v>
      </c>
      <c r="D1711" t="s">
        <v>2</v>
      </c>
      <c r="E1711" t="s">
        <v>162</v>
      </c>
      <c r="F1711" t="str">
        <f>VLOOKUP(A1711,[1]Kreise!$A$1:$C$53,3,FALSE)</f>
        <v>K03458</v>
      </c>
      <c r="G1711">
        <v>3.5714285714285712</v>
      </c>
    </row>
    <row r="1712" spans="1:7" x14ac:dyDescent="0.25">
      <c r="A1712">
        <v>459</v>
      </c>
      <c r="B1712">
        <v>2015</v>
      </c>
      <c r="C1712" t="str">
        <f>VLOOKUP(A1712,[2]Tabelle1!$A$1:$B$68,2,FALSE)</f>
        <v>Osnabrück</v>
      </c>
      <c r="D1712" t="s">
        <v>2</v>
      </c>
      <c r="E1712" t="s">
        <v>162</v>
      </c>
      <c r="F1712" t="str">
        <f>VLOOKUP(A1712,[1]Kreise!$A$1:$C$53,3,FALSE)</f>
        <v>K03459</v>
      </c>
      <c r="G1712">
        <v>4.6783625730994149</v>
      </c>
    </row>
    <row r="1713" spans="1:7" x14ac:dyDescent="0.25">
      <c r="A1713">
        <v>460</v>
      </c>
      <c r="B1713">
        <v>2015</v>
      </c>
      <c r="C1713" t="str">
        <f>VLOOKUP(A1713,[2]Tabelle1!$A$1:$B$68,2,FALSE)</f>
        <v>Vechta</v>
      </c>
      <c r="D1713" t="s">
        <v>2</v>
      </c>
      <c r="E1713" t="s">
        <v>162</v>
      </c>
      <c r="F1713" t="str">
        <f>VLOOKUP(A1713,[1]Kreise!$A$1:$C$53,3,FALSE)</f>
        <v>K03460</v>
      </c>
      <c r="G1713">
        <v>5.3658536585365857</v>
      </c>
    </row>
    <row r="1714" spans="1:7" x14ac:dyDescent="0.25">
      <c r="A1714">
        <v>461</v>
      </c>
      <c r="B1714">
        <v>2015</v>
      </c>
      <c r="C1714" t="str">
        <f>VLOOKUP(A1714,[2]Tabelle1!$A$1:$B$68,2,FALSE)</f>
        <v>Wesermarsch</v>
      </c>
      <c r="D1714" t="s">
        <v>2</v>
      </c>
      <c r="E1714" t="s">
        <v>162</v>
      </c>
      <c r="F1714" t="str">
        <f>VLOOKUP(A1714,[1]Kreise!$A$1:$C$53,3,FALSE)</f>
        <v>K03461</v>
      </c>
      <c r="G1714">
        <v>5</v>
      </c>
    </row>
    <row r="1715" spans="1:7" x14ac:dyDescent="0.25">
      <c r="A1715">
        <v>462</v>
      </c>
      <c r="B1715">
        <v>2015</v>
      </c>
      <c r="C1715" t="str">
        <f>VLOOKUP(A1715,[2]Tabelle1!$A$1:$B$68,2,FALSE)</f>
        <v>Wittmund</v>
      </c>
      <c r="D1715" t="s">
        <v>2</v>
      </c>
      <c r="E1715" t="s">
        <v>162</v>
      </c>
      <c r="F1715" t="str">
        <f>VLOOKUP(A1715,[1]Kreise!$A$1:$C$53,3,FALSE)</f>
        <v>K03462</v>
      </c>
      <c r="G1715">
        <v>4.8920863309352516</v>
      </c>
    </row>
    <row r="1716" spans="1:7" x14ac:dyDescent="0.25">
      <c r="A1716">
        <v>4</v>
      </c>
      <c r="B1716">
        <v>2015</v>
      </c>
      <c r="C1716" t="str">
        <f>VLOOKUP(A1716,[2]Tabelle1!$A$1:$B$68,2,FALSE)</f>
        <v>Statistische Region Weser-Ems</v>
      </c>
      <c r="D1716" t="s">
        <v>2</v>
      </c>
      <c r="E1716" t="s">
        <v>162</v>
      </c>
      <c r="F1716" t="str">
        <f>VLOOKUP(A1716,[1]Kreise!$A$1:$C$53,3,FALSE)</f>
        <v>K034</v>
      </c>
      <c r="G1716">
        <v>5.2018202671205005</v>
      </c>
    </row>
    <row r="1717" spans="1:7" x14ac:dyDescent="0.25">
      <c r="A1717">
        <v>0</v>
      </c>
      <c r="B1717">
        <v>2015</v>
      </c>
      <c r="C1717" t="str">
        <f>VLOOKUP(A1717,[2]Tabelle1!$A$1:$B$68,2,FALSE)</f>
        <v>Niedersachsen</v>
      </c>
      <c r="D1717" t="s">
        <v>2</v>
      </c>
      <c r="E1717" t="s">
        <v>162</v>
      </c>
      <c r="F1717" t="str">
        <f>VLOOKUP(A1717,[1]Kreise!$A$1:$C$53,3,FALSE)</f>
        <v>K030</v>
      </c>
      <c r="G1717">
        <v>4.4078783345799053</v>
      </c>
    </row>
    <row r="1718" spans="1:7" x14ac:dyDescent="0.25">
      <c r="A1718">
        <v>101</v>
      </c>
      <c r="B1718">
        <v>2015</v>
      </c>
      <c r="C1718" t="str">
        <f>VLOOKUP(A1718,[2]Tabelle1!$A$1:$B$68,2,FALSE)</f>
        <v>Braunschweig  Stadt</v>
      </c>
      <c r="D1718" t="s">
        <v>3</v>
      </c>
      <c r="E1718" t="s">
        <v>162</v>
      </c>
      <c r="F1718" t="str">
        <f>VLOOKUP(A1718,[1]Kreise!$A$1:$C$53,3,FALSE)</f>
        <v>K03101</v>
      </c>
      <c r="G1718">
        <v>11.538461538461538</v>
      </c>
    </row>
    <row r="1719" spans="1:7" x14ac:dyDescent="0.25">
      <c r="A1719">
        <v>102</v>
      </c>
      <c r="B1719">
        <v>2015</v>
      </c>
      <c r="C1719" t="str">
        <f>VLOOKUP(A1719,[2]Tabelle1!$A$1:$B$68,2,FALSE)</f>
        <v>Salzgitter  Stadt</v>
      </c>
      <c r="D1719" t="s">
        <v>3</v>
      </c>
      <c r="E1719" t="s">
        <v>162</v>
      </c>
      <c r="F1719" t="str">
        <f>VLOOKUP(A1719,[1]Kreise!$A$1:$C$53,3,FALSE)</f>
        <v>K03102</v>
      </c>
      <c r="G1719">
        <v>10.919540229885058</v>
      </c>
    </row>
    <row r="1720" spans="1:7" x14ac:dyDescent="0.25">
      <c r="A1720">
        <v>103</v>
      </c>
      <c r="B1720">
        <v>2015</v>
      </c>
      <c r="C1720" t="str">
        <f>VLOOKUP(A1720,[2]Tabelle1!$A$1:$B$68,2,FALSE)</f>
        <v>Wolfsburg  Stadt</v>
      </c>
      <c r="D1720" t="s">
        <v>3</v>
      </c>
      <c r="E1720" t="s">
        <v>162</v>
      </c>
      <c r="F1720" t="str">
        <f>VLOOKUP(A1720,[1]Kreise!$A$1:$C$53,3,FALSE)</f>
        <v>K03103</v>
      </c>
      <c r="G1720">
        <v>5.3571428571428568</v>
      </c>
    </row>
    <row r="1721" spans="1:7" x14ac:dyDescent="0.25">
      <c r="A1721">
        <v>151</v>
      </c>
      <c r="B1721">
        <v>2015</v>
      </c>
      <c r="C1721" t="str">
        <f>VLOOKUP(A1721,[2]Tabelle1!$A$1:$B$68,2,FALSE)</f>
        <v>Gifhorn</v>
      </c>
      <c r="D1721" t="s">
        <v>3</v>
      </c>
      <c r="E1721" t="s">
        <v>162</v>
      </c>
      <c r="F1721" t="str">
        <f>VLOOKUP(A1721,[1]Kreise!$A$1:$C$53,3,FALSE)</f>
        <v>K03151</v>
      </c>
      <c r="G1721">
        <v>8.8607594936708853</v>
      </c>
    </row>
    <row r="1722" spans="1:7" x14ac:dyDescent="0.25">
      <c r="A1722">
        <v>153</v>
      </c>
      <c r="B1722">
        <v>2015</v>
      </c>
      <c r="C1722" t="str">
        <f>VLOOKUP(A1722,[2]Tabelle1!$A$1:$B$68,2,FALSE)</f>
        <v>Goslar</v>
      </c>
      <c r="D1722" t="s">
        <v>3</v>
      </c>
      <c r="E1722" t="s">
        <v>162</v>
      </c>
      <c r="F1722" t="str">
        <f>VLOOKUP(A1722,[1]Kreise!$A$1:$C$53,3,FALSE)</f>
        <v>K03153</v>
      </c>
      <c r="G1722">
        <v>18.75</v>
      </c>
    </row>
    <row r="1723" spans="1:7" x14ac:dyDescent="0.25">
      <c r="A1723">
        <v>154</v>
      </c>
      <c r="B1723">
        <v>2015</v>
      </c>
      <c r="C1723" t="str">
        <f>VLOOKUP(A1723,[2]Tabelle1!$A$1:$B$68,2,FALSE)</f>
        <v>Helmstedt</v>
      </c>
      <c r="D1723" t="s">
        <v>3</v>
      </c>
      <c r="E1723" t="s">
        <v>162</v>
      </c>
      <c r="F1723" t="str">
        <f>VLOOKUP(A1723,[1]Kreise!$A$1:$C$53,3,FALSE)</f>
        <v>K03154</v>
      </c>
      <c r="G1723">
        <v>31.25</v>
      </c>
    </row>
    <row r="1724" spans="1:7" x14ac:dyDescent="0.25">
      <c r="A1724">
        <v>155</v>
      </c>
      <c r="B1724">
        <v>2015</v>
      </c>
      <c r="C1724" t="str">
        <f>VLOOKUP(A1724,[2]Tabelle1!$A$1:$B$68,2,FALSE)</f>
        <v>Northeim</v>
      </c>
      <c r="D1724" t="s">
        <v>3</v>
      </c>
      <c r="E1724" t="s">
        <v>162</v>
      </c>
      <c r="F1724" t="str">
        <f>VLOOKUP(A1724,[1]Kreise!$A$1:$C$53,3,FALSE)</f>
        <v>K03155</v>
      </c>
      <c r="G1724">
        <v>25.352112676056336</v>
      </c>
    </row>
    <row r="1725" spans="1:7" x14ac:dyDescent="0.25">
      <c r="A1725">
        <v>157</v>
      </c>
      <c r="B1725">
        <v>2015</v>
      </c>
      <c r="C1725" t="str">
        <f>VLOOKUP(A1725,[2]Tabelle1!$A$1:$B$68,2,FALSE)</f>
        <v>Peine</v>
      </c>
      <c r="D1725" t="s">
        <v>3</v>
      </c>
      <c r="E1725" t="s">
        <v>162</v>
      </c>
      <c r="F1725" t="str">
        <f>VLOOKUP(A1725,[1]Kreise!$A$1:$C$53,3,FALSE)</f>
        <v>K03157</v>
      </c>
      <c r="G1725">
        <v>15.827338129496402</v>
      </c>
    </row>
    <row r="1726" spans="1:7" x14ac:dyDescent="0.25">
      <c r="A1726">
        <v>158</v>
      </c>
      <c r="B1726">
        <v>2015</v>
      </c>
      <c r="C1726" t="str">
        <f>VLOOKUP(A1726,[2]Tabelle1!$A$1:$B$68,2,FALSE)</f>
        <v>Wolfenbüttel</v>
      </c>
      <c r="D1726" t="s">
        <v>3</v>
      </c>
      <c r="E1726" t="s">
        <v>162</v>
      </c>
      <c r="F1726" t="str">
        <f>VLOOKUP(A1726,[1]Kreise!$A$1:$C$53,3,FALSE)</f>
        <v>K03158</v>
      </c>
      <c r="G1726">
        <v>13.725490196078432</v>
      </c>
    </row>
    <row r="1727" spans="1:7" x14ac:dyDescent="0.25">
      <c r="A1727">
        <v>159</v>
      </c>
      <c r="B1727">
        <v>2015</v>
      </c>
      <c r="C1727" t="str">
        <f>VLOOKUP(A1727,[2]Tabelle1!$A$1:$B$68,2,FALSE)</f>
        <v>Göttingen</v>
      </c>
      <c r="D1727" t="s">
        <v>3</v>
      </c>
      <c r="E1727" t="s">
        <v>162</v>
      </c>
      <c r="F1727" t="str">
        <f>VLOOKUP(A1727,[1]Kreise!$A$1:$C$53,3,FALSE)</f>
        <v>K03159</v>
      </c>
      <c r="G1727">
        <v>16.216216216216218</v>
      </c>
    </row>
    <row r="1728" spans="1:7" x14ac:dyDescent="0.25">
      <c r="A1728">
        <v>1</v>
      </c>
      <c r="B1728">
        <v>2015</v>
      </c>
      <c r="C1728" t="str">
        <f>VLOOKUP(A1728,[2]Tabelle1!$A$1:$B$68,2,FALSE)</f>
        <v>Statistische Region Braunschweig</v>
      </c>
      <c r="D1728" t="s">
        <v>3</v>
      </c>
      <c r="E1728" t="s">
        <v>162</v>
      </c>
      <c r="F1728" t="str">
        <f>VLOOKUP(A1728,[1]Kreise!$A$1:$C$53,3,FALSE)</f>
        <v>K031</v>
      </c>
      <c r="G1728">
        <v>13.908450704225354</v>
      </c>
    </row>
    <row r="1729" spans="1:7" x14ac:dyDescent="0.25">
      <c r="A1729">
        <v>241</v>
      </c>
      <c r="B1729">
        <v>2015</v>
      </c>
      <c r="C1729" t="str">
        <f>VLOOKUP(A1729,[2]Tabelle1!$A$1:$B$68,2,FALSE)</f>
        <v>Hannover  Region</v>
      </c>
      <c r="D1729" t="s">
        <v>3</v>
      </c>
      <c r="E1729" t="s">
        <v>162</v>
      </c>
      <c r="F1729" t="str">
        <f>VLOOKUP(A1729,[1]Kreise!$A$1:$C$53,3,FALSE)</f>
        <v>K03241</v>
      </c>
      <c r="G1729">
        <v>10.458991723100075</v>
      </c>
    </row>
    <row r="1730" spans="1:7" x14ac:dyDescent="0.25">
      <c r="A1730">
        <v>241001</v>
      </c>
      <c r="B1730">
        <v>2015</v>
      </c>
      <c r="C1730" t="str">
        <f>VLOOKUP(A1730,[2]Tabelle1!$A$1:$B$68,2,FALSE)</f>
        <v>dav. Hannover  Lhst.</v>
      </c>
      <c r="D1730" t="s">
        <v>3</v>
      </c>
      <c r="E1730" t="s">
        <v>162</v>
      </c>
      <c r="F1730" t="str">
        <f>VLOOKUP(A1730,[1]Kreise!$A$1:$C$53,3,FALSE)</f>
        <v>K03241001</v>
      </c>
      <c r="G1730">
        <v>9.8495212038303688</v>
      </c>
    </row>
    <row r="1731" spans="1:7" x14ac:dyDescent="0.25">
      <c r="A1731">
        <v>241999</v>
      </c>
      <c r="B1731">
        <v>2015</v>
      </c>
      <c r="C1731" t="str">
        <f>VLOOKUP(A1731,[2]Tabelle1!$A$1:$B$68,2,FALSE)</f>
        <v>dav. Hannover  Umland</v>
      </c>
      <c r="D1731" t="s">
        <v>3</v>
      </c>
      <c r="E1731" t="s">
        <v>162</v>
      </c>
      <c r="F1731" t="str">
        <f>VLOOKUP(A1731,[1]Kreise!$A$1:$C$53,3,FALSE)</f>
        <v>K03241999</v>
      </c>
      <c r="G1731">
        <v>11.204013377926421</v>
      </c>
    </row>
    <row r="1732" spans="1:7" x14ac:dyDescent="0.25">
      <c r="A1732">
        <v>251</v>
      </c>
      <c r="B1732">
        <v>2015</v>
      </c>
      <c r="C1732" t="str">
        <f>VLOOKUP(A1732,[2]Tabelle1!$A$1:$B$68,2,FALSE)</f>
        <v>Diepholz</v>
      </c>
      <c r="D1732" t="s">
        <v>3</v>
      </c>
      <c r="E1732" t="s">
        <v>162</v>
      </c>
      <c r="F1732" t="str">
        <f>VLOOKUP(A1732,[1]Kreise!$A$1:$C$53,3,FALSE)</f>
        <v>K03251</v>
      </c>
      <c r="G1732">
        <v>7.6923076923076925</v>
      </c>
    </row>
    <row r="1733" spans="1:7" x14ac:dyDescent="0.25">
      <c r="A1733">
        <v>252</v>
      </c>
      <c r="B1733">
        <v>2015</v>
      </c>
      <c r="C1733" t="str">
        <f>VLOOKUP(A1733,[2]Tabelle1!$A$1:$B$68,2,FALSE)</f>
        <v>Hameln-Pyrmont</v>
      </c>
      <c r="D1733" t="s">
        <v>3</v>
      </c>
      <c r="E1733" t="s">
        <v>162</v>
      </c>
      <c r="F1733" t="str">
        <f>VLOOKUP(A1733,[1]Kreise!$A$1:$C$53,3,FALSE)</f>
        <v>K03252</v>
      </c>
      <c r="G1733">
        <v>12</v>
      </c>
    </row>
    <row r="1734" spans="1:7" x14ac:dyDescent="0.25">
      <c r="A1734">
        <v>254</v>
      </c>
      <c r="B1734">
        <v>2015</v>
      </c>
      <c r="C1734" t="str">
        <f>VLOOKUP(A1734,[2]Tabelle1!$A$1:$B$68,2,FALSE)</f>
        <v>Hildesheim</v>
      </c>
      <c r="D1734" t="s">
        <v>3</v>
      </c>
      <c r="E1734" t="s">
        <v>162</v>
      </c>
      <c r="F1734" t="str">
        <f>VLOOKUP(A1734,[1]Kreise!$A$1:$C$53,3,FALSE)</f>
        <v>K03254</v>
      </c>
      <c r="G1734">
        <v>16.129032258064516</v>
      </c>
    </row>
    <row r="1735" spans="1:7" x14ac:dyDescent="0.25">
      <c r="A1735">
        <v>255</v>
      </c>
      <c r="B1735">
        <v>2015</v>
      </c>
      <c r="C1735" t="str">
        <f>VLOOKUP(A1735,[2]Tabelle1!$A$1:$B$68,2,FALSE)</f>
        <v>Holzminden</v>
      </c>
      <c r="D1735" t="s">
        <v>3</v>
      </c>
      <c r="E1735" t="s">
        <v>162</v>
      </c>
      <c r="F1735" t="str">
        <f>VLOOKUP(A1735,[1]Kreise!$A$1:$C$53,3,FALSE)</f>
        <v>K03255</v>
      </c>
      <c r="G1735">
        <v>10.344827586206897</v>
      </c>
    </row>
    <row r="1736" spans="1:7" x14ac:dyDescent="0.25">
      <c r="A1736">
        <v>256</v>
      </c>
      <c r="B1736">
        <v>2015</v>
      </c>
      <c r="C1736" t="str">
        <f>VLOOKUP(A1736,[2]Tabelle1!$A$1:$B$68,2,FALSE)</f>
        <v>Nienburg (Weser)</v>
      </c>
      <c r="D1736" t="s">
        <v>3</v>
      </c>
      <c r="E1736" t="s">
        <v>162</v>
      </c>
      <c r="F1736" t="str">
        <f>VLOOKUP(A1736,[1]Kreise!$A$1:$C$53,3,FALSE)</f>
        <v>K03256</v>
      </c>
      <c r="G1736">
        <v>22.891566265060241</v>
      </c>
    </row>
    <row r="1737" spans="1:7" x14ac:dyDescent="0.25">
      <c r="A1737">
        <v>257</v>
      </c>
      <c r="B1737">
        <v>2015</v>
      </c>
      <c r="C1737" t="str">
        <f>VLOOKUP(A1737,[2]Tabelle1!$A$1:$B$68,2,FALSE)</f>
        <v>Schaumburg</v>
      </c>
      <c r="D1737" t="s">
        <v>3</v>
      </c>
      <c r="E1737" t="s">
        <v>162</v>
      </c>
      <c r="F1737" t="str">
        <f>VLOOKUP(A1737,[1]Kreise!$A$1:$C$53,3,FALSE)</f>
        <v>K03257</v>
      </c>
      <c r="G1737">
        <v>16.363636363636363</v>
      </c>
    </row>
    <row r="1738" spans="1:7" x14ac:dyDescent="0.25">
      <c r="A1738">
        <v>2</v>
      </c>
      <c r="B1738">
        <v>2015</v>
      </c>
      <c r="C1738" t="str">
        <f>VLOOKUP(A1738,[2]Tabelle1!$A$1:$B$68,2,FALSE)</f>
        <v>Statistische Region Hannover</v>
      </c>
      <c r="D1738" t="s">
        <v>3</v>
      </c>
      <c r="E1738" t="s">
        <v>162</v>
      </c>
      <c r="F1738" t="str">
        <f>VLOOKUP(A1738,[1]Kreise!$A$1:$C$53,3,FALSE)</f>
        <v>K032</v>
      </c>
      <c r="G1738">
        <v>11.64150024354603</v>
      </c>
    </row>
    <row r="1739" spans="1:7" x14ac:dyDescent="0.25">
      <c r="A1739">
        <v>351</v>
      </c>
      <c r="B1739">
        <v>2015</v>
      </c>
      <c r="C1739" t="str">
        <f>VLOOKUP(A1739,[2]Tabelle1!$A$1:$B$68,2,FALSE)</f>
        <v>Celle</v>
      </c>
      <c r="D1739" t="s">
        <v>3</v>
      </c>
      <c r="E1739" t="s">
        <v>162</v>
      </c>
      <c r="F1739" t="str">
        <f>VLOOKUP(A1739,[1]Kreise!$A$1:$C$53,3,FALSE)</f>
        <v>K03351</v>
      </c>
      <c r="G1739">
        <v>10.344827586206897</v>
      </c>
    </row>
    <row r="1740" spans="1:7" x14ac:dyDescent="0.25">
      <c r="A1740">
        <v>352</v>
      </c>
      <c r="B1740">
        <v>2015</v>
      </c>
      <c r="C1740" t="str">
        <f>VLOOKUP(A1740,[2]Tabelle1!$A$1:$B$68,2,FALSE)</f>
        <v>Cuxhaven</v>
      </c>
      <c r="D1740" t="s">
        <v>3</v>
      </c>
      <c r="E1740" t="s">
        <v>162</v>
      </c>
      <c r="F1740" t="str">
        <f>VLOOKUP(A1740,[1]Kreise!$A$1:$C$53,3,FALSE)</f>
        <v>K03352</v>
      </c>
      <c r="G1740">
        <v>16.666666666666664</v>
      </c>
    </row>
    <row r="1741" spans="1:7" x14ac:dyDescent="0.25">
      <c r="A1741">
        <v>353</v>
      </c>
      <c r="B1741">
        <v>2015</v>
      </c>
      <c r="C1741" t="str">
        <f>VLOOKUP(A1741,[2]Tabelle1!$A$1:$B$68,2,FALSE)</f>
        <v>Harburg</v>
      </c>
      <c r="D1741" t="s">
        <v>3</v>
      </c>
      <c r="E1741" t="s">
        <v>162</v>
      </c>
      <c r="F1741" t="str">
        <f>VLOOKUP(A1741,[1]Kreise!$A$1:$C$53,3,FALSE)</f>
        <v>K03353</v>
      </c>
      <c r="G1741">
        <v>6.6037735849056602</v>
      </c>
    </row>
    <row r="1742" spans="1:7" x14ac:dyDescent="0.25">
      <c r="A1742">
        <v>354</v>
      </c>
      <c r="B1742">
        <v>2015</v>
      </c>
      <c r="C1742" t="str">
        <f>VLOOKUP(A1742,[2]Tabelle1!$A$1:$B$68,2,FALSE)</f>
        <v>Lüchow-Dannenberg</v>
      </c>
      <c r="D1742" t="s">
        <v>3</v>
      </c>
      <c r="E1742" t="s">
        <v>162</v>
      </c>
      <c r="F1742" t="str">
        <f>VLOOKUP(A1742,[1]Kreise!$A$1:$C$53,3,FALSE)</f>
        <v>K03354</v>
      </c>
      <c r="G1742">
        <v>18.181818181818183</v>
      </c>
    </row>
    <row r="1743" spans="1:7" x14ac:dyDescent="0.25">
      <c r="A1743">
        <v>355</v>
      </c>
      <c r="B1743">
        <v>2015</v>
      </c>
      <c r="C1743" t="str">
        <f>VLOOKUP(A1743,[2]Tabelle1!$A$1:$B$68,2,FALSE)</f>
        <v>Lüneburg</v>
      </c>
      <c r="D1743" t="s">
        <v>3</v>
      </c>
      <c r="E1743" t="s">
        <v>162</v>
      </c>
      <c r="F1743" t="str">
        <f>VLOOKUP(A1743,[1]Kreise!$A$1:$C$53,3,FALSE)</f>
        <v>K03355</v>
      </c>
      <c r="G1743">
        <v>9.7222222222222232</v>
      </c>
    </row>
    <row r="1744" spans="1:7" x14ac:dyDescent="0.25">
      <c r="A1744">
        <v>356</v>
      </c>
      <c r="B1744">
        <v>2015</v>
      </c>
      <c r="C1744" t="str">
        <f>VLOOKUP(A1744,[2]Tabelle1!$A$1:$B$68,2,FALSE)</f>
        <v>Osterholz</v>
      </c>
      <c r="D1744" t="s">
        <v>3</v>
      </c>
      <c r="E1744" t="s">
        <v>162</v>
      </c>
      <c r="F1744" t="str">
        <f>VLOOKUP(A1744,[1]Kreise!$A$1:$C$53,3,FALSE)</f>
        <v>K03356</v>
      </c>
      <c r="G1744">
        <v>9.0909090909090917</v>
      </c>
    </row>
    <row r="1745" spans="1:7" x14ac:dyDescent="0.25">
      <c r="A1745">
        <v>357</v>
      </c>
      <c r="B1745">
        <v>2015</v>
      </c>
      <c r="C1745" t="str">
        <f>VLOOKUP(A1745,[2]Tabelle1!$A$1:$B$68,2,FALSE)</f>
        <v>Rotenburg (Wümme)</v>
      </c>
      <c r="D1745" t="s">
        <v>3</v>
      </c>
      <c r="E1745" t="s">
        <v>162</v>
      </c>
      <c r="F1745" t="str">
        <f>VLOOKUP(A1745,[1]Kreise!$A$1:$C$53,3,FALSE)</f>
        <v>K03357</v>
      </c>
      <c r="G1745">
        <v>10.714285714285714</v>
      </c>
    </row>
    <row r="1746" spans="1:7" x14ac:dyDescent="0.25">
      <c r="A1746">
        <v>358</v>
      </c>
      <c r="B1746">
        <v>2015</v>
      </c>
      <c r="C1746" t="str">
        <f>VLOOKUP(A1746,[2]Tabelle1!$A$1:$B$68,2,FALSE)</f>
        <v>Heidekreis</v>
      </c>
      <c r="D1746" t="s">
        <v>3</v>
      </c>
      <c r="E1746" t="s">
        <v>162</v>
      </c>
      <c r="F1746" t="str">
        <f>VLOOKUP(A1746,[1]Kreise!$A$1:$C$53,3,FALSE)</f>
        <v>K03358</v>
      </c>
      <c r="G1746">
        <v>20.833333333333336</v>
      </c>
    </row>
    <row r="1747" spans="1:7" x14ac:dyDescent="0.25">
      <c r="A1747">
        <v>359</v>
      </c>
      <c r="B1747">
        <v>2015</v>
      </c>
      <c r="C1747" t="str">
        <f>VLOOKUP(A1747,[2]Tabelle1!$A$1:$B$68,2,FALSE)</f>
        <v>Stade</v>
      </c>
      <c r="D1747" t="s">
        <v>3</v>
      </c>
      <c r="E1747" t="s">
        <v>162</v>
      </c>
      <c r="F1747" t="str">
        <f>VLOOKUP(A1747,[1]Kreise!$A$1:$C$53,3,FALSE)</f>
        <v>K03359</v>
      </c>
      <c r="G1747">
        <v>20.588235294117645</v>
      </c>
    </row>
    <row r="1748" spans="1:7" x14ac:dyDescent="0.25">
      <c r="A1748">
        <v>360</v>
      </c>
      <c r="B1748">
        <v>2015</v>
      </c>
      <c r="C1748" t="str">
        <f>VLOOKUP(A1748,[2]Tabelle1!$A$1:$B$68,2,FALSE)</f>
        <v>Uelzen</v>
      </c>
      <c r="D1748" t="s">
        <v>3</v>
      </c>
      <c r="E1748" t="s">
        <v>162</v>
      </c>
      <c r="F1748" t="str">
        <f>VLOOKUP(A1748,[1]Kreise!$A$1:$C$53,3,FALSE)</f>
        <v>K03360</v>
      </c>
      <c r="G1748">
        <v>21.739130434782609</v>
      </c>
    </row>
    <row r="1749" spans="1:7" x14ac:dyDescent="0.25">
      <c r="A1749">
        <v>361</v>
      </c>
      <c r="B1749">
        <v>2015</v>
      </c>
      <c r="C1749" t="str">
        <f>VLOOKUP(A1749,[2]Tabelle1!$A$1:$B$68,2,FALSE)</f>
        <v>Verden</v>
      </c>
      <c r="D1749" t="s">
        <v>3</v>
      </c>
      <c r="E1749" t="s">
        <v>162</v>
      </c>
      <c r="F1749" t="str">
        <f>VLOOKUP(A1749,[1]Kreise!$A$1:$C$53,3,FALSE)</f>
        <v>K03361</v>
      </c>
      <c r="G1749">
        <v>22.105263157894736</v>
      </c>
    </row>
    <row r="1750" spans="1:7" x14ac:dyDescent="0.25">
      <c r="A1750">
        <v>3</v>
      </c>
      <c r="B1750">
        <v>2015</v>
      </c>
      <c r="C1750" t="str">
        <f>VLOOKUP(A1750,[2]Tabelle1!$A$1:$B$68,2,FALSE)</f>
        <v>Statistische Region Lüneburg</v>
      </c>
      <c r="D1750" t="s">
        <v>3</v>
      </c>
      <c r="E1750" t="s">
        <v>162</v>
      </c>
      <c r="F1750" t="str">
        <f>VLOOKUP(A1750,[1]Kreise!$A$1:$C$53,3,FALSE)</f>
        <v>K033</v>
      </c>
      <c r="G1750">
        <v>14.903846153846153</v>
      </c>
    </row>
    <row r="1751" spans="1:7" x14ac:dyDescent="0.25">
      <c r="A1751">
        <v>401</v>
      </c>
      <c r="B1751">
        <v>2015</v>
      </c>
      <c r="C1751" t="str">
        <f>VLOOKUP(A1751,[2]Tabelle1!$A$1:$B$68,2,FALSE)</f>
        <v>Delmenhorst  Stadt</v>
      </c>
      <c r="D1751" t="s">
        <v>3</v>
      </c>
      <c r="E1751" t="s">
        <v>162</v>
      </c>
      <c r="F1751" t="str">
        <f>VLOOKUP(A1751,[1]Kreise!$A$1:$C$53,3,FALSE)</f>
        <v>K03401</v>
      </c>
      <c r="G1751">
        <v>16.374269005847953</v>
      </c>
    </row>
    <row r="1752" spans="1:7" x14ac:dyDescent="0.25">
      <c r="A1752">
        <v>402</v>
      </c>
      <c r="B1752">
        <v>2015</v>
      </c>
      <c r="C1752" t="str">
        <f>VLOOKUP(A1752,[2]Tabelle1!$A$1:$B$68,2,FALSE)</f>
        <v>Emden  Stadt</v>
      </c>
      <c r="D1752" t="s">
        <v>3</v>
      </c>
      <c r="E1752" t="s">
        <v>162</v>
      </c>
      <c r="F1752" t="str">
        <f>VLOOKUP(A1752,[1]Kreise!$A$1:$C$53,3,FALSE)</f>
        <v>K03402</v>
      </c>
      <c r="G1752">
        <v>60</v>
      </c>
    </row>
    <row r="1753" spans="1:7" x14ac:dyDescent="0.25">
      <c r="A1753">
        <v>403</v>
      </c>
      <c r="B1753">
        <v>2015</v>
      </c>
      <c r="C1753" t="str">
        <f>VLOOKUP(A1753,[2]Tabelle1!$A$1:$B$68,2,FALSE)</f>
        <v>Oldenburg(Oldb)  Stadt</v>
      </c>
      <c r="D1753" t="s">
        <v>3</v>
      </c>
      <c r="E1753" t="s">
        <v>162</v>
      </c>
      <c r="F1753" t="str">
        <f>VLOOKUP(A1753,[1]Kreise!$A$1:$C$53,3,FALSE)</f>
        <v>K03403</v>
      </c>
      <c r="G1753">
        <v>12.931034482758621</v>
      </c>
    </row>
    <row r="1754" spans="1:7" x14ac:dyDescent="0.25">
      <c r="A1754">
        <v>404</v>
      </c>
      <c r="B1754">
        <v>2015</v>
      </c>
      <c r="C1754" t="str">
        <f>VLOOKUP(A1754,[2]Tabelle1!$A$1:$B$68,2,FALSE)</f>
        <v>Osnabrück  Stadt</v>
      </c>
      <c r="D1754" t="s">
        <v>3</v>
      </c>
      <c r="E1754" t="s">
        <v>162</v>
      </c>
      <c r="F1754" t="str">
        <f>VLOOKUP(A1754,[1]Kreise!$A$1:$C$53,3,FALSE)</f>
        <v>K03404</v>
      </c>
      <c r="G1754">
        <v>16.8</v>
      </c>
    </row>
    <row r="1755" spans="1:7" x14ac:dyDescent="0.25">
      <c r="A1755">
        <v>405</v>
      </c>
      <c r="B1755">
        <v>2015</v>
      </c>
      <c r="C1755" t="str">
        <f>VLOOKUP(A1755,[2]Tabelle1!$A$1:$B$68,2,FALSE)</f>
        <v>Wilhelmshaven  Stadt</v>
      </c>
      <c r="D1755" t="s">
        <v>3</v>
      </c>
      <c r="E1755" t="s">
        <v>162</v>
      </c>
      <c r="F1755" t="str">
        <f>VLOOKUP(A1755,[1]Kreise!$A$1:$C$53,3,FALSE)</f>
        <v>K03405</v>
      </c>
      <c r="G1755">
        <v>4.1666666666666661</v>
      </c>
    </row>
    <row r="1756" spans="1:7" x14ac:dyDescent="0.25">
      <c r="A1756">
        <v>451</v>
      </c>
      <c r="B1756">
        <v>2015</v>
      </c>
      <c r="C1756" t="str">
        <f>VLOOKUP(A1756,[2]Tabelle1!$A$1:$B$68,2,FALSE)</f>
        <v>Ammerland</v>
      </c>
      <c r="D1756" t="s">
        <v>3</v>
      </c>
      <c r="E1756" t="s">
        <v>162</v>
      </c>
      <c r="F1756" t="str">
        <f>VLOOKUP(A1756,[1]Kreise!$A$1:$C$53,3,FALSE)</f>
        <v>K03451</v>
      </c>
      <c r="G1756">
        <v>6.25</v>
      </c>
    </row>
    <row r="1757" spans="1:7" x14ac:dyDescent="0.25">
      <c r="A1757">
        <v>452</v>
      </c>
      <c r="B1757">
        <v>2015</v>
      </c>
      <c r="C1757" t="str">
        <f>VLOOKUP(A1757,[2]Tabelle1!$A$1:$B$68,2,FALSE)</f>
        <v>Aurich</v>
      </c>
      <c r="D1757" t="s">
        <v>3</v>
      </c>
      <c r="E1757" t="s">
        <v>162</v>
      </c>
      <c r="F1757" t="str">
        <f>VLOOKUP(A1757,[1]Kreise!$A$1:$C$53,3,FALSE)</f>
        <v>K03452</v>
      </c>
      <c r="G1757">
        <v>13.461538461538462</v>
      </c>
    </row>
    <row r="1758" spans="1:7" x14ac:dyDescent="0.25">
      <c r="A1758">
        <v>453</v>
      </c>
      <c r="B1758">
        <v>2015</v>
      </c>
      <c r="C1758" t="str">
        <f>VLOOKUP(A1758,[2]Tabelle1!$A$1:$B$68,2,FALSE)</f>
        <v>Cloppenburg</v>
      </c>
      <c r="D1758" t="s">
        <v>3</v>
      </c>
      <c r="E1758" t="s">
        <v>162</v>
      </c>
      <c r="F1758" t="str">
        <f>VLOOKUP(A1758,[1]Kreise!$A$1:$C$53,3,FALSE)</f>
        <v>K03453</v>
      </c>
      <c r="G1758">
        <v>10.606060606060606</v>
      </c>
    </row>
    <row r="1759" spans="1:7" x14ac:dyDescent="0.25">
      <c r="A1759">
        <v>454</v>
      </c>
      <c r="B1759">
        <v>2015</v>
      </c>
      <c r="C1759" t="str">
        <f>VLOOKUP(A1759,[2]Tabelle1!$A$1:$B$68,2,FALSE)</f>
        <v>Emsland</v>
      </c>
      <c r="D1759" t="s">
        <v>3</v>
      </c>
      <c r="E1759" t="s">
        <v>162</v>
      </c>
      <c r="F1759" t="str">
        <f>VLOOKUP(A1759,[1]Kreise!$A$1:$C$53,3,FALSE)</f>
        <v>K03454</v>
      </c>
      <c r="G1759">
        <v>23.972602739726025</v>
      </c>
    </row>
    <row r="1760" spans="1:7" x14ac:dyDescent="0.25">
      <c r="A1760">
        <v>455</v>
      </c>
      <c r="B1760">
        <v>2015</v>
      </c>
      <c r="C1760" t="str">
        <f>VLOOKUP(A1760,[2]Tabelle1!$A$1:$B$68,2,FALSE)</f>
        <v>Friesland</v>
      </c>
      <c r="D1760" t="s">
        <v>3</v>
      </c>
      <c r="E1760" t="s">
        <v>162</v>
      </c>
      <c r="F1760" t="str">
        <f>VLOOKUP(A1760,[1]Kreise!$A$1:$C$53,3,FALSE)</f>
        <v>K03455</v>
      </c>
      <c r="G1760">
        <v>23.255813953488371</v>
      </c>
    </row>
    <row r="1761" spans="1:7" x14ac:dyDescent="0.25">
      <c r="A1761">
        <v>456</v>
      </c>
      <c r="B1761">
        <v>2015</v>
      </c>
      <c r="C1761" t="str">
        <f>VLOOKUP(A1761,[2]Tabelle1!$A$1:$B$68,2,FALSE)</f>
        <v>Grafschaft Bentheim</v>
      </c>
      <c r="D1761" t="s">
        <v>3</v>
      </c>
      <c r="E1761" t="s">
        <v>162</v>
      </c>
      <c r="F1761" t="str">
        <f>VLOOKUP(A1761,[1]Kreise!$A$1:$C$53,3,FALSE)</f>
        <v>K03456</v>
      </c>
      <c r="G1761">
        <v>20.52980132450331</v>
      </c>
    </row>
    <row r="1762" spans="1:7" x14ac:dyDescent="0.25">
      <c r="A1762">
        <v>457</v>
      </c>
      <c r="B1762">
        <v>2015</v>
      </c>
      <c r="C1762" t="str">
        <f>VLOOKUP(A1762,[2]Tabelle1!$A$1:$B$68,2,FALSE)</f>
        <v>Leer</v>
      </c>
      <c r="D1762" t="s">
        <v>3</v>
      </c>
      <c r="E1762" t="s">
        <v>162</v>
      </c>
      <c r="F1762" t="str">
        <f>VLOOKUP(A1762,[1]Kreise!$A$1:$C$53,3,FALSE)</f>
        <v>K03457</v>
      </c>
      <c r="G1762">
        <v>17.525773195876287</v>
      </c>
    </row>
    <row r="1763" spans="1:7" x14ac:dyDescent="0.25">
      <c r="A1763">
        <v>458</v>
      </c>
      <c r="B1763">
        <v>2015</v>
      </c>
      <c r="C1763" t="str">
        <f>VLOOKUP(A1763,[2]Tabelle1!$A$1:$B$68,2,FALSE)</f>
        <v>Oldenburg</v>
      </c>
      <c r="D1763" t="s">
        <v>3</v>
      </c>
      <c r="E1763" t="s">
        <v>162</v>
      </c>
      <c r="F1763" t="str">
        <f>VLOOKUP(A1763,[1]Kreise!$A$1:$C$53,3,FALSE)</f>
        <v>K03458</v>
      </c>
      <c r="G1763">
        <v>11.428571428571429</v>
      </c>
    </row>
    <row r="1764" spans="1:7" x14ac:dyDescent="0.25">
      <c r="A1764">
        <v>459</v>
      </c>
      <c r="B1764">
        <v>2015</v>
      </c>
      <c r="C1764" t="str">
        <f>VLOOKUP(A1764,[2]Tabelle1!$A$1:$B$68,2,FALSE)</f>
        <v>Osnabrück</v>
      </c>
      <c r="D1764" t="s">
        <v>3</v>
      </c>
      <c r="E1764" t="s">
        <v>162</v>
      </c>
      <c r="F1764" t="str">
        <f>VLOOKUP(A1764,[1]Kreise!$A$1:$C$53,3,FALSE)</f>
        <v>K03459</v>
      </c>
      <c r="G1764">
        <v>23.636363636363637</v>
      </c>
    </row>
    <row r="1765" spans="1:7" x14ac:dyDescent="0.25">
      <c r="A1765">
        <v>460</v>
      </c>
      <c r="B1765">
        <v>2015</v>
      </c>
      <c r="C1765" t="str">
        <f>VLOOKUP(A1765,[2]Tabelle1!$A$1:$B$68,2,FALSE)</f>
        <v>Vechta</v>
      </c>
      <c r="D1765" t="s">
        <v>3</v>
      </c>
      <c r="E1765" t="s">
        <v>162</v>
      </c>
      <c r="F1765" t="str">
        <f>VLOOKUP(A1765,[1]Kreise!$A$1:$C$53,3,FALSE)</f>
        <v>K03460</v>
      </c>
      <c r="G1765">
        <v>19.672131147540984</v>
      </c>
    </row>
    <row r="1766" spans="1:7" x14ac:dyDescent="0.25">
      <c r="A1766">
        <v>461</v>
      </c>
      <c r="B1766">
        <v>2015</v>
      </c>
      <c r="C1766" t="str">
        <f>VLOOKUP(A1766,[2]Tabelle1!$A$1:$B$68,2,FALSE)</f>
        <v>Wesermarsch</v>
      </c>
      <c r="D1766" t="s">
        <v>3</v>
      </c>
      <c r="E1766" t="s">
        <v>162</v>
      </c>
      <c r="F1766" t="str">
        <f>VLOOKUP(A1766,[1]Kreise!$A$1:$C$53,3,FALSE)</f>
        <v>K03461</v>
      </c>
      <c r="G1766">
        <v>16</v>
      </c>
    </row>
    <row r="1767" spans="1:7" x14ac:dyDescent="0.25">
      <c r="A1767">
        <v>462</v>
      </c>
      <c r="B1767">
        <v>2015</v>
      </c>
      <c r="C1767" t="str">
        <f>VLOOKUP(A1767,[2]Tabelle1!$A$1:$B$68,2,FALSE)</f>
        <v>Wittmund</v>
      </c>
      <c r="D1767" t="s">
        <v>3</v>
      </c>
      <c r="E1767" t="s">
        <v>162</v>
      </c>
      <c r="F1767" t="str">
        <f>VLOOKUP(A1767,[1]Kreise!$A$1:$C$53,3,FALSE)</f>
        <v>K03462</v>
      </c>
      <c r="G1767">
        <v>25</v>
      </c>
    </row>
    <row r="1768" spans="1:7" x14ac:dyDescent="0.25">
      <c r="A1768">
        <v>4</v>
      </c>
      <c r="B1768">
        <v>2015</v>
      </c>
      <c r="C1768" t="str">
        <f>VLOOKUP(A1768,[2]Tabelle1!$A$1:$B$68,2,FALSE)</f>
        <v>Statistische Region Weser-Ems</v>
      </c>
      <c r="D1768" t="s">
        <v>3</v>
      </c>
      <c r="E1768" t="s">
        <v>162</v>
      </c>
      <c r="F1768" t="str">
        <f>VLOOKUP(A1768,[1]Kreise!$A$1:$C$53,3,FALSE)</f>
        <v>K034</v>
      </c>
      <c r="G1768">
        <v>18.217054263565892</v>
      </c>
    </row>
    <row r="1769" spans="1:7" x14ac:dyDescent="0.25">
      <c r="A1769">
        <v>0</v>
      </c>
      <c r="B1769">
        <v>2015</v>
      </c>
      <c r="C1769" t="str">
        <f>VLOOKUP(A1769,[2]Tabelle1!$A$1:$B$68,2,FALSE)</f>
        <v>Niedersachsen</v>
      </c>
      <c r="D1769" t="s">
        <v>3</v>
      </c>
      <c r="E1769" t="s">
        <v>162</v>
      </c>
      <c r="F1769" t="str">
        <f>VLOOKUP(A1769,[1]Kreise!$A$1:$C$53,3,FALSE)</f>
        <v>K030</v>
      </c>
      <c r="G1769">
        <v>14.419105764050997</v>
      </c>
    </row>
    <row r="1770" spans="1:7" x14ac:dyDescent="0.25">
      <c r="A1770">
        <v>101</v>
      </c>
      <c r="B1770">
        <v>2016</v>
      </c>
      <c r="C1770" t="str">
        <f>VLOOKUP(A1770,[2]Tabelle1!$A$1:$B$68,2,FALSE)</f>
        <v>Braunschweig  Stadt</v>
      </c>
      <c r="D1770" t="s">
        <v>2</v>
      </c>
      <c r="E1770" t="s">
        <v>162</v>
      </c>
      <c r="F1770" t="str">
        <f>VLOOKUP(A1770,[1]Kreise!$A$1:$C$53,3,FALSE)</f>
        <v>K03101</v>
      </c>
      <c r="G1770">
        <v>4.9403046521202141</v>
      </c>
    </row>
    <row r="1771" spans="1:7" x14ac:dyDescent="0.25">
      <c r="A1771">
        <v>102</v>
      </c>
      <c r="B1771">
        <v>2016</v>
      </c>
      <c r="C1771" t="str">
        <f>VLOOKUP(A1771,[2]Tabelle1!$A$1:$B$68,2,FALSE)</f>
        <v>Salzgitter  Stadt</v>
      </c>
      <c r="D1771" t="s">
        <v>2</v>
      </c>
      <c r="E1771" t="s">
        <v>162</v>
      </c>
      <c r="F1771" t="str">
        <f>VLOOKUP(A1771,[1]Kreise!$A$1:$C$53,3,FALSE)</f>
        <v>K03102</v>
      </c>
      <c r="G1771">
        <v>4.0048543689320395</v>
      </c>
    </row>
    <row r="1772" spans="1:7" x14ac:dyDescent="0.25">
      <c r="A1772">
        <v>103</v>
      </c>
      <c r="B1772">
        <v>2016</v>
      </c>
      <c r="C1772" t="str">
        <f>VLOOKUP(A1772,[2]Tabelle1!$A$1:$B$68,2,FALSE)</f>
        <v>Wolfsburg  Stadt</v>
      </c>
      <c r="D1772" t="s">
        <v>2</v>
      </c>
      <c r="E1772" t="s">
        <v>162</v>
      </c>
      <c r="F1772" t="str">
        <f>VLOOKUP(A1772,[1]Kreise!$A$1:$C$53,3,FALSE)</f>
        <v>K03103</v>
      </c>
      <c r="G1772">
        <v>2.890625</v>
      </c>
    </row>
    <row r="1773" spans="1:7" x14ac:dyDescent="0.25">
      <c r="A1773">
        <v>151</v>
      </c>
      <c r="B1773">
        <v>2016</v>
      </c>
      <c r="C1773" t="str">
        <f>VLOOKUP(A1773,[2]Tabelle1!$A$1:$B$68,2,FALSE)</f>
        <v>Gifhorn</v>
      </c>
      <c r="D1773" t="s">
        <v>2</v>
      </c>
      <c r="E1773" t="s">
        <v>162</v>
      </c>
      <c r="F1773" t="str">
        <f>VLOOKUP(A1773,[1]Kreise!$A$1:$C$53,3,FALSE)</f>
        <v>K03151</v>
      </c>
      <c r="G1773">
        <v>4.6437659033078882</v>
      </c>
    </row>
    <row r="1774" spans="1:7" x14ac:dyDescent="0.25">
      <c r="A1774">
        <v>153</v>
      </c>
      <c r="B1774">
        <v>2016</v>
      </c>
      <c r="C1774" t="str">
        <f>VLOOKUP(A1774,[2]Tabelle1!$A$1:$B$68,2,FALSE)</f>
        <v>Goslar</v>
      </c>
      <c r="D1774" t="s">
        <v>2</v>
      </c>
      <c r="E1774" t="s">
        <v>162</v>
      </c>
      <c r="F1774" t="str">
        <f>VLOOKUP(A1774,[1]Kreise!$A$1:$C$53,3,FALSE)</f>
        <v>K03153</v>
      </c>
      <c r="G1774">
        <v>4.9331103678929766</v>
      </c>
    </row>
    <row r="1775" spans="1:7" x14ac:dyDescent="0.25">
      <c r="A1775">
        <v>154</v>
      </c>
      <c r="B1775">
        <v>2016</v>
      </c>
      <c r="C1775" t="str">
        <f>VLOOKUP(A1775,[2]Tabelle1!$A$1:$B$68,2,FALSE)</f>
        <v>Helmstedt</v>
      </c>
      <c r="D1775" t="s">
        <v>2</v>
      </c>
      <c r="E1775" t="s">
        <v>162</v>
      </c>
      <c r="F1775" t="str">
        <f>VLOOKUP(A1775,[1]Kreise!$A$1:$C$53,3,FALSE)</f>
        <v>K03154</v>
      </c>
      <c r="G1775">
        <v>5.082592121982211</v>
      </c>
    </row>
    <row r="1776" spans="1:7" x14ac:dyDescent="0.25">
      <c r="A1776">
        <v>155</v>
      </c>
      <c r="B1776">
        <v>2016</v>
      </c>
      <c r="C1776" t="str">
        <f>VLOOKUP(A1776,[2]Tabelle1!$A$1:$B$68,2,FALSE)</f>
        <v>Northeim</v>
      </c>
      <c r="D1776" t="s">
        <v>2</v>
      </c>
      <c r="E1776" t="s">
        <v>162</v>
      </c>
      <c r="F1776" t="str">
        <f>VLOOKUP(A1776,[1]Kreise!$A$1:$C$53,3,FALSE)</f>
        <v>K03155</v>
      </c>
      <c r="G1776">
        <v>3.1869688385269122</v>
      </c>
    </row>
    <row r="1777" spans="1:7" x14ac:dyDescent="0.25">
      <c r="A1777">
        <v>157</v>
      </c>
      <c r="B1777">
        <v>2016</v>
      </c>
      <c r="C1777" t="str">
        <f>VLOOKUP(A1777,[2]Tabelle1!$A$1:$B$68,2,FALSE)</f>
        <v>Peine</v>
      </c>
      <c r="D1777" t="s">
        <v>2</v>
      </c>
      <c r="E1777" t="s">
        <v>162</v>
      </c>
      <c r="F1777" t="str">
        <f>VLOOKUP(A1777,[1]Kreise!$A$1:$C$53,3,FALSE)</f>
        <v>K03157</v>
      </c>
      <c r="G1777">
        <v>3.0211480362537766</v>
      </c>
    </row>
    <row r="1778" spans="1:7" x14ac:dyDescent="0.25">
      <c r="A1778">
        <v>158</v>
      </c>
      <c r="B1778">
        <v>2016</v>
      </c>
      <c r="C1778" t="str">
        <f>VLOOKUP(A1778,[2]Tabelle1!$A$1:$B$68,2,FALSE)</f>
        <v>Wolfenbüttel</v>
      </c>
      <c r="D1778" t="s">
        <v>2</v>
      </c>
      <c r="E1778" t="s">
        <v>162</v>
      </c>
      <c r="F1778" t="str">
        <f>VLOOKUP(A1778,[1]Kreise!$A$1:$C$53,3,FALSE)</f>
        <v>K03158</v>
      </c>
      <c r="G1778">
        <v>3.4274193548387095</v>
      </c>
    </row>
    <row r="1779" spans="1:7" x14ac:dyDescent="0.25">
      <c r="A1779">
        <v>159</v>
      </c>
      <c r="B1779">
        <v>2016</v>
      </c>
      <c r="C1779" t="str">
        <f>VLOOKUP(A1779,[2]Tabelle1!$A$1:$B$68,2,FALSE)</f>
        <v>Göttingen</v>
      </c>
      <c r="D1779" t="s">
        <v>2</v>
      </c>
      <c r="E1779" t="s">
        <v>162</v>
      </c>
      <c r="F1779" t="str">
        <f>VLOOKUP(A1779,[1]Kreise!$A$1:$C$53,3,FALSE)</f>
        <v>K03159</v>
      </c>
      <c r="G1779">
        <v>3.4106412005457027</v>
      </c>
    </row>
    <row r="1780" spans="1:7" x14ac:dyDescent="0.25">
      <c r="A1780">
        <v>1</v>
      </c>
      <c r="B1780">
        <v>2016</v>
      </c>
      <c r="C1780" t="str">
        <f>VLOOKUP(A1780,[2]Tabelle1!$A$1:$B$68,2,FALSE)</f>
        <v>Statistische Region Braunschweig</v>
      </c>
      <c r="D1780" t="s">
        <v>2</v>
      </c>
      <c r="E1780" t="s">
        <v>162</v>
      </c>
      <c r="F1780" t="str">
        <f>VLOOKUP(A1780,[1]Kreise!$A$1:$C$53,3,FALSE)</f>
        <v>K031</v>
      </c>
      <c r="G1780">
        <v>3.9395172226742612</v>
      </c>
    </row>
    <row r="1781" spans="1:7" x14ac:dyDescent="0.25">
      <c r="A1781">
        <v>241</v>
      </c>
      <c r="B1781">
        <v>2016</v>
      </c>
      <c r="C1781" t="str">
        <f>VLOOKUP(A1781,[2]Tabelle1!$A$1:$B$68,2,FALSE)</f>
        <v>Hannover  Region</v>
      </c>
      <c r="D1781" t="s">
        <v>2</v>
      </c>
      <c r="E1781" t="s">
        <v>162</v>
      </c>
      <c r="F1781" t="str">
        <f>VLOOKUP(A1781,[1]Kreise!$A$1:$C$53,3,FALSE)</f>
        <v>K03241</v>
      </c>
      <c r="G1781">
        <v>3.8327526132404177</v>
      </c>
    </row>
    <row r="1782" spans="1:7" x14ac:dyDescent="0.25">
      <c r="A1782">
        <v>241001</v>
      </c>
      <c r="B1782">
        <v>2016</v>
      </c>
      <c r="C1782" t="str">
        <f>VLOOKUP(A1782,[2]Tabelle1!$A$1:$B$68,2,FALSE)</f>
        <v>dav. Hannover  Lhst.</v>
      </c>
      <c r="D1782" t="s">
        <v>2</v>
      </c>
      <c r="E1782" t="s">
        <v>162</v>
      </c>
      <c r="F1782" t="str">
        <f>VLOOKUP(A1782,[1]Kreise!$A$1:$C$53,3,FALSE)</f>
        <v>K03241001</v>
      </c>
      <c r="G1782">
        <v>4.2703694000523971</v>
      </c>
    </row>
    <row r="1783" spans="1:7" x14ac:dyDescent="0.25">
      <c r="A1783">
        <v>241999</v>
      </c>
      <c r="B1783">
        <v>2016</v>
      </c>
      <c r="C1783" t="str">
        <f>VLOOKUP(A1783,[2]Tabelle1!$A$1:$B$68,2,FALSE)</f>
        <v>dav. Hannover  Umland</v>
      </c>
      <c r="D1783" t="s">
        <v>2</v>
      </c>
      <c r="E1783" t="s">
        <v>162</v>
      </c>
      <c r="F1783" t="str">
        <f>VLOOKUP(A1783,[1]Kreise!$A$1:$C$53,3,FALSE)</f>
        <v>K03241999</v>
      </c>
      <c r="G1783">
        <v>3.5515906413061771</v>
      </c>
    </row>
    <row r="1784" spans="1:7" x14ac:dyDescent="0.25">
      <c r="A1784">
        <v>251</v>
      </c>
      <c r="B1784">
        <v>2016</v>
      </c>
      <c r="C1784" t="str">
        <f>VLOOKUP(A1784,[2]Tabelle1!$A$1:$B$68,2,FALSE)</f>
        <v>Diepholz</v>
      </c>
      <c r="D1784" t="s">
        <v>2</v>
      </c>
      <c r="E1784" t="s">
        <v>162</v>
      </c>
      <c r="F1784" t="str">
        <f>VLOOKUP(A1784,[1]Kreise!$A$1:$C$53,3,FALSE)</f>
        <v>K03251</v>
      </c>
      <c r="G1784">
        <v>2.9172029172029172</v>
      </c>
    </row>
    <row r="1785" spans="1:7" x14ac:dyDescent="0.25">
      <c r="A1785">
        <v>252</v>
      </c>
      <c r="B1785">
        <v>2016</v>
      </c>
      <c r="C1785" t="str">
        <f>VLOOKUP(A1785,[2]Tabelle1!$A$1:$B$68,2,FALSE)</f>
        <v>Hameln-Pyrmont</v>
      </c>
      <c r="D1785" t="s">
        <v>2</v>
      </c>
      <c r="E1785" t="s">
        <v>162</v>
      </c>
      <c r="F1785" t="str">
        <f>VLOOKUP(A1785,[1]Kreise!$A$1:$C$53,3,FALSE)</f>
        <v>K03252</v>
      </c>
      <c r="G1785">
        <v>3.1757233592095977</v>
      </c>
    </row>
    <row r="1786" spans="1:7" x14ac:dyDescent="0.25">
      <c r="A1786">
        <v>254</v>
      </c>
      <c r="B1786">
        <v>2016</v>
      </c>
      <c r="C1786" t="str">
        <f>VLOOKUP(A1786,[2]Tabelle1!$A$1:$B$68,2,FALSE)</f>
        <v>Hildesheim</v>
      </c>
      <c r="D1786" t="s">
        <v>2</v>
      </c>
      <c r="E1786" t="s">
        <v>162</v>
      </c>
      <c r="F1786" t="str">
        <f>VLOOKUP(A1786,[1]Kreise!$A$1:$C$53,3,FALSE)</f>
        <v>K03254</v>
      </c>
      <c r="G1786">
        <v>5.3068592057761732</v>
      </c>
    </row>
    <row r="1787" spans="1:7" x14ac:dyDescent="0.25">
      <c r="A1787">
        <v>255</v>
      </c>
      <c r="B1787">
        <v>2016</v>
      </c>
      <c r="C1787" t="str">
        <f>VLOOKUP(A1787,[2]Tabelle1!$A$1:$B$68,2,FALSE)</f>
        <v>Holzminden</v>
      </c>
      <c r="D1787" t="s">
        <v>2</v>
      </c>
      <c r="E1787" t="s">
        <v>162</v>
      </c>
      <c r="F1787" t="str">
        <f>VLOOKUP(A1787,[1]Kreise!$A$1:$C$53,3,FALSE)</f>
        <v>K03255</v>
      </c>
      <c r="G1787">
        <v>4.0307101727447217</v>
      </c>
    </row>
    <row r="1788" spans="1:7" x14ac:dyDescent="0.25">
      <c r="A1788">
        <v>256</v>
      </c>
      <c r="B1788">
        <v>2016</v>
      </c>
      <c r="C1788" t="str">
        <f>VLOOKUP(A1788,[2]Tabelle1!$A$1:$B$68,2,FALSE)</f>
        <v>Nienburg (Weser)</v>
      </c>
      <c r="D1788" t="s">
        <v>2</v>
      </c>
      <c r="E1788" t="s">
        <v>162</v>
      </c>
      <c r="F1788" t="str">
        <f>VLOOKUP(A1788,[1]Kreise!$A$1:$C$53,3,FALSE)</f>
        <v>K03256</v>
      </c>
      <c r="G1788">
        <v>3.6450079239302693</v>
      </c>
    </row>
    <row r="1789" spans="1:7" x14ac:dyDescent="0.25">
      <c r="A1789">
        <v>257</v>
      </c>
      <c r="B1789">
        <v>2016</v>
      </c>
      <c r="C1789" t="str">
        <f>VLOOKUP(A1789,[2]Tabelle1!$A$1:$B$68,2,FALSE)</f>
        <v>Schaumburg</v>
      </c>
      <c r="D1789" t="s">
        <v>2</v>
      </c>
      <c r="E1789" t="s">
        <v>162</v>
      </c>
      <c r="F1789" t="str">
        <f>VLOOKUP(A1789,[1]Kreise!$A$1:$C$53,3,FALSE)</f>
        <v>K03257</v>
      </c>
      <c r="G1789">
        <v>3.7748344370860929</v>
      </c>
    </row>
    <row r="1790" spans="1:7" x14ac:dyDescent="0.25">
      <c r="A1790">
        <v>2</v>
      </c>
      <c r="B1790">
        <v>2016</v>
      </c>
      <c r="C1790" t="str">
        <f>VLOOKUP(A1790,[2]Tabelle1!$A$1:$B$68,2,FALSE)</f>
        <v>Statistische Region Hannover</v>
      </c>
      <c r="D1790" t="s">
        <v>2</v>
      </c>
      <c r="E1790" t="s">
        <v>162</v>
      </c>
      <c r="F1790" t="str">
        <f>VLOOKUP(A1790,[1]Kreise!$A$1:$C$53,3,FALSE)</f>
        <v>K032</v>
      </c>
      <c r="G1790">
        <v>3.8734733507077519</v>
      </c>
    </row>
    <row r="1791" spans="1:7" x14ac:dyDescent="0.25">
      <c r="A1791">
        <v>351</v>
      </c>
      <c r="B1791">
        <v>2016</v>
      </c>
      <c r="C1791" t="str">
        <f>VLOOKUP(A1791,[2]Tabelle1!$A$1:$B$68,2,FALSE)</f>
        <v>Celle</v>
      </c>
      <c r="D1791" t="s">
        <v>2</v>
      </c>
      <c r="E1791" t="s">
        <v>162</v>
      </c>
      <c r="F1791" t="str">
        <f>VLOOKUP(A1791,[1]Kreise!$A$1:$C$53,3,FALSE)</f>
        <v>K03351</v>
      </c>
      <c r="G1791">
        <v>4.7344849648112604</v>
      </c>
    </row>
    <row r="1792" spans="1:7" x14ac:dyDescent="0.25">
      <c r="A1792">
        <v>352</v>
      </c>
      <c r="B1792">
        <v>2016</v>
      </c>
      <c r="C1792" t="str">
        <f>VLOOKUP(A1792,[2]Tabelle1!$A$1:$B$68,2,FALSE)</f>
        <v>Cuxhaven</v>
      </c>
      <c r="D1792" t="s">
        <v>2</v>
      </c>
      <c r="E1792" t="s">
        <v>162</v>
      </c>
      <c r="F1792" t="str">
        <f>VLOOKUP(A1792,[1]Kreise!$A$1:$C$53,3,FALSE)</f>
        <v>K03352</v>
      </c>
      <c r="G1792">
        <v>5.6650246305418719</v>
      </c>
    </row>
    <row r="1793" spans="1:7" x14ac:dyDescent="0.25">
      <c r="A1793">
        <v>353</v>
      </c>
      <c r="B1793">
        <v>2016</v>
      </c>
      <c r="C1793" t="str">
        <f>VLOOKUP(A1793,[2]Tabelle1!$A$1:$B$68,2,FALSE)</f>
        <v>Harburg</v>
      </c>
      <c r="D1793" t="s">
        <v>2</v>
      </c>
      <c r="E1793" t="s">
        <v>162</v>
      </c>
      <c r="F1793" t="str">
        <f>VLOOKUP(A1793,[1]Kreise!$A$1:$C$53,3,FALSE)</f>
        <v>K03353</v>
      </c>
      <c r="G1793">
        <v>2.445984508764778</v>
      </c>
    </row>
    <row r="1794" spans="1:7" x14ac:dyDescent="0.25">
      <c r="A1794">
        <v>354</v>
      </c>
      <c r="B1794">
        <v>2016</v>
      </c>
      <c r="C1794" t="str">
        <f>VLOOKUP(A1794,[2]Tabelle1!$A$1:$B$68,2,FALSE)</f>
        <v>Lüchow-Dannenberg</v>
      </c>
      <c r="D1794" t="s">
        <v>2</v>
      </c>
      <c r="E1794" t="s">
        <v>162</v>
      </c>
      <c r="F1794" t="str">
        <f>VLOOKUP(A1794,[1]Kreise!$A$1:$C$53,3,FALSE)</f>
        <v>K03354</v>
      </c>
      <c r="G1794">
        <v>4.8732943469785575</v>
      </c>
    </row>
    <row r="1795" spans="1:7" x14ac:dyDescent="0.25">
      <c r="A1795">
        <v>355</v>
      </c>
      <c r="B1795">
        <v>2016</v>
      </c>
      <c r="C1795" t="str">
        <f>VLOOKUP(A1795,[2]Tabelle1!$A$1:$B$68,2,FALSE)</f>
        <v>Lüneburg</v>
      </c>
      <c r="D1795" t="s">
        <v>2</v>
      </c>
      <c r="E1795" t="s">
        <v>162</v>
      </c>
      <c r="F1795" t="str">
        <f>VLOOKUP(A1795,[1]Kreise!$A$1:$C$53,3,FALSE)</f>
        <v>K03355</v>
      </c>
      <c r="G1795">
        <v>3.397027600849257</v>
      </c>
    </row>
    <row r="1796" spans="1:7" x14ac:dyDescent="0.25">
      <c r="A1796">
        <v>356</v>
      </c>
      <c r="B1796">
        <v>2016</v>
      </c>
      <c r="C1796" t="str">
        <f>VLOOKUP(A1796,[2]Tabelle1!$A$1:$B$68,2,FALSE)</f>
        <v>Osterholz</v>
      </c>
      <c r="D1796" t="s">
        <v>2</v>
      </c>
      <c r="E1796" t="s">
        <v>162</v>
      </c>
      <c r="F1796" t="str">
        <f>VLOOKUP(A1796,[1]Kreise!$A$1:$C$53,3,FALSE)</f>
        <v>K03356</v>
      </c>
      <c r="G1796">
        <v>2.3558082859463854</v>
      </c>
    </row>
    <row r="1797" spans="1:7" x14ac:dyDescent="0.25">
      <c r="A1797">
        <v>357</v>
      </c>
      <c r="B1797">
        <v>2016</v>
      </c>
      <c r="C1797" t="str">
        <f>VLOOKUP(A1797,[2]Tabelle1!$A$1:$B$68,2,FALSE)</f>
        <v>Rotenburg (Wümme)</v>
      </c>
      <c r="D1797" t="s">
        <v>2</v>
      </c>
      <c r="E1797" t="s">
        <v>162</v>
      </c>
      <c r="F1797" t="str">
        <f>VLOOKUP(A1797,[1]Kreise!$A$1:$C$53,3,FALSE)</f>
        <v>K03357</v>
      </c>
      <c r="G1797">
        <v>4.7365620010643958</v>
      </c>
    </row>
    <row r="1798" spans="1:7" x14ac:dyDescent="0.25">
      <c r="A1798">
        <v>358</v>
      </c>
      <c r="B1798">
        <v>2016</v>
      </c>
      <c r="C1798" t="str">
        <f>VLOOKUP(A1798,[2]Tabelle1!$A$1:$B$68,2,FALSE)</f>
        <v>Heidekreis</v>
      </c>
      <c r="D1798" t="s">
        <v>2</v>
      </c>
      <c r="E1798" t="s">
        <v>162</v>
      </c>
      <c r="F1798" t="str">
        <f>VLOOKUP(A1798,[1]Kreise!$A$1:$C$53,3,FALSE)</f>
        <v>K03358</v>
      </c>
      <c r="G1798">
        <v>6.5551839464882935</v>
      </c>
    </row>
    <row r="1799" spans="1:7" x14ac:dyDescent="0.25">
      <c r="A1799">
        <v>359</v>
      </c>
      <c r="B1799">
        <v>2016</v>
      </c>
      <c r="C1799" t="str">
        <f>VLOOKUP(A1799,[2]Tabelle1!$A$1:$B$68,2,FALSE)</f>
        <v>Stade</v>
      </c>
      <c r="D1799" t="s">
        <v>2</v>
      </c>
      <c r="E1799" t="s">
        <v>162</v>
      </c>
      <c r="F1799" t="str">
        <f>VLOOKUP(A1799,[1]Kreise!$A$1:$C$53,3,FALSE)</f>
        <v>K03359</v>
      </c>
      <c r="G1799">
        <v>5.0023820867079563</v>
      </c>
    </row>
    <row r="1800" spans="1:7" x14ac:dyDescent="0.25">
      <c r="A1800">
        <v>360</v>
      </c>
      <c r="B1800">
        <v>2016</v>
      </c>
      <c r="C1800" t="str">
        <f>VLOOKUP(A1800,[2]Tabelle1!$A$1:$B$68,2,FALSE)</f>
        <v>Uelzen</v>
      </c>
      <c r="D1800" t="s">
        <v>2</v>
      </c>
      <c r="E1800" t="s">
        <v>162</v>
      </c>
      <c r="F1800" t="str">
        <f>VLOOKUP(A1800,[1]Kreise!$A$1:$C$53,3,FALSE)</f>
        <v>K03360</v>
      </c>
      <c r="G1800">
        <v>3.8883349950149553</v>
      </c>
    </row>
    <row r="1801" spans="1:7" x14ac:dyDescent="0.25">
      <c r="A1801">
        <v>361</v>
      </c>
      <c r="B1801">
        <v>2016</v>
      </c>
      <c r="C1801" t="str">
        <f>VLOOKUP(A1801,[2]Tabelle1!$A$1:$B$68,2,FALSE)</f>
        <v>Verden</v>
      </c>
      <c r="D1801" t="s">
        <v>2</v>
      </c>
      <c r="E1801" t="s">
        <v>162</v>
      </c>
      <c r="F1801" t="str">
        <f>VLOOKUP(A1801,[1]Kreise!$A$1:$C$53,3,FALSE)</f>
        <v>K03361</v>
      </c>
      <c r="G1801">
        <v>3.6199095022624439</v>
      </c>
    </row>
    <row r="1802" spans="1:7" x14ac:dyDescent="0.25">
      <c r="A1802">
        <v>3</v>
      </c>
      <c r="B1802">
        <v>2016</v>
      </c>
      <c r="C1802" t="str">
        <f>VLOOKUP(A1802,[2]Tabelle1!$A$1:$B$68,2,FALSE)</f>
        <v>Statistische Region Lüneburg</v>
      </c>
      <c r="D1802" t="s">
        <v>2</v>
      </c>
      <c r="E1802" t="s">
        <v>162</v>
      </c>
      <c r="F1802" t="str">
        <f>VLOOKUP(A1802,[1]Kreise!$A$1:$C$53,3,FALSE)</f>
        <v>K033</v>
      </c>
      <c r="G1802">
        <v>4.2687113756008239</v>
      </c>
    </row>
    <row r="1803" spans="1:7" x14ac:dyDescent="0.25">
      <c r="A1803">
        <v>401</v>
      </c>
      <c r="B1803">
        <v>2016</v>
      </c>
      <c r="C1803" t="str">
        <f>VLOOKUP(A1803,[2]Tabelle1!$A$1:$B$68,2,FALSE)</f>
        <v>Delmenhorst  Stadt</v>
      </c>
      <c r="D1803" t="s">
        <v>2</v>
      </c>
      <c r="E1803" t="s">
        <v>162</v>
      </c>
      <c r="F1803" t="str">
        <f>VLOOKUP(A1803,[1]Kreise!$A$1:$C$53,3,FALSE)</f>
        <v>K03401</v>
      </c>
      <c r="G1803">
        <v>4.8846675712347354</v>
      </c>
    </row>
    <row r="1804" spans="1:7" x14ac:dyDescent="0.25">
      <c r="A1804">
        <v>402</v>
      </c>
      <c r="B1804">
        <v>2016</v>
      </c>
      <c r="C1804" t="str">
        <f>VLOOKUP(A1804,[2]Tabelle1!$A$1:$B$68,2,FALSE)</f>
        <v>Emden  Stadt</v>
      </c>
      <c r="D1804" t="s">
        <v>2</v>
      </c>
      <c r="E1804" t="s">
        <v>162</v>
      </c>
      <c r="F1804" t="str">
        <f>VLOOKUP(A1804,[1]Kreise!$A$1:$C$53,3,FALSE)</f>
        <v>K03402</v>
      </c>
      <c r="G1804">
        <v>6.3314711359404097</v>
      </c>
    </row>
    <row r="1805" spans="1:7" x14ac:dyDescent="0.25">
      <c r="A1805">
        <v>403</v>
      </c>
      <c r="B1805">
        <v>2016</v>
      </c>
      <c r="C1805" t="str">
        <f>VLOOKUP(A1805,[2]Tabelle1!$A$1:$B$68,2,FALSE)</f>
        <v>Oldenburg(Oldb)  Stadt</v>
      </c>
      <c r="D1805" t="s">
        <v>2</v>
      </c>
      <c r="E1805" t="s">
        <v>162</v>
      </c>
      <c r="F1805" t="str">
        <f>VLOOKUP(A1805,[1]Kreise!$A$1:$C$53,3,FALSE)</f>
        <v>K03403</v>
      </c>
      <c r="G1805">
        <v>4.7907488986784141</v>
      </c>
    </row>
    <row r="1806" spans="1:7" x14ac:dyDescent="0.25">
      <c r="A1806">
        <v>404</v>
      </c>
      <c r="B1806">
        <v>2016</v>
      </c>
      <c r="C1806" t="str">
        <f>VLOOKUP(A1806,[2]Tabelle1!$A$1:$B$68,2,FALSE)</f>
        <v>Osnabrück  Stadt</v>
      </c>
      <c r="D1806" t="s">
        <v>2</v>
      </c>
      <c r="E1806" t="s">
        <v>162</v>
      </c>
      <c r="F1806" t="str">
        <f>VLOOKUP(A1806,[1]Kreise!$A$1:$C$53,3,FALSE)</f>
        <v>K03404</v>
      </c>
      <c r="G1806">
        <v>4.2926829268292686</v>
      </c>
    </row>
    <row r="1807" spans="1:7" x14ac:dyDescent="0.25">
      <c r="A1807">
        <v>405</v>
      </c>
      <c r="B1807">
        <v>2016</v>
      </c>
      <c r="C1807" t="str">
        <f>VLOOKUP(A1807,[2]Tabelle1!$A$1:$B$68,2,FALSE)</f>
        <v>Wilhelmshaven  Stadt</v>
      </c>
      <c r="D1807" t="s">
        <v>2</v>
      </c>
      <c r="E1807" t="s">
        <v>162</v>
      </c>
      <c r="F1807" t="str">
        <f>VLOOKUP(A1807,[1]Kreise!$A$1:$C$53,3,FALSE)</f>
        <v>K03405</v>
      </c>
      <c r="G1807" t="s">
        <v>84</v>
      </c>
    </row>
    <row r="1808" spans="1:7" x14ac:dyDescent="0.25">
      <c r="A1808">
        <v>451</v>
      </c>
      <c r="B1808">
        <v>2016</v>
      </c>
      <c r="C1808" t="str">
        <f>VLOOKUP(A1808,[2]Tabelle1!$A$1:$B$68,2,FALSE)</f>
        <v>Ammerland</v>
      </c>
      <c r="D1808" t="s">
        <v>2</v>
      </c>
      <c r="E1808" t="s">
        <v>162</v>
      </c>
      <c r="F1808" t="str">
        <f>VLOOKUP(A1808,[1]Kreise!$A$1:$C$53,3,FALSE)</f>
        <v>K03451</v>
      </c>
      <c r="G1808">
        <v>3.5686578743211794</v>
      </c>
    </row>
    <row r="1809" spans="1:7" x14ac:dyDescent="0.25">
      <c r="A1809">
        <v>452</v>
      </c>
      <c r="B1809">
        <v>2016</v>
      </c>
      <c r="C1809" t="str">
        <f>VLOOKUP(A1809,[2]Tabelle1!$A$1:$B$68,2,FALSE)</f>
        <v>Aurich</v>
      </c>
      <c r="D1809" t="s">
        <v>2</v>
      </c>
      <c r="E1809" t="s">
        <v>162</v>
      </c>
      <c r="F1809" t="str">
        <f>VLOOKUP(A1809,[1]Kreise!$A$1:$C$53,3,FALSE)</f>
        <v>K03452</v>
      </c>
      <c r="G1809">
        <v>7.6199435559736601</v>
      </c>
    </row>
    <row r="1810" spans="1:7" x14ac:dyDescent="0.25">
      <c r="A1810">
        <v>453</v>
      </c>
      <c r="B1810">
        <v>2016</v>
      </c>
      <c r="C1810" t="str">
        <f>VLOOKUP(A1810,[2]Tabelle1!$A$1:$B$68,2,FALSE)</f>
        <v>Cloppenburg</v>
      </c>
      <c r="D1810" t="s">
        <v>2</v>
      </c>
      <c r="E1810" t="s">
        <v>162</v>
      </c>
      <c r="F1810" t="str">
        <f>VLOOKUP(A1810,[1]Kreise!$A$1:$C$53,3,FALSE)</f>
        <v>K03453</v>
      </c>
      <c r="G1810">
        <v>3.6290322580645165</v>
      </c>
    </row>
    <row r="1811" spans="1:7" x14ac:dyDescent="0.25">
      <c r="A1811">
        <v>454</v>
      </c>
      <c r="B1811">
        <v>2016</v>
      </c>
      <c r="C1811" t="str">
        <f>VLOOKUP(A1811,[2]Tabelle1!$A$1:$B$68,2,FALSE)</f>
        <v>Emsland</v>
      </c>
      <c r="D1811" t="s">
        <v>2</v>
      </c>
      <c r="E1811" t="s">
        <v>162</v>
      </c>
      <c r="F1811" t="str">
        <f>VLOOKUP(A1811,[1]Kreise!$A$1:$C$53,3,FALSE)</f>
        <v>K03454</v>
      </c>
      <c r="G1811">
        <v>5.588714053174173</v>
      </c>
    </row>
    <row r="1812" spans="1:7" x14ac:dyDescent="0.25">
      <c r="A1812">
        <v>455</v>
      </c>
      <c r="B1812">
        <v>2016</v>
      </c>
      <c r="C1812" t="str">
        <f>VLOOKUP(A1812,[2]Tabelle1!$A$1:$B$68,2,FALSE)</f>
        <v>Friesland</v>
      </c>
      <c r="D1812" t="s">
        <v>2</v>
      </c>
      <c r="E1812" t="s">
        <v>162</v>
      </c>
      <c r="F1812" t="str">
        <f>VLOOKUP(A1812,[1]Kreise!$A$1:$C$53,3,FALSE)</f>
        <v>K03455</v>
      </c>
      <c r="G1812">
        <v>3.9634146341463414</v>
      </c>
    </row>
    <row r="1813" spans="1:7" x14ac:dyDescent="0.25">
      <c r="A1813">
        <v>456</v>
      </c>
      <c r="B1813">
        <v>2016</v>
      </c>
      <c r="C1813" t="str">
        <f>VLOOKUP(A1813,[2]Tabelle1!$A$1:$B$68,2,FALSE)</f>
        <v>Grafschaft Bentheim</v>
      </c>
      <c r="D1813" t="s">
        <v>2</v>
      </c>
      <c r="E1813" t="s">
        <v>162</v>
      </c>
      <c r="F1813" t="str">
        <f>VLOOKUP(A1813,[1]Kreise!$A$1:$C$53,3,FALSE)</f>
        <v>K03456</v>
      </c>
      <c r="G1813">
        <v>5.0858652575957732</v>
      </c>
    </row>
    <row r="1814" spans="1:7" x14ac:dyDescent="0.25">
      <c r="A1814">
        <v>457</v>
      </c>
      <c r="B1814">
        <v>2016</v>
      </c>
      <c r="C1814" t="str">
        <f>VLOOKUP(A1814,[2]Tabelle1!$A$1:$B$68,2,FALSE)</f>
        <v>Leer</v>
      </c>
      <c r="D1814" t="s">
        <v>2</v>
      </c>
      <c r="E1814" t="s">
        <v>162</v>
      </c>
      <c r="F1814" t="str">
        <f>VLOOKUP(A1814,[1]Kreise!$A$1:$C$53,3,FALSE)</f>
        <v>K03457</v>
      </c>
      <c r="G1814">
        <v>7.625649913344887</v>
      </c>
    </row>
    <row r="1815" spans="1:7" x14ac:dyDescent="0.25">
      <c r="A1815">
        <v>458</v>
      </c>
      <c r="B1815">
        <v>2016</v>
      </c>
      <c r="C1815" t="str">
        <f>VLOOKUP(A1815,[2]Tabelle1!$A$1:$B$68,2,FALSE)</f>
        <v>Oldenburg</v>
      </c>
      <c r="D1815" t="s">
        <v>2</v>
      </c>
      <c r="E1815" t="s">
        <v>162</v>
      </c>
      <c r="F1815" t="str">
        <f>VLOOKUP(A1815,[1]Kreise!$A$1:$C$53,3,FALSE)</f>
        <v>K03458</v>
      </c>
      <c r="G1815">
        <v>4.934464148033924</v>
      </c>
    </row>
    <row r="1816" spans="1:7" x14ac:dyDescent="0.25">
      <c r="A1816">
        <v>459</v>
      </c>
      <c r="B1816">
        <v>2016</v>
      </c>
      <c r="C1816" t="str">
        <f>VLOOKUP(A1816,[2]Tabelle1!$A$1:$B$68,2,FALSE)</f>
        <v>Osnabrück</v>
      </c>
      <c r="D1816" t="s">
        <v>2</v>
      </c>
      <c r="E1816" t="s">
        <v>162</v>
      </c>
      <c r="F1816" t="str">
        <f>VLOOKUP(A1816,[1]Kreise!$A$1:$C$53,3,FALSE)</f>
        <v>K03459</v>
      </c>
      <c r="G1816">
        <v>4.231625835189309</v>
      </c>
    </row>
    <row r="1817" spans="1:7" x14ac:dyDescent="0.25">
      <c r="A1817">
        <v>460</v>
      </c>
      <c r="B1817">
        <v>2016</v>
      </c>
      <c r="C1817" t="str">
        <f>VLOOKUP(A1817,[2]Tabelle1!$A$1:$B$68,2,FALSE)</f>
        <v>Vechta</v>
      </c>
      <c r="D1817" t="s">
        <v>2</v>
      </c>
      <c r="E1817" t="s">
        <v>162</v>
      </c>
      <c r="F1817" t="str">
        <f>VLOOKUP(A1817,[1]Kreise!$A$1:$C$53,3,FALSE)</f>
        <v>K03460</v>
      </c>
      <c r="G1817">
        <v>4.3380281690140849</v>
      </c>
    </row>
    <row r="1818" spans="1:7" x14ac:dyDescent="0.25">
      <c r="A1818">
        <v>461</v>
      </c>
      <c r="B1818">
        <v>2016</v>
      </c>
      <c r="C1818" t="str">
        <f>VLOOKUP(A1818,[2]Tabelle1!$A$1:$B$68,2,FALSE)</f>
        <v>Wesermarsch</v>
      </c>
      <c r="D1818" t="s">
        <v>2</v>
      </c>
      <c r="E1818" t="s">
        <v>162</v>
      </c>
      <c r="F1818" t="str">
        <f>VLOOKUP(A1818,[1]Kreise!$A$1:$C$53,3,FALSE)</f>
        <v>K03461</v>
      </c>
      <c r="G1818">
        <v>3.4188034188034191</v>
      </c>
    </row>
    <row r="1819" spans="1:7" x14ac:dyDescent="0.25">
      <c r="A1819">
        <v>462</v>
      </c>
      <c r="B1819">
        <v>2016</v>
      </c>
      <c r="C1819" t="str">
        <f>VLOOKUP(A1819,[2]Tabelle1!$A$1:$B$68,2,FALSE)</f>
        <v>Wittmund</v>
      </c>
      <c r="D1819" t="s">
        <v>2</v>
      </c>
      <c r="E1819" t="s">
        <v>162</v>
      </c>
      <c r="F1819" t="str">
        <f>VLOOKUP(A1819,[1]Kreise!$A$1:$C$53,3,FALSE)</f>
        <v>K03462</v>
      </c>
      <c r="G1819">
        <v>5.2173913043478262</v>
      </c>
    </row>
    <row r="1820" spans="1:7" x14ac:dyDescent="0.25">
      <c r="A1820">
        <v>4</v>
      </c>
      <c r="B1820">
        <v>2016</v>
      </c>
      <c r="C1820" t="str">
        <f>VLOOKUP(A1820,[2]Tabelle1!$A$1:$B$68,2,FALSE)</f>
        <v>Statistische Region Weser-Ems</v>
      </c>
      <c r="D1820" t="s">
        <v>2</v>
      </c>
      <c r="E1820" t="s">
        <v>162</v>
      </c>
      <c r="F1820" t="str">
        <f>VLOOKUP(A1820,[1]Kreise!$A$1:$C$53,3,FALSE)</f>
        <v>K034</v>
      </c>
      <c r="G1820">
        <v>4.9699073219362697</v>
      </c>
    </row>
    <row r="1821" spans="1:7" x14ac:dyDescent="0.25">
      <c r="A1821">
        <v>0</v>
      </c>
      <c r="B1821">
        <v>2016</v>
      </c>
      <c r="C1821" t="str">
        <f>VLOOKUP(A1821,[2]Tabelle1!$A$1:$B$68,2,FALSE)</f>
        <v>Niedersachsen</v>
      </c>
      <c r="D1821" t="s">
        <v>2</v>
      </c>
      <c r="E1821" t="s">
        <v>162</v>
      </c>
      <c r="F1821" t="str">
        <f>VLOOKUP(A1821,[1]Kreise!$A$1:$C$53,3,FALSE)</f>
        <v>K030</v>
      </c>
      <c r="G1821">
        <v>4.3498656118464423</v>
      </c>
    </row>
    <row r="1822" spans="1:7" x14ac:dyDescent="0.25">
      <c r="A1822">
        <v>101</v>
      </c>
      <c r="B1822">
        <v>2016</v>
      </c>
      <c r="C1822" t="str">
        <f>VLOOKUP(A1822,[2]Tabelle1!$A$1:$B$68,2,FALSE)</f>
        <v>Braunschweig  Stadt</v>
      </c>
      <c r="D1822" t="s">
        <v>3</v>
      </c>
      <c r="E1822" t="s">
        <v>162</v>
      </c>
      <c r="F1822" t="str">
        <f>VLOOKUP(A1822,[1]Kreise!$A$1:$C$53,3,FALSE)</f>
        <v>K03101</v>
      </c>
      <c r="G1822">
        <v>10.1010101010101</v>
      </c>
    </row>
    <row r="1823" spans="1:7" x14ac:dyDescent="0.25">
      <c r="A1823">
        <v>102</v>
      </c>
      <c r="B1823">
        <v>2016</v>
      </c>
      <c r="C1823" t="str">
        <f>VLOOKUP(A1823,[2]Tabelle1!$A$1:$B$68,2,FALSE)</f>
        <v>Salzgitter  Stadt</v>
      </c>
      <c r="D1823" t="s">
        <v>3</v>
      </c>
      <c r="E1823" t="s">
        <v>162</v>
      </c>
      <c r="F1823" t="str">
        <f>VLOOKUP(A1823,[1]Kreise!$A$1:$C$53,3,FALSE)</f>
        <v>K03102</v>
      </c>
      <c r="G1823">
        <v>11.351351351351353</v>
      </c>
    </row>
    <row r="1824" spans="1:7" x14ac:dyDescent="0.25">
      <c r="A1824">
        <v>103</v>
      </c>
      <c r="B1824">
        <v>2016</v>
      </c>
      <c r="C1824" t="str">
        <f>VLOOKUP(A1824,[2]Tabelle1!$A$1:$B$68,2,FALSE)</f>
        <v>Wolfsburg  Stadt</v>
      </c>
      <c r="D1824" t="s">
        <v>3</v>
      </c>
      <c r="E1824" t="s">
        <v>162</v>
      </c>
      <c r="F1824" t="str">
        <f>VLOOKUP(A1824,[1]Kreise!$A$1:$C$53,3,FALSE)</f>
        <v>K03103</v>
      </c>
      <c r="G1824">
        <v>9.4827586206896548</v>
      </c>
    </row>
    <row r="1825" spans="1:7" x14ac:dyDescent="0.25">
      <c r="A1825">
        <v>151</v>
      </c>
      <c r="B1825">
        <v>2016</v>
      </c>
      <c r="C1825" t="str">
        <f>VLOOKUP(A1825,[2]Tabelle1!$A$1:$B$68,2,FALSE)</f>
        <v>Gifhorn</v>
      </c>
      <c r="D1825" t="s">
        <v>3</v>
      </c>
      <c r="E1825" t="s">
        <v>162</v>
      </c>
      <c r="F1825" t="str">
        <f>VLOOKUP(A1825,[1]Kreise!$A$1:$C$53,3,FALSE)</f>
        <v>K03151</v>
      </c>
      <c r="G1825">
        <v>8.6206896551724146</v>
      </c>
    </row>
    <row r="1826" spans="1:7" x14ac:dyDescent="0.25">
      <c r="A1826">
        <v>153</v>
      </c>
      <c r="B1826">
        <v>2016</v>
      </c>
      <c r="C1826" t="str">
        <f>VLOOKUP(A1826,[2]Tabelle1!$A$1:$B$68,2,FALSE)</f>
        <v>Goslar</v>
      </c>
      <c r="D1826" t="s">
        <v>3</v>
      </c>
      <c r="E1826" t="s">
        <v>162</v>
      </c>
      <c r="F1826" t="str">
        <f>VLOOKUP(A1826,[1]Kreise!$A$1:$C$53,3,FALSE)</f>
        <v>K03153</v>
      </c>
      <c r="G1826">
        <v>17.142857142857142</v>
      </c>
    </row>
    <row r="1827" spans="1:7" x14ac:dyDescent="0.25">
      <c r="A1827">
        <v>154</v>
      </c>
      <c r="B1827">
        <v>2016</v>
      </c>
      <c r="C1827" t="str">
        <f>VLOOKUP(A1827,[2]Tabelle1!$A$1:$B$68,2,FALSE)</f>
        <v>Helmstedt</v>
      </c>
      <c r="D1827" t="s">
        <v>3</v>
      </c>
      <c r="E1827" t="s">
        <v>162</v>
      </c>
      <c r="F1827" t="str">
        <f>VLOOKUP(A1827,[1]Kreise!$A$1:$C$53,3,FALSE)</f>
        <v>K03154</v>
      </c>
      <c r="G1827">
        <v>5</v>
      </c>
    </row>
    <row r="1828" spans="1:7" x14ac:dyDescent="0.25">
      <c r="A1828">
        <v>155</v>
      </c>
      <c r="B1828">
        <v>2016</v>
      </c>
      <c r="C1828" t="str">
        <f>VLOOKUP(A1828,[2]Tabelle1!$A$1:$B$68,2,FALSE)</f>
        <v>Northeim</v>
      </c>
      <c r="D1828" t="s">
        <v>3</v>
      </c>
      <c r="E1828" t="s">
        <v>162</v>
      </c>
      <c r="F1828" t="str">
        <f>VLOOKUP(A1828,[1]Kreise!$A$1:$C$53,3,FALSE)</f>
        <v>K03155</v>
      </c>
      <c r="G1828">
        <v>24.637681159420293</v>
      </c>
    </row>
    <row r="1829" spans="1:7" x14ac:dyDescent="0.25">
      <c r="A1829">
        <v>157</v>
      </c>
      <c r="B1829">
        <v>2016</v>
      </c>
      <c r="C1829" t="str">
        <f>VLOOKUP(A1829,[2]Tabelle1!$A$1:$B$68,2,FALSE)</f>
        <v>Peine</v>
      </c>
      <c r="D1829" t="s">
        <v>3</v>
      </c>
      <c r="E1829" t="s">
        <v>162</v>
      </c>
      <c r="F1829" t="str">
        <f>VLOOKUP(A1829,[1]Kreise!$A$1:$C$53,3,FALSE)</f>
        <v>K03157</v>
      </c>
      <c r="G1829">
        <v>10.833333333333334</v>
      </c>
    </row>
    <row r="1830" spans="1:7" x14ac:dyDescent="0.25">
      <c r="A1830">
        <v>158</v>
      </c>
      <c r="B1830">
        <v>2016</v>
      </c>
      <c r="C1830" t="str">
        <f>VLOOKUP(A1830,[2]Tabelle1!$A$1:$B$68,2,FALSE)</f>
        <v>Wolfenbüttel</v>
      </c>
      <c r="D1830" t="s">
        <v>3</v>
      </c>
      <c r="E1830" t="s">
        <v>162</v>
      </c>
      <c r="F1830" t="str">
        <f>VLOOKUP(A1830,[1]Kreise!$A$1:$C$53,3,FALSE)</f>
        <v>K03158</v>
      </c>
      <c r="G1830">
        <v>15.714285714285714</v>
      </c>
    </row>
    <row r="1831" spans="1:7" x14ac:dyDescent="0.25">
      <c r="A1831">
        <v>159</v>
      </c>
      <c r="B1831">
        <v>2016</v>
      </c>
      <c r="C1831" t="str">
        <f>VLOOKUP(A1831,[2]Tabelle1!$A$1:$B$68,2,FALSE)</f>
        <v>Göttingen</v>
      </c>
      <c r="D1831" t="s">
        <v>3</v>
      </c>
      <c r="E1831" t="s">
        <v>162</v>
      </c>
      <c r="F1831" t="str">
        <f>VLOOKUP(A1831,[1]Kreise!$A$1:$C$53,3,FALSE)</f>
        <v>K03159</v>
      </c>
      <c r="G1831">
        <v>21.782178217821784</v>
      </c>
    </row>
    <row r="1832" spans="1:7" x14ac:dyDescent="0.25">
      <c r="A1832">
        <v>1</v>
      </c>
      <c r="B1832">
        <v>2016</v>
      </c>
      <c r="C1832" t="str">
        <f>VLOOKUP(A1832,[2]Tabelle1!$A$1:$B$68,2,FALSE)</f>
        <v>Statistische Region Braunschweig</v>
      </c>
      <c r="D1832" t="s">
        <v>3</v>
      </c>
      <c r="E1832" t="s">
        <v>162</v>
      </c>
      <c r="F1832" t="str">
        <f>VLOOKUP(A1832,[1]Kreise!$A$1:$C$53,3,FALSE)</f>
        <v>K031</v>
      </c>
      <c r="G1832">
        <v>13.566936208445643</v>
      </c>
    </row>
    <row r="1833" spans="1:7" x14ac:dyDescent="0.25">
      <c r="A1833">
        <v>241</v>
      </c>
      <c r="B1833">
        <v>2016</v>
      </c>
      <c r="C1833" t="str">
        <f>VLOOKUP(A1833,[2]Tabelle1!$A$1:$B$68,2,FALSE)</f>
        <v>Hannover  Region</v>
      </c>
      <c r="D1833" t="s">
        <v>3</v>
      </c>
      <c r="E1833" t="s">
        <v>162</v>
      </c>
      <c r="F1833" t="str">
        <f>VLOOKUP(A1833,[1]Kreise!$A$1:$C$53,3,FALSE)</f>
        <v>K03241</v>
      </c>
      <c r="G1833">
        <v>13.817891373801917</v>
      </c>
    </row>
    <row r="1834" spans="1:7" x14ac:dyDescent="0.25">
      <c r="A1834">
        <v>241001</v>
      </c>
      <c r="B1834">
        <v>2016</v>
      </c>
      <c r="C1834" t="str">
        <f>VLOOKUP(A1834,[2]Tabelle1!$A$1:$B$68,2,FALSE)</f>
        <v>dav. Hannover  Lhst.</v>
      </c>
      <c r="D1834" t="s">
        <v>3</v>
      </c>
      <c r="E1834" t="s">
        <v>162</v>
      </c>
      <c r="F1834" t="str">
        <f>VLOOKUP(A1834,[1]Kreise!$A$1:$C$53,3,FALSE)</f>
        <v>K03241001</v>
      </c>
      <c r="G1834">
        <v>14.872521246458922</v>
      </c>
    </row>
    <row r="1835" spans="1:7" x14ac:dyDescent="0.25">
      <c r="A1835">
        <v>241999</v>
      </c>
      <c r="B1835">
        <v>2016</v>
      </c>
      <c r="C1835" t="str">
        <f>VLOOKUP(A1835,[2]Tabelle1!$A$1:$B$68,2,FALSE)</f>
        <v>dav. Hannover  Umland</v>
      </c>
      <c r="D1835" t="s">
        <v>3</v>
      </c>
      <c r="E1835" t="s">
        <v>162</v>
      </c>
      <c r="F1835" t="str">
        <f>VLOOKUP(A1835,[1]Kreise!$A$1:$C$53,3,FALSE)</f>
        <v>K03241999</v>
      </c>
      <c r="G1835">
        <v>12.454212454212454</v>
      </c>
    </row>
    <row r="1836" spans="1:7" x14ac:dyDescent="0.25">
      <c r="A1836">
        <v>251</v>
      </c>
      <c r="B1836">
        <v>2016</v>
      </c>
      <c r="C1836" t="str">
        <f>VLOOKUP(A1836,[2]Tabelle1!$A$1:$B$68,2,FALSE)</f>
        <v>Diepholz</v>
      </c>
      <c r="D1836" t="s">
        <v>3</v>
      </c>
      <c r="E1836" t="s">
        <v>162</v>
      </c>
      <c r="F1836" t="str">
        <f>VLOOKUP(A1836,[1]Kreise!$A$1:$C$53,3,FALSE)</f>
        <v>K03251</v>
      </c>
      <c r="G1836">
        <v>9.4202898550724647</v>
      </c>
    </row>
    <row r="1837" spans="1:7" x14ac:dyDescent="0.25">
      <c r="A1837">
        <v>252</v>
      </c>
      <c r="B1837">
        <v>2016</v>
      </c>
      <c r="C1837" t="str">
        <f>VLOOKUP(A1837,[2]Tabelle1!$A$1:$B$68,2,FALSE)</f>
        <v>Hameln-Pyrmont</v>
      </c>
      <c r="D1837" t="s">
        <v>3</v>
      </c>
      <c r="E1837" t="s">
        <v>162</v>
      </c>
      <c r="F1837" t="str">
        <f>VLOOKUP(A1837,[1]Kreise!$A$1:$C$53,3,FALSE)</f>
        <v>K03252</v>
      </c>
      <c r="G1837">
        <v>11.363636363636363</v>
      </c>
    </row>
    <row r="1838" spans="1:7" x14ac:dyDescent="0.25">
      <c r="A1838">
        <v>254</v>
      </c>
      <c r="B1838">
        <v>2016</v>
      </c>
      <c r="C1838" t="str">
        <f>VLOOKUP(A1838,[2]Tabelle1!$A$1:$B$68,2,FALSE)</f>
        <v>Hildesheim</v>
      </c>
      <c r="D1838" t="s">
        <v>3</v>
      </c>
      <c r="E1838" t="s">
        <v>162</v>
      </c>
      <c r="F1838" t="str">
        <f>VLOOKUP(A1838,[1]Kreise!$A$1:$C$53,3,FALSE)</f>
        <v>K03254</v>
      </c>
      <c r="G1838">
        <v>23.357664233576642</v>
      </c>
    </row>
    <row r="1839" spans="1:7" x14ac:dyDescent="0.25">
      <c r="A1839">
        <v>255</v>
      </c>
      <c r="B1839">
        <v>2016</v>
      </c>
      <c r="C1839" t="str">
        <f>VLOOKUP(A1839,[2]Tabelle1!$A$1:$B$68,2,FALSE)</f>
        <v>Holzminden</v>
      </c>
      <c r="D1839" t="s">
        <v>3</v>
      </c>
      <c r="E1839" t="s">
        <v>162</v>
      </c>
      <c r="F1839" t="str">
        <f>VLOOKUP(A1839,[1]Kreise!$A$1:$C$53,3,FALSE)</f>
        <v>K03255</v>
      </c>
      <c r="G1839">
        <v>4</v>
      </c>
    </row>
    <row r="1840" spans="1:7" x14ac:dyDescent="0.25">
      <c r="A1840">
        <v>256</v>
      </c>
      <c r="B1840">
        <v>2016</v>
      </c>
      <c r="C1840" t="str">
        <f>VLOOKUP(A1840,[2]Tabelle1!$A$1:$B$68,2,FALSE)</f>
        <v>Nienburg (Weser)</v>
      </c>
      <c r="D1840" t="s">
        <v>3</v>
      </c>
      <c r="E1840" t="s">
        <v>162</v>
      </c>
      <c r="F1840" t="str">
        <f>VLOOKUP(A1840,[1]Kreise!$A$1:$C$53,3,FALSE)</f>
        <v>K03256</v>
      </c>
      <c r="G1840">
        <v>21.621621621621621</v>
      </c>
    </row>
    <row r="1841" spans="1:7" x14ac:dyDescent="0.25">
      <c r="A1841">
        <v>257</v>
      </c>
      <c r="B1841">
        <v>2016</v>
      </c>
      <c r="C1841" t="str">
        <f>VLOOKUP(A1841,[2]Tabelle1!$A$1:$B$68,2,FALSE)</f>
        <v>Schaumburg</v>
      </c>
      <c r="D1841" t="s">
        <v>3</v>
      </c>
      <c r="E1841" t="s">
        <v>162</v>
      </c>
      <c r="F1841" t="str">
        <f>VLOOKUP(A1841,[1]Kreise!$A$1:$C$53,3,FALSE)</f>
        <v>K03257</v>
      </c>
      <c r="G1841">
        <v>6.140350877192982</v>
      </c>
    </row>
    <row r="1842" spans="1:7" x14ac:dyDescent="0.25">
      <c r="A1842">
        <v>2</v>
      </c>
      <c r="B1842">
        <v>2016</v>
      </c>
      <c r="C1842" t="str">
        <f>VLOOKUP(A1842,[2]Tabelle1!$A$1:$B$68,2,FALSE)</f>
        <v>Statistische Region Hannover</v>
      </c>
      <c r="D1842" t="s">
        <v>3</v>
      </c>
      <c r="E1842" t="s">
        <v>162</v>
      </c>
      <c r="F1842" t="str">
        <f>VLOOKUP(A1842,[1]Kreise!$A$1:$C$53,3,FALSE)</f>
        <v>K032</v>
      </c>
      <c r="G1842">
        <v>13.600421718502901</v>
      </c>
    </row>
    <row r="1843" spans="1:7" x14ac:dyDescent="0.25">
      <c r="A1843">
        <v>351</v>
      </c>
      <c r="B1843">
        <v>2016</v>
      </c>
      <c r="C1843" t="str">
        <f>VLOOKUP(A1843,[2]Tabelle1!$A$1:$B$68,2,FALSE)</f>
        <v>Celle</v>
      </c>
      <c r="D1843" t="s">
        <v>3</v>
      </c>
      <c r="E1843" t="s">
        <v>162</v>
      </c>
      <c r="F1843" t="str">
        <f>VLOOKUP(A1843,[1]Kreise!$A$1:$C$53,3,FALSE)</f>
        <v>K03351</v>
      </c>
      <c r="G1843">
        <v>4.6153846153846159</v>
      </c>
    </row>
    <row r="1844" spans="1:7" x14ac:dyDescent="0.25">
      <c r="A1844">
        <v>352</v>
      </c>
      <c r="B1844">
        <v>2016</v>
      </c>
      <c r="C1844" t="str">
        <f>VLOOKUP(A1844,[2]Tabelle1!$A$1:$B$68,2,FALSE)</f>
        <v>Cuxhaven</v>
      </c>
      <c r="D1844" t="s">
        <v>3</v>
      </c>
      <c r="E1844" t="s">
        <v>162</v>
      </c>
      <c r="F1844" t="str">
        <f>VLOOKUP(A1844,[1]Kreise!$A$1:$C$53,3,FALSE)</f>
        <v>K03352</v>
      </c>
      <c r="G1844">
        <v>29.670329670329672</v>
      </c>
    </row>
    <row r="1845" spans="1:7" x14ac:dyDescent="0.25">
      <c r="A1845">
        <v>353</v>
      </c>
      <c r="B1845">
        <v>2016</v>
      </c>
      <c r="C1845" t="str">
        <f>VLOOKUP(A1845,[2]Tabelle1!$A$1:$B$68,2,FALSE)</f>
        <v>Harburg</v>
      </c>
      <c r="D1845" t="s">
        <v>3</v>
      </c>
      <c r="E1845" t="s">
        <v>162</v>
      </c>
      <c r="F1845" t="str">
        <f>VLOOKUP(A1845,[1]Kreise!$A$1:$C$53,3,FALSE)</f>
        <v>K03353</v>
      </c>
      <c r="G1845">
        <v>10.638297872340425</v>
      </c>
    </row>
    <row r="1846" spans="1:7" x14ac:dyDescent="0.25">
      <c r="A1846">
        <v>354</v>
      </c>
      <c r="B1846">
        <v>2016</v>
      </c>
      <c r="C1846" t="str">
        <f>VLOOKUP(A1846,[2]Tabelle1!$A$1:$B$68,2,FALSE)</f>
        <v>Lüchow-Dannenberg</v>
      </c>
      <c r="D1846" t="s">
        <v>3</v>
      </c>
      <c r="E1846" t="s">
        <v>162</v>
      </c>
      <c r="F1846" t="str">
        <f>VLOOKUP(A1846,[1]Kreise!$A$1:$C$53,3,FALSE)</f>
        <v>K03354</v>
      </c>
      <c r="G1846">
        <v>40.909090909090914</v>
      </c>
    </row>
    <row r="1847" spans="1:7" x14ac:dyDescent="0.25">
      <c r="A1847">
        <v>355</v>
      </c>
      <c r="B1847">
        <v>2016</v>
      </c>
      <c r="C1847" t="str">
        <f>VLOOKUP(A1847,[2]Tabelle1!$A$1:$B$68,2,FALSE)</f>
        <v>Lüneburg</v>
      </c>
      <c r="D1847" t="s">
        <v>3</v>
      </c>
      <c r="E1847" t="s">
        <v>162</v>
      </c>
      <c r="F1847" t="str">
        <f>VLOOKUP(A1847,[1]Kreise!$A$1:$C$53,3,FALSE)</f>
        <v>K03355</v>
      </c>
      <c r="G1847">
        <v>11.111111111111111</v>
      </c>
    </row>
    <row r="1848" spans="1:7" x14ac:dyDescent="0.25">
      <c r="A1848">
        <v>356</v>
      </c>
      <c r="B1848">
        <v>2016</v>
      </c>
      <c r="C1848" t="str">
        <f>VLOOKUP(A1848,[2]Tabelle1!$A$1:$B$68,2,FALSE)</f>
        <v>Osterholz</v>
      </c>
      <c r="D1848" t="s">
        <v>3</v>
      </c>
      <c r="E1848" t="s">
        <v>162</v>
      </c>
      <c r="F1848" t="str">
        <f>VLOOKUP(A1848,[1]Kreise!$A$1:$C$53,3,FALSE)</f>
        <v>K03356</v>
      </c>
      <c r="G1848">
        <v>23.684210526315788</v>
      </c>
    </row>
    <row r="1849" spans="1:7" x14ac:dyDescent="0.25">
      <c r="A1849">
        <v>357</v>
      </c>
      <c r="B1849">
        <v>2016</v>
      </c>
      <c r="C1849" t="str">
        <f>VLOOKUP(A1849,[2]Tabelle1!$A$1:$B$68,2,FALSE)</f>
        <v>Rotenburg (Wümme)</v>
      </c>
      <c r="D1849" t="s">
        <v>3</v>
      </c>
      <c r="E1849" t="s">
        <v>162</v>
      </c>
      <c r="F1849" t="str">
        <f>VLOOKUP(A1849,[1]Kreise!$A$1:$C$53,3,FALSE)</f>
        <v>K03357</v>
      </c>
      <c r="G1849">
        <v>24.691358024691358</v>
      </c>
    </row>
    <row r="1850" spans="1:7" x14ac:dyDescent="0.25">
      <c r="A1850">
        <v>358</v>
      </c>
      <c r="B1850">
        <v>2016</v>
      </c>
      <c r="C1850" t="str">
        <f>VLOOKUP(A1850,[2]Tabelle1!$A$1:$B$68,2,FALSE)</f>
        <v>Heidekreis</v>
      </c>
      <c r="D1850" t="s">
        <v>3</v>
      </c>
      <c r="E1850" t="s">
        <v>162</v>
      </c>
      <c r="F1850" t="str">
        <f>VLOOKUP(A1850,[1]Kreise!$A$1:$C$53,3,FALSE)</f>
        <v>K03358</v>
      </c>
      <c r="G1850">
        <v>24.528301886792452</v>
      </c>
    </row>
    <row r="1851" spans="1:7" x14ac:dyDescent="0.25">
      <c r="A1851">
        <v>359</v>
      </c>
      <c r="B1851">
        <v>2016</v>
      </c>
      <c r="C1851" t="str">
        <f>VLOOKUP(A1851,[2]Tabelle1!$A$1:$B$68,2,FALSE)</f>
        <v>Stade</v>
      </c>
      <c r="D1851" t="s">
        <v>3</v>
      </c>
      <c r="E1851" t="s">
        <v>162</v>
      </c>
      <c r="F1851" t="str">
        <f>VLOOKUP(A1851,[1]Kreise!$A$1:$C$53,3,FALSE)</f>
        <v>K03359</v>
      </c>
      <c r="G1851">
        <v>36.752136752136757</v>
      </c>
    </row>
    <row r="1852" spans="1:7" x14ac:dyDescent="0.25">
      <c r="A1852">
        <v>360</v>
      </c>
      <c r="B1852">
        <v>2016</v>
      </c>
      <c r="C1852" t="str">
        <f>VLOOKUP(A1852,[2]Tabelle1!$A$1:$B$68,2,FALSE)</f>
        <v>Uelzen</v>
      </c>
      <c r="D1852" t="s">
        <v>3</v>
      </c>
      <c r="E1852" t="s">
        <v>162</v>
      </c>
      <c r="F1852" t="str">
        <f>VLOOKUP(A1852,[1]Kreise!$A$1:$C$53,3,FALSE)</f>
        <v>K03360</v>
      </c>
      <c r="G1852">
        <v>37.5</v>
      </c>
    </row>
    <row r="1853" spans="1:7" x14ac:dyDescent="0.25">
      <c r="A1853">
        <v>361</v>
      </c>
      <c r="B1853">
        <v>2016</v>
      </c>
      <c r="C1853" t="str">
        <f>VLOOKUP(A1853,[2]Tabelle1!$A$1:$B$68,2,FALSE)</f>
        <v>Verden</v>
      </c>
      <c r="D1853" t="s">
        <v>3</v>
      </c>
      <c r="E1853" t="s">
        <v>162</v>
      </c>
      <c r="F1853" t="str">
        <f>VLOOKUP(A1853,[1]Kreise!$A$1:$C$53,3,FALSE)</f>
        <v>K03361</v>
      </c>
      <c r="G1853">
        <v>10.294117647058822</v>
      </c>
    </row>
    <row r="1854" spans="1:7" x14ac:dyDescent="0.25">
      <c r="A1854">
        <v>3</v>
      </c>
      <c r="B1854">
        <v>2016</v>
      </c>
      <c r="C1854" t="str">
        <f>VLOOKUP(A1854,[2]Tabelle1!$A$1:$B$68,2,FALSE)</f>
        <v>Statistische Region Lüneburg</v>
      </c>
      <c r="D1854" t="s">
        <v>3</v>
      </c>
      <c r="E1854" t="s">
        <v>162</v>
      </c>
      <c r="F1854" t="str">
        <f>VLOOKUP(A1854,[1]Kreise!$A$1:$C$53,3,FALSE)</f>
        <v>K033</v>
      </c>
      <c r="G1854">
        <v>20.636942675159236</v>
      </c>
    </row>
    <row r="1855" spans="1:7" x14ac:dyDescent="0.25">
      <c r="A1855">
        <v>401</v>
      </c>
      <c r="B1855">
        <v>2016</v>
      </c>
      <c r="C1855" t="str">
        <f>VLOOKUP(A1855,[2]Tabelle1!$A$1:$B$68,2,FALSE)</f>
        <v>Delmenhorst  Stadt</v>
      </c>
      <c r="D1855" t="s">
        <v>3</v>
      </c>
      <c r="E1855" t="s">
        <v>162</v>
      </c>
      <c r="F1855" t="str">
        <f>VLOOKUP(A1855,[1]Kreise!$A$1:$C$53,3,FALSE)</f>
        <v>K03401</v>
      </c>
      <c r="G1855">
        <v>8.4507042253521121</v>
      </c>
    </row>
    <row r="1856" spans="1:7" x14ac:dyDescent="0.25">
      <c r="A1856">
        <v>402</v>
      </c>
      <c r="B1856">
        <v>2016</v>
      </c>
      <c r="C1856" t="str">
        <f>VLOOKUP(A1856,[2]Tabelle1!$A$1:$B$68,2,FALSE)</f>
        <v>Emden  Stadt</v>
      </c>
      <c r="D1856" t="s">
        <v>3</v>
      </c>
      <c r="E1856" t="s">
        <v>162</v>
      </c>
      <c r="F1856" t="str">
        <f>VLOOKUP(A1856,[1]Kreise!$A$1:$C$53,3,FALSE)</f>
        <v>K03402</v>
      </c>
      <c r="G1856">
        <v>69.230769230769226</v>
      </c>
    </row>
    <row r="1857" spans="1:7" x14ac:dyDescent="0.25">
      <c r="A1857">
        <v>403</v>
      </c>
      <c r="B1857">
        <v>2016</v>
      </c>
      <c r="C1857" t="str">
        <f>VLOOKUP(A1857,[2]Tabelle1!$A$1:$B$68,2,FALSE)</f>
        <v>Oldenburg(Oldb)  Stadt</v>
      </c>
      <c r="D1857" t="s">
        <v>3</v>
      </c>
      <c r="E1857" t="s">
        <v>162</v>
      </c>
      <c r="F1857" t="str">
        <f>VLOOKUP(A1857,[1]Kreise!$A$1:$C$53,3,FALSE)</f>
        <v>K03403</v>
      </c>
      <c r="G1857">
        <v>12.621359223300971</v>
      </c>
    </row>
    <row r="1858" spans="1:7" x14ac:dyDescent="0.25">
      <c r="A1858">
        <v>404</v>
      </c>
      <c r="B1858">
        <v>2016</v>
      </c>
      <c r="C1858" t="str">
        <f>VLOOKUP(A1858,[2]Tabelle1!$A$1:$B$68,2,FALSE)</f>
        <v>Osnabrück  Stadt</v>
      </c>
      <c r="D1858" t="s">
        <v>3</v>
      </c>
      <c r="E1858" t="s">
        <v>162</v>
      </c>
      <c r="F1858" t="str">
        <f>VLOOKUP(A1858,[1]Kreise!$A$1:$C$53,3,FALSE)</f>
        <v>K03404</v>
      </c>
      <c r="G1858">
        <v>13.529411764705882</v>
      </c>
    </row>
    <row r="1859" spans="1:7" x14ac:dyDescent="0.25">
      <c r="A1859">
        <v>405</v>
      </c>
      <c r="B1859">
        <v>2016</v>
      </c>
      <c r="C1859" t="str">
        <f>VLOOKUP(A1859,[2]Tabelle1!$A$1:$B$68,2,FALSE)</f>
        <v>Wilhelmshaven  Stadt</v>
      </c>
      <c r="D1859" t="s">
        <v>3</v>
      </c>
      <c r="E1859" t="s">
        <v>162</v>
      </c>
      <c r="F1859" t="str">
        <f>VLOOKUP(A1859,[1]Kreise!$A$1:$C$53,3,FALSE)</f>
        <v>K03405</v>
      </c>
      <c r="G1859" t="s">
        <v>84</v>
      </c>
    </row>
    <row r="1860" spans="1:7" x14ac:dyDescent="0.25">
      <c r="A1860">
        <v>451</v>
      </c>
      <c r="B1860">
        <v>2016</v>
      </c>
      <c r="C1860" t="str">
        <f>VLOOKUP(A1860,[2]Tabelle1!$A$1:$B$68,2,FALSE)</f>
        <v>Ammerland</v>
      </c>
      <c r="D1860" t="s">
        <v>3</v>
      </c>
      <c r="E1860" t="s">
        <v>162</v>
      </c>
      <c r="F1860" t="str">
        <f>VLOOKUP(A1860,[1]Kreise!$A$1:$C$53,3,FALSE)</f>
        <v>K03451</v>
      </c>
      <c r="G1860">
        <v>15.384615384615385</v>
      </c>
    </row>
    <row r="1861" spans="1:7" x14ac:dyDescent="0.25">
      <c r="A1861">
        <v>452</v>
      </c>
      <c r="B1861">
        <v>2016</v>
      </c>
      <c r="C1861" t="str">
        <f>VLOOKUP(A1861,[2]Tabelle1!$A$1:$B$68,2,FALSE)</f>
        <v>Aurich</v>
      </c>
      <c r="D1861" t="s">
        <v>3</v>
      </c>
      <c r="E1861" t="s">
        <v>162</v>
      </c>
      <c r="F1861" t="str">
        <f>VLOOKUP(A1861,[1]Kreise!$A$1:$C$53,3,FALSE)</f>
        <v>K03452</v>
      </c>
      <c r="G1861">
        <v>24.390243902439025</v>
      </c>
    </row>
    <row r="1862" spans="1:7" x14ac:dyDescent="0.25">
      <c r="A1862">
        <v>453</v>
      </c>
      <c r="B1862">
        <v>2016</v>
      </c>
      <c r="C1862" t="str">
        <f>VLOOKUP(A1862,[2]Tabelle1!$A$1:$B$68,2,FALSE)</f>
        <v>Cloppenburg</v>
      </c>
      <c r="D1862" t="s">
        <v>3</v>
      </c>
      <c r="E1862" t="s">
        <v>162</v>
      </c>
      <c r="F1862" t="str">
        <f>VLOOKUP(A1862,[1]Kreise!$A$1:$C$53,3,FALSE)</f>
        <v>K03453</v>
      </c>
      <c r="G1862">
        <v>18.666666666666668</v>
      </c>
    </row>
    <row r="1863" spans="1:7" x14ac:dyDescent="0.25">
      <c r="A1863">
        <v>454</v>
      </c>
      <c r="B1863">
        <v>2016</v>
      </c>
      <c r="C1863" t="str">
        <f>VLOOKUP(A1863,[2]Tabelle1!$A$1:$B$68,2,FALSE)</f>
        <v>Emsland</v>
      </c>
      <c r="D1863" t="s">
        <v>3</v>
      </c>
      <c r="E1863" t="s">
        <v>162</v>
      </c>
      <c r="F1863" t="str">
        <f>VLOOKUP(A1863,[1]Kreise!$A$1:$C$53,3,FALSE)</f>
        <v>K03454</v>
      </c>
      <c r="G1863">
        <v>37.569060773480665</v>
      </c>
    </row>
    <row r="1864" spans="1:7" x14ac:dyDescent="0.25">
      <c r="A1864">
        <v>455</v>
      </c>
      <c r="B1864">
        <v>2016</v>
      </c>
      <c r="C1864" t="str">
        <f>VLOOKUP(A1864,[2]Tabelle1!$A$1:$B$68,2,FALSE)</f>
        <v>Friesland</v>
      </c>
      <c r="D1864" t="s">
        <v>3</v>
      </c>
      <c r="E1864" t="s">
        <v>162</v>
      </c>
      <c r="F1864" t="str">
        <f>VLOOKUP(A1864,[1]Kreise!$A$1:$C$53,3,FALSE)</f>
        <v>K03455</v>
      </c>
      <c r="G1864">
        <v>11.111111111111111</v>
      </c>
    </row>
    <row r="1865" spans="1:7" x14ac:dyDescent="0.25">
      <c r="A1865">
        <v>456</v>
      </c>
      <c r="B1865">
        <v>2016</v>
      </c>
      <c r="C1865" t="str">
        <f>VLOOKUP(A1865,[2]Tabelle1!$A$1:$B$68,2,FALSE)</f>
        <v>Grafschaft Bentheim</v>
      </c>
      <c r="D1865" t="s">
        <v>3</v>
      </c>
      <c r="E1865" t="s">
        <v>162</v>
      </c>
      <c r="F1865" t="str">
        <f>VLOOKUP(A1865,[1]Kreise!$A$1:$C$53,3,FALSE)</f>
        <v>K03456</v>
      </c>
      <c r="G1865">
        <v>14.814814814814813</v>
      </c>
    </row>
    <row r="1866" spans="1:7" x14ac:dyDescent="0.25">
      <c r="A1866">
        <v>457</v>
      </c>
      <c r="B1866">
        <v>2016</v>
      </c>
      <c r="C1866" t="str">
        <f>VLOOKUP(A1866,[2]Tabelle1!$A$1:$B$68,2,FALSE)</f>
        <v>Leer</v>
      </c>
      <c r="D1866" t="s">
        <v>3</v>
      </c>
      <c r="E1866" t="s">
        <v>162</v>
      </c>
      <c r="F1866" t="str">
        <f>VLOOKUP(A1866,[1]Kreise!$A$1:$C$53,3,FALSE)</f>
        <v>K03457</v>
      </c>
      <c r="G1866">
        <v>27.27272727272727</v>
      </c>
    </row>
    <row r="1867" spans="1:7" x14ac:dyDescent="0.25">
      <c r="A1867">
        <v>458</v>
      </c>
      <c r="B1867">
        <v>2016</v>
      </c>
      <c r="C1867" t="str">
        <f>VLOOKUP(A1867,[2]Tabelle1!$A$1:$B$68,2,FALSE)</f>
        <v>Oldenburg</v>
      </c>
      <c r="D1867" t="s">
        <v>3</v>
      </c>
      <c r="E1867" t="s">
        <v>162</v>
      </c>
      <c r="F1867" t="str">
        <f>VLOOKUP(A1867,[1]Kreise!$A$1:$C$53,3,FALSE)</f>
        <v>K03458</v>
      </c>
      <c r="G1867">
        <v>14.492753623188406</v>
      </c>
    </row>
    <row r="1868" spans="1:7" x14ac:dyDescent="0.25">
      <c r="A1868">
        <v>459</v>
      </c>
      <c r="B1868">
        <v>2016</v>
      </c>
      <c r="C1868" t="str">
        <f>VLOOKUP(A1868,[2]Tabelle1!$A$1:$B$68,2,FALSE)</f>
        <v>Osnabrück</v>
      </c>
      <c r="D1868" t="s">
        <v>3</v>
      </c>
      <c r="E1868" t="s">
        <v>162</v>
      </c>
      <c r="F1868" t="str">
        <f>VLOOKUP(A1868,[1]Kreise!$A$1:$C$53,3,FALSE)</f>
        <v>K03459</v>
      </c>
      <c r="G1868">
        <v>18.784530386740332</v>
      </c>
    </row>
    <row r="1869" spans="1:7" x14ac:dyDescent="0.25">
      <c r="A1869">
        <v>460</v>
      </c>
      <c r="B1869">
        <v>2016</v>
      </c>
      <c r="C1869" t="str">
        <f>VLOOKUP(A1869,[2]Tabelle1!$A$1:$B$68,2,FALSE)</f>
        <v>Vechta</v>
      </c>
      <c r="D1869" t="s">
        <v>3</v>
      </c>
      <c r="E1869" t="s">
        <v>162</v>
      </c>
      <c r="F1869" t="str">
        <f>VLOOKUP(A1869,[1]Kreise!$A$1:$C$53,3,FALSE)</f>
        <v>K03460</v>
      </c>
      <c r="G1869">
        <v>28.378378378378379</v>
      </c>
    </row>
    <row r="1870" spans="1:7" x14ac:dyDescent="0.25">
      <c r="A1870">
        <v>461</v>
      </c>
      <c r="B1870">
        <v>2016</v>
      </c>
      <c r="C1870" t="str">
        <f>VLOOKUP(A1870,[2]Tabelle1!$A$1:$B$68,2,FALSE)</f>
        <v>Wesermarsch</v>
      </c>
      <c r="D1870" t="s">
        <v>3</v>
      </c>
      <c r="E1870" t="s">
        <v>162</v>
      </c>
      <c r="F1870" t="str">
        <f>VLOOKUP(A1870,[1]Kreise!$A$1:$C$53,3,FALSE)</f>
        <v>K03461</v>
      </c>
      <c r="G1870">
        <v>14.516129032258066</v>
      </c>
    </row>
    <row r="1871" spans="1:7" x14ac:dyDescent="0.25">
      <c r="A1871">
        <v>462</v>
      </c>
      <c r="B1871">
        <v>2016</v>
      </c>
      <c r="C1871" t="str">
        <f>VLOOKUP(A1871,[2]Tabelle1!$A$1:$B$68,2,FALSE)</f>
        <v>Wittmund</v>
      </c>
      <c r="D1871" t="s">
        <v>3</v>
      </c>
      <c r="E1871" t="s">
        <v>162</v>
      </c>
      <c r="F1871" t="str">
        <f>VLOOKUP(A1871,[1]Kreise!$A$1:$C$53,3,FALSE)</f>
        <v>K03462</v>
      </c>
      <c r="G1871">
        <v>4</v>
      </c>
    </row>
    <row r="1872" spans="1:7" x14ac:dyDescent="0.25">
      <c r="A1872">
        <v>4</v>
      </c>
      <c r="B1872">
        <v>2016</v>
      </c>
      <c r="C1872" t="str">
        <f>VLOOKUP(A1872,[2]Tabelle1!$A$1:$B$68,2,FALSE)</f>
        <v>Statistische Region Weser-Ems</v>
      </c>
      <c r="D1872" t="s">
        <v>3</v>
      </c>
      <c r="E1872" t="s">
        <v>162</v>
      </c>
      <c r="F1872" t="str">
        <f>VLOOKUP(A1872,[1]Kreise!$A$1:$C$53,3,FALSE)</f>
        <v>K034</v>
      </c>
      <c r="G1872">
        <v>19.474393530997304</v>
      </c>
    </row>
    <row r="1873" spans="1:7" x14ac:dyDescent="0.25">
      <c r="A1873">
        <v>0</v>
      </c>
      <c r="B1873">
        <v>2016</v>
      </c>
      <c r="C1873" t="str">
        <f>VLOOKUP(A1873,[2]Tabelle1!$A$1:$B$68,2,FALSE)</f>
        <v>Niedersachsen</v>
      </c>
      <c r="D1873" t="s">
        <v>3</v>
      </c>
      <c r="E1873" t="s">
        <v>162</v>
      </c>
      <c r="F1873" t="str">
        <f>VLOOKUP(A1873,[1]Kreise!$A$1:$C$53,3,FALSE)</f>
        <v>K030</v>
      </c>
      <c r="G1873">
        <v>16.29096419776473</v>
      </c>
    </row>
    <row r="1874" spans="1:7" x14ac:dyDescent="0.25">
      <c r="A1874">
        <v>101</v>
      </c>
      <c r="B1874">
        <v>2017</v>
      </c>
      <c r="C1874" t="str">
        <f>VLOOKUP(A1874,[2]Tabelle1!$A$1:$B$68,2,FALSE)</f>
        <v>Braunschweig  Stadt</v>
      </c>
      <c r="D1874" t="s">
        <v>2</v>
      </c>
      <c r="E1874" t="s">
        <v>162</v>
      </c>
      <c r="F1874" t="str">
        <f>VLOOKUP(A1874,[1]Kreise!$A$1:$C$53,3,FALSE)</f>
        <v>K03101</v>
      </c>
      <c r="G1874">
        <v>5.2269043760129659</v>
      </c>
    </row>
    <row r="1875" spans="1:7" x14ac:dyDescent="0.25">
      <c r="A1875">
        <v>102</v>
      </c>
      <c r="B1875">
        <v>2017</v>
      </c>
      <c r="C1875" t="str">
        <f>VLOOKUP(A1875,[2]Tabelle1!$A$1:$B$68,2,FALSE)</f>
        <v>Salzgitter  Stadt</v>
      </c>
      <c r="D1875" t="s">
        <v>2</v>
      </c>
      <c r="E1875" t="s">
        <v>162</v>
      </c>
      <c r="F1875" t="str">
        <f>VLOOKUP(A1875,[1]Kreise!$A$1:$C$53,3,FALSE)</f>
        <v>K03102</v>
      </c>
      <c r="G1875">
        <v>5.9718969555035128</v>
      </c>
    </row>
    <row r="1876" spans="1:7" x14ac:dyDescent="0.25">
      <c r="A1876">
        <v>103</v>
      </c>
      <c r="B1876">
        <v>2017</v>
      </c>
      <c r="C1876" t="str">
        <f>VLOOKUP(A1876,[2]Tabelle1!$A$1:$B$68,2,FALSE)</f>
        <v>Wolfsburg  Stadt</v>
      </c>
      <c r="D1876" t="s">
        <v>2</v>
      </c>
      <c r="E1876" t="s">
        <v>162</v>
      </c>
      <c r="F1876" t="str">
        <f>VLOOKUP(A1876,[1]Kreise!$A$1:$C$53,3,FALSE)</f>
        <v>K03103</v>
      </c>
      <c r="G1876">
        <v>2.8000000000000003</v>
      </c>
    </row>
    <row r="1877" spans="1:7" x14ac:dyDescent="0.25">
      <c r="A1877">
        <v>151</v>
      </c>
      <c r="B1877">
        <v>2017</v>
      </c>
      <c r="C1877" t="str">
        <f>VLOOKUP(A1877,[2]Tabelle1!$A$1:$B$68,2,FALSE)</f>
        <v>Gifhorn</v>
      </c>
      <c r="D1877" t="s">
        <v>2</v>
      </c>
      <c r="E1877" t="s">
        <v>162</v>
      </c>
      <c r="F1877" t="str">
        <f>VLOOKUP(A1877,[1]Kreise!$A$1:$C$53,3,FALSE)</f>
        <v>K03151</v>
      </c>
      <c r="G1877">
        <v>4.5841519318925998</v>
      </c>
    </row>
    <row r="1878" spans="1:7" x14ac:dyDescent="0.25">
      <c r="A1878">
        <v>153</v>
      </c>
      <c r="B1878">
        <v>2017</v>
      </c>
      <c r="C1878" t="str">
        <f>VLOOKUP(A1878,[2]Tabelle1!$A$1:$B$68,2,FALSE)</f>
        <v>Goslar</v>
      </c>
      <c r="D1878" t="s">
        <v>2</v>
      </c>
      <c r="E1878" t="s">
        <v>162</v>
      </c>
      <c r="F1878" t="str">
        <f>VLOOKUP(A1878,[1]Kreise!$A$1:$C$53,3,FALSE)</f>
        <v>K03153</v>
      </c>
      <c r="G1878">
        <v>4.7660311958405543</v>
      </c>
    </row>
    <row r="1879" spans="1:7" x14ac:dyDescent="0.25">
      <c r="A1879">
        <v>154</v>
      </c>
      <c r="B1879">
        <v>2017</v>
      </c>
      <c r="C1879" t="str">
        <f>VLOOKUP(A1879,[2]Tabelle1!$A$1:$B$68,2,FALSE)</f>
        <v>Helmstedt</v>
      </c>
      <c r="D1879" t="s">
        <v>2</v>
      </c>
      <c r="E1879" t="s">
        <v>162</v>
      </c>
      <c r="F1879" t="str">
        <f>VLOOKUP(A1879,[1]Kreise!$A$1:$C$53,3,FALSE)</f>
        <v>K03154</v>
      </c>
      <c r="G1879">
        <v>6.25</v>
      </c>
    </row>
    <row r="1880" spans="1:7" x14ac:dyDescent="0.25">
      <c r="A1880">
        <v>155</v>
      </c>
      <c r="B1880">
        <v>2017</v>
      </c>
      <c r="C1880" t="str">
        <f>VLOOKUP(A1880,[2]Tabelle1!$A$1:$B$68,2,FALSE)</f>
        <v>Northeim</v>
      </c>
      <c r="D1880" t="s">
        <v>2</v>
      </c>
      <c r="E1880" t="s">
        <v>162</v>
      </c>
      <c r="F1880" t="str">
        <f>VLOOKUP(A1880,[1]Kreise!$A$1:$C$53,3,FALSE)</f>
        <v>K03155</v>
      </c>
      <c r="G1880">
        <v>3.522205206738132</v>
      </c>
    </row>
    <row r="1881" spans="1:7" x14ac:dyDescent="0.25">
      <c r="A1881">
        <v>157</v>
      </c>
      <c r="B1881">
        <v>2017</v>
      </c>
      <c r="C1881" t="str">
        <f>VLOOKUP(A1881,[2]Tabelle1!$A$1:$B$68,2,FALSE)</f>
        <v>Peine</v>
      </c>
      <c r="D1881" t="s">
        <v>2</v>
      </c>
      <c r="E1881" t="s">
        <v>162</v>
      </c>
      <c r="F1881" t="str">
        <f>VLOOKUP(A1881,[1]Kreise!$A$1:$C$53,3,FALSE)</f>
        <v>K03157</v>
      </c>
      <c r="G1881">
        <v>2.6902382782475018</v>
      </c>
    </row>
    <row r="1882" spans="1:7" x14ac:dyDescent="0.25">
      <c r="A1882">
        <v>158</v>
      </c>
      <c r="B1882">
        <v>2017</v>
      </c>
      <c r="C1882" t="str">
        <f>VLOOKUP(A1882,[2]Tabelle1!$A$1:$B$68,2,FALSE)</f>
        <v>Wolfenbüttel</v>
      </c>
      <c r="D1882" t="s">
        <v>2</v>
      </c>
      <c r="E1882" t="s">
        <v>162</v>
      </c>
      <c r="F1882" t="str">
        <f>VLOOKUP(A1882,[1]Kreise!$A$1:$C$53,3,FALSE)</f>
        <v>K03158</v>
      </c>
      <c r="G1882">
        <v>4.1836734693877551</v>
      </c>
    </row>
    <row r="1883" spans="1:7" x14ac:dyDescent="0.25">
      <c r="A1883">
        <v>159</v>
      </c>
      <c r="B1883">
        <v>2017</v>
      </c>
      <c r="C1883" t="str">
        <f>VLOOKUP(A1883,[2]Tabelle1!$A$1:$B$68,2,FALSE)</f>
        <v>Göttingen</v>
      </c>
      <c r="D1883" t="s">
        <v>2</v>
      </c>
      <c r="E1883" t="s">
        <v>162</v>
      </c>
      <c r="F1883" t="str">
        <f>VLOOKUP(A1883,[1]Kreise!$A$1:$C$53,3,FALSE)</f>
        <v>K03159</v>
      </c>
      <c r="G1883">
        <v>3.1016042780748663</v>
      </c>
    </row>
    <row r="1884" spans="1:7" x14ac:dyDescent="0.25">
      <c r="A1884">
        <v>1</v>
      </c>
      <c r="B1884">
        <v>2017</v>
      </c>
      <c r="C1884" t="str">
        <f>VLOOKUP(A1884,[2]Tabelle1!$A$1:$B$68,2,FALSE)</f>
        <v>Statistische Region Braunschweig</v>
      </c>
      <c r="D1884" t="s">
        <v>2</v>
      </c>
      <c r="E1884" t="s">
        <v>162</v>
      </c>
      <c r="F1884" t="str">
        <f>VLOOKUP(A1884,[1]Kreise!$A$1:$C$53,3,FALSE)</f>
        <v>K031</v>
      </c>
      <c r="G1884">
        <v>4.1303286122933089</v>
      </c>
    </row>
    <row r="1885" spans="1:7" x14ac:dyDescent="0.25">
      <c r="A1885">
        <v>241</v>
      </c>
      <c r="B1885">
        <v>2017</v>
      </c>
      <c r="C1885" t="str">
        <f>VLOOKUP(A1885,[2]Tabelle1!$A$1:$B$68,2,FALSE)</f>
        <v>Hannover  Region</v>
      </c>
      <c r="D1885" t="s">
        <v>2</v>
      </c>
      <c r="E1885" t="s">
        <v>162</v>
      </c>
      <c r="F1885" t="str">
        <f>VLOOKUP(A1885,[1]Kreise!$A$1:$C$53,3,FALSE)</f>
        <v>K03241</v>
      </c>
      <c r="G1885">
        <v>3.8006756756756759</v>
      </c>
    </row>
    <row r="1886" spans="1:7" x14ac:dyDescent="0.25">
      <c r="A1886">
        <v>241001</v>
      </c>
      <c r="B1886">
        <v>2017</v>
      </c>
      <c r="C1886" t="str">
        <f>VLOOKUP(A1886,[2]Tabelle1!$A$1:$B$68,2,FALSE)</f>
        <v>dav. Hannover  Lhst.</v>
      </c>
      <c r="D1886" t="s">
        <v>2</v>
      </c>
      <c r="E1886" t="s">
        <v>162</v>
      </c>
      <c r="F1886" t="str">
        <f>VLOOKUP(A1886,[1]Kreise!$A$1:$C$53,3,FALSE)</f>
        <v>K03241001</v>
      </c>
      <c r="G1886">
        <v>4.3101312856081249</v>
      </c>
    </row>
    <row r="1887" spans="1:7" x14ac:dyDescent="0.25">
      <c r="A1887">
        <v>241999</v>
      </c>
      <c r="B1887">
        <v>2017</v>
      </c>
      <c r="C1887" t="str">
        <f>VLOOKUP(A1887,[2]Tabelle1!$A$1:$B$68,2,FALSE)</f>
        <v>dav. Hannover  Umland</v>
      </c>
      <c r="D1887" t="s">
        <v>2</v>
      </c>
      <c r="E1887" t="s">
        <v>162</v>
      </c>
      <c r="F1887" t="str">
        <f>VLOOKUP(A1887,[1]Kreise!$A$1:$C$53,3,FALSE)</f>
        <v>K03241999</v>
      </c>
      <c r="G1887">
        <v>3.4222631094756215</v>
      </c>
    </row>
    <row r="1888" spans="1:7" x14ac:dyDescent="0.25">
      <c r="A1888">
        <v>251</v>
      </c>
      <c r="B1888">
        <v>2017</v>
      </c>
      <c r="C1888" t="str">
        <f>VLOOKUP(A1888,[2]Tabelle1!$A$1:$B$68,2,FALSE)</f>
        <v>Diepholz</v>
      </c>
      <c r="D1888" t="s">
        <v>2</v>
      </c>
      <c r="E1888" t="s">
        <v>162</v>
      </c>
      <c r="F1888" t="str">
        <f>VLOOKUP(A1888,[1]Kreise!$A$1:$C$53,3,FALSE)</f>
        <v>K03251</v>
      </c>
      <c r="G1888">
        <v>2.9438001784121322</v>
      </c>
    </row>
    <row r="1889" spans="1:7" x14ac:dyDescent="0.25">
      <c r="A1889">
        <v>252</v>
      </c>
      <c r="B1889">
        <v>2017</v>
      </c>
      <c r="C1889" t="str">
        <f>VLOOKUP(A1889,[2]Tabelle1!$A$1:$B$68,2,FALSE)</f>
        <v>Hameln-Pyrmont</v>
      </c>
      <c r="D1889" t="s">
        <v>2</v>
      </c>
      <c r="E1889" t="s">
        <v>162</v>
      </c>
      <c r="F1889" t="str">
        <f>VLOOKUP(A1889,[1]Kreise!$A$1:$C$53,3,FALSE)</f>
        <v>K03252</v>
      </c>
      <c r="G1889">
        <v>4.0830945558739256</v>
      </c>
    </row>
    <row r="1890" spans="1:7" x14ac:dyDescent="0.25">
      <c r="A1890">
        <v>254</v>
      </c>
      <c r="B1890">
        <v>2017</v>
      </c>
      <c r="C1890" t="str">
        <f>VLOOKUP(A1890,[2]Tabelle1!$A$1:$B$68,2,FALSE)</f>
        <v>Hildesheim</v>
      </c>
      <c r="D1890" t="s">
        <v>2</v>
      </c>
      <c r="E1890" t="s">
        <v>162</v>
      </c>
      <c r="F1890" t="str">
        <f>VLOOKUP(A1890,[1]Kreise!$A$1:$C$53,3,FALSE)</f>
        <v>K03254</v>
      </c>
      <c r="G1890">
        <v>5.1065393093313736</v>
      </c>
    </row>
    <row r="1891" spans="1:7" x14ac:dyDescent="0.25">
      <c r="A1891">
        <v>255</v>
      </c>
      <c r="B1891">
        <v>2017</v>
      </c>
      <c r="C1891" t="str">
        <f>VLOOKUP(A1891,[2]Tabelle1!$A$1:$B$68,2,FALSE)</f>
        <v>Holzminden</v>
      </c>
      <c r="D1891" t="s">
        <v>2</v>
      </c>
      <c r="E1891" t="s">
        <v>162</v>
      </c>
      <c r="F1891" t="str">
        <f>VLOOKUP(A1891,[1]Kreise!$A$1:$C$53,3,FALSE)</f>
        <v>K03255</v>
      </c>
      <c r="G1891">
        <v>5.2301255230125516</v>
      </c>
    </row>
    <row r="1892" spans="1:7" x14ac:dyDescent="0.25">
      <c r="A1892">
        <v>256</v>
      </c>
      <c r="B1892">
        <v>2017</v>
      </c>
      <c r="C1892" t="str">
        <f>VLOOKUP(A1892,[2]Tabelle1!$A$1:$B$68,2,FALSE)</f>
        <v>Nienburg (Weser)</v>
      </c>
      <c r="D1892" t="s">
        <v>2</v>
      </c>
      <c r="E1892" t="s">
        <v>162</v>
      </c>
      <c r="F1892" t="str">
        <f>VLOOKUP(A1892,[1]Kreise!$A$1:$C$53,3,FALSE)</f>
        <v>K03256</v>
      </c>
      <c r="G1892">
        <v>4.7454702329594483</v>
      </c>
    </row>
    <row r="1893" spans="1:7" x14ac:dyDescent="0.25">
      <c r="A1893">
        <v>257</v>
      </c>
      <c r="B1893">
        <v>2017</v>
      </c>
      <c r="C1893" t="str">
        <f>VLOOKUP(A1893,[2]Tabelle1!$A$1:$B$68,2,FALSE)</f>
        <v>Schaumburg</v>
      </c>
      <c r="D1893" t="s">
        <v>2</v>
      </c>
      <c r="E1893" t="s">
        <v>162</v>
      </c>
      <c r="F1893" t="str">
        <f>VLOOKUP(A1893,[1]Kreise!$A$1:$C$53,3,FALSE)</f>
        <v>K03257</v>
      </c>
      <c r="G1893">
        <v>2.5221540558963871</v>
      </c>
    </row>
    <row r="1894" spans="1:7" x14ac:dyDescent="0.25">
      <c r="A1894">
        <v>2</v>
      </c>
      <c r="B1894">
        <v>2017</v>
      </c>
      <c r="C1894" t="str">
        <f>VLOOKUP(A1894,[2]Tabelle1!$A$1:$B$68,2,FALSE)</f>
        <v>Statistische Region Hannover</v>
      </c>
      <c r="D1894" t="s">
        <v>2</v>
      </c>
      <c r="E1894" t="s">
        <v>162</v>
      </c>
      <c r="F1894" t="str">
        <f>VLOOKUP(A1894,[1]Kreise!$A$1:$C$53,3,FALSE)</f>
        <v>K032</v>
      </c>
      <c r="G1894">
        <v>3.9026193493874102</v>
      </c>
    </row>
    <row r="1895" spans="1:7" x14ac:dyDescent="0.25">
      <c r="A1895">
        <v>351</v>
      </c>
      <c r="B1895">
        <v>2017</v>
      </c>
      <c r="C1895" t="str">
        <f>VLOOKUP(A1895,[2]Tabelle1!$A$1:$B$68,2,FALSE)</f>
        <v>Celle</v>
      </c>
      <c r="D1895" t="s">
        <v>2</v>
      </c>
      <c r="E1895" t="s">
        <v>162</v>
      </c>
      <c r="F1895" t="str">
        <f>VLOOKUP(A1895,[1]Kreise!$A$1:$C$53,3,FALSE)</f>
        <v>K03351</v>
      </c>
      <c r="G1895">
        <v>6.7834934991520628</v>
      </c>
    </row>
    <row r="1896" spans="1:7" x14ac:dyDescent="0.25">
      <c r="A1896">
        <v>352</v>
      </c>
      <c r="B1896">
        <v>2017</v>
      </c>
      <c r="C1896" t="str">
        <f>VLOOKUP(A1896,[2]Tabelle1!$A$1:$B$68,2,FALSE)</f>
        <v>Cuxhaven</v>
      </c>
      <c r="D1896" t="s">
        <v>2</v>
      </c>
      <c r="E1896" t="s">
        <v>162</v>
      </c>
      <c r="F1896" t="str">
        <f>VLOOKUP(A1896,[1]Kreise!$A$1:$C$53,3,FALSE)</f>
        <v>K03352</v>
      </c>
      <c r="G1896">
        <v>5.4024255788313127</v>
      </c>
    </row>
    <row r="1897" spans="1:7" x14ac:dyDescent="0.25">
      <c r="A1897">
        <v>353</v>
      </c>
      <c r="B1897">
        <v>2017</v>
      </c>
      <c r="C1897" t="str">
        <f>VLOOKUP(A1897,[2]Tabelle1!$A$1:$B$68,2,FALSE)</f>
        <v>Harburg</v>
      </c>
      <c r="D1897" t="s">
        <v>2</v>
      </c>
      <c r="E1897" t="s">
        <v>162</v>
      </c>
      <c r="F1897" t="str">
        <f>VLOOKUP(A1897,[1]Kreise!$A$1:$C$53,3,FALSE)</f>
        <v>K03353</v>
      </c>
      <c r="G1897">
        <v>3.0788177339901477</v>
      </c>
    </row>
    <row r="1898" spans="1:7" x14ac:dyDescent="0.25">
      <c r="A1898">
        <v>354</v>
      </c>
      <c r="B1898">
        <v>2017</v>
      </c>
      <c r="C1898" t="str">
        <f>VLOOKUP(A1898,[2]Tabelle1!$A$1:$B$68,2,FALSE)</f>
        <v>Lüchow-Dannenberg</v>
      </c>
      <c r="D1898" t="s">
        <v>2</v>
      </c>
      <c r="E1898" t="s">
        <v>162</v>
      </c>
      <c r="F1898" t="str">
        <f>VLOOKUP(A1898,[1]Kreise!$A$1:$C$53,3,FALSE)</f>
        <v>K03354</v>
      </c>
      <c r="G1898">
        <v>7.0247933884297522</v>
      </c>
    </row>
    <row r="1899" spans="1:7" x14ac:dyDescent="0.25">
      <c r="A1899">
        <v>355</v>
      </c>
      <c r="B1899">
        <v>2017</v>
      </c>
      <c r="C1899" t="str">
        <f>VLOOKUP(A1899,[2]Tabelle1!$A$1:$B$68,2,FALSE)</f>
        <v>Lüneburg</v>
      </c>
      <c r="D1899" t="s">
        <v>2</v>
      </c>
      <c r="E1899" t="s">
        <v>162</v>
      </c>
      <c r="F1899" t="str">
        <f>VLOOKUP(A1899,[1]Kreise!$A$1:$C$53,3,FALSE)</f>
        <v>K03355</v>
      </c>
      <c r="G1899">
        <v>4.5336112558624286</v>
      </c>
    </row>
    <row r="1900" spans="1:7" x14ac:dyDescent="0.25">
      <c r="A1900">
        <v>356</v>
      </c>
      <c r="B1900">
        <v>2017</v>
      </c>
      <c r="C1900" t="str">
        <f>VLOOKUP(A1900,[2]Tabelle1!$A$1:$B$68,2,FALSE)</f>
        <v>Osterholz</v>
      </c>
      <c r="D1900" t="s">
        <v>2</v>
      </c>
      <c r="E1900" t="s">
        <v>162</v>
      </c>
      <c r="F1900" t="str">
        <f>VLOOKUP(A1900,[1]Kreise!$A$1:$C$53,3,FALSE)</f>
        <v>K03356</v>
      </c>
      <c r="G1900">
        <v>3.1362007168458779</v>
      </c>
    </row>
    <row r="1901" spans="1:7" x14ac:dyDescent="0.25">
      <c r="A1901">
        <v>357</v>
      </c>
      <c r="B1901">
        <v>2017</v>
      </c>
      <c r="C1901" t="str">
        <f>VLOOKUP(A1901,[2]Tabelle1!$A$1:$B$68,2,FALSE)</f>
        <v>Rotenburg (Wümme)</v>
      </c>
      <c r="D1901" t="s">
        <v>2</v>
      </c>
      <c r="E1901" t="s">
        <v>162</v>
      </c>
      <c r="F1901" t="str">
        <f>VLOOKUP(A1901,[1]Kreise!$A$1:$C$53,3,FALSE)</f>
        <v>K03357</v>
      </c>
      <c r="G1901">
        <v>4.9137480397281754</v>
      </c>
    </row>
    <row r="1902" spans="1:7" x14ac:dyDescent="0.25">
      <c r="A1902">
        <v>358</v>
      </c>
      <c r="B1902">
        <v>2017</v>
      </c>
      <c r="C1902" t="str">
        <f>VLOOKUP(A1902,[2]Tabelle1!$A$1:$B$68,2,FALSE)</f>
        <v>Heidekreis</v>
      </c>
      <c r="D1902" t="s">
        <v>2</v>
      </c>
      <c r="E1902" t="s">
        <v>162</v>
      </c>
      <c r="F1902" t="str">
        <f>VLOOKUP(A1902,[1]Kreise!$A$1:$C$53,3,FALSE)</f>
        <v>K03358</v>
      </c>
      <c r="G1902">
        <v>5.376344086021505</v>
      </c>
    </row>
    <row r="1903" spans="1:7" x14ac:dyDescent="0.25">
      <c r="A1903">
        <v>359</v>
      </c>
      <c r="B1903">
        <v>2017</v>
      </c>
      <c r="C1903" t="str">
        <f>VLOOKUP(A1903,[2]Tabelle1!$A$1:$B$68,2,FALSE)</f>
        <v>Stade</v>
      </c>
      <c r="D1903" t="s">
        <v>2</v>
      </c>
      <c r="E1903" t="s">
        <v>162</v>
      </c>
      <c r="F1903" t="str">
        <f>VLOOKUP(A1903,[1]Kreise!$A$1:$C$53,3,FALSE)</f>
        <v>K03359</v>
      </c>
      <c r="G1903">
        <v>3.7365716954694066</v>
      </c>
    </row>
    <row r="1904" spans="1:7" x14ac:dyDescent="0.25">
      <c r="A1904">
        <v>360</v>
      </c>
      <c r="B1904">
        <v>2017</v>
      </c>
      <c r="C1904" t="str">
        <f>VLOOKUP(A1904,[2]Tabelle1!$A$1:$B$68,2,FALSE)</f>
        <v>Uelzen</v>
      </c>
      <c r="D1904" t="s">
        <v>2</v>
      </c>
      <c r="E1904" t="s">
        <v>162</v>
      </c>
      <c r="F1904" t="str">
        <f>VLOOKUP(A1904,[1]Kreise!$A$1:$C$53,3,FALSE)</f>
        <v>K03360</v>
      </c>
      <c r="G1904">
        <v>4.2269187986651833</v>
      </c>
    </row>
    <row r="1905" spans="1:7" x14ac:dyDescent="0.25">
      <c r="A1905">
        <v>361</v>
      </c>
      <c r="B1905">
        <v>2017</v>
      </c>
      <c r="C1905" t="str">
        <f>VLOOKUP(A1905,[2]Tabelle1!$A$1:$B$68,2,FALSE)</f>
        <v>Verden</v>
      </c>
      <c r="D1905" t="s">
        <v>2</v>
      </c>
      <c r="E1905" t="s">
        <v>162</v>
      </c>
      <c r="F1905" t="str">
        <f>VLOOKUP(A1905,[1]Kreise!$A$1:$C$53,3,FALSE)</f>
        <v>K03361</v>
      </c>
      <c r="G1905">
        <v>2.4944974321349962</v>
      </c>
    </row>
    <row r="1906" spans="1:7" x14ac:dyDescent="0.25">
      <c r="A1906">
        <v>3</v>
      </c>
      <c r="B1906">
        <v>2017</v>
      </c>
      <c r="C1906" t="str">
        <f>VLOOKUP(A1906,[2]Tabelle1!$A$1:$B$68,2,FALSE)</f>
        <v>Statistische Region Lüneburg</v>
      </c>
      <c r="D1906" t="s">
        <v>2</v>
      </c>
      <c r="E1906" t="s">
        <v>162</v>
      </c>
      <c r="F1906" t="str">
        <f>VLOOKUP(A1906,[1]Kreise!$A$1:$C$53,3,FALSE)</f>
        <v>K033</v>
      </c>
      <c r="G1906">
        <v>4.468919386460616</v>
      </c>
    </row>
    <row r="1907" spans="1:7" x14ac:dyDescent="0.25">
      <c r="A1907">
        <v>401</v>
      </c>
      <c r="B1907">
        <v>2017</v>
      </c>
      <c r="C1907" t="str">
        <f>VLOOKUP(A1907,[2]Tabelle1!$A$1:$B$68,2,FALSE)</f>
        <v>Delmenhorst  Stadt</v>
      </c>
      <c r="D1907" t="s">
        <v>2</v>
      </c>
      <c r="E1907" t="s">
        <v>162</v>
      </c>
      <c r="F1907" t="str">
        <f>VLOOKUP(A1907,[1]Kreise!$A$1:$C$53,3,FALSE)</f>
        <v>K03401</v>
      </c>
      <c r="G1907">
        <v>6.1884669479606194</v>
      </c>
    </row>
    <row r="1908" spans="1:7" x14ac:dyDescent="0.25">
      <c r="A1908">
        <v>402</v>
      </c>
      <c r="B1908">
        <v>2017</v>
      </c>
      <c r="C1908" t="str">
        <f>VLOOKUP(A1908,[2]Tabelle1!$A$1:$B$68,2,FALSE)</f>
        <v>Emden  Stadt</v>
      </c>
      <c r="D1908" t="s">
        <v>2</v>
      </c>
      <c r="E1908" t="s">
        <v>162</v>
      </c>
      <c r="F1908" t="str">
        <f>VLOOKUP(A1908,[1]Kreise!$A$1:$C$53,3,FALSE)</f>
        <v>K03402</v>
      </c>
      <c r="G1908">
        <v>6.6317626527050617</v>
      </c>
    </row>
    <row r="1909" spans="1:7" x14ac:dyDescent="0.25">
      <c r="A1909">
        <v>403</v>
      </c>
      <c r="B1909">
        <v>2017</v>
      </c>
      <c r="C1909" t="str">
        <f>VLOOKUP(A1909,[2]Tabelle1!$A$1:$B$68,2,FALSE)</f>
        <v>Oldenburg(Oldb)  Stadt</v>
      </c>
      <c r="D1909" t="s">
        <v>2</v>
      </c>
      <c r="E1909" t="s">
        <v>162</v>
      </c>
      <c r="F1909" t="str">
        <f>VLOOKUP(A1909,[1]Kreise!$A$1:$C$53,3,FALSE)</f>
        <v>K03403</v>
      </c>
      <c r="G1909">
        <v>4.7441364605543708</v>
      </c>
    </row>
    <row r="1910" spans="1:7" x14ac:dyDescent="0.25">
      <c r="A1910">
        <v>404</v>
      </c>
      <c r="B1910">
        <v>2017</v>
      </c>
      <c r="C1910" t="str">
        <f>VLOOKUP(A1910,[2]Tabelle1!$A$1:$B$68,2,FALSE)</f>
        <v>Osnabrück  Stadt</v>
      </c>
      <c r="D1910" t="s">
        <v>2</v>
      </c>
      <c r="E1910" t="s">
        <v>162</v>
      </c>
      <c r="F1910" t="str">
        <f>VLOOKUP(A1910,[1]Kreise!$A$1:$C$53,3,FALSE)</f>
        <v>K03404</v>
      </c>
      <c r="G1910">
        <v>4.056795131845842</v>
      </c>
    </row>
    <row r="1911" spans="1:7" x14ac:dyDescent="0.25">
      <c r="A1911">
        <v>405</v>
      </c>
      <c r="B1911">
        <v>2017</v>
      </c>
      <c r="C1911" t="str">
        <f>VLOOKUP(A1911,[2]Tabelle1!$A$1:$B$68,2,FALSE)</f>
        <v>Wilhelmshaven  Stadt</v>
      </c>
      <c r="D1911" t="s">
        <v>2</v>
      </c>
      <c r="E1911" t="s">
        <v>162</v>
      </c>
      <c r="F1911" t="str">
        <f>VLOOKUP(A1911,[1]Kreise!$A$1:$C$53,3,FALSE)</f>
        <v>K03405</v>
      </c>
      <c r="G1911">
        <v>3.8051750380517504</v>
      </c>
    </row>
    <row r="1912" spans="1:7" x14ac:dyDescent="0.25">
      <c r="A1912">
        <v>451</v>
      </c>
      <c r="B1912">
        <v>2017</v>
      </c>
      <c r="C1912" t="str">
        <f>VLOOKUP(A1912,[2]Tabelle1!$A$1:$B$68,2,FALSE)</f>
        <v>Ammerland</v>
      </c>
      <c r="D1912" t="s">
        <v>2</v>
      </c>
      <c r="E1912" t="s">
        <v>162</v>
      </c>
      <c r="F1912" t="str">
        <f>VLOOKUP(A1912,[1]Kreise!$A$1:$C$53,3,FALSE)</f>
        <v>K03451</v>
      </c>
      <c r="G1912">
        <v>5.1571313456889607</v>
      </c>
    </row>
    <row r="1913" spans="1:7" x14ac:dyDescent="0.25">
      <c r="A1913">
        <v>452</v>
      </c>
      <c r="B1913">
        <v>2017</v>
      </c>
      <c r="C1913" t="str">
        <f>VLOOKUP(A1913,[2]Tabelle1!$A$1:$B$68,2,FALSE)</f>
        <v>Aurich</v>
      </c>
      <c r="D1913" t="s">
        <v>2</v>
      </c>
      <c r="E1913" t="s">
        <v>162</v>
      </c>
      <c r="F1913" t="str">
        <f>VLOOKUP(A1913,[1]Kreise!$A$1:$C$53,3,FALSE)</f>
        <v>K03452</v>
      </c>
      <c r="G1913">
        <v>7.6064908722109541</v>
      </c>
    </row>
    <row r="1914" spans="1:7" x14ac:dyDescent="0.25">
      <c r="A1914">
        <v>453</v>
      </c>
      <c r="B1914">
        <v>2017</v>
      </c>
      <c r="C1914" t="str">
        <f>VLOOKUP(A1914,[2]Tabelle1!$A$1:$B$68,2,FALSE)</f>
        <v>Cloppenburg</v>
      </c>
      <c r="D1914" t="s">
        <v>2</v>
      </c>
      <c r="E1914" t="s">
        <v>162</v>
      </c>
      <c r="F1914" t="str">
        <f>VLOOKUP(A1914,[1]Kreise!$A$1:$C$53,3,FALSE)</f>
        <v>K03453</v>
      </c>
      <c r="G1914">
        <v>5</v>
      </c>
    </row>
    <row r="1915" spans="1:7" x14ac:dyDescent="0.25">
      <c r="A1915">
        <v>454</v>
      </c>
      <c r="B1915">
        <v>2017</v>
      </c>
      <c r="C1915" t="str">
        <f>VLOOKUP(A1915,[2]Tabelle1!$A$1:$B$68,2,FALSE)</f>
        <v>Emsland</v>
      </c>
      <c r="D1915" t="s">
        <v>2</v>
      </c>
      <c r="E1915" t="s">
        <v>162</v>
      </c>
      <c r="F1915" t="str">
        <f>VLOOKUP(A1915,[1]Kreise!$A$1:$C$53,3,FALSE)</f>
        <v>K03454</v>
      </c>
      <c r="G1915">
        <v>5.3396701146211907</v>
      </c>
    </row>
    <row r="1916" spans="1:7" x14ac:dyDescent="0.25">
      <c r="A1916">
        <v>455</v>
      </c>
      <c r="B1916">
        <v>2017</v>
      </c>
      <c r="C1916" t="str">
        <f>VLOOKUP(A1916,[2]Tabelle1!$A$1:$B$68,2,FALSE)</f>
        <v>Friesland</v>
      </c>
      <c r="D1916" t="s">
        <v>2</v>
      </c>
      <c r="E1916" t="s">
        <v>162</v>
      </c>
      <c r="F1916" t="str">
        <f>VLOOKUP(A1916,[1]Kreise!$A$1:$C$53,3,FALSE)</f>
        <v>K03455</v>
      </c>
      <c r="G1916">
        <v>6.5375302663438255</v>
      </c>
    </row>
    <row r="1917" spans="1:7" x14ac:dyDescent="0.25">
      <c r="A1917">
        <v>456</v>
      </c>
      <c r="B1917">
        <v>2017</v>
      </c>
      <c r="C1917" t="str">
        <f>VLOOKUP(A1917,[2]Tabelle1!$A$1:$B$68,2,FALSE)</f>
        <v>Grafschaft Bentheim</v>
      </c>
      <c r="D1917" t="s">
        <v>2</v>
      </c>
      <c r="E1917" t="s">
        <v>162</v>
      </c>
      <c r="F1917" t="str">
        <f>VLOOKUP(A1917,[1]Kreise!$A$1:$C$53,3,FALSE)</f>
        <v>K03456</v>
      </c>
      <c r="G1917">
        <v>4.8920863309352516</v>
      </c>
    </row>
    <row r="1918" spans="1:7" x14ac:dyDescent="0.25">
      <c r="A1918">
        <v>457</v>
      </c>
      <c r="B1918">
        <v>2017</v>
      </c>
      <c r="C1918" t="str">
        <f>VLOOKUP(A1918,[2]Tabelle1!$A$1:$B$68,2,FALSE)</f>
        <v>Leer</v>
      </c>
      <c r="D1918" t="s">
        <v>2</v>
      </c>
      <c r="E1918" t="s">
        <v>162</v>
      </c>
      <c r="F1918" t="str">
        <f>VLOOKUP(A1918,[1]Kreise!$A$1:$C$53,3,FALSE)</f>
        <v>K03457</v>
      </c>
      <c r="G1918">
        <v>8.0952380952380949</v>
      </c>
    </row>
    <row r="1919" spans="1:7" x14ac:dyDescent="0.25">
      <c r="A1919">
        <v>458</v>
      </c>
      <c r="B1919">
        <v>2017</v>
      </c>
      <c r="C1919" t="str">
        <f>VLOOKUP(A1919,[2]Tabelle1!$A$1:$B$68,2,FALSE)</f>
        <v>Oldenburg</v>
      </c>
      <c r="D1919" t="s">
        <v>2</v>
      </c>
      <c r="E1919" t="s">
        <v>162</v>
      </c>
      <c r="F1919" t="str">
        <f>VLOOKUP(A1919,[1]Kreise!$A$1:$C$53,3,FALSE)</f>
        <v>K03458</v>
      </c>
      <c r="G1919">
        <v>4.8264182895850976</v>
      </c>
    </row>
    <row r="1920" spans="1:7" x14ac:dyDescent="0.25">
      <c r="A1920">
        <v>459</v>
      </c>
      <c r="B1920">
        <v>2017</v>
      </c>
      <c r="C1920" t="str">
        <f>VLOOKUP(A1920,[2]Tabelle1!$A$1:$B$68,2,FALSE)</f>
        <v>Osnabrück</v>
      </c>
      <c r="D1920" t="s">
        <v>2</v>
      </c>
      <c r="E1920" t="s">
        <v>162</v>
      </c>
      <c r="F1920" t="str">
        <f>VLOOKUP(A1920,[1]Kreise!$A$1:$C$53,3,FALSE)</f>
        <v>K03459</v>
      </c>
      <c r="G1920">
        <v>5.048231511254019</v>
      </c>
    </row>
    <row r="1921" spans="1:7" x14ac:dyDescent="0.25">
      <c r="A1921">
        <v>460</v>
      </c>
      <c r="B1921">
        <v>2017</v>
      </c>
      <c r="C1921" t="str">
        <f>VLOOKUP(A1921,[2]Tabelle1!$A$1:$B$68,2,FALSE)</f>
        <v>Vechta</v>
      </c>
      <c r="D1921" t="s">
        <v>2</v>
      </c>
      <c r="E1921" t="s">
        <v>162</v>
      </c>
      <c r="F1921" t="str">
        <f>VLOOKUP(A1921,[1]Kreise!$A$1:$C$53,3,FALSE)</f>
        <v>K03460</v>
      </c>
      <c r="G1921">
        <v>5.4004854368932032</v>
      </c>
    </row>
    <row r="1922" spans="1:7" x14ac:dyDescent="0.25">
      <c r="A1922">
        <v>461</v>
      </c>
      <c r="B1922">
        <v>2017</v>
      </c>
      <c r="C1922" t="str">
        <f>VLOOKUP(A1922,[2]Tabelle1!$A$1:$B$68,2,FALSE)</f>
        <v>Wesermarsch</v>
      </c>
      <c r="D1922" t="s">
        <v>2</v>
      </c>
      <c r="E1922" t="s">
        <v>162</v>
      </c>
      <c r="F1922" t="str">
        <f>VLOOKUP(A1922,[1]Kreise!$A$1:$C$53,3,FALSE)</f>
        <v>K03461</v>
      </c>
      <c r="G1922">
        <v>3.3000000000000003</v>
      </c>
    </row>
    <row r="1923" spans="1:7" x14ac:dyDescent="0.25">
      <c r="A1923">
        <v>462</v>
      </c>
      <c r="B1923">
        <v>2017</v>
      </c>
      <c r="C1923" t="str">
        <f>VLOOKUP(A1923,[2]Tabelle1!$A$1:$B$68,2,FALSE)</f>
        <v>Wittmund</v>
      </c>
      <c r="D1923" t="s">
        <v>2</v>
      </c>
      <c r="E1923" t="s">
        <v>162</v>
      </c>
      <c r="F1923" t="str">
        <f>VLOOKUP(A1923,[1]Kreise!$A$1:$C$53,3,FALSE)</f>
        <v>K03462</v>
      </c>
      <c r="G1923">
        <v>5.6277056277056277</v>
      </c>
    </row>
    <row r="1924" spans="1:7" x14ac:dyDescent="0.25">
      <c r="A1924">
        <v>4</v>
      </c>
      <c r="B1924">
        <v>2017</v>
      </c>
      <c r="C1924" t="str">
        <f>VLOOKUP(A1924,[2]Tabelle1!$A$1:$B$68,2,FALSE)</f>
        <v>Statistische Region Weser-Ems</v>
      </c>
      <c r="D1924" t="s">
        <v>2</v>
      </c>
      <c r="E1924" t="s">
        <v>162</v>
      </c>
      <c r="F1924" t="str">
        <f>VLOOKUP(A1924,[1]Kreise!$A$1:$C$53,3,FALSE)</f>
        <v>K034</v>
      </c>
      <c r="G1924">
        <v>5.4161719079174171</v>
      </c>
    </row>
    <row r="1925" spans="1:7" x14ac:dyDescent="0.25">
      <c r="A1925">
        <v>0</v>
      </c>
      <c r="B1925">
        <v>2017</v>
      </c>
      <c r="C1925" t="str">
        <f>VLOOKUP(A1925,[2]Tabelle1!$A$1:$B$68,2,FALSE)</f>
        <v>Niedersachsen</v>
      </c>
      <c r="D1925" t="s">
        <v>2</v>
      </c>
      <c r="E1925" t="s">
        <v>162</v>
      </c>
      <c r="F1925" t="str">
        <f>VLOOKUP(A1925,[1]Kreise!$A$1:$C$53,3,FALSE)</f>
        <v>K030</v>
      </c>
      <c r="G1925">
        <v>4.5882322271174951</v>
      </c>
    </row>
    <row r="1926" spans="1:7" x14ac:dyDescent="0.25">
      <c r="A1926">
        <v>101</v>
      </c>
      <c r="B1926">
        <v>2017</v>
      </c>
      <c r="C1926" t="str">
        <f>VLOOKUP(A1926,[2]Tabelle1!$A$1:$B$68,2,FALSE)</f>
        <v>Braunschweig  Stadt</v>
      </c>
      <c r="D1926" t="s">
        <v>3</v>
      </c>
      <c r="E1926" t="s">
        <v>162</v>
      </c>
      <c r="F1926" t="str">
        <f>VLOOKUP(A1926,[1]Kreise!$A$1:$C$53,3,FALSE)</f>
        <v>K03101</v>
      </c>
      <c r="G1926">
        <v>20.3125</v>
      </c>
    </row>
    <row r="1927" spans="1:7" x14ac:dyDescent="0.25">
      <c r="A1927">
        <v>102</v>
      </c>
      <c r="B1927">
        <v>2017</v>
      </c>
      <c r="C1927" t="str">
        <f>VLOOKUP(A1927,[2]Tabelle1!$A$1:$B$68,2,FALSE)</f>
        <v>Salzgitter  Stadt</v>
      </c>
      <c r="D1927" t="s">
        <v>3</v>
      </c>
      <c r="E1927" t="s">
        <v>162</v>
      </c>
      <c r="F1927" t="str">
        <f>VLOOKUP(A1927,[1]Kreise!$A$1:$C$53,3,FALSE)</f>
        <v>K03102</v>
      </c>
      <c r="G1927">
        <v>22.727272727272727</v>
      </c>
    </row>
    <row r="1928" spans="1:7" x14ac:dyDescent="0.25">
      <c r="A1928">
        <v>103</v>
      </c>
      <c r="B1928">
        <v>2017</v>
      </c>
      <c r="C1928" t="str">
        <f>VLOOKUP(A1928,[2]Tabelle1!$A$1:$B$68,2,FALSE)</f>
        <v>Wolfsburg  Stadt</v>
      </c>
      <c r="D1928" t="s">
        <v>3</v>
      </c>
      <c r="E1928" t="s">
        <v>162</v>
      </c>
      <c r="F1928" t="str">
        <f>VLOOKUP(A1928,[1]Kreise!$A$1:$C$53,3,FALSE)</f>
        <v>K03103</v>
      </c>
      <c r="G1928">
        <v>16.546762589928058</v>
      </c>
    </row>
    <row r="1929" spans="1:7" x14ac:dyDescent="0.25">
      <c r="A1929">
        <v>151</v>
      </c>
      <c r="B1929">
        <v>2017</v>
      </c>
      <c r="C1929" t="str">
        <f>VLOOKUP(A1929,[2]Tabelle1!$A$1:$B$68,2,FALSE)</f>
        <v>Gifhorn</v>
      </c>
      <c r="D1929" t="s">
        <v>3</v>
      </c>
      <c r="E1929" t="s">
        <v>162</v>
      </c>
      <c r="F1929" t="str">
        <f>VLOOKUP(A1929,[1]Kreise!$A$1:$C$53,3,FALSE)</f>
        <v>K03151</v>
      </c>
      <c r="G1929">
        <v>17.777777777777779</v>
      </c>
    </row>
    <row r="1930" spans="1:7" x14ac:dyDescent="0.25">
      <c r="A1930">
        <v>153</v>
      </c>
      <c r="B1930">
        <v>2017</v>
      </c>
      <c r="C1930" t="str">
        <f>VLOOKUP(A1930,[2]Tabelle1!$A$1:$B$68,2,FALSE)</f>
        <v>Goslar</v>
      </c>
      <c r="D1930" t="s">
        <v>3</v>
      </c>
      <c r="E1930" t="s">
        <v>162</v>
      </c>
      <c r="F1930" t="str">
        <f>VLOOKUP(A1930,[1]Kreise!$A$1:$C$53,3,FALSE)</f>
        <v>K03153</v>
      </c>
      <c r="G1930">
        <v>10.989010989010989</v>
      </c>
    </row>
    <row r="1931" spans="1:7" x14ac:dyDescent="0.25">
      <c r="A1931">
        <v>154</v>
      </c>
      <c r="B1931">
        <v>2017</v>
      </c>
      <c r="C1931" t="str">
        <f>VLOOKUP(A1931,[2]Tabelle1!$A$1:$B$68,2,FALSE)</f>
        <v>Helmstedt</v>
      </c>
      <c r="D1931" t="s">
        <v>3</v>
      </c>
      <c r="E1931" t="s">
        <v>162</v>
      </c>
      <c r="F1931" t="str">
        <f>VLOOKUP(A1931,[1]Kreise!$A$1:$C$53,3,FALSE)</f>
        <v>K03154</v>
      </c>
      <c r="G1931">
        <v>20.512820512820511</v>
      </c>
    </row>
    <row r="1932" spans="1:7" x14ac:dyDescent="0.25">
      <c r="A1932">
        <v>155</v>
      </c>
      <c r="B1932">
        <v>2017</v>
      </c>
      <c r="C1932" t="str">
        <f>VLOOKUP(A1932,[2]Tabelle1!$A$1:$B$68,2,FALSE)</f>
        <v>Northeim</v>
      </c>
      <c r="D1932" t="s">
        <v>3</v>
      </c>
      <c r="E1932" t="s">
        <v>162</v>
      </c>
      <c r="F1932" t="str">
        <f>VLOOKUP(A1932,[1]Kreise!$A$1:$C$53,3,FALSE)</f>
        <v>K03155</v>
      </c>
      <c r="G1932">
        <v>21.875</v>
      </c>
    </row>
    <row r="1933" spans="1:7" x14ac:dyDescent="0.25">
      <c r="A1933">
        <v>157</v>
      </c>
      <c r="B1933">
        <v>2017</v>
      </c>
      <c r="C1933" t="str">
        <f>VLOOKUP(A1933,[2]Tabelle1!$A$1:$B$68,2,FALSE)</f>
        <v>Peine</v>
      </c>
      <c r="D1933" t="s">
        <v>3</v>
      </c>
      <c r="E1933" t="s">
        <v>162</v>
      </c>
      <c r="F1933" t="str">
        <f>VLOOKUP(A1933,[1]Kreise!$A$1:$C$53,3,FALSE)</f>
        <v>K03157</v>
      </c>
      <c r="G1933">
        <v>16.19047619047619</v>
      </c>
    </row>
    <row r="1934" spans="1:7" x14ac:dyDescent="0.25">
      <c r="A1934">
        <v>158</v>
      </c>
      <c r="B1934">
        <v>2017</v>
      </c>
      <c r="C1934" t="str">
        <f>VLOOKUP(A1934,[2]Tabelle1!$A$1:$B$68,2,FALSE)</f>
        <v>Wolfenbüttel</v>
      </c>
      <c r="D1934" t="s">
        <v>3</v>
      </c>
      <c r="E1934" t="s">
        <v>162</v>
      </c>
      <c r="F1934" t="str">
        <f>VLOOKUP(A1934,[1]Kreise!$A$1:$C$53,3,FALSE)</f>
        <v>K03158</v>
      </c>
      <c r="G1934">
        <v>30.188679245283019</v>
      </c>
    </row>
    <row r="1935" spans="1:7" x14ac:dyDescent="0.25">
      <c r="A1935">
        <v>159</v>
      </c>
      <c r="B1935">
        <v>2017</v>
      </c>
      <c r="C1935" t="str">
        <f>VLOOKUP(A1935,[2]Tabelle1!$A$1:$B$68,2,FALSE)</f>
        <v>Göttingen</v>
      </c>
      <c r="D1935" t="s">
        <v>3</v>
      </c>
      <c r="E1935" t="s">
        <v>162</v>
      </c>
      <c r="F1935" t="str">
        <f>VLOOKUP(A1935,[1]Kreise!$A$1:$C$53,3,FALSE)</f>
        <v>K03159</v>
      </c>
      <c r="G1935">
        <v>22.699386503067483</v>
      </c>
    </row>
    <row r="1936" spans="1:7" x14ac:dyDescent="0.25">
      <c r="A1936">
        <v>1</v>
      </c>
      <c r="B1936">
        <v>2017</v>
      </c>
      <c r="C1936" t="str">
        <f>VLOOKUP(A1936,[2]Tabelle1!$A$1:$B$68,2,FALSE)</f>
        <v>Statistische Region Braunschweig</v>
      </c>
      <c r="D1936" t="s">
        <v>3</v>
      </c>
      <c r="E1936" t="s">
        <v>162</v>
      </c>
      <c r="F1936" t="str">
        <f>VLOOKUP(A1936,[1]Kreise!$A$1:$C$53,3,FALSE)</f>
        <v>K031</v>
      </c>
      <c r="G1936">
        <v>19.662921348314608</v>
      </c>
    </row>
    <row r="1937" spans="1:7" x14ac:dyDescent="0.25">
      <c r="A1937">
        <v>241</v>
      </c>
      <c r="B1937">
        <v>2017</v>
      </c>
      <c r="C1937" t="str">
        <f>VLOOKUP(A1937,[2]Tabelle1!$A$1:$B$68,2,FALSE)</f>
        <v>Hannover  Region</v>
      </c>
      <c r="D1937" t="s">
        <v>3</v>
      </c>
      <c r="E1937" t="s">
        <v>162</v>
      </c>
      <c r="F1937" t="str">
        <f>VLOOKUP(A1937,[1]Kreise!$A$1:$C$53,3,FALSE)</f>
        <v>K03241</v>
      </c>
      <c r="G1937">
        <v>15.060670949321914</v>
      </c>
    </row>
    <row r="1938" spans="1:7" x14ac:dyDescent="0.25">
      <c r="A1938">
        <v>241001</v>
      </c>
      <c r="B1938">
        <v>2017</v>
      </c>
      <c r="C1938" t="str">
        <f>VLOOKUP(A1938,[2]Tabelle1!$A$1:$B$68,2,FALSE)</f>
        <v>dav. Hannover  Lhst.</v>
      </c>
      <c r="D1938" t="s">
        <v>3</v>
      </c>
      <c r="E1938" t="s">
        <v>162</v>
      </c>
      <c r="F1938" t="str">
        <f>VLOOKUP(A1938,[1]Kreise!$A$1:$C$53,3,FALSE)</f>
        <v>K03241001</v>
      </c>
      <c r="G1938">
        <v>15.674362089914945</v>
      </c>
    </row>
    <row r="1939" spans="1:7" x14ac:dyDescent="0.25">
      <c r="A1939">
        <v>241999</v>
      </c>
      <c r="B1939">
        <v>2017</v>
      </c>
      <c r="C1939" t="str">
        <f>VLOOKUP(A1939,[2]Tabelle1!$A$1:$B$68,2,FALSE)</f>
        <v>dav. Hannover  Umland</v>
      </c>
      <c r="D1939" t="s">
        <v>3</v>
      </c>
      <c r="E1939" t="s">
        <v>162</v>
      </c>
      <c r="F1939" t="str">
        <f>VLOOKUP(A1939,[1]Kreise!$A$1:$C$53,3,FALSE)</f>
        <v>K03241999</v>
      </c>
      <c r="G1939">
        <v>14.186851211072666</v>
      </c>
    </row>
    <row r="1940" spans="1:7" x14ac:dyDescent="0.25">
      <c r="A1940">
        <v>251</v>
      </c>
      <c r="B1940">
        <v>2017</v>
      </c>
      <c r="C1940" t="str">
        <f>VLOOKUP(A1940,[2]Tabelle1!$A$1:$B$68,2,FALSE)</f>
        <v>Diepholz</v>
      </c>
      <c r="D1940" t="s">
        <v>3</v>
      </c>
      <c r="E1940" t="s">
        <v>162</v>
      </c>
      <c r="F1940" t="str">
        <f>VLOOKUP(A1940,[1]Kreise!$A$1:$C$53,3,FALSE)</f>
        <v>K03251</v>
      </c>
      <c r="G1940">
        <v>22.794117647058822</v>
      </c>
    </row>
    <row r="1941" spans="1:7" x14ac:dyDescent="0.25">
      <c r="A1941">
        <v>252</v>
      </c>
      <c r="B1941">
        <v>2017</v>
      </c>
      <c r="C1941" t="str">
        <f>VLOOKUP(A1941,[2]Tabelle1!$A$1:$B$68,2,FALSE)</f>
        <v>Hameln-Pyrmont</v>
      </c>
      <c r="D1941" t="s">
        <v>3</v>
      </c>
      <c r="E1941" t="s">
        <v>162</v>
      </c>
      <c r="F1941" t="str">
        <f>VLOOKUP(A1941,[1]Kreise!$A$1:$C$53,3,FALSE)</f>
        <v>K03252</v>
      </c>
      <c r="G1941">
        <v>15.384615384615385</v>
      </c>
    </row>
    <row r="1942" spans="1:7" x14ac:dyDescent="0.25">
      <c r="A1942">
        <v>254</v>
      </c>
      <c r="B1942">
        <v>2017</v>
      </c>
      <c r="C1942" t="str">
        <f>VLOOKUP(A1942,[2]Tabelle1!$A$1:$B$68,2,FALSE)</f>
        <v>Hildesheim</v>
      </c>
      <c r="D1942" t="s">
        <v>3</v>
      </c>
      <c r="E1942" t="s">
        <v>162</v>
      </c>
      <c r="F1942" t="str">
        <f>VLOOKUP(A1942,[1]Kreise!$A$1:$C$53,3,FALSE)</f>
        <v>K03254</v>
      </c>
      <c r="G1942">
        <v>25.69832402234637</v>
      </c>
    </row>
    <row r="1943" spans="1:7" x14ac:dyDescent="0.25">
      <c r="A1943">
        <v>255</v>
      </c>
      <c r="B1943">
        <v>2017</v>
      </c>
      <c r="C1943" t="str">
        <f>VLOOKUP(A1943,[2]Tabelle1!$A$1:$B$68,2,FALSE)</f>
        <v>Holzminden</v>
      </c>
      <c r="D1943" t="s">
        <v>3</v>
      </c>
      <c r="E1943" t="s">
        <v>162</v>
      </c>
      <c r="F1943" t="str">
        <f>VLOOKUP(A1943,[1]Kreise!$A$1:$C$53,3,FALSE)</f>
        <v>K03255</v>
      </c>
      <c r="G1943">
        <v>5.1282051282051277</v>
      </c>
    </row>
    <row r="1944" spans="1:7" x14ac:dyDescent="0.25">
      <c r="A1944">
        <v>256</v>
      </c>
      <c r="B1944">
        <v>2017</v>
      </c>
      <c r="C1944" t="str">
        <f>VLOOKUP(A1944,[2]Tabelle1!$A$1:$B$68,2,FALSE)</f>
        <v>Nienburg (Weser)</v>
      </c>
      <c r="D1944" t="s">
        <v>3</v>
      </c>
      <c r="E1944" t="s">
        <v>162</v>
      </c>
      <c r="F1944" t="str">
        <f>VLOOKUP(A1944,[1]Kreise!$A$1:$C$53,3,FALSE)</f>
        <v>K03256</v>
      </c>
      <c r="G1944">
        <v>27.536231884057973</v>
      </c>
    </row>
    <row r="1945" spans="1:7" x14ac:dyDescent="0.25">
      <c r="A1945">
        <v>257</v>
      </c>
      <c r="B1945">
        <v>2017</v>
      </c>
      <c r="C1945" t="str">
        <f>VLOOKUP(A1945,[2]Tabelle1!$A$1:$B$68,2,FALSE)</f>
        <v>Schaumburg</v>
      </c>
      <c r="D1945" t="s">
        <v>3</v>
      </c>
      <c r="E1945" t="s">
        <v>162</v>
      </c>
      <c r="F1945" t="str">
        <f>VLOOKUP(A1945,[1]Kreise!$A$1:$C$53,3,FALSE)</f>
        <v>K03257</v>
      </c>
      <c r="G1945">
        <v>27.152317880794701</v>
      </c>
    </row>
    <row r="1946" spans="1:7" x14ac:dyDescent="0.25">
      <c r="A1946">
        <v>2</v>
      </c>
      <c r="B1946">
        <v>2017</v>
      </c>
      <c r="C1946" t="str">
        <f>VLOOKUP(A1946,[2]Tabelle1!$A$1:$B$68,2,FALSE)</f>
        <v>Statistische Region Hannover</v>
      </c>
      <c r="D1946" t="s">
        <v>3</v>
      </c>
      <c r="E1946" t="s">
        <v>162</v>
      </c>
      <c r="F1946" t="str">
        <f>VLOOKUP(A1946,[1]Kreise!$A$1:$C$53,3,FALSE)</f>
        <v>K032</v>
      </c>
      <c r="G1946">
        <v>17.590822179732314</v>
      </c>
    </row>
    <row r="1947" spans="1:7" x14ac:dyDescent="0.25">
      <c r="A1947">
        <v>351</v>
      </c>
      <c r="B1947">
        <v>2017</v>
      </c>
      <c r="C1947" t="str">
        <f>VLOOKUP(A1947,[2]Tabelle1!$A$1:$B$68,2,FALSE)</f>
        <v>Celle</v>
      </c>
      <c r="D1947" t="s">
        <v>3</v>
      </c>
      <c r="E1947" t="s">
        <v>162</v>
      </c>
      <c r="F1947" t="str">
        <f>VLOOKUP(A1947,[1]Kreise!$A$1:$C$53,3,FALSE)</f>
        <v>K03351</v>
      </c>
      <c r="G1947">
        <v>33.333333333333329</v>
      </c>
    </row>
    <row r="1948" spans="1:7" x14ac:dyDescent="0.25">
      <c r="A1948">
        <v>352</v>
      </c>
      <c r="B1948">
        <v>2017</v>
      </c>
      <c r="C1948" t="str">
        <f>VLOOKUP(A1948,[2]Tabelle1!$A$1:$B$68,2,FALSE)</f>
        <v>Cuxhaven</v>
      </c>
      <c r="D1948" t="s">
        <v>3</v>
      </c>
      <c r="E1948" t="s">
        <v>162</v>
      </c>
      <c r="F1948" t="str">
        <f>VLOOKUP(A1948,[1]Kreise!$A$1:$C$53,3,FALSE)</f>
        <v>K03352</v>
      </c>
      <c r="G1948">
        <v>37.037037037037038</v>
      </c>
    </row>
    <row r="1949" spans="1:7" x14ac:dyDescent="0.25">
      <c r="A1949">
        <v>353</v>
      </c>
      <c r="B1949">
        <v>2017</v>
      </c>
      <c r="C1949" t="str">
        <f>VLOOKUP(A1949,[2]Tabelle1!$A$1:$B$68,2,FALSE)</f>
        <v>Harburg</v>
      </c>
      <c r="D1949" t="s">
        <v>3</v>
      </c>
      <c r="E1949" t="s">
        <v>162</v>
      </c>
      <c r="F1949" t="str">
        <f>VLOOKUP(A1949,[1]Kreise!$A$1:$C$53,3,FALSE)</f>
        <v>K03353</v>
      </c>
      <c r="G1949">
        <v>17.424242424242426</v>
      </c>
    </row>
    <row r="1950" spans="1:7" x14ac:dyDescent="0.25">
      <c r="A1950">
        <v>354</v>
      </c>
      <c r="B1950">
        <v>2017</v>
      </c>
      <c r="C1950" t="str">
        <f>VLOOKUP(A1950,[2]Tabelle1!$A$1:$B$68,2,FALSE)</f>
        <v>Lüchow-Dannenberg</v>
      </c>
      <c r="D1950" t="s">
        <v>3</v>
      </c>
      <c r="E1950" t="s">
        <v>162</v>
      </c>
      <c r="F1950" t="str">
        <f>VLOOKUP(A1950,[1]Kreise!$A$1:$C$53,3,FALSE)</f>
        <v>K03354</v>
      </c>
      <c r="G1950">
        <v>44.444444444444443</v>
      </c>
    </row>
    <row r="1951" spans="1:7" x14ac:dyDescent="0.25">
      <c r="A1951">
        <v>355</v>
      </c>
      <c r="B1951">
        <v>2017</v>
      </c>
      <c r="C1951" t="str">
        <f>VLOOKUP(A1951,[2]Tabelle1!$A$1:$B$68,2,FALSE)</f>
        <v>Lüneburg</v>
      </c>
      <c r="D1951" t="s">
        <v>3</v>
      </c>
      <c r="E1951" t="s">
        <v>162</v>
      </c>
      <c r="F1951" t="str">
        <f>VLOOKUP(A1951,[1]Kreise!$A$1:$C$53,3,FALSE)</f>
        <v>K03355</v>
      </c>
      <c r="G1951">
        <v>12.76595744680851</v>
      </c>
    </row>
    <row r="1952" spans="1:7" x14ac:dyDescent="0.25">
      <c r="A1952">
        <v>356</v>
      </c>
      <c r="B1952">
        <v>2017</v>
      </c>
      <c r="C1952" t="str">
        <f>VLOOKUP(A1952,[2]Tabelle1!$A$1:$B$68,2,FALSE)</f>
        <v>Osterholz</v>
      </c>
      <c r="D1952" t="s">
        <v>3</v>
      </c>
      <c r="E1952" t="s">
        <v>162</v>
      </c>
      <c r="F1952" t="str">
        <f>VLOOKUP(A1952,[1]Kreise!$A$1:$C$53,3,FALSE)</f>
        <v>K03356</v>
      </c>
      <c r="G1952">
        <v>14.583333333333334</v>
      </c>
    </row>
    <row r="1953" spans="1:7" x14ac:dyDescent="0.25">
      <c r="A1953">
        <v>357</v>
      </c>
      <c r="B1953">
        <v>2017</v>
      </c>
      <c r="C1953" t="str">
        <f>VLOOKUP(A1953,[2]Tabelle1!$A$1:$B$68,2,FALSE)</f>
        <v>Rotenburg (Wümme)</v>
      </c>
      <c r="D1953" t="s">
        <v>3</v>
      </c>
      <c r="E1953" t="s">
        <v>162</v>
      </c>
      <c r="F1953" t="str">
        <f>VLOOKUP(A1953,[1]Kreise!$A$1:$C$53,3,FALSE)</f>
        <v>K03357</v>
      </c>
      <c r="G1953">
        <v>24.285714285714285</v>
      </c>
    </row>
    <row r="1954" spans="1:7" x14ac:dyDescent="0.25">
      <c r="A1954">
        <v>358</v>
      </c>
      <c r="B1954">
        <v>2017</v>
      </c>
      <c r="C1954" t="str">
        <f>VLOOKUP(A1954,[2]Tabelle1!$A$1:$B$68,2,FALSE)</f>
        <v>Heidekreis</v>
      </c>
      <c r="D1954" t="s">
        <v>3</v>
      </c>
      <c r="E1954" t="s">
        <v>162</v>
      </c>
      <c r="F1954" t="str">
        <f>VLOOKUP(A1954,[1]Kreise!$A$1:$C$53,3,FALSE)</f>
        <v>K03358</v>
      </c>
      <c r="G1954">
        <v>28.333333333333332</v>
      </c>
    </row>
    <row r="1955" spans="1:7" x14ac:dyDescent="0.25">
      <c r="A1955">
        <v>359</v>
      </c>
      <c r="B1955">
        <v>2017</v>
      </c>
      <c r="C1955" t="str">
        <f>VLOOKUP(A1955,[2]Tabelle1!$A$1:$B$68,2,FALSE)</f>
        <v>Stade</v>
      </c>
      <c r="D1955" t="s">
        <v>3</v>
      </c>
      <c r="E1955" t="s">
        <v>162</v>
      </c>
      <c r="F1955" t="str">
        <f>VLOOKUP(A1955,[1]Kreise!$A$1:$C$53,3,FALSE)</f>
        <v>K03359</v>
      </c>
      <c r="G1955">
        <v>26.851851851851855</v>
      </c>
    </row>
    <row r="1956" spans="1:7" x14ac:dyDescent="0.25">
      <c r="A1956">
        <v>360</v>
      </c>
      <c r="B1956">
        <v>2017</v>
      </c>
      <c r="C1956" t="str">
        <f>VLOOKUP(A1956,[2]Tabelle1!$A$1:$B$68,2,FALSE)</f>
        <v>Uelzen</v>
      </c>
      <c r="D1956" t="s">
        <v>3</v>
      </c>
      <c r="E1956" t="s">
        <v>162</v>
      </c>
      <c r="F1956" t="str">
        <f>VLOOKUP(A1956,[1]Kreise!$A$1:$C$53,3,FALSE)</f>
        <v>K03360</v>
      </c>
      <c r="G1956">
        <v>43.589743589743591</v>
      </c>
    </row>
    <row r="1957" spans="1:7" x14ac:dyDescent="0.25">
      <c r="A1957">
        <v>361</v>
      </c>
      <c r="B1957">
        <v>2017</v>
      </c>
      <c r="C1957" t="str">
        <f>VLOOKUP(A1957,[2]Tabelle1!$A$1:$B$68,2,FALSE)</f>
        <v>Verden</v>
      </c>
      <c r="D1957" t="s">
        <v>3</v>
      </c>
      <c r="E1957" t="s">
        <v>162</v>
      </c>
      <c r="F1957" t="str">
        <f>VLOOKUP(A1957,[1]Kreise!$A$1:$C$53,3,FALSE)</f>
        <v>K03361</v>
      </c>
      <c r="G1957">
        <v>34.285714285714285</v>
      </c>
    </row>
    <row r="1958" spans="1:7" x14ac:dyDescent="0.25">
      <c r="A1958">
        <v>3</v>
      </c>
      <c r="B1958">
        <v>2017</v>
      </c>
      <c r="C1958" t="str">
        <f>VLOOKUP(A1958,[2]Tabelle1!$A$1:$B$68,2,FALSE)</f>
        <v>Statistische Region Lüneburg</v>
      </c>
      <c r="D1958" t="s">
        <v>3</v>
      </c>
      <c r="E1958" t="s">
        <v>162</v>
      </c>
      <c r="F1958" t="str">
        <f>VLOOKUP(A1958,[1]Kreise!$A$1:$C$53,3,FALSE)</f>
        <v>K033</v>
      </c>
      <c r="G1958">
        <v>26.568265682656829</v>
      </c>
    </row>
    <row r="1959" spans="1:7" x14ac:dyDescent="0.25">
      <c r="A1959">
        <v>401</v>
      </c>
      <c r="B1959">
        <v>2017</v>
      </c>
      <c r="C1959" t="str">
        <f>VLOOKUP(A1959,[2]Tabelle1!$A$1:$B$68,2,FALSE)</f>
        <v>Delmenhorst  Stadt</v>
      </c>
      <c r="D1959" t="s">
        <v>3</v>
      </c>
      <c r="E1959" t="s">
        <v>162</v>
      </c>
      <c r="F1959" t="str">
        <f>VLOOKUP(A1959,[1]Kreise!$A$1:$C$53,3,FALSE)</f>
        <v>K03401</v>
      </c>
      <c r="G1959">
        <v>29.411764705882355</v>
      </c>
    </row>
    <row r="1960" spans="1:7" x14ac:dyDescent="0.25">
      <c r="A1960">
        <v>402</v>
      </c>
      <c r="B1960">
        <v>2017</v>
      </c>
      <c r="C1960" t="str">
        <f>VLOOKUP(A1960,[2]Tabelle1!$A$1:$B$68,2,FALSE)</f>
        <v>Emden  Stadt</v>
      </c>
      <c r="D1960" t="s">
        <v>3</v>
      </c>
      <c r="E1960" t="s">
        <v>162</v>
      </c>
      <c r="F1960" t="str">
        <f>VLOOKUP(A1960,[1]Kreise!$A$1:$C$53,3,FALSE)</f>
        <v>K03402</v>
      </c>
      <c r="G1960">
        <v>58.333333333333336</v>
      </c>
    </row>
    <row r="1961" spans="1:7" x14ac:dyDescent="0.25">
      <c r="A1961">
        <v>403</v>
      </c>
      <c r="B1961">
        <v>2017</v>
      </c>
      <c r="C1961" t="str">
        <f>VLOOKUP(A1961,[2]Tabelle1!$A$1:$B$68,2,FALSE)</f>
        <v>Oldenburg(Oldb)  Stadt</v>
      </c>
      <c r="D1961" t="s">
        <v>3</v>
      </c>
      <c r="E1961" t="s">
        <v>162</v>
      </c>
      <c r="F1961" t="str">
        <f>VLOOKUP(A1961,[1]Kreise!$A$1:$C$53,3,FALSE)</f>
        <v>K03403</v>
      </c>
      <c r="G1961">
        <v>16.19047619047619</v>
      </c>
    </row>
    <row r="1962" spans="1:7" x14ac:dyDescent="0.25">
      <c r="A1962">
        <v>404</v>
      </c>
      <c r="B1962">
        <v>2017</v>
      </c>
      <c r="C1962" t="str">
        <f>VLOOKUP(A1962,[2]Tabelle1!$A$1:$B$68,2,FALSE)</f>
        <v>Osnabrück  Stadt</v>
      </c>
      <c r="D1962" t="s">
        <v>3</v>
      </c>
      <c r="E1962" t="s">
        <v>162</v>
      </c>
      <c r="F1962" t="str">
        <f>VLOOKUP(A1962,[1]Kreise!$A$1:$C$53,3,FALSE)</f>
        <v>K03404</v>
      </c>
      <c r="G1962">
        <v>13.043478260869565</v>
      </c>
    </row>
    <row r="1963" spans="1:7" x14ac:dyDescent="0.25">
      <c r="A1963">
        <v>405</v>
      </c>
      <c r="B1963">
        <v>2017</v>
      </c>
      <c r="C1963" t="str">
        <f>VLOOKUP(A1963,[2]Tabelle1!$A$1:$B$68,2,FALSE)</f>
        <v>Wilhelmshaven  Stadt</v>
      </c>
      <c r="D1963" t="s">
        <v>3</v>
      </c>
      <c r="E1963" t="s">
        <v>162</v>
      </c>
      <c r="F1963" t="str">
        <f>VLOOKUP(A1963,[1]Kreise!$A$1:$C$53,3,FALSE)</f>
        <v>K03405</v>
      </c>
      <c r="G1963">
        <v>5.7971014492753623</v>
      </c>
    </row>
    <row r="1964" spans="1:7" x14ac:dyDescent="0.25">
      <c r="A1964">
        <v>451</v>
      </c>
      <c r="B1964">
        <v>2017</v>
      </c>
      <c r="C1964" t="str">
        <f>VLOOKUP(A1964,[2]Tabelle1!$A$1:$B$68,2,FALSE)</f>
        <v>Ammerland</v>
      </c>
      <c r="D1964" t="s">
        <v>3</v>
      </c>
      <c r="E1964" t="s">
        <v>162</v>
      </c>
      <c r="F1964" t="str">
        <f>VLOOKUP(A1964,[1]Kreise!$A$1:$C$53,3,FALSE)</f>
        <v>K03451</v>
      </c>
      <c r="G1964">
        <v>15.909090909090908</v>
      </c>
    </row>
    <row r="1965" spans="1:7" x14ac:dyDescent="0.25">
      <c r="A1965">
        <v>452</v>
      </c>
      <c r="B1965">
        <v>2017</v>
      </c>
      <c r="C1965" t="str">
        <f>VLOOKUP(A1965,[2]Tabelle1!$A$1:$B$68,2,FALSE)</f>
        <v>Aurich</v>
      </c>
      <c r="D1965" t="s">
        <v>3</v>
      </c>
      <c r="E1965" t="s">
        <v>162</v>
      </c>
      <c r="F1965" t="str">
        <f>VLOOKUP(A1965,[1]Kreise!$A$1:$C$53,3,FALSE)</f>
        <v>K03452</v>
      </c>
      <c r="G1965">
        <v>26.415094339622641</v>
      </c>
    </row>
    <row r="1966" spans="1:7" x14ac:dyDescent="0.25">
      <c r="A1966">
        <v>453</v>
      </c>
      <c r="B1966">
        <v>2017</v>
      </c>
      <c r="C1966" t="str">
        <f>VLOOKUP(A1966,[2]Tabelle1!$A$1:$B$68,2,FALSE)</f>
        <v>Cloppenburg</v>
      </c>
      <c r="D1966" t="s">
        <v>3</v>
      </c>
      <c r="E1966" t="s">
        <v>162</v>
      </c>
      <c r="F1966" t="str">
        <f>VLOOKUP(A1966,[1]Kreise!$A$1:$C$53,3,FALSE)</f>
        <v>K03453</v>
      </c>
      <c r="G1966">
        <v>30.927835051546392</v>
      </c>
    </row>
    <row r="1967" spans="1:7" x14ac:dyDescent="0.25">
      <c r="A1967">
        <v>454</v>
      </c>
      <c r="B1967">
        <v>2017</v>
      </c>
      <c r="C1967" t="str">
        <f>VLOOKUP(A1967,[2]Tabelle1!$A$1:$B$68,2,FALSE)</f>
        <v>Emsland</v>
      </c>
      <c r="D1967" t="s">
        <v>3</v>
      </c>
      <c r="E1967" t="s">
        <v>162</v>
      </c>
      <c r="F1967" t="str">
        <f>VLOOKUP(A1967,[1]Kreise!$A$1:$C$53,3,FALSE)</f>
        <v>K03454</v>
      </c>
      <c r="G1967">
        <v>42.410714285714285</v>
      </c>
    </row>
    <row r="1968" spans="1:7" x14ac:dyDescent="0.25">
      <c r="A1968">
        <v>455</v>
      </c>
      <c r="B1968">
        <v>2017</v>
      </c>
      <c r="C1968" t="str">
        <f>VLOOKUP(A1968,[2]Tabelle1!$A$1:$B$68,2,FALSE)</f>
        <v>Friesland</v>
      </c>
      <c r="D1968" t="s">
        <v>3</v>
      </c>
      <c r="E1968" t="s">
        <v>162</v>
      </c>
      <c r="F1968" t="str">
        <f>VLOOKUP(A1968,[1]Kreise!$A$1:$C$53,3,FALSE)</f>
        <v>K03455</v>
      </c>
      <c r="G1968">
        <v>57.446808510638306</v>
      </c>
    </row>
    <row r="1969" spans="1:7" x14ac:dyDescent="0.25">
      <c r="A1969">
        <v>456</v>
      </c>
      <c r="B1969">
        <v>2017</v>
      </c>
      <c r="C1969" t="str">
        <f>VLOOKUP(A1969,[2]Tabelle1!$A$1:$B$68,2,FALSE)</f>
        <v>Grafschaft Bentheim</v>
      </c>
      <c r="D1969" t="s">
        <v>3</v>
      </c>
      <c r="E1969" t="s">
        <v>162</v>
      </c>
      <c r="F1969" t="str">
        <f>VLOOKUP(A1969,[1]Kreise!$A$1:$C$53,3,FALSE)</f>
        <v>K03456</v>
      </c>
      <c r="G1969">
        <v>16.793893129770993</v>
      </c>
    </row>
    <row r="1970" spans="1:7" x14ac:dyDescent="0.25">
      <c r="A1970">
        <v>457</v>
      </c>
      <c r="B1970">
        <v>2017</v>
      </c>
      <c r="C1970" t="str">
        <f>VLOOKUP(A1970,[2]Tabelle1!$A$1:$B$68,2,FALSE)</f>
        <v>Leer</v>
      </c>
      <c r="D1970" t="s">
        <v>3</v>
      </c>
      <c r="E1970" t="s">
        <v>162</v>
      </c>
      <c r="F1970" t="str">
        <f>VLOOKUP(A1970,[1]Kreise!$A$1:$C$53,3,FALSE)</f>
        <v>K03457</v>
      </c>
      <c r="G1970">
        <v>27.884615384615387</v>
      </c>
    </row>
    <row r="1971" spans="1:7" x14ac:dyDescent="0.25">
      <c r="A1971">
        <v>458</v>
      </c>
      <c r="B1971">
        <v>2017</v>
      </c>
      <c r="C1971" t="str">
        <f>VLOOKUP(A1971,[2]Tabelle1!$A$1:$B$68,2,FALSE)</f>
        <v>Oldenburg</v>
      </c>
      <c r="D1971" t="s">
        <v>3</v>
      </c>
      <c r="E1971" t="s">
        <v>162</v>
      </c>
      <c r="F1971" t="str">
        <f>VLOOKUP(A1971,[1]Kreise!$A$1:$C$53,3,FALSE)</f>
        <v>K03458</v>
      </c>
      <c r="G1971">
        <v>44.565217391304344</v>
      </c>
    </row>
    <row r="1972" spans="1:7" x14ac:dyDescent="0.25">
      <c r="A1972">
        <v>459</v>
      </c>
      <c r="B1972">
        <v>2017</v>
      </c>
      <c r="C1972" t="str">
        <f>VLOOKUP(A1972,[2]Tabelle1!$A$1:$B$68,2,FALSE)</f>
        <v>Osnabrück</v>
      </c>
      <c r="D1972" t="s">
        <v>3</v>
      </c>
      <c r="E1972" t="s">
        <v>162</v>
      </c>
      <c r="F1972" t="str">
        <f>VLOOKUP(A1972,[1]Kreise!$A$1:$C$53,3,FALSE)</f>
        <v>K03459</v>
      </c>
      <c r="G1972">
        <v>35.204081632653065</v>
      </c>
    </row>
    <row r="1973" spans="1:7" x14ac:dyDescent="0.25">
      <c r="A1973">
        <v>460</v>
      </c>
      <c r="B1973">
        <v>2017</v>
      </c>
      <c r="C1973" t="str">
        <f>VLOOKUP(A1973,[2]Tabelle1!$A$1:$B$68,2,FALSE)</f>
        <v>Vechta</v>
      </c>
      <c r="D1973" t="s">
        <v>3</v>
      </c>
      <c r="E1973" t="s">
        <v>162</v>
      </c>
      <c r="F1973" t="str">
        <f>VLOOKUP(A1973,[1]Kreise!$A$1:$C$53,3,FALSE)</f>
        <v>K03460</v>
      </c>
      <c r="G1973">
        <v>38.829787234042549</v>
      </c>
    </row>
    <row r="1974" spans="1:7" x14ac:dyDescent="0.25">
      <c r="A1974">
        <v>461</v>
      </c>
      <c r="B1974">
        <v>2017</v>
      </c>
      <c r="C1974" t="str">
        <f>VLOOKUP(A1974,[2]Tabelle1!$A$1:$B$68,2,FALSE)</f>
        <v>Wesermarsch</v>
      </c>
      <c r="D1974" t="s">
        <v>3</v>
      </c>
      <c r="E1974" t="s">
        <v>162</v>
      </c>
      <c r="F1974" t="str">
        <f>VLOOKUP(A1974,[1]Kreise!$A$1:$C$53,3,FALSE)</f>
        <v>K03461</v>
      </c>
      <c r="G1974">
        <v>22.222222222222221</v>
      </c>
    </row>
    <row r="1975" spans="1:7" x14ac:dyDescent="0.25">
      <c r="A1975">
        <v>462</v>
      </c>
      <c r="B1975">
        <v>2017</v>
      </c>
      <c r="C1975" t="str">
        <f>VLOOKUP(A1975,[2]Tabelle1!$A$1:$B$68,2,FALSE)</f>
        <v>Wittmund</v>
      </c>
      <c r="D1975" t="s">
        <v>3</v>
      </c>
      <c r="E1975" t="s">
        <v>162</v>
      </c>
      <c r="F1975" t="str">
        <f>VLOOKUP(A1975,[1]Kreise!$A$1:$C$53,3,FALSE)</f>
        <v>K03462</v>
      </c>
      <c r="G1975">
        <v>11.538461538461538</v>
      </c>
    </row>
    <row r="1976" spans="1:7" x14ac:dyDescent="0.25">
      <c r="A1976">
        <v>4</v>
      </c>
      <c r="B1976">
        <v>2017</v>
      </c>
      <c r="C1976" t="str">
        <f>VLOOKUP(A1976,[2]Tabelle1!$A$1:$B$68,2,FALSE)</f>
        <v>Statistische Region Weser-Ems</v>
      </c>
      <c r="D1976" t="s">
        <v>3</v>
      </c>
      <c r="E1976" t="s">
        <v>162</v>
      </c>
      <c r="F1976" t="str">
        <f>VLOOKUP(A1976,[1]Kreise!$A$1:$C$53,3,FALSE)</f>
        <v>K034</v>
      </c>
      <c r="G1976">
        <v>29.621125143513204</v>
      </c>
    </row>
    <row r="1977" spans="1:7" x14ac:dyDescent="0.25">
      <c r="A1977">
        <v>0</v>
      </c>
      <c r="B1977">
        <v>2017</v>
      </c>
      <c r="C1977" t="str">
        <f>VLOOKUP(A1977,[2]Tabelle1!$A$1:$B$68,2,FALSE)</f>
        <v>Niedersachsen</v>
      </c>
      <c r="D1977" t="s">
        <v>3</v>
      </c>
      <c r="E1977" t="s">
        <v>162</v>
      </c>
      <c r="F1977" t="str">
        <f>VLOOKUP(A1977,[1]Kreise!$A$1:$C$53,3,FALSE)</f>
        <v>K030</v>
      </c>
      <c r="G1977">
        <v>22.922134733158355</v>
      </c>
    </row>
    <row r="1978" spans="1:7" x14ac:dyDescent="0.25">
      <c r="A1978">
        <v>101</v>
      </c>
      <c r="B1978">
        <v>2018</v>
      </c>
      <c r="C1978" t="str">
        <f>VLOOKUP(A1978,[2]Tabelle1!$A$1:$B$68,2,FALSE)</f>
        <v>Braunschweig  Stadt</v>
      </c>
      <c r="D1978" t="s">
        <v>2</v>
      </c>
      <c r="E1978" t="s">
        <v>162</v>
      </c>
      <c r="F1978" t="str">
        <f>VLOOKUP(A1978,[1]Kreise!$A$1:$C$53,3,FALSE)</f>
        <v>K03101</v>
      </c>
      <c r="G1978">
        <v>4.6396396396396398</v>
      </c>
    </row>
    <row r="1979" spans="1:7" x14ac:dyDescent="0.25">
      <c r="A1979">
        <v>102</v>
      </c>
      <c r="B1979">
        <v>2018</v>
      </c>
      <c r="C1979" t="str">
        <f>VLOOKUP(A1979,[2]Tabelle1!$A$1:$B$68,2,FALSE)</f>
        <v>Salzgitter  Stadt</v>
      </c>
      <c r="D1979" t="s">
        <v>2</v>
      </c>
      <c r="E1979" t="s">
        <v>162</v>
      </c>
      <c r="F1979" t="str">
        <f>VLOOKUP(A1979,[1]Kreise!$A$1:$C$53,3,FALSE)</f>
        <v>K03102</v>
      </c>
      <c r="G1979">
        <v>8.0473372781065091</v>
      </c>
    </row>
    <row r="1980" spans="1:7" x14ac:dyDescent="0.25">
      <c r="A1980">
        <v>103</v>
      </c>
      <c r="B1980">
        <v>2018</v>
      </c>
      <c r="C1980" t="str">
        <f>VLOOKUP(A1980,[2]Tabelle1!$A$1:$B$68,2,FALSE)</f>
        <v>Wolfsburg  Stadt</v>
      </c>
      <c r="D1980" t="s">
        <v>2</v>
      </c>
      <c r="E1980" t="s">
        <v>162</v>
      </c>
      <c r="F1980" t="str">
        <f>VLOOKUP(A1980,[1]Kreise!$A$1:$C$53,3,FALSE)</f>
        <v>K03103</v>
      </c>
      <c r="G1980">
        <v>2.8803545051698669</v>
      </c>
    </row>
    <row r="1981" spans="1:7" x14ac:dyDescent="0.25">
      <c r="A1981">
        <v>151</v>
      </c>
      <c r="B1981">
        <v>2018</v>
      </c>
      <c r="C1981" t="str">
        <f>VLOOKUP(A1981,[2]Tabelle1!$A$1:$B$68,2,FALSE)</f>
        <v>Gifhorn</v>
      </c>
      <c r="D1981" t="s">
        <v>2</v>
      </c>
      <c r="E1981" t="s">
        <v>162</v>
      </c>
      <c r="F1981" t="str">
        <f>VLOOKUP(A1981,[1]Kreise!$A$1:$C$53,3,FALSE)</f>
        <v>K03151</v>
      </c>
      <c r="G1981">
        <v>5.4945054945054945</v>
      </c>
    </row>
    <row r="1982" spans="1:7" x14ac:dyDescent="0.25">
      <c r="A1982">
        <v>153</v>
      </c>
      <c r="B1982">
        <v>2018</v>
      </c>
      <c r="C1982" t="str">
        <f>VLOOKUP(A1982,[2]Tabelle1!$A$1:$B$68,2,FALSE)</f>
        <v>Goslar</v>
      </c>
      <c r="D1982" t="s">
        <v>2</v>
      </c>
      <c r="E1982" t="s">
        <v>162</v>
      </c>
      <c r="F1982" t="str">
        <f>VLOOKUP(A1982,[1]Kreise!$A$1:$C$53,3,FALSE)</f>
        <v>K03153</v>
      </c>
      <c r="G1982">
        <v>5.6350626118067977</v>
      </c>
    </row>
    <row r="1983" spans="1:7" x14ac:dyDescent="0.25">
      <c r="A1983">
        <v>154</v>
      </c>
      <c r="B1983">
        <v>2018</v>
      </c>
      <c r="C1983" t="str">
        <f>VLOOKUP(A1983,[2]Tabelle1!$A$1:$B$68,2,FALSE)</f>
        <v>Helmstedt</v>
      </c>
      <c r="D1983" t="s">
        <v>2</v>
      </c>
      <c r="E1983" t="s">
        <v>162</v>
      </c>
      <c r="F1983" t="str">
        <f>VLOOKUP(A1983,[1]Kreise!$A$1:$C$53,3,FALSE)</f>
        <v>K03154</v>
      </c>
      <c r="G1983">
        <v>7.3342736248236946</v>
      </c>
    </row>
    <row r="1984" spans="1:7" x14ac:dyDescent="0.25">
      <c r="A1984">
        <v>155</v>
      </c>
      <c r="B1984">
        <v>2018</v>
      </c>
      <c r="C1984" t="str">
        <f>VLOOKUP(A1984,[2]Tabelle1!$A$1:$B$68,2,FALSE)</f>
        <v>Northeim</v>
      </c>
      <c r="D1984" t="s">
        <v>2</v>
      </c>
      <c r="E1984" t="s">
        <v>162</v>
      </c>
      <c r="F1984" t="str">
        <f>VLOOKUP(A1984,[1]Kreise!$A$1:$C$53,3,FALSE)</f>
        <v>K03155</v>
      </c>
      <c r="G1984">
        <v>3.2526475037821481</v>
      </c>
    </row>
    <row r="1985" spans="1:7" x14ac:dyDescent="0.25">
      <c r="A1985">
        <v>157</v>
      </c>
      <c r="B1985">
        <v>2018</v>
      </c>
      <c r="C1985" t="str">
        <f>VLOOKUP(A1985,[2]Tabelle1!$A$1:$B$68,2,FALSE)</f>
        <v>Peine</v>
      </c>
      <c r="D1985" t="s">
        <v>2</v>
      </c>
      <c r="E1985" t="s">
        <v>162</v>
      </c>
      <c r="F1985" t="str">
        <f>VLOOKUP(A1985,[1]Kreise!$A$1:$C$53,3,FALSE)</f>
        <v>K03157</v>
      </c>
      <c r="G1985">
        <v>3.9664378337147213</v>
      </c>
    </row>
    <row r="1986" spans="1:7" x14ac:dyDescent="0.25">
      <c r="A1986">
        <v>158</v>
      </c>
      <c r="B1986">
        <v>2018</v>
      </c>
      <c r="C1986" t="str">
        <f>VLOOKUP(A1986,[2]Tabelle1!$A$1:$B$68,2,FALSE)</f>
        <v>Wolfenbüttel</v>
      </c>
      <c r="D1986" t="s">
        <v>2</v>
      </c>
      <c r="E1986" t="s">
        <v>162</v>
      </c>
      <c r="F1986" t="str">
        <f>VLOOKUP(A1986,[1]Kreise!$A$1:$C$53,3,FALSE)</f>
        <v>K03158</v>
      </c>
      <c r="G1986">
        <v>4.844290657439446</v>
      </c>
    </row>
    <row r="1987" spans="1:7" x14ac:dyDescent="0.25">
      <c r="A1987">
        <v>159</v>
      </c>
      <c r="B1987">
        <v>2018</v>
      </c>
      <c r="C1987" t="str">
        <f>VLOOKUP(A1987,[2]Tabelle1!$A$1:$B$68,2,FALSE)</f>
        <v>Göttingen</v>
      </c>
      <c r="D1987" t="s">
        <v>2</v>
      </c>
      <c r="E1987" t="s">
        <v>162</v>
      </c>
      <c r="F1987" t="str">
        <f>VLOOKUP(A1987,[1]Kreise!$A$1:$C$53,3,FALSE)</f>
        <v>K03159</v>
      </c>
      <c r="G1987">
        <v>4.4095665171898357</v>
      </c>
    </row>
    <row r="1988" spans="1:7" x14ac:dyDescent="0.25">
      <c r="A1988">
        <v>1</v>
      </c>
      <c r="B1988">
        <v>2018</v>
      </c>
      <c r="C1988" t="str">
        <f>VLOOKUP(A1988,[2]Tabelle1!$A$1:$B$68,2,FALSE)</f>
        <v>Statistische Region Braunschweig</v>
      </c>
      <c r="D1988" t="s">
        <v>2</v>
      </c>
      <c r="E1988" t="s">
        <v>162</v>
      </c>
      <c r="F1988" t="str">
        <f>VLOOKUP(A1988,[1]Kreise!$A$1:$C$53,3,FALSE)</f>
        <v>K031</v>
      </c>
      <c r="G1988">
        <v>4.7557284911370514</v>
      </c>
    </row>
    <row r="1989" spans="1:7" x14ac:dyDescent="0.25">
      <c r="A1989">
        <v>241</v>
      </c>
      <c r="B1989">
        <v>2018</v>
      </c>
      <c r="C1989" t="str">
        <f>VLOOKUP(A1989,[2]Tabelle1!$A$1:$B$68,2,FALSE)</f>
        <v>Hannover  Region</v>
      </c>
      <c r="D1989" t="s">
        <v>2</v>
      </c>
      <c r="E1989" t="s">
        <v>162</v>
      </c>
      <c r="F1989" t="str">
        <f>VLOOKUP(A1989,[1]Kreise!$A$1:$C$53,3,FALSE)</f>
        <v>K03241</v>
      </c>
      <c r="G1989">
        <v>4.1975810549852621</v>
      </c>
    </row>
    <row r="1990" spans="1:7" x14ac:dyDescent="0.25">
      <c r="A1990">
        <v>241001</v>
      </c>
      <c r="B1990">
        <v>2018</v>
      </c>
      <c r="C1990" t="str">
        <f>VLOOKUP(A1990,[2]Tabelle1!$A$1:$B$68,2,FALSE)</f>
        <v>dav. Hannover  Lhst.</v>
      </c>
      <c r="D1990" t="s">
        <v>2</v>
      </c>
      <c r="E1990" t="s">
        <v>162</v>
      </c>
      <c r="F1990" t="str">
        <f>VLOOKUP(A1990,[1]Kreise!$A$1:$C$53,3,FALSE)</f>
        <v>K03241001</v>
      </c>
      <c r="G1990">
        <v>5.4146341463414638</v>
      </c>
    </row>
    <row r="1991" spans="1:7" x14ac:dyDescent="0.25">
      <c r="A1991">
        <v>241999</v>
      </c>
      <c r="B1991">
        <v>2018</v>
      </c>
      <c r="C1991" t="str">
        <f>VLOOKUP(A1991,[2]Tabelle1!$A$1:$B$68,2,FALSE)</f>
        <v>dav. Hannover  Umland</v>
      </c>
      <c r="D1991" t="s">
        <v>2</v>
      </c>
      <c r="E1991" t="s">
        <v>162</v>
      </c>
      <c r="F1991" t="str">
        <f>VLOOKUP(A1991,[1]Kreise!$A$1:$C$53,3,FALSE)</f>
        <v>K03241999</v>
      </c>
      <c r="G1991">
        <v>3.3281059418017076</v>
      </c>
    </row>
    <row r="1992" spans="1:7" x14ac:dyDescent="0.25">
      <c r="A1992">
        <v>251</v>
      </c>
      <c r="B1992">
        <v>2018</v>
      </c>
      <c r="C1992" t="str">
        <f>VLOOKUP(A1992,[2]Tabelle1!$A$1:$B$68,2,FALSE)</f>
        <v>Diepholz</v>
      </c>
      <c r="D1992" t="s">
        <v>2</v>
      </c>
      <c r="E1992" t="s">
        <v>162</v>
      </c>
      <c r="F1992" t="str">
        <f>VLOOKUP(A1992,[1]Kreise!$A$1:$C$53,3,FALSE)</f>
        <v>K03251</v>
      </c>
      <c r="G1992">
        <v>3.0032848427968091</v>
      </c>
    </row>
    <row r="1993" spans="1:7" x14ac:dyDescent="0.25">
      <c r="A1993">
        <v>252</v>
      </c>
      <c r="B1993">
        <v>2018</v>
      </c>
      <c r="C1993" t="str">
        <f>VLOOKUP(A1993,[2]Tabelle1!$A$1:$B$68,2,FALSE)</f>
        <v>Hameln-Pyrmont</v>
      </c>
      <c r="D1993" t="s">
        <v>2</v>
      </c>
      <c r="E1993" t="s">
        <v>162</v>
      </c>
      <c r="F1993" t="str">
        <f>VLOOKUP(A1993,[1]Kreise!$A$1:$C$53,3,FALSE)</f>
        <v>K03252</v>
      </c>
      <c r="G1993">
        <v>5.4662379421221869</v>
      </c>
    </row>
    <row r="1994" spans="1:7" x14ac:dyDescent="0.25">
      <c r="A1994">
        <v>254</v>
      </c>
      <c r="B1994">
        <v>2018</v>
      </c>
      <c r="C1994" t="str">
        <f>VLOOKUP(A1994,[2]Tabelle1!$A$1:$B$68,2,FALSE)</f>
        <v>Hildesheim</v>
      </c>
      <c r="D1994" t="s">
        <v>2</v>
      </c>
      <c r="E1994" t="s">
        <v>162</v>
      </c>
      <c r="F1994" t="str">
        <f>VLOOKUP(A1994,[1]Kreise!$A$1:$C$53,3,FALSE)</f>
        <v>K03254</v>
      </c>
      <c r="G1994">
        <v>4.6789989118607185</v>
      </c>
    </row>
    <row r="1995" spans="1:7" x14ac:dyDescent="0.25">
      <c r="A1995">
        <v>255</v>
      </c>
      <c r="B1995">
        <v>2018</v>
      </c>
      <c r="C1995" t="str">
        <f>VLOOKUP(A1995,[2]Tabelle1!$A$1:$B$68,2,FALSE)</f>
        <v>Holzminden</v>
      </c>
      <c r="D1995" t="s">
        <v>2</v>
      </c>
      <c r="E1995" t="s">
        <v>162</v>
      </c>
      <c r="F1995" t="str">
        <f>VLOOKUP(A1995,[1]Kreise!$A$1:$C$53,3,FALSE)</f>
        <v>K03255</v>
      </c>
      <c r="G1995">
        <v>9.8619329388560164</v>
      </c>
    </row>
    <row r="1996" spans="1:7" x14ac:dyDescent="0.25">
      <c r="A1996">
        <v>256</v>
      </c>
      <c r="B1996">
        <v>2018</v>
      </c>
      <c r="C1996" t="str">
        <f>VLOOKUP(A1996,[2]Tabelle1!$A$1:$B$68,2,FALSE)</f>
        <v>Nienburg (Weser)</v>
      </c>
      <c r="D1996" t="s">
        <v>2</v>
      </c>
      <c r="E1996" t="s">
        <v>162</v>
      </c>
      <c r="F1996" t="str">
        <f>VLOOKUP(A1996,[1]Kreise!$A$1:$C$53,3,FALSE)</f>
        <v>K03256</v>
      </c>
      <c r="G1996">
        <v>6.7226890756302522</v>
      </c>
    </row>
    <row r="1997" spans="1:7" x14ac:dyDescent="0.25">
      <c r="A1997">
        <v>257</v>
      </c>
      <c r="B1997">
        <v>2018</v>
      </c>
      <c r="C1997" t="str">
        <f>VLOOKUP(A1997,[2]Tabelle1!$A$1:$B$68,2,FALSE)</f>
        <v>Schaumburg</v>
      </c>
      <c r="D1997" t="s">
        <v>2</v>
      </c>
      <c r="E1997" t="s">
        <v>162</v>
      </c>
      <c r="F1997" t="str">
        <f>VLOOKUP(A1997,[1]Kreise!$A$1:$C$53,3,FALSE)</f>
        <v>K03257</v>
      </c>
      <c r="G1997">
        <v>3.9173789173789171</v>
      </c>
    </row>
    <row r="1998" spans="1:7" x14ac:dyDescent="0.25">
      <c r="A1998">
        <v>2</v>
      </c>
      <c r="B1998">
        <v>2018</v>
      </c>
      <c r="C1998" t="str">
        <f>VLOOKUP(A1998,[2]Tabelle1!$A$1:$B$68,2,FALSE)</f>
        <v>Statistische Region Hannover</v>
      </c>
      <c r="D1998" t="s">
        <v>2</v>
      </c>
      <c r="E1998" t="s">
        <v>162</v>
      </c>
      <c r="F1998" t="str">
        <f>VLOOKUP(A1998,[1]Kreise!$A$1:$C$53,3,FALSE)</f>
        <v>K032</v>
      </c>
      <c r="G1998">
        <v>4.5039848993288594</v>
      </c>
    </row>
    <row r="1999" spans="1:7" x14ac:dyDescent="0.25">
      <c r="A1999">
        <v>351</v>
      </c>
      <c r="B1999">
        <v>2018</v>
      </c>
      <c r="C1999" t="str">
        <f>VLOOKUP(A1999,[2]Tabelle1!$A$1:$B$68,2,FALSE)</f>
        <v>Celle</v>
      </c>
      <c r="D1999" t="s">
        <v>2</v>
      </c>
      <c r="E1999" t="s">
        <v>162</v>
      </c>
      <c r="F1999" t="str">
        <f>VLOOKUP(A1999,[1]Kreise!$A$1:$C$53,3,FALSE)</f>
        <v>K03351</v>
      </c>
      <c r="G1999">
        <v>6.9575471698113205</v>
      </c>
    </row>
    <row r="2000" spans="1:7" x14ac:dyDescent="0.25">
      <c r="A2000">
        <v>352</v>
      </c>
      <c r="B2000">
        <v>2018</v>
      </c>
      <c r="C2000" t="str">
        <f>VLOOKUP(A2000,[2]Tabelle1!$A$1:$B$68,2,FALSE)</f>
        <v>Cuxhaven</v>
      </c>
      <c r="D2000" t="s">
        <v>2</v>
      </c>
      <c r="E2000" t="s">
        <v>162</v>
      </c>
      <c r="F2000" t="str">
        <f>VLOOKUP(A2000,[1]Kreise!$A$1:$C$53,3,FALSE)</f>
        <v>K03352</v>
      </c>
      <c r="G2000">
        <v>7.0279928528886249</v>
      </c>
    </row>
    <row r="2001" spans="1:7" x14ac:dyDescent="0.25">
      <c r="A2001">
        <v>353</v>
      </c>
      <c r="B2001">
        <v>2018</v>
      </c>
      <c r="C2001" t="str">
        <f>VLOOKUP(A2001,[2]Tabelle1!$A$1:$B$68,2,FALSE)</f>
        <v>Harburg</v>
      </c>
      <c r="D2001" t="s">
        <v>2</v>
      </c>
      <c r="E2001" t="s">
        <v>162</v>
      </c>
      <c r="F2001" t="str">
        <f>VLOOKUP(A2001,[1]Kreise!$A$1:$C$53,3,FALSE)</f>
        <v>K03353</v>
      </c>
      <c r="G2001">
        <v>2.734375</v>
      </c>
    </row>
    <row r="2002" spans="1:7" x14ac:dyDescent="0.25">
      <c r="A2002">
        <v>354</v>
      </c>
      <c r="B2002">
        <v>2018</v>
      </c>
      <c r="C2002" t="str">
        <f>VLOOKUP(A2002,[2]Tabelle1!$A$1:$B$68,2,FALSE)</f>
        <v>Lüchow-Dannenberg</v>
      </c>
      <c r="D2002" t="s">
        <v>2</v>
      </c>
      <c r="E2002" t="s">
        <v>162</v>
      </c>
      <c r="F2002" t="str">
        <f>VLOOKUP(A2002,[1]Kreise!$A$1:$C$53,3,FALSE)</f>
        <v>K03354</v>
      </c>
      <c r="G2002">
        <v>6.0903732809430258</v>
      </c>
    </row>
    <row r="2003" spans="1:7" x14ac:dyDescent="0.25">
      <c r="A2003">
        <v>355</v>
      </c>
      <c r="B2003">
        <v>2018</v>
      </c>
      <c r="C2003" t="str">
        <f>VLOOKUP(A2003,[2]Tabelle1!$A$1:$B$68,2,FALSE)</f>
        <v>Lüneburg</v>
      </c>
      <c r="D2003" t="s">
        <v>2</v>
      </c>
      <c r="E2003" t="s">
        <v>162</v>
      </c>
      <c r="F2003" t="str">
        <f>VLOOKUP(A2003,[1]Kreise!$A$1:$C$53,3,FALSE)</f>
        <v>K03355</v>
      </c>
      <c r="G2003">
        <v>4.7430830039525684</v>
      </c>
    </row>
    <row r="2004" spans="1:7" x14ac:dyDescent="0.25">
      <c r="A2004">
        <v>356</v>
      </c>
      <c r="B2004">
        <v>2018</v>
      </c>
      <c r="C2004" t="str">
        <f>VLOOKUP(A2004,[2]Tabelle1!$A$1:$B$68,2,FALSE)</f>
        <v>Osterholz</v>
      </c>
      <c r="D2004" t="s">
        <v>2</v>
      </c>
      <c r="E2004" t="s">
        <v>162</v>
      </c>
      <c r="F2004" t="str">
        <f>VLOOKUP(A2004,[1]Kreise!$A$1:$C$53,3,FALSE)</f>
        <v>K03356</v>
      </c>
      <c r="G2004">
        <v>2.8100775193798451</v>
      </c>
    </row>
    <row r="2005" spans="1:7" x14ac:dyDescent="0.25">
      <c r="A2005">
        <v>357</v>
      </c>
      <c r="B2005">
        <v>2018</v>
      </c>
      <c r="C2005" t="str">
        <f>VLOOKUP(A2005,[2]Tabelle1!$A$1:$B$68,2,FALSE)</f>
        <v>Rotenburg (Wümme)</v>
      </c>
      <c r="D2005" t="s">
        <v>2</v>
      </c>
      <c r="E2005" t="s">
        <v>162</v>
      </c>
      <c r="F2005" t="str">
        <f>VLOOKUP(A2005,[1]Kreise!$A$1:$C$53,3,FALSE)</f>
        <v>K03357</v>
      </c>
      <c r="G2005">
        <v>5.7355284121083381</v>
      </c>
    </row>
    <row r="2006" spans="1:7" x14ac:dyDescent="0.25">
      <c r="A2006">
        <v>358</v>
      </c>
      <c r="B2006">
        <v>2018</v>
      </c>
      <c r="C2006" t="str">
        <f>VLOOKUP(A2006,[2]Tabelle1!$A$1:$B$68,2,FALSE)</f>
        <v>Heidekreis</v>
      </c>
      <c r="D2006" t="s">
        <v>2</v>
      </c>
      <c r="E2006" t="s">
        <v>162</v>
      </c>
      <c r="F2006" t="str">
        <f>VLOOKUP(A2006,[1]Kreise!$A$1:$C$53,3,FALSE)</f>
        <v>K03358</v>
      </c>
      <c r="G2006">
        <v>6.197183098591549</v>
      </c>
    </row>
    <row r="2007" spans="1:7" x14ac:dyDescent="0.25">
      <c r="A2007">
        <v>359</v>
      </c>
      <c r="B2007">
        <v>2018</v>
      </c>
      <c r="C2007" t="str">
        <f>VLOOKUP(A2007,[2]Tabelle1!$A$1:$B$68,2,FALSE)</f>
        <v>Stade</v>
      </c>
      <c r="D2007" t="s">
        <v>2</v>
      </c>
      <c r="E2007" t="s">
        <v>162</v>
      </c>
      <c r="F2007" t="str">
        <f>VLOOKUP(A2007,[1]Kreise!$A$1:$C$53,3,FALSE)</f>
        <v>K03359</v>
      </c>
      <c r="G2007">
        <v>6.4399793920659452</v>
      </c>
    </row>
    <row r="2008" spans="1:7" x14ac:dyDescent="0.25">
      <c r="A2008">
        <v>360</v>
      </c>
      <c r="B2008">
        <v>2018</v>
      </c>
      <c r="C2008" t="str">
        <f>VLOOKUP(A2008,[2]Tabelle1!$A$1:$B$68,2,FALSE)</f>
        <v>Uelzen</v>
      </c>
      <c r="D2008" t="s">
        <v>2</v>
      </c>
      <c r="E2008" t="s">
        <v>162</v>
      </c>
      <c r="F2008" t="str">
        <f>VLOOKUP(A2008,[1]Kreise!$A$1:$C$53,3,FALSE)</f>
        <v>K03360</v>
      </c>
      <c r="G2008">
        <v>5.5023923444976077</v>
      </c>
    </row>
    <row r="2009" spans="1:7" x14ac:dyDescent="0.25">
      <c r="A2009">
        <v>361</v>
      </c>
      <c r="B2009">
        <v>2018</v>
      </c>
      <c r="C2009" t="str">
        <f>VLOOKUP(A2009,[2]Tabelle1!$A$1:$B$68,2,FALSE)</f>
        <v>Verden</v>
      </c>
      <c r="D2009" t="s">
        <v>2</v>
      </c>
      <c r="E2009" t="s">
        <v>162</v>
      </c>
      <c r="F2009" t="str">
        <f>VLOOKUP(A2009,[1]Kreise!$A$1:$C$53,3,FALSE)</f>
        <v>K03361</v>
      </c>
      <c r="G2009">
        <v>3.181076672104405</v>
      </c>
    </row>
    <row r="2010" spans="1:7" x14ac:dyDescent="0.25">
      <c r="A2010">
        <v>3</v>
      </c>
      <c r="B2010">
        <v>2018</v>
      </c>
      <c r="C2010" t="str">
        <f>VLOOKUP(A2010,[2]Tabelle1!$A$1:$B$68,2,FALSE)</f>
        <v>Statistische Region Lüneburg</v>
      </c>
      <c r="D2010" t="s">
        <v>2</v>
      </c>
      <c r="E2010" t="s">
        <v>162</v>
      </c>
      <c r="F2010" t="str">
        <f>VLOOKUP(A2010,[1]Kreise!$A$1:$C$53,3,FALSE)</f>
        <v>K033</v>
      </c>
      <c r="G2010">
        <v>5.2095477695281343</v>
      </c>
    </row>
    <row r="2011" spans="1:7" x14ac:dyDescent="0.25">
      <c r="A2011">
        <v>401</v>
      </c>
      <c r="B2011">
        <v>2018</v>
      </c>
      <c r="C2011" t="str">
        <f>VLOOKUP(A2011,[2]Tabelle1!$A$1:$B$68,2,FALSE)</f>
        <v>Delmenhorst  Stadt</v>
      </c>
      <c r="D2011" t="s">
        <v>2</v>
      </c>
      <c r="E2011" t="s">
        <v>162</v>
      </c>
      <c r="F2011" t="str">
        <f>VLOOKUP(A2011,[1]Kreise!$A$1:$C$53,3,FALSE)</f>
        <v>K03401</v>
      </c>
      <c r="G2011">
        <v>5.3097345132743365</v>
      </c>
    </row>
    <row r="2012" spans="1:7" x14ac:dyDescent="0.25">
      <c r="A2012">
        <v>402</v>
      </c>
      <c r="B2012">
        <v>2018</v>
      </c>
      <c r="C2012" t="str">
        <f>VLOOKUP(A2012,[2]Tabelle1!$A$1:$B$68,2,FALSE)</f>
        <v>Emden  Stadt</v>
      </c>
      <c r="D2012" t="s">
        <v>2</v>
      </c>
      <c r="E2012" t="s">
        <v>162</v>
      </c>
      <c r="F2012" t="str">
        <f>VLOOKUP(A2012,[1]Kreise!$A$1:$C$53,3,FALSE)</f>
        <v>K03402</v>
      </c>
      <c r="G2012">
        <v>9.8557692307692299</v>
      </c>
    </row>
    <row r="2013" spans="1:7" x14ac:dyDescent="0.25">
      <c r="A2013">
        <v>403</v>
      </c>
      <c r="B2013">
        <v>2018</v>
      </c>
      <c r="C2013" t="str">
        <f>VLOOKUP(A2013,[2]Tabelle1!$A$1:$B$68,2,FALSE)</f>
        <v>Oldenburg(Oldb)  Stadt</v>
      </c>
      <c r="D2013" t="s">
        <v>2</v>
      </c>
      <c r="E2013" t="s">
        <v>162</v>
      </c>
      <c r="F2013" t="str">
        <f>VLOOKUP(A2013,[1]Kreise!$A$1:$C$53,3,FALSE)</f>
        <v>K03403</v>
      </c>
      <c r="G2013">
        <v>4.2818428184281849</v>
      </c>
    </row>
    <row r="2014" spans="1:7" x14ac:dyDescent="0.25">
      <c r="A2014">
        <v>404</v>
      </c>
      <c r="B2014">
        <v>2018</v>
      </c>
      <c r="C2014" t="str">
        <f>VLOOKUP(A2014,[2]Tabelle1!$A$1:$B$68,2,FALSE)</f>
        <v>Osnabrück  Stadt</v>
      </c>
      <c r="D2014" t="s">
        <v>2</v>
      </c>
      <c r="E2014" t="s">
        <v>162</v>
      </c>
      <c r="F2014" t="str">
        <f>VLOOKUP(A2014,[1]Kreise!$A$1:$C$53,3,FALSE)</f>
        <v>K03404</v>
      </c>
      <c r="G2014">
        <v>3.3701948393891521</v>
      </c>
    </row>
    <row r="2015" spans="1:7" x14ac:dyDescent="0.25">
      <c r="A2015">
        <v>405</v>
      </c>
      <c r="B2015">
        <v>2018</v>
      </c>
      <c r="C2015" t="str">
        <f>VLOOKUP(A2015,[2]Tabelle1!$A$1:$B$68,2,FALSE)</f>
        <v>Wilhelmshaven  Stadt</v>
      </c>
      <c r="D2015" t="s">
        <v>2</v>
      </c>
      <c r="E2015" t="s">
        <v>162</v>
      </c>
      <c r="F2015" t="str">
        <f>VLOOKUP(A2015,[1]Kreise!$A$1:$C$53,3,FALSE)</f>
        <v>K03405</v>
      </c>
      <c r="G2015">
        <v>5.774647887323944</v>
      </c>
    </row>
    <row r="2016" spans="1:7" x14ac:dyDescent="0.25">
      <c r="A2016">
        <v>451</v>
      </c>
      <c r="B2016">
        <v>2018</v>
      </c>
      <c r="C2016" t="str">
        <f>VLOOKUP(A2016,[2]Tabelle1!$A$1:$B$68,2,FALSE)</f>
        <v>Ammerland</v>
      </c>
      <c r="D2016" t="s">
        <v>2</v>
      </c>
      <c r="E2016" t="s">
        <v>162</v>
      </c>
      <c r="F2016" t="str">
        <f>VLOOKUP(A2016,[1]Kreise!$A$1:$C$53,3,FALSE)</f>
        <v>K03451</v>
      </c>
      <c r="G2016">
        <v>3.2203389830508473</v>
      </c>
    </row>
    <row r="2017" spans="1:7" x14ac:dyDescent="0.25">
      <c r="A2017">
        <v>452</v>
      </c>
      <c r="B2017">
        <v>2018</v>
      </c>
      <c r="C2017" t="str">
        <f>VLOOKUP(A2017,[2]Tabelle1!$A$1:$B$68,2,FALSE)</f>
        <v>Aurich</v>
      </c>
      <c r="D2017" t="s">
        <v>2</v>
      </c>
      <c r="E2017" t="s">
        <v>162</v>
      </c>
      <c r="F2017" t="str">
        <f>VLOOKUP(A2017,[1]Kreise!$A$1:$C$53,3,FALSE)</f>
        <v>K03452</v>
      </c>
      <c r="G2017">
        <v>8.6054950751684824</v>
      </c>
    </row>
    <row r="2018" spans="1:7" x14ac:dyDescent="0.25">
      <c r="A2018">
        <v>453</v>
      </c>
      <c r="B2018">
        <v>2018</v>
      </c>
      <c r="C2018" t="str">
        <f>VLOOKUP(A2018,[2]Tabelle1!$A$1:$B$68,2,FALSE)</f>
        <v>Cloppenburg</v>
      </c>
      <c r="D2018" t="s">
        <v>2</v>
      </c>
      <c r="E2018" t="s">
        <v>162</v>
      </c>
      <c r="F2018" t="str">
        <f>VLOOKUP(A2018,[1]Kreise!$A$1:$C$53,3,FALSE)</f>
        <v>K03453</v>
      </c>
      <c r="G2018">
        <v>4.6858908341915546</v>
      </c>
    </row>
    <row r="2019" spans="1:7" x14ac:dyDescent="0.25">
      <c r="A2019">
        <v>454</v>
      </c>
      <c r="B2019">
        <v>2018</v>
      </c>
      <c r="C2019" t="str">
        <f>VLOOKUP(A2019,[2]Tabelle1!$A$1:$B$68,2,FALSE)</f>
        <v>Emsland</v>
      </c>
      <c r="D2019" t="s">
        <v>2</v>
      </c>
      <c r="E2019" t="s">
        <v>162</v>
      </c>
      <c r="F2019" t="str">
        <f>VLOOKUP(A2019,[1]Kreise!$A$1:$C$53,3,FALSE)</f>
        <v>K03454</v>
      </c>
      <c r="G2019">
        <v>4.2420646692376147</v>
      </c>
    </row>
    <row r="2020" spans="1:7" x14ac:dyDescent="0.25">
      <c r="A2020">
        <v>455</v>
      </c>
      <c r="B2020">
        <v>2018</v>
      </c>
      <c r="C2020" t="str">
        <f>VLOOKUP(A2020,[2]Tabelle1!$A$1:$B$68,2,FALSE)</f>
        <v>Friesland</v>
      </c>
      <c r="D2020" t="s">
        <v>2</v>
      </c>
      <c r="E2020" t="s">
        <v>162</v>
      </c>
      <c r="F2020" t="str">
        <f>VLOOKUP(A2020,[1]Kreise!$A$1:$C$53,3,FALSE)</f>
        <v>K03455</v>
      </c>
      <c r="G2020">
        <v>9.4438614900314803</v>
      </c>
    </row>
    <row r="2021" spans="1:7" x14ac:dyDescent="0.25">
      <c r="A2021">
        <v>456</v>
      </c>
      <c r="B2021">
        <v>2018</v>
      </c>
      <c r="C2021" t="str">
        <f>VLOOKUP(A2021,[2]Tabelle1!$A$1:$B$68,2,FALSE)</f>
        <v>Grafschaft Bentheim</v>
      </c>
      <c r="D2021" t="s">
        <v>2</v>
      </c>
      <c r="E2021" t="s">
        <v>162</v>
      </c>
      <c r="F2021" t="str">
        <f>VLOOKUP(A2021,[1]Kreise!$A$1:$C$53,3,FALSE)</f>
        <v>K03456</v>
      </c>
      <c r="G2021">
        <v>5.0179211469534053</v>
      </c>
    </row>
    <row r="2022" spans="1:7" x14ac:dyDescent="0.25">
      <c r="A2022">
        <v>457</v>
      </c>
      <c r="B2022">
        <v>2018</v>
      </c>
      <c r="C2022" t="str">
        <f>VLOOKUP(A2022,[2]Tabelle1!$A$1:$B$68,2,FALSE)</f>
        <v>Leer</v>
      </c>
      <c r="D2022" t="s">
        <v>2</v>
      </c>
      <c r="E2022" t="s">
        <v>162</v>
      </c>
      <c r="F2022" t="str">
        <f>VLOOKUP(A2022,[1]Kreise!$A$1:$C$53,3,FALSE)</f>
        <v>K03457</v>
      </c>
      <c r="G2022">
        <v>4.9741602067183459</v>
      </c>
    </row>
    <row r="2023" spans="1:7" x14ac:dyDescent="0.25">
      <c r="A2023">
        <v>458</v>
      </c>
      <c r="B2023">
        <v>2018</v>
      </c>
      <c r="C2023" t="str">
        <f>VLOOKUP(A2023,[2]Tabelle1!$A$1:$B$68,2,FALSE)</f>
        <v>Oldenburg</v>
      </c>
      <c r="D2023" t="s">
        <v>2</v>
      </c>
      <c r="E2023" t="s">
        <v>162</v>
      </c>
      <c r="F2023" t="str">
        <f>VLOOKUP(A2023,[1]Kreise!$A$1:$C$53,3,FALSE)</f>
        <v>K03458</v>
      </c>
      <c r="G2023">
        <v>4.1085271317829459</v>
      </c>
    </row>
    <row r="2024" spans="1:7" x14ac:dyDescent="0.25">
      <c r="A2024">
        <v>459</v>
      </c>
      <c r="B2024">
        <v>2018</v>
      </c>
      <c r="C2024" t="str">
        <f>VLOOKUP(A2024,[2]Tabelle1!$A$1:$B$68,2,FALSE)</f>
        <v>Osnabrück</v>
      </c>
      <c r="D2024" t="s">
        <v>2</v>
      </c>
      <c r="E2024" t="s">
        <v>162</v>
      </c>
      <c r="F2024" t="str">
        <f>VLOOKUP(A2024,[1]Kreise!$A$1:$C$53,3,FALSE)</f>
        <v>K03459</v>
      </c>
      <c r="G2024">
        <v>4.6437659033078882</v>
      </c>
    </row>
    <row r="2025" spans="1:7" x14ac:dyDescent="0.25">
      <c r="A2025">
        <v>460</v>
      </c>
      <c r="B2025">
        <v>2018</v>
      </c>
      <c r="C2025" t="str">
        <f>VLOOKUP(A2025,[2]Tabelle1!$A$1:$B$68,2,FALSE)</f>
        <v>Vechta</v>
      </c>
      <c r="D2025" t="s">
        <v>2</v>
      </c>
      <c r="E2025" t="s">
        <v>162</v>
      </c>
      <c r="F2025" t="str">
        <f>VLOOKUP(A2025,[1]Kreise!$A$1:$C$53,3,FALSE)</f>
        <v>K03460</v>
      </c>
      <c r="G2025">
        <v>5.4654654654654653</v>
      </c>
    </row>
    <row r="2026" spans="1:7" x14ac:dyDescent="0.25">
      <c r="A2026">
        <v>461</v>
      </c>
      <c r="B2026">
        <v>2018</v>
      </c>
      <c r="C2026" t="str">
        <f>VLOOKUP(A2026,[2]Tabelle1!$A$1:$B$68,2,FALSE)</f>
        <v>Wesermarsch</v>
      </c>
      <c r="D2026" t="s">
        <v>2</v>
      </c>
      <c r="E2026" t="s">
        <v>162</v>
      </c>
      <c r="F2026" t="str">
        <f>VLOOKUP(A2026,[1]Kreise!$A$1:$C$53,3,FALSE)</f>
        <v>K03461</v>
      </c>
      <c r="G2026">
        <v>4.1972717733473237</v>
      </c>
    </row>
    <row r="2027" spans="1:7" x14ac:dyDescent="0.25">
      <c r="A2027">
        <v>462</v>
      </c>
      <c r="B2027">
        <v>2018</v>
      </c>
      <c r="C2027" t="str">
        <f>VLOOKUP(A2027,[2]Tabelle1!$A$1:$B$68,2,FALSE)</f>
        <v>Wittmund</v>
      </c>
      <c r="D2027" t="s">
        <v>2</v>
      </c>
      <c r="E2027" t="s">
        <v>162</v>
      </c>
      <c r="F2027" t="str">
        <f>VLOOKUP(A2027,[1]Kreise!$A$1:$C$53,3,FALSE)</f>
        <v>K03462</v>
      </c>
      <c r="G2027">
        <v>4.885496183206107</v>
      </c>
    </row>
    <row r="2028" spans="1:7" x14ac:dyDescent="0.25">
      <c r="A2028">
        <v>4</v>
      </c>
      <c r="B2028">
        <v>2018</v>
      </c>
      <c r="C2028" t="str">
        <f>VLOOKUP(A2028,[2]Tabelle1!$A$1:$B$68,2,FALSE)</f>
        <v>Statistische Region Weser-Ems</v>
      </c>
      <c r="D2028" t="s">
        <v>2</v>
      </c>
      <c r="E2028" t="s">
        <v>162</v>
      </c>
      <c r="F2028" t="str">
        <f>VLOOKUP(A2028,[1]Kreise!$A$1:$C$53,3,FALSE)</f>
        <v>K034</v>
      </c>
      <c r="G2028">
        <v>5.0756657412114343</v>
      </c>
    </row>
    <row r="2029" spans="1:7" x14ac:dyDescent="0.25">
      <c r="A2029">
        <v>0</v>
      </c>
      <c r="B2029">
        <v>2018</v>
      </c>
      <c r="C2029" t="str">
        <f>VLOOKUP(A2029,[2]Tabelle1!$A$1:$B$68,2,FALSE)</f>
        <v>Niedersachsen</v>
      </c>
      <c r="D2029" t="s">
        <v>2</v>
      </c>
      <c r="E2029" t="s">
        <v>162</v>
      </c>
      <c r="F2029" t="str">
        <f>VLOOKUP(A2029,[1]Kreise!$A$1:$C$53,3,FALSE)</f>
        <v>K030</v>
      </c>
      <c r="G2029">
        <v>4.8997594226142738</v>
      </c>
    </row>
    <row r="2030" spans="1:7" x14ac:dyDescent="0.25">
      <c r="A2030">
        <v>101</v>
      </c>
      <c r="B2030">
        <v>2018</v>
      </c>
      <c r="C2030" t="str">
        <f>VLOOKUP(A2030,[2]Tabelle1!$A$1:$B$68,2,FALSE)</f>
        <v>Braunschweig  Stadt</v>
      </c>
      <c r="D2030" t="s">
        <v>3</v>
      </c>
      <c r="E2030" t="s">
        <v>162</v>
      </c>
      <c r="F2030" t="str">
        <f>VLOOKUP(A2030,[1]Kreise!$A$1:$C$53,3,FALSE)</f>
        <v>K03101</v>
      </c>
      <c r="G2030">
        <v>17.297297297297298</v>
      </c>
    </row>
    <row r="2031" spans="1:7" x14ac:dyDescent="0.25">
      <c r="A2031">
        <v>102</v>
      </c>
      <c r="B2031">
        <v>2018</v>
      </c>
      <c r="C2031" t="str">
        <f>VLOOKUP(A2031,[2]Tabelle1!$A$1:$B$68,2,FALSE)</f>
        <v>Salzgitter  Stadt</v>
      </c>
      <c r="D2031" t="s">
        <v>3</v>
      </c>
      <c r="E2031" t="s">
        <v>162</v>
      </c>
      <c r="F2031" t="str">
        <f>VLOOKUP(A2031,[1]Kreise!$A$1:$C$53,3,FALSE)</f>
        <v>K03102</v>
      </c>
      <c r="G2031">
        <v>32.044198895027627</v>
      </c>
    </row>
    <row r="2032" spans="1:7" x14ac:dyDescent="0.25">
      <c r="A2032">
        <v>103</v>
      </c>
      <c r="B2032">
        <v>2018</v>
      </c>
      <c r="C2032" t="str">
        <f>VLOOKUP(A2032,[2]Tabelle1!$A$1:$B$68,2,FALSE)</f>
        <v>Wolfsburg  Stadt</v>
      </c>
      <c r="D2032" t="s">
        <v>3</v>
      </c>
      <c r="E2032" t="s">
        <v>162</v>
      </c>
      <c r="F2032" t="str">
        <f>VLOOKUP(A2032,[1]Kreise!$A$1:$C$53,3,FALSE)</f>
        <v>K03103</v>
      </c>
      <c r="G2032">
        <v>10.695187165775401</v>
      </c>
    </row>
    <row r="2033" spans="1:7" x14ac:dyDescent="0.25">
      <c r="A2033">
        <v>151</v>
      </c>
      <c r="B2033">
        <v>2018</v>
      </c>
      <c r="C2033" t="str">
        <f>VLOOKUP(A2033,[2]Tabelle1!$A$1:$B$68,2,FALSE)</f>
        <v>Gifhorn</v>
      </c>
      <c r="D2033" t="s">
        <v>3</v>
      </c>
      <c r="E2033" t="s">
        <v>162</v>
      </c>
      <c r="F2033" t="str">
        <f>VLOOKUP(A2033,[1]Kreise!$A$1:$C$53,3,FALSE)</f>
        <v>K03151</v>
      </c>
      <c r="G2033">
        <v>21.495327102803738</v>
      </c>
    </row>
    <row r="2034" spans="1:7" x14ac:dyDescent="0.25">
      <c r="A2034">
        <v>153</v>
      </c>
      <c r="B2034">
        <v>2018</v>
      </c>
      <c r="C2034" t="str">
        <f>VLOOKUP(A2034,[2]Tabelle1!$A$1:$B$68,2,FALSE)</f>
        <v>Goslar</v>
      </c>
      <c r="D2034" t="s">
        <v>3</v>
      </c>
      <c r="E2034" t="s">
        <v>162</v>
      </c>
      <c r="F2034" t="str">
        <f>VLOOKUP(A2034,[1]Kreise!$A$1:$C$53,3,FALSE)</f>
        <v>K03153</v>
      </c>
      <c r="G2034">
        <v>14.772727272727273</v>
      </c>
    </row>
    <row r="2035" spans="1:7" x14ac:dyDescent="0.25">
      <c r="A2035">
        <v>154</v>
      </c>
      <c r="B2035">
        <v>2018</v>
      </c>
      <c r="C2035" t="str">
        <f>VLOOKUP(A2035,[2]Tabelle1!$A$1:$B$68,2,FALSE)</f>
        <v>Helmstedt</v>
      </c>
      <c r="D2035" t="s">
        <v>3</v>
      </c>
      <c r="E2035" t="s">
        <v>162</v>
      </c>
      <c r="F2035" t="str">
        <f>VLOOKUP(A2035,[1]Kreise!$A$1:$C$53,3,FALSE)</f>
        <v>K03154</v>
      </c>
      <c r="G2035">
        <v>20.454545454545457</v>
      </c>
    </row>
    <row r="2036" spans="1:7" x14ac:dyDescent="0.25">
      <c r="A2036">
        <v>155</v>
      </c>
      <c r="B2036">
        <v>2018</v>
      </c>
      <c r="C2036" t="str">
        <f>VLOOKUP(A2036,[2]Tabelle1!$A$1:$B$68,2,FALSE)</f>
        <v>Northeim</v>
      </c>
      <c r="D2036" t="s">
        <v>3</v>
      </c>
      <c r="E2036" t="s">
        <v>162</v>
      </c>
      <c r="F2036" t="str">
        <f>VLOOKUP(A2036,[1]Kreise!$A$1:$C$53,3,FALSE)</f>
        <v>K03155</v>
      </c>
      <c r="G2036">
        <v>18.823529411764707</v>
      </c>
    </row>
    <row r="2037" spans="1:7" x14ac:dyDescent="0.25">
      <c r="A2037">
        <v>157</v>
      </c>
      <c r="B2037">
        <v>2018</v>
      </c>
      <c r="C2037" t="str">
        <f>VLOOKUP(A2037,[2]Tabelle1!$A$1:$B$68,2,FALSE)</f>
        <v>Peine</v>
      </c>
      <c r="D2037" t="s">
        <v>3</v>
      </c>
      <c r="E2037" t="s">
        <v>162</v>
      </c>
      <c r="F2037" t="str">
        <f>VLOOKUP(A2037,[1]Kreise!$A$1:$C$53,3,FALSE)</f>
        <v>K03157</v>
      </c>
      <c r="G2037">
        <v>18.939393939393938</v>
      </c>
    </row>
    <row r="2038" spans="1:7" x14ac:dyDescent="0.25">
      <c r="A2038">
        <v>158</v>
      </c>
      <c r="B2038">
        <v>2018</v>
      </c>
      <c r="C2038" t="str">
        <f>VLOOKUP(A2038,[2]Tabelle1!$A$1:$B$68,2,FALSE)</f>
        <v>Wolfenbüttel</v>
      </c>
      <c r="D2038" t="s">
        <v>3</v>
      </c>
      <c r="E2038" t="s">
        <v>162</v>
      </c>
      <c r="F2038" t="str">
        <f>VLOOKUP(A2038,[1]Kreise!$A$1:$C$53,3,FALSE)</f>
        <v>K03158</v>
      </c>
      <c r="G2038">
        <v>43.18181818181818</v>
      </c>
    </row>
    <row r="2039" spans="1:7" x14ac:dyDescent="0.25">
      <c r="A2039">
        <v>159</v>
      </c>
      <c r="B2039">
        <v>2018</v>
      </c>
      <c r="C2039" t="str">
        <f>VLOOKUP(A2039,[2]Tabelle1!$A$1:$B$68,2,FALSE)</f>
        <v>Göttingen</v>
      </c>
      <c r="D2039" t="s">
        <v>3</v>
      </c>
      <c r="E2039" t="s">
        <v>162</v>
      </c>
      <c r="F2039" t="str">
        <f>VLOOKUP(A2039,[1]Kreise!$A$1:$C$53,3,FALSE)</f>
        <v>K03159</v>
      </c>
      <c r="G2039">
        <v>29.383886255924168</v>
      </c>
    </row>
    <row r="2040" spans="1:7" x14ac:dyDescent="0.25">
      <c r="A2040">
        <v>1</v>
      </c>
      <c r="B2040">
        <v>2018</v>
      </c>
      <c r="C2040" t="str">
        <f>VLOOKUP(A2040,[2]Tabelle1!$A$1:$B$68,2,FALSE)</f>
        <v>Statistische Region Braunschweig</v>
      </c>
      <c r="D2040" t="s">
        <v>3</v>
      </c>
      <c r="E2040" t="s">
        <v>162</v>
      </c>
      <c r="F2040" t="str">
        <f>VLOOKUP(A2040,[1]Kreise!$A$1:$C$53,3,FALSE)</f>
        <v>K031</v>
      </c>
      <c r="G2040">
        <v>21.914556962025316</v>
      </c>
    </row>
    <row r="2041" spans="1:7" x14ac:dyDescent="0.25">
      <c r="A2041">
        <v>241</v>
      </c>
      <c r="B2041">
        <v>2018</v>
      </c>
      <c r="C2041" t="str">
        <f>VLOOKUP(A2041,[2]Tabelle1!$A$1:$B$68,2,FALSE)</f>
        <v>Hannover  Region</v>
      </c>
      <c r="D2041" t="s">
        <v>3</v>
      </c>
      <c r="E2041" t="s">
        <v>162</v>
      </c>
      <c r="F2041" t="str">
        <f>VLOOKUP(A2041,[1]Kreise!$A$1:$C$53,3,FALSE)</f>
        <v>K03241</v>
      </c>
      <c r="G2041">
        <v>17.278617710583152</v>
      </c>
    </row>
    <row r="2042" spans="1:7" x14ac:dyDescent="0.25">
      <c r="A2042">
        <v>241001</v>
      </c>
      <c r="B2042">
        <v>2018</v>
      </c>
      <c r="C2042" t="str">
        <f>VLOOKUP(A2042,[2]Tabelle1!$A$1:$B$68,2,FALSE)</f>
        <v>dav. Hannover  Lhst.</v>
      </c>
      <c r="D2042" t="s">
        <v>3</v>
      </c>
      <c r="E2042" t="s">
        <v>162</v>
      </c>
      <c r="F2042" t="str">
        <f>VLOOKUP(A2042,[1]Kreise!$A$1:$C$53,3,FALSE)</f>
        <v>K03241001</v>
      </c>
      <c r="G2042">
        <v>17.427385892116181</v>
      </c>
    </row>
    <row r="2043" spans="1:7" x14ac:dyDescent="0.25">
      <c r="A2043">
        <v>241999</v>
      </c>
      <c r="B2043">
        <v>2018</v>
      </c>
      <c r="C2043" t="str">
        <f>VLOOKUP(A2043,[2]Tabelle1!$A$1:$B$68,2,FALSE)</f>
        <v>dav. Hannover  Umland</v>
      </c>
      <c r="D2043" t="s">
        <v>3</v>
      </c>
      <c r="E2043" t="s">
        <v>162</v>
      </c>
      <c r="F2043" t="str">
        <f>VLOOKUP(A2043,[1]Kreise!$A$1:$C$53,3,FALSE)</f>
        <v>K03241999</v>
      </c>
      <c r="G2043">
        <v>17.117117117117118</v>
      </c>
    </row>
    <row r="2044" spans="1:7" x14ac:dyDescent="0.25">
      <c r="A2044">
        <v>251</v>
      </c>
      <c r="B2044">
        <v>2018</v>
      </c>
      <c r="C2044" t="str">
        <f>VLOOKUP(A2044,[2]Tabelle1!$A$1:$B$68,2,FALSE)</f>
        <v>Diepholz</v>
      </c>
      <c r="D2044" t="s">
        <v>3</v>
      </c>
      <c r="E2044" t="s">
        <v>162</v>
      </c>
      <c r="F2044" t="str">
        <f>VLOOKUP(A2044,[1]Kreise!$A$1:$C$53,3,FALSE)</f>
        <v>K03251</v>
      </c>
      <c r="G2044">
        <v>28.27586206896552</v>
      </c>
    </row>
    <row r="2045" spans="1:7" x14ac:dyDescent="0.25">
      <c r="A2045">
        <v>252</v>
      </c>
      <c r="B2045">
        <v>2018</v>
      </c>
      <c r="C2045" t="str">
        <f>VLOOKUP(A2045,[2]Tabelle1!$A$1:$B$68,2,FALSE)</f>
        <v>Hameln-Pyrmont</v>
      </c>
      <c r="D2045" t="s">
        <v>3</v>
      </c>
      <c r="E2045" t="s">
        <v>162</v>
      </c>
      <c r="F2045" t="str">
        <f>VLOOKUP(A2045,[1]Kreise!$A$1:$C$53,3,FALSE)</f>
        <v>K03252</v>
      </c>
      <c r="G2045">
        <v>23.404255319148938</v>
      </c>
    </row>
    <row r="2046" spans="1:7" x14ac:dyDescent="0.25">
      <c r="A2046">
        <v>254</v>
      </c>
      <c r="B2046">
        <v>2018</v>
      </c>
      <c r="C2046" t="str">
        <f>VLOOKUP(A2046,[2]Tabelle1!$A$1:$B$68,2,FALSE)</f>
        <v>Hildesheim</v>
      </c>
      <c r="D2046" t="s">
        <v>3</v>
      </c>
      <c r="E2046" t="s">
        <v>162</v>
      </c>
      <c r="F2046" t="str">
        <f>VLOOKUP(A2046,[1]Kreise!$A$1:$C$53,3,FALSE)</f>
        <v>K03254</v>
      </c>
      <c r="G2046">
        <v>27.692307692307693</v>
      </c>
    </row>
    <row r="2047" spans="1:7" x14ac:dyDescent="0.25">
      <c r="A2047">
        <v>255</v>
      </c>
      <c r="B2047">
        <v>2018</v>
      </c>
      <c r="C2047" t="str">
        <f>VLOOKUP(A2047,[2]Tabelle1!$A$1:$B$68,2,FALSE)</f>
        <v>Holzminden</v>
      </c>
      <c r="D2047" t="s">
        <v>3</v>
      </c>
      <c r="E2047" t="s">
        <v>162</v>
      </c>
      <c r="F2047" t="str">
        <f>VLOOKUP(A2047,[1]Kreise!$A$1:$C$53,3,FALSE)</f>
        <v>K03255</v>
      </c>
      <c r="G2047">
        <v>19.35483870967742</v>
      </c>
    </row>
    <row r="2048" spans="1:7" x14ac:dyDescent="0.25">
      <c r="A2048">
        <v>256</v>
      </c>
      <c r="B2048">
        <v>2018</v>
      </c>
      <c r="C2048" t="str">
        <f>VLOOKUP(A2048,[2]Tabelle1!$A$1:$B$68,2,FALSE)</f>
        <v>Nienburg (Weser)</v>
      </c>
      <c r="D2048" t="s">
        <v>3</v>
      </c>
      <c r="E2048" t="s">
        <v>162</v>
      </c>
      <c r="F2048" t="str">
        <f>VLOOKUP(A2048,[1]Kreise!$A$1:$C$53,3,FALSE)</f>
        <v>K03256</v>
      </c>
      <c r="G2048">
        <v>43.846153846153847</v>
      </c>
    </row>
    <row r="2049" spans="1:7" x14ac:dyDescent="0.25">
      <c r="A2049">
        <v>257</v>
      </c>
      <c r="B2049">
        <v>2018</v>
      </c>
      <c r="C2049" t="str">
        <f>VLOOKUP(A2049,[2]Tabelle1!$A$1:$B$68,2,FALSE)</f>
        <v>Schaumburg</v>
      </c>
      <c r="D2049" t="s">
        <v>3</v>
      </c>
      <c r="E2049" t="s">
        <v>162</v>
      </c>
      <c r="F2049" t="str">
        <f>VLOOKUP(A2049,[1]Kreise!$A$1:$C$53,3,FALSE)</f>
        <v>K03257</v>
      </c>
      <c r="G2049">
        <v>15.527950310559005</v>
      </c>
    </row>
    <row r="2050" spans="1:7" x14ac:dyDescent="0.25">
      <c r="A2050">
        <v>2</v>
      </c>
      <c r="B2050">
        <v>2018</v>
      </c>
      <c r="C2050" t="str">
        <f>VLOOKUP(A2050,[2]Tabelle1!$A$1:$B$68,2,FALSE)</f>
        <v>Statistische Region Hannover</v>
      </c>
      <c r="D2050" t="s">
        <v>3</v>
      </c>
      <c r="E2050" t="s">
        <v>162</v>
      </c>
      <c r="F2050" t="str">
        <f>VLOOKUP(A2050,[1]Kreise!$A$1:$C$53,3,FALSE)</f>
        <v>K032</v>
      </c>
      <c r="G2050">
        <v>20.78272604588394</v>
      </c>
    </row>
    <row r="2051" spans="1:7" x14ac:dyDescent="0.25">
      <c r="A2051">
        <v>351</v>
      </c>
      <c r="B2051">
        <v>2018</v>
      </c>
      <c r="C2051" t="str">
        <f>VLOOKUP(A2051,[2]Tabelle1!$A$1:$B$68,2,FALSE)</f>
        <v>Celle</v>
      </c>
      <c r="D2051" t="s">
        <v>3</v>
      </c>
      <c r="E2051" t="s">
        <v>162</v>
      </c>
      <c r="F2051" t="str">
        <f>VLOOKUP(A2051,[1]Kreise!$A$1:$C$53,3,FALSE)</f>
        <v>K03351</v>
      </c>
      <c r="G2051">
        <v>30.476190476190478</v>
      </c>
    </row>
    <row r="2052" spans="1:7" x14ac:dyDescent="0.25">
      <c r="A2052">
        <v>352</v>
      </c>
      <c r="B2052">
        <v>2018</v>
      </c>
      <c r="C2052" t="str">
        <f>VLOOKUP(A2052,[2]Tabelle1!$A$1:$B$68,2,FALSE)</f>
        <v>Cuxhaven</v>
      </c>
      <c r="D2052" t="s">
        <v>3</v>
      </c>
      <c r="E2052" t="s">
        <v>162</v>
      </c>
      <c r="F2052" t="str">
        <f>VLOOKUP(A2052,[1]Kreise!$A$1:$C$53,3,FALSE)</f>
        <v>K03352</v>
      </c>
      <c r="G2052">
        <v>19.166666666666668</v>
      </c>
    </row>
    <row r="2053" spans="1:7" x14ac:dyDescent="0.25">
      <c r="A2053">
        <v>353</v>
      </c>
      <c r="B2053">
        <v>2018</v>
      </c>
      <c r="C2053" t="str">
        <f>VLOOKUP(A2053,[2]Tabelle1!$A$1:$B$68,2,FALSE)</f>
        <v>Harburg</v>
      </c>
      <c r="D2053" t="s">
        <v>3</v>
      </c>
      <c r="E2053" t="s">
        <v>162</v>
      </c>
      <c r="F2053" t="str">
        <f>VLOOKUP(A2053,[1]Kreise!$A$1:$C$53,3,FALSE)</f>
        <v>K03353</v>
      </c>
      <c r="G2053">
        <v>21.176470588235293</v>
      </c>
    </row>
    <row r="2054" spans="1:7" x14ac:dyDescent="0.25">
      <c r="A2054">
        <v>354</v>
      </c>
      <c r="B2054">
        <v>2018</v>
      </c>
      <c r="C2054" t="str">
        <f>VLOOKUP(A2054,[2]Tabelle1!$A$1:$B$68,2,FALSE)</f>
        <v>Lüchow-Dannenberg</v>
      </c>
      <c r="D2054" t="s">
        <v>3</v>
      </c>
      <c r="E2054" t="s">
        <v>162</v>
      </c>
      <c r="F2054" t="str">
        <f>VLOOKUP(A2054,[1]Kreise!$A$1:$C$53,3,FALSE)</f>
        <v>K03354</v>
      </c>
      <c r="G2054">
        <v>28.000000000000004</v>
      </c>
    </row>
    <row r="2055" spans="1:7" x14ac:dyDescent="0.25">
      <c r="A2055">
        <v>355</v>
      </c>
      <c r="B2055">
        <v>2018</v>
      </c>
      <c r="C2055" t="str">
        <f>VLOOKUP(A2055,[2]Tabelle1!$A$1:$B$68,2,FALSE)</f>
        <v>Lüneburg</v>
      </c>
      <c r="D2055" t="s">
        <v>3</v>
      </c>
      <c r="E2055" t="s">
        <v>162</v>
      </c>
      <c r="F2055" t="str">
        <f>VLOOKUP(A2055,[1]Kreise!$A$1:$C$53,3,FALSE)</f>
        <v>K03355</v>
      </c>
      <c r="G2055">
        <v>12.096774193548388</v>
      </c>
    </row>
    <row r="2056" spans="1:7" x14ac:dyDescent="0.25">
      <c r="A2056">
        <v>356</v>
      </c>
      <c r="B2056">
        <v>2018</v>
      </c>
      <c r="C2056" t="str">
        <f>VLOOKUP(A2056,[2]Tabelle1!$A$1:$B$68,2,FALSE)</f>
        <v>Osterholz</v>
      </c>
      <c r="D2056" t="s">
        <v>3</v>
      </c>
      <c r="E2056" t="s">
        <v>162</v>
      </c>
      <c r="F2056" t="str">
        <f>VLOOKUP(A2056,[1]Kreise!$A$1:$C$53,3,FALSE)</f>
        <v>K03356</v>
      </c>
      <c r="G2056">
        <v>16.666666666666664</v>
      </c>
    </row>
    <row r="2057" spans="1:7" x14ac:dyDescent="0.25">
      <c r="A2057">
        <v>357</v>
      </c>
      <c r="B2057">
        <v>2018</v>
      </c>
      <c r="C2057" t="str">
        <f>VLOOKUP(A2057,[2]Tabelle1!$A$1:$B$68,2,FALSE)</f>
        <v>Rotenburg (Wümme)</v>
      </c>
      <c r="D2057" t="s">
        <v>3</v>
      </c>
      <c r="E2057" t="s">
        <v>162</v>
      </c>
      <c r="F2057" t="str">
        <f>VLOOKUP(A2057,[1]Kreise!$A$1:$C$53,3,FALSE)</f>
        <v>K03357</v>
      </c>
      <c r="G2057">
        <v>21.839080459770116</v>
      </c>
    </row>
    <row r="2058" spans="1:7" x14ac:dyDescent="0.25">
      <c r="A2058">
        <v>358</v>
      </c>
      <c r="B2058">
        <v>2018</v>
      </c>
      <c r="C2058" t="str">
        <f>VLOOKUP(A2058,[2]Tabelle1!$A$1:$B$68,2,FALSE)</f>
        <v>Heidekreis</v>
      </c>
      <c r="D2058" t="s">
        <v>3</v>
      </c>
      <c r="E2058" t="s">
        <v>162</v>
      </c>
      <c r="F2058" t="str">
        <f>VLOOKUP(A2058,[1]Kreise!$A$1:$C$53,3,FALSE)</f>
        <v>K03358</v>
      </c>
      <c r="G2058">
        <v>25</v>
      </c>
    </row>
    <row r="2059" spans="1:7" x14ac:dyDescent="0.25">
      <c r="A2059">
        <v>359</v>
      </c>
      <c r="B2059">
        <v>2018</v>
      </c>
      <c r="C2059" t="str">
        <f>VLOOKUP(A2059,[2]Tabelle1!$A$1:$B$68,2,FALSE)</f>
        <v>Stade</v>
      </c>
      <c r="D2059" t="s">
        <v>3</v>
      </c>
      <c r="E2059" t="s">
        <v>162</v>
      </c>
      <c r="F2059" t="str">
        <f>VLOOKUP(A2059,[1]Kreise!$A$1:$C$53,3,FALSE)</f>
        <v>K03359</v>
      </c>
      <c r="G2059">
        <v>30.081300813008134</v>
      </c>
    </row>
    <row r="2060" spans="1:7" x14ac:dyDescent="0.25">
      <c r="A2060">
        <v>360</v>
      </c>
      <c r="B2060">
        <v>2018</v>
      </c>
      <c r="C2060" t="str">
        <f>VLOOKUP(A2060,[2]Tabelle1!$A$1:$B$68,2,FALSE)</f>
        <v>Uelzen</v>
      </c>
      <c r="D2060" t="s">
        <v>3</v>
      </c>
      <c r="E2060" t="s">
        <v>162</v>
      </c>
      <c r="F2060" t="str">
        <f>VLOOKUP(A2060,[1]Kreise!$A$1:$C$53,3,FALSE)</f>
        <v>K03360</v>
      </c>
      <c r="G2060">
        <v>26.666666666666668</v>
      </c>
    </row>
    <row r="2061" spans="1:7" x14ac:dyDescent="0.25">
      <c r="A2061">
        <v>361</v>
      </c>
      <c r="B2061">
        <v>2018</v>
      </c>
      <c r="C2061" t="str">
        <f>VLOOKUP(A2061,[2]Tabelle1!$A$1:$B$68,2,FALSE)</f>
        <v>Verden</v>
      </c>
      <c r="D2061" t="s">
        <v>3</v>
      </c>
      <c r="E2061" t="s">
        <v>162</v>
      </c>
      <c r="F2061" t="str">
        <f>VLOOKUP(A2061,[1]Kreise!$A$1:$C$53,3,FALSE)</f>
        <v>K03361</v>
      </c>
      <c r="G2061">
        <v>17.948717948717949</v>
      </c>
    </row>
    <row r="2062" spans="1:7" x14ac:dyDescent="0.25">
      <c r="A2062">
        <v>3</v>
      </c>
      <c r="B2062">
        <v>2018</v>
      </c>
      <c r="C2062" t="str">
        <f>VLOOKUP(A2062,[2]Tabelle1!$A$1:$B$68,2,FALSE)</f>
        <v>Statistische Region Lüneburg</v>
      </c>
      <c r="D2062" t="s">
        <v>3</v>
      </c>
      <c r="E2062" t="s">
        <v>162</v>
      </c>
      <c r="F2062" t="str">
        <f>VLOOKUP(A2062,[1]Kreise!$A$1:$C$53,3,FALSE)</f>
        <v>K033</v>
      </c>
      <c r="G2062">
        <v>22.122905027932958</v>
      </c>
    </row>
    <row r="2063" spans="1:7" x14ac:dyDescent="0.25">
      <c r="A2063">
        <v>401</v>
      </c>
      <c r="B2063">
        <v>2018</v>
      </c>
      <c r="C2063" t="str">
        <f>VLOOKUP(A2063,[2]Tabelle1!$A$1:$B$68,2,FALSE)</f>
        <v>Delmenhorst  Stadt</v>
      </c>
      <c r="D2063" t="s">
        <v>3</v>
      </c>
      <c r="E2063" t="s">
        <v>162</v>
      </c>
      <c r="F2063" t="str">
        <f>VLOOKUP(A2063,[1]Kreise!$A$1:$C$53,3,FALSE)</f>
        <v>K03401</v>
      </c>
      <c r="G2063">
        <v>24.025974025974026</v>
      </c>
    </row>
    <row r="2064" spans="1:7" x14ac:dyDescent="0.25">
      <c r="A2064">
        <v>402</v>
      </c>
      <c r="B2064">
        <v>2018</v>
      </c>
      <c r="C2064" t="str">
        <f>VLOOKUP(A2064,[2]Tabelle1!$A$1:$B$68,2,FALSE)</f>
        <v>Emden  Stadt</v>
      </c>
      <c r="D2064" t="s">
        <v>3</v>
      </c>
      <c r="E2064" t="s">
        <v>162</v>
      </c>
      <c r="F2064" t="str">
        <f>VLOOKUP(A2064,[1]Kreise!$A$1:$C$53,3,FALSE)</f>
        <v>K03402</v>
      </c>
      <c r="G2064">
        <v>20</v>
      </c>
    </row>
    <row r="2065" spans="1:7" x14ac:dyDescent="0.25">
      <c r="A2065">
        <v>403</v>
      </c>
      <c r="B2065">
        <v>2018</v>
      </c>
      <c r="C2065" t="str">
        <f>VLOOKUP(A2065,[2]Tabelle1!$A$1:$B$68,2,FALSE)</f>
        <v>Oldenburg(Oldb)  Stadt</v>
      </c>
      <c r="D2065" t="s">
        <v>3</v>
      </c>
      <c r="E2065" t="s">
        <v>162</v>
      </c>
      <c r="F2065" t="str">
        <f>VLOOKUP(A2065,[1]Kreise!$A$1:$C$53,3,FALSE)</f>
        <v>K03403</v>
      </c>
      <c r="G2065">
        <v>25.263157894736842</v>
      </c>
    </row>
    <row r="2066" spans="1:7" x14ac:dyDescent="0.25">
      <c r="A2066">
        <v>404</v>
      </c>
      <c r="B2066">
        <v>2018</v>
      </c>
      <c r="C2066" t="str">
        <f>VLOOKUP(A2066,[2]Tabelle1!$A$1:$B$68,2,FALSE)</f>
        <v>Osnabrück  Stadt</v>
      </c>
      <c r="D2066" t="s">
        <v>3</v>
      </c>
      <c r="E2066" t="s">
        <v>162</v>
      </c>
      <c r="F2066" t="str">
        <f>VLOOKUP(A2066,[1]Kreise!$A$1:$C$53,3,FALSE)</f>
        <v>K03404</v>
      </c>
      <c r="G2066">
        <v>20.437956204379564</v>
      </c>
    </row>
    <row r="2067" spans="1:7" x14ac:dyDescent="0.25">
      <c r="A2067">
        <v>405</v>
      </c>
      <c r="B2067">
        <v>2018</v>
      </c>
      <c r="C2067" t="str">
        <f>VLOOKUP(A2067,[2]Tabelle1!$A$1:$B$68,2,FALSE)</f>
        <v>Wilhelmshaven  Stadt</v>
      </c>
      <c r="D2067" t="s">
        <v>3</v>
      </c>
      <c r="E2067" t="s">
        <v>162</v>
      </c>
      <c r="F2067" t="str">
        <f>VLOOKUP(A2067,[1]Kreise!$A$1:$C$53,3,FALSE)</f>
        <v>K03405</v>
      </c>
      <c r="G2067">
        <v>7.8947368421052628</v>
      </c>
    </row>
    <row r="2068" spans="1:7" x14ac:dyDescent="0.25">
      <c r="A2068">
        <v>451</v>
      </c>
      <c r="B2068">
        <v>2018</v>
      </c>
      <c r="C2068" t="str">
        <f>VLOOKUP(A2068,[2]Tabelle1!$A$1:$B$68,2,FALSE)</f>
        <v>Ammerland</v>
      </c>
      <c r="D2068" t="s">
        <v>3</v>
      </c>
      <c r="E2068" t="s">
        <v>162</v>
      </c>
      <c r="F2068" t="str">
        <f>VLOOKUP(A2068,[1]Kreise!$A$1:$C$53,3,FALSE)</f>
        <v>K03451</v>
      </c>
      <c r="G2068">
        <v>3.0769230769230771</v>
      </c>
    </row>
    <row r="2069" spans="1:7" x14ac:dyDescent="0.25">
      <c r="A2069">
        <v>452</v>
      </c>
      <c r="B2069">
        <v>2018</v>
      </c>
      <c r="C2069" t="str">
        <f>VLOOKUP(A2069,[2]Tabelle1!$A$1:$B$68,2,FALSE)</f>
        <v>Aurich</v>
      </c>
      <c r="D2069" t="s">
        <v>3</v>
      </c>
      <c r="E2069" t="s">
        <v>162</v>
      </c>
      <c r="F2069" t="str">
        <f>VLOOKUP(A2069,[1]Kreise!$A$1:$C$53,3,FALSE)</f>
        <v>K03452</v>
      </c>
      <c r="G2069">
        <v>21.686746987951807</v>
      </c>
    </row>
    <row r="2070" spans="1:7" x14ac:dyDescent="0.25">
      <c r="A2070">
        <v>453</v>
      </c>
      <c r="B2070">
        <v>2018</v>
      </c>
      <c r="C2070" t="str">
        <f>VLOOKUP(A2070,[2]Tabelle1!$A$1:$B$68,2,FALSE)</f>
        <v>Cloppenburg</v>
      </c>
      <c r="D2070" t="s">
        <v>3</v>
      </c>
      <c r="E2070" t="s">
        <v>162</v>
      </c>
      <c r="F2070" t="str">
        <f>VLOOKUP(A2070,[1]Kreise!$A$1:$C$53,3,FALSE)</f>
        <v>K03453</v>
      </c>
      <c r="G2070">
        <v>29.702970297029701</v>
      </c>
    </row>
    <row r="2071" spans="1:7" x14ac:dyDescent="0.25">
      <c r="A2071">
        <v>454</v>
      </c>
      <c r="B2071">
        <v>2018</v>
      </c>
      <c r="C2071" t="str">
        <f>VLOOKUP(A2071,[2]Tabelle1!$A$1:$B$68,2,FALSE)</f>
        <v>Emsland</v>
      </c>
      <c r="D2071" t="s">
        <v>3</v>
      </c>
      <c r="E2071" t="s">
        <v>162</v>
      </c>
      <c r="F2071" t="str">
        <f>VLOOKUP(A2071,[1]Kreise!$A$1:$C$53,3,FALSE)</f>
        <v>K03454</v>
      </c>
      <c r="G2071">
        <v>36.752136752136757</v>
      </c>
    </row>
    <row r="2072" spans="1:7" x14ac:dyDescent="0.25">
      <c r="A2072">
        <v>455</v>
      </c>
      <c r="B2072">
        <v>2018</v>
      </c>
      <c r="C2072" t="str">
        <f>VLOOKUP(A2072,[2]Tabelle1!$A$1:$B$68,2,FALSE)</f>
        <v>Friesland</v>
      </c>
      <c r="D2072" t="s">
        <v>3</v>
      </c>
      <c r="E2072" t="s">
        <v>162</v>
      </c>
      <c r="F2072" t="str">
        <f>VLOOKUP(A2072,[1]Kreise!$A$1:$C$53,3,FALSE)</f>
        <v>K03455</v>
      </c>
      <c r="G2072">
        <v>25.641025641025639</v>
      </c>
    </row>
    <row r="2073" spans="1:7" x14ac:dyDescent="0.25">
      <c r="A2073">
        <v>456</v>
      </c>
      <c r="B2073">
        <v>2018</v>
      </c>
      <c r="C2073" t="str">
        <f>VLOOKUP(A2073,[2]Tabelle1!$A$1:$B$68,2,FALSE)</f>
        <v>Grafschaft Bentheim</v>
      </c>
      <c r="D2073" t="s">
        <v>3</v>
      </c>
      <c r="E2073" t="s">
        <v>162</v>
      </c>
      <c r="F2073" t="str">
        <f>VLOOKUP(A2073,[1]Kreise!$A$1:$C$53,3,FALSE)</f>
        <v>K03456</v>
      </c>
      <c r="G2073">
        <v>15.714285714285714</v>
      </c>
    </row>
    <row r="2074" spans="1:7" x14ac:dyDescent="0.25">
      <c r="A2074">
        <v>457</v>
      </c>
      <c r="B2074">
        <v>2018</v>
      </c>
      <c r="C2074" t="str">
        <f>VLOOKUP(A2074,[2]Tabelle1!$A$1:$B$68,2,FALSE)</f>
        <v>Leer</v>
      </c>
      <c r="D2074" t="s">
        <v>3</v>
      </c>
      <c r="E2074" t="s">
        <v>162</v>
      </c>
      <c r="F2074" t="str">
        <f>VLOOKUP(A2074,[1]Kreise!$A$1:$C$53,3,FALSE)</f>
        <v>K03457</v>
      </c>
      <c r="G2074">
        <v>33.695652173913047</v>
      </c>
    </row>
    <row r="2075" spans="1:7" x14ac:dyDescent="0.25">
      <c r="A2075">
        <v>458</v>
      </c>
      <c r="B2075">
        <v>2018</v>
      </c>
      <c r="C2075" t="str">
        <f>VLOOKUP(A2075,[2]Tabelle1!$A$1:$B$68,2,FALSE)</f>
        <v>Oldenburg</v>
      </c>
      <c r="D2075" t="s">
        <v>3</v>
      </c>
      <c r="E2075" t="s">
        <v>162</v>
      </c>
      <c r="F2075" t="str">
        <f>VLOOKUP(A2075,[1]Kreise!$A$1:$C$53,3,FALSE)</f>
        <v>K03458</v>
      </c>
      <c r="G2075">
        <v>25</v>
      </c>
    </row>
    <row r="2076" spans="1:7" x14ac:dyDescent="0.25">
      <c r="A2076">
        <v>459</v>
      </c>
      <c r="B2076">
        <v>2018</v>
      </c>
      <c r="C2076" t="str">
        <f>VLOOKUP(A2076,[2]Tabelle1!$A$1:$B$68,2,FALSE)</f>
        <v>Osnabrück</v>
      </c>
      <c r="D2076" t="s">
        <v>3</v>
      </c>
      <c r="E2076" t="s">
        <v>162</v>
      </c>
      <c r="F2076" t="str">
        <f>VLOOKUP(A2076,[1]Kreise!$A$1:$C$53,3,FALSE)</f>
        <v>K03459</v>
      </c>
      <c r="G2076">
        <v>31.578947368421051</v>
      </c>
    </row>
    <row r="2077" spans="1:7" x14ac:dyDescent="0.25">
      <c r="A2077">
        <v>460</v>
      </c>
      <c r="B2077">
        <v>2018</v>
      </c>
      <c r="C2077" t="str">
        <f>VLOOKUP(A2077,[2]Tabelle1!$A$1:$B$68,2,FALSE)</f>
        <v>Vechta</v>
      </c>
      <c r="D2077" t="s">
        <v>3</v>
      </c>
      <c r="E2077" t="s">
        <v>162</v>
      </c>
      <c r="F2077" t="str">
        <f>VLOOKUP(A2077,[1]Kreise!$A$1:$C$53,3,FALSE)</f>
        <v>K03460</v>
      </c>
      <c r="G2077">
        <v>37.714285714285715</v>
      </c>
    </row>
    <row r="2078" spans="1:7" x14ac:dyDescent="0.25">
      <c r="A2078">
        <v>461</v>
      </c>
      <c r="B2078">
        <v>2018</v>
      </c>
      <c r="C2078" t="str">
        <f>VLOOKUP(A2078,[2]Tabelle1!$A$1:$B$68,2,FALSE)</f>
        <v>Wesermarsch</v>
      </c>
      <c r="D2078" t="s">
        <v>3</v>
      </c>
      <c r="E2078" t="s">
        <v>162</v>
      </c>
      <c r="F2078" t="str">
        <f>VLOOKUP(A2078,[1]Kreise!$A$1:$C$53,3,FALSE)</f>
        <v>K03461</v>
      </c>
      <c r="G2078">
        <v>23</v>
      </c>
    </row>
    <row r="2079" spans="1:7" x14ac:dyDescent="0.25">
      <c r="A2079">
        <v>462</v>
      </c>
      <c r="B2079">
        <v>2018</v>
      </c>
      <c r="C2079" t="str">
        <f>VLOOKUP(A2079,[2]Tabelle1!$A$1:$B$68,2,FALSE)</f>
        <v>Wittmund</v>
      </c>
      <c r="D2079" t="s">
        <v>3</v>
      </c>
      <c r="E2079" t="s">
        <v>162</v>
      </c>
      <c r="F2079" t="str">
        <f>VLOOKUP(A2079,[1]Kreise!$A$1:$C$53,3,FALSE)</f>
        <v>K03462</v>
      </c>
      <c r="G2079">
        <v>3.3333333333333335</v>
      </c>
    </row>
    <row r="2080" spans="1:7" x14ac:dyDescent="0.25">
      <c r="A2080">
        <v>4</v>
      </c>
      <c r="B2080">
        <v>2018</v>
      </c>
      <c r="C2080" t="str">
        <f>VLOOKUP(A2080,[2]Tabelle1!$A$1:$B$68,2,FALSE)</f>
        <v>Statistische Region Weser-Ems</v>
      </c>
      <c r="D2080" t="s">
        <v>3</v>
      </c>
      <c r="E2080" t="s">
        <v>162</v>
      </c>
      <c r="F2080" t="str">
        <f>VLOOKUP(A2080,[1]Kreise!$A$1:$C$53,3,FALSE)</f>
        <v>K034</v>
      </c>
      <c r="G2080">
        <v>26.315789473684209</v>
      </c>
    </row>
    <row r="2081" spans="1:7" x14ac:dyDescent="0.25">
      <c r="A2081">
        <v>0</v>
      </c>
      <c r="B2081">
        <v>2018</v>
      </c>
      <c r="C2081" t="str">
        <f>VLOOKUP(A2081,[2]Tabelle1!$A$1:$B$68,2,FALSE)</f>
        <v>Niedersachsen</v>
      </c>
      <c r="D2081" t="s">
        <v>3</v>
      </c>
      <c r="E2081" t="s">
        <v>162</v>
      </c>
      <c r="F2081" t="str">
        <f>VLOOKUP(A2081,[1]Kreise!$A$1:$C$53,3,FALSE)</f>
        <v>K030</v>
      </c>
      <c r="G2081">
        <v>22.853939782190906</v>
      </c>
    </row>
    <row r="2082" spans="1:7" x14ac:dyDescent="0.25">
      <c r="A2082">
        <v>101</v>
      </c>
      <c r="B2082">
        <v>2019</v>
      </c>
      <c r="C2082" t="str">
        <f>VLOOKUP(A2082,[2]Tabelle1!$A$1:$B$68,2,FALSE)</f>
        <v>Braunschweig  Stadt</v>
      </c>
      <c r="D2082" t="s">
        <v>2</v>
      </c>
      <c r="E2082" t="s">
        <v>162</v>
      </c>
      <c r="F2082" t="str">
        <f>VLOOKUP(A2082,[1]Kreise!$A$1:$C$53,3,FALSE)</f>
        <v>K03101</v>
      </c>
      <c r="G2082">
        <v>5.3563523683045595</v>
      </c>
    </row>
    <row r="2083" spans="1:7" x14ac:dyDescent="0.25">
      <c r="A2083">
        <v>102</v>
      </c>
      <c r="B2083">
        <v>2019</v>
      </c>
      <c r="C2083" t="str">
        <f>VLOOKUP(A2083,[2]Tabelle1!$A$1:$B$68,2,FALSE)</f>
        <v>Salzgitter  Stadt</v>
      </c>
      <c r="D2083" t="s">
        <v>2</v>
      </c>
      <c r="E2083" t="s">
        <v>162</v>
      </c>
      <c r="F2083" t="str">
        <f>VLOOKUP(A2083,[1]Kreise!$A$1:$C$53,3,FALSE)</f>
        <v>K03102</v>
      </c>
      <c r="G2083">
        <v>6.5853658536585371</v>
      </c>
    </row>
    <row r="2084" spans="1:7" x14ac:dyDescent="0.25">
      <c r="A2084">
        <v>103</v>
      </c>
      <c r="B2084">
        <v>2019</v>
      </c>
      <c r="C2084" t="str">
        <f>VLOOKUP(A2084,[2]Tabelle1!$A$1:$B$68,2,FALSE)</f>
        <v>Wolfsburg  Stadt</v>
      </c>
      <c r="D2084" t="s">
        <v>2</v>
      </c>
      <c r="E2084" t="s">
        <v>162</v>
      </c>
      <c r="F2084" t="str">
        <f>VLOOKUP(A2084,[1]Kreise!$A$1:$C$53,3,FALSE)</f>
        <v>K03103</v>
      </c>
      <c r="G2084">
        <v>4.0476190476190474</v>
      </c>
    </row>
    <row r="2085" spans="1:7" x14ac:dyDescent="0.25">
      <c r="A2085">
        <v>151</v>
      </c>
      <c r="B2085">
        <v>2019</v>
      </c>
      <c r="C2085" t="str">
        <f>VLOOKUP(A2085,[2]Tabelle1!$A$1:$B$68,2,FALSE)</f>
        <v>Gifhorn</v>
      </c>
      <c r="D2085" t="s">
        <v>2</v>
      </c>
      <c r="E2085" t="s">
        <v>162</v>
      </c>
      <c r="F2085" t="str">
        <f>VLOOKUP(A2085,[1]Kreise!$A$1:$C$53,3,FALSE)</f>
        <v>K03151</v>
      </c>
      <c r="G2085">
        <v>3.1064111037673494</v>
      </c>
    </row>
    <row r="2086" spans="1:7" x14ac:dyDescent="0.25">
      <c r="A2086">
        <v>153</v>
      </c>
      <c r="B2086">
        <v>2019</v>
      </c>
      <c r="C2086" t="str">
        <f>VLOOKUP(A2086,[2]Tabelle1!$A$1:$B$68,2,FALSE)</f>
        <v>Goslar</v>
      </c>
      <c r="D2086" t="s">
        <v>2</v>
      </c>
      <c r="E2086" t="s">
        <v>162</v>
      </c>
      <c r="F2086" t="str">
        <f>VLOOKUP(A2086,[1]Kreise!$A$1:$C$53,3,FALSE)</f>
        <v>K03153</v>
      </c>
      <c r="G2086">
        <v>6.6539923954372622</v>
      </c>
    </row>
    <row r="2087" spans="1:7" x14ac:dyDescent="0.25">
      <c r="A2087">
        <v>154</v>
      </c>
      <c r="B2087">
        <v>2019</v>
      </c>
      <c r="C2087" t="str">
        <f>VLOOKUP(A2087,[2]Tabelle1!$A$1:$B$68,2,FALSE)</f>
        <v>Helmstedt</v>
      </c>
      <c r="D2087" t="s">
        <v>2</v>
      </c>
      <c r="E2087" t="s">
        <v>162</v>
      </c>
      <c r="F2087" t="str">
        <f>VLOOKUP(A2087,[1]Kreise!$A$1:$C$53,3,FALSE)</f>
        <v>K03154</v>
      </c>
      <c r="G2087">
        <v>7.4249605055292252</v>
      </c>
    </row>
    <row r="2088" spans="1:7" x14ac:dyDescent="0.25">
      <c r="A2088">
        <v>155</v>
      </c>
      <c r="B2088">
        <v>2019</v>
      </c>
      <c r="C2088" t="str">
        <f>VLOOKUP(A2088,[2]Tabelle1!$A$1:$B$68,2,FALSE)</f>
        <v>Northeim</v>
      </c>
      <c r="D2088" t="s">
        <v>2</v>
      </c>
      <c r="E2088" t="s">
        <v>162</v>
      </c>
      <c r="F2088" t="str">
        <f>VLOOKUP(A2088,[1]Kreise!$A$1:$C$53,3,FALSE)</f>
        <v>K03155</v>
      </c>
      <c r="G2088">
        <v>4.308943089430894</v>
      </c>
    </row>
    <row r="2089" spans="1:7" x14ac:dyDescent="0.25">
      <c r="A2089">
        <v>157</v>
      </c>
      <c r="B2089">
        <v>2019</v>
      </c>
      <c r="C2089" t="str">
        <f>VLOOKUP(A2089,[2]Tabelle1!$A$1:$B$68,2,FALSE)</f>
        <v>Peine</v>
      </c>
      <c r="D2089" t="s">
        <v>2</v>
      </c>
      <c r="E2089" t="s">
        <v>162</v>
      </c>
      <c r="F2089" t="str">
        <f>VLOOKUP(A2089,[1]Kreise!$A$1:$C$53,3,FALSE)</f>
        <v>K03157</v>
      </c>
      <c r="G2089">
        <v>2.9482071713147411</v>
      </c>
    </row>
    <row r="2090" spans="1:7" x14ac:dyDescent="0.25">
      <c r="A2090">
        <v>158</v>
      </c>
      <c r="B2090">
        <v>2019</v>
      </c>
      <c r="C2090" t="str">
        <f>VLOOKUP(A2090,[2]Tabelle1!$A$1:$B$68,2,FALSE)</f>
        <v>Wolfenbüttel</v>
      </c>
      <c r="D2090" t="s">
        <v>2</v>
      </c>
      <c r="E2090" t="s">
        <v>162</v>
      </c>
      <c r="F2090" t="str">
        <f>VLOOKUP(A2090,[1]Kreise!$A$1:$C$53,3,FALSE)</f>
        <v>K03158</v>
      </c>
      <c r="G2090">
        <v>4.5406546990496306</v>
      </c>
    </row>
    <row r="2091" spans="1:7" x14ac:dyDescent="0.25">
      <c r="A2091">
        <v>159</v>
      </c>
      <c r="B2091">
        <v>2019</v>
      </c>
      <c r="C2091" t="str">
        <f>VLOOKUP(A2091,[2]Tabelle1!$A$1:$B$68,2,FALSE)</f>
        <v>Göttingen</v>
      </c>
      <c r="D2091" t="s">
        <v>2</v>
      </c>
      <c r="E2091" t="s">
        <v>162</v>
      </c>
      <c r="F2091" t="str">
        <f>VLOOKUP(A2091,[1]Kreise!$A$1:$C$53,3,FALSE)</f>
        <v>K03159</v>
      </c>
      <c r="G2091">
        <v>5.4992764109985526</v>
      </c>
    </row>
    <row r="2092" spans="1:7" x14ac:dyDescent="0.25">
      <c r="A2092">
        <v>1</v>
      </c>
      <c r="B2092">
        <v>2019</v>
      </c>
      <c r="C2092" t="str">
        <f>VLOOKUP(A2092,[2]Tabelle1!$A$1:$B$68,2,FALSE)</f>
        <v>Statistische Region Braunschweig</v>
      </c>
      <c r="D2092" t="s">
        <v>2</v>
      </c>
      <c r="E2092" t="s">
        <v>162</v>
      </c>
      <c r="F2092" t="str">
        <f>VLOOKUP(A2092,[1]Kreise!$A$1:$C$53,3,FALSE)</f>
        <v>K031</v>
      </c>
      <c r="G2092">
        <v>4.915167843879706</v>
      </c>
    </row>
    <row r="2093" spans="1:7" x14ac:dyDescent="0.25">
      <c r="A2093">
        <v>241</v>
      </c>
      <c r="B2093">
        <v>2019</v>
      </c>
      <c r="C2093" t="str">
        <f>VLOOKUP(A2093,[2]Tabelle1!$A$1:$B$68,2,FALSE)</f>
        <v>Hannover  Region</v>
      </c>
      <c r="D2093" t="s">
        <v>2</v>
      </c>
      <c r="E2093" t="s">
        <v>162</v>
      </c>
      <c r="F2093" t="str">
        <f>VLOOKUP(A2093,[1]Kreise!$A$1:$C$53,3,FALSE)</f>
        <v>K03241</v>
      </c>
      <c r="G2093">
        <v>4.05706191825172</v>
      </c>
    </row>
    <row r="2094" spans="1:7" x14ac:dyDescent="0.25">
      <c r="A2094">
        <v>241001</v>
      </c>
      <c r="B2094">
        <v>2019</v>
      </c>
      <c r="C2094" t="str">
        <f>VLOOKUP(A2094,[2]Tabelle1!$A$1:$B$68,2,FALSE)</f>
        <v>dav. Hannover  Lhst.</v>
      </c>
      <c r="D2094" t="s">
        <v>2</v>
      </c>
      <c r="E2094" t="s">
        <v>162</v>
      </c>
      <c r="F2094" t="str">
        <f>VLOOKUP(A2094,[1]Kreise!$A$1:$C$53,3,FALSE)</f>
        <v>K03241001</v>
      </c>
      <c r="G2094">
        <v>4.4396448284137264</v>
      </c>
    </row>
    <row r="2095" spans="1:7" x14ac:dyDescent="0.25">
      <c r="A2095">
        <v>241999</v>
      </c>
      <c r="B2095">
        <v>2019</v>
      </c>
      <c r="C2095" t="str">
        <f>VLOOKUP(A2095,[2]Tabelle1!$A$1:$B$68,2,FALSE)</f>
        <v>dav. Hannover  Umland</v>
      </c>
      <c r="D2095" t="s">
        <v>2</v>
      </c>
      <c r="E2095" t="s">
        <v>162</v>
      </c>
      <c r="F2095" t="str">
        <f>VLOOKUP(A2095,[1]Kreise!$A$1:$C$53,3,FALSE)</f>
        <v>K03241999</v>
      </c>
      <c r="G2095">
        <v>3.7782053524575825</v>
      </c>
    </row>
    <row r="2096" spans="1:7" x14ac:dyDescent="0.25">
      <c r="A2096">
        <v>251</v>
      </c>
      <c r="B2096">
        <v>2019</v>
      </c>
      <c r="C2096" t="str">
        <f>VLOOKUP(A2096,[2]Tabelle1!$A$1:$B$68,2,FALSE)</f>
        <v>Diepholz</v>
      </c>
      <c r="D2096" t="s">
        <v>2</v>
      </c>
      <c r="E2096" t="s">
        <v>162</v>
      </c>
      <c r="F2096" t="str">
        <f>VLOOKUP(A2096,[1]Kreise!$A$1:$C$53,3,FALSE)</f>
        <v>K03251</v>
      </c>
      <c r="G2096">
        <v>3.8040893961008084</v>
      </c>
    </row>
    <row r="2097" spans="1:7" x14ac:dyDescent="0.25">
      <c r="A2097">
        <v>252</v>
      </c>
      <c r="B2097">
        <v>2019</v>
      </c>
      <c r="C2097" t="str">
        <f>VLOOKUP(A2097,[2]Tabelle1!$A$1:$B$68,2,FALSE)</f>
        <v>Hameln-Pyrmont</v>
      </c>
      <c r="D2097" t="s">
        <v>2</v>
      </c>
      <c r="E2097" t="s">
        <v>162</v>
      </c>
      <c r="F2097" t="str">
        <f>VLOOKUP(A2097,[1]Kreise!$A$1:$C$53,3,FALSE)</f>
        <v>K03252</v>
      </c>
      <c r="G2097">
        <v>7.6167076167076173</v>
      </c>
    </row>
    <row r="2098" spans="1:7" x14ac:dyDescent="0.25">
      <c r="A2098">
        <v>254</v>
      </c>
      <c r="B2098">
        <v>2019</v>
      </c>
      <c r="C2098" t="str">
        <f>VLOOKUP(A2098,[2]Tabelle1!$A$1:$B$68,2,FALSE)</f>
        <v>Hildesheim</v>
      </c>
      <c r="D2098" t="s">
        <v>2</v>
      </c>
      <c r="E2098" t="s">
        <v>162</v>
      </c>
      <c r="F2098" t="str">
        <f>VLOOKUP(A2098,[1]Kreise!$A$1:$C$53,3,FALSE)</f>
        <v>K03254</v>
      </c>
      <c r="G2098">
        <v>5.2314640572073765</v>
      </c>
    </row>
    <row r="2099" spans="1:7" x14ac:dyDescent="0.25">
      <c r="A2099">
        <v>255</v>
      </c>
      <c r="B2099">
        <v>2019</v>
      </c>
      <c r="C2099" t="str">
        <f>VLOOKUP(A2099,[2]Tabelle1!$A$1:$B$68,2,FALSE)</f>
        <v>Holzminden</v>
      </c>
      <c r="D2099" t="s">
        <v>2</v>
      </c>
      <c r="E2099" t="s">
        <v>162</v>
      </c>
      <c r="F2099" t="str">
        <f>VLOOKUP(A2099,[1]Kreise!$A$1:$C$53,3,FALSE)</f>
        <v>K03255</v>
      </c>
      <c r="G2099">
        <v>11.642411642411643</v>
      </c>
    </row>
    <row r="2100" spans="1:7" x14ac:dyDescent="0.25">
      <c r="A2100">
        <v>256</v>
      </c>
      <c r="B2100">
        <v>2019</v>
      </c>
      <c r="C2100" t="str">
        <f>VLOOKUP(A2100,[2]Tabelle1!$A$1:$B$68,2,FALSE)</f>
        <v>Nienburg (Weser)</v>
      </c>
      <c r="D2100" t="s">
        <v>2</v>
      </c>
      <c r="E2100" t="s">
        <v>162</v>
      </c>
      <c r="F2100" t="str">
        <f>VLOOKUP(A2100,[1]Kreise!$A$1:$C$53,3,FALSE)</f>
        <v>K03256</v>
      </c>
      <c r="G2100">
        <v>5.2493438320209975</v>
      </c>
    </row>
    <row r="2101" spans="1:7" x14ac:dyDescent="0.25">
      <c r="A2101">
        <v>257</v>
      </c>
      <c r="B2101">
        <v>2019</v>
      </c>
      <c r="C2101" t="str">
        <f>VLOOKUP(A2101,[2]Tabelle1!$A$1:$B$68,2,FALSE)</f>
        <v>Schaumburg</v>
      </c>
      <c r="D2101" t="s">
        <v>2</v>
      </c>
      <c r="E2101" t="s">
        <v>162</v>
      </c>
      <c r="F2101" t="str">
        <f>VLOOKUP(A2101,[1]Kreise!$A$1:$C$53,3,FALSE)</f>
        <v>K03257</v>
      </c>
      <c r="G2101">
        <v>6.7547723935389135</v>
      </c>
    </row>
    <row r="2102" spans="1:7" x14ac:dyDescent="0.25">
      <c r="A2102">
        <v>2</v>
      </c>
      <c r="B2102">
        <v>2019</v>
      </c>
      <c r="C2102" t="str">
        <f>VLOOKUP(A2102,[2]Tabelle1!$A$1:$B$68,2,FALSE)</f>
        <v>Statistische Region Hannover</v>
      </c>
      <c r="D2102" t="s">
        <v>2</v>
      </c>
      <c r="E2102" t="s">
        <v>162</v>
      </c>
      <c r="F2102" t="str">
        <f>VLOOKUP(A2102,[1]Kreise!$A$1:$C$53,3,FALSE)</f>
        <v>K032</v>
      </c>
      <c r="G2102">
        <v>4.8856824571640765</v>
      </c>
    </row>
    <row r="2103" spans="1:7" x14ac:dyDescent="0.25">
      <c r="A2103">
        <v>351</v>
      </c>
      <c r="B2103">
        <v>2019</v>
      </c>
      <c r="C2103" t="str">
        <f>VLOOKUP(A2103,[2]Tabelle1!$A$1:$B$68,2,FALSE)</f>
        <v>Celle</v>
      </c>
      <c r="D2103" t="s">
        <v>2</v>
      </c>
      <c r="E2103" t="s">
        <v>162</v>
      </c>
      <c r="F2103" t="str">
        <f>VLOOKUP(A2103,[1]Kreise!$A$1:$C$53,3,FALSE)</f>
        <v>K03351</v>
      </c>
      <c r="G2103">
        <v>5.8088694565896315</v>
      </c>
    </row>
    <row r="2104" spans="1:7" x14ac:dyDescent="0.25">
      <c r="A2104">
        <v>352</v>
      </c>
      <c r="B2104">
        <v>2019</v>
      </c>
      <c r="C2104" t="str">
        <f>VLOOKUP(A2104,[2]Tabelle1!$A$1:$B$68,2,FALSE)</f>
        <v>Cuxhaven</v>
      </c>
      <c r="D2104" t="s">
        <v>2</v>
      </c>
      <c r="E2104" t="s">
        <v>162</v>
      </c>
      <c r="F2104" t="str">
        <f>VLOOKUP(A2104,[1]Kreise!$A$1:$C$53,3,FALSE)</f>
        <v>K03352</v>
      </c>
      <c r="G2104">
        <v>6.9586082783443315</v>
      </c>
    </row>
    <row r="2105" spans="1:7" x14ac:dyDescent="0.25">
      <c r="A2105">
        <v>353</v>
      </c>
      <c r="B2105">
        <v>2019</v>
      </c>
      <c r="C2105" t="str">
        <f>VLOOKUP(A2105,[2]Tabelle1!$A$1:$B$68,2,FALSE)</f>
        <v>Harburg</v>
      </c>
      <c r="D2105" t="s">
        <v>2</v>
      </c>
      <c r="E2105" t="s">
        <v>162</v>
      </c>
      <c r="F2105" t="str">
        <f>VLOOKUP(A2105,[1]Kreise!$A$1:$C$53,3,FALSE)</f>
        <v>K03353</v>
      </c>
      <c r="G2105">
        <v>4.3882978723404253</v>
      </c>
    </row>
    <row r="2106" spans="1:7" x14ac:dyDescent="0.25">
      <c r="A2106">
        <v>354</v>
      </c>
      <c r="B2106">
        <v>2019</v>
      </c>
      <c r="C2106" t="str">
        <f>VLOOKUP(A2106,[2]Tabelle1!$A$1:$B$68,2,FALSE)</f>
        <v>Lüchow-Dannenberg</v>
      </c>
      <c r="D2106" t="s">
        <v>2</v>
      </c>
      <c r="E2106" t="s">
        <v>162</v>
      </c>
      <c r="F2106" t="str">
        <f>VLOOKUP(A2106,[1]Kreise!$A$1:$C$53,3,FALSE)</f>
        <v>K03354</v>
      </c>
      <c r="G2106">
        <v>7.4906367041198507</v>
      </c>
    </row>
    <row r="2107" spans="1:7" x14ac:dyDescent="0.25">
      <c r="A2107">
        <v>355</v>
      </c>
      <c r="B2107">
        <v>2019</v>
      </c>
      <c r="C2107" t="str">
        <f>VLOOKUP(A2107,[2]Tabelle1!$A$1:$B$68,2,FALSE)</f>
        <v>Lüneburg</v>
      </c>
      <c r="D2107" t="s">
        <v>2</v>
      </c>
      <c r="E2107" t="s">
        <v>162</v>
      </c>
      <c r="F2107" t="str">
        <f>VLOOKUP(A2107,[1]Kreise!$A$1:$C$53,3,FALSE)</f>
        <v>K03355</v>
      </c>
      <c r="G2107">
        <v>4.6171171171171173</v>
      </c>
    </row>
    <row r="2108" spans="1:7" x14ac:dyDescent="0.25">
      <c r="A2108">
        <v>356</v>
      </c>
      <c r="B2108">
        <v>2019</v>
      </c>
      <c r="C2108" t="str">
        <f>VLOOKUP(A2108,[2]Tabelle1!$A$1:$B$68,2,FALSE)</f>
        <v>Osterholz</v>
      </c>
      <c r="D2108" t="s">
        <v>2</v>
      </c>
      <c r="E2108" t="s">
        <v>162</v>
      </c>
      <c r="F2108" t="str">
        <f>VLOOKUP(A2108,[1]Kreise!$A$1:$C$53,3,FALSE)</f>
        <v>K03356</v>
      </c>
      <c r="G2108">
        <v>3.5641547861507124</v>
      </c>
    </row>
    <row r="2109" spans="1:7" x14ac:dyDescent="0.25">
      <c r="A2109">
        <v>357</v>
      </c>
      <c r="B2109">
        <v>2019</v>
      </c>
      <c r="C2109" t="str">
        <f>VLOOKUP(A2109,[2]Tabelle1!$A$1:$B$68,2,FALSE)</f>
        <v>Rotenburg (Wümme)</v>
      </c>
      <c r="D2109" t="s">
        <v>2</v>
      </c>
      <c r="E2109" t="s">
        <v>162</v>
      </c>
      <c r="F2109" t="str">
        <f>VLOOKUP(A2109,[1]Kreise!$A$1:$C$53,3,FALSE)</f>
        <v>K03357</v>
      </c>
      <c r="G2109">
        <v>7.3844419391206308</v>
      </c>
    </row>
    <row r="2110" spans="1:7" x14ac:dyDescent="0.25">
      <c r="A2110">
        <v>358</v>
      </c>
      <c r="B2110">
        <v>2019</v>
      </c>
      <c r="C2110" t="str">
        <f>VLOOKUP(A2110,[2]Tabelle1!$A$1:$B$68,2,FALSE)</f>
        <v>Heidekreis</v>
      </c>
      <c r="D2110" t="s">
        <v>2</v>
      </c>
      <c r="E2110" t="s">
        <v>162</v>
      </c>
      <c r="F2110" t="str">
        <f>VLOOKUP(A2110,[1]Kreise!$A$1:$C$53,3,FALSE)</f>
        <v>K03358</v>
      </c>
      <c r="G2110">
        <v>5.3136531365313653</v>
      </c>
    </row>
    <row r="2111" spans="1:7" x14ac:dyDescent="0.25">
      <c r="A2111">
        <v>359</v>
      </c>
      <c r="B2111">
        <v>2019</v>
      </c>
      <c r="C2111" t="str">
        <f>VLOOKUP(A2111,[2]Tabelle1!$A$1:$B$68,2,FALSE)</f>
        <v>Stade</v>
      </c>
      <c r="D2111" t="s">
        <v>2</v>
      </c>
      <c r="E2111" t="s">
        <v>162</v>
      </c>
      <c r="F2111" t="str">
        <f>VLOOKUP(A2111,[1]Kreise!$A$1:$C$53,3,FALSE)</f>
        <v>K03359</v>
      </c>
      <c r="G2111">
        <v>5.22128294380905</v>
      </c>
    </row>
    <row r="2112" spans="1:7" x14ac:dyDescent="0.25">
      <c r="A2112">
        <v>360</v>
      </c>
      <c r="B2112">
        <v>2019</v>
      </c>
      <c r="C2112" t="str">
        <f>VLOOKUP(A2112,[2]Tabelle1!$A$1:$B$68,2,FALSE)</f>
        <v>Uelzen</v>
      </c>
      <c r="D2112" t="s">
        <v>2</v>
      </c>
      <c r="E2112" t="s">
        <v>162</v>
      </c>
      <c r="F2112" t="str">
        <f>VLOOKUP(A2112,[1]Kreise!$A$1:$C$53,3,FALSE)</f>
        <v>K03360</v>
      </c>
      <c r="G2112">
        <v>8.6538461538461533</v>
      </c>
    </row>
    <row r="2113" spans="1:7" x14ac:dyDescent="0.25">
      <c r="A2113">
        <v>361</v>
      </c>
      <c r="B2113">
        <v>2019</v>
      </c>
      <c r="C2113" t="str">
        <f>VLOOKUP(A2113,[2]Tabelle1!$A$1:$B$68,2,FALSE)</f>
        <v>Verden</v>
      </c>
      <c r="D2113" t="s">
        <v>2</v>
      </c>
      <c r="E2113" t="s">
        <v>162</v>
      </c>
      <c r="F2113" t="str">
        <f>VLOOKUP(A2113,[1]Kreise!$A$1:$C$53,3,FALSE)</f>
        <v>K03361</v>
      </c>
      <c r="G2113">
        <v>4.1888804265041886</v>
      </c>
    </row>
    <row r="2114" spans="1:7" x14ac:dyDescent="0.25">
      <c r="A2114">
        <v>3</v>
      </c>
      <c r="B2114">
        <v>2019</v>
      </c>
      <c r="C2114" t="str">
        <f>VLOOKUP(A2114,[2]Tabelle1!$A$1:$B$68,2,FALSE)</f>
        <v>Statistische Region Lüneburg</v>
      </c>
      <c r="D2114" t="s">
        <v>2</v>
      </c>
      <c r="E2114" t="s">
        <v>162</v>
      </c>
      <c r="F2114" t="str">
        <f>VLOOKUP(A2114,[1]Kreise!$A$1:$C$53,3,FALSE)</f>
        <v>K033</v>
      </c>
      <c r="G2114">
        <v>5.5897149245388489</v>
      </c>
    </row>
    <row r="2115" spans="1:7" x14ac:dyDescent="0.25">
      <c r="A2115">
        <v>401</v>
      </c>
      <c r="B2115">
        <v>2019</v>
      </c>
      <c r="C2115" t="str">
        <f>VLOOKUP(A2115,[2]Tabelle1!$A$1:$B$68,2,FALSE)</f>
        <v>Delmenhorst  Stadt</v>
      </c>
      <c r="D2115" t="s">
        <v>2</v>
      </c>
      <c r="E2115" t="s">
        <v>162</v>
      </c>
      <c r="F2115" t="str">
        <f>VLOOKUP(A2115,[1]Kreise!$A$1:$C$53,3,FALSE)</f>
        <v>K03401</v>
      </c>
      <c r="G2115">
        <v>6.2780269058295968</v>
      </c>
    </row>
    <row r="2116" spans="1:7" x14ac:dyDescent="0.25">
      <c r="A2116">
        <v>402</v>
      </c>
      <c r="B2116">
        <v>2019</v>
      </c>
      <c r="C2116" t="str">
        <f>VLOOKUP(A2116,[2]Tabelle1!$A$1:$B$68,2,FALSE)</f>
        <v>Emden  Stadt</v>
      </c>
      <c r="D2116" t="s">
        <v>2</v>
      </c>
      <c r="E2116" t="s">
        <v>162</v>
      </c>
      <c r="F2116" t="str">
        <f>VLOOKUP(A2116,[1]Kreise!$A$1:$C$53,3,FALSE)</f>
        <v>K03402</v>
      </c>
      <c r="G2116">
        <v>6.9915254237288131</v>
      </c>
    </row>
    <row r="2117" spans="1:7" x14ac:dyDescent="0.25">
      <c r="A2117">
        <v>403</v>
      </c>
      <c r="B2117">
        <v>2019</v>
      </c>
      <c r="C2117" t="str">
        <f>VLOOKUP(A2117,[2]Tabelle1!$A$1:$B$68,2,FALSE)</f>
        <v>Oldenburg(Oldb)  Stadt</v>
      </c>
      <c r="D2117" t="s">
        <v>2</v>
      </c>
      <c r="E2117" t="s">
        <v>162</v>
      </c>
      <c r="F2117" t="str">
        <f>VLOOKUP(A2117,[1]Kreise!$A$1:$C$53,3,FALSE)</f>
        <v>K03403</v>
      </c>
      <c r="G2117">
        <v>3.4427966101694913</v>
      </c>
    </row>
    <row r="2118" spans="1:7" x14ac:dyDescent="0.25">
      <c r="A2118">
        <v>404</v>
      </c>
      <c r="B2118">
        <v>2019</v>
      </c>
      <c r="C2118" t="str">
        <f>VLOOKUP(A2118,[2]Tabelle1!$A$1:$B$68,2,FALSE)</f>
        <v>Osnabrück  Stadt</v>
      </c>
      <c r="D2118" t="s">
        <v>2</v>
      </c>
      <c r="E2118" t="s">
        <v>162</v>
      </c>
      <c r="F2118" t="str">
        <f>VLOOKUP(A2118,[1]Kreise!$A$1:$C$53,3,FALSE)</f>
        <v>K03404</v>
      </c>
      <c r="G2118">
        <v>3.5468501852832186</v>
      </c>
    </row>
    <row r="2119" spans="1:7" x14ac:dyDescent="0.25">
      <c r="A2119">
        <v>405</v>
      </c>
      <c r="B2119">
        <v>2019</v>
      </c>
      <c r="C2119" t="str">
        <f>VLOOKUP(A2119,[2]Tabelle1!$A$1:$B$68,2,FALSE)</f>
        <v>Wilhelmshaven  Stadt</v>
      </c>
      <c r="D2119" t="s">
        <v>2</v>
      </c>
      <c r="E2119" t="s">
        <v>162</v>
      </c>
      <c r="F2119" t="str">
        <f>VLOOKUP(A2119,[1]Kreise!$A$1:$C$53,3,FALSE)</f>
        <v>K03405</v>
      </c>
      <c r="G2119">
        <v>5.8407079646017701</v>
      </c>
    </row>
    <row r="2120" spans="1:7" x14ac:dyDescent="0.25">
      <c r="A2120">
        <v>451</v>
      </c>
      <c r="B2120">
        <v>2019</v>
      </c>
      <c r="C2120" t="str">
        <f>VLOOKUP(A2120,[2]Tabelle1!$A$1:$B$68,2,FALSE)</f>
        <v>Ammerland</v>
      </c>
      <c r="D2120" t="s">
        <v>2</v>
      </c>
      <c r="E2120" t="s">
        <v>162</v>
      </c>
      <c r="F2120" t="str">
        <f>VLOOKUP(A2120,[1]Kreise!$A$1:$C$53,3,FALSE)</f>
        <v>K03451</v>
      </c>
      <c r="G2120">
        <v>7.4373484236054974</v>
      </c>
    </row>
    <row r="2121" spans="1:7" x14ac:dyDescent="0.25">
      <c r="A2121">
        <v>452</v>
      </c>
      <c r="B2121">
        <v>2019</v>
      </c>
      <c r="C2121" t="str">
        <f>VLOOKUP(A2121,[2]Tabelle1!$A$1:$B$68,2,FALSE)</f>
        <v>Aurich</v>
      </c>
      <c r="D2121" t="s">
        <v>2</v>
      </c>
      <c r="E2121" t="s">
        <v>162</v>
      </c>
      <c r="F2121" t="str">
        <f>VLOOKUP(A2121,[1]Kreise!$A$1:$C$53,3,FALSE)</f>
        <v>K03452</v>
      </c>
      <c r="G2121">
        <v>8.2133333333333329</v>
      </c>
    </row>
    <row r="2122" spans="1:7" x14ac:dyDescent="0.25">
      <c r="A2122">
        <v>453</v>
      </c>
      <c r="B2122">
        <v>2019</v>
      </c>
      <c r="C2122" t="str">
        <f>VLOOKUP(A2122,[2]Tabelle1!$A$1:$B$68,2,FALSE)</f>
        <v>Cloppenburg</v>
      </c>
      <c r="D2122" t="s">
        <v>2</v>
      </c>
      <c r="E2122" t="s">
        <v>162</v>
      </c>
      <c r="F2122" t="str">
        <f>VLOOKUP(A2122,[1]Kreise!$A$1:$C$53,3,FALSE)</f>
        <v>K03453</v>
      </c>
      <c r="G2122">
        <v>7.5038284839203673</v>
      </c>
    </row>
    <row r="2123" spans="1:7" x14ac:dyDescent="0.25">
      <c r="A2123">
        <v>454</v>
      </c>
      <c r="B2123">
        <v>2019</v>
      </c>
      <c r="C2123" t="str">
        <f>VLOOKUP(A2123,[2]Tabelle1!$A$1:$B$68,2,FALSE)</f>
        <v>Emsland</v>
      </c>
      <c r="D2123" t="s">
        <v>2</v>
      </c>
      <c r="E2123" t="s">
        <v>162</v>
      </c>
      <c r="F2123" t="str">
        <f>VLOOKUP(A2123,[1]Kreise!$A$1:$C$53,3,FALSE)</f>
        <v>K03454</v>
      </c>
      <c r="G2123">
        <v>5.8577405857740583</v>
      </c>
    </row>
    <row r="2124" spans="1:7" x14ac:dyDescent="0.25">
      <c r="A2124">
        <v>455</v>
      </c>
      <c r="B2124">
        <v>2019</v>
      </c>
      <c r="C2124" t="str">
        <f>VLOOKUP(A2124,[2]Tabelle1!$A$1:$B$68,2,FALSE)</f>
        <v>Friesland</v>
      </c>
      <c r="D2124" t="s">
        <v>2</v>
      </c>
      <c r="E2124" t="s">
        <v>162</v>
      </c>
      <c r="F2124" t="str">
        <f>VLOOKUP(A2124,[1]Kreise!$A$1:$C$53,3,FALSE)</f>
        <v>K03455</v>
      </c>
      <c r="G2124">
        <v>7.7658303464755081</v>
      </c>
    </row>
    <row r="2125" spans="1:7" x14ac:dyDescent="0.25">
      <c r="A2125">
        <v>456</v>
      </c>
      <c r="B2125">
        <v>2019</v>
      </c>
      <c r="C2125" t="str">
        <f>VLOOKUP(A2125,[2]Tabelle1!$A$1:$B$68,2,FALSE)</f>
        <v>Grafschaft Bentheim</v>
      </c>
      <c r="D2125" t="s">
        <v>2</v>
      </c>
      <c r="E2125" t="s">
        <v>162</v>
      </c>
      <c r="F2125" t="str">
        <f>VLOOKUP(A2125,[1]Kreise!$A$1:$C$53,3,FALSE)</f>
        <v>K03456</v>
      </c>
      <c r="G2125">
        <v>5.3019145802650955</v>
      </c>
    </row>
    <row r="2126" spans="1:7" x14ac:dyDescent="0.25">
      <c r="A2126">
        <v>457</v>
      </c>
      <c r="B2126">
        <v>2019</v>
      </c>
      <c r="C2126" t="str">
        <f>VLOOKUP(A2126,[2]Tabelle1!$A$1:$B$68,2,FALSE)</f>
        <v>Leer</v>
      </c>
      <c r="D2126" t="s">
        <v>2</v>
      </c>
      <c r="E2126" t="s">
        <v>162</v>
      </c>
      <c r="F2126" t="str">
        <f>VLOOKUP(A2126,[1]Kreise!$A$1:$C$53,3,FALSE)</f>
        <v>K03457</v>
      </c>
      <c r="G2126">
        <v>6.102117061021171</v>
      </c>
    </row>
    <row r="2127" spans="1:7" x14ac:dyDescent="0.25">
      <c r="A2127">
        <v>458</v>
      </c>
      <c r="B2127">
        <v>2019</v>
      </c>
      <c r="C2127" t="str">
        <f>VLOOKUP(A2127,[2]Tabelle1!$A$1:$B$68,2,FALSE)</f>
        <v>Oldenburg</v>
      </c>
      <c r="D2127" t="s">
        <v>2</v>
      </c>
      <c r="E2127" t="s">
        <v>162</v>
      </c>
      <c r="F2127" t="str">
        <f>VLOOKUP(A2127,[1]Kreise!$A$1:$C$53,3,FALSE)</f>
        <v>K03458</v>
      </c>
      <c r="G2127">
        <v>4.0350877192982457</v>
      </c>
    </row>
    <row r="2128" spans="1:7" x14ac:dyDescent="0.25">
      <c r="A2128">
        <v>459</v>
      </c>
      <c r="B2128">
        <v>2019</v>
      </c>
      <c r="C2128" t="str">
        <f>VLOOKUP(A2128,[2]Tabelle1!$A$1:$B$68,2,FALSE)</f>
        <v>Osnabrück</v>
      </c>
      <c r="D2128" t="s">
        <v>2</v>
      </c>
      <c r="E2128" t="s">
        <v>162</v>
      </c>
      <c r="F2128" t="str">
        <f>VLOOKUP(A2128,[1]Kreise!$A$1:$C$53,3,FALSE)</f>
        <v>K03459</v>
      </c>
      <c r="G2128">
        <v>5.0217609641781049</v>
      </c>
    </row>
    <row r="2129" spans="1:7" x14ac:dyDescent="0.25">
      <c r="A2129">
        <v>460</v>
      </c>
      <c r="B2129">
        <v>2019</v>
      </c>
      <c r="C2129" t="str">
        <f>VLOOKUP(A2129,[2]Tabelle1!$A$1:$B$68,2,FALSE)</f>
        <v>Vechta</v>
      </c>
      <c r="D2129" t="s">
        <v>2</v>
      </c>
      <c r="E2129" t="s">
        <v>162</v>
      </c>
      <c r="F2129" t="str">
        <f>VLOOKUP(A2129,[1]Kreise!$A$1:$C$53,3,FALSE)</f>
        <v>K03460</v>
      </c>
      <c r="G2129">
        <v>5.5764411027568919</v>
      </c>
    </row>
    <row r="2130" spans="1:7" x14ac:dyDescent="0.25">
      <c r="A2130">
        <v>461</v>
      </c>
      <c r="B2130">
        <v>2019</v>
      </c>
      <c r="C2130" t="str">
        <f>VLOOKUP(A2130,[2]Tabelle1!$A$1:$B$68,2,FALSE)</f>
        <v>Wesermarsch</v>
      </c>
      <c r="D2130" t="s">
        <v>2</v>
      </c>
      <c r="E2130" t="s">
        <v>162</v>
      </c>
      <c r="F2130" t="str">
        <f>VLOOKUP(A2130,[1]Kreise!$A$1:$C$53,3,FALSE)</f>
        <v>K03461</v>
      </c>
      <c r="G2130">
        <v>4.2105263157894735</v>
      </c>
    </row>
    <row r="2131" spans="1:7" x14ac:dyDescent="0.25">
      <c r="A2131">
        <v>462</v>
      </c>
      <c r="B2131">
        <v>2019</v>
      </c>
      <c r="C2131" t="str">
        <f>VLOOKUP(A2131,[2]Tabelle1!$A$1:$B$68,2,FALSE)</f>
        <v>Wittmund</v>
      </c>
      <c r="D2131" t="s">
        <v>2</v>
      </c>
      <c r="E2131" t="s">
        <v>162</v>
      </c>
      <c r="F2131" t="str">
        <f>VLOOKUP(A2131,[1]Kreise!$A$1:$C$53,3,FALSE)</f>
        <v>K03462</v>
      </c>
      <c r="G2131">
        <v>4.134762633996937</v>
      </c>
    </row>
    <row r="2132" spans="1:7" x14ac:dyDescent="0.25">
      <c r="A2132">
        <v>4</v>
      </c>
      <c r="B2132">
        <v>2019</v>
      </c>
      <c r="C2132" t="str">
        <f>VLOOKUP(A2132,[2]Tabelle1!$A$1:$B$68,2,FALSE)</f>
        <v>Statistische Region Weser-Ems</v>
      </c>
      <c r="D2132" t="s">
        <v>2</v>
      </c>
      <c r="E2132" t="s">
        <v>162</v>
      </c>
      <c r="F2132" t="str">
        <f>VLOOKUP(A2132,[1]Kreise!$A$1:$C$53,3,FALSE)</f>
        <v>K034</v>
      </c>
      <c r="G2132">
        <v>5.6634044601315576</v>
      </c>
    </row>
    <row r="2133" spans="1:7" x14ac:dyDescent="0.25">
      <c r="A2133">
        <v>0</v>
      </c>
      <c r="B2133">
        <v>2019</v>
      </c>
      <c r="C2133" t="str">
        <f>VLOOKUP(A2133,[2]Tabelle1!$A$1:$B$68,2,FALSE)</f>
        <v>Niedersachsen</v>
      </c>
      <c r="D2133" t="s">
        <v>2</v>
      </c>
      <c r="E2133" t="s">
        <v>162</v>
      </c>
      <c r="F2133" t="str">
        <f>VLOOKUP(A2133,[1]Kreise!$A$1:$C$53,3,FALSE)</f>
        <v>K030</v>
      </c>
      <c r="G2133">
        <v>5.3085564475596669</v>
      </c>
    </row>
    <row r="2134" spans="1:7" x14ac:dyDescent="0.25">
      <c r="A2134">
        <v>101</v>
      </c>
      <c r="B2134">
        <v>2019</v>
      </c>
      <c r="C2134" t="str">
        <f>VLOOKUP(A2134,[2]Tabelle1!$A$1:$B$68,2,FALSE)</f>
        <v>Braunschweig  Stadt</v>
      </c>
      <c r="D2134" t="s">
        <v>3</v>
      </c>
      <c r="E2134" t="s">
        <v>162</v>
      </c>
      <c r="F2134" t="str">
        <f>VLOOKUP(A2134,[1]Kreise!$A$1:$C$53,3,FALSE)</f>
        <v>K03101</v>
      </c>
      <c r="G2134">
        <v>17.419354838709676</v>
      </c>
    </row>
    <row r="2135" spans="1:7" x14ac:dyDescent="0.25">
      <c r="A2135">
        <v>102</v>
      </c>
      <c r="B2135">
        <v>2019</v>
      </c>
      <c r="C2135" t="str">
        <f>VLOOKUP(A2135,[2]Tabelle1!$A$1:$B$68,2,FALSE)</f>
        <v>Salzgitter  Stadt</v>
      </c>
      <c r="D2135" t="s">
        <v>3</v>
      </c>
      <c r="E2135" t="s">
        <v>162</v>
      </c>
      <c r="F2135" t="str">
        <f>VLOOKUP(A2135,[1]Kreise!$A$1:$C$53,3,FALSE)</f>
        <v>K03102</v>
      </c>
      <c r="G2135">
        <v>14.414414414414415</v>
      </c>
    </row>
    <row r="2136" spans="1:7" x14ac:dyDescent="0.25">
      <c r="A2136">
        <v>103</v>
      </c>
      <c r="B2136">
        <v>2019</v>
      </c>
      <c r="C2136" t="str">
        <f>VLOOKUP(A2136,[2]Tabelle1!$A$1:$B$68,2,FALSE)</f>
        <v>Wolfsburg  Stadt</v>
      </c>
      <c r="D2136" t="s">
        <v>3</v>
      </c>
      <c r="E2136" t="s">
        <v>162</v>
      </c>
      <c r="F2136" t="str">
        <f>VLOOKUP(A2136,[1]Kreise!$A$1:$C$53,3,FALSE)</f>
        <v>K03103</v>
      </c>
      <c r="G2136">
        <v>15.508021390374333</v>
      </c>
    </row>
    <row r="2137" spans="1:7" x14ac:dyDescent="0.25">
      <c r="A2137">
        <v>151</v>
      </c>
      <c r="B2137">
        <v>2019</v>
      </c>
      <c r="C2137" t="str">
        <f>VLOOKUP(A2137,[2]Tabelle1!$A$1:$B$68,2,FALSE)</f>
        <v>Gifhorn</v>
      </c>
      <c r="D2137" t="s">
        <v>3</v>
      </c>
      <c r="E2137" t="s">
        <v>162</v>
      </c>
      <c r="F2137" t="str">
        <f>VLOOKUP(A2137,[1]Kreise!$A$1:$C$53,3,FALSE)</f>
        <v>K03151</v>
      </c>
      <c r="G2137">
        <v>10.526315789473683</v>
      </c>
    </row>
    <row r="2138" spans="1:7" x14ac:dyDescent="0.25">
      <c r="A2138">
        <v>153</v>
      </c>
      <c r="B2138">
        <v>2019</v>
      </c>
      <c r="C2138" t="str">
        <f>VLOOKUP(A2138,[2]Tabelle1!$A$1:$B$68,2,FALSE)</f>
        <v>Goslar</v>
      </c>
      <c r="D2138" t="s">
        <v>3</v>
      </c>
      <c r="E2138" t="s">
        <v>162</v>
      </c>
      <c r="F2138" t="str">
        <f>VLOOKUP(A2138,[1]Kreise!$A$1:$C$53,3,FALSE)</f>
        <v>K03153</v>
      </c>
      <c r="G2138">
        <v>18.367346938775512</v>
      </c>
    </row>
    <row r="2139" spans="1:7" x14ac:dyDescent="0.25">
      <c r="A2139">
        <v>154</v>
      </c>
      <c r="B2139">
        <v>2019</v>
      </c>
      <c r="C2139" t="str">
        <f>VLOOKUP(A2139,[2]Tabelle1!$A$1:$B$68,2,FALSE)</f>
        <v>Helmstedt</v>
      </c>
      <c r="D2139" t="s">
        <v>3</v>
      </c>
      <c r="E2139" t="s">
        <v>162</v>
      </c>
      <c r="F2139" t="str">
        <f>VLOOKUP(A2139,[1]Kreise!$A$1:$C$53,3,FALSE)</f>
        <v>K03154</v>
      </c>
      <c r="G2139">
        <v>20.37037037037037</v>
      </c>
    </row>
    <row r="2140" spans="1:7" x14ac:dyDescent="0.25">
      <c r="A2140">
        <v>155</v>
      </c>
      <c r="B2140">
        <v>2019</v>
      </c>
      <c r="C2140" t="str">
        <f>VLOOKUP(A2140,[2]Tabelle1!$A$1:$B$68,2,FALSE)</f>
        <v>Northeim</v>
      </c>
      <c r="D2140" t="s">
        <v>3</v>
      </c>
      <c r="E2140" t="s">
        <v>162</v>
      </c>
      <c r="F2140" t="str">
        <f>VLOOKUP(A2140,[1]Kreise!$A$1:$C$53,3,FALSE)</f>
        <v>K03155</v>
      </c>
      <c r="G2140">
        <v>20.253164556962027</v>
      </c>
    </row>
    <row r="2141" spans="1:7" x14ac:dyDescent="0.25">
      <c r="A2141">
        <v>157</v>
      </c>
      <c r="B2141">
        <v>2019</v>
      </c>
      <c r="C2141" t="str">
        <f>VLOOKUP(A2141,[2]Tabelle1!$A$1:$B$68,2,FALSE)</f>
        <v>Peine</v>
      </c>
      <c r="D2141" t="s">
        <v>3</v>
      </c>
      <c r="E2141" t="s">
        <v>162</v>
      </c>
      <c r="F2141" t="str">
        <f>VLOOKUP(A2141,[1]Kreise!$A$1:$C$53,3,FALSE)</f>
        <v>K03157</v>
      </c>
      <c r="G2141">
        <v>17.82178217821782</v>
      </c>
    </row>
    <row r="2142" spans="1:7" x14ac:dyDescent="0.25">
      <c r="A2142">
        <v>158</v>
      </c>
      <c r="B2142">
        <v>2019</v>
      </c>
      <c r="C2142" t="str">
        <f>VLOOKUP(A2142,[2]Tabelle1!$A$1:$B$68,2,FALSE)</f>
        <v>Wolfenbüttel</v>
      </c>
      <c r="D2142" t="s">
        <v>3</v>
      </c>
      <c r="E2142" t="s">
        <v>162</v>
      </c>
      <c r="F2142" t="str">
        <f>VLOOKUP(A2142,[1]Kreise!$A$1:$C$53,3,FALSE)</f>
        <v>K03158</v>
      </c>
      <c r="G2142">
        <v>27.419354838709676</v>
      </c>
    </row>
    <row r="2143" spans="1:7" x14ac:dyDescent="0.25">
      <c r="A2143">
        <v>159</v>
      </c>
      <c r="B2143">
        <v>2019</v>
      </c>
      <c r="C2143" t="str">
        <f>VLOOKUP(A2143,[2]Tabelle1!$A$1:$B$68,2,FALSE)</f>
        <v>Göttingen</v>
      </c>
      <c r="D2143" t="s">
        <v>3</v>
      </c>
      <c r="E2143" t="s">
        <v>162</v>
      </c>
      <c r="F2143" t="str">
        <f>VLOOKUP(A2143,[1]Kreise!$A$1:$C$53,3,FALSE)</f>
        <v>K03159</v>
      </c>
      <c r="G2143">
        <v>25.957446808510635</v>
      </c>
    </row>
    <row r="2144" spans="1:7" x14ac:dyDescent="0.25">
      <c r="A2144">
        <v>1</v>
      </c>
      <c r="B2144">
        <v>2019</v>
      </c>
      <c r="C2144" t="str">
        <f>VLOOKUP(A2144,[2]Tabelle1!$A$1:$B$68,2,FALSE)</f>
        <v>Statistische Region Braunschweig</v>
      </c>
      <c r="D2144" t="s">
        <v>3</v>
      </c>
      <c r="E2144" t="s">
        <v>162</v>
      </c>
      <c r="F2144" t="str">
        <f>VLOOKUP(A2144,[1]Kreise!$A$1:$C$53,3,FALSE)</f>
        <v>K031</v>
      </c>
      <c r="G2144">
        <v>18.67612293144208</v>
      </c>
    </row>
    <row r="2145" spans="1:7" x14ac:dyDescent="0.25">
      <c r="A2145">
        <v>241</v>
      </c>
      <c r="B2145">
        <v>2019</v>
      </c>
      <c r="C2145" t="str">
        <f>VLOOKUP(A2145,[2]Tabelle1!$A$1:$B$68,2,FALSE)</f>
        <v>Hannover  Region</v>
      </c>
      <c r="D2145" t="s">
        <v>3</v>
      </c>
      <c r="E2145" t="s">
        <v>162</v>
      </c>
      <c r="F2145" t="str">
        <f>VLOOKUP(A2145,[1]Kreise!$A$1:$C$53,3,FALSE)</f>
        <v>K03241</v>
      </c>
      <c r="G2145">
        <v>19.755911517925249</v>
      </c>
    </row>
    <row r="2146" spans="1:7" x14ac:dyDescent="0.25">
      <c r="A2146">
        <v>241001</v>
      </c>
      <c r="B2146">
        <v>2019</v>
      </c>
      <c r="C2146" t="str">
        <f>VLOOKUP(A2146,[2]Tabelle1!$A$1:$B$68,2,FALSE)</f>
        <v>dav. Hannover  Lhst.</v>
      </c>
      <c r="D2146" t="s">
        <v>3</v>
      </c>
      <c r="E2146" t="s">
        <v>162</v>
      </c>
      <c r="F2146" t="str">
        <f>VLOOKUP(A2146,[1]Kreise!$A$1:$C$53,3,FALSE)</f>
        <v>K03241001</v>
      </c>
      <c r="G2146">
        <v>21.159874608150471</v>
      </c>
    </row>
    <row r="2147" spans="1:7" x14ac:dyDescent="0.25">
      <c r="A2147">
        <v>241999</v>
      </c>
      <c r="B2147">
        <v>2019</v>
      </c>
      <c r="C2147" t="str">
        <f>VLOOKUP(A2147,[2]Tabelle1!$A$1:$B$68,2,FALSE)</f>
        <v>dav. Hannover  Umland</v>
      </c>
      <c r="D2147" t="s">
        <v>3</v>
      </c>
      <c r="E2147" t="s">
        <v>162</v>
      </c>
      <c r="F2147" t="str">
        <f>VLOOKUP(A2147,[1]Kreise!$A$1:$C$53,3,FALSE)</f>
        <v>K03241999</v>
      </c>
      <c r="G2147">
        <v>18.424962852897476</v>
      </c>
    </row>
    <row r="2148" spans="1:7" x14ac:dyDescent="0.25">
      <c r="A2148">
        <v>251</v>
      </c>
      <c r="B2148">
        <v>2019</v>
      </c>
      <c r="C2148" t="str">
        <f>VLOOKUP(A2148,[2]Tabelle1!$A$1:$B$68,2,FALSE)</f>
        <v>Diepholz</v>
      </c>
      <c r="D2148" t="s">
        <v>3</v>
      </c>
      <c r="E2148" t="s">
        <v>162</v>
      </c>
      <c r="F2148" t="str">
        <f>VLOOKUP(A2148,[1]Kreise!$A$1:$C$53,3,FALSE)</f>
        <v>K03251</v>
      </c>
      <c r="G2148">
        <v>28.666666666666668</v>
      </c>
    </row>
    <row r="2149" spans="1:7" x14ac:dyDescent="0.25">
      <c r="A2149">
        <v>252</v>
      </c>
      <c r="B2149">
        <v>2019</v>
      </c>
      <c r="C2149" t="str">
        <f>VLOOKUP(A2149,[2]Tabelle1!$A$1:$B$68,2,FALSE)</f>
        <v>Hameln-Pyrmont</v>
      </c>
      <c r="D2149" t="s">
        <v>3</v>
      </c>
      <c r="E2149" t="s">
        <v>162</v>
      </c>
      <c r="F2149" t="str">
        <f>VLOOKUP(A2149,[1]Kreise!$A$1:$C$53,3,FALSE)</f>
        <v>K03252</v>
      </c>
      <c r="G2149">
        <v>31.578947368421051</v>
      </c>
    </row>
    <row r="2150" spans="1:7" x14ac:dyDescent="0.25">
      <c r="A2150">
        <v>254</v>
      </c>
      <c r="B2150">
        <v>2019</v>
      </c>
      <c r="C2150" t="str">
        <f>VLOOKUP(A2150,[2]Tabelle1!$A$1:$B$68,2,FALSE)</f>
        <v>Hildesheim</v>
      </c>
      <c r="D2150" t="s">
        <v>3</v>
      </c>
      <c r="E2150" t="s">
        <v>162</v>
      </c>
      <c r="F2150" t="str">
        <f>VLOOKUP(A2150,[1]Kreise!$A$1:$C$53,3,FALSE)</f>
        <v>K03254</v>
      </c>
      <c r="G2150">
        <v>27.480916030534353</v>
      </c>
    </row>
    <row r="2151" spans="1:7" x14ac:dyDescent="0.25">
      <c r="A2151">
        <v>255</v>
      </c>
      <c r="B2151">
        <v>2019</v>
      </c>
      <c r="C2151" t="str">
        <f>VLOOKUP(A2151,[2]Tabelle1!$A$1:$B$68,2,FALSE)</f>
        <v>Holzminden</v>
      </c>
      <c r="D2151" t="s">
        <v>3</v>
      </c>
      <c r="E2151" t="s">
        <v>162</v>
      </c>
      <c r="F2151" t="str">
        <f>VLOOKUP(A2151,[1]Kreise!$A$1:$C$53,3,FALSE)</f>
        <v>K03255</v>
      </c>
      <c r="G2151">
        <v>20.588235294117645</v>
      </c>
    </row>
    <row r="2152" spans="1:7" x14ac:dyDescent="0.25">
      <c r="A2152">
        <v>256</v>
      </c>
      <c r="B2152">
        <v>2019</v>
      </c>
      <c r="C2152" t="str">
        <f>VLOOKUP(A2152,[2]Tabelle1!$A$1:$B$68,2,FALSE)</f>
        <v>Nienburg (Weser)</v>
      </c>
      <c r="D2152" t="s">
        <v>3</v>
      </c>
      <c r="E2152" t="s">
        <v>162</v>
      </c>
      <c r="F2152" t="str">
        <f>VLOOKUP(A2152,[1]Kreise!$A$1:$C$53,3,FALSE)</f>
        <v>K03256</v>
      </c>
      <c r="G2152">
        <v>20.161290322580644</v>
      </c>
    </row>
    <row r="2153" spans="1:7" x14ac:dyDescent="0.25">
      <c r="A2153">
        <v>257</v>
      </c>
      <c r="B2153">
        <v>2019</v>
      </c>
      <c r="C2153" t="str">
        <f>VLOOKUP(A2153,[2]Tabelle1!$A$1:$B$68,2,FALSE)</f>
        <v>Schaumburg</v>
      </c>
      <c r="D2153" t="s">
        <v>3</v>
      </c>
      <c r="E2153" t="s">
        <v>162</v>
      </c>
      <c r="F2153" t="str">
        <f>VLOOKUP(A2153,[1]Kreise!$A$1:$C$53,3,FALSE)</f>
        <v>K03257</v>
      </c>
      <c r="G2153">
        <v>22.900763358778626</v>
      </c>
    </row>
    <row r="2154" spans="1:7" x14ac:dyDescent="0.25">
      <c r="A2154">
        <v>2</v>
      </c>
      <c r="B2154">
        <v>2019</v>
      </c>
      <c r="C2154" t="str">
        <f>VLOOKUP(A2154,[2]Tabelle1!$A$1:$B$68,2,FALSE)</f>
        <v>Statistische Region Hannover</v>
      </c>
      <c r="D2154" t="s">
        <v>3</v>
      </c>
      <c r="E2154" t="s">
        <v>162</v>
      </c>
      <c r="F2154" t="str">
        <f>VLOOKUP(A2154,[1]Kreise!$A$1:$C$53,3,FALSE)</f>
        <v>K032</v>
      </c>
      <c r="G2154">
        <v>22.44617498854787</v>
      </c>
    </row>
    <row r="2155" spans="1:7" x14ac:dyDescent="0.25">
      <c r="A2155">
        <v>351</v>
      </c>
      <c r="B2155">
        <v>2019</v>
      </c>
      <c r="C2155" t="str">
        <f>VLOOKUP(A2155,[2]Tabelle1!$A$1:$B$68,2,FALSE)</f>
        <v>Celle</v>
      </c>
      <c r="D2155" t="s">
        <v>3</v>
      </c>
      <c r="E2155" t="s">
        <v>162</v>
      </c>
      <c r="F2155" t="str">
        <f>VLOOKUP(A2155,[1]Kreise!$A$1:$C$53,3,FALSE)</f>
        <v>K03351</v>
      </c>
      <c r="G2155">
        <v>24.793388429752067</v>
      </c>
    </row>
    <row r="2156" spans="1:7" x14ac:dyDescent="0.25">
      <c r="A2156">
        <v>352</v>
      </c>
      <c r="B2156">
        <v>2019</v>
      </c>
      <c r="C2156" t="str">
        <f>VLOOKUP(A2156,[2]Tabelle1!$A$1:$B$68,2,FALSE)</f>
        <v>Cuxhaven</v>
      </c>
      <c r="D2156" t="s">
        <v>3</v>
      </c>
      <c r="E2156" t="s">
        <v>162</v>
      </c>
      <c r="F2156" t="str">
        <f>VLOOKUP(A2156,[1]Kreise!$A$1:$C$53,3,FALSE)</f>
        <v>K03352</v>
      </c>
      <c r="G2156">
        <v>27.34375</v>
      </c>
    </row>
    <row r="2157" spans="1:7" x14ac:dyDescent="0.25">
      <c r="A2157">
        <v>353</v>
      </c>
      <c r="B2157">
        <v>2019</v>
      </c>
      <c r="C2157" t="str">
        <f>VLOOKUP(A2157,[2]Tabelle1!$A$1:$B$68,2,FALSE)</f>
        <v>Harburg</v>
      </c>
      <c r="D2157" t="s">
        <v>3</v>
      </c>
      <c r="E2157" t="s">
        <v>162</v>
      </c>
      <c r="F2157" t="str">
        <f>VLOOKUP(A2157,[1]Kreise!$A$1:$C$53,3,FALSE)</f>
        <v>K03353</v>
      </c>
      <c r="G2157">
        <v>18.103448275862068</v>
      </c>
    </row>
    <row r="2158" spans="1:7" x14ac:dyDescent="0.25">
      <c r="A2158">
        <v>354</v>
      </c>
      <c r="B2158">
        <v>2019</v>
      </c>
      <c r="C2158" t="str">
        <f>VLOOKUP(A2158,[2]Tabelle1!$A$1:$B$68,2,FALSE)</f>
        <v>Lüchow-Dannenberg</v>
      </c>
      <c r="D2158" t="s">
        <v>3</v>
      </c>
      <c r="E2158" t="s">
        <v>162</v>
      </c>
      <c r="F2158" t="str">
        <f>VLOOKUP(A2158,[1]Kreise!$A$1:$C$53,3,FALSE)</f>
        <v>K03354</v>
      </c>
      <c r="G2158">
        <v>16.666666666666664</v>
      </c>
    </row>
    <row r="2159" spans="1:7" x14ac:dyDescent="0.25">
      <c r="A2159">
        <v>355</v>
      </c>
      <c r="B2159">
        <v>2019</v>
      </c>
      <c r="C2159" t="str">
        <f>VLOOKUP(A2159,[2]Tabelle1!$A$1:$B$68,2,FALSE)</f>
        <v>Lüneburg</v>
      </c>
      <c r="D2159" t="s">
        <v>3</v>
      </c>
      <c r="E2159" t="s">
        <v>162</v>
      </c>
      <c r="F2159" t="str">
        <f>VLOOKUP(A2159,[1]Kreise!$A$1:$C$53,3,FALSE)</f>
        <v>K03355</v>
      </c>
      <c r="G2159">
        <v>20.300751879699249</v>
      </c>
    </row>
    <row r="2160" spans="1:7" x14ac:dyDescent="0.25">
      <c r="A2160">
        <v>356</v>
      </c>
      <c r="B2160">
        <v>2019</v>
      </c>
      <c r="C2160" t="str">
        <f>VLOOKUP(A2160,[2]Tabelle1!$A$1:$B$68,2,FALSE)</f>
        <v>Osterholz</v>
      </c>
      <c r="D2160" t="s">
        <v>3</v>
      </c>
      <c r="E2160" t="s">
        <v>162</v>
      </c>
      <c r="F2160" t="str">
        <f>VLOOKUP(A2160,[1]Kreise!$A$1:$C$53,3,FALSE)</f>
        <v>K03356</v>
      </c>
      <c r="G2160">
        <v>28.888888888888886</v>
      </c>
    </row>
    <row r="2161" spans="1:7" x14ac:dyDescent="0.25">
      <c r="A2161">
        <v>357</v>
      </c>
      <c r="B2161">
        <v>2019</v>
      </c>
      <c r="C2161" t="str">
        <f>VLOOKUP(A2161,[2]Tabelle1!$A$1:$B$68,2,FALSE)</f>
        <v>Rotenburg (Wümme)</v>
      </c>
      <c r="D2161" t="s">
        <v>3</v>
      </c>
      <c r="E2161" t="s">
        <v>162</v>
      </c>
      <c r="F2161" t="str">
        <f>VLOOKUP(A2161,[1]Kreise!$A$1:$C$53,3,FALSE)</f>
        <v>K03357</v>
      </c>
      <c r="G2161">
        <v>30.76923076923077</v>
      </c>
    </row>
    <row r="2162" spans="1:7" x14ac:dyDescent="0.25">
      <c r="A2162">
        <v>358</v>
      </c>
      <c r="B2162">
        <v>2019</v>
      </c>
      <c r="C2162" t="str">
        <f>VLOOKUP(A2162,[2]Tabelle1!$A$1:$B$68,2,FALSE)</f>
        <v>Heidekreis</v>
      </c>
      <c r="D2162" t="s">
        <v>3</v>
      </c>
      <c r="E2162" t="s">
        <v>162</v>
      </c>
      <c r="F2162" t="str">
        <f>VLOOKUP(A2162,[1]Kreise!$A$1:$C$53,3,FALSE)</f>
        <v>K03358</v>
      </c>
      <c r="G2162">
        <v>19.696969696969695</v>
      </c>
    </row>
    <row r="2163" spans="1:7" x14ac:dyDescent="0.25">
      <c r="A2163">
        <v>359</v>
      </c>
      <c r="B2163">
        <v>2019</v>
      </c>
      <c r="C2163" t="str">
        <f>VLOOKUP(A2163,[2]Tabelle1!$A$1:$B$68,2,FALSE)</f>
        <v>Stade</v>
      </c>
      <c r="D2163" t="s">
        <v>3</v>
      </c>
      <c r="E2163" t="s">
        <v>162</v>
      </c>
      <c r="F2163" t="str">
        <f>VLOOKUP(A2163,[1]Kreise!$A$1:$C$53,3,FALSE)</f>
        <v>K03359</v>
      </c>
      <c r="G2163">
        <v>26.865671641791046</v>
      </c>
    </row>
    <row r="2164" spans="1:7" x14ac:dyDescent="0.25">
      <c r="A2164">
        <v>360</v>
      </c>
      <c r="B2164">
        <v>2019</v>
      </c>
      <c r="C2164" t="str">
        <f>VLOOKUP(A2164,[2]Tabelle1!$A$1:$B$68,2,FALSE)</f>
        <v>Uelzen</v>
      </c>
      <c r="D2164" t="s">
        <v>3</v>
      </c>
      <c r="E2164" t="s">
        <v>162</v>
      </c>
      <c r="F2164" t="str">
        <f>VLOOKUP(A2164,[1]Kreise!$A$1:$C$53,3,FALSE)</f>
        <v>K03360</v>
      </c>
      <c r="G2164">
        <v>25.714285714285712</v>
      </c>
    </row>
    <row r="2165" spans="1:7" x14ac:dyDescent="0.25">
      <c r="A2165">
        <v>361</v>
      </c>
      <c r="B2165">
        <v>2019</v>
      </c>
      <c r="C2165" t="str">
        <f>VLOOKUP(A2165,[2]Tabelle1!$A$1:$B$68,2,FALSE)</f>
        <v>Verden</v>
      </c>
      <c r="D2165" t="s">
        <v>3</v>
      </c>
      <c r="E2165" t="s">
        <v>162</v>
      </c>
      <c r="F2165" t="str">
        <f>VLOOKUP(A2165,[1]Kreise!$A$1:$C$53,3,FALSE)</f>
        <v>K03361</v>
      </c>
      <c r="G2165">
        <v>26.923076923076923</v>
      </c>
    </row>
    <row r="2166" spans="1:7" x14ac:dyDescent="0.25">
      <c r="A2166">
        <v>3</v>
      </c>
      <c r="B2166">
        <v>2019</v>
      </c>
      <c r="C2166" t="str">
        <f>VLOOKUP(A2166,[2]Tabelle1!$A$1:$B$68,2,FALSE)</f>
        <v>Statistische Region Lüneburg</v>
      </c>
      <c r="D2166" t="s">
        <v>3</v>
      </c>
      <c r="E2166" t="s">
        <v>162</v>
      </c>
      <c r="F2166" t="str">
        <f>VLOOKUP(A2166,[1]Kreise!$A$1:$C$53,3,FALSE)</f>
        <v>K033</v>
      </c>
      <c r="G2166">
        <v>24.387646432374869</v>
      </c>
    </row>
    <row r="2167" spans="1:7" x14ac:dyDescent="0.25">
      <c r="A2167">
        <v>401</v>
      </c>
      <c r="B2167">
        <v>2019</v>
      </c>
      <c r="C2167" t="str">
        <f>VLOOKUP(A2167,[2]Tabelle1!$A$1:$B$68,2,FALSE)</f>
        <v>Delmenhorst  Stadt</v>
      </c>
      <c r="D2167" t="s">
        <v>3</v>
      </c>
      <c r="E2167" t="s">
        <v>162</v>
      </c>
      <c r="F2167" t="str">
        <f>VLOOKUP(A2167,[1]Kreise!$A$1:$C$53,3,FALSE)</f>
        <v>K03401</v>
      </c>
      <c r="G2167">
        <v>41.212121212121211</v>
      </c>
    </row>
    <row r="2168" spans="1:7" x14ac:dyDescent="0.25">
      <c r="A2168">
        <v>402</v>
      </c>
      <c r="B2168">
        <v>2019</v>
      </c>
      <c r="C2168" t="str">
        <f>VLOOKUP(A2168,[2]Tabelle1!$A$1:$B$68,2,FALSE)</f>
        <v>Emden  Stadt</v>
      </c>
      <c r="D2168" t="s">
        <v>3</v>
      </c>
      <c r="E2168" t="s">
        <v>162</v>
      </c>
      <c r="F2168" t="str">
        <f>VLOOKUP(A2168,[1]Kreise!$A$1:$C$53,3,FALSE)</f>
        <v>K03402</v>
      </c>
      <c r="G2168">
        <v>26.923076923076923</v>
      </c>
    </row>
    <row r="2169" spans="1:7" x14ac:dyDescent="0.25">
      <c r="A2169">
        <v>403</v>
      </c>
      <c r="B2169">
        <v>2019</v>
      </c>
      <c r="C2169" t="str">
        <f>VLOOKUP(A2169,[2]Tabelle1!$A$1:$B$68,2,FALSE)</f>
        <v>Oldenburg(Oldb)  Stadt</v>
      </c>
      <c r="D2169" t="s">
        <v>3</v>
      </c>
      <c r="E2169" t="s">
        <v>162</v>
      </c>
      <c r="F2169" t="str">
        <f>VLOOKUP(A2169,[1]Kreise!$A$1:$C$53,3,FALSE)</f>
        <v>K03403</v>
      </c>
      <c r="G2169">
        <v>19.25925925925926</v>
      </c>
    </row>
    <row r="2170" spans="1:7" x14ac:dyDescent="0.25">
      <c r="A2170">
        <v>404</v>
      </c>
      <c r="B2170">
        <v>2019</v>
      </c>
      <c r="C2170" t="str">
        <f>VLOOKUP(A2170,[2]Tabelle1!$A$1:$B$68,2,FALSE)</f>
        <v>Osnabrück  Stadt</v>
      </c>
      <c r="D2170" t="s">
        <v>3</v>
      </c>
      <c r="E2170" t="s">
        <v>162</v>
      </c>
      <c r="F2170" t="str">
        <f>VLOOKUP(A2170,[1]Kreise!$A$1:$C$53,3,FALSE)</f>
        <v>K03404</v>
      </c>
      <c r="G2170">
        <v>19.834710743801654</v>
      </c>
    </row>
    <row r="2171" spans="1:7" x14ac:dyDescent="0.25">
      <c r="A2171">
        <v>405</v>
      </c>
      <c r="B2171">
        <v>2019</v>
      </c>
      <c r="C2171" t="str">
        <f>VLOOKUP(A2171,[2]Tabelle1!$A$1:$B$68,2,FALSE)</f>
        <v>Wilhelmshaven  Stadt</v>
      </c>
      <c r="D2171" t="s">
        <v>3</v>
      </c>
      <c r="E2171" t="s">
        <v>162</v>
      </c>
      <c r="F2171" t="str">
        <f>VLOOKUP(A2171,[1]Kreise!$A$1:$C$53,3,FALSE)</f>
        <v>K03405</v>
      </c>
      <c r="G2171">
        <v>27.941176470588236</v>
      </c>
    </row>
    <row r="2172" spans="1:7" x14ac:dyDescent="0.25">
      <c r="A2172">
        <v>451</v>
      </c>
      <c r="B2172">
        <v>2019</v>
      </c>
      <c r="C2172" t="str">
        <f>VLOOKUP(A2172,[2]Tabelle1!$A$1:$B$68,2,FALSE)</f>
        <v>Ammerland</v>
      </c>
      <c r="D2172" t="s">
        <v>3</v>
      </c>
      <c r="E2172" t="s">
        <v>162</v>
      </c>
      <c r="F2172" t="str">
        <f>VLOOKUP(A2172,[1]Kreise!$A$1:$C$53,3,FALSE)</f>
        <v>K03451</v>
      </c>
      <c r="G2172">
        <v>4.0540540540540544</v>
      </c>
    </row>
    <row r="2173" spans="1:7" x14ac:dyDescent="0.25">
      <c r="A2173">
        <v>452</v>
      </c>
      <c r="B2173">
        <v>2019</v>
      </c>
      <c r="C2173" t="str">
        <f>VLOOKUP(A2173,[2]Tabelle1!$A$1:$B$68,2,FALSE)</f>
        <v>Aurich</v>
      </c>
      <c r="D2173" t="s">
        <v>3</v>
      </c>
      <c r="E2173" t="s">
        <v>162</v>
      </c>
      <c r="F2173" t="str">
        <f>VLOOKUP(A2173,[1]Kreise!$A$1:$C$53,3,FALSE)</f>
        <v>K03452</v>
      </c>
      <c r="G2173">
        <v>23.076923076923077</v>
      </c>
    </row>
    <row r="2174" spans="1:7" x14ac:dyDescent="0.25">
      <c r="A2174">
        <v>453</v>
      </c>
      <c r="B2174">
        <v>2019</v>
      </c>
      <c r="C2174" t="str">
        <f>VLOOKUP(A2174,[2]Tabelle1!$A$1:$B$68,2,FALSE)</f>
        <v>Cloppenburg</v>
      </c>
      <c r="D2174" t="s">
        <v>3</v>
      </c>
      <c r="E2174" t="s">
        <v>162</v>
      </c>
      <c r="F2174" t="str">
        <f>VLOOKUP(A2174,[1]Kreise!$A$1:$C$53,3,FALSE)</f>
        <v>K03453</v>
      </c>
      <c r="G2174">
        <v>34.857142857142861</v>
      </c>
    </row>
    <row r="2175" spans="1:7" x14ac:dyDescent="0.25">
      <c r="A2175">
        <v>454</v>
      </c>
      <c r="B2175">
        <v>2019</v>
      </c>
      <c r="C2175" t="str">
        <f>VLOOKUP(A2175,[2]Tabelle1!$A$1:$B$68,2,FALSE)</f>
        <v>Emsland</v>
      </c>
      <c r="D2175" t="s">
        <v>3</v>
      </c>
      <c r="E2175" t="s">
        <v>162</v>
      </c>
      <c r="F2175" t="str">
        <f>VLOOKUP(A2175,[1]Kreise!$A$1:$C$53,3,FALSE)</f>
        <v>K03454</v>
      </c>
      <c r="G2175">
        <v>36.213991769547327</v>
      </c>
    </row>
    <row r="2176" spans="1:7" x14ac:dyDescent="0.25">
      <c r="A2176">
        <v>455</v>
      </c>
      <c r="B2176">
        <v>2019</v>
      </c>
      <c r="C2176" t="str">
        <f>VLOOKUP(A2176,[2]Tabelle1!$A$1:$B$68,2,FALSE)</f>
        <v>Friesland</v>
      </c>
      <c r="D2176" t="s">
        <v>3</v>
      </c>
      <c r="E2176" t="s">
        <v>162</v>
      </c>
      <c r="F2176" t="str">
        <f>VLOOKUP(A2176,[1]Kreise!$A$1:$C$53,3,FALSE)</f>
        <v>K03455</v>
      </c>
      <c r="G2176">
        <v>25</v>
      </c>
    </row>
    <row r="2177" spans="1:7" x14ac:dyDescent="0.25">
      <c r="A2177">
        <v>456</v>
      </c>
      <c r="B2177">
        <v>2019</v>
      </c>
      <c r="C2177" t="str">
        <f>VLOOKUP(A2177,[2]Tabelle1!$A$1:$B$68,2,FALSE)</f>
        <v>Grafschaft Bentheim</v>
      </c>
      <c r="D2177" t="s">
        <v>3</v>
      </c>
      <c r="E2177" t="s">
        <v>162</v>
      </c>
      <c r="F2177" t="str">
        <f>VLOOKUP(A2177,[1]Kreise!$A$1:$C$53,3,FALSE)</f>
        <v>K03456</v>
      </c>
      <c r="G2177">
        <v>18.539325842696631</v>
      </c>
    </row>
    <row r="2178" spans="1:7" x14ac:dyDescent="0.25">
      <c r="A2178">
        <v>457</v>
      </c>
      <c r="B2178">
        <v>2019</v>
      </c>
      <c r="C2178" t="str">
        <f>VLOOKUP(A2178,[2]Tabelle1!$A$1:$B$68,2,FALSE)</f>
        <v>Leer</v>
      </c>
      <c r="D2178" t="s">
        <v>3</v>
      </c>
      <c r="E2178" t="s">
        <v>162</v>
      </c>
      <c r="F2178" t="str">
        <f>VLOOKUP(A2178,[1]Kreise!$A$1:$C$53,3,FALSE)</f>
        <v>K03457</v>
      </c>
      <c r="G2178">
        <v>28.8135593220339</v>
      </c>
    </row>
    <row r="2179" spans="1:7" x14ac:dyDescent="0.25">
      <c r="A2179">
        <v>458</v>
      </c>
      <c r="B2179">
        <v>2019</v>
      </c>
      <c r="C2179" t="str">
        <f>VLOOKUP(A2179,[2]Tabelle1!$A$1:$B$68,2,FALSE)</f>
        <v>Oldenburg</v>
      </c>
      <c r="D2179" t="s">
        <v>3</v>
      </c>
      <c r="E2179" t="s">
        <v>162</v>
      </c>
      <c r="F2179" t="str">
        <f>VLOOKUP(A2179,[1]Kreise!$A$1:$C$53,3,FALSE)</f>
        <v>K03458</v>
      </c>
      <c r="G2179">
        <v>14.85148514851485</v>
      </c>
    </row>
    <row r="2180" spans="1:7" x14ac:dyDescent="0.25">
      <c r="A2180">
        <v>459</v>
      </c>
      <c r="B2180">
        <v>2019</v>
      </c>
      <c r="C2180" t="str">
        <f>VLOOKUP(A2180,[2]Tabelle1!$A$1:$B$68,2,FALSE)</f>
        <v>Osnabrück</v>
      </c>
      <c r="D2180" t="s">
        <v>3</v>
      </c>
      <c r="E2180" t="s">
        <v>162</v>
      </c>
      <c r="F2180" t="str">
        <f>VLOOKUP(A2180,[1]Kreise!$A$1:$C$53,3,FALSE)</f>
        <v>K03459</v>
      </c>
      <c r="G2180">
        <v>26.288659793814436</v>
      </c>
    </row>
    <row r="2181" spans="1:7" x14ac:dyDescent="0.25">
      <c r="A2181">
        <v>460</v>
      </c>
      <c r="B2181">
        <v>2019</v>
      </c>
      <c r="C2181" t="str">
        <f>VLOOKUP(A2181,[2]Tabelle1!$A$1:$B$68,2,FALSE)</f>
        <v>Vechta</v>
      </c>
      <c r="D2181" t="s">
        <v>3</v>
      </c>
      <c r="E2181" t="s">
        <v>162</v>
      </c>
      <c r="F2181" t="str">
        <f>VLOOKUP(A2181,[1]Kreise!$A$1:$C$53,3,FALSE)</f>
        <v>K03460</v>
      </c>
      <c r="G2181">
        <v>29.850746268656714</v>
      </c>
    </row>
    <row r="2182" spans="1:7" x14ac:dyDescent="0.25">
      <c r="A2182">
        <v>461</v>
      </c>
      <c r="B2182">
        <v>2019</v>
      </c>
      <c r="C2182" t="str">
        <f>VLOOKUP(A2182,[2]Tabelle1!$A$1:$B$68,2,FALSE)</f>
        <v>Wesermarsch</v>
      </c>
      <c r="D2182" t="s">
        <v>3</v>
      </c>
      <c r="E2182" t="s">
        <v>162</v>
      </c>
      <c r="F2182" t="str">
        <f>VLOOKUP(A2182,[1]Kreise!$A$1:$C$53,3,FALSE)</f>
        <v>K03461</v>
      </c>
      <c r="G2182">
        <v>11.827956989247312</v>
      </c>
    </row>
    <row r="2183" spans="1:7" x14ac:dyDescent="0.25">
      <c r="A2183">
        <v>462</v>
      </c>
      <c r="B2183">
        <v>2019</v>
      </c>
      <c r="C2183" t="str">
        <f>VLOOKUP(A2183,[2]Tabelle1!$A$1:$B$68,2,FALSE)</f>
        <v>Wittmund</v>
      </c>
      <c r="D2183" t="s">
        <v>3</v>
      </c>
      <c r="E2183" t="s">
        <v>162</v>
      </c>
      <c r="F2183" t="str">
        <f>VLOOKUP(A2183,[1]Kreise!$A$1:$C$53,3,FALSE)</f>
        <v>K03462</v>
      </c>
      <c r="G2183">
        <v>34.375</v>
      </c>
    </row>
    <row r="2184" spans="1:7" x14ac:dyDescent="0.25">
      <c r="A2184">
        <v>4</v>
      </c>
      <c r="B2184">
        <v>2019</v>
      </c>
      <c r="C2184" t="str">
        <f>VLOOKUP(A2184,[2]Tabelle1!$A$1:$B$68,2,FALSE)</f>
        <v>Statistische Region Weser-Ems</v>
      </c>
      <c r="D2184" t="s">
        <v>3</v>
      </c>
      <c r="E2184" t="s">
        <v>162</v>
      </c>
      <c r="F2184" t="str">
        <f>VLOOKUP(A2184,[1]Kreise!$A$1:$C$53,3,FALSE)</f>
        <v>K034</v>
      </c>
      <c r="G2184">
        <v>25.878003696857672</v>
      </c>
    </row>
    <row r="2185" spans="1:7" x14ac:dyDescent="0.25">
      <c r="A2185">
        <v>0</v>
      </c>
      <c r="B2185">
        <v>2019</v>
      </c>
      <c r="C2185" t="str">
        <f>VLOOKUP(A2185,[2]Tabelle1!$A$1:$B$68,2,FALSE)</f>
        <v>Niedersachsen</v>
      </c>
      <c r="D2185" t="s">
        <v>3</v>
      </c>
      <c r="E2185" t="s">
        <v>162</v>
      </c>
      <c r="F2185" t="str">
        <f>VLOOKUP(A2185,[1]Kreise!$A$1:$C$53,3,FALSE)</f>
        <v>K030</v>
      </c>
      <c r="G2185">
        <v>23.12738367658276</v>
      </c>
    </row>
    <row r="2186" spans="1:7" x14ac:dyDescent="0.25">
      <c r="A2186">
        <v>101</v>
      </c>
      <c r="B2186">
        <v>2020</v>
      </c>
      <c r="C2186" t="str">
        <f>VLOOKUP(A2186,[2]Tabelle1!$A$1:$B$68,2,FALSE)</f>
        <v>Braunschweig  Stadt</v>
      </c>
      <c r="D2186" t="s">
        <v>2</v>
      </c>
      <c r="E2186" t="s">
        <v>162</v>
      </c>
      <c r="F2186" t="str">
        <f>VLOOKUP(A2186,[1]Kreise!$A$1:$C$53,3,FALSE)</f>
        <v>K03101</v>
      </c>
      <c r="G2186">
        <v>6.2717770034843205</v>
      </c>
    </row>
    <row r="2187" spans="1:7" x14ac:dyDescent="0.25">
      <c r="A2187">
        <v>102</v>
      </c>
      <c r="B2187">
        <v>2020</v>
      </c>
      <c r="C2187" t="str">
        <f>VLOOKUP(A2187,[2]Tabelle1!$A$1:$B$68,2,FALSE)</f>
        <v>Salzgitter  Stadt</v>
      </c>
      <c r="D2187" t="s">
        <v>2</v>
      </c>
      <c r="E2187" t="s">
        <v>162</v>
      </c>
      <c r="F2187" t="str">
        <f>VLOOKUP(A2187,[1]Kreise!$A$1:$C$53,3,FALSE)</f>
        <v>K03102</v>
      </c>
      <c r="G2187">
        <v>6.1511423550087869</v>
      </c>
    </row>
    <row r="2188" spans="1:7" x14ac:dyDescent="0.25">
      <c r="A2188">
        <v>103</v>
      </c>
      <c r="B2188">
        <v>2020</v>
      </c>
      <c r="C2188" t="str">
        <f>VLOOKUP(A2188,[2]Tabelle1!$A$1:$B$68,2,FALSE)</f>
        <v>Wolfsburg  Stadt</v>
      </c>
      <c r="D2188" t="s">
        <v>2</v>
      </c>
      <c r="E2188" t="s">
        <v>162</v>
      </c>
      <c r="F2188" t="str">
        <f>VLOOKUP(A2188,[1]Kreise!$A$1:$C$53,3,FALSE)</f>
        <v>K03103</v>
      </c>
      <c r="G2188">
        <v>4.1575492341356668</v>
      </c>
    </row>
    <row r="2189" spans="1:7" x14ac:dyDescent="0.25">
      <c r="A2189">
        <v>151</v>
      </c>
      <c r="B2189">
        <v>2020</v>
      </c>
      <c r="C2189" t="str">
        <f>VLOOKUP(A2189,[2]Tabelle1!$A$1:$B$68,2,FALSE)</f>
        <v>Gifhorn</v>
      </c>
      <c r="D2189" t="s">
        <v>2</v>
      </c>
      <c r="E2189" t="s">
        <v>162</v>
      </c>
      <c r="F2189" t="str">
        <f>VLOOKUP(A2189,[1]Kreise!$A$1:$C$53,3,FALSE)</f>
        <v>K03151</v>
      </c>
      <c r="G2189">
        <v>4.2226487523992322</v>
      </c>
    </row>
    <row r="2190" spans="1:7" x14ac:dyDescent="0.25">
      <c r="A2190">
        <v>153</v>
      </c>
      <c r="B2190">
        <v>2020</v>
      </c>
      <c r="C2190" t="str">
        <f>VLOOKUP(A2190,[2]Tabelle1!$A$1:$B$68,2,FALSE)</f>
        <v>Goslar</v>
      </c>
      <c r="D2190" t="s">
        <v>2</v>
      </c>
      <c r="E2190" t="s">
        <v>162</v>
      </c>
      <c r="F2190" t="str">
        <f>VLOOKUP(A2190,[1]Kreise!$A$1:$C$53,3,FALSE)</f>
        <v>K03153</v>
      </c>
      <c r="G2190">
        <v>8.2402234636871512</v>
      </c>
    </row>
    <row r="2191" spans="1:7" x14ac:dyDescent="0.25">
      <c r="A2191">
        <v>154</v>
      </c>
      <c r="B2191">
        <v>2020</v>
      </c>
      <c r="C2191" t="str">
        <f>VLOOKUP(A2191,[2]Tabelle1!$A$1:$B$68,2,FALSE)</f>
        <v>Helmstedt</v>
      </c>
      <c r="D2191" t="s">
        <v>2</v>
      </c>
      <c r="E2191" t="s">
        <v>162</v>
      </c>
      <c r="F2191" t="str">
        <f>VLOOKUP(A2191,[1]Kreise!$A$1:$C$53,3,FALSE)</f>
        <v>K03154</v>
      </c>
      <c r="G2191">
        <v>9.5794392523364476</v>
      </c>
    </row>
    <row r="2192" spans="1:7" x14ac:dyDescent="0.25">
      <c r="A2192">
        <v>155</v>
      </c>
      <c r="B2192">
        <v>2020</v>
      </c>
      <c r="C2192" t="str">
        <f>VLOOKUP(A2192,[2]Tabelle1!$A$1:$B$68,2,FALSE)</f>
        <v>Northeim</v>
      </c>
      <c r="D2192" t="s">
        <v>2</v>
      </c>
      <c r="E2192" t="s">
        <v>162</v>
      </c>
      <c r="F2192" t="str">
        <f>VLOOKUP(A2192,[1]Kreise!$A$1:$C$53,3,FALSE)</f>
        <v>K03155</v>
      </c>
      <c r="G2192">
        <v>5.1687763713080166</v>
      </c>
    </row>
    <row r="2193" spans="1:7" x14ac:dyDescent="0.25">
      <c r="A2193">
        <v>157</v>
      </c>
      <c r="B2193">
        <v>2020</v>
      </c>
      <c r="C2193" t="str">
        <f>VLOOKUP(A2193,[2]Tabelle1!$A$1:$B$68,2,FALSE)</f>
        <v>Peine</v>
      </c>
      <c r="D2193" t="s">
        <v>2</v>
      </c>
      <c r="E2193" t="s">
        <v>162</v>
      </c>
      <c r="F2193" t="str">
        <f>VLOOKUP(A2193,[1]Kreise!$A$1:$C$53,3,FALSE)</f>
        <v>K03157</v>
      </c>
      <c r="G2193">
        <v>3.4090909090909087</v>
      </c>
    </row>
    <row r="2194" spans="1:7" x14ac:dyDescent="0.25">
      <c r="A2194">
        <v>158</v>
      </c>
      <c r="B2194">
        <v>2020</v>
      </c>
      <c r="C2194" t="str">
        <f>VLOOKUP(A2194,[2]Tabelle1!$A$1:$B$68,2,FALSE)</f>
        <v>Wolfenbüttel</v>
      </c>
      <c r="D2194" t="s">
        <v>2</v>
      </c>
      <c r="E2194" t="s">
        <v>162</v>
      </c>
      <c r="F2194" t="str">
        <f>VLOOKUP(A2194,[1]Kreise!$A$1:$C$53,3,FALSE)</f>
        <v>K03158</v>
      </c>
      <c r="G2194">
        <v>5.1282051282051277</v>
      </c>
    </row>
    <row r="2195" spans="1:7" x14ac:dyDescent="0.25">
      <c r="A2195">
        <v>159</v>
      </c>
      <c r="B2195">
        <v>2020</v>
      </c>
      <c r="C2195" t="str">
        <f>VLOOKUP(A2195,[2]Tabelle1!$A$1:$B$68,2,FALSE)</f>
        <v>Göttingen</v>
      </c>
      <c r="D2195" t="s">
        <v>2</v>
      </c>
      <c r="E2195" t="s">
        <v>162</v>
      </c>
      <c r="F2195" t="str">
        <f>VLOOKUP(A2195,[1]Kreise!$A$1:$C$53,3,FALSE)</f>
        <v>K03159</v>
      </c>
      <c r="G2195">
        <v>7.9635258358662613</v>
      </c>
    </row>
    <row r="2196" spans="1:7" x14ac:dyDescent="0.25">
      <c r="A2196">
        <v>1</v>
      </c>
      <c r="B2196">
        <v>2020</v>
      </c>
      <c r="C2196" t="str">
        <f>VLOOKUP(A2196,[2]Tabelle1!$A$1:$B$68,2,FALSE)</f>
        <v>Statistische Region Braunschweig</v>
      </c>
      <c r="D2196" t="s">
        <v>2</v>
      </c>
      <c r="E2196" t="s">
        <v>162</v>
      </c>
      <c r="F2196" t="str">
        <f>VLOOKUP(A2196,[1]Kreise!$A$1:$C$53,3,FALSE)</f>
        <v>K031</v>
      </c>
      <c r="G2196">
        <v>5.9632034632034632</v>
      </c>
    </row>
    <row r="2197" spans="1:7" x14ac:dyDescent="0.25">
      <c r="A2197">
        <v>241</v>
      </c>
      <c r="B2197">
        <v>2020</v>
      </c>
      <c r="C2197" t="str">
        <f>VLOOKUP(A2197,[2]Tabelle1!$A$1:$B$68,2,FALSE)</f>
        <v>Hannover  Region</v>
      </c>
      <c r="D2197" t="s">
        <v>2</v>
      </c>
      <c r="E2197" t="s">
        <v>162</v>
      </c>
      <c r="F2197" t="str">
        <f>VLOOKUP(A2197,[1]Kreise!$A$1:$C$53,3,FALSE)</f>
        <v>K03241</v>
      </c>
      <c r="G2197">
        <v>5.9049447911665869</v>
      </c>
    </row>
    <row r="2198" spans="1:7" x14ac:dyDescent="0.25">
      <c r="A2198">
        <v>241001</v>
      </c>
      <c r="B2198">
        <v>2020</v>
      </c>
      <c r="C2198" t="str">
        <f>VLOOKUP(A2198,[2]Tabelle1!$A$1:$B$68,2,FALSE)</f>
        <v>dav. Hannover  Lhst.</v>
      </c>
      <c r="D2198" t="s">
        <v>2</v>
      </c>
      <c r="E2198" t="s">
        <v>162</v>
      </c>
      <c r="F2198" t="str">
        <f>VLOOKUP(A2198,[1]Kreise!$A$1:$C$53,3,FALSE)</f>
        <v>K03241001</v>
      </c>
      <c r="G2198">
        <v>7.2124756335282649</v>
      </c>
    </row>
    <row r="2199" spans="1:7" x14ac:dyDescent="0.25">
      <c r="A2199">
        <v>241999</v>
      </c>
      <c r="B2199">
        <v>2020</v>
      </c>
      <c r="C2199" t="str">
        <f>VLOOKUP(A2199,[2]Tabelle1!$A$1:$B$68,2,FALSE)</f>
        <v>dav. Hannover  Umland</v>
      </c>
      <c r="D2199" t="s">
        <v>2</v>
      </c>
      <c r="E2199" t="s">
        <v>162</v>
      </c>
      <c r="F2199" t="str">
        <f>VLOOKUP(A2199,[1]Kreise!$A$1:$C$53,3,FALSE)</f>
        <v>K03241999</v>
      </c>
      <c r="G2199">
        <v>4.9945711183496204</v>
      </c>
    </row>
    <row r="2200" spans="1:7" x14ac:dyDescent="0.25">
      <c r="A2200">
        <v>251</v>
      </c>
      <c r="B2200">
        <v>2020</v>
      </c>
      <c r="C2200" t="str">
        <f>VLOOKUP(A2200,[2]Tabelle1!$A$1:$B$68,2,FALSE)</f>
        <v>Diepholz</v>
      </c>
      <c r="D2200" t="s">
        <v>2</v>
      </c>
      <c r="E2200" t="s">
        <v>162</v>
      </c>
      <c r="F2200" t="str">
        <f>VLOOKUP(A2200,[1]Kreise!$A$1:$C$53,3,FALSE)</f>
        <v>K03251</v>
      </c>
      <c r="G2200">
        <v>5.0997782705099777</v>
      </c>
    </row>
    <row r="2201" spans="1:7" x14ac:dyDescent="0.25">
      <c r="A2201">
        <v>252</v>
      </c>
      <c r="B2201">
        <v>2020</v>
      </c>
      <c r="C2201" t="str">
        <f>VLOOKUP(A2201,[2]Tabelle1!$A$1:$B$68,2,FALSE)</f>
        <v>Hameln-Pyrmont</v>
      </c>
      <c r="D2201" t="s">
        <v>2</v>
      </c>
      <c r="E2201" t="s">
        <v>162</v>
      </c>
      <c r="F2201" t="str">
        <f>VLOOKUP(A2201,[1]Kreise!$A$1:$C$53,3,FALSE)</f>
        <v>K03252</v>
      </c>
      <c r="G2201">
        <v>10.872027180067951</v>
      </c>
    </row>
    <row r="2202" spans="1:7" x14ac:dyDescent="0.25">
      <c r="A2202">
        <v>254</v>
      </c>
      <c r="B2202">
        <v>2020</v>
      </c>
      <c r="C2202" t="str">
        <f>VLOOKUP(A2202,[2]Tabelle1!$A$1:$B$68,2,FALSE)</f>
        <v>Hildesheim</v>
      </c>
      <c r="D2202" t="s">
        <v>2</v>
      </c>
      <c r="E2202" t="s">
        <v>162</v>
      </c>
      <c r="F2202" t="str">
        <f>VLOOKUP(A2202,[1]Kreise!$A$1:$C$53,3,FALSE)</f>
        <v>K03254</v>
      </c>
      <c r="G2202">
        <v>6.816901408450704</v>
      </c>
    </row>
    <row r="2203" spans="1:7" x14ac:dyDescent="0.25">
      <c r="A2203">
        <v>255</v>
      </c>
      <c r="B2203">
        <v>2020</v>
      </c>
      <c r="C2203" t="str">
        <f>VLOOKUP(A2203,[2]Tabelle1!$A$1:$B$68,2,FALSE)</f>
        <v>Holzminden</v>
      </c>
      <c r="D2203" t="s">
        <v>2</v>
      </c>
      <c r="E2203" t="s">
        <v>162</v>
      </c>
      <c r="F2203" t="str">
        <f>VLOOKUP(A2203,[1]Kreise!$A$1:$C$53,3,FALSE)</f>
        <v>K03255</v>
      </c>
      <c r="G2203">
        <v>16.279069767441861</v>
      </c>
    </row>
    <row r="2204" spans="1:7" x14ac:dyDescent="0.25">
      <c r="A2204">
        <v>256</v>
      </c>
      <c r="B2204">
        <v>2020</v>
      </c>
      <c r="C2204" t="str">
        <f>VLOOKUP(A2204,[2]Tabelle1!$A$1:$B$68,2,FALSE)</f>
        <v>Nienburg (Weser)</v>
      </c>
      <c r="D2204" t="s">
        <v>2</v>
      </c>
      <c r="E2204" t="s">
        <v>162</v>
      </c>
      <c r="F2204" t="str">
        <f>VLOOKUP(A2204,[1]Kreise!$A$1:$C$53,3,FALSE)</f>
        <v>K03256</v>
      </c>
      <c r="G2204">
        <v>8.5025380710659899</v>
      </c>
    </row>
    <row r="2205" spans="1:7" x14ac:dyDescent="0.25">
      <c r="A2205">
        <v>257</v>
      </c>
      <c r="B2205">
        <v>2020</v>
      </c>
      <c r="C2205" t="str">
        <f>VLOOKUP(A2205,[2]Tabelle1!$A$1:$B$68,2,FALSE)</f>
        <v>Schaumburg</v>
      </c>
      <c r="D2205" t="s">
        <v>2</v>
      </c>
      <c r="E2205" t="s">
        <v>162</v>
      </c>
      <c r="F2205" t="str">
        <f>VLOOKUP(A2205,[1]Kreise!$A$1:$C$53,3,FALSE)</f>
        <v>K03257</v>
      </c>
      <c r="G2205">
        <v>7.9241071428571423</v>
      </c>
    </row>
    <row r="2206" spans="1:7" x14ac:dyDescent="0.25">
      <c r="A2206">
        <v>2</v>
      </c>
      <c r="B2206">
        <v>2020</v>
      </c>
      <c r="C2206" t="str">
        <f>VLOOKUP(A2206,[2]Tabelle1!$A$1:$B$68,2,FALSE)</f>
        <v>Statistische Region Hannover</v>
      </c>
      <c r="D2206" t="s">
        <v>2</v>
      </c>
      <c r="E2206" t="s">
        <v>162</v>
      </c>
      <c r="F2206" t="str">
        <f>VLOOKUP(A2206,[1]Kreise!$A$1:$C$53,3,FALSE)</f>
        <v>K032</v>
      </c>
      <c r="G2206">
        <v>6.9091796875</v>
      </c>
    </row>
    <row r="2207" spans="1:7" x14ac:dyDescent="0.25">
      <c r="A2207">
        <v>351</v>
      </c>
      <c r="B2207">
        <v>2020</v>
      </c>
      <c r="C2207" t="str">
        <f>VLOOKUP(A2207,[2]Tabelle1!$A$1:$B$68,2,FALSE)</f>
        <v>Celle</v>
      </c>
      <c r="D2207" t="s">
        <v>2</v>
      </c>
      <c r="E2207" t="s">
        <v>162</v>
      </c>
      <c r="F2207" t="str">
        <f>VLOOKUP(A2207,[1]Kreise!$A$1:$C$53,3,FALSE)</f>
        <v>K03351</v>
      </c>
      <c r="G2207">
        <v>9.5389507154213042</v>
      </c>
    </row>
    <row r="2208" spans="1:7" x14ac:dyDescent="0.25">
      <c r="A2208">
        <v>352</v>
      </c>
      <c r="B2208">
        <v>2020</v>
      </c>
      <c r="C2208" t="str">
        <f>VLOOKUP(A2208,[2]Tabelle1!$A$1:$B$68,2,FALSE)</f>
        <v>Cuxhaven</v>
      </c>
      <c r="D2208" t="s">
        <v>2</v>
      </c>
      <c r="E2208" t="s">
        <v>162</v>
      </c>
      <c r="F2208" t="str">
        <f>VLOOKUP(A2208,[1]Kreise!$A$1:$C$53,3,FALSE)</f>
        <v>K03352</v>
      </c>
      <c r="G2208">
        <v>6.3981042654028428</v>
      </c>
    </row>
    <row r="2209" spans="1:7" x14ac:dyDescent="0.25">
      <c r="A2209">
        <v>353</v>
      </c>
      <c r="B2209">
        <v>2020</v>
      </c>
      <c r="C2209" t="str">
        <f>VLOOKUP(A2209,[2]Tabelle1!$A$1:$B$68,2,FALSE)</f>
        <v>Harburg</v>
      </c>
      <c r="D2209" t="s">
        <v>2</v>
      </c>
      <c r="E2209" t="s">
        <v>162</v>
      </c>
      <c r="F2209" t="str">
        <f>VLOOKUP(A2209,[1]Kreise!$A$1:$C$53,3,FALSE)</f>
        <v>K03353</v>
      </c>
      <c r="G2209">
        <v>5.0783699059561132</v>
      </c>
    </row>
    <row r="2210" spans="1:7" x14ac:dyDescent="0.25">
      <c r="A2210">
        <v>354</v>
      </c>
      <c r="B2210">
        <v>2020</v>
      </c>
      <c r="C2210" t="str">
        <f>VLOOKUP(A2210,[2]Tabelle1!$A$1:$B$68,2,FALSE)</f>
        <v>Lüchow-Dannenberg</v>
      </c>
      <c r="D2210" t="s">
        <v>2</v>
      </c>
      <c r="E2210" t="s">
        <v>162</v>
      </c>
      <c r="F2210" t="str">
        <f>VLOOKUP(A2210,[1]Kreise!$A$1:$C$53,3,FALSE)</f>
        <v>K03354</v>
      </c>
      <c r="G2210">
        <v>8.3969465648854964</v>
      </c>
    </row>
    <row r="2211" spans="1:7" x14ac:dyDescent="0.25">
      <c r="A2211">
        <v>355</v>
      </c>
      <c r="B2211">
        <v>2020</v>
      </c>
      <c r="C2211" t="str">
        <f>VLOOKUP(A2211,[2]Tabelle1!$A$1:$B$68,2,FALSE)</f>
        <v>Lüneburg</v>
      </c>
      <c r="D2211" t="s">
        <v>2</v>
      </c>
      <c r="E2211" t="s">
        <v>162</v>
      </c>
      <c r="F2211" t="str">
        <f>VLOOKUP(A2211,[1]Kreise!$A$1:$C$53,3,FALSE)</f>
        <v>K03355</v>
      </c>
      <c r="G2211">
        <v>8.2051282051282044</v>
      </c>
    </row>
    <row r="2212" spans="1:7" x14ac:dyDescent="0.25">
      <c r="A2212">
        <v>356</v>
      </c>
      <c r="B2212">
        <v>2020</v>
      </c>
      <c r="C2212" t="str">
        <f>VLOOKUP(A2212,[2]Tabelle1!$A$1:$B$68,2,FALSE)</f>
        <v>Osterholz</v>
      </c>
      <c r="D2212" t="s">
        <v>2</v>
      </c>
      <c r="E2212" t="s">
        <v>162</v>
      </c>
      <c r="F2212" t="str">
        <f>VLOOKUP(A2212,[1]Kreise!$A$1:$C$53,3,FALSE)</f>
        <v>K03356</v>
      </c>
      <c r="G2212">
        <v>4.0462427745664744</v>
      </c>
    </row>
    <row r="2213" spans="1:7" x14ac:dyDescent="0.25">
      <c r="A2213">
        <v>357</v>
      </c>
      <c r="B2213">
        <v>2020</v>
      </c>
      <c r="C2213" t="str">
        <f>VLOOKUP(A2213,[2]Tabelle1!$A$1:$B$68,2,FALSE)</f>
        <v>Rotenburg (Wümme)</v>
      </c>
      <c r="D2213" t="s">
        <v>2</v>
      </c>
      <c r="E2213" t="s">
        <v>162</v>
      </c>
      <c r="F2213" t="str">
        <f>VLOOKUP(A2213,[1]Kreise!$A$1:$C$53,3,FALSE)</f>
        <v>K03357</v>
      </c>
      <c r="G2213">
        <v>7.8967350037965067</v>
      </c>
    </row>
    <row r="2214" spans="1:7" x14ac:dyDescent="0.25">
      <c r="A2214">
        <v>358</v>
      </c>
      <c r="B2214">
        <v>2020</v>
      </c>
      <c r="C2214" t="str">
        <f>VLOOKUP(A2214,[2]Tabelle1!$A$1:$B$68,2,FALSE)</f>
        <v>Heidekreis</v>
      </c>
      <c r="D2214" t="s">
        <v>2</v>
      </c>
      <c r="E2214" t="s">
        <v>162</v>
      </c>
      <c r="F2214" t="str">
        <f>VLOOKUP(A2214,[1]Kreise!$A$1:$C$53,3,FALSE)</f>
        <v>K03358</v>
      </c>
      <c r="G2214">
        <v>8.2917082917082912</v>
      </c>
    </row>
    <row r="2215" spans="1:7" x14ac:dyDescent="0.25">
      <c r="A2215">
        <v>359</v>
      </c>
      <c r="B2215">
        <v>2020</v>
      </c>
      <c r="C2215" t="str">
        <f>VLOOKUP(A2215,[2]Tabelle1!$A$1:$B$68,2,FALSE)</f>
        <v>Stade</v>
      </c>
      <c r="D2215" t="s">
        <v>2</v>
      </c>
      <c r="E2215" t="s">
        <v>162</v>
      </c>
      <c r="F2215" t="str">
        <f>VLOOKUP(A2215,[1]Kreise!$A$1:$C$53,3,FALSE)</f>
        <v>K03359</v>
      </c>
      <c r="G2215">
        <v>7.2368421052631584</v>
      </c>
    </row>
    <row r="2216" spans="1:7" x14ac:dyDescent="0.25">
      <c r="A2216">
        <v>360</v>
      </c>
      <c r="B2216">
        <v>2020</v>
      </c>
      <c r="C2216" t="str">
        <f>VLOOKUP(A2216,[2]Tabelle1!$A$1:$B$68,2,FALSE)</f>
        <v>Uelzen</v>
      </c>
      <c r="D2216" t="s">
        <v>2</v>
      </c>
      <c r="E2216" t="s">
        <v>162</v>
      </c>
      <c r="F2216" t="str">
        <f>VLOOKUP(A2216,[1]Kreise!$A$1:$C$53,3,FALSE)</f>
        <v>K03360</v>
      </c>
      <c r="G2216">
        <v>8.828522920203735</v>
      </c>
    </row>
    <row r="2217" spans="1:7" x14ac:dyDescent="0.25">
      <c r="A2217">
        <v>361</v>
      </c>
      <c r="B2217">
        <v>2020</v>
      </c>
      <c r="C2217" t="str">
        <f>VLOOKUP(A2217,[2]Tabelle1!$A$1:$B$68,2,FALSE)</f>
        <v>Verden</v>
      </c>
      <c r="D2217" t="s">
        <v>2</v>
      </c>
      <c r="E2217" t="s">
        <v>162</v>
      </c>
      <c r="F2217" t="str">
        <f>VLOOKUP(A2217,[1]Kreise!$A$1:$C$53,3,FALSE)</f>
        <v>K03361</v>
      </c>
      <c r="G2217">
        <v>5.5737704918032787</v>
      </c>
    </row>
    <row r="2218" spans="1:7" x14ac:dyDescent="0.25">
      <c r="A2218">
        <v>3</v>
      </c>
      <c r="B2218">
        <v>2020</v>
      </c>
      <c r="C2218" t="str">
        <f>VLOOKUP(A2218,[2]Tabelle1!$A$1:$B$68,2,FALSE)</f>
        <v>Statistische Region Lüneburg</v>
      </c>
      <c r="D2218" t="s">
        <v>2</v>
      </c>
      <c r="E2218" t="s">
        <v>162</v>
      </c>
      <c r="F2218" t="str">
        <f>VLOOKUP(A2218,[1]Kreise!$A$1:$C$53,3,FALSE)</f>
        <v>K033</v>
      </c>
      <c r="G2218">
        <v>7.1611471491976788</v>
      </c>
    </row>
    <row r="2219" spans="1:7" x14ac:dyDescent="0.25">
      <c r="A2219">
        <v>401</v>
      </c>
      <c r="B2219">
        <v>2020</v>
      </c>
      <c r="C2219" t="str">
        <f>VLOOKUP(A2219,[2]Tabelle1!$A$1:$B$68,2,FALSE)</f>
        <v>Delmenhorst  Stadt</v>
      </c>
      <c r="D2219" t="s">
        <v>2</v>
      </c>
      <c r="E2219" t="s">
        <v>162</v>
      </c>
      <c r="F2219" t="str">
        <f>VLOOKUP(A2219,[1]Kreise!$A$1:$C$53,3,FALSE)</f>
        <v>K03401</v>
      </c>
      <c r="G2219">
        <v>4.2462845010615711</v>
      </c>
    </row>
    <row r="2220" spans="1:7" x14ac:dyDescent="0.25">
      <c r="A2220">
        <v>402</v>
      </c>
      <c r="B2220">
        <v>2020</v>
      </c>
      <c r="C2220" t="str">
        <f>VLOOKUP(A2220,[2]Tabelle1!$A$1:$B$68,2,FALSE)</f>
        <v>Emden  Stadt</v>
      </c>
      <c r="D2220" t="s">
        <v>2</v>
      </c>
      <c r="E2220" t="s">
        <v>162</v>
      </c>
      <c r="F2220" t="str">
        <f>VLOOKUP(A2220,[1]Kreise!$A$1:$C$53,3,FALSE)</f>
        <v>K03402</v>
      </c>
      <c r="G2220">
        <v>10.355029585798817</v>
      </c>
    </row>
    <row r="2221" spans="1:7" x14ac:dyDescent="0.25">
      <c r="A2221">
        <v>403</v>
      </c>
      <c r="B2221">
        <v>2020</v>
      </c>
      <c r="C2221" t="str">
        <f>VLOOKUP(A2221,[2]Tabelle1!$A$1:$B$68,2,FALSE)</f>
        <v>Oldenburg(Oldb)  Stadt</v>
      </c>
      <c r="D2221" t="s">
        <v>2</v>
      </c>
      <c r="E2221" t="s">
        <v>162</v>
      </c>
      <c r="F2221" t="str">
        <f>VLOOKUP(A2221,[1]Kreise!$A$1:$C$53,3,FALSE)</f>
        <v>K03403</v>
      </c>
      <c r="G2221">
        <v>5.8994197292069632</v>
      </c>
    </row>
    <row r="2222" spans="1:7" x14ac:dyDescent="0.25">
      <c r="A2222">
        <v>404</v>
      </c>
      <c r="B2222">
        <v>2020</v>
      </c>
      <c r="C2222" t="str">
        <f>VLOOKUP(A2222,[2]Tabelle1!$A$1:$B$68,2,FALSE)</f>
        <v>Osnabrück  Stadt</v>
      </c>
      <c r="D2222" t="s">
        <v>2</v>
      </c>
      <c r="E2222" t="s">
        <v>162</v>
      </c>
      <c r="F2222" t="str">
        <f>VLOOKUP(A2222,[1]Kreise!$A$1:$C$53,3,FALSE)</f>
        <v>K03404</v>
      </c>
      <c r="G2222">
        <v>4.8551292090837901</v>
      </c>
    </row>
    <row r="2223" spans="1:7" x14ac:dyDescent="0.25">
      <c r="A2223">
        <v>405</v>
      </c>
      <c r="B2223">
        <v>2020</v>
      </c>
      <c r="C2223" t="str">
        <f>VLOOKUP(A2223,[2]Tabelle1!$A$1:$B$68,2,FALSE)</f>
        <v>Wilhelmshaven  Stadt</v>
      </c>
      <c r="D2223" t="s">
        <v>2</v>
      </c>
      <c r="E2223" t="s">
        <v>162</v>
      </c>
      <c r="F2223" t="str">
        <f>VLOOKUP(A2223,[1]Kreise!$A$1:$C$53,3,FALSE)</f>
        <v>K03405</v>
      </c>
      <c r="G2223">
        <v>6.3291139240506329</v>
      </c>
    </row>
    <row r="2224" spans="1:7" x14ac:dyDescent="0.25">
      <c r="A2224">
        <v>451</v>
      </c>
      <c r="B2224">
        <v>2020</v>
      </c>
      <c r="C2224" t="str">
        <f>VLOOKUP(A2224,[2]Tabelle1!$A$1:$B$68,2,FALSE)</f>
        <v>Ammerland</v>
      </c>
      <c r="D2224" t="s">
        <v>2</v>
      </c>
      <c r="E2224" t="s">
        <v>162</v>
      </c>
      <c r="F2224" t="str">
        <f>VLOOKUP(A2224,[1]Kreise!$A$1:$C$53,3,FALSE)</f>
        <v>K03451</v>
      </c>
      <c r="G2224">
        <v>0</v>
      </c>
    </row>
    <row r="2225" spans="1:7" x14ac:dyDescent="0.25">
      <c r="A2225">
        <v>452</v>
      </c>
      <c r="B2225">
        <v>2020</v>
      </c>
      <c r="C2225" t="str">
        <f>VLOOKUP(A2225,[2]Tabelle1!$A$1:$B$68,2,FALSE)</f>
        <v>Aurich</v>
      </c>
      <c r="D2225" t="s">
        <v>2</v>
      </c>
      <c r="E2225" t="s">
        <v>162</v>
      </c>
      <c r="F2225" t="str">
        <f>VLOOKUP(A2225,[1]Kreise!$A$1:$C$53,3,FALSE)</f>
        <v>K03452</v>
      </c>
      <c r="G2225">
        <v>9.4062708472314878</v>
      </c>
    </row>
    <row r="2226" spans="1:7" x14ac:dyDescent="0.25">
      <c r="A2226">
        <v>453</v>
      </c>
      <c r="B2226">
        <v>2020</v>
      </c>
      <c r="C2226" t="str">
        <f>VLOOKUP(A2226,[2]Tabelle1!$A$1:$B$68,2,FALSE)</f>
        <v>Cloppenburg</v>
      </c>
      <c r="D2226" t="s">
        <v>2</v>
      </c>
      <c r="E2226" t="s">
        <v>162</v>
      </c>
      <c r="F2226" t="str">
        <f>VLOOKUP(A2226,[1]Kreise!$A$1:$C$53,3,FALSE)</f>
        <v>K03453</v>
      </c>
      <c r="G2226">
        <v>6.8681318681318686</v>
      </c>
    </row>
    <row r="2227" spans="1:7" x14ac:dyDescent="0.25">
      <c r="A2227">
        <v>454</v>
      </c>
      <c r="B2227">
        <v>2020</v>
      </c>
      <c r="C2227" t="str">
        <f>VLOOKUP(A2227,[2]Tabelle1!$A$1:$B$68,2,FALSE)</f>
        <v>Emsland</v>
      </c>
      <c r="D2227" t="s">
        <v>2</v>
      </c>
      <c r="E2227" t="s">
        <v>162</v>
      </c>
      <c r="F2227" t="str">
        <f>VLOOKUP(A2227,[1]Kreise!$A$1:$C$53,3,FALSE)</f>
        <v>K03454</v>
      </c>
      <c r="G2227">
        <v>6.6262626262626263</v>
      </c>
    </row>
    <row r="2228" spans="1:7" x14ac:dyDescent="0.25">
      <c r="A2228">
        <v>455</v>
      </c>
      <c r="B2228">
        <v>2020</v>
      </c>
      <c r="C2228" t="str">
        <f>VLOOKUP(A2228,[2]Tabelle1!$A$1:$B$68,2,FALSE)</f>
        <v>Friesland</v>
      </c>
      <c r="D2228" t="s">
        <v>2</v>
      </c>
      <c r="E2228" t="s">
        <v>162</v>
      </c>
      <c r="F2228" t="str">
        <f>VLOOKUP(A2228,[1]Kreise!$A$1:$C$53,3,FALSE)</f>
        <v>K03455</v>
      </c>
      <c r="G2228">
        <v>4.2168674698795181</v>
      </c>
    </row>
    <row r="2229" spans="1:7" x14ac:dyDescent="0.25">
      <c r="A2229">
        <v>456</v>
      </c>
      <c r="B2229">
        <v>2020</v>
      </c>
      <c r="C2229" t="str">
        <f>VLOOKUP(A2229,[2]Tabelle1!$A$1:$B$68,2,FALSE)</f>
        <v>Grafschaft Bentheim</v>
      </c>
      <c r="D2229" t="s">
        <v>2</v>
      </c>
      <c r="E2229" t="s">
        <v>162</v>
      </c>
      <c r="F2229" t="str">
        <f>VLOOKUP(A2229,[1]Kreise!$A$1:$C$53,3,FALSE)</f>
        <v>K03456</v>
      </c>
      <c r="G2229">
        <v>8.682634730538922</v>
      </c>
    </row>
    <row r="2230" spans="1:7" x14ac:dyDescent="0.25">
      <c r="A2230">
        <v>457</v>
      </c>
      <c r="B2230">
        <v>2020</v>
      </c>
      <c r="C2230" t="str">
        <f>VLOOKUP(A2230,[2]Tabelle1!$A$1:$B$68,2,FALSE)</f>
        <v>Leer</v>
      </c>
      <c r="D2230" t="s">
        <v>2</v>
      </c>
      <c r="E2230" t="s">
        <v>162</v>
      </c>
      <c r="F2230" t="str">
        <f>VLOOKUP(A2230,[1]Kreise!$A$1:$C$53,3,FALSE)</f>
        <v>K03457</v>
      </c>
      <c r="G2230">
        <v>7.3469387755102051</v>
      </c>
    </row>
    <row r="2231" spans="1:7" x14ac:dyDescent="0.25">
      <c r="A2231">
        <v>458</v>
      </c>
      <c r="B2231">
        <v>2020</v>
      </c>
      <c r="C2231" t="str">
        <f>VLOOKUP(A2231,[2]Tabelle1!$A$1:$B$68,2,FALSE)</f>
        <v>Oldenburg</v>
      </c>
      <c r="D2231" t="s">
        <v>2</v>
      </c>
      <c r="E2231" t="s">
        <v>162</v>
      </c>
      <c r="F2231" t="str">
        <f>VLOOKUP(A2231,[1]Kreise!$A$1:$C$53,3,FALSE)</f>
        <v>K03458</v>
      </c>
      <c r="G2231">
        <v>5.5242390078917705</v>
      </c>
    </row>
    <row r="2232" spans="1:7" x14ac:dyDescent="0.25">
      <c r="A2232">
        <v>459</v>
      </c>
      <c r="B2232">
        <v>2020</v>
      </c>
      <c r="C2232" t="str">
        <f>VLOOKUP(A2232,[2]Tabelle1!$A$1:$B$68,2,FALSE)</f>
        <v>Osnabrück</v>
      </c>
      <c r="D2232" t="s">
        <v>2</v>
      </c>
      <c r="E2232" t="s">
        <v>162</v>
      </c>
      <c r="F2232" t="str">
        <f>VLOOKUP(A2232,[1]Kreise!$A$1:$C$53,3,FALSE)</f>
        <v>K03459</v>
      </c>
      <c r="G2232">
        <v>5.1754385964912286</v>
      </c>
    </row>
    <row r="2233" spans="1:7" x14ac:dyDescent="0.25">
      <c r="A2233">
        <v>460</v>
      </c>
      <c r="B2233">
        <v>2020</v>
      </c>
      <c r="C2233" t="str">
        <f>VLOOKUP(A2233,[2]Tabelle1!$A$1:$B$68,2,FALSE)</f>
        <v>Vechta</v>
      </c>
      <c r="D2233" t="s">
        <v>2</v>
      </c>
      <c r="E2233" t="s">
        <v>162</v>
      </c>
      <c r="F2233" t="str">
        <f>VLOOKUP(A2233,[1]Kreise!$A$1:$C$53,3,FALSE)</f>
        <v>K03460</v>
      </c>
      <c r="G2233">
        <v>5.52536231884058</v>
      </c>
    </row>
    <row r="2234" spans="1:7" x14ac:dyDescent="0.25">
      <c r="A2234">
        <v>461</v>
      </c>
      <c r="B2234">
        <v>2020</v>
      </c>
      <c r="C2234" t="str">
        <f>VLOOKUP(A2234,[2]Tabelle1!$A$1:$B$68,2,FALSE)</f>
        <v>Wesermarsch</v>
      </c>
      <c r="D2234" t="s">
        <v>2</v>
      </c>
      <c r="E2234" t="s">
        <v>162</v>
      </c>
      <c r="F2234" t="str">
        <f>VLOOKUP(A2234,[1]Kreise!$A$1:$C$53,3,FALSE)</f>
        <v>K03461</v>
      </c>
      <c r="G2234">
        <v>6.8535825545171329</v>
      </c>
    </row>
    <row r="2235" spans="1:7" x14ac:dyDescent="0.25">
      <c r="A2235">
        <v>462</v>
      </c>
      <c r="B2235">
        <v>2020</v>
      </c>
      <c r="C2235" t="str">
        <f>VLOOKUP(A2235,[2]Tabelle1!$A$1:$B$68,2,FALSE)</f>
        <v>Wittmund</v>
      </c>
      <c r="D2235" t="s">
        <v>2</v>
      </c>
      <c r="E2235" t="s">
        <v>162</v>
      </c>
      <c r="F2235" t="str">
        <f>VLOOKUP(A2235,[1]Kreise!$A$1:$C$53,3,FALSE)</f>
        <v>K03462</v>
      </c>
      <c r="G2235">
        <v>4.3568464730290453</v>
      </c>
    </row>
    <row r="2236" spans="1:7" x14ac:dyDescent="0.25">
      <c r="A2236">
        <v>4</v>
      </c>
      <c r="B2236">
        <v>2020</v>
      </c>
      <c r="C2236" t="str">
        <f>VLOOKUP(A2236,[2]Tabelle1!$A$1:$B$68,2,FALSE)</f>
        <v>Statistische Region Weser-Ems</v>
      </c>
      <c r="D2236" t="s">
        <v>2</v>
      </c>
      <c r="E2236" t="s">
        <v>162</v>
      </c>
      <c r="F2236" t="str">
        <f>VLOOKUP(A2236,[1]Kreise!$A$1:$C$53,3,FALSE)</f>
        <v>K034</v>
      </c>
      <c r="G2236">
        <v>6.3813358336550667</v>
      </c>
    </row>
    <row r="2237" spans="1:7" x14ac:dyDescent="0.25">
      <c r="A2237">
        <v>0</v>
      </c>
      <c r="B2237">
        <v>2020</v>
      </c>
      <c r="C2237" t="str">
        <f>VLOOKUP(A2237,[2]Tabelle1!$A$1:$B$68,2,FALSE)</f>
        <v>Niedersachsen</v>
      </c>
      <c r="D2237" t="s">
        <v>2</v>
      </c>
      <c r="E2237" t="s">
        <v>162</v>
      </c>
      <c r="F2237" t="str">
        <f>VLOOKUP(A2237,[1]Kreise!$A$1:$C$53,3,FALSE)</f>
        <v>K030</v>
      </c>
      <c r="G2237">
        <v>6.6102189781021892</v>
      </c>
    </row>
    <row r="2238" spans="1:7" x14ac:dyDescent="0.25">
      <c r="A2238">
        <v>101</v>
      </c>
      <c r="B2238">
        <v>2020</v>
      </c>
      <c r="C2238" t="str">
        <f>VLOOKUP(A2238,[2]Tabelle1!$A$1:$B$68,2,FALSE)</f>
        <v>Braunschweig  Stadt</v>
      </c>
      <c r="D2238" t="s">
        <v>3</v>
      </c>
      <c r="E2238" t="s">
        <v>162</v>
      </c>
      <c r="F2238" t="str">
        <f>VLOOKUP(A2238,[1]Kreise!$A$1:$C$53,3,FALSE)</f>
        <v>K03101</v>
      </c>
      <c r="G2238">
        <v>13.513513513513514</v>
      </c>
    </row>
    <row r="2239" spans="1:7" x14ac:dyDescent="0.25">
      <c r="A2239">
        <v>102</v>
      </c>
      <c r="B2239">
        <v>2020</v>
      </c>
      <c r="C2239" t="str">
        <f>VLOOKUP(A2239,[2]Tabelle1!$A$1:$B$68,2,FALSE)</f>
        <v>Salzgitter  Stadt</v>
      </c>
      <c r="D2239" t="s">
        <v>3</v>
      </c>
      <c r="E2239" t="s">
        <v>162</v>
      </c>
      <c r="F2239" t="str">
        <f>VLOOKUP(A2239,[1]Kreise!$A$1:$C$53,3,FALSE)</f>
        <v>K03102</v>
      </c>
      <c r="G2239">
        <v>23.430962343096233</v>
      </c>
    </row>
    <row r="2240" spans="1:7" x14ac:dyDescent="0.25">
      <c r="A2240">
        <v>103</v>
      </c>
      <c r="B2240">
        <v>2020</v>
      </c>
      <c r="C2240" t="str">
        <f>VLOOKUP(A2240,[2]Tabelle1!$A$1:$B$68,2,FALSE)</f>
        <v>Wolfsburg  Stadt</v>
      </c>
      <c r="D2240" t="s">
        <v>3</v>
      </c>
      <c r="E2240" t="s">
        <v>162</v>
      </c>
      <c r="F2240" t="str">
        <f>VLOOKUP(A2240,[1]Kreise!$A$1:$C$53,3,FALSE)</f>
        <v>K03103</v>
      </c>
      <c r="G2240">
        <v>7.8014184397163122</v>
      </c>
    </row>
    <row r="2241" spans="1:7" x14ac:dyDescent="0.25">
      <c r="A2241">
        <v>151</v>
      </c>
      <c r="B2241">
        <v>2020</v>
      </c>
      <c r="C2241" t="str">
        <f>VLOOKUP(A2241,[2]Tabelle1!$A$1:$B$68,2,FALSE)</f>
        <v>Gifhorn</v>
      </c>
      <c r="D2241" t="s">
        <v>3</v>
      </c>
      <c r="E2241" t="s">
        <v>162</v>
      </c>
      <c r="F2241" t="str">
        <f>VLOOKUP(A2241,[1]Kreise!$A$1:$C$53,3,FALSE)</f>
        <v>K03151</v>
      </c>
      <c r="G2241">
        <v>16.279069767441861</v>
      </c>
    </row>
    <row r="2242" spans="1:7" x14ac:dyDescent="0.25">
      <c r="A2242">
        <v>153</v>
      </c>
      <c r="B2242">
        <v>2020</v>
      </c>
      <c r="C2242" t="str">
        <f>VLOOKUP(A2242,[2]Tabelle1!$A$1:$B$68,2,FALSE)</f>
        <v>Goslar</v>
      </c>
      <c r="D2242" t="s">
        <v>3</v>
      </c>
      <c r="E2242" t="s">
        <v>162</v>
      </c>
      <c r="F2242" t="str">
        <f>VLOOKUP(A2242,[1]Kreise!$A$1:$C$53,3,FALSE)</f>
        <v>K03153</v>
      </c>
      <c r="G2242">
        <v>21.739130434782609</v>
      </c>
    </row>
    <row r="2243" spans="1:7" x14ac:dyDescent="0.25">
      <c r="A2243">
        <v>154</v>
      </c>
      <c r="B2243">
        <v>2020</v>
      </c>
      <c r="C2243" t="str">
        <f>VLOOKUP(A2243,[2]Tabelle1!$A$1:$B$68,2,FALSE)</f>
        <v>Helmstedt</v>
      </c>
      <c r="D2243" t="s">
        <v>3</v>
      </c>
      <c r="E2243" t="s">
        <v>162</v>
      </c>
      <c r="F2243" t="str">
        <f>VLOOKUP(A2243,[1]Kreise!$A$1:$C$53,3,FALSE)</f>
        <v>K03154</v>
      </c>
      <c r="G2243">
        <v>26.923076923076923</v>
      </c>
    </row>
    <row r="2244" spans="1:7" x14ac:dyDescent="0.25">
      <c r="A2244">
        <v>155</v>
      </c>
      <c r="B2244">
        <v>2020</v>
      </c>
      <c r="C2244" t="str">
        <f>VLOOKUP(A2244,[2]Tabelle1!$A$1:$B$68,2,FALSE)</f>
        <v>Northeim</v>
      </c>
      <c r="D2244" t="s">
        <v>3</v>
      </c>
      <c r="E2244" t="s">
        <v>162</v>
      </c>
      <c r="F2244" t="str">
        <f>VLOOKUP(A2244,[1]Kreise!$A$1:$C$53,3,FALSE)</f>
        <v>K03155</v>
      </c>
      <c r="G2244">
        <v>16.901408450704224</v>
      </c>
    </row>
    <row r="2245" spans="1:7" x14ac:dyDescent="0.25">
      <c r="A2245">
        <v>157</v>
      </c>
      <c r="B2245">
        <v>2020</v>
      </c>
      <c r="C2245" t="str">
        <f>VLOOKUP(A2245,[2]Tabelle1!$A$1:$B$68,2,FALSE)</f>
        <v>Peine</v>
      </c>
      <c r="D2245" t="s">
        <v>3</v>
      </c>
      <c r="E2245" t="s">
        <v>162</v>
      </c>
      <c r="F2245" t="str">
        <f>VLOOKUP(A2245,[1]Kreise!$A$1:$C$53,3,FALSE)</f>
        <v>K03157</v>
      </c>
      <c r="G2245">
        <v>9.4017094017094021</v>
      </c>
    </row>
    <row r="2246" spans="1:7" x14ac:dyDescent="0.25">
      <c r="A2246">
        <v>158</v>
      </c>
      <c r="B2246">
        <v>2020</v>
      </c>
      <c r="C2246" t="str">
        <f>VLOOKUP(A2246,[2]Tabelle1!$A$1:$B$68,2,FALSE)</f>
        <v>Wolfenbüttel</v>
      </c>
      <c r="D2246" t="s">
        <v>3</v>
      </c>
      <c r="E2246" t="s">
        <v>162</v>
      </c>
      <c r="F2246" t="str">
        <f>VLOOKUP(A2246,[1]Kreise!$A$1:$C$53,3,FALSE)</f>
        <v>K03158</v>
      </c>
      <c r="G2246">
        <v>9.375</v>
      </c>
    </row>
    <row r="2247" spans="1:7" x14ac:dyDescent="0.25">
      <c r="A2247">
        <v>159</v>
      </c>
      <c r="B2247">
        <v>2020</v>
      </c>
      <c r="C2247" t="str">
        <f>VLOOKUP(A2247,[2]Tabelle1!$A$1:$B$68,2,FALSE)</f>
        <v>Göttingen</v>
      </c>
      <c r="D2247" t="s">
        <v>3</v>
      </c>
      <c r="E2247" t="s">
        <v>162</v>
      </c>
      <c r="F2247" t="str">
        <f>VLOOKUP(A2247,[1]Kreise!$A$1:$C$53,3,FALSE)</f>
        <v>K03159</v>
      </c>
      <c r="G2247">
        <v>21.428571428571427</v>
      </c>
    </row>
    <row r="2248" spans="1:7" x14ac:dyDescent="0.25">
      <c r="A2248">
        <v>1</v>
      </c>
      <c r="B2248">
        <v>2020</v>
      </c>
      <c r="C2248" t="str">
        <f>VLOOKUP(A2248,[2]Tabelle1!$A$1:$B$68,2,FALSE)</f>
        <v>Statistische Region Braunschweig</v>
      </c>
      <c r="D2248" t="s">
        <v>3</v>
      </c>
      <c r="E2248" t="s">
        <v>162</v>
      </c>
      <c r="F2248" t="str">
        <f>VLOOKUP(A2248,[1]Kreise!$A$1:$C$53,3,FALSE)</f>
        <v>K031</v>
      </c>
      <c r="G2248">
        <v>16.74917491749175</v>
      </c>
    </row>
    <row r="2249" spans="1:7" x14ac:dyDescent="0.25">
      <c r="A2249">
        <v>241</v>
      </c>
      <c r="B2249">
        <v>2020</v>
      </c>
      <c r="C2249" t="str">
        <f>VLOOKUP(A2249,[2]Tabelle1!$A$1:$B$68,2,FALSE)</f>
        <v>Hannover  Region</v>
      </c>
      <c r="D2249" t="s">
        <v>3</v>
      </c>
      <c r="E2249" t="s">
        <v>162</v>
      </c>
      <c r="F2249" t="str">
        <f>VLOOKUP(A2249,[1]Kreise!$A$1:$C$53,3,FALSE)</f>
        <v>K03241</v>
      </c>
      <c r="G2249">
        <v>16.773017319963536</v>
      </c>
    </row>
    <row r="2250" spans="1:7" x14ac:dyDescent="0.25">
      <c r="A2250">
        <v>241001</v>
      </c>
      <c r="B2250">
        <v>2020</v>
      </c>
      <c r="C2250" t="str">
        <f>VLOOKUP(A2250,[2]Tabelle1!$A$1:$B$68,2,FALSE)</f>
        <v>dav. Hannover  Lhst.</v>
      </c>
      <c r="D2250" t="s">
        <v>3</v>
      </c>
      <c r="E2250" t="s">
        <v>162</v>
      </c>
      <c r="F2250" t="str">
        <f>VLOOKUP(A2250,[1]Kreise!$A$1:$C$53,3,FALSE)</f>
        <v>K03241001</v>
      </c>
      <c r="G2250">
        <v>17.689530685920577</v>
      </c>
    </row>
    <row r="2251" spans="1:7" x14ac:dyDescent="0.25">
      <c r="A2251">
        <v>241999</v>
      </c>
      <c r="B2251">
        <v>2020</v>
      </c>
      <c r="C2251" t="str">
        <f>VLOOKUP(A2251,[2]Tabelle1!$A$1:$B$68,2,FALSE)</f>
        <v>dav. Hannover  Umland</v>
      </c>
      <c r="D2251" t="s">
        <v>3</v>
      </c>
      <c r="E2251" t="s">
        <v>162</v>
      </c>
      <c r="F2251" t="str">
        <f>VLOOKUP(A2251,[1]Kreise!$A$1:$C$53,3,FALSE)</f>
        <v>K03241999</v>
      </c>
      <c r="G2251">
        <v>15.837937384898712</v>
      </c>
    </row>
    <row r="2252" spans="1:7" x14ac:dyDescent="0.25">
      <c r="A2252">
        <v>251</v>
      </c>
      <c r="B2252">
        <v>2020</v>
      </c>
      <c r="C2252" t="str">
        <f>VLOOKUP(A2252,[2]Tabelle1!$A$1:$B$68,2,FALSE)</f>
        <v>Diepholz</v>
      </c>
      <c r="D2252" t="s">
        <v>3</v>
      </c>
      <c r="E2252" t="s">
        <v>162</v>
      </c>
      <c r="F2252" t="str">
        <f>VLOOKUP(A2252,[1]Kreise!$A$1:$C$53,3,FALSE)</f>
        <v>K03251</v>
      </c>
      <c r="G2252">
        <v>23.741007194244602</v>
      </c>
    </row>
    <row r="2253" spans="1:7" x14ac:dyDescent="0.25">
      <c r="A2253">
        <v>252</v>
      </c>
      <c r="B2253">
        <v>2020</v>
      </c>
      <c r="C2253" t="str">
        <f>VLOOKUP(A2253,[2]Tabelle1!$A$1:$B$68,2,FALSE)</f>
        <v>Hameln-Pyrmont</v>
      </c>
      <c r="D2253" t="s">
        <v>3</v>
      </c>
      <c r="E2253" t="s">
        <v>162</v>
      </c>
      <c r="F2253" t="str">
        <f>VLOOKUP(A2253,[1]Kreise!$A$1:$C$53,3,FALSE)</f>
        <v>K03252</v>
      </c>
      <c r="G2253">
        <v>26.356589147286826</v>
      </c>
    </row>
    <row r="2254" spans="1:7" x14ac:dyDescent="0.25">
      <c r="A2254">
        <v>254</v>
      </c>
      <c r="B2254">
        <v>2020</v>
      </c>
      <c r="C2254" t="str">
        <f>VLOOKUP(A2254,[2]Tabelle1!$A$1:$B$68,2,FALSE)</f>
        <v>Hildesheim</v>
      </c>
      <c r="D2254" t="s">
        <v>3</v>
      </c>
      <c r="E2254" t="s">
        <v>162</v>
      </c>
      <c r="F2254" t="str">
        <f>VLOOKUP(A2254,[1]Kreise!$A$1:$C$53,3,FALSE)</f>
        <v>K03254</v>
      </c>
      <c r="G2254">
        <v>19.902912621359224</v>
      </c>
    </row>
    <row r="2255" spans="1:7" x14ac:dyDescent="0.25">
      <c r="A2255">
        <v>255</v>
      </c>
      <c r="B2255">
        <v>2020</v>
      </c>
      <c r="C2255" t="str">
        <f>VLOOKUP(A2255,[2]Tabelle1!$A$1:$B$68,2,FALSE)</f>
        <v>Holzminden</v>
      </c>
      <c r="D2255" t="s">
        <v>3</v>
      </c>
      <c r="E2255" t="s">
        <v>162</v>
      </c>
      <c r="F2255" t="str">
        <f>VLOOKUP(A2255,[1]Kreise!$A$1:$C$53,3,FALSE)</f>
        <v>K03255</v>
      </c>
      <c r="G2255">
        <v>17.948717948717949</v>
      </c>
    </row>
    <row r="2256" spans="1:7" x14ac:dyDescent="0.25">
      <c r="A2256">
        <v>256</v>
      </c>
      <c r="B2256">
        <v>2020</v>
      </c>
      <c r="C2256" t="str">
        <f>VLOOKUP(A2256,[2]Tabelle1!$A$1:$B$68,2,FALSE)</f>
        <v>Nienburg (Weser)</v>
      </c>
      <c r="D2256" t="s">
        <v>3</v>
      </c>
      <c r="E2256" t="s">
        <v>162</v>
      </c>
      <c r="F2256" t="str">
        <f>VLOOKUP(A2256,[1]Kreise!$A$1:$C$53,3,FALSE)</f>
        <v>K03256</v>
      </c>
      <c r="G2256">
        <v>19.148936170212767</v>
      </c>
    </row>
    <row r="2257" spans="1:7" x14ac:dyDescent="0.25">
      <c r="A2257">
        <v>257</v>
      </c>
      <c r="B2257">
        <v>2020</v>
      </c>
      <c r="C2257" t="str">
        <f>VLOOKUP(A2257,[2]Tabelle1!$A$1:$B$68,2,FALSE)</f>
        <v>Schaumburg</v>
      </c>
      <c r="D2257" t="s">
        <v>3</v>
      </c>
      <c r="E2257" t="s">
        <v>162</v>
      </c>
      <c r="F2257" t="str">
        <f>VLOOKUP(A2257,[1]Kreise!$A$1:$C$53,3,FALSE)</f>
        <v>K03257</v>
      </c>
      <c r="G2257">
        <v>19.26605504587156</v>
      </c>
    </row>
    <row r="2258" spans="1:7" x14ac:dyDescent="0.25">
      <c r="A2258">
        <v>2</v>
      </c>
      <c r="B2258">
        <v>2020</v>
      </c>
      <c r="C2258" t="str">
        <f>VLOOKUP(A2258,[2]Tabelle1!$A$1:$B$68,2,FALSE)</f>
        <v>Statistische Region Hannover</v>
      </c>
      <c r="D2258" t="s">
        <v>3</v>
      </c>
      <c r="E2258" t="s">
        <v>162</v>
      </c>
      <c r="F2258" t="str">
        <f>VLOOKUP(A2258,[1]Kreise!$A$1:$C$53,3,FALSE)</f>
        <v>K032</v>
      </c>
      <c r="G2258">
        <v>18.643132928847216</v>
      </c>
    </row>
    <row r="2259" spans="1:7" x14ac:dyDescent="0.25">
      <c r="A2259">
        <v>351</v>
      </c>
      <c r="B2259">
        <v>2020</v>
      </c>
      <c r="C2259" t="str">
        <f>VLOOKUP(A2259,[2]Tabelle1!$A$1:$B$68,2,FALSE)</f>
        <v>Celle</v>
      </c>
      <c r="D2259" t="s">
        <v>3</v>
      </c>
      <c r="E2259" t="s">
        <v>162</v>
      </c>
      <c r="F2259" t="str">
        <f>VLOOKUP(A2259,[1]Kreise!$A$1:$C$53,3,FALSE)</f>
        <v>K03351</v>
      </c>
      <c r="G2259">
        <v>25.210084033613445</v>
      </c>
    </row>
    <row r="2260" spans="1:7" x14ac:dyDescent="0.25">
      <c r="A2260">
        <v>352</v>
      </c>
      <c r="B2260">
        <v>2020</v>
      </c>
      <c r="C2260" t="str">
        <f>VLOOKUP(A2260,[2]Tabelle1!$A$1:$B$68,2,FALSE)</f>
        <v>Cuxhaven</v>
      </c>
      <c r="D2260" t="s">
        <v>3</v>
      </c>
      <c r="E2260" t="s">
        <v>162</v>
      </c>
      <c r="F2260" t="str">
        <f>VLOOKUP(A2260,[1]Kreise!$A$1:$C$53,3,FALSE)</f>
        <v>K03352</v>
      </c>
      <c r="G2260">
        <v>20.3125</v>
      </c>
    </row>
    <row r="2261" spans="1:7" x14ac:dyDescent="0.25">
      <c r="A2261">
        <v>353</v>
      </c>
      <c r="B2261">
        <v>2020</v>
      </c>
      <c r="C2261" t="str">
        <f>VLOOKUP(A2261,[2]Tabelle1!$A$1:$B$68,2,FALSE)</f>
        <v>Harburg</v>
      </c>
      <c r="D2261" t="s">
        <v>3</v>
      </c>
      <c r="E2261" t="s">
        <v>162</v>
      </c>
      <c r="F2261" t="str">
        <f>VLOOKUP(A2261,[1]Kreise!$A$1:$C$53,3,FALSE)</f>
        <v>K03353</v>
      </c>
      <c r="G2261">
        <v>20.202020202020201</v>
      </c>
    </row>
    <row r="2262" spans="1:7" x14ac:dyDescent="0.25">
      <c r="A2262">
        <v>354</v>
      </c>
      <c r="B2262">
        <v>2020</v>
      </c>
      <c r="C2262" t="str">
        <f>VLOOKUP(A2262,[2]Tabelle1!$A$1:$B$68,2,FALSE)</f>
        <v>Lüchow-Dannenberg</v>
      </c>
      <c r="D2262" t="s">
        <v>3</v>
      </c>
      <c r="E2262" t="s">
        <v>162</v>
      </c>
      <c r="F2262" t="str">
        <f>VLOOKUP(A2262,[1]Kreise!$A$1:$C$53,3,FALSE)</f>
        <v>K03354</v>
      </c>
      <c r="G2262">
        <v>31.25</v>
      </c>
    </row>
    <row r="2263" spans="1:7" x14ac:dyDescent="0.25">
      <c r="A2263">
        <v>355</v>
      </c>
      <c r="B2263">
        <v>2020</v>
      </c>
      <c r="C2263" t="str">
        <f>VLOOKUP(A2263,[2]Tabelle1!$A$1:$B$68,2,FALSE)</f>
        <v>Lüneburg</v>
      </c>
      <c r="D2263" t="s">
        <v>3</v>
      </c>
      <c r="E2263" t="s">
        <v>162</v>
      </c>
      <c r="F2263" t="str">
        <f>VLOOKUP(A2263,[1]Kreise!$A$1:$C$53,3,FALSE)</f>
        <v>K03355</v>
      </c>
      <c r="G2263">
        <v>12.056737588652481</v>
      </c>
    </row>
    <row r="2264" spans="1:7" x14ac:dyDescent="0.25">
      <c r="A2264">
        <v>356</v>
      </c>
      <c r="B2264">
        <v>2020</v>
      </c>
      <c r="C2264" t="str">
        <f>VLOOKUP(A2264,[2]Tabelle1!$A$1:$B$68,2,FALSE)</f>
        <v>Osterholz</v>
      </c>
      <c r="D2264" t="s">
        <v>3</v>
      </c>
      <c r="E2264" t="s">
        <v>162</v>
      </c>
      <c r="F2264" t="str">
        <f>VLOOKUP(A2264,[1]Kreise!$A$1:$C$53,3,FALSE)</f>
        <v>K03356</v>
      </c>
      <c r="G2264">
        <v>23.636363636363637</v>
      </c>
    </row>
    <row r="2265" spans="1:7" x14ac:dyDescent="0.25">
      <c r="A2265">
        <v>357</v>
      </c>
      <c r="B2265">
        <v>2020</v>
      </c>
      <c r="C2265" t="str">
        <f>VLOOKUP(A2265,[2]Tabelle1!$A$1:$B$68,2,FALSE)</f>
        <v>Rotenburg (Wümme)</v>
      </c>
      <c r="D2265" t="s">
        <v>3</v>
      </c>
      <c r="E2265" t="s">
        <v>162</v>
      </c>
      <c r="F2265" t="str">
        <f>VLOOKUP(A2265,[1]Kreise!$A$1:$C$53,3,FALSE)</f>
        <v>K03357</v>
      </c>
      <c r="G2265">
        <v>39.473684210526315</v>
      </c>
    </row>
    <row r="2266" spans="1:7" x14ac:dyDescent="0.25">
      <c r="A2266">
        <v>358</v>
      </c>
      <c r="B2266">
        <v>2020</v>
      </c>
      <c r="C2266" t="str">
        <f>VLOOKUP(A2266,[2]Tabelle1!$A$1:$B$68,2,FALSE)</f>
        <v>Heidekreis</v>
      </c>
      <c r="D2266" t="s">
        <v>3</v>
      </c>
      <c r="E2266" t="s">
        <v>162</v>
      </c>
      <c r="F2266" t="str">
        <f>VLOOKUP(A2266,[1]Kreise!$A$1:$C$53,3,FALSE)</f>
        <v>K03358</v>
      </c>
      <c r="G2266">
        <v>11.475409836065573</v>
      </c>
    </row>
    <row r="2267" spans="1:7" x14ac:dyDescent="0.25">
      <c r="A2267">
        <v>359</v>
      </c>
      <c r="B2267">
        <v>2020</v>
      </c>
      <c r="C2267" t="str">
        <f>VLOOKUP(A2267,[2]Tabelle1!$A$1:$B$68,2,FALSE)</f>
        <v>Stade</v>
      </c>
      <c r="D2267" t="s">
        <v>3</v>
      </c>
      <c r="E2267" t="s">
        <v>162</v>
      </c>
      <c r="F2267" t="str">
        <f>VLOOKUP(A2267,[1]Kreise!$A$1:$C$53,3,FALSE)</f>
        <v>K03359</v>
      </c>
      <c r="G2267">
        <v>30.357142857142854</v>
      </c>
    </row>
    <row r="2268" spans="1:7" x14ac:dyDescent="0.25">
      <c r="A2268">
        <v>360</v>
      </c>
      <c r="B2268">
        <v>2020</v>
      </c>
      <c r="C2268" t="str">
        <f>VLOOKUP(A2268,[2]Tabelle1!$A$1:$B$68,2,FALSE)</f>
        <v>Uelzen</v>
      </c>
      <c r="D2268" t="s">
        <v>3</v>
      </c>
      <c r="E2268" t="s">
        <v>162</v>
      </c>
      <c r="F2268" t="str">
        <f>VLOOKUP(A2268,[1]Kreise!$A$1:$C$53,3,FALSE)</f>
        <v>K03360</v>
      </c>
      <c r="G2268">
        <v>15.789473684210526</v>
      </c>
    </row>
    <row r="2269" spans="1:7" x14ac:dyDescent="0.25">
      <c r="A2269">
        <v>361</v>
      </c>
      <c r="B2269">
        <v>2020</v>
      </c>
      <c r="C2269" t="str">
        <f>VLOOKUP(A2269,[2]Tabelle1!$A$1:$B$68,2,FALSE)</f>
        <v>Verden</v>
      </c>
      <c r="D2269" t="s">
        <v>3</v>
      </c>
      <c r="E2269" t="s">
        <v>162</v>
      </c>
      <c r="F2269" t="str">
        <f>VLOOKUP(A2269,[1]Kreise!$A$1:$C$53,3,FALSE)</f>
        <v>K03361</v>
      </c>
      <c r="G2269">
        <v>10.38961038961039</v>
      </c>
    </row>
    <row r="2270" spans="1:7" x14ac:dyDescent="0.25">
      <c r="A2270">
        <v>3</v>
      </c>
      <c r="B2270">
        <v>2020</v>
      </c>
      <c r="C2270" t="str">
        <f>VLOOKUP(A2270,[2]Tabelle1!$A$1:$B$68,2,FALSE)</f>
        <v>Statistische Region Lüneburg</v>
      </c>
      <c r="D2270" t="s">
        <v>3</v>
      </c>
      <c r="E2270" t="s">
        <v>162</v>
      </c>
      <c r="F2270" t="str">
        <f>VLOOKUP(A2270,[1]Kreise!$A$1:$C$53,3,FALSE)</f>
        <v>K033</v>
      </c>
      <c r="G2270">
        <v>21.779141104294478</v>
      </c>
    </row>
    <row r="2271" spans="1:7" x14ac:dyDescent="0.25">
      <c r="A2271">
        <v>401</v>
      </c>
      <c r="B2271">
        <v>2020</v>
      </c>
      <c r="C2271" t="str">
        <f>VLOOKUP(A2271,[2]Tabelle1!$A$1:$B$68,2,FALSE)</f>
        <v>Delmenhorst  Stadt</v>
      </c>
      <c r="D2271" t="s">
        <v>3</v>
      </c>
      <c r="E2271" t="s">
        <v>162</v>
      </c>
      <c r="F2271" t="str">
        <f>VLOOKUP(A2271,[1]Kreise!$A$1:$C$53,3,FALSE)</f>
        <v>K03401</v>
      </c>
      <c r="G2271">
        <v>26.666666666666668</v>
      </c>
    </row>
    <row r="2272" spans="1:7" x14ac:dyDescent="0.25">
      <c r="A2272">
        <v>402</v>
      </c>
      <c r="B2272">
        <v>2020</v>
      </c>
      <c r="C2272" t="str">
        <f>VLOOKUP(A2272,[2]Tabelle1!$A$1:$B$68,2,FALSE)</f>
        <v>Emden  Stadt</v>
      </c>
      <c r="D2272" t="s">
        <v>3</v>
      </c>
      <c r="E2272" t="s">
        <v>162</v>
      </c>
      <c r="F2272" t="str">
        <f>VLOOKUP(A2272,[1]Kreise!$A$1:$C$53,3,FALSE)</f>
        <v>K03402</v>
      </c>
      <c r="G2272">
        <v>46.153846153846153</v>
      </c>
    </row>
    <row r="2273" spans="1:7" x14ac:dyDescent="0.25">
      <c r="A2273">
        <v>403</v>
      </c>
      <c r="B2273">
        <v>2020</v>
      </c>
      <c r="C2273" t="str">
        <f>VLOOKUP(A2273,[2]Tabelle1!$A$1:$B$68,2,FALSE)</f>
        <v>Oldenburg(Oldb)  Stadt</v>
      </c>
      <c r="D2273" t="s">
        <v>3</v>
      </c>
      <c r="E2273" t="s">
        <v>162</v>
      </c>
      <c r="F2273" t="str">
        <f>VLOOKUP(A2273,[1]Kreise!$A$1:$C$53,3,FALSE)</f>
        <v>K03403</v>
      </c>
      <c r="G2273">
        <v>19.078947368421055</v>
      </c>
    </row>
    <row r="2274" spans="1:7" x14ac:dyDescent="0.25">
      <c r="A2274">
        <v>404</v>
      </c>
      <c r="B2274">
        <v>2020</v>
      </c>
      <c r="C2274" t="str">
        <f>VLOOKUP(A2274,[2]Tabelle1!$A$1:$B$68,2,FALSE)</f>
        <v>Osnabrück  Stadt</v>
      </c>
      <c r="D2274" t="s">
        <v>3</v>
      </c>
      <c r="E2274" t="s">
        <v>162</v>
      </c>
      <c r="F2274" t="str">
        <f>VLOOKUP(A2274,[1]Kreise!$A$1:$C$53,3,FALSE)</f>
        <v>K03404</v>
      </c>
      <c r="G2274">
        <v>18.274111675126903</v>
      </c>
    </row>
    <row r="2275" spans="1:7" x14ac:dyDescent="0.25">
      <c r="A2275">
        <v>405</v>
      </c>
      <c r="B2275">
        <v>2020</v>
      </c>
      <c r="C2275" t="str">
        <f>VLOOKUP(A2275,[2]Tabelle1!$A$1:$B$68,2,FALSE)</f>
        <v>Wilhelmshaven  Stadt</v>
      </c>
      <c r="D2275" t="s">
        <v>3</v>
      </c>
      <c r="E2275" t="s">
        <v>162</v>
      </c>
      <c r="F2275" t="str">
        <f>VLOOKUP(A2275,[1]Kreise!$A$1:$C$53,3,FALSE)</f>
        <v>K03405</v>
      </c>
      <c r="G2275">
        <v>17.391304347826086</v>
      </c>
    </row>
    <row r="2276" spans="1:7" x14ac:dyDescent="0.25">
      <c r="A2276">
        <v>451</v>
      </c>
      <c r="B2276">
        <v>2020</v>
      </c>
      <c r="C2276" t="str">
        <f>VLOOKUP(A2276,[2]Tabelle1!$A$1:$B$68,2,FALSE)</f>
        <v>Ammerland</v>
      </c>
      <c r="D2276" t="s">
        <v>3</v>
      </c>
      <c r="E2276" t="s">
        <v>162</v>
      </c>
      <c r="F2276" t="str">
        <f>VLOOKUP(A2276,[1]Kreise!$A$1:$C$53,3,FALSE)</f>
        <v>K03451</v>
      </c>
      <c r="G2276">
        <v>0</v>
      </c>
    </row>
    <row r="2277" spans="1:7" x14ac:dyDescent="0.25">
      <c r="A2277">
        <v>452</v>
      </c>
      <c r="B2277">
        <v>2020</v>
      </c>
      <c r="C2277" t="str">
        <f>VLOOKUP(A2277,[2]Tabelle1!$A$1:$B$68,2,FALSE)</f>
        <v>Aurich</v>
      </c>
      <c r="D2277" t="s">
        <v>3</v>
      </c>
      <c r="E2277" t="s">
        <v>162</v>
      </c>
      <c r="F2277" t="str">
        <f>VLOOKUP(A2277,[1]Kreise!$A$1:$C$53,3,FALSE)</f>
        <v>K03452</v>
      </c>
      <c r="G2277">
        <v>22.222222222222221</v>
      </c>
    </row>
    <row r="2278" spans="1:7" x14ac:dyDescent="0.25">
      <c r="A2278">
        <v>453</v>
      </c>
      <c r="B2278">
        <v>2020</v>
      </c>
      <c r="C2278" t="str">
        <f>VLOOKUP(A2278,[2]Tabelle1!$A$1:$B$68,2,FALSE)</f>
        <v>Cloppenburg</v>
      </c>
      <c r="D2278" t="s">
        <v>3</v>
      </c>
      <c r="E2278" t="s">
        <v>162</v>
      </c>
      <c r="F2278" t="str">
        <f>VLOOKUP(A2278,[1]Kreise!$A$1:$C$53,3,FALSE)</f>
        <v>K03453</v>
      </c>
      <c r="G2278">
        <v>28.368794326241137</v>
      </c>
    </row>
    <row r="2279" spans="1:7" x14ac:dyDescent="0.25">
      <c r="A2279">
        <v>454</v>
      </c>
      <c r="B2279">
        <v>2020</v>
      </c>
      <c r="C2279" t="str">
        <f>VLOOKUP(A2279,[2]Tabelle1!$A$1:$B$68,2,FALSE)</f>
        <v>Emsland</v>
      </c>
      <c r="D2279" t="s">
        <v>3</v>
      </c>
      <c r="E2279" t="s">
        <v>162</v>
      </c>
      <c r="F2279" t="str">
        <f>VLOOKUP(A2279,[1]Kreise!$A$1:$C$53,3,FALSE)</f>
        <v>K03454</v>
      </c>
      <c r="G2279">
        <v>28.571428571428569</v>
      </c>
    </row>
    <row r="2280" spans="1:7" x14ac:dyDescent="0.25">
      <c r="A2280">
        <v>455</v>
      </c>
      <c r="B2280">
        <v>2020</v>
      </c>
      <c r="C2280" t="str">
        <f>VLOOKUP(A2280,[2]Tabelle1!$A$1:$B$68,2,FALSE)</f>
        <v>Friesland</v>
      </c>
      <c r="D2280" t="s">
        <v>3</v>
      </c>
      <c r="E2280" t="s">
        <v>162</v>
      </c>
      <c r="F2280" t="str">
        <f>VLOOKUP(A2280,[1]Kreise!$A$1:$C$53,3,FALSE)</f>
        <v>K03455</v>
      </c>
      <c r="G2280">
        <v>29.411764705882355</v>
      </c>
    </row>
    <row r="2281" spans="1:7" x14ac:dyDescent="0.25">
      <c r="A2281">
        <v>456</v>
      </c>
      <c r="B2281">
        <v>2020</v>
      </c>
      <c r="C2281" t="str">
        <f>VLOOKUP(A2281,[2]Tabelle1!$A$1:$B$68,2,FALSE)</f>
        <v>Grafschaft Bentheim</v>
      </c>
      <c r="D2281" t="s">
        <v>3</v>
      </c>
      <c r="E2281" t="s">
        <v>162</v>
      </c>
      <c r="F2281" t="str">
        <f>VLOOKUP(A2281,[1]Kreise!$A$1:$C$53,3,FALSE)</f>
        <v>K03456</v>
      </c>
      <c r="G2281">
        <v>20.472440944881889</v>
      </c>
    </row>
    <row r="2282" spans="1:7" x14ac:dyDescent="0.25">
      <c r="A2282">
        <v>457</v>
      </c>
      <c r="B2282">
        <v>2020</v>
      </c>
      <c r="C2282" t="str">
        <f>VLOOKUP(A2282,[2]Tabelle1!$A$1:$B$68,2,FALSE)</f>
        <v>Leer</v>
      </c>
      <c r="D2282" t="s">
        <v>3</v>
      </c>
      <c r="E2282" t="s">
        <v>162</v>
      </c>
      <c r="F2282" t="str">
        <f>VLOOKUP(A2282,[1]Kreise!$A$1:$C$53,3,FALSE)</f>
        <v>K03457</v>
      </c>
      <c r="G2282">
        <v>29.523809523809526</v>
      </c>
    </row>
    <row r="2283" spans="1:7" x14ac:dyDescent="0.25">
      <c r="A2283">
        <v>458</v>
      </c>
      <c r="B2283">
        <v>2020</v>
      </c>
      <c r="C2283" t="str">
        <f>VLOOKUP(A2283,[2]Tabelle1!$A$1:$B$68,2,FALSE)</f>
        <v>Oldenburg</v>
      </c>
      <c r="D2283" t="s">
        <v>3</v>
      </c>
      <c r="E2283" t="s">
        <v>162</v>
      </c>
      <c r="F2283" t="str">
        <f>VLOOKUP(A2283,[1]Kreise!$A$1:$C$53,3,FALSE)</f>
        <v>K03458</v>
      </c>
      <c r="G2283">
        <v>20.930232558139537</v>
      </c>
    </row>
    <row r="2284" spans="1:7" x14ac:dyDescent="0.25">
      <c r="A2284">
        <v>459</v>
      </c>
      <c r="B2284">
        <v>2020</v>
      </c>
      <c r="C2284" t="str">
        <f>VLOOKUP(A2284,[2]Tabelle1!$A$1:$B$68,2,FALSE)</f>
        <v>Osnabrück</v>
      </c>
      <c r="D2284" t="s">
        <v>3</v>
      </c>
      <c r="E2284" t="s">
        <v>162</v>
      </c>
      <c r="F2284" t="str">
        <f>VLOOKUP(A2284,[1]Kreise!$A$1:$C$53,3,FALSE)</f>
        <v>K03459</v>
      </c>
      <c r="G2284">
        <v>29.613733905579398</v>
      </c>
    </row>
    <row r="2285" spans="1:7" x14ac:dyDescent="0.25">
      <c r="A2285">
        <v>460</v>
      </c>
      <c r="B2285">
        <v>2020</v>
      </c>
      <c r="C2285" t="str">
        <f>VLOOKUP(A2285,[2]Tabelle1!$A$1:$B$68,2,FALSE)</f>
        <v>Vechta</v>
      </c>
      <c r="D2285" t="s">
        <v>3</v>
      </c>
      <c r="E2285" t="s">
        <v>162</v>
      </c>
      <c r="F2285" t="str">
        <f>VLOOKUP(A2285,[1]Kreise!$A$1:$C$53,3,FALSE)</f>
        <v>K03460</v>
      </c>
      <c r="G2285">
        <v>21.910112359550563</v>
      </c>
    </row>
    <row r="2286" spans="1:7" x14ac:dyDescent="0.25">
      <c r="A2286">
        <v>461</v>
      </c>
      <c r="B2286">
        <v>2020</v>
      </c>
      <c r="C2286" t="str">
        <f>VLOOKUP(A2286,[2]Tabelle1!$A$1:$B$68,2,FALSE)</f>
        <v>Wesermarsch</v>
      </c>
      <c r="D2286" t="s">
        <v>3</v>
      </c>
      <c r="E2286" t="s">
        <v>162</v>
      </c>
      <c r="F2286" t="str">
        <f>VLOOKUP(A2286,[1]Kreise!$A$1:$C$53,3,FALSE)</f>
        <v>K03461</v>
      </c>
      <c r="G2286">
        <v>12.643678160919542</v>
      </c>
    </row>
    <row r="2287" spans="1:7" x14ac:dyDescent="0.25">
      <c r="A2287">
        <v>462</v>
      </c>
      <c r="B2287">
        <v>2020</v>
      </c>
      <c r="C2287" t="str">
        <f>VLOOKUP(A2287,[2]Tabelle1!$A$1:$B$68,2,FALSE)</f>
        <v>Wittmund</v>
      </c>
      <c r="D2287" t="s">
        <v>3</v>
      </c>
      <c r="E2287" t="s">
        <v>162</v>
      </c>
      <c r="F2287" t="str">
        <f>VLOOKUP(A2287,[1]Kreise!$A$1:$C$53,3,FALSE)</f>
        <v>K03462</v>
      </c>
      <c r="G2287">
        <v>23.076923076923077</v>
      </c>
    </row>
    <row r="2288" spans="1:7" x14ac:dyDescent="0.25">
      <c r="A2288">
        <v>4</v>
      </c>
      <c r="B2288">
        <v>2020</v>
      </c>
      <c r="C2288" t="str">
        <f>VLOOKUP(A2288,[2]Tabelle1!$A$1:$B$68,2,FALSE)</f>
        <v>Statistische Region Weser-Ems</v>
      </c>
      <c r="D2288" t="s">
        <v>3</v>
      </c>
      <c r="E2288" t="s">
        <v>162</v>
      </c>
      <c r="F2288" t="str">
        <f>VLOOKUP(A2288,[1]Kreise!$A$1:$C$53,3,FALSE)</f>
        <v>K034</v>
      </c>
      <c r="G2288">
        <v>23.814432989690719</v>
      </c>
    </row>
    <row r="2289" spans="1:7" x14ac:dyDescent="0.25">
      <c r="A2289">
        <v>0</v>
      </c>
      <c r="B2289">
        <v>2020</v>
      </c>
      <c r="C2289" t="str">
        <f>VLOOKUP(A2289,[2]Tabelle1!$A$1:$B$68,2,FALSE)</f>
        <v>Niedersachsen</v>
      </c>
      <c r="D2289" t="s">
        <v>3</v>
      </c>
      <c r="E2289" t="s">
        <v>162</v>
      </c>
      <c r="F2289" t="str">
        <f>VLOOKUP(A2289,[1]Kreise!$A$1:$C$53,3,FALSE)</f>
        <v>K030</v>
      </c>
      <c r="G2289">
        <v>20.461046609456503</v>
      </c>
    </row>
  </sheetData>
  <autoFilter ref="A1:G2289" xr:uid="{B2FF1360-484A-4DD5-A767-D55AF2986DAC}"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AA5E7-223C-41D6-98B3-1B791B15CFFC}">
  <sheetPr codeName="Tabelle19"/>
  <dimension ref="A1"/>
  <sheetViews>
    <sheetView tabSelected="1"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DEC2-9D3F-4868-96C1-B3116FFA30EC}">
  <sheetPr codeName="Tabelle14">
    <tabColor theme="7"/>
  </sheetPr>
  <dimension ref="A1:X122"/>
  <sheetViews>
    <sheetView workbookViewId="0">
      <selection activeCell="B2" sqref="B2"/>
    </sheetView>
  </sheetViews>
  <sheetFormatPr baseColWidth="10" defaultRowHeight="15" x14ac:dyDescent="0.25"/>
  <cols>
    <col min="1" max="1" width="11.42578125" customWidth="1"/>
  </cols>
  <sheetData>
    <row r="1" spans="1:24" ht="30" customHeight="1" x14ac:dyDescent="0.25">
      <c r="A1" s="23" t="s">
        <v>160</v>
      </c>
      <c r="C1" s="23"/>
      <c r="D1" s="24"/>
      <c r="E1" s="24"/>
      <c r="F1" s="24"/>
      <c r="G1" s="24"/>
      <c r="H1" s="24"/>
      <c r="I1" s="24"/>
      <c r="J1" s="24"/>
      <c r="K1" s="24"/>
      <c r="L1" s="21"/>
    </row>
    <row r="2" spans="1:24" ht="30" customHeight="1" x14ac:dyDescent="0.25">
      <c r="A2" s="25" t="s">
        <v>161</v>
      </c>
      <c r="B2">
        <v>101</v>
      </c>
      <c r="C2" s="25"/>
      <c r="D2" s="25"/>
      <c r="E2" s="25"/>
      <c r="F2" s="25"/>
      <c r="G2" s="25"/>
      <c r="H2" s="25"/>
      <c r="I2" s="25"/>
      <c r="J2" s="25"/>
      <c r="K2" s="25"/>
      <c r="L2" s="22"/>
    </row>
    <row r="3" spans="1:24" x14ac:dyDescent="0.25">
      <c r="B3">
        <v>102</v>
      </c>
    </row>
    <row r="4" spans="1:24" ht="8.25" customHeight="1" x14ac:dyDescent="0.25">
      <c r="A4" s="195" t="s">
        <v>168</v>
      </c>
      <c r="B4" s="198" t="s">
        <v>0</v>
      </c>
      <c r="C4" s="192" t="s">
        <v>1</v>
      </c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4"/>
    </row>
    <row r="5" spans="1:24" ht="8.25" customHeight="1" x14ac:dyDescent="0.25">
      <c r="A5" s="196"/>
      <c r="B5" s="199"/>
      <c r="C5" s="200">
        <v>2005</v>
      </c>
      <c r="D5" s="201"/>
      <c r="E5" s="201">
        <v>2011</v>
      </c>
      <c r="F5" s="201"/>
      <c r="G5" s="201">
        <v>2012</v>
      </c>
      <c r="H5" s="201"/>
      <c r="I5" s="205">
        <v>2013</v>
      </c>
      <c r="J5" s="200"/>
      <c r="K5" s="201">
        <v>2014</v>
      </c>
      <c r="L5" s="201"/>
      <c r="M5" s="205">
        <v>2015</v>
      </c>
      <c r="N5" s="200"/>
      <c r="O5" s="205">
        <v>2016</v>
      </c>
      <c r="P5" s="200"/>
      <c r="Q5" s="205">
        <v>2017</v>
      </c>
      <c r="R5" s="200"/>
      <c r="S5" s="201">
        <v>2018</v>
      </c>
      <c r="T5" s="205"/>
      <c r="U5" s="201">
        <v>2019</v>
      </c>
      <c r="V5" s="205"/>
      <c r="W5" s="206">
        <v>2020</v>
      </c>
      <c r="X5" s="206"/>
    </row>
    <row r="6" spans="1:24" ht="17.25" customHeight="1" x14ac:dyDescent="0.25">
      <c r="A6" s="196"/>
      <c r="B6" s="199"/>
      <c r="C6" s="125" t="s">
        <v>2</v>
      </c>
      <c r="D6" s="58" t="s">
        <v>3</v>
      </c>
      <c r="E6" s="58" t="s">
        <v>2</v>
      </c>
      <c r="F6" s="58" t="s">
        <v>3</v>
      </c>
      <c r="G6" s="58" t="s">
        <v>2</v>
      </c>
      <c r="H6" s="58" t="s">
        <v>3</v>
      </c>
      <c r="I6" s="58" t="s">
        <v>2</v>
      </c>
      <c r="J6" s="58" t="s">
        <v>3</v>
      </c>
      <c r="K6" s="58" t="s">
        <v>2</v>
      </c>
      <c r="L6" s="58" t="s">
        <v>3</v>
      </c>
      <c r="M6" s="58" t="s">
        <v>2</v>
      </c>
      <c r="N6" s="58" t="s">
        <v>3</v>
      </c>
      <c r="O6" s="58" t="s">
        <v>2</v>
      </c>
      <c r="P6" s="58" t="s">
        <v>3</v>
      </c>
      <c r="Q6" s="58" t="s">
        <v>2</v>
      </c>
      <c r="R6" s="58" t="s">
        <v>3</v>
      </c>
      <c r="S6" s="58" t="s">
        <v>2</v>
      </c>
      <c r="T6" s="59" t="s">
        <v>3</v>
      </c>
      <c r="U6" s="58" t="s">
        <v>2</v>
      </c>
      <c r="V6" s="59" t="s">
        <v>3</v>
      </c>
      <c r="W6" s="164" t="s">
        <v>2</v>
      </c>
      <c r="X6" s="164" t="s">
        <v>3</v>
      </c>
    </row>
    <row r="7" spans="1:24" ht="8.25" customHeight="1" x14ac:dyDescent="0.25">
      <c r="A7" s="197"/>
      <c r="B7" s="200"/>
      <c r="C7" s="202" t="s">
        <v>4</v>
      </c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4"/>
    </row>
    <row r="8" spans="1:24" ht="8.25" customHeight="1" x14ac:dyDescent="0.25">
      <c r="A8" s="1" t="s">
        <v>5</v>
      </c>
      <c r="B8" s="2" t="s">
        <v>6</v>
      </c>
      <c r="C8" s="2" t="s">
        <v>7</v>
      </c>
      <c r="D8" s="2" t="s">
        <v>8</v>
      </c>
      <c r="E8" s="2" t="s">
        <v>9</v>
      </c>
      <c r="F8" s="2" t="s">
        <v>10</v>
      </c>
      <c r="G8" s="2" t="s">
        <v>11</v>
      </c>
      <c r="H8" s="2">
        <v>8</v>
      </c>
      <c r="I8" s="2">
        <v>9</v>
      </c>
      <c r="J8" s="2">
        <v>10</v>
      </c>
      <c r="K8" s="2">
        <v>11</v>
      </c>
      <c r="L8" s="2">
        <v>12</v>
      </c>
      <c r="M8" s="2">
        <v>13</v>
      </c>
      <c r="N8" s="2">
        <v>14</v>
      </c>
      <c r="O8" s="2">
        <v>15</v>
      </c>
      <c r="P8" s="2">
        <v>16</v>
      </c>
      <c r="Q8" s="2">
        <v>17</v>
      </c>
      <c r="R8" s="1">
        <v>18</v>
      </c>
      <c r="S8" s="1">
        <v>19</v>
      </c>
      <c r="T8" s="1">
        <v>20</v>
      </c>
      <c r="U8" s="1">
        <v>21</v>
      </c>
      <c r="V8" s="1">
        <v>22</v>
      </c>
      <c r="W8" s="1">
        <v>23</v>
      </c>
      <c r="X8" s="1">
        <v>24</v>
      </c>
    </row>
    <row r="9" spans="1:24" ht="8.25" customHeight="1" x14ac:dyDescent="0.25">
      <c r="A9" s="45">
        <v>101</v>
      </c>
      <c r="B9" s="3" t="s">
        <v>12</v>
      </c>
      <c r="C9" s="37">
        <v>202</v>
      </c>
      <c r="D9" s="37">
        <v>44</v>
      </c>
      <c r="E9" s="37">
        <v>65</v>
      </c>
      <c r="F9" s="37">
        <v>17</v>
      </c>
      <c r="G9" s="37">
        <v>144</v>
      </c>
      <c r="H9" s="37">
        <v>15</v>
      </c>
      <c r="I9" s="38">
        <v>126</v>
      </c>
      <c r="J9" s="39">
        <v>25</v>
      </c>
      <c r="K9" s="37">
        <v>115</v>
      </c>
      <c r="L9" s="37">
        <v>25</v>
      </c>
      <c r="M9" s="37">
        <f>VLOOKUP(A9,'2019_B5_Berechnung'!$B$71:$M$122,7,FALSE)</f>
        <v>106</v>
      </c>
      <c r="N9" s="37">
        <f>VLOOKUP(A9,'2019_B5_Berechnung'!$B$71:$M$122,6,FALSE)</f>
        <v>24</v>
      </c>
      <c r="O9" s="38">
        <v>120</v>
      </c>
      <c r="P9" s="39">
        <v>20</v>
      </c>
      <c r="Q9" s="38">
        <v>129</v>
      </c>
      <c r="R9" s="39">
        <v>39</v>
      </c>
      <c r="S9" s="116">
        <v>103</v>
      </c>
      <c r="T9" s="44">
        <v>32</v>
      </c>
      <c r="U9" s="165">
        <f>VLOOKUP(A9,'2019_B5_Berechnung'!$B$279:$M$330,7,FALSE)</f>
        <v>121</v>
      </c>
      <c r="V9" s="165">
        <f>VLOOKUP(A9,'2019_B5_Berechnung'!$B$279:$M$330,6,FALSE)</f>
        <v>27</v>
      </c>
      <c r="W9" s="186">
        <f>VLOOKUP(A9,'2020_4-1-3_bearbeitet (2)'!$A$23:$P$529,6,FALSE)</f>
        <v>90</v>
      </c>
      <c r="X9" s="186">
        <f>VLOOKUP(A9,'2020_4-1-3_bearbeitet (2)'!$A$23:$P$529,7,FALSE)</f>
        <v>25</v>
      </c>
    </row>
    <row r="10" spans="1:24" ht="8.25" customHeight="1" x14ac:dyDescent="0.25">
      <c r="A10" s="45">
        <v>102</v>
      </c>
      <c r="B10" s="3" t="s">
        <v>13</v>
      </c>
      <c r="C10" s="37">
        <v>61</v>
      </c>
      <c r="D10" s="37">
        <v>30</v>
      </c>
      <c r="E10" s="37">
        <v>21</v>
      </c>
      <c r="F10" s="37">
        <v>7</v>
      </c>
      <c r="G10" s="4">
        <v>33</v>
      </c>
      <c r="H10" s="4">
        <v>1</v>
      </c>
      <c r="I10" s="38">
        <v>28</v>
      </c>
      <c r="J10" s="39">
        <v>9</v>
      </c>
      <c r="K10" s="37">
        <v>27</v>
      </c>
      <c r="L10" s="37">
        <v>16</v>
      </c>
      <c r="M10" s="37">
        <f>VLOOKUP(A10,'2019_B5_Berechnung'!$B$71:$M$122,7,FALSE)</f>
        <v>30</v>
      </c>
      <c r="N10" s="37">
        <f>VLOOKUP(A10,'2019_B5_Berechnung'!$B$71:$M$122,6,FALSE)</f>
        <v>19</v>
      </c>
      <c r="O10" s="38">
        <v>33</v>
      </c>
      <c r="P10" s="39">
        <v>21</v>
      </c>
      <c r="Q10" s="38">
        <v>51</v>
      </c>
      <c r="R10" s="39">
        <v>30</v>
      </c>
      <c r="S10" s="116">
        <v>68</v>
      </c>
      <c r="T10" s="44">
        <v>58</v>
      </c>
      <c r="U10" s="165">
        <f>VLOOKUP(A10,'2019_B5_Berechnung'!$B$279:$M$330,7,FALSE)</f>
        <v>54</v>
      </c>
      <c r="V10" s="165">
        <f>VLOOKUP(A10,'2019_B5_Berechnung'!$B$279:$M$330,6,FALSE)</f>
        <v>32</v>
      </c>
      <c r="W10" s="186">
        <f>VLOOKUP(A10,'2020_4-1-3_bearbeitet (2)'!$A$23:$P$529,6,FALSE)</f>
        <v>35</v>
      </c>
      <c r="X10" s="186">
        <f>VLOOKUP(A10,'2020_4-1-3_bearbeitet (2)'!$A$23:$P$529,7,FALSE)</f>
        <v>56</v>
      </c>
    </row>
    <row r="11" spans="1:24" ht="8.25" customHeight="1" x14ac:dyDescent="0.25">
      <c r="A11" s="45">
        <v>103</v>
      </c>
      <c r="B11" s="3" t="s">
        <v>14</v>
      </c>
      <c r="C11" s="37">
        <v>87</v>
      </c>
      <c r="D11" s="37">
        <v>36</v>
      </c>
      <c r="E11" s="4">
        <v>46</v>
      </c>
      <c r="F11" s="4">
        <v>7</v>
      </c>
      <c r="G11" s="4">
        <v>49</v>
      </c>
      <c r="H11" s="4">
        <v>9</v>
      </c>
      <c r="I11" s="38">
        <v>51</v>
      </c>
      <c r="J11" s="39">
        <v>10</v>
      </c>
      <c r="K11" s="37">
        <v>47</v>
      </c>
      <c r="L11" s="37">
        <v>10</v>
      </c>
      <c r="M11" s="37">
        <f>VLOOKUP(A11,'2019_B5_Berechnung'!$B$71:$M$122,7,FALSE)</f>
        <v>35</v>
      </c>
      <c r="N11" s="37">
        <f>VLOOKUP(A11,'2019_B5_Berechnung'!$B$71:$M$122,6,FALSE)</f>
        <v>6</v>
      </c>
      <c r="O11" s="38">
        <v>37</v>
      </c>
      <c r="P11" s="39">
        <v>11</v>
      </c>
      <c r="Q11" s="38">
        <v>35</v>
      </c>
      <c r="R11" s="39">
        <v>23</v>
      </c>
      <c r="S11" s="116">
        <v>39</v>
      </c>
      <c r="T11" s="44">
        <v>20</v>
      </c>
      <c r="U11" s="165">
        <f>VLOOKUP(A11,'2019_B5_Berechnung'!$B$279:$M$330,7,FALSE)</f>
        <v>51</v>
      </c>
      <c r="V11" s="165">
        <f>VLOOKUP(A11,'2019_B5_Berechnung'!$B$279:$M$330,6,FALSE)</f>
        <v>29</v>
      </c>
      <c r="W11" s="186">
        <f>VLOOKUP(A11,'2020_4-1-3_bearbeitet (2)'!$A$23:$P$529,6,FALSE)</f>
        <v>38</v>
      </c>
      <c r="X11" s="186">
        <f>VLOOKUP(A11,'2020_4-1-3_bearbeitet (2)'!$A$23:$P$529,7,FALSE)</f>
        <v>11</v>
      </c>
    </row>
    <row r="12" spans="1:24" ht="8.25" customHeight="1" x14ac:dyDescent="0.25">
      <c r="A12" s="45">
        <v>151</v>
      </c>
      <c r="B12" s="3" t="s">
        <v>15</v>
      </c>
      <c r="C12" s="37">
        <v>116</v>
      </c>
      <c r="D12" s="37">
        <v>34</v>
      </c>
      <c r="E12" s="4">
        <v>47</v>
      </c>
      <c r="F12" s="4">
        <v>25</v>
      </c>
      <c r="G12" s="4">
        <v>82</v>
      </c>
      <c r="H12" s="4">
        <v>8</v>
      </c>
      <c r="I12" s="38">
        <v>76</v>
      </c>
      <c r="J12" s="39">
        <v>5</v>
      </c>
      <c r="K12" s="37">
        <v>54</v>
      </c>
      <c r="L12" s="37">
        <v>6</v>
      </c>
      <c r="M12" s="37">
        <f>VLOOKUP(A12,'2019_B5_Berechnung'!$B$71:$M$122,7,FALSE)</f>
        <v>59</v>
      </c>
      <c r="N12" s="37">
        <f>VLOOKUP(A12,'2019_B5_Berechnung'!$B$71:$M$122,6,FALSE)</f>
        <v>7</v>
      </c>
      <c r="O12" s="38">
        <v>73</v>
      </c>
      <c r="P12" s="39">
        <v>5</v>
      </c>
      <c r="Q12" s="38">
        <v>70</v>
      </c>
      <c r="R12" s="39">
        <v>16</v>
      </c>
      <c r="S12" s="116">
        <v>80</v>
      </c>
      <c r="T12" s="44">
        <v>23</v>
      </c>
      <c r="U12" s="165">
        <f>VLOOKUP(A12,'2019_B5_Berechnung'!$B$279:$M$330,7,FALSE)</f>
        <v>47</v>
      </c>
      <c r="V12" s="165">
        <f>VLOOKUP(A12,'2019_B5_Berechnung'!$B$279:$M$330,6,FALSE)</f>
        <v>8</v>
      </c>
      <c r="W12" s="186">
        <f>VLOOKUP(A12,'2020_4-1-3_bearbeitet (2)'!$A$23:$P$529,6,FALSE)</f>
        <v>44</v>
      </c>
      <c r="X12" s="186">
        <f>VLOOKUP(A12,'2020_4-1-3_bearbeitet (2)'!$A$23:$P$529,7,FALSE)</f>
        <v>14</v>
      </c>
    </row>
    <row r="13" spans="1:24" ht="8.25" customHeight="1" x14ac:dyDescent="0.25">
      <c r="A13" s="45">
        <v>153</v>
      </c>
      <c r="B13" s="3" t="s">
        <v>17</v>
      </c>
      <c r="C13" s="37">
        <v>158</v>
      </c>
      <c r="D13" s="37">
        <v>33</v>
      </c>
      <c r="E13" s="4">
        <v>40</v>
      </c>
      <c r="F13" s="4">
        <v>13</v>
      </c>
      <c r="G13" s="4">
        <v>79</v>
      </c>
      <c r="H13" s="4">
        <v>10</v>
      </c>
      <c r="I13" s="38">
        <v>78</v>
      </c>
      <c r="J13" s="39">
        <v>2</v>
      </c>
      <c r="K13" s="37">
        <v>92</v>
      </c>
      <c r="L13" s="37">
        <v>13</v>
      </c>
      <c r="M13" s="37">
        <f>VLOOKUP(A13,'2019_B5_Berechnung'!$B$71:$M$122,7,FALSE)</f>
        <v>45</v>
      </c>
      <c r="N13" s="37">
        <f>VLOOKUP(A13,'2019_B5_Berechnung'!$B$71:$M$122,6,FALSE)</f>
        <v>9</v>
      </c>
      <c r="O13" s="38">
        <v>59</v>
      </c>
      <c r="P13" s="39">
        <v>6</v>
      </c>
      <c r="Q13" s="38">
        <v>55</v>
      </c>
      <c r="R13" s="39">
        <v>10</v>
      </c>
      <c r="S13" s="116">
        <v>63</v>
      </c>
      <c r="T13" s="44">
        <v>13</v>
      </c>
      <c r="U13" s="165">
        <f>VLOOKUP(A13,'2019_B5_Berechnung'!$B$279:$M$330,7,FALSE)</f>
        <v>70</v>
      </c>
      <c r="V13" s="165">
        <f>VLOOKUP(A13,'2019_B5_Berechnung'!$B$279:$M$330,6,FALSE)</f>
        <v>18</v>
      </c>
      <c r="W13" s="186">
        <f>VLOOKUP(A13,'2020_4-1-3_bearbeitet (2)'!$A$23:$P$529,6,FALSE)</f>
        <v>59</v>
      </c>
      <c r="X13" s="186">
        <f>VLOOKUP(A13,'2020_4-1-3_bearbeitet (2)'!$A$23:$P$529,7,FALSE)</f>
        <v>25</v>
      </c>
    </row>
    <row r="14" spans="1:24" ht="8.25" customHeight="1" x14ac:dyDescent="0.25">
      <c r="A14" s="45">
        <v>154</v>
      </c>
      <c r="B14" s="3" t="s">
        <v>18</v>
      </c>
      <c r="C14" s="37">
        <v>73</v>
      </c>
      <c r="D14" s="37">
        <v>6</v>
      </c>
      <c r="E14" s="4">
        <v>19</v>
      </c>
      <c r="F14" s="4">
        <v>3</v>
      </c>
      <c r="G14" s="4">
        <v>49</v>
      </c>
      <c r="H14" s="4">
        <v>1</v>
      </c>
      <c r="I14" s="38">
        <v>50</v>
      </c>
      <c r="J14" s="39">
        <v>4</v>
      </c>
      <c r="K14" s="37">
        <v>39</v>
      </c>
      <c r="L14" s="37">
        <v>6</v>
      </c>
      <c r="M14" s="37">
        <f>VLOOKUP(A14,'2019_B5_Berechnung'!$B$71:$M$122,7,FALSE)</f>
        <v>63</v>
      </c>
      <c r="N14" s="37">
        <f>VLOOKUP(A14,'2019_B5_Berechnung'!$B$71:$M$122,6,FALSE)</f>
        <v>10</v>
      </c>
      <c r="O14" s="38">
        <v>40</v>
      </c>
      <c r="P14" s="39">
        <v>3</v>
      </c>
      <c r="Q14" s="38">
        <v>43</v>
      </c>
      <c r="R14" s="39">
        <v>8</v>
      </c>
      <c r="S14" s="116">
        <v>52</v>
      </c>
      <c r="T14" s="44">
        <v>9</v>
      </c>
      <c r="U14" s="165">
        <f>VLOOKUP(A14,'2019_B5_Berechnung'!$B$279:$M$330,7,FALSE)</f>
        <v>47</v>
      </c>
      <c r="V14" s="165">
        <f>VLOOKUP(A14,'2019_B5_Berechnung'!$B$279:$M$330,6,FALSE)</f>
        <v>11</v>
      </c>
      <c r="W14" s="186">
        <f>VLOOKUP(A14,'2020_4-1-3_bearbeitet (2)'!$A$23:$P$529,6,FALSE)</f>
        <v>41</v>
      </c>
      <c r="X14" s="186">
        <f>VLOOKUP(A14,'2020_4-1-3_bearbeitet (2)'!$A$23:$P$529,7,FALSE)</f>
        <v>7</v>
      </c>
    </row>
    <row r="15" spans="1:24" ht="8.25" customHeight="1" x14ac:dyDescent="0.25">
      <c r="A15" s="45">
        <v>155</v>
      </c>
      <c r="B15" s="3" t="s">
        <v>19</v>
      </c>
      <c r="C15" s="37">
        <v>136</v>
      </c>
      <c r="D15" s="37">
        <v>23</v>
      </c>
      <c r="E15" s="4">
        <v>25</v>
      </c>
      <c r="F15" s="4">
        <v>13</v>
      </c>
      <c r="G15" s="4">
        <v>79</v>
      </c>
      <c r="H15" s="4">
        <v>17</v>
      </c>
      <c r="I15" s="38">
        <v>55</v>
      </c>
      <c r="J15" s="39">
        <v>9</v>
      </c>
      <c r="K15" s="37">
        <v>66</v>
      </c>
      <c r="L15" s="37">
        <v>20</v>
      </c>
      <c r="M15" s="37">
        <f>VLOOKUP(A15,'2019_B5_Berechnung'!$B$71:$M$122,7,FALSE)</f>
        <v>53</v>
      </c>
      <c r="N15" s="37">
        <f>VLOOKUP(A15,'2019_B5_Berechnung'!$B$71:$M$122,6,FALSE)</f>
        <v>18</v>
      </c>
      <c r="O15" s="38">
        <v>45</v>
      </c>
      <c r="P15" s="39">
        <v>17</v>
      </c>
      <c r="Q15" s="38">
        <v>46</v>
      </c>
      <c r="R15" s="39">
        <v>14</v>
      </c>
      <c r="S15" s="116">
        <v>43</v>
      </c>
      <c r="T15" s="44">
        <v>16</v>
      </c>
      <c r="U15" s="165">
        <f>VLOOKUP(A15,'2019_B5_Berechnung'!$B$279:$M$330,7,FALSE)</f>
        <v>53</v>
      </c>
      <c r="V15" s="165">
        <f>VLOOKUP(A15,'2019_B5_Berechnung'!$B$279:$M$330,6,FALSE)</f>
        <v>16</v>
      </c>
      <c r="W15" s="186">
        <f>VLOOKUP(A15,'2020_4-1-3_bearbeitet (2)'!$A$23:$P$529,6,FALSE)</f>
        <v>49</v>
      </c>
      <c r="X15" s="186">
        <f>VLOOKUP(A15,'2020_4-1-3_bearbeitet (2)'!$A$23:$P$529,7,FALSE)</f>
        <v>12</v>
      </c>
    </row>
    <row r="16" spans="1:24" ht="8.25" customHeight="1" x14ac:dyDescent="0.25">
      <c r="A16" s="45">
        <v>157</v>
      </c>
      <c r="B16" s="3" t="s">
        <v>20</v>
      </c>
      <c r="C16" s="37">
        <v>111</v>
      </c>
      <c r="D16" s="37">
        <v>28</v>
      </c>
      <c r="E16" s="4">
        <v>23</v>
      </c>
      <c r="F16" s="4">
        <v>12</v>
      </c>
      <c r="G16" s="4">
        <v>51</v>
      </c>
      <c r="H16" s="4">
        <v>13</v>
      </c>
      <c r="I16" s="38">
        <v>48</v>
      </c>
      <c r="J16" s="39">
        <v>11</v>
      </c>
      <c r="K16" s="37">
        <v>41</v>
      </c>
      <c r="L16" s="37">
        <v>11</v>
      </c>
      <c r="M16" s="37">
        <f>VLOOKUP(A16,'2019_B5_Berechnung'!$B$71:$M$122,7,FALSE)</f>
        <v>49</v>
      </c>
      <c r="N16" s="37">
        <f>VLOOKUP(A16,'2019_B5_Berechnung'!$B$71:$M$122,6,FALSE)</f>
        <v>22</v>
      </c>
      <c r="O16" s="38">
        <v>40</v>
      </c>
      <c r="P16" s="39">
        <v>13</v>
      </c>
      <c r="Q16" s="38">
        <v>35</v>
      </c>
      <c r="R16" s="39">
        <v>17</v>
      </c>
      <c r="S16" s="116">
        <v>52</v>
      </c>
      <c r="T16" s="44">
        <v>25</v>
      </c>
      <c r="U16" s="165">
        <f>VLOOKUP(A16,'2019_B5_Berechnung'!$B$279:$M$330,7,FALSE)</f>
        <v>37</v>
      </c>
      <c r="V16" s="165">
        <f>VLOOKUP(A16,'2019_B5_Berechnung'!$B$279:$M$330,6,FALSE)</f>
        <v>18</v>
      </c>
      <c r="W16" s="186">
        <f>VLOOKUP(A16,'2020_4-1-3_bearbeitet (2)'!$A$23:$P$529,6,FALSE)</f>
        <v>30</v>
      </c>
      <c r="X16" s="186">
        <f>VLOOKUP(A16,'2020_4-1-3_bearbeitet (2)'!$A$23:$P$529,7,FALSE)</f>
        <v>11</v>
      </c>
    </row>
    <row r="17" spans="1:24" ht="8.25" customHeight="1" x14ac:dyDescent="0.25">
      <c r="A17" s="45">
        <v>158</v>
      </c>
      <c r="B17" s="3" t="s">
        <v>21</v>
      </c>
      <c r="C17" s="37">
        <v>70</v>
      </c>
      <c r="D17" s="37">
        <v>10</v>
      </c>
      <c r="E17" s="4">
        <v>30</v>
      </c>
      <c r="F17" s="4">
        <v>6</v>
      </c>
      <c r="G17" s="4">
        <v>44</v>
      </c>
      <c r="H17" s="4">
        <v>5</v>
      </c>
      <c r="I17" s="38">
        <v>41</v>
      </c>
      <c r="J17" s="39">
        <v>4</v>
      </c>
      <c r="K17" s="37">
        <v>34</v>
      </c>
      <c r="L17" s="37">
        <v>11</v>
      </c>
      <c r="M17" s="37">
        <f>VLOOKUP(A17,'2019_B5_Berechnung'!$B$71:$M$122,7,FALSE)</f>
        <v>58</v>
      </c>
      <c r="N17" s="37">
        <f>VLOOKUP(A17,'2019_B5_Berechnung'!$B$71:$M$122,6,FALSE)</f>
        <v>7</v>
      </c>
      <c r="O17" s="38">
        <v>34</v>
      </c>
      <c r="P17" s="39">
        <v>11</v>
      </c>
      <c r="Q17" s="38">
        <v>41</v>
      </c>
      <c r="R17" s="39">
        <v>16</v>
      </c>
      <c r="S17" s="116">
        <v>42</v>
      </c>
      <c r="T17" s="44">
        <v>19</v>
      </c>
      <c r="U17" s="165">
        <f>VLOOKUP(A17,'2019_B5_Berechnung'!$B$279:$M$330,7,FALSE)</f>
        <v>43</v>
      </c>
      <c r="V17" s="165">
        <f>VLOOKUP(A17,'2019_B5_Berechnung'!$B$279:$M$330,6,FALSE)</f>
        <v>17</v>
      </c>
      <c r="W17" s="186">
        <f>VLOOKUP(A17,'2020_4-1-3_bearbeitet (2)'!$A$23:$P$529,6,FALSE)</f>
        <v>34</v>
      </c>
      <c r="X17" s="186">
        <f>VLOOKUP(A17,'2020_4-1-3_bearbeitet (2)'!$A$23:$P$529,7,FALSE)</f>
        <v>6</v>
      </c>
    </row>
    <row r="18" spans="1:24" s="29" customFormat="1" ht="8.25" customHeight="1" x14ac:dyDescent="0.25">
      <c r="A18" s="120">
        <v>159</v>
      </c>
      <c r="B18" s="3" t="s">
        <v>16</v>
      </c>
      <c r="C18" s="121">
        <f>'2019_B5 Ergänzung_Gö_Osterode'!P19</f>
        <v>283</v>
      </c>
      <c r="D18" s="121">
        <f>'2019_B5 Ergänzung_Gö_Osterode'!R19</f>
        <v>72</v>
      </c>
      <c r="E18" s="122">
        <f>'2019_B5 Ergänzung_Gö_Osterode'!T19</f>
        <v>162</v>
      </c>
      <c r="F18" s="122">
        <f>'2019_B5 Ergänzung_Gö_Osterode'!V19</f>
        <v>37</v>
      </c>
      <c r="G18" s="122">
        <f>'2019_B5 Ergänzung_Gö_Osterode'!X19</f>
        <v>129</v>
      </c>
      <c r="H18" s="122">
        <f>'2019_B5 Ergänzung_Gö_Osterode'!Z19</f>
        <v>22</v>
      </c>
      <c r="I18" s="116">
        <v>102</v>
      </c>
      <c r="J18" s="44">
        <v>31</v>
      </c>
      <c r="K18" s="121">
        <v>86</v>
      </c>
      <c r="L18" s="121">
        <v>21</v>
      </c>
      <c r="M18" s="121">
        <f>VLOOKUP(A18,'2019_B5_Berechnung'!$B$71:$M$122,7,FALSE)</f>
        <v>89</v>
      </c>
      <c r="N18" s="121">
        <f>VLOOKUP(A18,'2019_B5_Berechnung'!$B$71:$M$122,6,FALSE)</f>
        <v>36</v>
      </c>
      <c r="O18" s="116">
        <v>100</v>
      </c>
      <c r="P18" s="44">
        <v>44</v>
      </c>
      <c r="Q18" s="116">
        <v>87</v>
      </c>
      <c r="R18" s="44">
        <v>37</v>
      </c>
      <c r="S18" s="116">
        <v>118</v>
      </c>
      <c r="T18" s="44">
        <v>62</v>
      </c>
      <c r="U18" s="165">
        <f>VLOOKUP(A18,'2019_B5_Berechnung'!$B$279:$M$330,7,FALSE)</f>
        <v>152</v>
      </c>
      <c r="V18" s="165">
        <f>VLOOKUP(A18,'2019_B5_Berechnung'!$B$279:$M$330,6,FALSE)</f>
        <v>61</v>
      </c>
      <c r="W18" s="186">
        <f>VLOOKUP(A18,'2020_4-1-3_bearbeitet (2)'!$A$23:$P$529,6,FALSE)</f>
        <v>131</v>
      </c>
      <c r="X18" s="186">
        <f>VLOOKUP(A18,'2020_4-1-3_bearbeitet (2)'!$A$23:$P$529,7,FALSE)</f>
        <v>36</v>
      </c>
    </row>
    <row r="19" spans="1:24" s="36" customFormat="1" ht="16.5" customHeight="1" x14ac:dyDescent="0.25">
      <c r="A19" s="46">
        <v>1</v>
      </c>
      <c r="B19" s="5" t="s">
        <v>22</v>
      </c>
      <c r="C19" s="40">
        <v>1297</v>
      </c>
      <c r="D19" s="40">
        <v>316</v>
      </c>
      <c r="E19" s="41">
        <v>389</v>
      </c>
      <c r="F19" s="41">
        <v>140</v>
      </c>
      <c r="G19" s="41">
        <v>739</v>
      </c>
      <c r="H19" s="41">
        <v>101</v>
      </c>
      <c r="I19" s="42">
        <v>655</v>
      </c>
      <c r="J19" s="43">
        <v>110</v>
      </c>
      <c r="K19" s="40">
        <v>644</v>
      </c>
      <c r="L19" s="40">
        <v>140</v>
      </c>
      <c r="M19" s="40">
        <f>VLOOKUP(A19,'2019_B5_Berechnung'!$B$71:$M$122,7,FALSE)</f>
        <v>587</v>
      </c>
      <c r="N19" s="40">
        <f>VLOOKUP(A19,'2019_B5_Berechnung'!$B$71:$M$122,6,FALSE)</f>
        <v>158</v>
      </c>
      <c r="O19" s="42">
        <v>581</v>
      </c>
      <c r="P19" s="43">
        <v>151</v>
      </c>
      <c r="Q19" s="42">
        <v>592</v>
      </c>
      <c r="R19" s="43">
        <v>210</v>
      </c>
      <c r="S19" s="117">
        <v>660</v>
      </c>
      <c r="T19" s="118">
        <v>277</v>
      </c>
      <c r="U19" s="187">
        <f>VLOOKUP(A19,'2019_B5_Berechnung'!$B$279:$M$330,7,FALSE)</f>
        <v>675</v>
      </c>
      <c r="V19" s="187">
        <f>VLOOKUP(A19,'2019_B5_Berechnung'!$B$279:$M$330,6,FALSE)</f>
        <v>237</v>
      </c>
      <c r="W19" s="188">
        <f>VLOOKUP(A19,'2020_4-1-3_bearbeitet (2)'!$A$23:$P$529,6,FALSE)</f>
        <v>551</v>
      </c>
      <c r="X19" s="188">
        <f>VLOOKUP(A19,'2020_4-1-3_bearbeitet (2)'!$A$23:$P$529,7,FALSE)</f>
        <v>203</v>
      </c>
    </row>
    <row r="20" spans="1:24" ht="8.25" customHeight="1" x14ac:dyDescent="0.25">
      <c r="A20" s="45">
        <v>241</v>
      </c>
      <c r="B20" s="3" t="s">
        <v>23</v>
      </c>
      <c r="C20" s="37">
        <v>674</v>
      </c>
      <c r="D20" s="37">
        <v>311</v>
      </c>
      <c r="E20" s="4">
        <v>252</v>
      </c>
      <c r="F20" s="4">
        <v>187</v>
      </c>
      <c r="G20" s="4">
        <v>451</v>
      </c>
      <c r="H20" s="4">
        <v>163</v>
      </c>
      <c r="I20" s="38">
        <v>400</v>
      </c>
      <c r="J20" s="39">
        <v>144</v>
      </c>
      <c r="K20" s="37">
        <v>387</v>
      </c>
      <c r="L20" s="37">
        <v>131</v>
      </c>
      <c r="M20" s="37">
        <f>VLOOKUP(A20,'2019_B5_Berechnung'!$B$71:$M$122,7,FALSE)</f>
        <v>397</v>
      </c>
      <c r="N20" s="37">
        <f>VLOOKUP(A20,'2019_B5_Berechnung'!$B$71:$M$122,6,FALSE)</f>
        <v>139</v>
      </c>
      <c r="O20" s="38">
        <v>374</v>
      </c>
      <c r="P20" s="39">
        <v>173</v>
      </c>
      <c r="Q20" s="38">
        <v>360</v>
      </c>
      <c r="R20" s="39">
        <v>211</v>
      </c>
      <c r="S20" s="116">
        <v>413</v>
      </c>
      <c r="T20" s="44">
        <v>240</v>
      </c>
      <c r="U20" s="165">
        <f>VLOOKUP(A20,'2019_B5_Berechnung'!$B$279:$M$330,7,FALSE)</f>
        <v>401</v>
      </c>
      <c r="V20" s="165">
        <f>VLOOKUP(A20,'2019_B5_Berechnung'!$B$279:$M$330,6,FALSE)</f>
        <v>259</v>
      </c>
      <c r="W20" s="186">
        <f>VLOOKUP(A20,'2020_4-1-3_bearbeitet (2)'!$A$23:$P$529,6,FALSE)</f>
        <v>369</v>
      </c>
      <c r="X20" s="186">
        <f>VLOOKUP(A20,'2020_4-1-3_bearbeitet (2)'!$A$23:$P$529,7,FALSE)</f>
        <v>184</v>
      </c>
    </row>
    <row r="21" spans="1:24" ht="8.25" customHeight="1" x14ac:dyDescent="0.25">
      <c r="A21" s="45">
        <v>241001</v>
      </c>
      <c r="B21" s="3" t="s">
        <v>24</v>
      </c>
      <c r="C21" s="37">
        <v>297</v>
      </c>
      <c r="D21" s="37">
        <v>182</v>
      </c>
      <c r="E21" s="4">
        <v>126</v>
      </c>
      <c r="F21" s="4">
        <v>121</v>
      </c>
      <c r="G21" s="4">
        <v>220</v>
      </c>
      <c r="H21" s="4">
        <v>99</v>
      </c>
      <c r="I21" s="38">
        <v>196</v>
      </c>
      <c r="J21" s="39">
        <v>71</v>
      </c>
      <c r="K21" s="37">
        <v>201</v>
      </c>
      <c r="L21" s="37">
        <v>74</v>
      </c>
      <c r="M21" s="37">
        <f>VLOOKUP(A21,'2019_B5_Berechnung'!$B$71:$M$122,7,FALSE)</f>
        <v>205</v>
      </c>
      <c r="N21" s="37">
        <f>VLOOKUP(A21,'2019_B5_Berechnung'!$B$71:$M$122,6,FALSE)</f>
        <v>72</v>
      </c>
      <c r="O21" s="38">
        <v>163</v>
      </c>
      <c r="P21" s="39">
        <v>105</v>
      </c>
      <c r="Q21" s="38">
        <v>174</v>
      </c>
      <c r="R21" s="39">
        <v>129</v>
      </c>
      <c r="S21" s="116">
        <v>222</v>
      </c>
      <c r="T21" s="44">
        <v>126</v>
      </c>
      <c r="U21" s="165">
        <f>VLOOKUP(A21,'2019_B5_Berechnung'!$B$279:$M$330,7,FALSE)</f>
        <v>185</v>
      </c>
      <c r="V21" s="165">
        <f>VLOOKUP(A21,'2019_B5_Berechnung'!$B$279:$M$330,6,FALSE)</f>
        <v>135</v>
      </c>
      <c r="W21" s="186">
        <f>VLOOKUP(A21,'2020_4-1-3_bearbeitet (2)'!$A$23:$P$529,6,FALSE)</f>
        <v>185</v>
      </c>
      <c r="X21" s="186">
        <f>VLOOKUP(A21,'2020_4-1-3_bearbeitet (2)'!$A$23:$P$529,7,FALSE)</f>
        <v>98</v>
      </c>
    </row>
    <row r="22" spans="1:24" ht="8.25" customHeight="1" x14ac:dyDescent="0.25">
      <c r="A22" s="45">
        <v>241999</v>
      </c>
      <c r="B22" s="3" t="s">
        <v>25</v>
      </c>
      <c r="C22" s="37">
        <v>377</v>
      </c>
      <c r="D22" s="37">
        <v>129</v>
      </c>
      <c r="E22" s="4">
        <v>126</v>
      </c>
      <c r="F22" s="4">
        <v>66</v>
      </c>
      <c r="G22" s="4">
        <v>231</v>
      </c>
      <c r="H22" s="4">
        <v>64</v>
      </c>
      <c r="I22" s="38">
        <v>204</v>
      </c>
      <c r="J22" s="44">
        <v>73</v>
      </c>
      <c r="K22" s="37">
        <v>186</v>
      </c>
      <c r="L22" s="37">
        <v>57</v>
      </c>
      <c r="M22" s="37">
        <f>VLOOKUP(A22,'2019_B5_Berechnung'!$B$71:$M$122,7,FALSE)</f>
        <v>192</v>
      </c>
      <c r="N22" s="37">
        <f>VLOOKUP(A22,'2019_B5_Berechnung'!$B$71:$M$122,6,FALSE)</f>
        <v>67</v>
      </c>
      <c r="O22" s="38">
        <v>211</v>
      </c>
      <c r="P22" s="38">
        <v>68</v>
      </c>
      <c r="Q22" s="38">
        <v>186</v>
      </c>
      <c r="R22" s="38">
        <v>82</v>
      </c>
      <c r="S22" s="116">
        <v>191</v>
      </c>
      <c r="T22" s="116">
        <v>114</v>
      </c>
      <c r="U22" s="165">
        <f>VLOOKUP(A22,'2019_B5_Berechnung'!$B$279:$M$330,7,FALSE)</f>
        <v>216</v>
      </c>
      <c r="V22" s="165">
        <f>VLOOKUP(A22,'2019_B5_Berechnung'!$B$279:$M$330,6,FALSE)</f>
        <v>124</v>
      </c>
      <c r="W22" s="186">
        <f>VLOOKUP(A22,'2020_4-1-3_bearbeitet (2)'!$A$23:$P$529,6,FALSE)</f>
        <v>184</v>
      </c>
      <c r="X22" s="186">
        <f>VLOOKUP(A22,'2020_4-1-3_bearbeitet (2)'!$A$23:$P$529,7,FALSE)</f>
        <v>86</v>
      </c>
    </row>
    <row r="23" spans="1:24" ht="8.25" customHeight="1" x14ac:dyDescent="0.25">
      <c r="A23" s="45">
        <v>251</v>
      </c>
      <c r="B23" s="3" t="s">
        <v>26</v>
      </c>
      <c r="C23" s="37">
        <v>128</v>
      </c>
      <c r="D23" s="37">
        <v>30</v>
      </c>
      <c r="E23" s="4">
        <v>54</v>
      </c>
      <c r="F23" s="4">
        <v>10</v>
      </c>
      <c r="G23" s="4">
        <v>81</v>
      </c>
      <c r="H23" s="4">
        <v>9</v>
      </c>
      <c r="I23" s="38">
        <v>69</v>
      </c>
      <c r="J23" s="39">
        <v>14</v>
      </c>
      <c r="K23" s="37">
        <v>53</v>
      </c>
      <c r="L23" s="37">
        <v>9</v>
      </c>
      <c r="M23" s="37">
        <f>VLOOKUP(A23,'2019_B5_Berechnung'!$B$71:$M$122,7,FALSE)</f>
        <v>60</v>
      </c>
      <c r="N23" s="37">
        <f>VLOOKUP(A23,'2019_B5_Berechnung'!$B$71:$M$122,6,FALSE)</f>
        <v>11</v>
      </c>
      <c r="O23" s="38">
        <v>68</v>
      </c>
      <c r="P23" s="39">
        <v>13</v>
      </c>
      <c r="Q23" s="38">
        <v>66</v>
      </c>
      <c r="R23" s="39">
        <v>31</v>
      </c>
      <c r="S23" s="116">
        <v>64</v>
      </c>
      <c r="T23" s="44">
        <v>41</v>
      </c>
      <c r="U23" s="165">
        <f>VLOOKUP(A23,'2019_B5_Berechnung'!$B$279:$M$330,7,FALSE)</f>
        <v>80</v>
      </c>
      <c r="V23" s="165">
        <f>VLOOKUP(A23,'2019_B5_Berechnung'!$B$279:$M$330,6,FALSE)</f>
        <v>43</v>
      </c>
      <c r="W23" s="186">
        <f>VLOOKUP(A23,'2020_4-1-3_bearbeitet (2)'!$A$23:$P$529,6,FALSE)</f>
        <v>69</v>
      </c>
      <c r="X23" s="186">
        <f>VLOOKUP(A23,'2020_4-1-3_bearbeitet (2)'!$A$23:$P$529,7,FALSE)</f>
        <v>33</v>
      </c>
    </row>
    <row r="24" spans="1:24" ht="8.25" customHeight="1" x14ac:dyDescent="0.25">
      <c r="A24" s="45">
        <v>252</v>
      </c>
      <c r="B24" s="3" t="s">
        <v>27</v>
      </c>
      <c r="C24" s="37">
        <v>151</v>
      </c>
      <c r="D24" s="37">
        <v>47</v>
      </c>
      <c r="E24" s="4">
        <v>62</v>
      </c>
      <c r="F24" s="4">
        <v>19</v>
      </c>
      <c r="G24" s="37">
        <v>88</v>
      </c>
      <c r="H24" s="37">
        <v>9</v>
      </c>
      <c r="I24" s="38">
        <v>101</v>
      </c>
      <c r="J24" s="39">
        <v>11</v>
      </c>
      <c r="K24" s="37">
        <v>78</v>
      </c>
      <c r="L24" s="37">
        <v>10</v>
      </c>
      <c r="M24" s="37">
        <f>VLOOKUP(A24,'2019_B5_Berechnung'!$B$71:$M$122,7,FALSE)</f>
        <v>67</v>
      </c>
      <c r="N24" s="37">
        <f>VLOOKUP(A24,'2019_B5_Berechnung'!$B$71:$M$122,6,FALSE)</f>
        <v>21</v>
      </c>
      <c r="O24" s="38">
        <v>45</v>
      </c>
      <c r="P24" s="39">
        <v>15</v>
      </c>
      <c r="Q24" s="38">
        <v>57</v>
      </c>
      <c r="R24" s="39">
        <v>18</v>
      </c>
      <c r="S24" s="116">
        <v>68</v>
      </c>
      <c r="T24" s="44">
        <v>33</v>
      </c>
      <c r="U24" s="165">
        <f>VLOOKUP(A24,'2019_B5_Berechnung'!$B$279:$M$330,7,FALSE)</f>
        <v>93</v>
      </c>
      <c r="V24" s="165">
        <f>VLOOKUP(A24,'2019_B5_Berechnung'!$B$279:$M$330,6,FALSE)</f>
        <v>54</v>
      </c>
      <c r="W24" s="186">
        <f>VLOOKUP(A24,'2020_4-1-3_bearbeitet (2)'!$A$23:$P$529,6,FALSE)</f>
        <v>96</v>
      </c>
      <c r="X24" s="186">
        <f>VLOOKUP(A24,'2020_4-1-3_bearbeitet (2)'!$A$23:$P$529,7,FALSE)</f>
        <v>34</v>
      </c>
    </row>
    <row r="25" spans="1:24" ht="8.25" customHeight="1" x14ac:dyDescent="0.25">
      <c r="A25" s="45">
        <v>254</v>
      </c>
      <c r="B25" s="3" t="s">
        <v>28</v>
      </c>
      <c r="C25" s="37">
        <v>244</v>
      </c>
      <c r="D25" s="37">
        <v>82</v>
      </c>
      <c r="E25" s="4">
        <v>79</v>
      </c>
      <c r="F25" s="4">
        <v>32</v>
      </c>
      <c r="G25" s="4">
        <v>145</v>
      </c>
      <c r="H25" s="4">
        <v>25</v>
      </c>
      <c r="I25" s="38">
        <v>153</v>
      </c>
      <c r="J25" s="39">
        <v>28</v>
      </c>
      <c r="K25" s="37">
        <v>157</v>
      </c>
      <c r="L25" s="37">
        <v>23</v>
      </c>
      <c r="M25" s="37">
        <f>VLOOKUP(A25,'2019_B5_Berechnung'!$B$71:$M$122,7,FALSE)</f>
        <v>191</v>
      </c>
      <c r="N25" s="37">
        <f>VLOOKUP(A25,'2019_B5_Berechnung'!$B$71:$M$122,6,FALSE)</f>
        <v>25</v>
      </c>
      <c r="O25" s="38">
        <v>147</v>
      </c>
      <c r="P25" s="39">
        <v>32</v>
      </c>
      <c r="Q25" s="38">
        <v>139</v>
      </c>
      <c r="R25" s="39">
        <v>46</v>
      </c>
      <c r="S25" s="116">
        <v>129</v>
      </c>
      <c r="T25" s="44">
        <v>54</v>
      </c>
      <c r="U25" s="165">
        <f>VLOOKUP(A25,'2019_B5_Berechnung'!$B$279:$M$330,7,FALSE)</f>
        <v>139</v>
      </c>
      <c r="V25" s="165">
        <f>VLOOKUP(A25,'2019_B5_Berechnung'!$B$279:$M$330,6,FALSE)</f>
        <v>72</v>
      </c>
      <c r="W25" s="186">
        <f>VLOOKUP(A25,'2020_4-1-3_bearbeitet (2)'!$A$23:$P$529,6,FALSE)</f>
        <v>121</v>
      </c>
      <c r="X25" s="186">
        <f>VLOOKUP(A25,'2020_4-1-3_bearbeitet (2)'!$A$23:$P$529,7,FALSE)</f>
        <v>41</v>
      </c>
    </row>
    <row r="26" spans="1:24" ht="8.25" customHeight="1" x14ac:dyDescent="0.25">
      <c r="A26" s="45">
        <v>255</v>
      </c>
      <c r="B26" s="3" t="s">
        <v>29</v>
      </c>
      <c r="C26" s="37">
        <v>55</v>
      </c>
      <c r="D26" s="37">
        <v>6</v>
      </c>
      <c r="E26" s="4">
        <v>11</v>
      </c>
      <c r="F26" s="4">
        <v>2</v>
      </c>
      <c r="G26" s="4">
        <v>37</v>
      </c>
      <c r="H26" s="4">
        <v>5</v>
      </c>
      <c r="I26" s="38">
        <v>46</v>
      </c>
      <c r="J26" s="39">
        <v>4</v>
      </c>
      <c r="K26" s="37">
        <v>48</v>
      </c>
      <c r="L26" s="37">
        <v>3</v>
      </c>
      <c r="M26" s="37">
        <f>VLOOKUP(A26,'2019_B5_Berechnung'!$B$71:$M$122,7,FALSE)</f>
        <v>51</v>
      </c>
      <c r="N26" s="37">
        <f>VLOOKUP(A26,'2019_B5_Berechnung'!$B$71:$M$122,6,FALSE)</f>
        <v>6</v>
      </c>
      <c r="O26" s="38">
        <v>21</v>
      </c>
      <c r="P26" s="39">
        <v>2</v>
      </c>
      <c r="Q26" s="38">
        <v>25</v>
      </c>
      <c r="R26" s="39">
        <v>2</v>
      </c>
      <c r="S26" s="116">
        <v>50</v>
      </c>
      <c r="T26" s="44">
        <v>12</v>
      </c>
      <c r="U26" s="165">
        <f>VLOOKUP(A26,'2019_B5_Berechnung'!$B$279:$M$330,7,FALSE)</f>
        <v>56</v>
      </c>
      <c r="V26" s="165">
        <f>VLOOKUP(A26,'2019_B5_Berechnung'!$B$279:$M$330,6,FALSE)</f>
        <v>7</v>
      </c>
      <c r="W26" s="186">
        <f>VLOOKUP(A26,'2020_4-1-3_bearbeitet (2)'!$A$23:$P$529,6,FALSE)</f>
        <v>56</v>
      </c>
      <c r="X26" s="186">
        <f>VLOOKUP(A26,'2020_4-1-3_bearbeitet (2)'!$A$23:$P$529,7,FALSE)</f>
        <v>7</v>
      </c>
    </row>
    <row r="27" spans="1:24" ht="8.25" customHeight="1" x14ac:dyDescent="0.25">
      <c r="A27" s="45">
        <v>256</v>
      </c>
      <c r="B27" s="3" t="s">
        <v>30</v>
      </c>
      <c r="C27" s="37">
        <v>102</v>
      </c>
      <c r="D27" s="37">
        <v>34</v>
      </c>
      <c r="E27" s="4">
        <v>23</v>
      </c>
      <c r="F27" s="4">
        <v>17</v>
      </c>
      <c r="G27" s="4">
        <v>62</v>
      </c>
      <c r="H27" s="4">
        <v>14</v>
      </c>
      <c r="I27" s="38">
        <v>65</v>
      </c>
      <c r="J27" s="39">
        <v>13</v>
      </c>
      <c r="K27" s="37">
        <v>95</v>
      </c>
      <c r="L27" s="37">
        <v>24</v>
      </c>
      <c r="M27" s="37">
        <f>VLOOKUP(A27,'2019_B5_Berechnung'!$B$71:$M$122,7,FALSE)</f>
        <v>60</v>
      </c>
      <c r="N27" s="37">
        <f>VLOOKUP(A27,'2019_B5_Berechnung'!$B$71:$M$122,6,FALSE)</f>
        <v>19</v>
      </c>
      <c r="O27" s="38">
        <v>46</v>
      </c>
      <c r="P27" s="39">
        <v>16</v>
      </c>
      <c r="Q27" s="38">
        <v>55</v>
      </c>
      <c r="R27" s="39">
        <v>19</v>
      </c>
      <c r="S27" s="116">
        <v>80</v>
      </c>
      <c r="T27" s="44">
        <v>57</v>
      </c>
      <c r="U27" s="165">
        <f>VLOOKUP(A27,'2019_B5_Berechnung'!$B$279:$M$330,7,FALSE)</f>
        <v>60</v>
      </c>
      <c r="V27" s="165">
        <f>VLOOKUP(A27,'2019_B5_Berechnung'!$B$279:$M$330,6,FALSE)</f>
        <v>25</v>
      </c>
      <c r="W27" s="186">
        <f>VLOOKUP(A27,'2020_4-1-3_bearbeitet (2)'!$A$23:$P$529,6,FALSE)</f>
        <v>67</v>
      </c>
      <c r="X27" s="186">
        <f>VLOOKUP(A27,'2020_4-1-3_bearbeitet (2)'!$A$23:$P$529,7,FALSE)</f>
        <v>18</v>
      </c>
    </row>
    <row r="28" spans="1:24" ht="8.25" customHeight="1" x14ac:dyDescent="0.25">
      <c r="A28" s="45">
        <v>257</v>
      </c>
      <c r="B28" s="3" t="s">
        <v>31</v>
      </c>
      <c r="C28" s="37">
        <v>141</v>
      </c>
      <c r="D28" s="37">
        <v>23</v>
      </c>
      <c r="E28" s="4">
        <v>38</v>
      </c>
      <c r="F28" s="4">
        <v>15</v>
      </c>
      <c r="G28" s="4">
        <v>64</v>
      </c>
      <c r="H28" s="4">
        <v>13</v>
      </c>
      <c r="I28" s="38">
        <v>48</v>
      </c>
      <c r="J28" s="39">
        <v>14</v>
      </c>
      <c r="K28" s="37">
        <v>31</v>
      </c>
      <c r="L28" s="37">
        <v>1</v>
      </c>
      <c r="M28" s="37">
        <f>VLOOKUP(A28,'2019_B5_Berechnung'!$B$71:$M$122,7,FALSE)</f>
        <v>36</v>
      </c>
      <c r="N28" s="37">
        <f>VLOOKUP(A28,'2019_B5_Berechnung'!$B$71:$M$122,6,FALSE)</f>
        <v>18</v>
      </c>
      <c r="O28" s="38">
        <v>57</v>
      </c>
      <c r="P28" s="39">
        <v>7</v>
      </c>
      <c r="Q28" s="38">
        <v>37</v>
      </c>
      <c r="R28" s="39">
        <v>41</v>
      </c>
      <c r="S28" s="116">
        <v>55</v>
      </c>
      <c r="T28" s="44">
        <v>25</v>
      </c>
      <c r="U28" s="165">
        <f>VLOOKUP(A28,'2019_B5_Berechnung'!$B$279:$M$330,7,FALSE)</f>
        <v>92</v>
      </c>
      <c r="V28" s="165">
        <f>VLOOKUP(A28,'2019_B5_Berechnung'!$B$279:$M$330,6,FALSE)</f>
        <v>30</v>
      </c>
      <c r="W28" s="186">
        <f>VLOOKUP(A28,'2020_4-1-3_bearbeitet (2)'!$A$23:$P$529,6,FALSE)</f>
        <v>71</v>
      </c>
      <c r="X28" s="186">
        <f>VLOOKUP(A28,'2020_4-1-3_bearbeitet (2)'!$A$23:$P$529,7,FALSE)</f>
        <v>21</v>
      </c>
    </row>
    <row r="29" spans="1:24" s="36" customFormat="1" ht="16.5" customHeight="1" x14ac:dyDescent="0.25">
      <c r="A29" s="46">
        <v>2</v>
      </c>
      <c r="B29" s="5" t="s">
        <v>32</v>
      </c>
      <c r="C29" s="40">
        <v>1495</v>
      </c>
      <c r="D29" s="40">
        <v>533</v>
      </c>
      <c r="E29" s="41">
        <v>519</v>
      </c>
      <c r="F29" s="41">
        <v>282</v>
      </c>
      <c r="G29" s="41">
        <v>928</v>
      </c>
      <c r="H29" s="41">
        <v>238</v>
      </c>
      <c r="I29" s="42">
        <v>882</v>
      </c>
      <c r="J29" s="40">
        <v>228</v>
      </c>
      <c r="K29" s="40">
        <v>849</v>
      </c>
      <c r="L29" s="40">
        <v>201</v>
      </c>
      <c r="M29" s="40">
        <f>VLOOKUP(A29,'2019_B5_Berechnung'!$B$71:$M$122,7,FALSE)</f>
        <v>862</v>
      </c>
      <c r="N29" s="40">
        <f>VLOOKUP(A29,'2019_B5_Berechnung'!$B$71:$M$122,6,FALSE)</f>
        <v>239</v>
      </c>
      <c r="O29" s="42">
        <v>758</v>
      </c>
      <c r="P29" s="43">
        <v>258</v>
      </c>
      <c r="Q29" s="42">
        <v>739</v>
      </c>
      <c r="R29" s="43">
        <v>368</v>
      </c>
      <c r="S29" s="117">
        <v>859</v>
      </c>
      <c r="T29" s="118">
        <v>462</v>
      </c>
      <c r="U29" s="187">
        <f>VLOOKUP(A29,'2019_B5_Berechnung'!$B$279:$M$330,7,FALSE)</f>
        <v>921</v>
      </c>
      <c r="V29" s="187">
        <f>VLOOKUP(A29,'2019_B5_Berechnung'!$B$279:$M$330,6,FALSE)</f>
        <v>490</v>
      </c>
      <c r="W29" s="188">
        <f>VLOOKUP(A29,'2020_4-1-3_bearbeitet (2)'!$A$23:$P$529,6,FALSE)</f>
        <v>849</v>
      </c>
      <c r="X29" s="188">
        <f>VLOOKUP(A29,'2020_4-1-3_bearbeitet (2)'!$A$23:$P$529,7,FALSE)</f>
        <v>338</v>
      </c>
    </row>
    <row r="30" spans="1:24" ht="8.25" customHeight="1" x14ac:dyDescent="0.25">
      <c r="A30" s="45">
        <v>351</v>
      </c>
      <c r="B30" s="3" t="s">
        <v>33</v>
      </c>
      <c r="C30" s="37">
        <v>181</v>
      </c>
      <c r="D30" s="37">
        <v>50</v>
      </c>
      <c r="E30" s="4">
        <v>52</v>
      </c>
      <c r="F30" s="4">
        <v>10</v>
      </c>
      <c r="G30" s="4">
        <v>126</v>
      </c>
      <c r="H30" s="4">
        <v>5</v>
      </c>
      <c r="I30" s="38">
        <v>110</v>
      </c>
      <c r="J30" s="39">
        <v>4</v>
      </c>
      <c r="K30" s="37">
        <v>81</v>
      </c>
      <c r="L30" s="37">
        <v>11</v>
      </c>
      <c r="M30" s="37">
        <f>VLOOKUP(A30,'2019_B5_Berechnung'!$B$71:$M$122,7,FALSE)</f>
        <v>86</v>
      </c>
      <c r="N30" s="37">
        <f>VLOOKUP(A30,'2019_B5_Berechnung'!$B$71:$M$122,6,FALSE)</f>
        <v>9</v>
      </c>
      <c r="O30" s="38">
        <v>74</v>
      </c>
      <c r="P30" s="39">
        <v>3</v>
      </c>
      <c r="Q30" s="38">
        <v>120</v>
      </c>
      <c r="R30" s="39">
        <v>22</v>
      </c>
      <c r="S30" s="116">
        <v>118</v>
      </c>
      <c r="T30" s="44">
        <v>32</v>
      </c>
      <c r="U30" s="165">
        <f>VLOOKUP(A30,'2019_B5_Berechnung'!$B$279:$M$330,7,FALSE)</f>
        <v>93</v>
      </c>
      <c r="V30" s="165">
        <f>VLOOKUP(A30,'2019_B5_Berechnung'!$B$279:$M$330,6,FALSE)</f>
        <v>30</v>
      </c>
      <c r="W30" s="186">
        <f>VLOOKUP(A30,'2020_4-1-3_bearbeitet (2)'!$A$23:$P$529,6,FALSE)</f>
        <v>120</v>
      </c>
      <c r="X30" s="186">
        <f>VLOOKUP(A30,'2020_4-1-3_bearbeitet (2)'!$A$23:$P$529,7,FALSE)</f>
        <v>30</v>
      </c>
    </row>
    <row r="31" spans="1:24" ht="8.25" customHeight="1" x14ac:dyDescent="0.25">
      <c r="A31" s="45">
        <v>352</v>
      </c>
      <c r="B31" s="3" t="s">
        <v>34</v>
      </c>
      <c r="C31" s="37">
        <v>180</v>
      </c>
      <c r="D31" s="37">
        <v>42</v>
      </c>
      <c r="E31" s="4">
        <v>48</v>
      </c>
      <c r="F31" s="4">
        <v>16</v>
      </c>
      <c r="G31" s="4">
        <v>156</v>
      </c>
      <c r="H31" s="4">
        <v>22</v>
      </c>
      <c r="I31" s="38">
        <v>132</v>
      </c>
      <c r="J31" s="39">
        <v>11</v>
      </c>
      <c r="K31" s="37">
        <v>122</v>
      </c>
      <c r="L31" s="37">
        <v>16</v>
      </c>
      <c r="M31" s="37">
        <f>VLOOKUP(A31,'2019_B5_Berechnung'!$B$71:$M$122,7,FALSE)</f>
        <v>66</v>
      </c>
      <c r="N31" s="37">
        <f>VLOOKUP(A31,'2019_B5_Berechnung'!$B$71:$M$122,6,FALSE)</f>
        <v>17</v>
      </c>
      <c r="O31" s="38">
        <v>115</v>
      </c>
      <c r="P31" s="39">
        <v>27</v>
      </c>
      <c r="Q31" s="38">
        <v>98</v>
      </c>
      <c r="R31" s="39">
        <v>40</v>
      </c>
      <c r="S31" s="116">
        <v>118</v>
      </c>
      <c r="T31" s="44">
        <v>23</v>
      </c>
      <c r="U31" s="165">
        <f>VLOOKUP(A31,'2019_B5_Berechnung'!$B$279:$M$330,7,FALSE)</f>
        <v>116</v>
      </c>
      <c r="V31" s="165">
        <f>VLOOKUP(A31,'2019_B5_Berechnung'!$B$279:$M$330,6,FALSE)</f>
        <v>35</v>
      </c>
      <c r="W31" s="186">
        <f>VLOOKUP(A31,'2020_4-1-3_bearbeitet (2)'!$A$23:$P$529,6,FALSE)</f>
        <v>81</v>
      </c>
      <c r="X31" s="186">
        <f>VLOOKUP(A31,'2020_4-1-3_bearbeitet (2)'!$A$23:$P$529,7,FALSE)</f>
        <v>26</v>
      </c>
    </row>
    <row r="32" spans="1:24" ht="8.25" customHeight="1" x14ac:dyDescent="0.25">
      <c r="A32" s="45">
        <v>353</v>
      </c>
      <c r="B32" s="3" t="s">
        <v>35</v>
      </c>
      <c r="C32" s="37">
        <v>159</v>
      </c>
      <c r="D32" s="37">
        <v>41</v>
      </c>
      <c r="E32" s="4">
        <v>51</v>
      </c>
      <c r="F32" s="4">
        <v>20</v>
      </c>
      <c r="G32" s="4">
        <v>90</v>
      </c>
      <c r="H32" s="4">
        <v>12</v>
      </c>
      <c r="I32" s="38">
        <v>66</v>
      </c>
      <c r="J32" s="39">
        <v>7</v>
      </c>
      <c r="K32" s="37">
        <v>61</v>
      </c>
      <c r="L32" s="37">
        <v>11</v>
      </c>
      <c r="M32" s="37">
        <f>VLOOKUP(A32,'2019_B5_Berechnung'!$B$71:$M$122,7,FALSE)</f>
        <v>53</v>
      </c>
      <c r="N32" s="37">
        <f>VLOOKUP(A32,'2019_B5_Berechnung'!$B$71:$M$122,6,FALSE)</f>
        <v>7</v>
      </c>
      <c r="O32" s="38">
        <v>60</v>
      </c>
      <c r="P32" s="39">
        <v>10</v>
      </c>
      <c r="Q32" s="38">
        <v>75</v>
      </c>
      <c r="R32" s="39">
        <v>23</v>
      </c>
      <c r="S32" s="116">
        <v>63</v>
      </c>
      <c r="T32" s="44">
        <v>18</v>
      </c>
      <c r="U32" s="165">
        <f>VLOOKUP(A32,'2019_B5_Berechnung'!$B$279:$M$330,7,FALSE)</f>
        <v>99</v>
      </c>
      <c r="V32" s="165">
        <f>VLOOKUP(A32,'2019_B5_Berechnung'!$B$279:$M$330,6,FALSE)</f>
        <v>21</v>
      </c>
      <c r="W32" s="186">
        <f>VLOOKUP(A32,'2020_4-1-3_bearbeitet (2)'!$A$23:$P$529,6,FALSE)</f>
        <v>81</v>
      </c>
      <c r="X32" s="186">
        <f>VLOOKUP(A32,'2020_4-1-3_bearbeitet (2)'!$A$23:$P$529,7,FALSE)</f>
        <v>20</v>
      </c>
    </row>
    <row r="33" spans="1:24" ht="8.25" customHeight="1" x14ac:dyDescent="0.25">
      <c r="A33" s="45">
        <v>354</v>
      </c>
      <c r="B33" s="3" t="s">
        <v>36</v>
      </c>
      <c r="C33" s="37">
        <v>63</v>
      </c>
      <c r="D33" s="37">
        <v>8</v>
      </c>
      <c r="E33" s="4">
        <v>10</v>
      </c>
      <c r="F33" s="4">
        <v>2</v>
      </c>
      <c r="G33" s="4">
        <v>29</v>
      </c>
      <c r="H33" s="4">
        <v>3</v>
      </c>
      <c r="I33" s="38">
        <v>27</v>
      </c>
      <c r="J33" s="39">
        <v>1</v>
      </c>
      <c r="K33" s="37">
        <v>34</v>
      </c>
      <c r="L33" s="37">
        <v>6</v>
      </c>
      <c r="M33" s="37">
        <f>VLOOKUP(A33,'2019_B5_Berechnung'!$B$71:$M$122,7,FALSE)</f>
        <v>35</v>
      </c>
      <c r="N33" s="37">
        <f>VLOOKUP(A33,'2019_B5_Berechnung'!$B$71:$M$122,6,FALSE)</f>
        <v>2</v>
      </c>
      <c r="O33" s="38">
        <v>25</v>
      </c>
      <c r="P33" s="39">
        <v>9</v>
      </c>
      <c r="Q33" s="38">
        <v>34</v>
      </c>
      <c r="R33" s="39">
        <v>8</v>
      </c>
      <c r="S33" s="116">
        <v>31</v>
      </c>
      <c r="T33" s="44">
        <v>7</v>
      </c>
      <c r="U33" s="165">
        <f>VLOOKUP(A33,'2019_B5_Berechnung'!$B$279:$M$330,7,FALSE)</f>
        <v>40</v>
      </c>
      <c r="V33" s="165">
        <f>VLOOKUP(A33,'2019_B5_Berechnung'!$B$279:$M$330,6,FALSE)</f>
        <v>3</v>
      </c>
      <c r="W33" s="186">
        <f>VLOOKUP(A33,'2020_4-1-3_bearbeitet (2)'!$A$23:$P$529,6,FALSE)</f>
        <v>33</v>
      </c>
      <c r="X33" s="186">
        <f>VLOOKUP(A33,'2020_4-1-3_bearbeitet (2)'!$A$23:$P$529,7,FALSE)</f>
        <v>5</v>
      </c>
    </row>
    <row r="34" spans="1:24" ht="8.25" customHeight="1" x14ac:dyDescent="0.25">
      <c r="A34" s="45">
        <v>355</v>
      </c>
      <c r="B34" s="3" t="s">
        <v>37</v>
      </c>
      <c r="C34" s="37">
        <v>105</v>
      </c>
      <c r="D34" s="37">
        <v>22</v>
      </c>
      <c r="E34" s="4">
        <v>35</v>
      </c>
      <c r="F34" s="4">
        <v>4</v>
      </c>
      <c r="G34" s="4">
        <v>84</v>
      </c>
      <c r="H34" s="4">
        <v>4</v>
      </c>
      <c r="I34" s="38">
        <v>68</v>
      </c>
      <c r="J34" s="39">
        <v>8</v>
      </c>
      <c r="K34" s="37">
        <v>67</v>
      </c>
      <c r="L34" s="37">
        <v>5</v>
      </c>
      <c r="M34" s="37">
        <f>VLOOKUP(A34,'2019_B5_Berechnung'!$B$71:$M$122,7,FALSE)</f>
        <v>56</v>
      </c>
      <c r="N34" s="37">
        <f>VLOOKUP(A34,'2019_B5_Berechnung'!$B$71:$M$122,6,FALSE)</f>
        <v>7</v>
      </c>
      <c r="O34" s="38">
        <v>64</v>
      </c>
      <c r="P34" s="39">
        <v>8</v>
      </c>
      <c r="Q34" s="38">
        <v>87</v>
      </c>
      <c r="R34" s="39">
        <v>12</v>
      </c>
      <c r="S34" s="116">
        <v>84</v>
      </c>
      <c r="T34" s="44">
        <v>15</v>
      </c>
      <c r="U34" s="165">
        <f>VLOOKUP(A34,'2019_B5_Berechnung'!$B$279:$M$330,7,FALSE)</f>
        <v>82</v>
      </c>
      <c r="V34" s="165">
        <f>VLOOKUP(A34,'2019_B5_Berechnung'!$B$279:$M$330,6,FALSE)</f>
        <v>27</v>
      </c>
      <c r="W34" s="186">
        <f>VLOOKUP(A34,'2020_4-1-3_bearbeitet (2)'!$A$23:$P$529,6,FALSE)</f>
        <v>96</v>
      </c>
      <c r="X34" s="186">
        <f>VLOOKUP(A34,'2020_4-1-3_bearbeitet (2)'!$A$23:$P$529,7,FALSE)</f>
        <v>17</v>
      </c>
    </row>
    <row r="35" spans="1:24" ht="8.25" customHeight="1" x14ac:dyDescent="0.25">
      <c r="A35" s="45">
        <v>356</v>
      </c>
      <c r="B35" s="3" t="s">
        <v>38</v>
      </c>
      <c r="C35" s="37">
        <v>63</v>
      </c>
      <c r="D35" s="37">
        <v>21</v>
      </c>
      <c r="E35" s="4">
        <v>24</v>
      </c>
      <c r="F35" s="4">
        <v>8</v>
      </c>
      <c r="G35" s="4">
        <v>44</v>
      </c>
      <c r="H35" s="4">
        <v>9</v>
      </c>
      <c r="I35" s="38">
        <v>72</v>
      </c>
      <c r="J35" s="39">
        <v>3</v>
      </c>
      <c r="K35" s="37">
        <v>59</v>
      </c>
      <c r="L35" s="37">
        <v>7</v>
      </c>
      <c r="M35" s="37">
        <f>VLOOKUP(A35,'2019_B5_Berechnung'!$B$71:$M$122,7,FALSE)</f>
        <v>35</v>
      </c>
      <c r="N35" s="37">
        <f>VLOOKUP(A35,'2019_B5_Berechnung'!$B$71:$M$122,6,FALSE)</f>
        <v>4</v>
      </c>
      <c r="O35" s="38">
        <v>29</v>
      </c>
      <c r="P35" s="39">
        <v>9</v>
      </c>
      <c r="Q35" s="38">
        <v>35</v>
      </c>
      <c r="R35" s="39">
        <v>7</v>
      </c>
      <c r="S35" s="116">
        <v>29</v>
      </c>
      <c r="T35" s="44">
        <v>9</v>
      </c>
      <c r="U35" s="165">
        <f>VLOOKUP(A35,'2019_B5_Berechnung'!$B$279:$M$330,7,FALSE)</f>
        <v>35</v>
      </c>
      <c r="V35" s="165">
        <f>VLOOKUP(A35,'2019_B5_Berechnung'!$B$279:$M$330,6,FALSE)</f>
        <v>13</v>
      </c>
      <c r="W35" s="186">
        <f>VLOOKUP(A35,'2020_4-1-3_bearbeitet (2)'!$A$23:$P$529,6,FALSE)</f>
        <v>28</v>
      </c>
      <c r="X35" s="186">
        <f>VLOOKUP(A35,'2020_4-1-3_bearbeitet (2)'!$A$23:$P$529,7,FALSE)</f>
        <v>13</v>
      </c>
    </row>
    <row r="36" spans="1:24" ht="8.25" customHeight="1" x14ac:dyDescent="0.25">
      <c r="A36" s="45">
        <v>357</v>
      </c>
      <c r="B36" s="3" t="s">
        <v>39</v>
      </c>
      <c r="C36" s="37">
        <v>218</v>
      </c>
      <c r="D36" s="37">
        <v>18</v>
      </c>
      <c r="E36" s="4">
        <v>45</v>
      </c>
      <c r="F36" s="4">
        <v>13</v>
      </c>
      <c r="G36" s="4">
        <v>82</v>
      </c>
      <c r="H36" s="4">
        <v>12</v>
      </c>
      <c r="I36" s="38">
        <v>91</v>
      </c>
      <c r="J36" s="39">
        <v>4</v>
      </c>
      <c r="K36" s="37">
        <v>91</v>
      </c>
      <c r="L36" s="37">
        <v>6</v>
      </c>
      <c r="M36" s="37">
        <f>VLOOKUP(A36,'2019_B5_Berechnung'!$B$71:$M$122,7,FALSE)</f>
        <v>98</v>
      </c>
      <c r="N36" s="37">
        <f>VLOOKUP(A36,'2019_B5_Berechnung'!$B$71:$M$122,6,FALSE)</f>
        <v>9</v>
      </c>
      <c r="O36" s="38">
        <v>89</v>
      </c>
      <c r="P36" s="39">
        <v>20</v>
      </c>
      <c r="Q36" s="38">
        <v>94</v>
      </c>
      <c r="R36" s="39">
        <v>17</v>
      </c>
      <c r="S36" s="116">
        <v>108</v>
      </c>
      <c r="T36" s="44">
        <v>19</v>
      </c>
      <c r="U36" s="165">
        <f>VLOOKUP(A36,'2019_B5_Berechnung'!$B$279:$M$330,7,FALSE)</f>
        <v>131</v>
      </c>
      <c r="V36" s="165">
        <f>VLOOKUP(A36,'2019_B5_Berechnung'!$B$279:$M$330,6,FALSE)</f>
        <v>28</v>
      </c>
      <c r="W36" s="186">
        <f>VLOOKUP(A36,'2020_4-1-3_bearbeitet (2)'!$A$23:$P$529,6,FALSE)</f>
        <v>104</v>
      </c>
      <c r="X36" s="186">
        <f>VLOOKUP(A36,'2020_4-1-3_bearbeitet (2)'!$A$23:$P$529,7,FALSE)</f>
        <v>30</v>
      </c>
    </row>
    <row r="37" spans="1:24" ht="8.25" customHeight="1" x14ac:dyDescent="0.25">
      <c r="A37" s="45">
        <v>358</v>
      </c>
      <c r="B37" s="3" t="s">
        <v>40</v>
      </c>
      <c r="C37" s="37">
        <v>143</v>
      </c>
      <c r="D37" s="37">
        <v>33</v>
      </c>
      <c r="E37" s="4">
        <v>43</v>
      </c>
      <c r="F37" s="4">
        <v>10</v>
      </c>
      <c r="G37" s="4">
        <v>109</v>
      </c>
      <c r="H37" s="4">
        <v>13</v>
      </c>
      <c r="I37" s="38">
        <v>106</v>
      </c>
      <c r="J37" s="39">
        <v>22</v>
      </c>
      <c r="K37" s="37">
        <v>82</v>
      </c>
      <c r="L37" s="37">
        <v>12</v>
      </c>
      <c r="M37" s="37">
        <f>VLOOKUP(A37,'2019_B5_Berechnung'!$B$71:$M$122,7,FALSE)</f>
        <v>95</v>
      </c>
      <c r="N37" s="37">
        <f>VLOOKUP(A37,'2019_B5_Berechnung'!$B$71:$M$122,6,FALSE)</f>
        <v>15</v>
      </c>
      <c r="O37" s="38">
        <v>98</v>
      </c>
      <c r="P37" s="39">
        <v>13</v>
      </c>
      <c r="Q37" s="38">
        <v>80</v>
      </c>
      <c r="R37" s="39">
        <v>17</v>
      </c>
      <c r="S37" s="116">
        <v>88</v>
      </c>
      <c r="T37" s="44">
        <v>16</v>
      </c>
      <c r="U37" s="165">
        <f>VLOOKUP(A37,'2019_B5_Berechnung'!$B$279:$M$330,7,FALSE)</f>
        <v>72</v>
      </c>
      <c r="V37" s="165">
        <f>VLOOKUP(A37,'2019_B5_Berechnung'!$B$279:$M$330,6,FALSE)</f>
        <v>13</v>
      </c>
      <c r="W37" s="186">
        <f>VLOOKUP(A37,'2020_4-1-3_bearbeitet (2)'!$A$23:$P$529,6,FALSE)</f>
        <v>83</v>
      </c>
      <c r="X37" s="186">
        <f>VLOOKUP(A37,'2020_4-1-3_bearbeitet (2)'!$A$23:$P$529,7,FALSE)</f>
        <v>7</v>
      </c>
    </row>
    <row r="38" spans="1:24" ht="8.25" customHeight="1" x14ac:dyDescent="0.25">
      <c r="A38" s="45">
        <v>359</v>
      </c>
      <c r="B38" s="3" t="s">
        <v>41</v>
      </c>
      <c r="C38" s="37">
        <v>193</v>
      </c>
      <c r="D38" s="37">
        <v>28</v>
      </c>
      <c r="E38" s="4">
        <v>51</v>
      </c>
      <c r="F38" s="4">
        <v>15</v>
      </c>
      <c r="G38" s="4">
        <v>112</v>
      </c>
      <c r="H38" s="4">
        <v>5</v>
      </c>
      <c r="I38" s="38">
        <v>102</v>
      </c>
      <c r="J38" s="39">
        <v>10</v>
      </c>
      <c r="K38" s="37">
        <v>73</v>
      </c>
      <c r="L38" s="37">
        <v>14</v>
      </c>
      <c r="M38" s="37">
        <f>VLOOKUP(A38,'2019_B5_Berechnung'!$B$71:$M$122,7,FALSE)</f>
        <v>74</v>
      </c>
      <c r="N38" s="37">
        <f>VLOOKUP(A38,'2019_B5_Berechnung'!$B$71:$M$122,6,FALSE)</f>
        <v>28</v>
      </c>
      <c r="O38" s="38">
        <v>105</v>
      </c>
      <c r="P38" s="39">
        <v>43</v>
      </c>
      <c r="Q38" s="38">
        <v>80</v>
      </c>
      <c r="R38" s="39">
        <v>29</v>
      </c>
      <c r="S38" s="116">
        <v>125</v>
      </c>
      <c r="T38" s="44">
        <v>37</v>
      </c>
      <c r="U38" s="165">
        <f>VLOOKUP(A38,'2019_B5_Berechnung'!$B$279:$M$330,7,FALSE)</f>
        <v>105</v>
      </c>
      <c r="V38" s="165">
        <f>VLOOKUP(A38,'2019_B5_Berechnung'!$B$279:$M$330,6,FALSE)</f>
        <v>36</v>
      </c>
      <c r="W38" s="186">
        <f>VLOOKUP(A38,'2020_4-1-3_bearbeitet (2)'!$A$23:$P$529,6,FALSE)</f>
        <v>110</v>
      </c>
      <c r="X38" s="186">
        <f>VLOOKUP(A38,'2020_4-1-3_bearbeitet (2)'!$A$23:$P$529,7,FALSE)</f>
        <v>51</v>
      </c>
    </row>
    <row r="39" spans="1:24" ht="8.25" customHeight="1" x14ac:dyDescent="0.25">
      <c r="A39" s="45">
        <v>360</v>
      </c>
      <c r="B39" s="3" t="s">
        <v>42</v>
      </c>
      <c r="C39" s="37">
        <v>111</v>
      </c>
      <c r="D39" s="37">
        <v>19</v>
      </c>
      <c r="E39" s="4">
        <v>19</v>
      </c>
      <c r="F39" s="4">
        <v>1</v>
      </c>
      <c r="G39" s="4">
        <v>45</v>
      </c>
      <c r="H39" s="4">
        <v>1</v>
      </c>
      <c r="I39" s="38">
        <v>32</v>
      </c>
      <c r="J39" s="39">
        <v>3</v>
      </c>
      <c r="K39" s="37">
        <v>41</v>
      </c>
      <c r="L39" s="37">
        <v>3</v>
      </c>
      <c r="M39" s="37">
        <f>VLOOKUP(A39,'2019_B5_Berechnung'!$B$71:$M$122,7,FALSE)</f>
        <v>29</v>
      </c>
      <c r="N39" s="37">
        <f>VLOOKUP(A39,'2019_B5_Berechnung'!$B$71:$M$122,6,FALSE)</f>
        <v>5</v>
      </c>
      <c r="O39" s="38">
        <v>39</v>
      </c>
      <c r="P39" s="39">
        <v>6</v>
      </c>
      <c r="Q39" s="38">
        <v>38</v>
      </c>
      <c r="R39" s="39">
        <v>17</v>
      </c>
      <c r="S39" s="116">
        <v>46</v>
      </c>
      <c r="T39" s="44">
        <v>8</v>
      </c>
      <c r="U39" s="165">
        <f>VLOOKUP(A39,'2019_B5_Berechnung'!$B$279:$M$330,7,FALSE)</f>
        <v>72</v>
      </c>
      <c r="V39" s="165">
        <f>VLOOKUP(A39,'2019_B5_Berechnung'!$B$279:$M$330,6,FALSE)</f>
        <v>9</v>
      </c>
      <c r="W39" s="186">
        <f>VLOOKUP(A39,'2020_4-1-3_bearbeitet (2)'!$A$23:$P$529,6,FALSE)</f>
        <v>52</v>
      </c>
      <c r="X39" s="186">
        <f>VLOOKUP(A39,'2020_4-1-3_bearbeitet (2)'!$A$23:$P$529,7,FALSE)</f>
        <v>6</v>
      </c>
    </row>
    <row r="40" spans="1:24" ht="8.25" customHeight="1" x14ac:dyDescent="0.25">
      <c r="A40" s="45">
        <v>361</v>
      </c>
      <c r="B40" s="3" t="s">
        <v>43</v>
      </c>
      <c r="C40" s="37">
        <v>125</v>
      </c>
      <c r="D40" s="37">
        <v>47</v>
      </c>
      <c r="E40" s="4">
        <v>25</v>
      </c>
      <c r="F40" s="4">
        <v>18</v>
      </c>
      <c r="G40" s="4">
        <v>48</v>
      </c>
      <c r="H40" s="4">
        <v>10</v>
      </c>
      <c r="I40" s="38">
        <v>66</v>
      </c>
      <c r="J40" s="39">
        <v>8</v>
      </c>
      <c r="K40" s="37">
        <v>38</v>
      </c>
      <c r="L40" s="37">
        <v>16</v>
      </c>
      <c r="M40" s="37">
        <f>VLOOKUP(A40,'2019_B5_Berechnung'!$B$71:$M$122,7,FALSE)</f>
        <v>54</v>
      </c>
      <c r="N40" s="37">
        <f>VLOOKUP(A40,'2019_B5_Berechnung'!$B$71:$M$122,6,FALSE)</f>
        <v>21</v>
      </c>
      <c r="O40" s="38">
        <v>48</v>
      </c>
      <c r="P40" s="39">
        <v>14</v>
      </c>
      <c r="Q40" s="38">
        <v>34</v>
      </c>
      <c r="R40" s="39">
        <v>24</v>
      </c>
      <c r="S40" s="116">
        <v>39</v>
      </c>
      <c r="T40" s="44">
        <v>14</v>
      </c>
      <c r="U40" s="165">
        <f>VLOOKUP(A40,'2019_B5_Berechnung'!$B$279:$M$330,7,FALSE)</f>
        <v>55</v>
      </c>
      <c r="V40" s="165">
        <f>VLOOKUP(A40,'2019_B5_Berechnung'!$B$279:$M$330,6,FALSE)</f>
        <v>14</v>
      </c>
      <c r="W40" s="186">
        <f>VLOOKUP(A40,'2020_4-1-3_bearbeitet (2)'!$A$23:$P$529,6,FALSE)</f>
        <v>51</v>
      </c>
      <c r="X40" s="186">
        <f>VLOOKUP(A40,'2020_4-1-3_bearbeitet (2)'!$A$23:$P$529,7,FALSE)</f>
        <v>8</v>
      </c>
    </row>
    <row r="41" spans="1:24" s="36" customFormat="1" ht="16.5" customHeight="1" x14ac:dyDescent="0.25">
      <c r="A41" s="46">
        <v>3</v>
      </c>
      <c r="B41" s="5" t="s">
        <v>44</v>
      </c>
      <c r="C41" s="40">
        <v>1541</v>
      </c>
      <c r="D41" s="40">
        <v>329</v>
      </c>
      <c r="E41" s="41">
        <v>403</v>
      </c>
      <c r="F41" s="41">
        <v>117</v>
      </c>
      <c r="G41" s="41">
        <v>925</v>
      </c>
      <c r="H41" s="41">
        <v>96</v>
      </c>
      <c r="I41" s="40">
        <v>872</v>
      </c>
      <c r="J41" s="43">
        <v>81</v>
      </c>
      <c r="K41" s="40">
        <v>749</v>
      </c>
      <c r="L41" s="40">
        <v>107</v>
      </c>
      <c r="M41" s="40">
        <f>VLOOKUP(A41,'2019_B5_Berechnung'!$B$71:$M$122,7,FALSE)</f>
        <v>681</v>
      </c>
      <c r="N41" s="40">
        <f>VLOOKUP(A41,'2019_B5_Berechnung'!$B$71:$M$122,6,FALSE)</f>
        <v>124</v>
      </c>
      <c r="O41" s="42">
        <v>746</v>
      </c>
      <c r="P41" s="43">
        <v>162</v>
      </c>
      <c r="Q41" s="42">
        <v>775</v>
      </c>
      <c r="R41" s="43">
        <v>216</v>
      </c>
      <c r="S41" s="117">
        <v>849</v>
      </c>
      <c r="T41" s="118">
        <v>198</v>
      </c>
      <c r="U41" s="187">
        <f>VLOOKUP(A41,'2019_B5_Berechnung'!$B$279:$M$330,7,FALSE)</f>
        <v>900</v>
      </c>
      <c r="V41" s="187">
        <f>VLOOKUP(A41,'2019_B5_Berechnung'!$B$279:$M$330,6,FALSE)</f>
        <v>229</v>
      </c>
      <c r="W41" s="188">
        <f>VLOOKUP(A41,'2020_4-1-3_bearbeitet (2)'!$A$23:$P$529,6,FALSE)</f>
        <v>839</v>
      </c>
      <c r="X41" s="188">
        <f>VLOOKUP(A41,'2020_4-1-3_bearbeitet (2)'!$A$23:$P$529,7,FALSE)</f>
        <v>213</v>
      </c>
    </row>
    <row r="42" spans="1:24" ht="8.25" customHeight="1" x14ac:dyDescent="0.25">
      <c r="A42" s="45">
        <v>401</v>
      </c>
      <c r="B42" s="3" t="s">
        <v>45</v>
      </c>
      <c r="C42" s="37">
        <v>77</v>
      </c>
      <c r="D42" s="37">
        <v>34</v>
      </c>
      <c r="E42" s="4">
        <v>30</v>
      </c>
      <c r="F42" s="4">
        <v>28</v>
      </c>
      <c r="G42" s="4">
        <v>37</v>
      </c>
      <c r="H42" s="4">
        <v>19</v>
      </c>
      <c r="I42" s="38">
        <v>43</v>
      </c>
      <c r="J42" s="39">
        <v>16</v>
      </c>
      <c r="K42" s="37">
        <v>39</v>
      </c>
      <c r="L42" s="37">
        <v>13</v>
      </c>
      <c r="M42" s="37">
        <f>VLOOKUP(A42,'2019_B5_Berechnung'!$B$71:$M$122,7,FALSE)</f>
        <v>30</v>
      </c>
      <c r="N42" s="37">
        <f>VLOOKUP(A42,'2019_B5_Berechnung'!$B$71:$M$122,6,FALSE)</f>
        <v>28</v>
      </c>
      <c r="O42" s="38">
        <v>36</v>
      </c>
      <c r="P42" s="39">
        <v>12</v>
      </c>
      <c r="Q42" s="38">
        <v>44</v>
      </c>
      <c r="R42" s="39">
        <v>40</v>
      </c>
      <c r="S42" s="116">
        <v>36</v>
      </c>
      <c r="T42" s="44">
        <v>37</v>
      </c>
      <c r="U42" s="165">
        <f>VLOOKUP(A42,'2019_B5_Berechnung'!$B$279:$M$330,7,FALSE)</f>
        <v>42</v>
      </c>
      <c r="V42" s="165">
        <f>VLOOKUP(A42,'2019_B5_Berechnung'!$B$279:$M$330,6,FALSE)</f>
        <v>68</v>
      </c>
      <c r="W42" s="186">
        <f>VLOOKUP(A42,'2020_4-1-3_bearbeitet (2)'!$A$23:$P$529,6,FALSE)</f>
        <v>20</v>
      </c>
      <c r="X42" s="186">
        <f>VLOOKUP(A42,'2020_4-1-3_bearbeitet (2)'!$A$23:$P$529,7,FALSE)</f>
        <v>24</v>
      </c>
    </row>
    <row r="43" spans="1:24" ht="8.25" customHeight="1" x14ac:dyDescent="0.25">
      <c r="A43" s="45">
        <v>402</v>
      </c>
      <c r="B43" s="3" t="s">
        <v>46</v>
      </c>
      <c r="C43" s="37">
        <v>58</v>
      </c>
      <c r="D43" s="37">
        <v>20</v>
      </c>
      <c r="E43" s="4">
        <v>14</v>
      </c>
      <c r="F43" s="4">
        <v>4</v>
      </c>
      <c r="G43" s="4">
        <v>49</v>
      </c>
      <c r="H43" s="4">
        <v>2</v>
      </c>
      <c r="I43" s="38">
        <v>50</v>
      </c>
      <c r="J43" s="39">
        <v>3</v>
      </c>
      <c r="K43" s="37">
        <v>56</v>
      </c>
      <c r="L43" s="37">
        <v>6</v>
      </c>
      <c r="M43" s="37">
        <f>VLOOKUP(A43,'2019_B5_Berechnung'!$B$71:$M$122,7,FALSE)</f>
        <v>42</v>
      </c>
      <c r="N43" s="37">
        <f>VLOOKUP(A43,'2019_B5_Berechnung'!$B$71:$M$122,6,FALSE)</f>
        <v>9</v>
      </c>
      <c r="O43" s="38">
        <v>34</v>
      </c>
      <c r="P43" s="39">
        <v>9</v>
      </c>
      <c r="Q43" s="38">
        <v>38</v>
      </c>
      <c r="R43" s="39">
        <v>14</v>
      </c>
      <c r="S43" s="116">
        <v>41</v>
      </c>
      <c r="T43" s="44">
        <v>8</v>
      </c>
      <c r="U43" s="165">
        <f>VLOOKUP(A43,'2019_B5_Berechnung'!$B$279:$M$330,7,FALSE)</f>
        <v>33</v>
      </c>
      <c r="V43" s="165">
        <f>VLOOKUP(A43,'2019_B5_Berechnung'!$B$279:$M$330,6,FALSE)</f>
        <v>14</v>
      </c>
      <c r="W43" s="186">
        <f>VLOOKUP(A43,'2020_4-1-3_bearbeitet (2)'!$A$23:$P$529,6,FALSE)</f>
        <v>35</v>
      </c>
      <c r="X43" s="186">
        <f>VLOOKUP(A43,'2020_4-1-3_bearbeitet (2)'!$A$23:$P$529,7,FALSE)</f>
        <v>18</v>
      </c>
    </row>
    <row r="44" spans="1:24" ht="8.25" customHeight="1" x14ac:dyDescent="0.25">
      <c r="A44" s="45">
        <v>403</v>
      </c>
      <c r="B44" s="3" t="s">
        <v>47</v>
      </c>
      <c r="C44" s="37">
        <v>118</v>
      </c>
      <c r="D44" s="37">
        <v>26</v>
      </c>
      <c r="E44" s="4">
        <v>50</v>
      </c>
      <c r="F44" s="4">
        <v>8</v>
      </c>
      <c r="G44" s="4">
        <v>80</v>
      </c>
      <c r="H44" s="4">
        <v>14</v>
      </c>
      <c r="I44" s="38">
        <v>96</v>
      </c>
      <c r="J44" s="39">
        <v>18</v>
      </c>
      <c r="K44" s="37">
        <v>83</v>
      </c>
      <c r="L44" s="37">
        <v>9</v>
      </c>
      <c r="M44" s="37">
        <f>VLOOKUP(A44,'2019_B5_Berechnung'!$B$71:$M$122,7,FALSE)</f>
        <v>100</v>
      </c>
      <c r="N44" s="37">
        <f>VLOOKUP(A44,'2019_B5_Berechnung'!$B$71:$M$122,6,FALSE)</f>
        <v>15</v>
      </c>
      <c r="O44" s="38">
        <v>87</v>
      </c>
      <c r="P44" s="39">
        <v>13</v>
      </c>
      <c r="Q44" s="38">
        <v>89</v>
      </c>
      <c r="R44" s="39">
        <v>17</v>
      </c>
      <c r="S44" s="116">
        <v>79</v>
      </c>
      <c r="T44" s="44">
        <v>24</v>
      </c>
      <c r="U44" s="165">
        <f>VLOOKUP(A44,'2019_B5_Berechnung'!$B$279:$M$330,7,FALSE)</f>
        <v>65</v>
      </c>
      <c r="V44" s="165">
        <f>VLOOKUP(A44,'2019_B5_Berechnung'!$B$279:$M$330,6,FALSE)</f>
        <v>26</v>
      </c>
      <c r="W44" s="186">
        <f>VLOOKUP(A44,'2020_4-1-3_bearbeitet (2)'!$A$23:$P$529,6,FALSE)</f>
        <v>61</v>
      </c>
      <c r="X44" s="186">
        <f>VLOOKUP(A44,'2020_4-1-3_bearbeitet (2)'!$A$23:$P$529,7,FALSE)</f>
        <v>29</v>
      </c>
    </row>
    <row r="45" spans="1:24" ht="8.25" customHeight="1" x14ac:dyDescent="0.25">
      <c r="A45" s="45">
        <v>404</v>
      </c>
      <c r="B45" s="3" t="s">
        <v>48</v>
      </c>
      <c r="C45" s="37">
        <v>76</v>
      </c>
      <c r="D45" s="37">
        <v>36</v>
      </c>
      <c r="E45" s="4">
        <v>56</v>
      </c>
      <c r="F45" s="4">
        <v>32</v>
      </c>
      <c r="G45" s="4">
        <v>93</v>
      </c>
      <c r="H45" s="4">
        <v>28</v>
      </c>
      <c r="I45" s="38">
        <v>80</v>
      </c>
      <c r="J45" s="39">
        <v>18</v>
      </c>
      <c r="K45" s="37">
        <v>76</v>
      </c>
      <c r="L45" s="37">
        <v>19</v>
      </c>
      <c r="M45" s="37">
        <f>VLOOKUP(A45,'2019_B5_Berechnung'!$B$71:$M$122,7,FALSE)</f>
        <v>109</v>
      </c>
      <c r="N45" s="37">
        <f>VLOOKUP(A45,'2019_B5_Berechnung'!$B$71:$M$122,6,FALSE)</f>
        <v>21</v>
      </c>
      <c r="O45" s="38">
        <v>88</v>
      </c>
      <c r="P45" s="39">
        <v>23</v>
      </c>
      <c r="Q45" s="38">
        <v>80</v>
      </c>
      <c r="R45" s="39">
        <v>21</v>
      </c>
      <c r="S45" s="116">
        <v>64</v>
      </c>
      <c r="T45" s="44">
        <v>28</v>
      </c>
      <c r="U45" s="165">
        <f>VLOOKUP(A45,'2019_B5_Berechnung'!$B$279:$M$330,7,FALSE)</f>
        <v>67</v>
      </c>
      <c r="V45" s="165">
        <f>VLOOKUP(A45,'2019_B5_Berechnung'!$B$279:$M$330,6,FALSE)</f>
        <v>48</v>
      </c>
      <c r="W45" s="186">
        <f>VLOOKUP(A45,'2020_4-1-3_bearbeitet (2)'!$A$23:$P$529,6,FALSE)</f>
        <v>62</v>
      </c>
      <c r="X45" s="186">
        <f>VLOOKUP(A45,'2020_4-1-3_bearbeitet (2)'!$A$23:$P$529,7,FALSE)</f>
        <v>36</v>
      </c>
    </row>
    <row r="46" spans="1:24" ht="8.25" customHeight="1" x14ac:dyDescent="0.25">
      <c r="A46" s="45">
        <v>405</v>
      </c>
      <c r="B46" s="3" t="s">
        <v>49</v>
      </c>
      <c r="C46" s="37">
        <v>80</v>
      </c>
      <c r="D46" s="37">
        <v>20</v>
      </c>
      <c r="E46" s="4">
        <v>12</v>
      </c>
      <c r="F46" s="4">
        <v>8</v>
      </c>
      <c r="G46" s="4">
        <v>31</v>
      </c>
      <c r="H46" s="4">
        <v>12</v>
      </c>
      <c r="I46" s="38">
        <v>38</v>
      </c>
      <c r="J46" s="39">
        <v>9</v>
      </c>
      <c r="K46" s="37">
        <v>26</v>
      </c>
      <c r="L46" s="37">
        <v>5</v>
      </c>
      <c r="M46" s="37">
        <f>VLOOKUP(A46,'2019_B5_Berechnung'!$B$71:$M$122,7,FALSE)</f>
        <v>25</v>
      </c>
      <c r="N46" s="37">
        <f>VLOOKUP(A46,'2019_B5_Berechnung'!$B$71:$M$122,6,FALSE)</f>
        <v>2</v>
      </c>
      <c r="O46" s="38" t="s">
        <v>84</v>
      </c>
      <c r="P46" s="39" t="s">
        <v>84</v>
      </c>
      <c r="Q46" s="38">
        <v>25</v>
      </c>
      <c r="R46" s="39">
        <v>4</v>
      </c>
      <c r="S46" s="116">
        <v>41</v>
      </c>
      <c r="T46" s="44">
        <v>3</v>
      </c>
      <c r="U46" s="165">
        <f>VLOOKUP(A46,'2019_B5_Berechnung'!$B$279:$M$330,7,FALSE)</f>
        <v>33</v>
      </c>
      <c r="V46" s="165">
        <f>VLOOKUP(A46,'2019_B5_Berechnung'!$B$279:$M$330,6,FALSE)</f>
        <v>19</v>
      </c>
      <c r="W46" s="186">
        <f>VLOOKUP(A46,'2020_4-1-3_bearbeitet (2)'!$A$23:$P$529,6,FALSE)</f>
        <v>30</v>
      </c>
      <c r="X46" s="186">
        <f>VLOOKUP(A46,'2020_4-1-3_bearbeitet (2)'!$A$23:$P$529,7,FALSE)</f>
        <v>8</v>
      </c>
    </row>
    <row r="47" spans="1:24" ht="8.25" customHeight="1" x14ac:dyDescent="0.25">
      <c r="A47" s="45">
        <v>451</v>
      </c>
      <c r="B47" s="3" t="s">
        <v>50</v>
      </c>
      <c r="C47" s="37">
        <v>117</v>
      </c>
      <c r="D47" s="37">
        <v>15</v>
      </c>
      <c r="E47" s="4">
        <v>23</v>
      </c>
      <c r="F47" s="4">
        <v>6</v>
      </c>
      <c r="G47" s="4">
        <v>44</v>
      </c>
      <c r="H47" s="4">
        <v>3</v>
      </c>
      <c r="I47" s="38">
        <v>35</v>
      </c>
      <c r="J47" s="39">
        <v>1</v>
      </c>
      <c r="K47" s="37">
        <v>45</v>
      </c>
      <c r="L47" s="37">
        <v>3</v>
      </c>
      <c r="M47" s="37">
        <f>VLOOKUP(A47,'2019_B5_Berechnung'!$B$71:$M$122,7,FALSE)</f>
        <v>53</v>
      </c>
      <c r="N47" s="37">
        <f>VLOOKUP(A47,'2019_B5_Berechnung'!$B$71:$M$122,6,FALSE)</f>
        <v>2</v>
      </c>
      <c r="O47" s="38">
        <v>46</v>
      </c>
      <c r="P47" s="39">
        <v>4</v>
      </c>
      <c r="Q47" s="38">
        <v>64</v>
      </c>
      <c r="R47" s="39">
        <v>7</v>
      </c>
      <c r="S47" s="116">
        <v>38</v>
      </c>
      <c r="T47" s="44">
        <v>2</v>
      </c>
      <c r="U47" s="165">
        <f>VLOOKUP(A47,'2019_B5_Berechnung'!$B$279:$M$330,7,FALSE)</f>
        <v>92</v>
      </c>
      <c r="V47" s="165">
        <f>VLOOKUP(A47,'2019_B5_Berechnung'!$B$279:$M$330,6,FALSE)</f>
        <v>3</v>
      </c>
      <c r="W47" s="186">
        <f>VLOOKUP(A47,'2020_4-1-3_bearbeitet (2)'!$A$23:$P$529,6,FALSE)</f>
        <v>46</v>
      </c>
      <c r="X47" s="186">
        <f>VLOOKUP(A47,'2020_4-1-3_bearbeitet (2)'!$A$23:$P$529,7,FALSE)</f>
        <v>9</v>
      </c>
    </row>
    <row r="48" spans="1:24" ht="8.25" customHeight="1" x14ac:dyDescent="0.25">
      <c r="A48" s="45">
        <v>452</v>
      </c>
      <c r="B48" s="3" t="s">
        <v>51</v>
      </c>
      <c r="C48" s="37">
        <v>279</v>
      </c>
      <c r="D48" s="37">
        <v>24</v>
      </c>
      <c r="E48" s="4">
        <v>75</v>
      </c>
      <c r="F48" s="4">
        <v>10</v>
      </c>
      <c r="G48" s="4">
        <v>171</v>
      </c>
      <c r="H48" s="4">
        <v>30</v>
      </c>
      <c r="I48" s="38">
        <v>186</v>
      </c>
      <c r="J48" s="39">
        <v>14</v>
      </c>
      <c r="K48" s="37">
        <v>187</v>
      </c>
      <c r="L48" s="37">
        <v>10</v>
      </c>
      <c r="M48" s="37">
        <f>VLOOKUP(A48,'2019_B5_Berechnung'!$B$71:$M$122,7,FALSE)</f>
        <v>152</v>
      </c>
      <c r="N48" s="37">
        <f>VLOOKUP(A48,'2019_B5_Berechnung'!$B$71:$M$122,6,FALSE)</f>
        <v>7</v>
      </c>
      <c r="O48" s="38">
        <v>162</v>
      </c>
      <c r="P48" s="39">
        <v>10</v>
      </c>
      <c r="Q48" s="38">
        <v>150</v>
      </c>
      <c r="R48" s="39">
        <v>14</v>
      </c>
      <c r="S48" s="116">
        <v>166</v>
      </c>
      <c r="T48" s="44">
        <v>18</v>
      </c>
      <c r="U48" s="165">
        <f>VLOOKUP(A48,'2019_B5_Berechnung'!$B$279:$M$330,7,FALSE)</f>
        <v>154</v>
      </c>
      <c r="V48" s="165">
        <f>VLOOKUP(A48,'2019_B5_Berechnung'!$B$279:$M$330,6,FALSE)</f>
        <v>24</v>
      </c>
      <c r="W48" s="186">
        <f>VLOOKUP(A48,'2020_4-1-3_bearbeitet (2)'!$A$23:$P$529,6,FALSE)</f>
        <v>141</v>
      </c>
      <c r="X48" s="186">
        <f>VLOOKUP(A48,'2020_4-1-3_bearbeitet (2)'!$A$23:$P$529,7,FALSE)</f>
        <v>16</v>
      </c>
    </row>
    <row r="49" spans="1:24" ht="8.25" customHeight="1" x14ac:dyDescent="0.25">
      <c r="A49" s="45">
        <v>453</v>
      </c>
      <c r="B49" s="3" t="s">
        <v>52</v>
      </c>
      <c r="C49" s="37">
        <v>176</v>
      </c>
      <c r="D49" s="37">
        <v>24</v>
      </c>
      <c r="E49" s="4">
        <v>58</v>
      </c>
      <c r="F49" s="4">
        <v>14</v>
      </c>
      <c r="G49" s="4">
        <v>115</v>
      </c>
      <c r="H49" s="4">
        <v>15</v>
      </c>
      <c r="I49" s="38">
        <v>94</v>
      </c>
      <c r="J49" s="39">
        <v>10</v>
      </c>
      <c r="K49" s="37">
        <v>78</v>
      </c>
      <c r="L49" s="37">
        <v>16</v>
      </c>
      <c r="M49" s="37">
        <f>VLOOKUP(A49,'2019_B5_Berechnung'!$B$71:$M$122,7,FALSE)</f>
        <v>79</v>
      </c>
      <c r="N49" s="37">
        <f>VLOOKUP(A49,'2019_B5_Berechnung'!$B$71:$M$122,6,FALSE)</f>
        <v>7</v>
      </c>
      <c r="O49" s="38">
        <v>72</v>
      </c>
      <c r="P49" s="39">
        <v>14</v>
      </c>
      <c r="Q49" s="38">
        <v>100</v>
      </c>
      <c r="R49" s="39">
        <v>30</v>
      </c>
      <c r="S49" s="116">
        <v>91</v>
      </c>
      <c r="T49" s="44">
        <v>30</v>
      </c>
      <c r="U49" s="165">
        <f>VLOOKUP(A49,'2019_B5_Berechnung'!$B$279:$M$330,7,FALSE)</f>
        <v>147</v>
      </c>
      <c r="V49" s="165">
        <f>VLOOKUP(A49,'2019_B5_Berechnung'!$B$279:$M$330,6,FALSE)</f>
        <v>61</v>
      </c>
      <c r="W49" s="186">
        <f>VLOOKUP(A49,'2020_4-1-3_bearbeitet (2)'!$A$23:$P$529,6,FALSE)</f>
        <v>100</v>
      </c>
      <c r="X49" s="186">
        <f>VLOOKUP(A49,'2020_4-1-3_bearbeitet (2)'!$A$23:$P$529,7,FALSE)</f>
        <v>40</v>
      </c>
    </row>
    <row r="50" spans="1:24" ht="8.25" customHeight="1" x14ac:dyDescent="0.25">
      <c r="A50" s="45">
        <v>454</v>
      </c>
      <c r="B50" s="3" t="s">
        <v>53</v>
      </c>
      <c r="C50" s="37">
        <v>319</v>
      </c>
      <c r="D50" s="37">
        <v>38</v>
      </c>
      <c r="E50" s="4">
        <v>63</v>
      </c>
      <c r="F50" s="4">
        <v>19</v>
      </c>
      <c r="G50" s="4">
        <v>164</v>
      </c>
      <c r="H50" s="4">
        <v>17</v>
      </c>
      <c r="I50" s="38">
        <v>164</v>
      </c>
      <c r="J50" s="39">
        <v>22</v>
      </c>
      <c r="K50" s="37">
        <v>183</v>
      </c>
      <c r="L50" s="37">
        <v>25</v>
      </c>
      <c r="M50" s="37">
        <f>VLOOKUP(A50,'2019_B5_Berechnung'!$B$71:$M$122,7,FALSE)</f>
        <v>176</v>
      </c>
      <c r="N50" s="37">
        <f>VLOOKUP(A50,'2019_B5_Berechnung'!$B$71:$M$122,6,FALSE)</f>
        <v>35</v>
      </c>
      <c r="O50" s="38">
        <v>206</v>
      </c>
      <c r="P50" s="39">
        <v>68</v>
      </c>
      <c r="Q50" s="38">
        <v>191</v>
      </c>
      <c r="R50" s="39">
        <v>95</v>
      </c>
      <c r="S50" s="116">
        <v>143</v>
      </c>
      <c r="T50" s="44">
        <v>86</v>
      </c>
      <c r="U50" s="165">
        <f>VLOOKUP(A50,'2019_B5_Berechnung'!$B$279:$M$330,7,FALSE)</f>
        <v>196</v>
      </c>
      <c r="V50" s="165">
        <f>VLOOKUP(A50,'2019_B5_Berechnung'!$B$279:$M$330,6,FALSE)</f>
        <v>88</v>
      </c>
      <c r="W50" s="186">
        <f>VLOOKUP(A50,'2020_4-1-3_bearbeitet (2)'!$A$23:$P$529,6,FALSE)</f>
        <v>164</v>
      </c>
      <c r="X50" s="186">
        <f>VLOOKUP(A50,'2020_4-1-3_bearbeitet (2)'!$A$23:$P$529,7,FALSE)</f>
        <v>72</v>
      </c>
    </row>
    <row r="51" spans="1:24" ht="8.25" customHeight="1" x14ac:dyDescent="0.25">
      <c r="A51" s="45">
        <v>455</v>
      </c>
      <c r="B51" s="3" t="s">
        <v>54</v>
      </c>
      <c r="C51" s="37">
        <v>103</v>
      </c>
      <c r="D51" s="37">
        <v>11</v>
      </c>
      <c r="E51" s="4">
        <v>14</v>
      </c>
      <c r="F51" s="4">
        <v>5</v>
      </c>
      <c r="G51" s="4">
        <v>58</v>
      </c>
      <c r="H51" s="4">
        <v>2</v>
      </c>
      <c r="I51" s="38">
        <v>34</v>
      </c>
      <c r="J51" s="39">
        <v>4</v>
      </c>
      <c r="K51" s="37">
        <v>38</v>
      </c>
      <c r="L51" s="37">
        <v>1</v>
      </c>
      <c r="M51" s="37">
        <f>VLOOKUP(A51,'2019_B5_Berechnung'!$B$71:$M$122,7,FALSE)</f>
        <v>36</v>
      </c>
      <c r="N51" s="37">
        <f>VLOOKUP(A51,'2019_B5_Berechnung'!$B$71:$M$122,6,FALSE)</f>
        <v>10</v>
      </c>
      <c r="O51" s="38">
        <v>39</v>
      </c>
      <c r="P51" s="39">
        <v>2</v>
      </c>
      <c r="Q51" s="38">
        <v>54</v>
      </c>
      <c r="R51" s="39">
        <v>27</v>
      </c>
      <c r="S51" s="116">
        <v>90</v>
      </c>
      <c r="T51" s="44">
        <v>10</v>
      </c>
      <c r="U51" s="165">
        <f>VLOOKUP(A51,'2019_B5_Berechnung'!$B$279:$M$330,7,FALSE)</f>
        <v>65</v>
      </c>
      <c r="V51" s="165">
        <f>VLOOKUP(A51,'2019_B5_Berechnung'!$B$279:$M$330,6,FALSE)</f>
        <v>14</v>
      </c>
      <c r="W51" s="186">
        <f>VLOOKUP(A51,'2020_4-1-3_bearbeitet (2)'!$A$23:$P$529,6,FALSE)</f>
        <v>28</v>
      </c>
      <c r="X51" s="186">
        <f>VLOOKUP(A51,'2020_4-1-3_bearbeitet (2)'!$A$23:$P$529,7,FALSE)</f>
        <v>10</v>
      </c>
    </row>
    <row r="52" spans="1:24" ht="8.25" customHeight="1" x14ac:dyDescent="0.25">
      <c r="A52" s="45">
        <v>456</v>
      </c>
      <c r="B52" s="3" t="s">
        <v>55</v>
      </c>
      <c r="C52" s="37">
        <v>159</v>
      </c>
      <c r="D52" s="37">
        <v>28</v>
      </c>
      <c r="E52" s="4">
        <v>41</v>
      </c>
      <c r="F52" s="4">
        <v>21</v>
      </c>
      <c r="G52" s="4">
        <v>89</v>
      </c>
      <c r="H52" s="4">
        <v>19</v>
      </c>
      <c r="I52" s="38">
        <v>89</v>
      </c>
      <c r="J52" s="39">
        <v>28</v>
      </c>
      <c r="K52" s="37">
        <v>67</v>
      </c>
      <c r="L52" s="37">
        <v>22</v>
      </c>
      <c r="M52" s="37">
        <f>VLOOKUP(A52,'2019_B5_Berechnung'!$B$71:$M$122,7,FALSE)</f>
        <v>91</v>
      </c>
      <c r="N52" s="37">
        <f>VLOOKUP(A52,'2019_B5_Berechnung'!$B$71:$M$122,6,FALSE)</f>
        <v>31</v>
      </c>
      <c r="O52" s="38">
        <v>77</v>
      </c>
      <c r="P52" s="39">
        <v>20</v>
      </c>
      <c r="Q52" s="38">
        <v>68</v>
      </c>
      <c r="R52" s="39">
        <v>22</v>
      </c>
      <c r="S52" s="116">
        <v>70</v>
      </c>
      <c r="T52" s="44">
        <v>22</v>
      </c>
      <c r="U52" s="165">
        <f>VLOOKUP(A52,'2019_B5_Berechnung'!$B$279:$M$330,7,FALSE)</f>
        <v>72</v>
      </c>
      <c r="V52" s="165">
        <f>VLOOKUP(A52,'2019_B5_Berechnung'!$B$279:$M$330,6,FALSE)</f>
        <v>33</v>
      </c>
      <c r="W52" s="186">
        <f>VLOOKUP(A52,'2020_4-1-3_bearbeitet (2)'!$A$23:$P$529,6,FALSE)</f>
        <v>87</v>
      </c>
      <c r="X52" s="186">
        <f>VLOOKUP(A52,'2020_4-1-3_bearbeitet (2)'!$A$23:$P$529,7,FALSE)</f>
        <v>26</v>
      </c>
    </row>
    <row r="53" spans="1:24" ht="8.25" customHeight="1" x14ac:dyDescent="0.25">
      <c r="A53" s="45">
        <v>457</v>
      </c>
      <c r="B53" s="3" t="s">
        <v>56</v>
      </c>
      <c r="C53" s="37">
        <v>192</v>
      </c>
      <c r="D53" s="37">
        <v>23</v>
      </c>
      <c r="E53" s="4">
        <v>73</v>
      </c>
      <c r="F53" s="4">
        <v>16</v>
      </c>
      <c r="G53" s="4">
        <v>150</v>
      </c>
      <c r="H53" s="4">
        <v>19</v>
      </c>
      <c r="I53" s="38">
        <v>130</v>
      </c>
      <c r="J53" s="39">
        <v>10</v>
      </c>
      <c r="K53" s="37">
        <v>115</v>
      </c>
      <c r="L53" s="37">
        <v>12</v>
      </c>
      <c r="M53" s="37">
        <f>VLOOKUP(A53,'2019_B5_Berechnung'!$B$71:$M$122,7,FALSE)</f>
        <v>138</v>
      </c>
      <c r="N53" s="37">
        <f>VLOOKUP(A53,'2019_B5_Berechnung'!$B$71:$M$122,6,FALSE)</f>
        <v>17</v>
      </c>
      <c r="O53" s="38">
        <v>132</v>
      </c>
      <c r="P53" s="39">
        <v>18</v>
      </c>
      <c r="Q53" s="38">
        <v>136</v>
      </c>
      <c r="R53" s="39">
        <v>29</v>
      </c>
      <c r="S53" s="116">
        <v>77</v>
      </c>
      <c r="T53" s="44">
        <v>31</v>
      </c>
      <c r="U53" s="165">
        <f>VLOOKUP(A53,'2019_B5_Berechnung'!$B$279:$M$330,7,FALSE)</f>
        <v>98</v>
      </c>
      <c r="V53" s="165">
        <f>VLOOKUP(A53,'2019_B5_Berechnung'!$B$279:$M$330,6,FALSE)</f>
        <v>34</v>
      </c>
      <c r="W53" s="186">
        <f>VLOOKUP(A53,'2020_4-1-3_bearbeitet (2)'!$A$23:$P$529,6,FALSE)</f>
        <v>90</v>
      </c>
      <c r="X53" s="186">
        <f>VLOOKUP(A53,'2020_4-1-3_bearbeitet (2)'!$A$23:$P$529,7,FALSE)</f>
        <v>31</v>
      </c>
    </row>
    <row r="54" spans="1:24" ht="8.25" customHeight="1" x14ac:dyDescent="0.25">
      <c r="A54" s="45">
        <v>458</v>
      </c>
      <c r="B54" s="3" t="s">
        <v>57</v>
      </c>
      <c r="C54" s="37">
        <v>78</v>
      </c>
      <c r="D54" s="37">
        <v>15</v>
      </c>
      <c r="E54" s="4">
        <v>28</v>
      </c>
      <c r="F54" s="4">
        <v>8</v>
      </c>
      <c r="G54" s="4">
        <v>63</v>
      </c>
      <c r="H54" s="4">
        <v>4</v>
      </c>
      <c r="I54" s="38">
        <v>44</v>
      </c>
      <c r="J54" s="39">
        <v>7</v>
      </c>
      <c r="K54" s="37">
        <v>54</v>
      </c>
      <c r="L54" s="37">
        <v>5</v>
      </c>
      <c r="M54" s="37">
        <f>VLOOKUP(A54,'2019_B5_Berechnung'!$B$71:$M$122,7,FALSE)</f>
        <v>41</v>
      </c>
      <c r="N54" s="37">
        <f>VLOOKUP(A54,'2019_B5_Berechnung'!$B$71:$M$122,6,FALSE)</f>
        <v>8</v>
      </c>
      <c r="O54" s="38">
        <v>64</v>
      </c>
      <c r="P54" s="39">
        <v>10</v>
      </c>
      <c r="Q54" s="38">
        <v>57</v>
      </c>
      <c r="R54" s="39">
        <v>41</v>
      </c>
      <c r="S54" s="116">
        <v>53</v>
      </c>
      <c r="T54" s="44">
        <v>23</v>
      </c>
      <c r="U54" s="165">
        <f>VLOOKUP(A54,'2019_B5_Berechnung'!$B$279:$M$330,7,FALSE)</f>
        <v>46</v>
      </c>
      <c r="V54" s="165">
        <f>VLOOKUP(A54,'2019_B5_Berechnung'!$B$279:$M$330,6,FALSE)</f>
        <v>15</v>
      </c>
      <c r="W54" s="186">
        <f>VLOOKUP(A54,'2020_4-1-3_bearbeitet (2)'!$A$23:$P$529,6,FALSE)</f>
        <v>49</v>
      </c>
      <c r="X54" s="186">
        <f>VLOOKUP(A54,'2020_4-1-3_bearbeitet (2)'!$A$23:$P$529,7,FALSE)</f>
        <v>18</v>
      </c>
    </row>
    <row r="55" spans="1:24" ht="8.25" customHeight="1" x14ac:dyDescent="0.25">
      <c r="A55" s="45">
        <v>459</v>
      </c>
      <c r="B55" s="3" t="s">
        <v>58</v>
      </c>
      <c r="C55" s="37">
        <v>273</v>
      </c>
      <c r="D55" s="37">
        <v>68</v>
      </c>
      <c r="E55" s="4">
        <v>71</v>
      </c>
      <c r="F55" s="4">
        <v>42</v>
      </c>
      <c r="G55" s="4">
        <v>176</v>
      </c>
      <c r="H55" s="4">
        <v>30</v>
      </c>
      <c r="I55" s="38">
        <v>105</v>
      </c>
      <c r="J55" s="39">
        <v>38</v>
      </c>
      <c r="K55" s="37">
        <v>151</v>
      </c>
      <c r="L55" s="37">
        <v>29</v>
      </c>
      <c r="M55" s="37">
        <f>VLOOKUP(A55,'2019_B5_Berechnung'!$B$71:$M$122,7,FALSE)</f>
        <v>160</v>
      </c>
      <c r="N55" s="37">
        <f>VLOOKUP(A55,'2019_B5_Berechnung'!$B$71:$M$122,6,FALSE)</f>
        <v>52</v>
      </c>
      <c r="O55" s="38">
        <v>133</v>
      </c>
      <c r="P55" s="39">
        <v>34</v>
      </c>
      <c r="Q55" s="38">
        <v>157</v>
      </c>
      <c r="R55" s="39">
        <v>69</v>
      </c>
      <c r="S55" s="116">
        <v>146</v>
      </c>
      <c r="T55" s="44">
        <v>78</v>
      </c>
      <c r="U55" s="165">
        <f>VLOOKUP(A55,'2019_B5_Berechnung'!$B$279:$M$330,7,FALSE)</f>
        <v>150</v>
      </c>
      <c r="V55" s="165">
        <f>VLOOKUP(A55,'2019_B5_Berechnung'!$B$279:$M$330,6,FALSE)</f>
        <v>51</v>
      </c>
      <c r="W55" s="186">
        <f>VLOOKUP(A55,'2020_4-1-3_bearbeitet (2)'!$A$23:$P$529,6,FALSE)</f>
        <v>118</v>
      </c>
      <c r="X55" s="186">
        <f>VLOOKUP(A55,'2020_4-1-3_bearbeitet (2)'!$A$23:$P$529,7,FALSE)</f>
        <v>69</v>
      </c>
    </row>
    <row r="56" spans="1:24" ht="8.25" customHeight="1" x14ac:dyDescent="0.25">
      <c r="A56" s="45">
        <v>460</v>
      </c>
      <c r="B56" s="3" t="s">
        <v>59</v>
      </c>
      <c r="C56" s="37">
        <v>142</v>
      </c>
      <c r="D56" s="37">
        <v>30</v>
      </c>
      <c r="E56" s="4">
        <v>45</v>
      </c>
      <c r="F56" s="4">
        <v>28</v>
      </c>
      <c r="G56" s="4">
        <v>106</v>
      </c>
      <c r="H56" s="4">
        <v>38</v>
      </c>
      <c r="I56" s="38">
        <v>55</v>
      </c>
      <c r="J56" s="39">
        <v>26</v>
      </c>
      <c r="K56" s="37">
        <v>75</v>
      </c>
      <c r="L56" s="37">
        <v>31</v>
      </c>
      <c r="M56" s="37">
        <f>VLOOKUP(A56,'2019_B5_Berechnung'!$B$71:$M$122,7,FALSE)</f>
        <v>88</v>
      </c>
      <c r="N56" s="37">
        <f>VLOOKUP(A56,'2019_B5_Berechnung'!$B$71:$M$122,6,FALSE)</f>
        <v>24</v>
      </c>
      <c r="O56" s="38">
        <v>77</v>
      </c>
      <c r="P56" s="39">
        <v>42</v>
      </c>
      <c r="Q56" s="38">
        <v>89</v>
      </c>
      <c r="R56" s="39">
        <v>73</v>
      </c>
      <c r="S56" s="116">
        <v>91</v>
      </c>
      <c r="T56" s="44">
        <v>66</v>
      </c>
      <c r="U56" s="165">
        <f>VLOOKUP(A56,'2019_B5_Berechnung'!$B$279:$M$330,7,FALSE)</f>
        <v>89</v>
      </c>
      <c r="V56" s="165">
        <f>VLOOKUP(A56,'2019_B5_Berechnung'!$B$279:$M$330,6,FALSE)</f>
        <v>40</v>
      </c>
      <c r="W56" s="186">
        <f>VLOOKUP(A56,'2020_4-1-3_bearbeitet (2)'!$A$23:$P$529,6,FALSE)</f>
        <v>61</v>
      </c>
      <c r="X56" s="186">
        <f>VLOOKUP(A56,'2020_4-1-3_bearbeitet (2)'!$A$23:$P$529,7,FALSE)</f>
        <v>39</v>
      </c>
    </row>
    <row r="57" spans="1:24" ht="8.25" customHeight="1" x14ac:dyDescent="0.25">
      <c r="A57" s="45">
        <v>461</v>
      </c>
      <c r="B57" s="3" t="s">
        <v>60</v>
      </c>
      <c r="C57" s="37">
        <v>91</v>
      </c>
      <c r="D57" s="37">
        <v>10</v>
      </c>
      <c r="E57" s="4">
        <v>12</v>
      </c>
      <c r="F57" s="4">
        <v>7</v>
      </c>
      <c r="G57" s="4">
        <v>34</v>
      </c>
      <c r="H57" s="4">
        <v>2</v>
      </c>
      <c r="I57" s="38">
        <v>38</v>
      </c>
      <c r="J57" s="39">
        <v>6</v>
      </c>
      <c r="K57" s="37">
        <v>45</v>
      </c>
      <c r="L57" s="37">
        <v>4</v>
      </c>
      <c r="M57" s="37">
        <f>VLOOKUP(A57,'2019_B5_Berechnung'!$B$71:$M$122,7,FALSE)</f>
        <v>52</v>
      </c>
      <c r="N57" s="37">
        <f>VLOOKUP(A57,'2019_B5_Berechnung'!$B$71:$M$122,6,FALSE)</f>
        <v>8</v>
      </c>
      <c r="O57" s="38">
        <v>36</v>
      </c>
      <c r="P57" s="39">
        <v>9</v>
      </c>
      <c r="Q57" s="38">
        <v>33</v>
      </c>
      <c r="R57" s="39">
        <v>10</v>
      </c>
      <c r="S57" s="116">
        <v>40</v>
      </c>
      <c r="T57" s="44">
        <v>23</v>
      </c>
      <c r="U57" s="165">
        <f>VLOOKUP(A57,'2019_B5_Berechnung'!$B$279:$M$330,7,FALSE)</f>
        <v>36</v>
      </c>
      <c r="V57" s="165">
        <f>VLOOKUP(A57,'2019_B5_Berechnung'!$B$279:$M$330,6,FALSE)</f>
        <v>11</v>
      </c>
      <c r="W57" s="186">
        <f>VLOOKUP(A57,'2020_4-1-3_bearbeitet (2)'!$A$23:$P$529,6,FALSE)</f>
        <v>44</v>
      </c>
      <c r="X57" s="186">
        <f>VLOOKUP(A57,'2020_4-1-3_bearbeitet (2)'!$A$23:$P$529,7,FALSE)</f>
        <v>11</v>
      </c>
    </row>
    <row r="58" spans="1:24" ht="8.25" customHeight="1" x14ac:dyDescent="0.25">
      <c r="A58" s="45">
        <v>462</v>
      </c>
      <c r="B58" s="3" t="s">
        <v>61</v>
      </c>
      <c r="C58" s="37">
        <v>67</v>
      </c>
      <c r="D58" s="37">
        <v>7</v>
      </c>
      <c r="E58" s="4">
        <v>19</v>
      </c>
      <c r="F58" s="4">
        <v>2</v>
      </c>
      <c r="G58" s="4">
        <v>30</v>
      </c>
      <c r="H58" s="4">
        <v>2</v>
      </c>
      <c r="I58" s="38" t="s">
        <v>84</v>
      </c>
      <c r="J58" s="39" t="s">
        <v>84</v>
      </c>
      <c r="K58" s="37">
        <v>26</v>
      </c>
      <c r="L58" s="37">
        <v>1</v>
      </c>
      <c r="M58" s="37">
        <f>VLOOKUP(A58,'2019_B5_Berechnung'!$B$71:$M$122,7,FALSE)</f>
        <v>34</v>
      </c>
      <c r="N58" s="37">
        <f>VLOOKUP(A58,'2019_B5_Berechnung'!$B$71:$M$122,6,FALSE)</f>
        <v>6</v>
      </c>
      <c r="O58" s="38">
        <v>36</v>
      </c>
      <c r="P58" s="39">
        <v>1</v>
      </c>
      <c r="Q58" s="38">
        <v>39</v>
      </c>
      <c r="R58" s="39">
        <v>3</v>
      </c>
      <c r="S58" s="116">
        <v>32</v>
      </c>
      <c r="T58" s="44">
        <v>1</v>
      </c>
      <c r="U58" s="165">
        <f>VLOOKUP(A58,'2019_B5_Berechnung'!$B$279:$M$330,7,FALSE)</f>
        <v>27</v>
      </c>
      <c r="V58" s="165">
        <f>VLOOKUP(A58,'2019_B5_Berechnung'!$B$279:$M$330,6,FALSE)</f>
        <v>11</v>
      </c>
      <c r="W58" s="186">
        <f>VLOOKUP(A58,'2020_4-1-3_bearbeitet (2)'!$A$23:$P$529,6,FALSE)</f>
        <v>21</v>
      </c>
      <c r="X58" s="186">
        <f>VLOOKUP(A58,'2020_4-1-3_bearbeitet (2)'!$A$23:$P$529,7,FALSE)</f>
        <v>6</v>
      </c>
    </row>
    <row r="59" spans="1:24" s="36" customFormat="1" ht="16.5" customHeight="1" x14ac:dyDescent="0.25">
      <c r="A59" s="46">
        <v>4</v>
      </c>
      <c r="B59" s="5" t="s">
        <v>62</v>
      </c>
      <c r="C59" s="40">
        <v>2405</v>
      </c>
      <c r="D59" s="40">
        <v>429</v>
      </c>
      <c r="E59" s="41">
        <v>684</v>
      </c>
      <c r="F59" s="41">
        <v>258</v>
      </c>
      <c r="G59" s="41">
        <v>1490</v>
      </c>
      <c r="H59" s="41">
        <v>256</v>
      </c>
      <c r="I59" s="42">
        <v>1314</v>
      </c>
      <c r="J59" s="43">
        <v>230</v>
      </c>
      <c r="K59" s="40">
        <v>1344</v>
      </c>
      <c r="L59" s="40">
        <v>211</v>
      </c>
      <c r="M59" s="40">
        <f>VLOOKUP(A59,'2019_B5_Berechnung'!$B$71:$M$122,7,FALSE)</f>
        <v>1406</v>
      </c>
      <c r="N59" s="40">
        <f>VLOOKUP(A59,'2019_B5_Berechnung'!$B$71:$M$122,6,FALSE)</f>
        <v>282</v>
      </c>
      <c r="O59" s="42">
        <v>1346</v>
      </c>
      <c r="P59" s="43">
        <v>289</v>
      </c>
      <c r="Q59" s="42">
        <v>1414</v>
      </c>
      <c r="R59" s="43">
        <v>516</v>
      </c>
      <c r="S59" s="117">
        <v>1298</v>
      </c>
      <c r="T59" s="118">
        <v>490</v>
      </c>
      <c r="U59" s="187">
        <f>VLOOKUP(A59,'2019_B5_Berechnung'!$B$279:$M$330,7,FALSE)</f>
        <v>1412</v>
      </c>
      <c r="V59" s="187">
        <f>VLOOKUP(A59,'2019_B5_Berechnung'!$B$279:$M$330,6,FALSE)</f>
        <v>560</v>
      </c>
      <c r="W59" s="188">
        <f>VLOOKUP(A59,'2020_4-1-3_bearbeitet (2)'!$A$23:$P$529,6,FALSE)</f>
        <v>1157</v>
      </c>
      <c r="X59" s="188">
        <f>VLOOKUP(A59,'2020_4-1-3_bearbeitet (2)'!$A$23:$P$529,7,FALSE)</f>
        <v>462</v>
      </c>
    </row>
    <row r="60" spans="1:24" s="36" customFormat="1" ht="16.5" customHeight="1" x14ac:dyDescent="0.25">
      <c r="A60" s="46">
        <v>0</v>
      </c>
      <c r="B60" s="5" t="s">
        <v>63</v>
      </c>
      <c r="C60" s="40">
        <v>6738</v>
      </c>
      <c r="D60" s="40">
        <v>1607</v>
      </c>
      <c r="E60" s="41">
        <v>1995</v>
      </c>
      <c r="F60" s="41">
        <v>797</v>
      </c>
      <c r="G60" s="41">
        <v>4082</v>
      </c>
      <c r="H60" s="41">
        <v>691</v>
      </c>
      <c r="I60" s="40">
        <v>3723</v>
      </c>
      <c r="J60" s="43">
        <v>649</v>
      </c>
      <c r="K60" s="40">
        <v>3586</v>
      </c>
      <c r="L60" s="40">
        <v>659</v>
      </c>
      <c r="M60" s="40">
        <f>VLOOKUP(A60,'2019_B5_Berechnung'!$B$71:$M$122,7,FALSE)</f>
        <v>3536</v>
      </c>
      <c r="N60" s="40">
        <f>VLOOKUP(A60,'2019_B5_Berechnung'!$B$71:$M$122,6,FALSE)</f>
        <v>803</v>
      </c>
      <c r="O60" s="42">
        <v>3431</v>
      </c>
      <c r="P60" s="43">
        <v>860</v>
      </c>
      <c r="Q60" s="42">
        <v>3520</v>
      </c>
      <c r="R60" s="43">
        <v>1310</v>
      </c>
      <c r="S60" s="117">
        <v>3666</v>
      </c>
      <c r="T60" s="118">
        <v>1427</v>
      </c>
      <c r="U60" s="187">
        <f>VLOOKUP(A60,'2019_B5_Berechnung'!$B$279:$M$330,7,FALSE)</f>
        <v>3908</v>
      </c>
      <c r="V60" s="187">
        <f>VLOOKUP(A60,'2019_B5_Berechnung'!$B$279:$M$330,6,FALSE)</f>
        <v>1516</v>
      </c>
      <c r="W60" s="188">
        <f>VLOOKUP(A60,'2020_4-1-3_bearbeitet (2)'!$A$23:$P$529,6,FALSE)</f>
        <v>3396</v>
      </c>
      <c r="X60" s="188">
        <f>VLOOKUP(A60,'2020_4-1-3_bearbeitet (2)'!$A$23:$P$529,7,FALSE)</f>
        <v>1216</v>
      </c>
    </row>
    <row r="61" spans="1:24" x14ac:dyDescent="0.25">
      <c r="B61" s="6"/>
    </row>
    <row r="62" spans="1:24" ht="8.25" customHeight="1" x14ac:dyDescent="0.25">
      <c r="A62" s="7" t="s">
        <v>64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</row>
    <row r="63" spans="1:24" ht="8.25" customHeight="1" x14ac:dyDescent="0.25">
      <c r="A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</row>
    <row r="64" spans="1:24" ht="8.25" customHeight="1" x14ac:dyDescent="0.25">
      <c r="A64" s="9" t="s">
        <v>65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</row>
    <row r="66" spans="1:24" ht="8.25" customHeight="1" x14ac:dyDescent="0.25">
      <c r="A66" s="195" t="s">
        <v>168</v>
      </c>
      <c r="B66" s="198" t="s">
        <v>0</v>
      </c>
      <c r="C66" s="192" t="s">
        <v>1</v>
      </c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  <c r="W66" s="193"/>
      <c r="X66" s="194"/>
    </row>
    <row r="67" spans="1:24" ht="8.25" customHeight="1" x14ac:dyDescent="0.25">
      <c r="A67" s="196"/>
      <c r="B67" s="199"/>
      <c r="C67" s="200">
        <v>2005</v>
      </c>
      <c r="D67" s="201"/>
      <c r="E67" s="201">
        <v>2011</v>
      </c>
      <c r="F67" s="201"/>
      <c r="G67" s="201">
        <v>2012</v>
      </c>
      <c r="H67" s="201"/>
      <c r="I67" s="205">
        <v>2013</v>
      </c>
      <c r="J67" s="200"/>
      <c r="K67" s="201">
        <v>2014</v>
      </c>
      <c r="L67" s="201"/>
      <c r="M67" s="205">
        <v>2015</v>
      </c>
      <c r="N67" s="200"/>
      <c r="O67" s="205">
        <v>2016</v>
      </c>
      <c r="P67" s="200"/>
      <c r="Q67" s="205">
        <v>2017</v>
      </c>
      <c r="R67" s="200"/>
      <c r="S67" s="201">
        <v>2018</v>
      </c>
      <c r="T67" s="205"/>
      <c r="U67" s="201">
        <v>2019</v>
      </c>
      <c r="V67" s="205"/>
      <c r="W67" s="206">
        <v>2020</v>
      </c>
      <c r="X67" s="206"/>
    </row>
    <row r="68" spans="1:24" ht="8.25" customHeight="1" x14ac:dyDescent="0.25">
      <c r="A68" s="196"/>
      <c r="B68" s="199"/>
      <c r="C68" s="125" t="s">
        <v>2</v>
      </c>
      <c r="D68" s="58" t="s">
        <v>3</v>
      </c>
      <c r="E68" s="58" t="s">
        <v>2</v>
      </c>
      <c r="F68" s="58" t="s">
        <v>3</v>
      </c>
      <c r="G68" s="58" t="s">
        <v>2</v>
      </c>
      <c r="H68" s="58" t="s">
        <v>3</v>
      </c>
      <c r="I68" s="58" t="s">
        <v>2</v>
      </c>
      <c r="J68" s="58" t="s">
        <v>3</v>
      </c>
      <c r="K68" s="58" t="s">
        <v>2</v>
      </c>
      <c r="L68" s="58" t="s">
        <v>3</v>
      </c>
      <c r="M68" s="58" t="s">
        <v>2</v>
      </c>
      <c r="N68" s="58" t="s">
        <v>3</v>
      </c>
      <c r="O68" s="58" t="s">
        <v>2</v>
      </c>
      <c r="P68" s="58" t="s">
        <v>3</v>
      </c>
      <c r="Q68" s="58" t="s">
        <v>2</v>
      </c>
      <c r="R68" s="58" t="s">
        <v>3</v>
      </c>
      <c r="S68" s="58" t="s">
        <v>2</v>
      </c>
      <c r="T68" s="59" t="s">
        <v>3</v>
      </c>
      <c r="U68" s="58" t="s">
        <v>2</v>
      </c>
      <c r="V68" s="59" t="s">
        <v>3</v>
      </c>
      <c r="W68" s="164" t="s">
        <v>2</v>
      </c>
      <c r="X68" s="164" t="s">
        <v>3</v>
      </c>
    </row>
    <row r="69" spans="1:24" ht="8.25" customHeight="1" x14ac:dyDescent="0.25">
      <c r="A69" s="197"/>
      <c r="B69" s="200"/>
      <c r="C69" s="202" t="s">
        <v>162</v>
      </c>
      <c r="D69" s="203"/>
      <c r="E69" s="203"/>
      <c r="F69" s="203"/>
      <c r="G69" s="203"/>
      <c r="H69" s="203"/>
      <c r="I69" s="203"/>
      <c r="J69" s="203"/>
      <c r="K69" s="203"/>
      <c r="L69" s="203"/>
      <c r="M69" s="203"/>
      <c r="N69" s="203"/>
      <c r="O69" s="203"/>
      <c r="P69" s="203"/>
      <c r="Q69" s="203"/>
      <c r="R69" s="203"/>
      <c r="S69" s="203"/>
      <c r="T69" s="203"/>
      <c r="U69" s="203"/>
      <c r="V69" s="203"/>
      <c r="W69" s="203"/>
      <c r="X69" s="204"/>
    </row>
    <row r="70" spans="1:24" ht="8.25" customHeight="1" x14ac:dyDescent="0.25">
      <c r="A70" s="1" t="s">
        <v>5</v>
      </c>
      <c r="B70" s="2" t="s">
        <v>6</v>
      </c>
      <c r="C70" s="2" t="s">
        <v>7</v>
      </c>
      <c r="D70" s="2" t="s">
        <v>8</v>
      </c>
      <c r="E70" s="2" t="s">
        <v>9</v>
      </c>
      <c r="F70" s="2" t="s">
        <v>10</v>
      </c>
      <c r="G70" s="2" t="s">
        <v>11</v>
      </c>
      <c r="H70" s="2">
        <v>8</v>
      </c>
      <c r="I70" s="2">
        <v>9</v>
      </c>
      <c r="J70" s="2">
        <v>10</v>
      </c>
      <c r="K70" s="2">
        <v>11</v>
      </c>
      <c r="L70" s="2">
        <v>12</v>
      </c>
      <c r="M70" s="2">
        <v>13</v>
      </c>
      <c r="N70" s="2">
        <v>14</v>
      </c>
      <c r="O70" s="2">
        <v>15</v>
      </c>
      <c r="P70" s="2">
        <v>16</v>
      </c>
      <c r="Q70" s="2">
        <v>17</v>
      </c>
      <c r="R70" s="1">
        <v>18</v>
      </c>
      <c r="S70" s="1">
        <v>19</v>
      </c>
      <c r="T70" s="1">
        <v>20</v>
      </c>
      <c r="U70" s="1">
        <v>21</v>
      </c>
      <c r="V70" s="1">
        <v>22</v>
      </c>
      <c r="W70" s="1">
        <v>23</v>
      </c>
      <c r="X70" s="1">
        <v>24</v>
      </c>
    </row>
    <row r="71" spans="1:24" ht="8.25" customHeight="1" x14ac:dyDescent="0.25">
      <c r="A71" s="45">
        <v>101</v>
      </c>
      <c r="B71" s="3" t="s">
        <v>12</v>
      </c>
      <c r="C71" s="31">
        <v>7.2246065808297564</v>
      </c>
      <c r="D71" s="31">
        <v>20.465116279069768</v>
      </c>
      <c r="E71" s="31">
        <v>3.918022905364678</v>
      </c>
      <c r="F71" s="31">
        <v>7.8703703703703702</v>
      </c>
      <c r="G71" s="31">
        <v>5.8299595141700404</v>
      </c>
      <c r="H71" s="31">
        <v>10.344827586206897</v>
      </c>
      <c r="I71" s="32">
        <v>5.1915945611866503</v>
      </c>
      <c r="J71" s="32">
        <v>16.556291390728479</v>
      </c>
      <c r="K71" s="31">
        <v>4.885301614273577</v>
      </c>
      <c r="L71" s="31">
        <v>15.723270440251572</v>
      </c>
      <c r="M71" s="32">
        <v>4.4093178036605662</v>
      </c>
      <c r="N71" s="32">
        <v>11.538461538461538</v>
      </c>
      <c r="O71" s="32">
        <v>4.9403046521202141</v>
      </c>
      <c r="P71" s="32">
        <v>10.1010101010101</v>
      </c>
      <c r="Q71" s="32">
        <v>5.2269043760129659</v>
      </c>
      <c r="R71" s="32">
        <v>20.3125</v>
      </c>
      <c r="S71" s="32">
        <v>4.6396396396396398</v>
      </c>
      <c r="T71" s="32">
        <v>17.297297297297298</v>
      </c>
      <c r="U71" s="172">
        <f>VLOOKUP(A71,'2019_B5_Berechnung'!$B$279:$M$330,12,FALSE)</f>
        <v>5.3563523683045595</v>
      </c>
      <c r="V71" s="172">
        <f>VLOOKUP(A71,'2019_B5_Berechnung'!$B$279:$M$330,11,FALSE)</f>
        <v>17.419354838709676</v>
      </c>
      <c r="W71" s="185">
        <f>VLOOKUP(A71,'2020_4-1-3_bearbeitet (2)'!$A$23:$R$529,18,FALSE)*100</f>
        <v>6.2717770034843205</v>
      </c>
      <c r="X71" s="185">
        <f>VLOOKUP(A71,'2020_4-1-3_bearbeitet (2)'!$A$23:$R$529,17,FALSE)*100</f>
        <v>13.513513513513514</v>
      </c>
    </row>
    <row r="72" spans="1:24" ht="8.25" customHeight="1" x14ac:dyDescent="0.25">
      <c r="A72" s="45">
        <v>102</v>
      </c>
      <c r="B72" s="3" t="s">
        <v>13</v>
      </c>
      <c r="C72" s="31">
        <v>5.5656934306569346</v>
      </c>
      <c r="D72" s="31">
        <v>16.483516483516482</v>
      </c>
      <c r="E72" s="31">
        <v>2.763157894736842</v>
      </c>
      <c r="F72" s="31">
        <v>4.5161290322580641</v>
      </c>
      <c r="G72" s="26">
        <v>3.3367037411526792</v>
      </c>
      <c r="H72" s="26">
        <v>0.625</v>
      </c>
      <c r="I72" s="32">
        <v>2.9015544041450778</v>
      </c>
      <c r="J72" s="32">
        <v>6.0402684563758395</v>
      </c>
      <c r="K72" s="31">
        <v>3.0303030303030303</v>
      </c>
      <c r="L72" s="31">
        <v>6.25</v>
      </c>
      <c r="M72" s="32">
        <v>3.5587188612099649</v>
      </c>
      <c r="N72" s="32">
        <v>10.919540229885058</v>
      </c>
      <c r="O72" s="32">
        <v>4.0048543689320395</v>
      </c>
      <c r="P72" s="32">
        <v>11.351351351351353</v>
      </c>
      <c r="Q72" s="32">
        <v>5.9718969555035128</v>
      </c>
      <c r="R72" s="32">
        <v>22.727272727272727</v>
      </c>
      <c r="S72" s="32">
        <v>8.0473372781065091</v>
      </c>
      <c r="T72" s="32">
        <v>32.044198895027627</v>
      </c>
      <c r="U72" s="172">
        <f>VLOOKUP(A72,'2019_B5_Berechnung'!$B$279:$M$330,12,FALSE)</f>
        <v>6.5853658536585371</v>
      </c>
      <c r="V72" s="172">
        <f>VLOOKUP(A72,'2019_B5_Berechnung'!$B$279:$M$330,11,FALSE)</f>
        <v>14.414414414414415</v>
      </c>
      <c r="W72" s="185">
        <f>VLOOKUP(A72,'2020_4-1-3_bearbeitet (2)'!$A$23:$R$529,18,FALSE)*100</f>
        <v>6.1511423550087869</v>
      </c>
      <c r="X72" s="185">
        <f>VLOOKUP(A72,'2020_4-1-3_bearbeitet (2)'!$A$23:$R$529,17,FALSE)*100</f>
        <v>23.430962343096233</v>
      </c>
    </row>
    <row r="73" spans="1:24" ht="8.25" customHeight="1" x14ac:dyDescent="0.25">
      <c r="A73" s="45">
        <v>103</v>
      </c>
      <c r="B73" s="3" t="s">
        <v>14</v>
      </c>
      <c r="C73" s="26">
        <v>5.9589041095890405</v>
      </c>
      <c r="D73" s="26">
        <v>18.367346938775512</v>
      </c>
      <c r="E73" s="26">
        <v>5.2154195011337867</v>
      </c>
      <c r="F73" s="26">
        <v>5.1094890510948909</v>
      </c>
      <c r="G73" s="26">
        <v>3.4702549575070822</v>
      </c>
      <c r="H73" s="26">
        <v>6.7669172932330826</v>
      </c>
      <c r="I73" s="32">
        <v>3.6585365853658534</v>
      </c>
      <c r="J73" s="32">
        <v>8</v>
      </c>
      <c r="K73" s="31">
        <v>3.5552193645990924</v>
      </c>
      <c r="L73" s="31">
        <v>5.2910052910052912</v>
      </c>
      <c r="M73" s="32">
        <v>2.6217228464419478</v>
      </c>
      <c r="N73" s="32">
        <v>5.3571428571428568</v>
      </c>
      <c r="O73" s="32">
        <v>2.890625</v>
      </c>
      <c r="P73" s="32">
        <v>9.4827586206896548</v>
      </c>
      <c r="Q73" s="32">
        <v>2.8000000000000003</v>
      </c>
      <c r="R73" s="32">
        <v>16.546762589928058</v>
      </c>
      <c r="S73" s="32">
        <v>2.8803545051698669</v>
      </c>
      <c r="T73" s="32">
        <v>10.695187165775401</v>
      </c>
      <c r="U73" s="172">
        <f>VLOOKUP(A73,'2019_B5_Berechnung'!$B$279:$M$330,12,FALSE)</f>
        <v>4.0476190476190474</v>
      </c>
      <c r="V73" s="172">
        <f>VLOOKUP(A73,'2019_B5_Berechnung'!$B$279:$M$330,11,FALSE)</f>
        <v>15.508021390374333</v>
      </c>
      <c r="W73" s="185">
        <f>VLOOKUP(A73,'2020_4-1-3_bearbeitet (2)'!$A$23:$R$529,18,FALSE)*100</f>
        <v>4.1575492341356668</v>
      </c>
      <c r="X73" s="185">
        <f>VLOOKUP(A73,'2020_4-1-3_bearbeitet (2)'!$A$23:$R$529,17,FALSE)*100</f>
        <v>7.8014184397163122</v>
      </c>
    </row>
    <row r="74" spans="1:24" ht="8.25" customHeight="1" x14ac:dyDescent="0.25">
      <c r="A74" s="45">
        <v>151</v>
      </c>
      <c r="B74" s="3" t="s">
        <v>15</v>
      </c>
      <c r="C74" s="26">
        <v>5.8913153885220924</v>
      </c>
      <c r="D74" s="26">
        <v>38.202247191011232</v>
      </c>
      <c r="E74" s="26">
        <v>4.5808966861598437</v>
      </c>
      <c r="F74" s="26">
        <v>27.777777777777779</v>
      </c>
      <c r="G74" s="26">
        <v>4.2864610559330893</v>
      </c>
      <c r="H74" s="26">
        <v>9.0909090909090917</v>
      </c>
      <c r="I74" s="32">
        <v>4.5265038713519949</v>
      </c>
      <c r="J74" s="32">
        <v>11.627906976744185</v>
      </c>
      <c r="K74" s="31">
        <v>3.3169533169533167</v>
      </c>
      <c r="L74" s="31">
        <v>6.8965517241379306</v>
      </c>
      <c r="M74" s="32">
        <v>3.722397476340694</v>
      </c>
      <c r="N74" s="32">
        <v>8.8607594936708853</v>
      </c>
      <c r="O74" s="32">
        <v>4.6437659033078882</v>
      </c>
      <c r="P74" s="32">
        <v>8.6206896551724146</v>
      </c>
      <c r="Q74" s="32">
        <v>4.5841519318925998</v>
      </c>
      <c r="R74" s="32">
        <v>17.777777777777779</v>
      </c>
      <c r="S74" s="32">
        <v>5.4945054945054945</v>
      </c>
      <c r="T74" s="32">
        <v>21.495327102803738</v>
      </c>
      <c r="U74" s="172">
        <f>VLOOKUP(A74,'2019_B5_Berechnung'!$B$279:$M$330,12,FALSE)</f>
        <v>3.1064111037673494</v>
      </c>
      <c r="V74" s="172">
        <f>VLOOKUP(A74,'2019_B5_Berechnung'!$B$279:$M$330,11,FALSE)</f>
        <v>10.526315789473683</v>
      </c>
      <c r="W74" s="185">
        <f>VLOOKUP(A74,'2020_4-1-3_bearbeitet (2)'!$A$23:$R$529,18,FALSE)*100</f>
        <v>4.2226487523992322</v>
      </c>
      <c r="X74" s="185">
        <f>VLOOKUP(A74,'2020_4-1-3_bearbeitet (2)'!$A$23:$R$529,17,FALSE)*100</f>
        <v>16.279069767441861</v>
      </c>
    </row>
    <row r="75" spans="1:24" ht="8.25" customHeight="1" x14ac:dyDescent="0.25">
      <c r="A75" s="45">
        <v>153</v>
      </c>
      <c r="B75" s="3" t="s">
        <v>17</v>
      </c>
      <c r="C75" s="26">
        <v>10.68289384719405</v>
      </c>
      <c r="D75" s="26">
        <v>34.736842105263158</v>
      </c>
      <c r="E75" s="26">
        <v>4.9689440993788816</v>
      </c>
      <c r="F75" s="26">
        <v>15.11627906976744</v>
      </c>
      <c r="G75" s="26">
        <v>6.0443764345830147</v>
      </c>
      <c r="H75" s="26">
        <v>13.888888888888889</v>
      </c>
      <c r="I75" s="32">
        <v>5.8602554470323067</v>
      </c>
      <c r="J75" s="32">
        <v>4.4444444444444446</v>
      </c>
      <c r="K75" s="31">
        <v>7.2555205047318623</v>
      </c>
      <c r="L75" s="31">
        <v>18.30985915492958</v>
      </c>
      <c r="M75" s="32">
        <v>3.90625</v>
      </c>
      <c r="N75" s="32">
        <v>18.75</v>
      </c>
      <c r="O75" s="32">
        <v>4.9331103678929766</v>
      </c>
      <c r="P75" s="32">
        <v>17.142857142857142</v>
      </c>
      <c r="Q75" s="32">
        <v>4.7660311958405543</v>
      </c>
      <c r="R75" s="32">
        <v>10.989010989010989</v>
      </c>
      <c r="S75" s="32">
        <v>5.6350626118067977</v>
      </c>
      <c r="T75" s="32">
        <v>14.772727272727273</v>
      </c>
      <c r="U75" s="172">
        <f>VLOOKUP(A75,'2019_B5_Berechnung'!$B$279:$M$330,12,FALSE)</f>
        <v>6.6539923954372622</v>
      </c>
      <c r="V75" s="172">
        <f>VLOOKUP(A75,'2019_B5_Berechnung'!$B$279:$M$330,11,FALSE)</f>
        <v>18.367346938775512</v>
      </c>
      <c r="W75" s="185">
        <f>VLOOKUP(A75,'2020_4-1-3_bearbeitet (2)'!$A$23:$R$529,18,FALSE)*100</f>
        <v>8.2402234636871512</v>
      </c>
      <c r="X75" s="185">
        <f>VLOOKUP(A75,'2020_4-1-3_bearbeitet (2)'!$A$23:$R$529,17,FALSE)*100</f>
        <v>21.739130434782609</v>
      </c>
    </row>
    <row r="76" spans="1:24" ht="8.25" customHeight="1" x14ac:dyDescent="0.25">
      <c r="A76" s="45">
        <v>154</v>
      </c>
      <c r="B76" s="3" t="s">
        <v>18</v>
      </c>
      <c r="C76" s="26">
        <v>7.0873786407766994</v>
      </c>
      <c r="D76" s="26">
        <v>12.76595744680851</v>
      </c>
      <c r="E76" s="26">
        <v>4.0254237288135588</v>
      </c>
      <c r="F76" s="26">
        <v>13.043478260869565</v>
      </c>
      <c r="G76" s="26">
        <v>5.9538274605103281</v>
      </c>
      <c r="H76" s="26">
        <v>4.5454545454545459</v>
      </c>
      <c r="I76" s="32">
        <v>5.6882821387940838</v>
      </c>
      <c r="J76" s="32">
        <v>18.181818181818183</v>
      </c>
      <c r="K76" s="31">
        <v>4.5614035087719298</v>
      </c>
      <c r="L76" s="31">
        <v>13.953488372093023</v>
      </c>
      <c r="M76" s="32">
        <v>7.8848560700876096</v>
      </c>
      <c r="N76" s="32">
        <v>31.25</v>
      </c>
      <c r="O76" s="32">
        <v>5.082592121982211</v>
      </c>
      <c r="P76" s="32">
        <v>5</v>
      </c>
      <c r="Q76" s="32">
        <v>6.25</v>
      </c>
      <c r="R76" s="32">
        <v>20.512820512820511</v>
      </c>
      <c r="S76" s="32">
        <v>7.3342736248236946</v>
      </c>
      <c r="T76" s="32">
        <v>20.454545454545457</v>
      </c>
      <c r="U76" s="172">
        <f>VLOOKUP(A76,'2019_B5_Berechnung'!$B$279:$M$330,12,FALSE)</f>
        <v>7.4249605055292252</v>
      </c>
      <c r="V76" s="172">
        <f>VLOOKUP(A76,'2019_B5_Berechnung'!$B$279:$M$330,11,FALSE)</f>
        <v>20.37037037037037</v>
      </c>
      <c r="W76" s="185">
        <f>VLOOKUP(A76,'2020_4-1-3_bearbeitet (2)'!$A$23:$R$529,18,FALSE)*100</f>
        <v>9.5794392523364476</v>
      </c>
      <c r="X76" s="185">
        <f>VLOOKUP(A76,'2020_4-1-3_bearbeitet (2)'!$A$23:$R$529,17,FALSE)*100</f>
        <v>26.923076923076923</v>
      </c>
    </row>
    <row r="77" spans="1:24" ht="8.25" customHeight="1" x14ac:dyDescent="0.25">
      <c r="A77" s="45">
        <v>155</v>
      </c>
      <c r="B77" s="3" t="s">
        <v>19</v>
      </c>
      <c r="C77" s="26">
        <v>8.596713021491782</v>
      </c>
      <c r="D77" s="26">
        <v>28.39506172839506</v>
      </c>
      <c r="E77" s="26">
        <v>2.8344671201814062</v>
      </c>
      <c r="F77" s="26">
        <v>17.105263157894736</v>
      </c>
      <c r="G77" s="26">
        <v>5.2701801200800533</v>
      </c>
      <c r="H77" s="26">
        <v>18.478260869565215</v>
      </c>
      <c r="I77" s="32">
        <v>3.8515406162464987</v>
      </c>
      <c r="J77" s="32">
        <v>16.666666666666664</v>
      </c>
      <c r="K77" s="31">
        <v>4.5674740484429064</v>
      </c>
      <c r="L77" s="31">
        <v>32.786885245901637</v>
      </c>
      <c r="M77" s="32">
        <v>3.5333333333333337</v>
      </c>
      <c r="N77" s="32">
        <v>25.352112676056336</v>
      </c>
      <c r="O77" s="32">
        <v>3.1869688385269122</v>
      </c>
      <c r="P77" s="32">
        <v>24.637681159420293</v>
      </c>
      <c r="Q77" s="32">
        <v>3.522205206738132</v>
      </c>
      <c r="R77" s="32">
        <v>21.875</v>
      </c>
      <c r="S77" s="32">
        <v>3.2526475037821481</v>
      </c>
      <c r="T77" s="32">
        <v>18.823529411764707</v>
      </c>
      <c r="U77" s="172">
        <f>VLOOKUP(A77,'2019_B5_Berechnung'!$B$279:$M$330,12,FALSE)</f>
        <v>4.308943089430894</v>
      </c>
      <c r="V77" s="172">
        <f>VLOOKUP(A77,'2019_B5_Berechnung'!$B$279:$M$330,11,FALSE)</f>
        <v>20.253164556962027</v>
      </c>
      <c r="W77" s="185">
        <f>VLOOKUP(A77,'2020_4-1-3_bearbeitet (2)'!$A$23:$R$529,18,FALSE)*100</f>
        <v>5.1687763713080166</v>
      </c>
      <c r="X77" s="185">
        <f>VLOOKUP(A77,'2020_4-1-3_bearbeitet (2)'!$A$23:$R$529,17,FALSE)*100</f>
        <v>16.901408450704224</v>
      </c>
    </row>
    <row r="78" spans="1:24" ht="8.25" customHeight="1" x14ac:dyDescent="0.25">
      <c r="A78" s="45">
        <v>157</v>
      </c>
      <c r="B78" s="3" t="s">
        <v>20</v>
      </c>
      <c r="C78" s="26">
        <v>8.5450346420323324</v>
      </c>
      <c r="D78" s="26">
        <v>22.76422764227642</v>
      </c>
      <c r="E78" s="26">
        <v>2.6345933562428407</v>
      </c>
      <c r="F78" s="26">
        <v>8.9552238805970141</v>
      </c>
      <c r="G78" s="26">
        <v>3.7037037037037033</v>
      </c>
      <c r="H78" s="26">
        <v>7.7844311377245514</v>
      </c>
      <c r="I78" s="32">
        <v>3.877221324717286</v>
      </c>
      <c r="J78" s="32">
        <v>6.962025316455696</v>
      </c>
      <c r="K78" s="31">
        <v>2.958152958152958</v>
      </c>
      <c r="L78" s="31">
        <v>6.8750000000000009</v>
      </c>
      <c r="M78" s="32">
        <v>3.5610465116279069</v>
      </c>
      <c r="N78" s="32">
        <v>15.827338129496402</v>
      </c>
      <c r="O78" s="32">
        <v>3.0211480362537766</v>
      </c>
      <c r="P78" s="32">
        <v>10.833333333333334</v>
      </c>
      <c r="Q78" s="32">
        <v>2.6902382782475018</v>
      </c>
      <c r="R78" s="32">
        <v>16.19047619047619</v>
      </c>
      <c r="S78" s="32">
        <v>3.9664378337147213</v>
      </c>
      <c r="T78" s="32">
        <v>18.939393939393938</v>
      </c>
      <c r="U78" s="172">
        <f>VLOOKUP(A78,'2019_B5_Berechnung'!$B$279:$M$330,12,FALSE)</f>
        <v>2.9482071713147411</v>
      </c>
      <c r="V78" s="172">
        <f>VLOOKUP(A78,'2019_B5_Berechnung'!$B$279:$M$330,11,FALSE)</f>
        <v>17.82178217821782</v>
      </c>
      <c r="W78" s="185">
        <f>VLOOKUP(A78,'2020_4-1-3_bearbeitet (2)'!$A$23:$R$529,18,FALSE)*100</f>
        <v>3.4090909090909087</v>
      </c>
      <c r="X78" s="185">
        <f>VLOOKUP(A78,'2020_4-1-3_bearbeitet (2)'!$A$23:$R$529,17,FALSE)*100</f>
        <v>9.4017094017094021</v>
      </c>
    </row>
    <row r="79" spans="1:24" ht="8.25" customHeight="1" x14ac:dyDescent="0.25">
      <c r="A79" s="45">
        <v>158</v>
      </c>
      <c r="B79" s="3" t="s">
        <v>21</v>
      </c>
      <c r="C79" s="26">
        <v>6.487488415199258</v>
      </c>
      <c r="D79" s="26">
        <v>16.393442622950818</v>
      </c>
      <c r="E79" s="26">
        <v>4.2016806722689077</v>
      </c>
      <c r="F79" s="26">
        <v>15.384615384615385</v>
      </c>
      <c r="G79" s="26">
        <v>3.8394415357766145</v>
      </c>
      <c r="H79" s="26">
        <v>16.129032258064516</v>
      </c>
      <c r="I79" s="32">
        <v>3.8246268656716418</v>
      </c>
      <c r="J79" s="32">
        <v>7.4074074074074066</v>
      </c>
      <c r="K79" s="31">
        <v>3.0115146147032772</v>
      </c>
      <c r="L79" s="31">
        <v>20.37037037037037</v>
      </c>
      <c r="M79" s="32">
        <v>5.192479856759177</v>
      </c>
      <c r="N79" s="32">
        <v>13.725490196078432</v>
      </c>
      <c r="O79" s="32">
        <v>3.4274193548387095</v>
      </c>
      <c r="P79" s="32">
        <v>15.714285714285714</v>
      </c>
      <c r="Q79" s="32">
        <v>4.1836734693877551</v>
      </c>
      <c r="R79" s="32">
        <v>30.188679245283019</v>
      </c>
      <c r="S79" s="32">
        <v>4.844290657439446</v>
      </c>
      <c r="T79" s="32">
        <v>43.18181818181818</v>
      </c>
      <c r="U79" s="172">
        <f>VLOOKUP(A79,'2019_B5_Berechnung'!$B$279:$M$330,12,FALSE)</f>
        <v>4.5406546990496306</v>
      </c>
      <c r="V79" s="172">
        <f>VLOOKUP(A79,'2019_B5_Berechnung'!$B$279:$M$330,11,FALSE)</f>
        <v>27.419354838709676</v>
      </c>
      <c r="W79" s="185">
        <f>VLOOKUP(A79,'2020_4-1-3_bearbeitet (2)'!$A$23:$R$529,18,FALSE)*100</f>
        <v>5.1282051282051277</v>
      </c>
      <c r="X79" s="185">
        <f>VLOOKUP(A79,'2020_4-1-3_bearbeitet (2)'!$A$23:$R$529,17,FALSE)*100</f>
        <v>9.375</v>
      </c>
    </row>
    <row r="80" spans="1:24" ht="8.25" customHeight="1" x14ac:dyDescent="0.25">
      <c r="A80" s="45">
        <v>159</v>
      </c>
      <c r="B80" s="3" t="s">
        <v>16</v>
      </c>
      <c r="C80" s="26">
        <f>'2019_B5 Ergänzung_Gö_Osterode'!AA19</f>
        <v>7.8176795580110499</v>
      </c>
      <c r="D80" s="26">
        <f>'2019_B5 Ergänzung_Gö_Osterode'!AB19</f>
        <v>28.01556420233463</v>
      </c>
      <c r="E80" s="26">
        <f>'2019_B5 Ergänzung_Gö_Osterode'!AC19</f>
        <v>4.0409079570965334</v>
      </c>
      <c r="F80" s="26">
        <f>'2019_B5 Ergänzung_Gö_Osterode'!AD19</f>
        <v>20.555555555555554</v>
      </c>
      <c r="G80" s="26">
        <f>'2019_B5 Ergänzung_Gö_Osterode'!AE19</f>
        <v>4.0211970074812964</v>
      </c>
      <c r="H80" s="26">
        <f>'2019_B5 Ergänzung_Gö_Osterode'!AF19</f>
        <v>12.154696132596685</v>
      </c>
      <c r="I80" s="32">
        <v>3.373015873015873</v>
      </c>
      <c r="J80" s="32">
        <v>18.902439024390244</v>
      </c>
      <c r="K80" s="31">
        <v>3.4427542033626897</v>
      </c>
      <c r="L80" s="31">
        <v>14.093959731543624</v>
      </c>
      <c r="M80" s="32">
        <v>3.047945205479452</v>
      </c>
      <c r="N80" s="32">
        <v>16.216216216216218</v>
      </c>
      <c r="O80" s="32">
        <v>3.4106412005457027</v>
      </c>
      <c r="P80" s="32">
        <v>21.782178217821784</v>
      </c>
      <c r="Q80" s="32">
        <v>3.1016042780748663</v>
      </c>
      <c r="R80" s="32">
        <v>22.699386503067483</v>
      </c>
      <c r="S80" s="32">
        <v>4.4095665171898357</v>
      </c>
      <c r="T80" s="32">
        <v>29.383886255924168</v>
      </c>
      <c r="U80" s="172">
        <f>VLOOKUP(A80,'2019_B5_Berechnung'!$B$279:$M$330,12,FALSE)</f>
        <v>5.4992764109985526</v>
      </c>
      <c r="V80" s="172">
        <f>VLOOKUP(A80,'2019_B5_Berechnung'!$B$279:$M$330,11,FALSE)</f>
        <v>25.957446808510635</v>
      </c>
      <c r="W80" s="185">
        <f>VLOOKUP(A80,'2020_4-1-3_bearbeitet (2)'!$A$23:$R$529,18,FALSE)*100</f>
        <v>7.9635258358662613</v>
      </c>
      <c r="X80" s="185">
        <f>VLOOKUP(A80,'2020_4-1-3_bearbeitet (2)'!$A$23:$R$529,17,FALSE)*100</f>
        <v>21.428571428571427</v>
      </c>
    </row>
    <row r="81" spans="1:24" s="36" customFormat="1" ht="16.5" customHeight="1" x14ac:dyDescent="0.25">
      <c r="A81" s="46">
        <v>1</v>
      </c>
      <c r="B81" s="5" t="s">
        <v>22</v>
      </c>
      <c r="C81" s="33">
        <v>7.4497415278575536</v>
      </c>
      <c r="D81" s="33">
        <v>23.476968796433876</v>
      </c>
      <c r="E81" s="33">
        <v>3.8253515586586682</v>
      </c>
      <c r="F81" s="33">
        <v>12.323943661971832</v>
      </c>
      <c r="G81" s="33">
        <v>4.5775520317145695</v>
      </c>
      <c r="H81" s="33">
        <v>9.2575618698441797</v>
      </c>
      <c r="I81" s="35">
        <v>4.2430524065556776</v>
      </c>
      <c r="J81" s="35">
        <v>11.398963730569948</v>
      </c>
      <c r="K81" s="34">
        <v>4.1545706728598155</v>
      </c>
      <c r="L81" s="34">
        <v>11.155378486055776</v>
      </c>
      <c r="M81" s="35">
        <v>3.9052624575876522</v>
      </c>
      <c r="N81" s="35">
        <v>13.908450704225354</v>
      </c>
      <c r="O81" s="35">
        <v>3.9395172226742612</v>
      </c>
      <c r="P81" s="35">
        <v>13.566936208445643</v>
      </c>
      <c r="Q81" s="35">
        <v>4.1303286122933089</v>
      </c>
      <c r="R81" s="35">
        <v>19.662921348314608</v>
      </c>
      <c r="S81" s="189">
        <v>4.7557284911370514</v>
      </c>
      <c r="T81" s="189">
        <v>21.914556962025316</v>
      </c>
      <c r="U81" s="190">
        <f>VLOOKUP(A81,'2019_B5_Berechnung'!$B$279:$M$330,12,FALSE)</f>
        <v>4.915167843879706</v>
      </c>
      <c r="V81" s="190">
        <f>VLOOKUP(A81,'2019_B5_Berechnung'!$B$279:$M$330,11,FALSE)</f>
        <v>18.67612293144208</v>
      </c>
      <c r="W81" s="191">
        <f>VLOOKUP(A81,'2020_4-1-3_bearbeitet (2)'!$A$23:$R$529,18,FALSE)*100</f>
        <v>5.9632034632034632</v>
      </c>
      <c r="X81" s="191">
        <f>VLOOKUP(A81,'2020_4-1-3_bearbeitet (2)'!$A$23:$R$529,17,FALSE)*100</f>
        <v>16.74917491749175</v>
      </c>
    </row>
    <row r="82" spans="1:24" ht="8.25" customHeight="1" x14ac:dyDescent="0.25">
      <c r="A82" s="45">
        <v>241</v>
      </c>
      <c r="B82" s="3" t="s">
        <v>23</v>
      </c>
      <c r="C82" s="26">
        <v>6.6007247086475376</v>
      </c>
      <c r="D82" s="26">
        <v>19.961489088575096</v>
      </c>
      <c r="E82" s="26">
        <v>3.8193391936950594</v>
      </c>
      <c r="F82" s="26">
        <v>15.365653245686115</v>
      </c>
      <c r="G82" s="26">
        <v>4.4068790306820409</v>
      </c>
      <c r="H82" s="26">
        <v>12.209737827715356</v>
      </c>
      <c r="I82" s="32">
        <v>3.9844606036457813</v>
      </c>
      <c r="J82" s="32">
        <v>12.381771281169389</v>
      </c>
      <c r="K82" s="31">
        <v>3.8707741548309658</v>
      </c>
      <c r="L82" s="31">
        <v>9.8793363499245856</v>
      </c>
      <c r="M82" s="32">
        <v>3.9907519099316446</v>
      </c>
      <c r="N82" s="32">
        <v>10.458991723100075</v>
      </c>
      <c r="O82" s="32">
        <v>3.8327526132404177</v>
      </c>
      <c r="P82" s="32">
        <v>13.817891373801917</v>
      </c>
      <c r="Q82" s="32">
        <v>3.8006756756756759</v>
      </c>
      <c r="R82" s="32">
        <v>15.060670949321914</v>
      </c>
      <c r="S82" s="32">
        <v>4.1975810549852621</v>
      </c>
      <c r="T82" s="32">
        <v>17.278617710583152</v>
      </c>
      <c r="U82" s="172">
        <f>VLOOKUP(A82,'2019_B5_Berechnung'!$B$279:$M$330,12,FALSE)</f>
        <v>4.05706191825172</v>
      </c>
      <c r="V82" s="172">
        <f>VLOOKUP(A82,'2019_B5_Berechnung'!$B$279:$M$330,11,FALSE)</f>
        <v>19.755911517925249</v>
      </c>
      <c r="W82" s="185">
        <f>VLOOKUP(A82,'2020_4-1-3_bearbeitet (2)'!$A$23:$R$529,18,FALSE)*100</f>
        <v>5.9049447911665869</v>
      </c>
      <c r="X82" s="185">
        <f>VLOOKUP(A82,'2020_4-1-3_bearbeitet (2)'!$A$23:$R$529,17,FALSE)*100</f>
        <v>16.773017319963536</v>
      </c>
    </row>
    <row r="83" spans="1:24" ht="8.25" customHeight="1" x14ac:dyDescent="0.25">
      <c r="A83" s="45">
        <v>241001</v>
      </c>
      <c r="B83" s="3" t="s">
        <v>24</v>
      </c>
      <c r="C83" s="26">
        <v>7.3026801081878538</v>
      </c>
      <c r="D83" s="26">
        <v>17.948717948717949</v>
      </c>
      <c r="E83" s="26">
        <v>4.4288224956063269</v>
      </c>
      <c r="F83" s="26">
        <v>15.316455696202533</v>
      </c>
      <c r="G83" s="26">
        <v>5.47808764940239</v>
      </c>
      <c r="H83" s="26">
        <v>12.20715166461159</v>
      </c>
      <c r="I83" s="32">
        <v>4.8562933597621409</v>
      </c>
      <c r="J83" s="32">
        <v>10.042432814710041</v>
      </c>
      <c r="K83" s="31">
        <v>4.89766081871345</v>
      </c>
      <c r="L83" s="31">
        <v>9.3081761006289305</v>
      </c>
      <c r="M83" s="32">
        <v>5.1134946370665997</v>
      </c>
      <c r="N83" s="32">
        <v>9.8495212038303688</v>
      </c>
      <c r="O83" s="32">
        <v>4.2703694000523971</v>
      </c>
      <c r="P83" s="32">
        <v>14.872521246458922</v>
      </c>
      <c r="Q83" s="32">
        <v>4.3101312856081249</v>
      </c>
      <c r="R83" s="32">
        <v>15.674362089914945</v>
      </c>
      <c r="S83" s="32">
        <v>5.4146341463414638</v>
      </c>
      <c r="T83" s="32">
        <v>17.427385892116181</v>
      </c>
      <c r="U83" s="172">
        <f>VLOOKUP(A83,'2019_B5_Berechnung'!$B$279:$M$330,12,FALSE)</f>
        <v>4.4396448284137264</v>
      </c>
      <c r="V83" s="172">
        <f>VLOOKUP(A83,'2019_B5_Berechnung'!$B$279:$M$330,11,FALSE)</f>
        <v>21.159874608150471</v>
      </c>
      <c r="W83" s="185">
        <f>VLOOKUP(A83,'2020_4-1-3_bearbeitet (2)'!$A$23:$R$529,18,FALSE)*100</f>
        <v>7.2124756335282649</v>
      </c>
      <c r="X83" s="185">
        <f>VLOOKUP(A83,'2020_4-1-3_bearbeitet (2)'!$A$23:$R$529,17,FALSE)*100</f>
        <v>17.689530685920577</v>
      </c>
    </row>
    <row r="84" spans="1:24" ht="8.25" customHeight="1" x14ac:dyDescent="0.25">
      <c r="A84" s="45">
        <v>241999</v>
      </c>
      <c r="B84" s="3" t="s">
        <v>25</v>
      </c>
      <c r="C84" s="26">
        <v>6.1360677083333339</v>
      </c>
      <c r="D84" s="26">
        <v>23.713235294117645</v>
      </c>
      <c r="E84" s="26">
        <v>3.3573141486810552</v>
      </c>
      <c r="F84" s="26">
        <v>15.456674473067917</v>
      </c>
      <c r="G84" s="26">
        <v>3.7150209070440656</v>
      </c>
      <c r="H84" s="26">
        <v>12.213740458015266</v>
      </c>
      <c r="I84" s="32">
        <v>3.3983008495752123</v>
      </c>
      <c r="J84" s="32">
        <v>16.008771929824562</v>
      </c>
      <c r="K84" s="31">
        <v>3.1557516118086189</v>
      </c>
      <c r="L84" s="31">
        <v>10.734463276836157</v>
      </c>
      <c r="M84" s="32">
        <v>3.2328674861087725</v>
      </c>
      <c r="N84" s="32">
        <v>11.204013377926421</v>
      </c>
      <c r="O84" s="32">
        <v>3.5515906413061771</v>
      </c>
      <c r="P84" s="32">
        <v>12.454212454212454</v>
      </c>
      <c r="Q84" s="32">
        <v>3.4222631094756215</v>
      </c>
      <c r="R84" s="32">
        <v>14.186851211072666</v>
      </c>
      <c r="S84" s="32">
        <v>3.3281059418017076</v>
      </c>
      <c r="T84" s="32">
        <v>17.117117117117118</v>
      </c>
      <c r="U84" s="172">
        <f>VLOOKUP(A84,'2019_B5_Berechnung'!$B$279:$M$330,12,FALSE)</f>
        <v>3.7782053524575825</v>
      </c>
      <c r="V84" s="172">
        <f>VLOOKUP(A84,'2019_B5_Berechnung'!$B$279:$M$330,11,FALSE)</f>
        <v>18.424962852897476</v>
      </c>
      <c r="W84" s="185">
        <f>VLOOKUP(A84,'2020_4-1-3_bearbeitet (2)'!$A$23:$R$529,18,FALSE)*100</f>
        <v>4.9945711183496204</v>
      </c>
      <c r="X84" s="185">
        <f>VLOOKUP(A84,'2020_4-1-3_bearbeitet (2)'!$A$23:$R$529,17,FALSE)*100</f>
        <v>15.837937384898712</v>
      </c>
    </row>
    <row r="85" spans="1:24" ht="8.25" customHeight="1" x14ac:dyDescent="0.25">
      <c r="A85" s="45">
        <v>251</v>
      </c>
      <c r="B85" s="3" t="s">
        <v>26</v>
      </c>
      <c r="C85" s="26">
        <v>5.3489343919765986</v>
      </c>
      <c r="D85" s="26">
        <v>23.809523809523807</v>
      </c>
      <c r="E85" s="26">
        <v>3.7267080745341614</v>
      </c>
      <c r="F85" s="26">
        <v>9.7087378640776691</v>
      </c>
      <c r="G85" s="26">
        <v>3.7885874649204863</v>
      </c>
      <c r="H85" s="26">
        <v>4.8128342245989302</v>
      </c>
      <c r="I85" s="32">
        <v>3.0666666666666664</v>
      </c>
      <c r="J85" s="32">
        <v>12.612612612612612</v>
      </c>
      <c r="K85" s="31">
        <v>2.3033463711429811</v>
      </c>
      <c r="L85" s="31">
        <v>6.25</v>
      </c>
      <c r="M85" s="32">
        <v>2.6420079260237781</v>
      </c>
      <c r="N85" s="32">
        <v>7.6923076923076925</v>
      </c>
      <c r="O85" s="32">
        <v>2.9172029172029172</v>
      </c>
      <c r="P85" s="32">
        <v>9.4202898550724647</v>
      </c>
      <c r="Q85" s="32">
        <v>2.9438001784121322</v>
      </c>
      <c r="R85" s="32">
        <v>22.794117647058822</v>
      </c>
      <c r="S85" s="32">
        <v>3.0032848427968091</v>
      </c>
      <c r="T85" s="32">
        <v>28.27586206896552</v>
      </c>
      <c r="U85" s="172">
        <f>VLOOKUP(A85,'2019_B5_Berechnung'!$B$279:$M$330,12,FALSE)</f>
        <v>3.8040893961008084</v>
      </c>
      <c r="V85" s="172">
        <f>VLOOKUP(A85,'2019_B5_Berechnung'!$B$279:$M$330,11,FALSE)</f>
        <v>28.666666666666668</v>
      </c>
      <c r="W85" s="185">
        <f>VLOOKUP(A85,'2020_4-1-3_bearbeitet (2)'!$A$23:$R$529,18,FALSE)*100</f>
        <v>5.0997782705099777</v>
      </c>
      <c r="X85" s="185">
        <f>VLOOKUP(A85,'2020_4-1-3_bearbeitet (2)'!$A$23:$R$529,17,FALSE)*100</f>
        <v>23.741007194244602</v>
      </c>
    </row>
    <row r="86" spans="1:24" ht="8.25" customHeight="1" x14ac:dyDescent="0.25">
      <c r="A86" s="45">
        <v>252</v>
      </c>
      <c r="B86" s="3" t="s">
        <v>27</v>
      </c>
      <c r="C86" s="26">
        <v>9.8307291666666679</v>
      </c>
      <c r="D86" s="26">
        <v>30.519480519480517</v>
      </c>
      <c r="E86" s="26">
        <v>6.072477962781587</v>
      </c>
      <c r="F86" s="26">
        <v>12.5</v>
      </c>
      <c r="G86" s="31">
        <v>5.7254391672088483</v>
      </c>
      <c r="H86" s="31">
        <v>9.8901098901098905</v>
      </c>
      <c r="I86" s="32">
        <v>6.88949522510232</v>
      </c>
      <c r="J86" s="32">
        <v>10.784313725490197</v>
      </c>
      <c r="K86" s="31">
        <v>5.5437100213219619</v>
      </c>
      <c r="L86" s="31">
        <v>8</v>
      </c>
      <c r="M86" s="32">
        <v>4.6527777777777777</v>
      </c>
      <c r="N86" s="32">
        <v>12</v>
      </c>
      <c r="O86" s="32">
        <v>3.1757233592095977</v>
      </c>
      <c r="P86" s="32">
        <v>11.363636363636363</v>
      </c>
      <c r="Q86" s="32">
        <v>4.0830945558739256</v>
      </c>
      <c r="R86" s="32">
        <v>15.384615384615385</v>
      </c>
      <c r="S86" s="32">
        <v>5.4662379421221869</v>
      </c>
      <c r="T86" s="32">
        <v>23.404255319148938</v>
      </c>
      <c r="U86" s="172">
        <f>VLOOKUP(A86,'2019_B5_Berechnung'!$B$279:$M$330,12,FALSE)</f>
        <v>7.6167076167076173</v>
      </c>
      <c r="V86" s="172">
        <f>VLOOKUP(A86,'2019_B5_Berechnung'!$B$279:$M$330,11,FALSE)</f>
        <v>31.578947368421051</v>
      </c>
      <c r="W86" s="185">
        <f>VLOOKUP(A86,'2020_4-1-3_bearbeitet (2)'!$A$23:$R$529,18,FALSE)*100</f>
        <v>10.872027180067951</v>
      </c>
      <c r="X86" s="185">
        <f>VLOOKUP(A86,'2020_4-1-3_bearbeitet (2)'!$A$23:$R$529,17,FALSE)*100</f>
        <v>26.356589147286826</v>
      </c>
    </row>
    <row r="87" spans="1:24" ht="8.25" customHeight="1" x14ac:dyDescent="0.25">
      <c r="A87" s="45">
        <v>254</v>
      </c>
      <c r="B87" s="3" t="s">
        <v>28</v>
      </c>
      <c r="C87" s="26">
        <v>8.3077970718420158</v>
      </c>
      <c r="D87" s="26">
        <v>28.87323943661972</v>
      </c>
      <c r="E87" s="26">
        <v>4.2381974248927046</v>
      </c>
      <c r="F87" s="26">
        <v>16.666666666666664</v>
      </c>
      <c r="G87" s="26">
        <v>5.1363797378675171</v>
      </c>
      <c r="H87" s="26">
        <v>14.792899408284024</v>
      </c>
      <c r="I87" s="32">
        <v>5.0478389970306825</v>
      </c>
      <c r="J87" s="32">
        <v>17.5</v>
      </c>
      <c r="K87" s="31">
        <v>5.4684778822709852</v>
      </c>
      <c r="L87" s="31">
        <v>14.285714285714285</v>
      </c>
      <c r="M87" s="32">
        <v>6.4137004701141711</v>
      </c>
      <c r="N87" s="32">
        <v>16.129032258064516</v>
      </c>
      <c r="O87" s="32">
        <v>5.3068592057761732</v>
      </c>
      <c r="P87" s="32">
        <v>23.357664233576642</v>
      </c>
      <c r="Q87" s="32">
        <v>5.1065393093313736</v>
      </c>
      <c r="R87" s="32">
        <v>25.69832402234637</v>
      </c>
      <c r="S87" s="32">
        <v>4.6789989118607185</v>
      </c>
      <c r="T87" s="32">
        <v>27.692307692307693</v>
      </c>
      <c r="U87" s="172">
        <f>VLOOKUP(A87,'2019_B5_Berechnung'!$B$279:$M$330,12,FALSE)</f>
        <v>5.2314640572073765</v>
      </c>
      <c r="V87" s="172">
        <f>VLOOKUP(A87,'2019_B5_Berechnung'!$B$279:$M$330,11,FALSE)</f>
        <v>27.480916030534353</v>
      </c>
      <c r="W87" s="185">
        <f>VLOOKUP(A87,'2020_4-1-3_bearbeitet (2)'!$A$23:$R$529,18,FALSE)*100</f>
        <v>6.816901408450704</v>
      </c>
      <c r="X87" s="185">
        <f>VLOOKUP(A87,'2020_4-1-3_bearbeitet (2)'!$A$23:$R$529,17,FALSE)*100</f>
        <v>19.902912621359224</v>
      </c>
    </row>
    <row r="88" spans="1:24" ht="8.25" customHeight="1" x14ac:dyDescent="0.25">
      <c r="A88" s="45">
        <v>255</v>
      </c>
      <c r="B88" s="3" t="s">
        <v>29</v>
      </c>
      <c r="C88" s="26">
        <v>7.7355836849507735</v>
      </c>
      <c r="D88" s="26">
        <v>14.634146341463413</v>
      </c>
      <c r="E88" s="26">
        <v>2.9891304347826089</v>
      </c>
      <c r="F88" s="26">
        <v>4.0816326530612246</v>
      </c>
      <c r="G88" s="26">
        <v>6.5255731922398583</v>
      </c>
      <c r="H88" s="26">
        <v>10.204081632653061</v>
      </c>
      <c r="I88" s="32">
        <v>7.2213500784929359</v>
      </c>
      <c r="J88" s="32">
        <v>7.2727272727272725</v>
      </c>
      <c r="K88" s="31">
        <v>7.7046548956661312</v>
      </c>
      <c r="L88" s="31">
        <v>7.8947368421052628</v>
      </c>
      <c r="M88" s="32">
        <v>8.3606557377049189</v>
      </c>
      <c r="N88" s="32">
        <v>10.344827586206897</v>
      </c>
      <c r="O88" s="32">
        <v>4.0307101727447217</v>
      </c>
      <c r="P88" s="32">
        <v>4</v>
      </c>
      <c r="Q88" s="32">
        <v>5.2301255230125516</v>
      </c>
      <c r="R88" s="32">
        <v>5.1282051282051277</v>
      </c>
      <c r="S88" s="32">
        <v>9.8619329388560164</v>
      </c>
      <c r="T88" s="32">
        <v>19.35483870967742</v>
      </c>
      <c r="U88" s="172">
        <f>VLOOKUP(A88,'2019_B5_Berechnung'!$B$279:$M$330,12,FALSE)</f>
        <v>11.642411642411643</v>
      </c>
      <c r="V88" s="172">
        <f>VLOOKUP(A88,'2019_B5_Berechnung'!$B$279:$M$330,11,FALSE)</f>
        <v>20.588235294117645</v>
      </c>
      <c r="W88" s="185">
        <f>VLOOKUP(A88,'2020_4-1-3_bearbeitet (2)'!$A$23:$R$529,18,FALSE)*100</f>
        <v>16.279069767441861</v>
      </c>
      <c r="X88" s="185">
        <f>VLOOKUP(A88,'2020_4-1-3_bearbeitet (2)'!$A$23:$R$529,17,FALSE)*100</f>
        <v>17.948717948717949</v>
      </c>
    </row>
    <row r="89" spans="1:24" ht="8.25" customHeight="1" x14ac:dyDescent="0.25">
      <c r="A89" s="45">
        <v>256</v>
      </c>
      <c r="B89" s="3" t="s">
        <v>30</v>
      </c>
      <c r="C89" s="26">
        <v>7.7039274924471295</v>
      </c>
      <c r="D89" s="26">
        <v>29.82456140350877</v>
      </c>
      <c r="E89" s="26">
        <v>2.715466351829988</v>
      </c>
      <c r="F89" s="26">
        <v>22.972972972972975</v>
      </c>
      <c r="G89" s="26">
        <v>4.7582501918649278</v>
      </c>
      <c r="H89" s="26">
        <v>20.8955223880597</v>
      </c>
      <c r="I89" s="32">
        <v>4.3859649122807012</v>
      </c>
      <c r="J89" s="32">
        <v>14.772727272727273</v>
      </c>
      <c r="K89" s="31">
        <v>7.6860841423948223</v>
      </c>
      <c r="L89" s="31">
        <v>30</v>
      </c>
      <c r="M89" s="32">
        <v>4.3258832011535686</v>
      </c>
      <c r="N89" s="32">
        <v>22.891566265060241</v>
      </c>
      <c r="O89" s="32">
        <v>3.6450079239302693</v>
      </c>
      <c r="P89" s="32">
        <v>21.621621621621621</v>
      </c>
      <c r="Q89" s="32">
        <v>4.7454702329594483</v>
      </c>
      <c r="R89" s="32">
        <v>27.536231884057973</v>
      </c>
      <c r="S89" s="32">
        <v>6.7226890756302522</v>
      </c>
      <c r="T89" s="32">
        <v>43.846153846153847</v>
      </c>
      <c r="U89" s="172">
        <f>VLOOKUP(A89,'2019_B5_Berechnung'!$B$279:$M$330,12,FALSE)</f>
        <v>5.2493438320209975</v>
      </c>
      <c r="V89" s="172">
        <f>VLOOKUP(A89,'2019_B5_Berechnung'!$B$279:$M$330,11,FALSE)</f>
        <v>20.161290322580644</v>
      </c>
      <c r="W89" s="185">
        <f>VLOOKUP(A89,'2020_4-1-3_bearbeitet (2)'!$A$23:$R$529,18,FALSE)*100</f>
        <v>8.5025380710659899</v>
      </c>
      <c r="X89" s="185">
        <f>VLOOKUP(A89,'2020_4-1-3_bearbeitet (2)'!$A$23:$R$529,17,FALSE)*100</f>
        <v>19.148936170212767</v>
      </c>
    </row>
    <row r="90" spans="1:24" ht="8.25" customHeight="1" x14ac:dyDescent="0.25">
      <c r="A90" s="45">
        <v>257</v>
      </c>
      <c r="B90" s="3" t="s">
        <v>31</v>
      </c>
      <c r="C90" s="26">
        <v>9.1617933723196874</v>
      </c>
      <c r="D90" s="26">
        <v>13.450292397660817</v>
      </c>
      <c r="E90" s="26">
        <v>3.6398467432950192</v>
      </c>
      <c r="F90" s="26">
        <v>11.627906976744185</v>
      </c>
      <c r="G90" s="26">
        <v>3.7580739870816204</v>
      </c>
      <c r="H90" s="26">
        <v>11.926605504587156</v>
      </c>
      <c r="I90" s="32">
        <v>3.0927835051546393</v>
      </c>
      <c r="J90" s="32">
        <v>11.38211382113821</v>
      </c>
      <c r="K90" s="31">
        <v>2.0129870129870131</v>
      </c>
      <c r="L90" s="31">
        <v>1.1494252873563218</v>
      </c>
      <c r="M90" s="32">
        <v>2.3032629558541267</v>
      </c>
      <c r="N90" s="32">
        <v>16.363636363636363</v>
      </c>
      <c r="O90" s="32">
        <v>3.7748344370860929</v>
      </c>
      <c r="P90" s="32">
        <v>6.140350877192982</v>
      </c>
      <c r="Q90" s="32">
        <v>2.5221540558963871</v>
      </c>
      <c r="R90" s="32">
        <v>27.152317880794701</v>
      </c>
      <c r="S90" s="32">
        <v>3.9173789173789171</v>
      </c>
      <c r="T90" s="32">
        <v>15.527950310559005</v>
      </c>
      <c r="U90" s="172">
        <f>VLOOKUP(A90,'2019_B5_Berechnung'!$B$279:$M$330,12,FALSE)</f>
        <v>6.7547723935389135</v>
      </c>
      <c r="V90" s="172">
        <f>VLOOKUP(A90,'2019_B5_Berechnung'!$B$279:$M$330,11,FALSE)</f>
        <v>22.900763358778626</v>
      </c>
      <c r="W90" s="185">
        <f>VLOOKUP(A90,'2020_4-1-3_bearbeitet (2)'!$A$23:$R$529,18,FALSE)*100</f>
        <v>7.9241071428571423</v>
      </c>
      <c r="X90" s="185">
        <f>VLOOKUP(A90,'2020_4-1-3_bearbeitet (2)'!$A$23:$R$529,17,FALSE)*100</f>
        <v>19.26605504587156</v>
      </c>
    </row>
    <row r="91" spans="1:24" s="36" customFormat="1" ht="16.5" customHeight="1" x14ac:dyDescent="0.25">
      <c r="A91" s="46">
        <v>2</v>
      </c>
      <c r="B91" s="5" t="s">
        <v>32</v>
      </c>
      <c r="C91" s="33">
        <v>7.2393588688199113</v>
      </c>
      <c r="D91" s="33">
        <v>21.772875816993466</v>
      </c>
      <c r="E91" s="33">
        <v>3.9345007959972707</v>
      </c>
      <c r="F91" s="33">
        <v>14.718162839248434</v>
      </c>
      <c r="G91" s="33">
        <v>4.5703028810637774</v>
      </c>
      <c r="H91" s="33">
        <v>11.858495266567015</v>
      </c>
      <c r="I91" s="35">
        <v>4.3114826220853502</v>
      </c>
      <c r="J91" s="35">
        <v>12.652608213096558</v>
      </c>
      <c r="K91" s="34">
        <v>4.2501001201441726</v>
      </c>
      <c r="L91" s="34">
        <v>10.249872514023457</v>
      </c>
      <c r="M91" s="35">
        <v>4.2679605882061686</v>
      </c>
      <c r="N91" s="35">
        <v>11.64150024354603</v>
      </c>
      <c r="O91" s="35">
        <v>3.8734733507077519</v>
      </c>
      <c r="P91" s="35">
        <v>13.600421718502901</v>
      </c>
      <c r="Q91" s="35">
        <v>3.9026193493874102</v>
      </c>
      <c r="R91" s="35">
        <v>17.590822179732314</v>
      </c>
      <c r="S91" s="35">
        <v>4.5039848993288594</v>
      </c>
      <c r="T91" s="35">
        <v>20.78272604588394</v>
      </c>
      <c r="U91" s="190">
        <f>VLOOKUP(A91,'2019_B5_Berechnung'!$B$279:$M$330,12,FALSE)</f>
        <v>4.8856824571640765</v>
      </c>
      <c r="V91" s="190">
        <f>VLOOKUP(A91,'2019_B5_Berechnung'!$B$279:$M$330,11,FALSE)</f>
        <v>22.44617498854787</v>
      </c>
      <c r="W91" s="191">
        <f>VLOOKUP(A91,'2020_4-1-3_bearbeitet (2)'!$A$23:$R$529,18,FALSE)*100</f>
        <v>6.9091796875</v>
      </c>
      <c r="X91" s="191">
        <f>VLOOKUP(A91,'2020_4-1-3_bearbeitet (2)'!$A$23:$R$529,17,FALSE)*100</f>
        <v>18.643132928847216</v>
      </c>
    </row>
    <row r="92" spans="1:24" ht="8.25" customHeight="1" x14ac:dyDescent="0.25">
      <c r="A92" s="45">
        <v>351</v>
      </c>
      <c r="B92" s="3" t="s">
        <v>33</v>
      </c>
      <c r="C92" s="26">
        <v>8.8163662932294198</v>
      </c>
      <c r="D92" s="26">
        <v>27.027027027027028</v>
      </c>
      <c r="E92" s="26">
        <v>4.5335658238884049</v>
      </c>
      <c r="F92" s="26">
        <v>28.571428571428569</v>
      </c>
      <c r="G92" s="26">
        <v>6.3031515757878935</v>
      </c>
      <c r="H92" s="26">
        <v>8.3333333333333321</v>
      </c>
      <c r="I92" s="32">
        <v>5.7291666666666661</v>
      </c>
      <c r="J92" s="32">
        <v>6.25</v>
      </c>
      <c r="K92" s="31">
        <v>4.4238121245221187</v>
      </c>
      <c r="L92" s="31">
        <v>16.417910447761194</v>
      </c>
      <c r="M92" s="32">
        <v>4.6536796536796539</v>
      </c>
      <c r="N92" s="32">
        <v>10.344827586206897</v>
      </c>
      <c r="O92" s="32">
        <v>4.7344849648112604</v>
      </c>
      <c r="P92" s="32">
        <v>4.6153846153846159</v>
      </c>
      <c r="Q92" s="32">
        <v>6.7834934991520628</v>
      </c>
      <c r="R92" s="32">
        <v>33.333333333333329</v>
      </c>
      <c r="S92" s="32">
        <v>6.9575471698113205</v>
      </c>
      <c r="T92" s="32">
        <v>30.476190476190478</v>
      </c>
      <c r="U92" s="172">
        <f>VLOOKUP(A92,'2019_B5_Berechnung'!$B$279:$M$330,12,FALSE)</f>
        <v>5.8088694565896315</v>
      </c>
      <c r="V92" s="172">
        <f>VLOOKUP(A92,'2019_B5_Berechnung'!$B$279:$M$330,11,FALSE)</f>
        <v>24.793388429752067</v>
      </c>
      <c r="W92" s="185">
        <f>VLOOKUP(A92,'2020_4-1-3_bearbeitet (2)'!$A$23:$R$529,18,FALSE)*100</f>
        <v>9.5389507154213042</v>
      </c>
      <c r="X92" s="185">
        <f>VLOOKUP(A92,'2020_4-1-3_bearbeitet (2)'!$A$23:$R$529,17,FALSE)*100</f>
        <v>25.210084033613445</v>
      </c>
    </row>
    <row r="93" spans="1:24" ht="8.25" customHeight="1" x14ac:dyDescent="0.25">
      <c r="A93" s="45">
        <v>352</v>
      </c>
      <c r="B93" s="3" t="s">
        <v>34</v>
      </c>
      <c r="C93" s="26">
        <v>9.0771558245083206</v>
      </c>
      <c r="D93" s="26">
        <v>35</v>
      </c>
      <c r="E93" s="26">
        <v>4.0234702430846605</v>
      </c>
      <c r="F93" s="26">
        <v>16.842105263157894</v>
      </c>
      <c r="G93" s="26">
        <v>7.9228034535297098</v>
      </c>
      <c r="H93" s="26">
        <v>22</v>
      </c>
      <c r="I93" s="32">
        <v>6.9146149816657942</v>
      </c>
      <c r="J93" s="32">
        <v>12.5</v>
      </c>
      <c r="K93" s="31">
        <v>6.3114330056906365</v>
      </c>
      <c r="L93" s="31">
        <v>17.582417582417584</v>
      </c>
      <c r="M93" s="32">
        <v>3.4536891679748818</v>
      </c>
      <c r="N93" s="32">
        <v>16.666666666666664</v>
      </c>
      <c r="O93" s="32">
        <v>5.6650246305418719</v>
      </c>
      <c r="P93" s="32">
        <v>29.670329670329672</v>
      </c>
      <c r="Q93" s="32">
        <v>5.4024255788313127</v>
      </c>
      <c r="R93" s="32">
        <v>37.037037037037038</v>
      </c>
      <c r="S93" s="32">
        <v>7.0279928528886249</v>
      </c>
      <c r="T93" s="32">
        <v>19.166666666666668</v>
      </c>
      <c r="U93" s="172">
        <f>VLOOKUP(A93,'2019_B5_Berechnung'!$B$279:$M$330,12,FALSE)</f>
        <v>6.9586082783443315</v>
      </c>
      <c r="V93" s="172">
        <f>VLOOKUP(A93,'2019_B5_Berechnung'!$B$279:$M$330,11,FALSE)</f>
        <v>27.34375</v>
      </c>
      <c r="W93" s="185">
        <f>VLOOKUP(A93,'2020_4-1-3_bearbeitet (2)'!$A$23:$R$529,18,FALSE)*100</f>
        <v>6.3981042654028428</v>
      </c>
      <c r="X93" s="185">
        <f>VLOOKUP(A93,'2020_4-1-3_bearbeitet (2)'!$A$23:$R$529,17,FALSE)*100</f>
        <v>20.3125</v>
      </c>
    </row>
    <row r="94" spans="1:24" ht="8.25" customHeight="1" x14ac:dyDescent="0.25">
      <c r="A94" s="45">
        <v>353</v>
      </c>
      <c r="B94" s="3" t="s">
        <v>35</v>
      </c>
      <c r="C94" s="26">
        <v>6.8475452196382429</v>
      </c>
      <c r="D94" s="26">
        <v>37.962962962962962</v>
      </c>
      <c r="E94" s="26">
        <v>3.1003039513677813</v>
      </c>
      <c r="F94" s="26">
        <v>20.202020202020201</v>
      </c>
      <c r="G94" s="26">
        <v>3.3771106941838651</v>
      </c>
      <c r="H94" s="26">
        <v>14.634146341463413</v>
      </c>
      <c r="I94" s="32">
        <v>2.6677445432497979</v>
      </c>
      <c r="J94" s="32">
        <v>10.144927536231885</v>
      </c>
      <c r="K94" s="31">
        <v>2.4158415841584158</v>
      </c>
      <c r="L94" s="31">
        <v>11.111111111111111</v>
      </c>
      <c r="M94" s="32">
        <v>2.107355864811133</v>
      </c>
      <c r="N94" s="32">
        <v>6.6037735849056602</v>
      </c>
      <c r="O94" s="32">
        <v>2.445984508764778</v>
      </c>
      <c r="P94" s="32">
        <v>10.638297872340425</v>
      </c>
      <c r="Q94" s="32">
        <v>3.0788177339901477</v>
      </c>
      <c r="R94" s="32">
        <v>17.424242424242426</v>
      </c>
      <c r="S94" s="32">
        <v>2.734375</v>
      </c>
      <c r="T94" s="32">
        <v>21.176470588235293</v>
      </c>
      <c r="U94" s="172">
        <f>VLOOKUP(A94,'2019_B5_Berechnung'!$B$279:$M$330,12,FALSE)</f>
        <v>4.3882978723404253</v>
      </c>
      <c r="V94" s="172">
        <f>VLOOKUP(A94,'2019_B5_Berechnung'!$B$279:$M$330,11,FALSE)</f>
        <v>18.103448275862068</v>
      </c>
      <c r="W94" s="185">
        <f>VLOOKUP(A94,'2020_4-1-3_bearbeitet (2)'!$A$23:$R$529,18,FALSE)*100</f>
        <v>5.0783699059561132</v>
      </c>
      <c r="X94" s="185">
        <f>VLOOKUP(A94,'2020_4-1-3_bearbeitet (2)'!$A$23:$R$529,17,FALSE)*100</f>
        <v>20.202020202020201</v>
      </c>
    </row>
    <row r="95" spans="1:24" ht="8.25" customHeight="1" x14ac:dyDescent="0.25">
      <c r="A95" s="45">
        <v>354</v>
      </c>
      <c r="B95" s="3" t="s">
        <v>36</v>
      </c>
      <c r="C95" s="26">
        <v>9.5599393019726868</v>
      </c>
      <c r="D95" s="26">
        <v>57.142857142857139</v>
      </c>
      <c r="E95" s="26">
        <v>3.4129692832764507</v>
      </c>
      <c r="F95" s="26">
        <v>28.571428571428569</v>
      </c>
      <c r="G95" s="26">
        <v>5.6201550387596901</v>
      </c>
      <c r="H95" s="26">
        <v>20</v>
      </c>
      <c r="I95" s="32">
        <v>5.3045186640471513</v>
      </c>
      <c r="J95" s="32">
        <v>5.2631578947368416</v>
      </c>
      <c r="K95" s="31">
        <v>6.8686868686868685</v>
      </c>
      <c r="L95" s="31">
        <v>40</v>
      </c>
      <c r="M95" s="32">
        <v>6.8359375</v>
      </c>
      <c r="N95" s="32">
        <v>18.181818181818183</v>
      </c>
      <c r="O95" s="32">
        <v>4.8732943469785575</v>
      </c>
      <c r="P95" s="32">
        <v>40.909090909090914</v>
      </c>
      <c r="Q95" s="32">
        <v>7.0247933884297522</v>
      </c>
      <c r="R95" s="32">
        <v>44.444444444444443</v>
      </c>
      <c r="S95" s="32">
        <v>6.0903732809430258</v>
      </c>
      <c r="T95" s="32">
        <v>28.000000000000004</v>
      </c>
      <c r="U95" s="172">
        <f>VLOOKUP(A95,'2019_B5_Berechnung'!$B$279:$M$330,12,FALSE)</f>
        <v>7.4906367041198507</v>
      </c>
      <c r="V95" s="172">
        <f>VLOOKUP(A95,'2019_B5_Berechnung'!$B$279:$M$330,11,FALSE)</f>
        <v>16.666666666666664</v>
      </c>
      <c r="W95" s="185">
        <f>VLOOKUP(A95,'2020_4-1-3_bearbeitet (2)'!$A$23:$R$529,18,FALSE)*100</f>
        <v>8.3969465648854964</v>
      </c>
      <c r="X95" s="185">
        <f>VLOOKUP(A95,'2020_4-1-3_bearbeitet (2)'!$A$23:$R$529,17,FALSE)*100</f>
        <v>31.25</v>
      </c>
    </row>
    <row r="96" spans="1:24" ht="8.25" customHeight="1" x14ac:dyDescent="0.25">
      <c r="A96" s="45">
        <v>355</v>
      </c>
      <c r="B96" s="3" t="s">
        <v>37</v>
      </c>
      <c r="C96" s="26">
        <v>5.8430717863105182</v>
      </c>
      <c r="D96" s="26">
        <v>26.506024096385545</v>
      </c>
      <c r="E96" s="26">
        <v>2.9387069689336691</v>
      </c>
      <c r="F96" s="26">
        <v>8.695652173913043</v>
      </c>
      <c r="G96" s="26">
        <v>4.4467972472207515</v>
      </c>
      <c r="H96" s="26">
        <v>7.0175438596491224</v>
      </c>
      <c r="I96" s="32">
        <v>3.6896364622897448</v>
      </c>
      <c r="J96" s="32">
        <v>11.940298507462686</v>
      </c>
      <c r="K96" s="31">
        <v>3.5619351408825093</v>
      </c>
      <c r="L96" s="31">
        <v>7.9365079365079358</v>
      </c>
      <c r="M96" s="32">
        <v>2.9411764705882351</v>
      </c>
      <c r="N96" s="32">
        <v>9.7222222222222232</v>
      </c>
      <c r="O96" s="32">
        <v>3.397027600849257</v>
      </c>
      <c r="P96" s="32">
        <v>11.111111111111111</v>
      </c>
      <c r="Q96" s="32">
        <v>4.5336112558624286</v>
      </c>
      <c r="R96" s="32">
        <v>12.76595744680851</v>
      </c>
      <c r="S96" s="32">
        <v>4.7430830039525684</v>
      </c>
      <c r="T96" s="32">
        <v>12.096774193548388</v>
      </c>
      <c r="U96" s="172">
        <f>VLOOKUP(A96,'2019_B5_Berechnung'!$B$279:$M$330,12,FALSE)</f>
        <v>4.6171171171171173</v>
      </c>
      <c r="V96" s="172">
        <f>VLOOKUP(A96,'2019_B5_Berechnung'!$B$279:$M$330,11,FALSE)</f>
        <v>20.300751879699249</v>
      </c>
      <c r="W96" s="185">
        <f>VLOOKUP(A96,'2020_4-1-3_bearbeitet (2)'!$A$23:$R$529,18,FALSE)*100</f>
        <v>8.2051282051282044</v>
      </c>
      <c r="X96" s="185">
        <f>VLOOKUP(A96,'2020_4-1-3_bearbeitet (2)'!$A$23:$R$529,17,FALSE)*100</f>
        <v>12.056737588652481</v>
      </c>
    </row>
    <row r="97" spans="1:24" ht="8.25" customHeight="1" x14ac:dyDescent="0.25">
      <c r="A97" s="45">
        <v>356</v>
      </c>
      <c r="B97" s="3" t="s">
        <v>38</v>
      </c>
      <c r="C97" s="26">
        <v>5.5360281195079093</v>
      </c>
      <c r="D97" s="26">
        <v>37.5</v>
      </c>
      <c r="E97" s="26">
        <v>3.5820895522388061</v>
      </c>
      <c r="F97" s="26">
        <v>18.604651162790699</v>
      </c>
      <c r="G97" s="26">
        <v>3.6303630363036308</v>
      </c>
      <c r="H97" s="26">
        <v>30</v>
      </c>
      <c r="I97" s="32">
        <v>5.9161873459326211</v>
      </c>
      <c r="J97" s="32">
        <v>8.3333333333333321</v>
      </c>
      <c r="K97" s="31">
        <v>4.5950155763239877</v>
      </c>
      <c r="L97" s="31">
        <v>16.666666666666664</v>
      </c>
      <c r="M97" s="32">
        <v>2.9610829103214891</v>
      </c>
      <c r="N97" s="32">
        <v>9.0909090909090917</v>
      </c>
      <c r="O97" s="32">
        <v>2.3558082859463854</v>
      </c>
      <c r="P97" s="32">
        <v>23.684210526315788</v>
      </c>
      <c r="Q97" s="32">
        <v>3.1362007168458779</v>
      </c>
      <c r="R97" s="32">
        <v>14.583333333333334</v>
      </c>
      <c r="S97" s="32">
        <v>2.8100775193798451</v>
      </c>
      <c r="T97" s="32">
        <v>16.666666666666664</v>
      </c>
      <c r="U97" s="172">
        <f>VLOOKUP(A97,'2019_B5_Berechnung'!$B$279:$M$330,12,FALSE)</f>
        <v>3.5641547861507124</v>
      </c>
      <c r="V97" s="172">
        <f>VLOOKUP(A97,'2019_B5_Berechnung'!$B$279:$M$330,11,FALSE)</f>
        <v>28.888888888888886</v>
      </c>
      <c r="W97" s="185">
        <f>VLOOKUP(A97,'2020_4-1-3_bearbeitet (2)'!$A$23:$R$529,18,FALSE)*100</f>
        <v>4.0462427745664744</v>
      </c>
      <c r="X97" s="185">
        <f>VLOOKUP(A97,'2020_4-1-3_bearbeitet (2)'!$A$23:$R$529,17,FALSE)*100</f>
        <v>23.636363636363637</v>
      </c>
    </row>
    <row r="98" spans="1:24" ht="8.25" customHeight="1" x14ac:dyDescent="0.25">
      <c r="A98" s="45">
        <v>357</v>
      </c>
      <c r="B98" s="3" t="s">
        <v>39</v>
      </c>
      <c r="C98" s="26">
        <v>11.266149870801033</v>
      </c>
      <c r="D98" s="26">
        <v>20.224719101123593</v>
      </c>
      <c r="E98" s="26">
        <v>3.6915504511894994</v>
      </c>
      <c r="F98" s="26">
        <v>16.666666666666664</v>
      </c>
      <c r="G98" s="26">
        <v>4.4711014176663033</v>
      </c>
      <c r="H98" s="26">
        <v>17.391304347826086</v>
      </c>
      <c r="I98" s="32">
        <v>4.7077082255561304</v>
      </c>
      <c r="J98" s="32">
        <v>5.7971014492753623</v>
      </c>
      <c r="K98" s="31">
        <v>4.7174701918092277</v>
      </c>
      <c r="L98" s="31">
        <v>7.0588235294117645</v>
      </c>
      <c r="M98" s="32">
        <v>5.0593701600413006</v>
      </c>
      <c r="N98" s="32">
        <v>10.714285714285714</v>
      </c>
      <c r="O98" s="32">
        <v>4.7365620010643958</v>
      </c>
      <c r="P98" s="32">
        <v>24.691358024691358</v>
      </c>
      <c r="Q98" s="32">
        <v>4.9137480397281754</v>
      </c>
      <c r="R98" s="32">
        <v>24.285714285714285</v>
      </c>
      <c r="S98" s="32">
        <v>5.7355284121083381</v>
      </c>
      <c r="T98" s="32">
        <v>21.839080459770116</v>
      </c>
      <c r="U98" s="172">
        <f>VLOOKUP(A98,'2019_B5_Berechnung'!$B$279:$M$330,12,FALSE)</f>
        <v>7.3844419391206308</v>
      </c>
      <c r="V98" s="172">
        <f>VLOOKUP(A98,'2019_B5_Berechnung'!$B$279:$M$330,11,FALSE)</f>
        <v>30.76923076923077</v>
      </c>
      <c r="W98" s="185">
        <f>VLOOKUP(A98,'2020_4-1-3_bearbeitet (2)'!$A$23:$R$529,18,FALSE)*100</f>
        <v>7.8967350037965067</v>
      </c>
      <c r="X98" s="185">
        <f>VLOOKUP(A98,'2020_4-1-3_bearbeitet (2)'!$A$23:$R$529,17,FALSE)*100</f>
        <v>39.473684210526315</v>
      </c>
    </row>
    <row r="99" spans="1:24" ht="8.25" customHeight="1" x14ac:dyDescent="0.25">
      <c r="A99" s="45">
        <v>358</v>
      </c>
      <c r="B99" s="3" t="s">
        <v>40</v>
      </c>
      <c r="C99" s="26">
        <v>9.1666666666666661</v>
      </c>
      <c r="D99" s="26">
        <v>28.695652173913043</v>
      </c>
      <c r="E99" s="26">
        <v>4.4421487603305785</v>
      </c>
      <c r="F99" s="26">
        <v>17.543859649122805</v>
      </c>
      <c r="G99" s="26">
        <v>6.5940713853599524</v>
      </c>
      <c r="H99" s="26">
        <v>18.055555555555554</v>
      </c>
      <c r="I99" s="32">
        <v>6.5675340768277568</v>
      </c>
      <c r="J99" s="32">
        <v>29.333333333333332</v>
      </c>
      <c r="K99" s="31">
        <v>4.8463356973995273</v>
      </c>
      <c r="L99" s="31">
        <v>17.391304347826086</v>
      </c>
      <c r="M99" s="32">
        <v>6.109324758842444</v>
      </c>
      <c r="N99" s="32">
        <v>20.833333333333336</v>
      </c>
      <c r="O99" s="32">
        <v>6.5551839464882935</v>
      </c>
      <c r="P99" s="32">
        <v>24.528301886792452</v>
      </c>
      <c r="Q99" s="32">
        <v>5.376344086021505</v>
      </c>
      <c r="R99" s="32">
        <v>28.333333333333332</v>
      </c>
      <c r="S99" s="32">
        <v>6.197183098591549</v>
      </c>
      <c r="T99" s="32">
        <v>25</v>
      </c>
      <c r="U99" s="172">
        <f>VLOOKUP(A99,'2019_B5_Berechnung'!$B$279:$M$330,12,FALSE)</f>
        <v>5.3136531365313653</v>
      </c>
      <c r="V99" s="172">
        <f>VLOOKUP(A99,'2019_B5_Berechnung'!$B$279:$M$330,11,FALSE)</f>
        <v>19.696969696969695</v>
      </c>
      <c r="W99" s="185">
        <f>VLOOKUP(A99,'2020_4-1-3_bearbeitet (2)'!$A$23:$R$529,18,FALSE)*100</f>
        <v>8.2917082917082912</v>
      </c>
      <c r="X99" s="185">
        <f>VLOOKUP(A99,'2020_4-1-3_bearbeitet (2)'!$A$23:$R$529,17,FALSE)*100</f>
        <v>11.475409836065573</v>
      </c>
    </row>
    <row r="100" spans="1:24" ht="8.25" customHeight="1" x14ac:dyDescent="0.25">
      <c r="A100" s="45">
        <v>359</v>
      </c>
      <c r="B100" s="3" t="s">
        <v>41</v>
      </c>
      <c r="C100" s="26">
        <v>9.2036242250834519</v>
      </c>
      <c r="D100" s="26">
        <v>25.688073394495415</v>
      </c>
      <c r="E100" s="26">
        <v>3.8961038961038961</v>
      </c>
      <c r="F100" s="26">
        <v>19.736842105263158</v>
      </c>
      <c r="G100" s="26">
        <v>5.045045045045045</v>
      </c>
      <c r="H100" s="26">
        <v>7.042253521126761</v>
      </c>
      <c r="I100" s="32">
        <v>4.838709677419355</v>
      </c>
      <c r="J100" s="32">
        <v>10.204081632653061</v>
      </c>
      <c r="K100" s="31">
        <v>3.3656062701705856</v>
      </c>
      <c r="L100" s="31">
        <v>13.461538461538462</v>
      </c>
      <c r="M100" s="32">
        <v>3.2932799287939476</v>
      </c>
      <c r="N100" s="32">
        <v>20.588235294117645</v>
      </c>
      <c r="O100" s="32">
        <v>5.0023820867079563</v>
      </c>
      <c r="P100" s="32">
        <v>36.752136752136757</v>
      </c>
      <c r="Q100" s="32">
        <v>3.7365716954694066</v>
      </c>
      <c r="R100" s="32">
        <v>26.851851851851855</v>
      </c>
      <c r="S100" s="32">
        <v>6.4399793920659452</v>
      </c>
      <c r="T100" s="32">
        <v>30.081300813008134</v>
      </c>
      <c r="U100" s="172">
        <f>VLOOKUP(A100,'2019_B5_Berechnung'!$B$279:$M$330,12,FALSE)</f>
        <v>5.22128294380905</v>
      </c>
      <c r="V100" s="172">
        <f>VLOOKUP(A100,'2019_B5_Berechnung'!$B$279:$M$330,11,FALSE)</f>
        <v>26.865671641791046</v>
      </c>
      <c r="W100" s="185">
        <f>VLOOKUP(A100,'2020_4-1-3_bearbeitet (2)'!$A$23:$R$529,18,FALSE)*100</f>
        <v>7.2368421052631584</v>
      </c>
      <c r="X100" s="185">
        <f>VLOOKUP(A100,'2020_4-1-3_bearbeitet (2)'!$A$23:$R$529,17,FALSE)*100</f>
        <v>30.357142857142854</v>
      </c>
    </row>
    <row r="101" spans="1:24" ht="8.25" customHeight="1" x14ac:dyDescent="0.25">
      <c r="A101" s="45">
        <v>360</v>
      </c>
      <c r="B101" s="3" t="s">
        <v>42</v>
      </c>
      <c r="C101" s="26">
        <v>9.9195710455764079</v>
      </c>
      <c r="D101" s="26">
        <v>45.238095238095241</v>
      </c>
      <c r="E101" s="26">
        <v>2.8963414634146343</v>
      </c>
      <c r="F101" s="26">
        <v>7.1428571428571423</v>
      </c>
      <c r="G101" s="26">
        <v>4.3562439496611809</v>
      </c>
      <c r="H101" s="26">
        <v>3.7037037037037033</v>
      </c>
      <c r="I101" s="32">
        <v>3.1219512195121952</v>
      </c>
      <c r="J101" s="32">
        <v>12</v>
      </c>
      <c r="K101" s="31">
        <v>3.8210624417520966</v>
      </c>
      <c r="L101" s="31">
        <v>15</v>
      </c>
      <c r="M101" s="32">
        <v>2.9000000000000004</v>
      </c>
      <c r="N101" s="32">
        <v>21.739130434782609</v>
      </c>
      <c r="O101" s="32">
        <v>3.8883349950149553</v>
      </c>
      <c r="P101" s="32">
        <v>37.5</v>
      </c>
      <c r="Q101" s="32">
        <v>4.2269187986651833</v>
      </c>
      <c r="R101" s="32">
        <v>43.589743589743591</v>
      </c>
      <c r="S101" s="32">
        <v>5.5023923444976077</v>
      </c>
      <c r="T101" s="32">
        <v>26.666666666666668</v>
      </c>
      <c r="U101" s="172">
        <f>VLOOKUP(A101,'2019_B5_Berechnung'!$B$279:$M$330,12,FALSE)</f>
        <v>8.6538461538461533</v>
      </c>
      <c r="V101" s="172">
        <f>VLOOKUP(A101,'2019_B5_Berechnung'!$B$279:$M$330,11,FALSE)</f>
        <v>25.714285714285712</v>
      </c>
      <c r="W101" s="185">
        <f>VLOOKUP(A101,'2020_4-1-3_bearbeitet (2)'!$A$23:$R$529,18,FALSE)*100</f>
        <v>8.828522920203735</v>
      </c>
      <c r="X101" s="185">
        <f>VLOOKUP(A101,'2020_4-1-3_bearbeitet (2)'!$A$23:$R$529,17,FALSE)*100</f>
        <v>15.789473684210526</v>
      </c>
    </row>
    <row r="102" spans="1:24" ht="8.25" customHeight="1" x14ac:dyDescent="0.25">
      <c r="A102" s="45">
        <v>361</v>
      </c>
      <c r="B102" s="3" t="s">
        <v>43</v>
      </c>
      <c r="C102" s="26">
        <v>8.1645983017635544</v>
      </c>
      <c r="D102" s="26">
        <v>35.606060606060609</v>
      </c>
      <c r="E102" s="26">
        <v>2.9655990510083039</v>
      </c>
      <c r="F102" s="26">
        <v>12.76595744680851</v>
      </c>
      <c r="G102" s="26">
        <v>3.5901271503365741</v>
      </c>
      <c r="H102" s="26">
        <v>8.5470085470085468</v>
      </c>
      <c r="I102" s="32">
        <v>4.647887323943662</v>
      </c>
      <c r="J102" s="32">
        <v>6.8376068376068382</v>
      </c>
      <c r="K102" s="31">
        <v>2.6722925457102673</v>
      </c>
      <c r="L102" s="31">
        <v>12.8</v>
      </c>
      <c r="M102" s="32">
        <v>3.9940828402366866</v>
      </c>
      <c r="N102" s="32">
        <v>22.105263157894736</v>
      </c>
      <c r="O102" s="32">
        <v>3.6199095022624439</v>
      </c>
      <c r="P102" s="32">
        <v>10.294117647058822</v>
      </c>
      <c r="Q102" s="32">
        <v>2.4944974321349962</v>
      </c>
      <c r="R102" s="32">
        <v>34.285714285714285</v>
      </c>
      <c r="S102" s="32">
        <v>3.181076672104405</v>
      </c>
      <c r="T102" s="32">
        <v>17.948717948717949</v>
      </c>
      <c r="U102" s="172">
        <f>VLOOKUP(A102,'2019_B5_Berechnung'!$B$279:$M$330,12,FALSE)</f>
        <v>4.1888804265041886</v>
      </c>
      <c r="V102" s="172">
        <f>VLOOKUP(A102,'2019_B5_Berechnung'!$B$279:$M$330,11,FALSE)</f>
        <v>26.923076923076923</v>
      </c>
      <c r="W102" s="185">
        <f>VLOOKUP(A102,'2020_4-1-3_bearbeitet (2)'!$A$23:$R$529,18,FALSE)*100</f>
        <v>5.5737704918032787</v>
      </c>
      <c r="X102" s="185">
        <f>VLOOKUP(A102,'2020_4-1-3_bearbeitet (2)'!$A$23:$R$529,17,FALSE)*100</f>
        <v>10.38961038961039</v>
      </c>
    </row>
    <row r="103" spans="1:24" s="36" customFormat="1" ht="16.5" customHeight="1" x14ac:dyDescent="0.25">
      <c r="A103" s="46">
        <v>3</v>
      </c>
      <c r="B103" s="5" t="s">
        <v>44</v>
      </c>
      <c r="C103" s="33">
        <v>8.4698252171045407</v>
      </c>
      <c r="D103" s="33">
        <v>31.244064577397911</v>
      </c>
      <c r="E103" s="33">
        <v>3.619543739895815</v>
      </c>
      <c r="F103" s="33">
        <v>16.931982633863964</v>
      </c>
      <c r="G103" s="33">
        <v>5.0471981229879415</v>
      </c>
      <c r="H103" s="33">
        <v>13.714285714285715</v>
      </c>
      <c r="I103" s="35">
        <v>4.8519919875361674</v>
      </c>
      <c r="J103" s="35">
        <v>11.141678129298487</v>
      </c>
      <c r="K103" s="34">
        <v>4.1077108698036637</v>
      </c>
      <c r="L103" s="34">
        <v>13.717948717948719</v>
      </c>
      <c r="M103" s="35">
        <v>3.791126203863497</v>
      </c>
      <c r="N103" s="35">
        <v>14.903846153846153</v>
      </c>
      <c r="O103" s="35">
        <v>4.2687113756008239</v>
      </c>
      <c r="P103" s="35">
        <v>20.636942675159236</v>
      </c>
      <c r="Q103" s="35">
        <v>4.468919386460616</v>
      </c>
      <c r="R103" s="35">
        <v>26.568265682656829</v>
      </c>
      <c r="S103" s="35">
        <v>5.2095477695281343</v>
      </c>
      <c r="T103" s="35">
        <v>22.122905027932958</v>
      </c>
      <c r="U103" s="190">
        <f>VLOOKUP(A103,'2019_B5_Berechnung'!$B$279:$M$330,12,FALSE)</f>
        <v>5.5897149245388489</v>
      </c>
      <c r="V103" s="190">
        <f>VLOOKUP(A103,'2019_B5_Berechnung'!$B$279:$M$330,11,FALSE)</f>
        <v>24.387646432374869</v>
      </c>
      <c r="W103" s="191">
        <f>VLOOKUP(A103,'2020_4-1-3_bearbeitet (2)'!$A$23:$R$529,18,FALSE)*100</f>
        <v>7.1611471491976788</v>
      </c>
      <c r="X103" s="191">
        <f>VLOOKUP(A103,'2020_4-1-3_bearbeitet (2)'!$A$23:$R$529,17,FALSE)*100</f>
        <v>21.779141104294478</v>
      </c>
    </row>
    <row r="104" spans="1:24" ht="8.25" customHeight="1" x14ac:dyDescent="0.25">
      <c r="A104" s="45">
        <v>401</v>
      </c>
      <c r="B104" s="3" t="s">
        <v>45</v>
      </c>
      <c r="C104" s="26">
        <v>10.131578947368421</v>
      </c>
      <c r="D104" s="26">
        <v>25.563909774436087</v>
      </c>
      <c r="E104" s="26">
        <v>5.6925996204933584</v>
      </c>
      <c r="F104" s="26">
        <v>20</v>
      </c>
      <c r="G104" s="26">
        <v>4.9932523616734139</v>
      </c>
      <c r="H104" s="26">
        <v>16.101694915254235</v>
      </c>
      <c r="I104" s="32">
        <v>5.89041095890411</v>
      </c>
      <c r="J104" s="32">
        <v>11.594202898550725</v>
      </c>
      <c r="K104" s="31">
        <v>5.1655629139072845</v>
      </c>
      <c r="L104" s="31">
        <v>17.80821917808219</v>
      </c>
      <c r="M104" s="32">
        <v>4.1782729805013927</v>
      </c>
      <c r="N104" s="32">
        <v>16.374269005847953</v>
      </c>
      <c r="O104" s="32">
        <v>4.8846675712347354</v>
      </c>
      <c r="P104" s="32">
        <v>8.4507042253521121</v>
      </c>
      <c r="Q104" s="32">
        <v>6.1884669479606194</v>
      </c>
      <c r="R104" s="32">
        <v>29.411764705882355</v>
      </c>
      <c r="S104" s="32">
        <v>5.3097345132743365</v>
      </c>
      <c r="T104" s="32">
        <v>24.025974025974026</v>
      </c>
      <c r="U104" s="172">
        <f>VLOOKUP(A104,'2019_B5_Berechnung'!$B$279:$M$330,12,FALSE)</f>
        <v>6.2780269058295968</v>
      </c>
      <c r="V104" s="172">
        <f>VLOOKUP(A104,'2019_B5_Berechnung'!$B$279:$M$330,11,FALSE)</f>
        <v>41.212121212121211</v>
      </c>
      <c r="W104" s="185">
        <f>VLOOKUP(A104,'2020_4-1-3_bearbeitet (2)'!$A$23:$R$529,18,FALSE)*100</f>
        <v>4.2462845010615711</v>
      </c>
      <c r="X104" s="185">
        <f>VLOOKUP(A104,'2020_4-1-3_bearbeitet (2)'!$A$23:$R$529,17,FALSE)*100</f>
        <v>26.666666666666668</v>
      </c>
    </row>
    <row r="105" spans="1:24" ht="8.25" customHeight="1" x14ac:dyDescent="0.25">
      <c r="A105" s="45">
        <v>402</v>
      </c>
      <c r="B105" s="3" t="s">
        <v>46</v>
      </c>
      <c r="C105" s="26">
        <v>9.9485420240137223</v>
      </c>
      <c r="D105" s="26">
        <v>45.454545454545453</v>
      </c>
      <c r="E105" s="26">
        <v>3.7135278514588856</v>
      </c>
      <c r="F105" s="26">
        <v>21.052631578947366</v>
      </c>
      <c r="G105" s="26">
        <v>8.9416058394160594</v>
      </c>
      <c r="H105" s="26">
        <v>20</v>
      </c>
      <c r="I105" s="32">
        <v>9.0090090090090094</v>
      </c>
      <c r="J105" s="32">
        <v>25</v>
      </c>
      <c r="K105" s="31">
        <v>10.256410256410255</v>
      </c>
      <c r="L105" s="31">
        <v>28.571428571428569</v>
      </c>
      <c r="M105" s="32">
        <v>8.695652173913043</v>
      </c>
      <c r="N105" s="32">
        <v>60</v>
      </c>
      <c r="O105" s="32">
        <v>6.3314711359404097</v>
      </c>
      <c r="P105" s="32">
        <v>69.230769230769226</v>
      </c>
      <c r="Q105" s="32">
        <v>6.6317626527050617</v>
      </c>
      <c r="R105" s="32">
        <v>58.333333333333336</v>
      </c>
      <c r="S105" s="32">
        <v>9.8557692307692299</v>
      </c>
      <c r="T105" s="32">
        <v>20</v>
      </c>
      <c r="U105" s="172">
        <f>VLOOKUP(A105,'2019_B5_Berechnung'!$B$279:$M$330,12,FALSE)</f>
        <v>6.9915254237288131</v>
      </c>
      <c r="V105" s="172">
        <f>VLOOKUP(A105,'2019_B5_Berechnung'!$B$279:$M$330,11,FALSE)</f>
        <v>26.923076923076923</v>
      </c>
      <c r="W105" s="185">
        <f>VLOOKUP(A105,'2020_4-1-3_bearbeitet (2)'!$A$23:$R$529,18,FALSE)*100</f>
        <v>10.355029585798817</v>
      </c>
      <c r="X105" s="185">
        <f>VLOOKUP(A105,'2020_4-1-3_bearbeitet (2)'!$A$23:$R$529,17,FALSE)*100</f>
        <v>46.153846153846153</v>
      </c>
    </row>
    <row r="106" spans="1:24" ht="8.25" customHeight="1" x14ac:dyDescent="0.25">
      <c r="A106" s="45">
        <v>403</v>
      </c>
      <c r="B106" s="3" t="s">
        <v>47</v>
      </c>
      <c r="C106" s="26">
        <v>6.7894131185270421</v>
      </c>
      <c r="D106" s="26">
        <v>29.545454545454547</v>
      </c>
      <c r="E106" s="26">
        <v>3.9401103230890469</v>
      </c>
      <c r="F106" s="26">
        <v>11.428571428571429</v>
      </c>
      <c r="G106" s="26">
        <v>4.2530568846358321</v>
      </c>
      <c r="H106" s="26">
        <v>13.20754716981132</v>
      </c>
      <c r="I106" s="32">
        <v>5.3185595567867034</v>
      </c>
      <c r="J106" s="32">
        <v>17.82178217821782</v>
      </c>
      <c r="K106" s="31">
        <v>4.2871900826446288</v>
      </c>
      <c r="L106" s="31">
        <v>9.375</v>
      </c>
      <c r="M106" s="32">
        <v>5.6561085972850682</v>
      </c>
      <c r="N106" s="32">
        <v>12.931034482758621</v>
      </c>
      <c r="O106" s="32">
        <v>4.7907488986784141</v>
      </c>
      <c r="P106" s="32">
        <v>12.621359223300971</v>
      </c>
      <c r="Q106" s="32">
        <v>4.7441364605543708</v>
      </c>
      <c r="R106" s="32">
        <v>16.19047619047619</v>
      </c>
      <c r="S106" s="32">
        <v>4.2818428184281849</v>
      </c>
      <c r="T106" s="32">
        <v>25.263157894736842</v>
      </c>
      <c r="U106" s="172">
        <f>VLOOKUP(A106,'2019_B5_Berechnung'!$B$279:$M$330,12,FALSE)</f>
        <v>3.4427966101694913</v>
      </c>
      <c r="V106" s="172">
        <f>VLOOKUP(A106,'2019_B5_Berechnung'!$B$279:$M$330,11,FALSE)</f>
        <v>19.25925925925926</v>
      </c>
      <c r="W106" s="185">
        <f>VLOOKUP(A106,'2020_4-1-3_bearbeitet (2)'!$A$23:$R$529,18,FALSE)*100</f>
        <v>5.8994197292069632</v>
      </c>
      <c r="X106" s="185">
        <f>VLOOKUP(A106,'2020_4-1-3_bearbeitet (2)'!$A$23:$R$529,17,FALSE)*100</f>
        <v>19.078947368421055</v>
      </c>
    </row>
    <row r="107" spans="1:24" ht="8.25" customHeight="1" x14ac:dyDescent="0.25">
      <c r="A107" s="45">
        <v>404</v>
      </c>
      <c r="B107" s="3" t="s">
        <v>48</v>
      </c>
      <c r="C107" s="26">
        <v>3.9707419017763845</v>
      </c>
      <c r="D107" s="26">
        <v>16.513761467889911</v>
      </c>
      <c r="E107" s="26">
        <v>4.0143369175627237</v>
      </c>
      <c r="F107" s="26">
        <v>17.391304347826086</v>
      </c>
      <c r="G107" s="26">
        <v>4.5745204131824888</v>
      </c>
      <c r="H107" s="26">
        <v>15.384615384615385</v>
      </c>
      <c r="I107" s="32">
        <v>4.0342914775592531</v>
      </c>
      <c r="J107" s="32">
        <v>13.740458015267176</v>
      </c>
      <c r="K107" s="31">
        <v>3.6381043561512687</v>
      </c>
      <c r="L107" s="31">
        <v>10.734463276836157</v>
      </c>
      <c r="M107" s="32">
        <v>5.6564608199273483</v>
      </c>
      <c r="N107" s="32">
        <v>16.8</v>
      </c>
      <c r="O107" s="32">
        <v>4.2926829268292686</v>
      </c>
      <c r="P107" s="32">
        <v>13.529411764705882</v>
      </c>
      <c r="Q107" s="32">
        <v>4.056795131845842</v>
      </c>
      <c r="R107" s="32">
        <v>13.043478260869565</v>
      </c>
      <c r="S107" s="32">
        <v>3.3701948393891521</v>
      </c>
      <c r="T107" s="32">
        <v>20.437956204379564</v>
      </c>
      <c r="U107" s="172">
        <f>VLOOKUP(A107,'2019_B5_Berechnung'!$B$279:$M$330,12,FALSE)</f>
        <v>3.5468501852832186</v>
      </c>
      <c r="V107" s="172">
        <f>VLOOKUP(A107,'2019_B5_Berechnung'!$B$279:$M$330,11,FALSE)</f>
        <v>19.834710743801654</v>
      </c>
      <c r="W107" s="185">
        <f>VLOOKUP(A107,'2020_4-1-3_bearbeitet (2)'!$A$23:$R$529,18,FALSE)*100</f>
        <v>4.8551292090837901</v>
      </c>
      <c r="X107" s="185">
        <f>VLOOKUP(A107,'2020_4-1-3_bearbeitet (2)'!$A$23:$R$529,17,FALSE)*100</f>
        <v>18.274111675126903</v>
      </c>
    </row>
    <row r="108" spans="1:24" ht="8.25" customHeight="1" x14ac:dyDescent="0.25">
      <c r="A108" s="45">
        <v>405</v>
      </c>
      <c r="B108" s="3" t="s">
        <v>49</v>
      </c>
      <c r="C108" s="26">
        <v>8.0402010050251249</v>
      </c>
      <c r="D108" s="26">
        <v>27.027027027027028</v>
      </c>
      <c r="E108" s="26">
        <v>2.5</v>
      </c>
      <c r="F108" s="26">
        <v>13.559322033898304</v>
      </c>
      <c r="G108" s="26">
        <v>3.8461538461538463</v>
      </c>
      <c r="H108" s="26">
        <v>32.432432432432435</v>
      </c>
      <c r="I108" s="32">
        <v>4.8284625158830998</v>
      </c>
      <c r="J108" s="32">
        <v>22.5</v>
      </c>
      <c r="K108" s="31">
        <v>3.5326086956521738</v>
      </c>
      <c r="L108" s="31">
        <v>17.241379310344829</v>
      </c>
      <c r="M108" s="32">
        <v>3.5919540229885056</v>
      </c>
      <c r="N108" s="32">
        <v>4.1666666666666661</v>
      </c>
      <c r="O108" s="32" t="s">
        <v>84</v>
      </c>
      <c r="P108" s="32" t="s">
        <v>84</v>
      </c>
      <c r="Q108" s="32">
        <v>3.8051750380517504</v>
      </c>
      <c r="R108" s="32">
        <v>5.7971014492753623</v>
      </c>
      <c r="S108" s="32">
        <v>5.774647887323944</v>
      </c>
      <c r="T108" s="32">
        <v>7.8947368421052628</v>
      </c>
      <c r="U108" s="172">
        <f>VLOOKUP(A108,'2019_B5_Berechnung'!$B$279:$M$330,12,FALSE)</f>
        <v>5.8407079646017701</v>
      </c>
      <c r="V108" s="172">
        <f>VLOOKUP(A108,'2019_B5_Berechnung'!$B$279:$M$330,11,FALSE)</f>
        <v>27.941176470588236</v>
      </c>
      <c r="W108" s="185">
        <f>VLOOKUP(A108,'2020_4-1-3_bearbeitet (2)'!$A$23:$R$529,18,FALSE)*100</f>
        <v>6.3291139240506329</v>
      </c>
      <c r="X108" s="185">
        <f>VLOOKUP(A108,'2020_4-1-3_bearbeitet (2)'!$A$23:$R$529,17,FALSE)*100</f>
        <v>17.391304347826086</v>
      </c>
    </row>
    <row r="109" spans="1:24" ht="8.25" customHeight="1" x14ac:dyDescent="0.25">
      <c r="A109" s="45">
        <v>451</v>
      </c>
      <c r="B109" s="3" t="s">
        <v>50</v>
      </c>
      <c r="C109" s="26">
        <v>9.0347490347490336</v>
      </c>
      <c r="D109" s="26">
        <v>30.612244897959183</v>
      </c>
      <c r="E109" s="26">
        <v>3.1377899045020468</v>
      </c>
      <c r="F109" s="26">
        <v>37.5</v>
      </c>
      <c r="G109" s="26">
        <v>3.2738095238095242</v>
      </c>
      <c r="H109" s="26">
        <v>10</v>
      </c>
      <c r="I109" s="32">
        <v>2.6455026455026456</v>
      </c>
      <c r="J109" s="32">
        <v>3.5714285714285712</v>
      </c>
      <c r="K109" s="31">
        <v>3.3507073715562177</v>
      </c>
      <c r="L109" s="31">
        <v>5.3571428571428568</v>
      </c>
      <c r="M109" s="32">
        <v>3.9463886820551006</v>
      </c>
      <c r="N109" s="32">
        <v>6.25</v>
      </c>
      <c r="O109" s="32">
        <v>3.5686578743211794</v>
      </c>
      <c r="P109" s="32">
        <v>15.384615384615385</v>
      </c>
      <c r="Q109" s="32">
        <v>5.1571313456889607</v>
      </c>
      <c r="R109" s="32">
        <v>15.909090909090908</v>
      </c>
      <c r="S109" s="32">
        <v>3.2203389830508473</v>
      </c>
      <c r="T109" s="32">
        <v>3.0769230769230771</v>
      </c>
      <c r="U109" s="172">
        <f>VLOOKUP(A109,'2019_B5_Berechnung'!$B$279:$M$330,12,FALSE)</f>
        <v>7.4373484236054974</v>
      </c>
      <c r="V109" s="172">
        <f>VLOOKUP(A109,'2019_B5_Berechnung'!$B$279:$M$330,11,FALSE)</f>
        <v>4.0540540540540544</v>
      </c>
      <c r="W109" s="185">
        <f>VLOOKUP(A109,'2020_4-1-3_bearbeitet (2)'!$A$23:$R$529,18,FALSE)*100</f>
        <v>0</v>
      </c>
      <c r="X109" s="185">
        <f>VLOOKUP(A109,'2020_4-1-3_bearbeitet (2)'!$A$23:$R$529,17,FALSE)*100</f>
        <v>0</v>
      </c>
    </row>
    <row r="110" spans="1:24" ht="8.25" customHeight="1" x14ac:dyDescent="0.25">
      <c r="A110" s="45">
        <v>452</v>
      </c>
      <c r="B110" s="3" t="s">
        <v>51</v>
      </c>
      <c r="C110" s="26">
        <v>11.683417085427136</v>
      </c>
      <c r="D110" s="26">
        <v>30</v>
      </c>
      <c r="E110" s="26">
        <v>5.9904153354632586</v>
      </c>
      <c r="F110" s="26">
        <v>35.714285714285715</v>
      </c>
      <c r="G110" s="26">
        <v>8.1818181818181817</v>
      </c>
      <c r="H110" s="26">
        <v>37.974683544303801</v>
      </c>
      <c r="I110" s="32">
        <v>7.7856843867727079</v>
      </c>
      <c r="J110" s="32">
        <v>29.787234042553191</v>
      </c>
      <c r="K110" s="31">
        <v>8.0812445980985306</v>
      </c>
      <c r="L110" s="31">
        <v>20.833333333333336</v>
      </c>
      <c r="M110" s="32">
        <v>6.8253255500673555</v>
      </c>
      <c r="N110" s="32">
        <v>13.461538461538462</v>
      </c>
      <c r="O110" s="32">
        <v>7.6199435559736601</v>
      </c>
      <c r="P110" s="32">
        <v>24.390243902439025</v>
      </c>
      <c r="Q110" s="32">
        <v>7.6064908722109541</v>
      </c>
      <c r="R110" s="32">
        <v>26.415094339622641</v>
      </c>
      <c r="S110" s="32">
        <v>8.6054950751684824</v>
      </c>
      <c r="T110" s="32">
        <v>21.686746987951807</v>
      </c>
      <c r="U110" s="172">
        <f>VLOOKUP(A110,'2019_B5_Berechnung'!$B$279:$M$330,12,FALSE)</f>
        <v>8.2133333333333329</v>
      </c>
      <c r="V110" s="172">
        <f>VLOOKUP(A110,'2019_B5_Berechnung'!$B$279:$M$330,11,FALSE)</f>
        <v>23.076923076923077</v>
      </c>
      <c r="W110" s="185">
        <f>VLOOKUP(A110,'2020_4-1-3_bearbeitet (2)'!$A$23:$R$529,18,FALSE)*100</f>
        <v>9.4062708472314878</v>
      </c>
      <c r="X110" s="185">
        <f>VLOOKUP(A110,'2020_4-1-3_bearbeitet (2)'!$A$23:$R$529,17,FALSE)*100</f>
        <v>22.222222222222221</v>
      </c>
    </row>
    <row r="111" spans="1:24" ht="8.25" customHeight="1" x14ac:dyDescent="0.25">
      <c r="A111" s="45">
        <v>453</v>
      </c>
      <c r="B111" s="3" t="s">
        <v>52</v>
      </c>
      <c r="C111" s="26">
        <v>8.4983099951714145</v>
      </c>
      <c r="D111" s="26">
        <v>36.363636363636367</v>
      </c>
      <c r="E111" s="26">
        <v>4.8739495798319332</v>
      </c>
      <c r="F111" s="26">
        <v>20.588235294117645</v>
      </c>
      <c r="G111" s="26">
        <v>5.620723362658846</v>
      </c>
      <c r="H111" s="26">
        <v>22.058823529411764</v>
      </c>
      <c r="I111" s="32">
        <v>4.4360547428032087</v>
      </c>
      <c r="J111" s="32">
        <v>15.151515151515152</v>
      </c>
      <c r="K111" s="31">
        <v>3.7445991358617379</v>
      </c>
      <c r="L111" s="31">
        <v>17.391304347826086</v>
      </c>
      <c r="M111" s="32">
        <v>3.8593063019052272</v>
      </c>
      <c r="N111" s="32">
        <v>10.606060606060606</v>
      </c>
      <c r="O111" s="32">
        <v>3.6290322580645165</v>
      </c>
      <c r="P111" s="32">
        <v>18.666666666666668</v>
      </c>
      <c r="Q111" s="32">
        <v>5</v>
      </c>
      <c r="R111" s="32">
        <v>30.927835051546392</v>
      </c>
      <c r="S111" s="32">
        <v>4.6858908341915546</v>
      </c>
      <c r="T111" s="32">
        <v>29.702970297029701</v>
      </c>
      <c r="U111" s="172">
        <f>VLOOKUP(A111,'2019_B5_Berechnung'!$B$279:$M$330,12,FALSE)</f>
        <v>7.5038284839203673</v>
      </c>
      <c r="V111" s="172">
        <f>VLOOKUP(A111,'2019_B5_Berechnung'!$B$279:$M$330,11,FALSE)</f>
        <v>34.857142857142861</v>
      </c>
      <c r="W111" s="185">
        <f>VLOOKUP(A111,'2020_4-1-3_bearbeitet (2)'!$A$23:$R$529,18,FALSE)*100</f>
        <v>6.8681318681318686</v>
      </c>
      <c r="X111" s="185">
        <f>VLOOKUP(A111,'2020_4-1-3_bearbeitet (2)'!$A$23:$R$529,17,FALSE)*100</f>
        <v>28.368794326241137</v>
      </c>
    </row>
    <row r="112" spans="1:24" ht="8.25" customHeight="1" x14ac:dyDescent="0.25">
      <c r="A112" s="45">
        <v>454</v>
      </c>
      <c r="B112" s="3" t="s">
        <v>53</v>
      </c>
      <c r="C112" s="26">
        <v>7.3468447719944718</v>
      </c>
      <c r="D112" s="26">
        <v>37.623762376237622</v>
      </c>
      <c r="E112" s="26">
        <v>2.6934587430525863</v>
      </c>
      <c r="F112" s="26">
        <v>16.101694915254235</v>
      </c>
      <c r="G112" s="26">
        <v>4.3317485472794504</v>
      </c>
      <c r="H112" s="26">
        <v>19.540229885057471</v>
      </c>
      <c r="I112" s="32">
        <v>4.2213642213642206</v>
      </c>
      <c r="J112" s="32">
        <v>22.916666666666664</v>
      </c>
      <c r="K112" s="31">
        <v>4.784313725490196</v>
      </c>
      <c r="L112" s="31">
        <v>20.325203252032519</v>
      </c>
      <c r="M112" s="32">
        <v>4.7516198704103676</v>
      </c>
      <c r="N112" s="32">
        <v>23.972602739726025</v>
      </c>
      <c r="O112" s="32">
        <v>5.588714053174173</v>
      </c>
      <c r="P112" s="32">
        <v>37.569060773480665</v>
      </c>
      <c r="Q112" s="32">
        <v>5.3396701146211907</v>
      </c>
      <c r="R112" s="32">
        <v>42.410714285714285</v>
      </c>
      <c r="S112" s="32">
        <v>4.2420646692376147</v>
      </c>
      <c r="T112" s="32">
        <v>36.752136752136757</v>
      </c>
      <c r="U112" s="172">
        <f>VLOOKUP(A112,'2019_B5_Berechnung'!$B$279:$M$330,12,FALSE)</f>
        <v>5.8577405857740583</v>
      </c>
      <c r="V112" s="172">
        <f>VLOOKUP(A112,'2019_B5_Berechnung'!$B$279:$M$330,11,FALSE)</f>
        <v>36.213991769547327</v>
      </c>
      <c r="W112" s="185">
        <f>VLOOKUP(A112,'2020_4-1-3_bearbeitet (2)'!$A$23:$R$529,18,FALSE)*100</f>
        <v>6.6262626262626263</v>
      </c>
      <c r="X112" s="185">
        <f>VLOOKUP(A112,'2020_4-1-3_bearbeitet (2)'!$A$23:$R$529,17,FALSE)*100</f>
        <v>28.571428571428569</v>
      </c>
    </row>
    <row r="113" spans="1:24" ht="8.25" customHeight="1" x14ac:dyDescent="0.25">
      <c r="A113" s="45">
        <v>455</v>
      </c>
      <c r="B113" s="3" t="s">
        <v>54</v>
      </c>
      <c r="C113" s="26">
        <v>10.269192422731804</v>
      </c>
      <c r="D113" s="26">
        <v>32.352941176470587</v>
      </c>
      <c r="E113" s="26">
        <v>2.6119402985074625</v>
      </c>
      <c r="F113" s="26">
        <v>12.195121951219512</v>
      </c>
      <c r="G113" s="26">
        <v>5.6807051909892259</v>
      </c>
      <c r="H113" s="26">
        <v>6.25</v>
      </c>
      <c r="I113" s="32">
        <v>3.2755298651252409</v>
      </c>
      <c r="J113" s="32">
        <v>12.5</v>
      </c>
      <c r="K113" s="31">
        <v>3.5381750465549344</v>
      </c>
      <c r="L113" s="31">
        <v>2.3809523809523809</v>
      </c>
      <c r="M113" s="32">
        <v>3.730569948186528</v>
      </c>
      <c r="N113" s="32">
        <v>23.255813953488371</v>
      </c>
      <c r="O113" s="32">
        <v>3.9634146341463414</v>
      </c>
      <c r="P113" s="32">
        <v>11.111111111111111</v>
      </c>
      <c r="Q113" s="32">
        <v>6.5375302663438255</v>
      </c>
      <c r="R113" s="32">
        <v>57.446808510638306</v>
      </c>
      <c r="S113" s="32">
        <v>9.4438614900314803</v>
      </c>
      <c r="T113" s="32">
        <v>25.641025641025639</v>
      </c>
      <c r="U113" s="172">
        <f>VLOOKUP(A113,'2019_B5_Berechnung'!$B$279:$M$330,12,FALSE)</f>
        <v>7.7658303464755081</v>
      </c>
      <c r="V113" s="172">
        <f>VLOOKUP(A113,'2019_B5_Berechnung'!$B$279:$M$330,11,FALSE)</f>
        <v>25</v>
      </c>
      <c r="W113" s="185">
        <f>VLOOKUP(A113,'2020_4-1-3_bearbeitet (2)'!$A$23:$R$529,18,FALSE)*100</f>
        <v>4.2168674698795181</v>
      </c>
      <c r="X113" s="185">
        <f>VLOOKUP(A113,'2020_4-1-3_bearbeitet (2)'!$A$23:$R$529,17,FALSE)*100</f>
        <v>29.411764705882355</v>
      </c>
    </row>
    <row r="114" spans="1:24" ht="8.25" customHeight="1" x14ac:dyDescent="0.25">
      <c r="A114" s="45">
        <v>456</v>
      </c>
      <c r="B114" s="3" t="s">
        <v>55</v>
      </c>
      <c r="C114" s="26">
        <v>10.291262135922331</v>
      </c>
      <c r="D114" s="26">
        <v>27.450980392156865</v>
      </c>
      <c r="E114" s="26">
        <v>4.0553907022749751</v>
      </c>
      <c r="F114" s="26">
        <v>16.8</v>
      </c>
      <c r="G114" s="26">
        <v>5.828421741977734</v>
      </c>
      <c r="H114" s="26">
        <v>28.787878787878789</v>
      </c>
      <c r="I114" s="32">
        <v>5.552089831565814</v>
      </c>
      <c r="J114" s="32">
        <v>27.450980392156865</v>
      </c>
      <c r="K114" s="31">
        <v>4.539295392953929</v>
      </c>
      <c r="L114" s="31">
        <v>20.183486238532112</v>
      </c>
      <c r="M114" s="32">
        <v>6.2371487320082251</v>
      </c>
      <c r="N114" s="32">
        <v>20.52980132450331</v>
      </c>
      <c r="O114" s="32">
        <v>5.0858652575957732</v>
      </c>
      <c r="P114" s="32">
        <v>14.814814814814813</v>
      </c>
      <c r="Q114" s="32">
        <v>4.8920863309352516</v>
      </c>
      <c r="R114" s="32">
        <v>16.793893129770993</v>
      </c>
      <c r="S114" s="32">
        <v>5.0179211469534053</v>
      </c>
      <c r="T114" s="32">
        <v>15.714285714285714</v>
      </c>
      <c r="U114" s="172">
        <f>VLOOKUP(A114,'2019_B5_Berechnung'!$B$279:$M$330,12,FALSE)</f>
        <v>5.3019145802650955</v>
      </c>
      <c r="V114" s="172">
        <f>VLOOKUP(A114,'2019_B5_Berechnung'!$B$279:$M$330,11,FALSE)</f>
        <v>18.539325842696631</v>
      </c>
      <c r="W114" s="185">
        <f>VLOOKUP(A114,'2020_4-1-3_bearbeitet (2)'!$A$23:$R$529,18,FALSE)*100</f>
        <v>8.682634730538922</v>
      </c>
      <c r="X114" s="185">
        <f>VLOOKUP(A114,'2020_4-1-3_bearbeitet (2)'!$A$23:$R$529,17,FALSE)*100</f>
        <v>20.472440944881889</v>
      </c>
    </row>
    <row r="115" spans="1:24" ht="8.25" customHeight="1" x14ac:dyDescent="0.25">
      <c r="A115" s="45">
        <v>457</v>
      </c>
      <c r="B115" s="3" t="s">
        <v>56</v>
      </c>
      <c r="C115" s="26">
        <v>9.8613251155624049</v>
      </c>
      <c r="D115" s="26">
        <v>34.848484848484851</v>
      </c>
      <c r="E115" s="26">
        <v>7.5335397316821471</v>
      </c>
      <c r="F115" s="26">
        <v>34.782608695652172</v>
      </c>
      <c r="G115" s="26">
        <v>8.5861476817401261</v>
      </c>
      <c r="H115" s="26">
        <v>29.230769230769234</v>
      </c>
      <c r="I115" s="32">
        <v>7.2747621712367092</v>
      </c>
      <c r="J115" s="32">
        <v>12.048192771084338</v>
      </c>
      <c r="K115" s="31">
        <v>6.4935064935064926</v>
      </c>
      <c r="L115" s="31">
        <v>15.584415584415584</v>
      </c>
      <c r="M115" s="32">
        <v>7.8902229845626071</v>
      </c>
      <c r="N115" s="32">
        <v>17.525773195876287</v>
      </c>
      <c r="O115" s="32">
        <v>7.625649913344887</v>
      </c>
      <c r="P115" s="32">
        <v>27.27272727272727</v>
      </c>
      <c r="Q115" s="32">
        <v>8.0952380952380949</v>
      </c>
      <c r="R115" s="32">
        <v>27.884615384615387</v>
      </c>
      <c r="S115" s="32">
        <v>4.9741602067183459</v>
      </c>
      <c r="T115" s="32">
        <v>33.695652173913047</v>
      </c>
      <c r="U115" s="172">
        <f>VLOOKUP(A115,'2019_B5_Berechnung'!$B$279:$M$330,12,FALSE)</f>
        <v>6.102117061021171</v>
      </c>
      <c r="V115" s="172">
        <f>VLOOKUP(A115,'2019_B5_Berechnung'!$B$279:$M$330,11,FALSE)</f>
        <v>28.8135593220339</v>
      </c>
      <c r="W115" s="185">
        <f>VLOOKUP(A115,'2020_4-1-3_bearbeitet (2)'!$A$23:$R$529,18,FALSE)*100</f>
        <v>7.3469387755102051</v>
      </c>
      <c r="X115" s="185">
        <f>VLOOKUP(A115,'2020_4-1-3_bearbeitet (2)'!$A$23:$R$529,17,FALSE)*100</f>
        <v>29.523809523809526</v>
      </c>
    </row>
    <row r="116" spans="1:24" ht="8.25" customHeight="1" x14ac:dyDescent="0.25">
      <c r="A116" s="45">
        <v>458</v>
      </c>
      <c r="B116" s="3" t="s">
        <v>57</v>
      </c>
      <c r="C116" s="26">
        <v>6.30048465266559</v>
      </c>
      <c r="D116" s="26">
        <v>27.777777777777779</v>
      </c>
      <c r="E116" s="26">
        <v>4.281345565749235</v>
      </c>
      <c r="F116" s="26">
        <v>20</v>
      </c>
      <c r="G116" s="26">
        <v>5.064308681672026</v>
      </c>
      <c r="H116" s="26">
        <v>10.810810810810811</v>
      </c>
      <c r="I116" s="32">
        <v>3.7833190025795354</v>
      </c>
      <c r="J116" s="32">
        <v>19.444444444444446</v>
      </c>
      <c r="K116" s="31">
        <v>4.365400161681487</v>
      </c>
      <c r="L116" s="31">
        <v>10</v>
      </c>
      <c r="M116" s="32">
        <v>3.5714285714285712</v>
      </c>
      <c r="N116" s="32">
        <v>11.428571428571429</v>
      </c>
      <c r="O116" s="32">
        <v>4.934464148033924</v>
      </c>
      <c r="P116" s="32">
        <v>14.492753623188406</v>
      </c>
      <c r="Q116" s="32">
        <v>4.8264182895850976</v>
      </c>
      <c r="R116" s="32">
        <v>44.565217391304344</v>
      </c>
      <c r="S116" s="32">
        <v>4.1085271317829459</v>
      </c>
      <c r="T116" s="32">
        <v>25</v>
      </c>
      <c r="U116" s="172">
        <f>VLOOKUP(A116,'2019_B5_Berechnung'!$B$279:$M$330,12,FALSE)</f>
        <v>4.0350877192982457</v>
      </c>
      <c r="V116" s="172">
        <f>VLOOKUP(A116,'2019_B5_Berechnung'!$B$279:$M$330,11,FALSE)</f>
        <v>14.85148514851485</v>
      </c>
      <c r="W116" s="185">
        <f>VLOOKUP(A116,'2020_4-1-3_bearbeitet (2)'!$A$23:$R$529,18,FALSE)*100</f>
        <v>5.5242390078917705</v>
      </c>
      <c r="X116" s="185">
        <f>VLOOKUP(A116,'2020_4-1-3_bearbeitet (2)'!$A$23:$R$529,17,FALSE)*100</f>
        <v>20.930232558139537</v>
      </c>
    </row>
    <row r="117" spans="1:24" ht="8.25" customHeight="1" x14ac:dyDescent="0.25">
      <c r="A117" s="45">
        <v>459</v>
      </c>
      <c r="B117" s="3" t="s">
        <v>58</v>
      </c>
      <c r="C117" s="26">
        <v>7.1447265113844542</v>
      </c>
      <c r="D117" s="26">
        <v>27.983539094650205</v>
      </c>
      <c r="E117" s="26">
        <v>3.6863966770508827</v>
      </c>
      <c r="F117" s="26">
        <v>21.761658031088082</v>
      </c>
      <c r="G117" s="26">
        <v>5.3044002411091018</v>
      </c>
      <c r="H117" s="26">
        <v>17.964071856287426</v>
      </c>
      <c r="I117" s="32">
        <v>3.1760435571687839</v>
      </c>
      <c r="J117" s="32">
        <v>23.75</v>
      </c>
      <c r="K117" s="31">
        <v>4.3229315774405954</v>
      </c>
      <c r="L117" s="31">
        <v>16.86046511627907</v>
      </c>
      <c r="M117" s="32">
        <v>4.6783625730994149</v>
      </c>
      <c r="N117" s="32">
        <v>23.636363636363637</v>
      </c>
      <c r="O117" s="32">
        <v>4.231625835189309</v>
      </c>
      <c r="P117" s="32">
        <v>18.784530386740332</v>
      </c>
      <c r="Q117" s="32">
        <v>5.048231511254019</v>
      </c>
      <c r="R117" s="32">
        <v>35.204081632653065</v>
      </c>
      <c r="S117" s="32">
        <v>4.6437659033078882</v>
      </c>
      <c r="T117" s="32">
        <v>31.578947368421051</v>
      </c>
      <c r="U117" s="172">
        <f>VLOOKUP(A117,'2019_B5_Berechnung'!$B$279:$M$330,12,FALSE)</f>
        <v>5.0217609641781049</v>
      </c>
      <c r="V117" s="172">
        <f>VLOOKUP(A117,'2019_B5_Berechnung'!$B$279:$M$330,11,FALSE)</f>
        <v>26.288659793814436</v>
      </c>
      <c r="W117" s="185">
        <f>VLOOKUP(A117,'2020_4-1-3_bearbeitet (2)'!$A$23:$R$529,18,FALSE)*100</f>
        <v>5.1754385964912286</v>
      </c>
      <c r="X117" s="185">
        <f>VLOOKUP(A117,'2020_4-1-3_bearbeitet (2)'!$A$23:$R$529,17,FALSE)*100</f>
        <v>29.613733905579398</v>
      </c>
    </row>
    <row r="118" spans="1:24" ht="8.25" customHeight="1" x14ac:dyDescent="0.25">
      <c r="A118" s="45">
        <v>460</v>
      </c>
      <c r="B118" s="3" t="s">
        <v>59</v>
      </c>
      <c r="C118" s="26">
        <v>7.8626799557032108</v>
      </c>
      <c r="D118" s="26">
        <v>23.622047244094489</v>
      </c>
      <c r="E118" s="26">
        <v>3.8994800693240896</v>
      </c>
      <c r="F118" s="26">
        <v>20.437956204379564</v>
      </c>
      <c r="G118" s="26">
        <v>6.4673581452104942</v>
      </c>
      <c r="H118" s="26">
        <v>30.64516129032258</v>
      </c>
      <c r="I118" s="32">
        <v>3.2582938388625595</v>
      </c>
      <c r="J118" s="32">
        <v>27.368421052631582</v>
      </c>
      <c r="K118" s="31">
        <v>4.4273907910271548</v>
      </c>
      <c r="L118" s="31">
        <v>21.527777777777779</v>
      </c>
      <c r="M118" s="32">
        <v>5.3658536585365857</v>
      </c>
      <c r="N118" s="32">
        <v>19.672131147540984</v>
      </c>
      <c r="O118" s="32">
        <v>4.3380281690140849</v>
      </c>
      <c r="P118" s="32">
        <v>28.378378378378379</v>
      </c>
      <c r="Q118" s="32">
        <v>5.4004854368932032</v>
      </c>
      <c r="R118" s="32">
        <v>38.829787234042549</v>
      </c>
      <c r="S118" s="32">
        <v>5.4654654654654653</v>
      </c>
      <c r="T118" s="32">
        <v>37.714285714285715</v>
      </c>
      <c r="U118" s="172">
        <f>VLOOKUP(A118,'2019_B5_Berechnung'!$B$279:$M$330,12,FALSE)</f>
        <v>5.5764411027568919</v>
      </c>
      <c r="V118" s="172">
        <f>VLOOKUP(A118,'2019_B5_Berechnung'!$B$279:$M$330,11,FALSE)</f>
        <v>29.850746268656714</v>
      </c>
      <c r="W118" s="185">
        <f>VLOOKUP(A118,'2020_4-1-3_bearbeitet (2)'!$A$23:$R$529,18,FALSE)*100</f>
        <v>5.52536231884058</v>
      </c>
      <c r="X118" s="185">
        <f>VLOOKUP(A118,'2020_4-1-3_bearbeitet (2)'!$A$23:$R$529,17,FALSE)*100</f>
        <v>21.910112359550563</v>
      </c>
    </row>
    <row r="119" spans="1:24" ht="8.25" customHeight="1" x14ac:dyDescent="0.25">
      <c r="A119" s="45">
        <v>461</v>
      </c>
      <c r="B119" s="3" t="s">
        <v>60</v>
      </c>
      <c r="C119" s="26">
        <v>7.3327961321514907</v>
      </c>
      <c r="D119" s="26">
        <v>14.492753623188406</v>
      </c>
      <c r="E119" s="26">
        <v>1.8461538461538463</v>
      </c>
      <c r="F119" s="26">
        <v>14.893617021276595</v>
      </c>
      <c r="G119" s="26">
        <v>3.1164069660861595</v>
      </c>
      <c r="H119" s="26">
        <v>4.1666666666666661</v>
      </c>
      <c r="I119" s="32">
        <v>3.8</v>
      </c>
      <c r="J119" s="32">
        <v>8.8235294117647065</v>
      </c>
      <c r="K119" s="31">
        <v>4.213483146067416</v>
      </c>
      <c r="L119" s="31">
        <v>5.8823529411764701</v>
      </c>
      <c r="M119" s="32">
        <v>5</v>
      </c>
      <c r="N119" s="32">
        <v>16</v>
      </c>
      <c r="O119" s="32">
        <v>3.4188034188034191</v>
      </c>
      <c r="P119" s="32">
        <v>14.516129032258066</v>
      </c>
      <c r="Q119" s="32">
        <v>3.3000000000000003</v>
      </c>
      <c r="R119" s="32">
        <v>22.222222222222221</v>
      </c>
      <c r="S119" s="32">
        <v>4.1972717733473237</v>
      </c>
      <c r="T119" s="32">
        <v>23</v>
      </c>
      <c r="U119" s="172">
        <f>VLOOKUP(A119,'2019_B5_Berechnung'!$B$279:$M$330,12,FALSE)</f>
        <v>4.2105263157894735</v>
      </c>
      <c r="V119" s="172">
        <f>VLOOKUP(A119,'2019_B5_Berechnung'!$B$279:$M$330,11,FALSE)</f>
        <v>11.827956989247312</v>
      </c>
      <c r="W119" s="185">
        <f>VLOOKUP(A119,'2020_4-1-3_bearbeitet (2)'!$A$23:$R$529,18,FALSE)*100</f>
        <v>6.8535825545171329</v>
      </c>
      <c r="X119" s="185">
        <f>VLOOKUP(A119,'2020_4-1-3_bearbeitet (2)'!$A$23:$R$529,17,FALSE)*100</f>
        <v>12.643678160919542</v>
      </c>
    </row>
    <row r="120" spans="1:24" ht="8.25" customHeight="1" x14ac:dyDescent="0.25">
      <c r="A120" s="45">
        <v>462</v>
      </c>
      <c r="B120" s="3" t="s">
        <v>61</v>
      </c>
      <c r="C120" s="26">
        <v>9.7810218978102181</v>
      </c>
      <c r="D120" s="26">
        <v>25.925925925925924</v>
      </c>
      <c r="E120" s="26">
        <v>4.5023696682464456</v>
      </c>
      <c r="F120" s="26">
        <v>16.666666666666664</v>
      </c>
      <c r="G120" s="26">
        <v>4.2313117066290546</v>
      </c>
      <c r="H120" s="26">
        <v>13.333333333333334</v>
      </c>
      <c r="I120" s="32" t="s">
        <v>84</v>
      </c>
      <c r="J120" s="32" t="s">
        <v>84</v>
      </c>
      <c r="K120" s="31">
        <v>3.5087719298245612</v>
      </c>
      <c r="L120" s="31">
        <v>5.2631578947368416</v>
      </c>
      <c r="M120" s="32">
        <v>4.8920863309352516</v>
      </c>
      <c r="N120" s="32">
        <v>25</v>
      </c>
      <c r="O120" s="32">
        <v>5.2173913043478262</v>
      </c>
      <c r="P120" s="32">
        <v>4</v>
      </c>
      <c r="Q120" s="32">
        <v>5.6277056277056277</v>
      </c>
      <c r="R120" s="32">
        <v>11.538461538461538</v>
      </c>
      <c r="S120" s="32">
        <v>4.885496183206107</v>
      </c>
      <c r="T120" s="32">
        <v>3.3333333333333335</v>
      </c>
      <c r="U120" s="172">
        <f>VLOOKUP(A120,'2019_B5_Berechnung'!$B$279:$M$330,12,FALSE)</f>
        <v>4.134762633996937</v>
      </c>
      <c r="V120" s="172">
        <f>VLOOKUP(A120,'2019_B5_Berechnung'!$B$279:$M$330,11,FALSE)</f>
        <v>34.375</v>
      </c>
      <c r="W120" s="185">
        <f>VLOOKUP(A120,'2020_4-1-3_bearbeitet (2)'!$A$23:$R$529,18,FALSE)*100</f>
        <v>4.3568464730290453</v>
      </c>
      <c r="X120" s="185">
        <f>VLOOKUP(A120,'2020_4-1-3_bearbeitet (2)'!$A$23:$R$529,17,FALSE)*100</f>
        <v>23.076923076923077</v>
      </c>
    </row>
    <row r="121" spans="1:24" s="36" customFormat="1" ht="16.5" customHeight="1" x14ac:dyDescent="0.25">
      <c r="A121" s="46">
        <v>4</v>
      </c>
      <c r="B121" s="5" t="s">
        <v>62</v>
      </c>
      <c r="C121" s="33">
        <v>8.1880702710064011</v>
      </c>
      <c r="D121" s="33">
        <v>27.238095238095241</v>
      </c>
      <c r="E121" s="33">
        <v>4.0511727078891262</v>
      </c>
      <c r="F121" s="33">
        <v>19.21072226358898</v>
      </c>
      <c r="G121" s="33">
        <v>5.4042290812810565</v>
      </c>
      <c r="H121" s="33">
        <v>20.141620771046419</v>
      </c>
      <c r="I121" s="35">
        <v>4.7174553026495296</v>
      </c>
      <c r="J121" s="35">
        <v>18.459069020866771</v>
      </c>
      <c r="K121" s="34">
        <v>4.7691707178595504</v>
      </c>
      <c r="L121" s="34">
        <v>15.114613180515759</v>
      </c>
      <c r="M121" s="35">
        <v>5.2018202671205005</v>
      </c>
      <c r="N121" s="35">
        <v>18.217054263565892</v>
      </c>
      <c r="O121" s="35">
        <v>4.9699073219362697</v>
      </c>
      <c r="P121" s="35">
        <v>19.474393530997304</v>
      </c>
      <c r="Q121" s="35">
        <v>5.4161719079174171</v>
      </c>
      <c r="R121" s="35">
        <v>29.621125143513204</v>
      </c>
      <c r="S121" s="35">
        <v>5.0756657412114343</v>
      </c>
      <c r="T121" s="35">
        <v>26.315789473684209</v>
      </c>
      <c r="U121" s="190">
        <f>VLOOKUP(A121,'2019_B5_Berechnung'!$B$279:$M$330,12,FALSE)</f>
        <v>5.6634044601315576</v>
      </c>
      <c r="V121" s="190">
        <f>VLOOKUP(A121,'2019_B5_Berechnung'!$B$279:$M$330,11,FALSE)</f>
        <v>25.878003696857672</v>
      </c>
      <c r="W121" s="191">
        <f>VLOOKUP(A121,'2020_4-1-3_bearbeitet (2)'!$A$23:$R$529,18,FALSE)*100</f>
        <v>6.3813358336550667</v>
      </c>
      <c r="X121" s="191">
        <f>VLOOKUP(A121,'2020_4-1-3_bearbeitet (2)'!$A$23:$R$529,17,FALSE)*100</f>
        <v>23.814432989690719</v>
      </c>
    </row>
    <row r="122" spans="1:24" s="36" customFormat="1" ht="16.5" customHeight="1" x14ac:dyDescent="0.25">
      <c r="A122" s="46">
        <v>0</v>
      </c>
      <c r="B122" s="5" t="s">
        <v>63</v>
      </c>
      <c r="C122" s="33">
        <v>7.8690132785219618</v>
      </c>
      <c r="D122" s="33">
        <v>25.023357209592028</v>
      </c>
      <c r="E122" s="33">
        <v>3.8829849351862662</v>
      </c>
      <c r="F122" s="33">
        <v>15.670467951238695</v>
      </c>
      <c r="G122" s="33">
        <v>4.9570719030444339</v>
      </c>
      <c r="H122" s="33">
        <v>13.631880055237719</v>
      </c>
      <c r="I122" s="35">
        <v>4.5558002936857562</v>
      </c>
      <c r="J122" s="35">
        <v>13.691983122362869</v>
      </c>
      <c r="K122" s="34">
        <v>4.3789381136130512</v>
      </c>
      <c r="L122" s="34">
        <v>12.221810089020771</v>
      </c>
      <c r="M122" s="35">
        <v>4.4078783345799053</v>
      </c>
      <c r="N122" s="35">
        <v>14.419105764050997</v>
      </c>
      <c r="O122" s="35">
        <v>4.3498656118464423</v>
      </c>
      <c r="P122" s="35">
        <v>16.29096419776473</v>
      </c>
      <c r="Q122" s="35">
        <v>4.5882322271174951</v>
      </c>
      <c r="R122" s="35">
        <v>22.922134733158355</v>
      </c>
      <c r="S122" s="35">
        <v>4.8997594226142738</v>
      </c>
      <c r="T122" s="35">
        <v>22.853939782190906</v>
      </c>
      <c r="U122" s="190">
        <f>VLOOKUP(A122,'2019_B5_Berechnung'!$B$279:$M$330,12,FALSE)</f>
        <v>5.3085564475596669</v>
      </c>
      <c r="V122" s="190">
        <f>VLOOKUP(A122,'2019_B5_Berechnung'!$B$279:$M$330,11,FALSE)</f>
        <v>23.12738367658276</v>
      </c>
      <c r="W122" s="191">
        <f>VLOOKUP(A122,'2020_4-1-3_bearbeitet (2)'!$A$23:$R$529,18,FALSE)*100</f>
        <v>6.6102189781021892</v>
      </c>
      <c r="X122" s="191">
        <f>VLOOKUP(A122,'2020_4-1-3_bearbeitet (2)'!$A$23:$R$529,17,FALSE)*100</f>
        <v>20.461046609456503</v>
      </c>
    </row>
  </sheetData>
  <mergeCells count="30">
    <mergeCell ref="K67:L67"/>
    <mergeCell ref="M67:N67"/>
    <mergeCell ref="O67:P67"/>
    <mergeCell ref="Q67:R67"/>
    <mergeCell ref="S67:T67"/>
    <mergeCell ref="C66:X66"/>
    <mergeCell ref="Q5:R5"/>
    <mergeCell ref="S5:T5"/>
    <mergeCell ref="U5:V5"/>
    <mergeCell ref="I5:J5"/>
    <mergeCell ref="K5:L5"/>
    <mergeCell ref="M5:N5"/>
    <mergeCell ref="O5:P5"/>
    <mergeCell ref="W5:X5"/>
    <mergeCell ref="C4:X4"/>
    <mergeCell ref="A66:A69"/>
    <mergeCell ref="B66:B69"/>
    <mergeCell ref="C67:D67"/>
    <mergeCell ref="E67:F67"/>
    <mergeCell ref="G67:H67"/>
    <mergeCell ref="C69:X69"/>
    <mergeCell ref="U67:V67"/>
    <mergeCell ref="A4:A7"/>
    <mergeCell ref="B4:B7"/>
    <mergeCell ref="C5:D5"/>
    <mergeCell ref="E5:F5"/>
    <mergeCell ref="G5:H5"/>
    <mergeCell ref="C7:X7"/>
    <mergeCell ref="I67:J67"/>
    <mergeCell ref="W67:X67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FD155-6132-4631-96D1-DEFA38B296A0}">
  <sheetPr codeName="Tabelle18">
    <tabColor theme="7"/>
  </sheetPr>
  <dimension ref="A3:F3"/>
  <sheetViews>
    <sheetView workbookViewId="0"/>
  </sheetViews>
  <sheetFormatPr baseColWidth="10" defaultRowHeight="15" x14ac:dyDescent="0.25"/>
  <sheetData>
    <row r="3" spans="1:6" x14ac:dyDescent="0.25">
      <c r="A3">
        <v>2015</v>
      </c>
      <c r="B3">
        <v>2016</v>
      </c>
      <c r="C3">
        <v>2017</v>
      </c>
      <c r="D3">
        <v>2018</v>
      </c>
      <c r="E3">
        <v>2019</v>
      </c>
      <c r="F3">
        <v>2020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01144-2B65-4F1B-BDE2-C94C7BFA0866}">
  <sheetPr codeName="Tabelle16">
    <tabColor theme="7"/>
  </sheetPr>
  <dimension ref="A1:F1144"/>
  <sheetViews>
    <sheetView workbookViewId="0"/>
  </sheetViews>
  <sheetFormatPr baseColWidth="10" defaultRowHeight="15" x14ac:dyDescent="0.25"/>
  <cols>
    <col min="2" max="2" width="17.85546875" customWidth="1"/>
    <col min="3" max="3" width="28.85546875" bestFit="1" customWidth="1"/>
  </cols>
  <sheetData>
    <row r="1" spans="1:6" x14ac:dyDescent="0.25">
      <c r="A1" t="s">
        <v>168</v>
      </c>
      <c r="B1" t="s">
        <v>233</v>
      </c>
      <c r="C1" t="s">
        <v>234</v>
      </c>
      <c r="D1" t="s">
        <v>235</v>
      </c>
      <c r="E1" t="s">
        <v>236</v>
      </c>
      <c r="F1" t="s">
        <v>237</v>
      </c>
    </row>
    <row r="2" spans="1:6" x14ac:dyDescent="0.25">
      <c r="A2">
        <f>'2020_B5'!A9</f>
        <v>101</v>
      </c>
      <c r="B2">
        <f>'2020_B5'!$C$5</f>
        <v>2005</v>
      </c>
      <c r="C2" t="str">
        <f>'2020_B5'!$C$6</f>
        <v>Deutsche</v>
      </c>
      <c r="D2" t="s">
        <v>4</v>
      </c>
      <c r="E2" t="str">
        <f>VLOOKUP(A2,[1]Kreise!$A$1:$C$53,3,FALSE)</f>
        <v>K03101</v>
      </c>
      <c r="F2">
        <f>'2020_B5'!C9</f>
        <v>202</v>
      </c>
    </row>
    <row r="3" spans="1:6" x14ac:dyDescent="0.25">
      <c r="A3">
        <f>'2020_B5'!A10</f>
        <v>102</v>
      </c>
      <c r="B3">
        <f>'2020_B5'!$C$5</f>
        <v>2005</v>
      </c>
      <c r="C3" t="str">
        <f>'2020_B5'!$C$6</f>
        <v>Deutsche</v>
      </c>
      <c r="D3" t="s">
        <v>4</v>
      </c>
      <c r="E3" t="str">
        <f>VLOOKUP(A3,[1]Kreise!$A$1:$C$53,3,FALSE)</f>
        <v>K03102</v>
      </c>
      <c r="F3">
        <f>'2020_B5'!C10</f>
        <v>61</v>
      </c>
    </row>
    <row r="4" spans="1:6" x14ac:dyDescent="0.25">
      <c r="A4">
        <f>'2020_B5'!A11</f>
        <v>103</v>
      </c>
      <c r="B4">
        <f>'2020_B5'!$C$5</f>
        <v>2005</v>
      </c>
      <c r="C4" t="str">
        <f>'2020_B5'!$C$6</f>
        <v>Deutsche</v>
      </c>
      <c r="D4" t="s">
        <v>4</v>
      </c>
      <c r="E4" t="str">
        <f>VLOOKUP(A4,[1]Kreise!$A$1:$C$53,3,FALSE)</f>
        <v>K03103</v>
      </c>
      <c r="F4">
        <f>'2020_B5'!C11</f>
        <v>87</v>
      </c>
    </row>
    <row r="5" spans="1:6" x14ac:dyDescent="0.25">
      <c r="A5">
        <f>'2020_B5'!A12</f>
        <v>151</v>
      </c>
      <c r="B5">
        <f>'2020_B5'!$C$5</f>
        <v>2005</v>
      </c>
      <c r="C5" t="str">
        <f>'2020_B5'!$C$6</f>
        <v>Deutsche</v>
      </c>
      <c r="D5" t="s">
        <v>4</v>
      </c>
      <c r="E5" t="str">
        <f>VLOOKUP(A5,[1]Kreise!$A$1:$C$53,3,FALSE)</f>
        <v>K03151</v>
      </c>
      <c r="F5">
        <f>'2020_B5'!C12</f>
        <v>116</v>
      </c>
    </row>
    <row r="6" spans="1:6" x14ac:dyDescent="0.25">
      <c r="A6">
        <f>'2020_B5'!A13</f>
        <v>153</v>
      </c>
      <c r="B6">
        <f>'2020_B5'!$C$5</f>
        <v>2005</v>
      </c>
      <c r="C6" t="str">
        <f>'2020_B5'!$C$6</f>
        <v>Deutsche</v>
      </c>
      <c r="D6" t="s">
        <v>4</v>
      </c>
      <c r="E6" t="str">
        <f>VLOOKUP(A6,[1]Kreise!$A$1:$C$53,3,FALSE)</f>
        <v>K03153</v>
      </c>
      <c r="F6">
        <f>'2020_B5'!C13</f>
        <v>158</v>
      </c>
    </row>
    <row r="7" spans="1:6" x14ac:dyDescent="0.25">
      <c r="A7">
        <f>'2020_B5'!A14</f>
        <v>154</v>
      </c>
      <c r="B7">
        <f>'2020_B5'!$C$5</f>
        <v>2005</v>
      </c>
      <c r="C7" t="str">
        <f>'2020_B5'!$C$6</f>
        <v>Deutsche</v>
      </c>
      <c r="D7" t="s">
        <v>4</v>
      </c>
      <c r="E7" t="str">
        <f>VLOOKUP(A7,[1]Kreise!$A$1:$C$53,3,FALSE)</f>
        <v>K03154</v>
      </c>
      <c r="F7">
        <f>'2020_B5'!C14</f>
        <v>73</v>
      </c>
    </row>
    <row r="8" spans="1:6" x14ac:dyDescent="0.25">
      <c r="A8">
        <f>'2020_B5'!A15</f>
        <v>155</v>
      </c>
      <c r="B8">
        <f>'2020_B5'!$C$5</f>
        <v>2005</v>
      </c>
      <c r="C8" t="str">
        <f>'2020_B5'!$C$6</f>
        <v>Deutsche</v>
      </c>
      <c r="D8" t="s">
        <v>4</v>
      </c>
      <c r="E8" t="str">
        <f>VLOOKUP(A8,[1]Kreise!$A$1:$C$53,3,FALSE)</f>
        <v>K03155</v>
      </c>
      <c r="F8">
        <f>'2020_B5'!C15</f>
        <v>136</v>
      </c>
    </row>
    <row r="9" spans="1:6" x14ac:dyDescent="0.25">
      <c r="A9">
        <f>'2020_B5'!A16</f>
        <v>157</v>
      </c>
      <c r="B9">
        <f>'2020_B5'!$C$5</f>
        <v>2005</v>
      </c>
      <c r="C9" t="str">
        <f>'2020_B5'!$C$6</f>
        <v>Deutsche</v>
      </c>
      <c r="D9" t="s">
        <v>4</v>
      </c>
      <c r="E9" t="str">
        <f>VLOOKUP(A9,[1]Kreise!$A$1:$C$53,3,FALSE)</f>
        <v>K03157</v>
      </c>
      <c r="F9">
        <f>'2020_B5'!C16</f>
        <v>111</v>
      </c>
    </row>
    <row r="10" spans="1:6" x14ac:dyDescent="0.25">
      <c r="A10">
        <f>'2020_B5'!A17</f>
        <v>158</v>
      </c>
      <c r="B10">
        <f>'2020_B5'!$C$5</f>
        <v>2005</v>
      </c>
      <c r="C10" t="str">
        <f>'2020_B5'!$C$6</f>
        <v>Deutsche</v>
      </c>
      <c r="D10" t="s">
        <v>4</v>
      </c>
      <c r="E10" t="str">
        <f>VLOOKUP(A10,[1]Kreise!$A$1:$C$53,3,FALSE)</f>
        <v>K03158</v>
      </c>
      <c r="F10">
        <f>'2020_B5'!C17</f>
        <v>70</v>
      </c>
    </row>
    <row r="11" spans="1:6" x14ac:dyDescent="0.25">
      <c r="A11">
        <f>'2020_B5'!A18</f>
        <v>159</v>
      </c>
      <c r="B11">
        <f>'2020_B5'!$C$5</f>
        <v>2005</v>
      </c>
      <c r="C11" t="str">
        <f>'2020_B5'!$C$6</f>
        <v>Deutsche</v>
      </c>
      <c r="D11" t="s">
        <v>4</v>
      </c>
      <c r="E11" t="str">
        <f>VLOOKUP(A11,[1]Kreise!$A$1:$C$53,3,FALSE)</f>
        <v>K03159</v>
      </c>
      <c r="F11">
        <f>'2020_B5'!C18</f>
        <v>283</v>
      </c>
    </row>
    <row r="12" spans="1:6" x14ac:dyDescent="0.25">
      <c r="A12">
        <f>'2020_B5'!A19</f>
        <v>1</v>
      </c>
      <c r="B12">
        <f>'2020_B5'!$C$5</f>
        <v>2005</v>
      </c>
      <c r="C12" t="str">
        <f>'2020_B5'!$C$6</f>
        <v>Deutsche</v>
      </c>
      <c r="D12" t="s">
        <v>4</v>
      </c>
      <c r="E12" t="str">
        <f>VLOOKUP(A12,[1]Kreise!$A$1:$C$53,3,FALSE)</f>
        <v>K031</v>
      </c>
      <c r="F12">
        <f>'2020_B5'!C19</f>
        <v>1297</v>
      </c>
    </row>
    <row r="13" spans="1:6" x14ac:dyDescent="0.25">
      <c r="A13">
        <f>'2020_B5'!A20</f>
        <v>241</v>
      </c>
      <c r="B13">
        <f>'2020_B5'!$C$5</f>
        <v>2005</v>
      </c>
      <c r="C13" t="str">
        <f>'2020_B5'!$C$6</f>
        <v>Deutsche</v>
      </c>
      <c r="D13" t="s">
        <v>4</v>
      </c>
      <c r="E13" t="str">
        <f>VLOOKUP(A13,[1]Kreise!$A$1:$C$53,3,FALSE)</f>
        <v>K03241</v>
      </c>
      <c r="F13">
        <f>'2020_B5'!C20</f>
        <v>674</v>
      </c>
    </row>
    <row r="14" spans="1:6" x14ac:dyDescent="0.25">
      <c r="A14">
        <f>'2020_B5'!A21</f>
        <v>241001</v>
      </c>
      <c r="B14">
        <f>'2020_B5'!$C$5</f>
        <v>2005</v>
      </c>
      <c r="C14" t="str">
        <f>'2020_B5'!$C$6</f>
        <v>Deutsche</v>
      </c>
      <c r="D14" t="s">
        <v>4</v>
      </c>
      <c r="E14" t="str">
        <f>VLOOKUP(A14,[1]Kreise!$A$1:$C$53,3,FALSE)</f>
        <v>K03241001</v>
      </c>
      <c r="F14">
        <f>'2020_B5'!C21</f>
        <v>297</v>
      </c>
    </row>
    <row r="15" spans="1:6" x14ac:dyDescent="0.25">
      <c r="A15">
        <f>'2020_B5'!A22</f>
        <v>241999</v>
      </c>
      <c r="B15">
        <f>'2020_B5'!$C$5</f>
        <v>2005</v>
      </c>
      <c r="C15" t="str">
        <f>'2020_B5'!$C$6</f>
        <v>Deutsche</v>
      </c>
      <c r="D15" t="s">
        <v>4</v>
      </c>
      <c r="E15" t="str">
        <f>VLOOKUP(A15,[1]Kreise!$A$1:$C$53,3,FALSE)</f>
        <v>K03241999</v>
      </c>
      <c r="F15">
        <f>'2020_B5'!C22</f>
        <v>377</v>
      </c>
    </row>
    <row r="16" spans="1:6" x14ac:dyDescent="0.25">
      <c r="A16">
        <f>'2020_B5'!A23</f>
        <v>251</v>
      </c>
      <c r="B16">
        <f>'2020_B5'!$C$5</f>
        <v>2005</v>
      </c>
      <c r="C16" t="str">
        <f>'2020_B5'!$C$6</f>
        <v>Deutsche</v>
      </c>
      <c r="D16" t="s">
        <v>4</v>
      </c>
      <c r="E16" t="str">
        <f>VLOOKUP(A16,[1]Kreise!$A$1:$C$53,3,FALSE)</f>
        <v>K03251</v>
      </c>
      <c r="F16">
        <f>'2020_B5'!C23</f>
        <v>128</v>
      </c>
    </row>
    <row r="17" spans="1:6" x14ac:dyDescent="0.25">
      <c r="A17">
        <f>'2020_B5'!A24</f>
        <v>252</v>
      </c>
      <c r="B17">
        <f>'2020_B5'!$C$5</f>
        <v>2005</v>
      </c>
      <c r="C17" t="str">
        <f>'2020_B5'!$C$6</f>
        <v>Deutsche</v>
      </c>
      <c r="D17" t="s">
        <v>4</v>
      </c>
      <c r="E17" t="str">
        <f>VLOOKUP(A17,[1]Kreise!$A$1:$C$53,3,FALSE)</f>
        <v>K03252</v>
      </c>
      <c r="F17">
        <f>'2020_B5'!C24</f>
        <v>151</v>
      </c>
    </row>
    <row r="18" spans="1:6" x14ac:dyDescent="0.25">
      <c r="A18">
        <f>'2020_B5'!A25</f>
        <v>254</v>
      </c>
      <c r="B18">
        <f>'2020_B5'!$C$5</f>
        <v>2005</v>
      </c>
      <c r="C18" t="str">
        <f>'2020_B5'!$C$6</f>
        <v>Deutsche</v>
      </c>
      <c r="D18" t="s">
        <v>4</v>
      </c>
      <c r="E18" t="str">
        <f>VLOOKUP(A18,[1]Kreise!$A$1:$C$53,3,FALSE)</f>
        <v>K03254</v>
      </c>
      <c r="F18">
        <f>'2020_B5'!C25</f>
        <v>244</v>
      </c>
    </row>
    <row r="19" spans="1:6" x14ac:dyDescent="0.25">
      <c r="A19">
        <f>'2020_B5'!A26</f>
        <v>255</v>
      </c>
      <c r="B19">
        <f>'2020_B5'!$C$5</f>
        <v>2005</v>
      </c>
      <c r="C19" t="str">
        <f>'2020_B5'!$C$6</f>
        <v>Deutsche</v>
      </c>
      <c r="D19" t="s">
        <v>4</v>
      </c>
      <c r="E19" t="str">
        <f>VLOOKUP(A19,[1]Kreise!$A$1:$C$53,3,FALSE)</f>
        <v>K03255</v>
      </c>
      <c r="F19">
        <f>'2020_B5'!C26</f>
        <v>55</v>
      </c>
    </row>
    <row r="20" spans="1:6" x14ac:dyDescent="0.25">
      <c r="A20">
        <f>'2020_B5'!A27</f>
        <v>256</v>
      </c>
      <c r="B20">
        <f>'2020_B5'!$C$5</f>
        <v>2005</v>
      </c>
      <c r="C20" t="str">
        <f>'2020_B5'!$C$6</f>
        <v>Deutsche</v>
      </c>
      <c r="D20" t="s">
        <v>4</v>
      </c>
      <c r="E20" t="str">
        <f>VLOOKUP(A20,[1]Kreise!$A$1:$C$53,3,FALSE)</f>
        <v>K03256</v>
      </c>
      <c r="F20">
        <f>'2020_B5'!C27</f>
        <v>102</v>
      </c>
    </row>
    <row r="21" spans="1:6" x14ac:dyDescent="0.25">
      <c r="A21">
        <f>'2020_B5'!A28</f>
        <v>257</v>
      </c>
      <c r="B21">
        <f>'2020_B5'!$C$5</f>
        <v>2005</v>
      </c>
      <c r="C21" t="str">
        <f>'2020_B5'!$C$6</f>
        <v>Deutsche</v>
      </c>
      <c r="D21" t="s">
        <v>4</v>
      </c>
      <c r="E21" t="str">
        <f>VLOOKUP(A21,[1]Kreise!$A$1:$C$53,3,FALSE)</f>
        <v>K03257</v>
      </c>
      <c r="F21">
        <f>'2020_B5'!C28</f>
        <v>141</v>
      </c>
    </row>
    <row r="22" spans="1:6" x14ac:dyDescent="0.25">
      <c r="A22">
        <f>'2020_B5'!A29</f>
        <v>2</v>
      </c>
      <c r="B22">
        <f>'2020_B5'!$C$5</f>
        <v>2005</v>
      </c>
      <c r="C22" t="str">
        <f>'2020_B5'!$C$6</f>
        <v>Deutsche</v>
      </c>
      <c r="D22" t="s">
        <v>4</v>
      </c>
      <c r="E22" t="str">
        <f>VLOOKUP(A22,[1]Kreise!$A$1:$C$53,3,FALSE)</f>
        <v>K032</v>
      </c>
      <c r="F22">
        <f>'2020_B5'!C29</f>
        <v>1495</v>
      </c>
    </row>
    <row r="23" spans="1:6" x14ac:dyDescent="0.25">
      <c r="A23">
        <f>'2020_B5'!A30</f>
        <v>351</v>
      </c>
      <c r="B23">
        <f>'2020_B5'!$C$5</f>
        <v>2005</v>
      </c>
      <c r="C23" t="str">
        <f>'2020_B5'!$C$6</f>
        <v>Deutsche</v>
      </c>
      <c r="D23" t="s">
        <v>4</v>
      </c>
      <c r="E23" t="str">
        <f>VLOOKUP(A23,[1]Kreise!$A$1:$C$53,3,FALSE)</f>
        <v>K03351</v>
      </c>
      <c r="F23">
        <f>'2020_B5'!C30</f>
        <v>181</v>
      </c>
    </row>
    <row r="24" spans="1:6" x14ac:dyDescent="0.25">
      <c r="A24">
        <f>'2020_B5'!A31</f>
        <v>352</v>
      </c>
      <c r="B24">
        <f>'2020_B5'!$C$5</f>
        <v>2005</v>
      </c>
      <c r="C24" t="str">
        <f>'2020_B5'!$C$6</f>
        <v>Deutsche</v>
      </c>
      <c r="D24" t="s">
        <v>4</v>
      </c>
      <c r="E24" t="str">
        <f>VLOOKUP(A24,[1]Kreise!$A$1:$C$53,3,FALSE)</f>
        <v>K03352</v>
      </c>
      <c r="F24">
        <f>'2020_B5'!C31</f>
        <v>180</v>
      </c>
    </row>
    <row r="25" spans="1:6" x14ac:dyDescent="0.25">
      <c r="A25">
        <f>'2020_B5'!A32</f>
        <v>353</v>
      </c>
      <c r="B25">
        <f>'2020_B5'!$C$5</f>
        <v>2005</v>
      </c>
      <c r="C25" t="str">
        <f>'2020_B5'!$C$6</f>
        <v>Deutsche</v>
      </c>
      <c r="D25" t="s">
        <v>4</v>
      </c>
      <c r="E25" t="str">
        <f>VLOOKUP(A25,[1]Kreise!$A$1:$C$53,3,FALSE)</f>
        <v>K03353</v>
      </c>
      <c r="F25">
        <f>'2020_B5'!C32</f>
        <v>159</v>
      </c>
    </row>
    <row r="26" spans="1:6" x14ac:dyDescent="0.25">
      <c r="A26">
        <f>'2020_B5'!A33</f>
        <v>354</v>
      </c>
      <c r="B26">
        <f>'2020_B5'!$C$5</f>
        <v>2005</v>
      </c>
      <c r="C26" t="str">
        <f>'2020_B5'!$C$6</f>
        <v>Deutsche</v>
      </c>
      <c r="D26" t="s">
        <v>4</v>
      </c>
      <c r="E26" t="str">
        <f>VLOOKUP(A26,[1]Kreise!$A$1:$C$53,3,FALSE)</f>
        <v>K03354</v>
      </c>
      <c r="F26">
        <f>'2020_B5'!C33</f>
        <v>63</v>
      </c>
    </row>
    <row r="27" spans="1:6" x14ac:dyDescent="0.25">
      <c r="A27">
        <f>'2020_B5'!A34</f>
        <v>355</v>
      </c>
      <c r="B27">
        <f>'2020_B5'!$C$5</f>
        <v>2005</v>
      </c>
      <c r="C27" t="str">
        <f>'2020_B5'!$C$6</f>
        <v>Deutsche</v>
      </c>
      <c r="D27" t="s">
        <v>4</v>
      </c>
      <c r="E27" t="str">
        <f>VLOOKUP(A27,[1]Kreise!$A$1:$C$53,3,FALSE)</f>
        <v>K03355</v>
      </c>
      <c r="F27">
        <f>'2020_B5'!C34</f>
        <v>105</v>
      </c>
    </row>
    <row r="28" spans="1:6" x14ac:dyDescent="0.25">
      <c r="A28">
        <f>'2020_B5'!A35</f>
        <v>356</v>
      </c>
      <c r="B28">
        <f>'2020_B5'!$C$5</f>
        <v>2005</v>
      </c>
      <c r="C28" t="str">
        <f>'2020_B5'!$C$6</f>
        <v>Deutsche</v>
      </c>
      <c r="D28" t="s">
        <v>4</v>
      </c>
      <c r="E28" t="str">
        <f>VLOOKUP(A28,[1]Kreise!$A$1:$C$53,3,FALSE)</f>
        <v>K03356</v>
      </c>
      <c r="F28">
        <f>'2020_B5'!C35</f>
        <v>63</v>
      </c>
    </row>
    <row r="29" spans="1:6" x14ac:dyDescent="0.25">
      <c r="A29">
        <f>'2020_B5'!A36</f>
        <v>357</v>
      </c>
      <c r="B29">
        <f>'2020_B5'!$C$5</f>
        <v>2005</v>
      </c>
      <c r="C29" t="str">
        <f>'2020_B5'!$C$6</f>
        <v>Deutsche</v>
      </c>
      <c r="D29" t="s">
        <v>4</v>
      </c>
      <c r="E29" t="str">
        <f>VLOOKUP(A29,[1]Kreise!$A$1:$C$53,3,FALSE)</f>
        <v>K03357</v>
      </c>
      <c r="F29">
        <f>'2020_B5'!C36</f>
        <v>218</v>
      </c>
    </row>
    <row r="30" spans="1:6" x14ac:dyDescent="0.25">
      <c r="A30">
        <f>'2020_B5'!A37</f>
        <v>358</v>
      </c>
      <c r="B30">
        <f>'2020_B5'!$C$5</f>
        <v>2005</v>
      </c>
      <c r="C30" t="str">
        <f>'2020_B5'!$C$6</f>
        <v>Deutsche</v>
      </c>
      <c r="D30" t="s">
        <v>4</v>
      </c>
      <c r="E30" t="str">
        <f>VLOOKUP(A30,[1]Kreise!$A$1:$C$53,3,FALSE)</f>
        <v>K03358</v>
      </c>
      <c r="F30">
        <f>'2020_B5'!C37</f>
        <v>143</v>
      </c>
    </row>
    <row r="31" spans="1:6" x14ac:dyDescent="0.25">
      <c r="A31">
        <f>'2020_B5'!A38</f>
        <v>359</v>
      </c>
      <c r="B31">
        <f>'2020_B5'!$C$5</f>
        <v>2005</v>
      </c>
      <c r="C31" t="str">
        <f>'2020_B5'!$C$6</f>
        <v>Deutsche</v>
      </c>
      <c r="D31" t="s">
        <v>4</v>
      </c>
      <c r="E31" t="str">
        <f>VLOOKUP(A31,[1]Kreise!$A$1:$C$53,3,FALSE)</f>
        <v>K03359</v>
      </c>
      <c r="F31">
        <f>'2020_B5'!C38</f>
        <v>193</v>
      </c>
    </row>
    <row r="32" spans="1:6" x14ac:dyDescent="0.25">
      <c r="A32">
        <f>'2020_B5'!A39</f>
        <v>360</v>
      </c>
      <c r="B32">
        <f>'2020_B5'!$C$5</f>
        <v>2005</v>
      </c>
      <c r="C32" t="str">
        <f>'2020_B5'!$C$6</f>
        <v>Deutsche</v>
      </c>
      <c r="D32" t="s">
        <v>4</v>
      </c>
      <c r="E32" t="str">
        <f>VLOOKUP(A32,[1]Kreise!$A$1:$C$53,3,FALSE)</f>
        <v>K03360</v>
      </c>
      <c r="F32">
        <f>'2020_B5'!C39</f>
        <v>111</v>
      </c>
    </row>
    <row r="33" spans="1:6" x14ac:dyDescent="0.25">
      <c r="A33">
        <f>'2020_B5'!A40</f>
        <v>361</v>
      </c>
      <c r="B33">
        <f>'2020_B5'!$C$5</f>
        <v>2005</v>
      </c>
      <c r="C33" t="str">
        <f>'2020_B5'!$C$6</f>
        <v>Deutsche</v>
      </c>
      <c r="D33" t="s">
        <v>4</v>
      </c>
      <c r="E33" t="str">
        <f>VLOOKUP(A33,[1]Kreise!$A$1:$C$53,3,FALSE)</f>
        <v>K03361</v>
      </c>
      <c r="F33">
        <f>'2020_B5'!C40</f>
        <v>125</v>
      </c>
    </row>
    <row r="34" spans="1:6" x14ac:dyDescent="0.25">
      <c r="A34">
        <f>'2020_B5'!A41</f>
        <v>3</v>
      </c>
      <c r="B34">
        <f>'2020_B5'!$C$5</f>
        <v>2005</v>
      </c>
      <c r="C34" t="str">
        <f>'2020_B5'!$C$6</f>
        <v>Deutsche</v>
      </c>
      <c r="D34" t="s">
        <v>4</v>
      </c>
      <c r="E34" t="str">
        <f>VLOOKUP(A34,[1]Kreise!$A$1:$C$53,3,FALSE)</f>
        <v>K033</v>
      </c>
      <c r="F34">
        <f>'2020_B5'!C41</f>
        <v>1541</v>
      </c>
    </row>
    <row r="35" spans="1:6" x14ac:dyDescent="0.25">
      <c r="A35">
        <f>'2020_B5'!A42</f>
        <v>401</v>
      </c>
      <c r="B35">
        <f>'2020_B5'!$C$5</f>
        <v>2005</v>
      </c>
      <c r="C35" t="str">
        <f>'2020_B5'!$C$6</f>
        <v>Deutsche</v>
      </c>
      <c r="D35" t="s">
        <v>4</v>
      </c>
      <c r="E35" t="str">
        <f>VLOOKUP(A35,[1]Kreise!$A$1:$C$53,3,FALSE)</f>
        <v>K03401</v>
      </c>
      <c r="F35">
        <f>'2020_B5'!C42</f>
        <v>77</v>
      </c>
    </row>
    <row r="36" spans="1:6" x14ac:dyDescent="0.25">
      <c r="A36">
        <f>'2020_B5'!A43</f>
        <v>402</v>
      </c>
      <c r="B36">
        <f>'2020_B5'!$C$5</f>
        <v>2005</v>
      </c>
      <c r="C36" t="str">
        <f>'2020_B5'!$C$6</f>
        <v>Deutsche</v>
      </c>
      <c r="D36" t="s">
        <v>4</v>
      </c>
      <c r="E36" t="str">
        <f>VLOOKUP(A36,[1]Kreise!$A$1:$C$53,3,FALSE)</f>
        <v>K03402</v>
      </c>
      <c r="F36">
        <f>'2020_B5'!C43</f>
        <v>58</v>
      </c>
    </row>
    <row r="37" spans="1:6" x14ac:dyDescent="0.25">
      <c r="A37">
        <f>'2020_B5'!A44</f>
        <v>403</v>
      </c>
      <c r="B37">
        <f>'2020_B5'!$C$5</f>
        <v>2005</v>
      </c>
      <c r="C37" t="str">
        <f>'2020_B5'!$C$6</f>
        <v>Deutsche</v>
      </c>
      <c r="D37" t="s">
        <v>4</v>
      </c>
      <c r="E37" t="str">
        <f>VLOOKUP(A37,[1]Kreise!$A$1:$C$53,3,FALSE)</f>
        <v>K03403</v>
      </c>
      <c r="F37">
        <f>'2020_B5'!C44</f>
        <v>118</v>
      </c>
    </row>
    <row r="38" spans="1:6" x14ac:dyDescent="0.25">
      <c r="A38">
        <f>'2020_B5'!A45</f>
        <v>404</v>
      </c>
      <c r="B38">
        <f>'2020_B5'!$C$5</f>
        <v>2005</v>
      </c>
      <c r="C38" t="str">
        <f>'2020_B5'!$C$6</f>
        <v>Deutsche</v>
      </c>
      <c r="D38" t="s">
        <v>4</v>
      </c>
      <c r="E38" t="str">
        <f>VLOOKUP(A38,[1]Kreise!$A$1:$C$53,3,FALSE)</f>
        <v>K03404</v>
      </c>
      <c r="F38">
        <f>'2020_B5'!C45</f>
        <v>76</v>
      </c>
    </row>
    <row r="39" spans="1:6" x14ac:dyDescent="0.25">
      <c r="A39">
        <f>'2020_B5'!A46</f>
        <v>405</v>
      </c>
      <c r="B39">
        <f>'2020_B5'!$C$5</f>
        <v>2005</v>
      </c>
      <c r="C39" t="str">
        <f>'2020_B5'!$C$6</f>
        <v>Deutsche</v>
      </c>
      <c r="D39" t="s">
        <v>4</v>
      </c>
      <c r="E39" t="str">
        <f>VLOOKUP(A39,[1]Kreise!$A$1:$C$53,3,FALSE)</f>
        <v>K03405</v>
      </c>
      <c r="F39">
        <f>'2020_B5'!C46</f>
        <v>80</v>
      </c>
    </row>
    <row r="40" spans="1:6" x14ac:dyDescent="0.25">
      <c r="A40">
        <f>'2020_B5'!A47</f>
        <v>451</v>
      </c>
      <c r="B40">
        <f>'2020_B5'!$C$5</f>
        <v>2005</v>
      </c>
      <c r="C40" t="str">
        <f>'2020_B5'!$C$6</f>
        <v>Deutsche</v>
      </c>
      <c r="D40" t="s">
        <v>4</v>
      </c>
      <c r="E40" t="str">
        <f>VLOOKUP(A40,[1]Kreise!$A$1:$C$53,3,FALSE)</f>
        <v>K03451</v>
      </c>
      <c r="F40">
        <f>'2020_B5'!C47</f>
        <v>117</v>
      </c>
    </row>
    <row r="41" spans="1:6" x14ac:dyDescent="0.25">
      <c r="A41">
        <f>'2020_B5'!A48</f>
        <v>452</v>
      </c>
      <c r="B41">
        <f>'2020_B5'!$C$5</f>
        <v>2005</v>
      </c>
      <c r="C41" t="str">
        <f>'2020_B5'!$C$6</f>
        <v>Deutsche</v>
      </c>
      <c r="D41" t="s">
        <v>4</v>
      </c>
      <c r="E41" t="str">
        <f>VLOOKUP(A41,[1]Kreise!$A$1:$C$53,3,FALSE)</f>
        <v>K03452</v>
      </c>
      <c r="F41">
        <f>'2020_B5'!C48</f>
        <v>279</v>
      </c>
    </row>
    <row r="42" spans="1:6" x14ac:dyDescent="0.25">
      <c r="A42">
        <f>'2020_B5'!A49</f>
        <v>453</v>
      </c>
      <c r="B42">
        <f>'2020_B5'!$C$5</f>
        <v>2005</v>
      </c>
      <c r="C42" t="str">
        <f>'2020_B5'!$C$6</f>
        <v>Deutsche</v>
      </c>
      <c r="D42" t="s">
        <v>4</v>
      </c>
      <c r="E42" t="str">
        <f>VLOOKUP(A42,[1]Kreise!$A$1:$C$53,3,FALSE)</f>
        <v>K03453</v>
      </c>
      <c r="F42">
        <f>'2020_B5'!C49</f>
        <v>176</v>
      </c>
    </row>
    <row r="43" spans="1:6" x14ac:dyDescent="0.25">
      <c r="A43">
        <f>'2020_B5'!A50</f>
        <v>454</v>
      </c>
      <c r="B43">
        <f>'2020_B5'!$C$5</f>
        <v>2005</v>
      </c>
      <c r="C43" t="str">
        <f>'2020_B5'!$C$6</f>
        <v>Deutsche</v>
      </c>
      <c r="D43" t="s">
        <v>4</v>
      </c>
      <c r="E43" t="str">
        <f>VLOOKUP(A43,[1]Kreise!$A$1:$C$53,3,FALSE)</f>
        <v>K03454</v>
      </c>
      <c r="F43">
        <f>'2020_B5'!C50</f>
        <v>319</v>
      </c>
    </row>
    <row r="44" spans="1:6" x14ac:dyDescent="0.25">
      <c r="A44">
        <f>'2020_B5'!A51</f>
        <v>455</v>
      </c>
      <c r="B44">
        <f>'2020_B5'!$C$5</f>
        <v>2005</v>
      </c>
      <c r="C44" t="str">
        <f>'2020_B5'!$C$6</f>
        <v>Deutsche</v>
      </c>
      <c r="D44" t="s">
        <v>4</v>
      </c>
      <c r="E44" t="str">
        <f>VLOOKUP(A44,[1]Kreise!$A$1:$C$53,3,FALSE)</f>
        <v>K03455</v>
      </c>
      <c r="F44">
        <f>'2020_B5'!C51</f>
        <v>103</v>
      </c>
    </row>
    <row r="45" spans="1:6" x14ac:dyDescent="0.25">
      <c r="A45">
        <f>'2020_B5'!A52</f>
        <v>456</v>
      </c>
      <c r="B45">
        <f>'2020_B5'!$C$5</f>
        <v>2005</v>
      </c>
      <c r="C45" t="str">
        <f>'2020_B5'!$C$6</f>
        <v>Deutsche</v>
      </c>
      <c r="D45" t="s">
        <v>4</v>
      </c>
      <c r="E45" t="str">
        <f>VLOOKUP(A45,[1]Kreise!$A$1:$C$53,3,FALSE)</f>
        <v>K03456</v>
      </c>
      <c r="F45">
        <f>'2020_B5'!C52</f>
        <v>159</v>
      </c>
    </row>
    <row r="46" spans="1:6" x14ac:dyDescent="0.25">
      <c r="A46">
        <f>'2020_B5'!A53</f>
        <v>457</v>
      </c>
      <c r="B46">
        <f>'2020_B5'!$C$5</f>
        <v>2005</v>
      </c>
      <c r="C46" t="str">
        <f>'2020_B5'!$C$6</f>
        <v>Deutsche</v>
      </c>
      <c r="D46" t="s">
        <v>4</v>
      </c>
      <c r="E46" t="str">
        <f>VLOOKUP(A46,[1]Kreise!$A$1:$C$53,3,FALSE)</f>
        <v>K03457</v>
      </c>
      <c r="F46">
        <f>'2020_B5'!C53</f>
        <v>192</v>
      </c>
    </row>
    <row r="47" spans="1:6" x14ac:dyDescent="0.25">
      <c r="A47">
        <f>'2020_B5'!A54</f>
        <v>458</v>
      </c>
      <c r="B47">
        <f>'2020_B5'!$C$5</f>
        <v>2005</v>
      </c>
      <c r="C47" t="str">
        <f>'2020_B5'!$C$6</f>
        <v>Deutsche</v>
      </c>
      <c r="D47" t="s">
        <v>4</v>
      </c>
      <c r="E47" t="str">
        <f>VLOOKUP(A47,[1]Kreise!$A$1:$C$53,3,FALSE)</f>
        <v>K03458</v>
      </c>
      <c r="F47">
        <f>'2020_B5'!C54</f>
        <v>78</v>
      </c>
    </row>
    <row r="48" spans="1:6" x14ac:dyDescent="0.25">
      <c r="A48">
        <f>'2020_B5'!A55</f>
        <v>459</v>
      </c>
      <c r="B48">
        <f>'2020_B5'!$C$5</f>
        <v>2005</v>
      </c>
      <c r="C48" t="str">
        <f>'2020_B5'!$C$6</f>
        <v>Deutsche</v>
      </c>
      <c r="D48" t="s">
        <v>4</v>
      </c>
      <c r="E48" t="str">
        <f>VLOOKUP(A48,[1]Kreise!$A$1:$C$53,3,FALSE)</f>
        <v>K03459</v>
      </c>
      <c r="F48">
        <f>'2020_B5'!C55</f>
        <v>273</v>
      </c>
    </row>
    <row r="49" spans="1:6" x14ac:dyDescent="0.25">
      <c r="A49">
        <f>'2020_B5'!A56</f>
        <v>460</v>
      </c>
      <c r="B49">
        <f>'2020_B5'!$C$5</f>
        <v>2005</v>
      </c>
      <c r="C49" t="str">
        <f>'2020_B5'!$C$6</f>
        <v>Deutsche</v>
      </c>
      <c r="D49" t="s">
        <v>4</v>
      </c>
      <c r="E49" t="str">
        <f>VLOOKUP(A49,[1]Kreise!$A$1:$C$53,3,FALSE)</f>
        <v>K03460</v>
      </c>
      <c r="F49">
        <f>'2020_B5'!C56</f>
        <v>142</v>
      </c>
    </row>
    <row r="50" spans="1:6" x14ac:dyDescent="0.25">
      <c r="A50">
        <f>'2020_B5'!A57</f>
        <v>461</v>
      </c>
      <c r="B50">
        <f>'2020_B5'!$C$5</f>
        <v>2005</v>
      </c>
      <c r="C50" t="str">
        <f>'2020_B5'!$C$6</f>
        <v>Deutsche</v>
      </c>
      <c r="D50" t="s">
        <v>4</v>
      </c>
      <c r="E50" t="str">
        <f>VLOOKUP(A50,[1]Kreise!$A$1:$C$53,3,FALSE)</f>
        <v>K03461</v>
      </c>
      <c r="F50">
        <f>'2020_B5'!C57</f>
        <v>91</v>
      </c>
    </row>
    <row r="51" spans="1:6" x14ac:dyDescent="0.25">
      <c r="A51">
        <f>'2020_B5'!A58</f>
        <v>462</v>
      </c>
      <c r="B51">
        <f>'2020_B5'!$C$5</f>
        <v>2005</v>
      </c>
      <c r="C51" t="str">
        <f>'2020_B5'!$C$6</f>
        <v>Deutsche</v>
      </c>
      <c r="D51" t="s">
        <v>4</v>
      </c>
      <c r="E51" t="str">
        <f>VLOOKUP(A51,[1]Kreise!$A$1:$C$53,3,FALSE)</f>
        <v>K03462</v>
      </c>
      <c r="F51">
        <f>'2020_B5'!C58</f>
        <v>67</v>
      </c>
    </row>
    <row r="52" spans="1:6" x14ac:dyDescent="0.25">
      <c r="A52">
        <f>'2020_B5'!A59</f>
        <v>4</v>
      </c>
      <c r="B52">
        <f>'2020_B5'!$C$5</f>
        <v>2005</v>
      </c>
      <c r="C52" t="str">
        <f>'2020_B5'!$C$6</f>
        <v>Deutsche</v>
      </c>
      <c r="D52" t="s">
        <v>4</v>
      </c>
      <c r="E52" t="str">
        <f>VLOOKUP(A52,[1]Kreise!$A$1:$C$53,3,FALSE)</f>
        <v>K034</v>
      </c>
      <c r="F52">
        <f>'2020_B5'!C59</f>
        <v>2405</v>
      </c>
    </row>
    <row r="53" spans="1:6" x14ac:dyDescent="0.25">
      <c r="A53">
        <f>'2020_B5'!A9</f>
        <v>101</v>
      </c>
      <c r="B53">
        <f>'2020_B5'!$C$5</f>
        <v>2005</v>
      </c>
      <c r="C53" t="str">
        <f>'2020_B5'!$D$6</f>
        <v>Ausländerinnen und Ausländer</v>
      </c>
      <c r="D53" t="s">
        <v>4</v>
      </c>
      <c r="E53" t="str">
        <f>VLOOKUP(A53,[1]Kreise!$A$1:$C$53,3,FALSE)</f>
        <v>K03101</v>
      </c>
      <c r="F53">
        <f>'2020_B5'!D9</f>
        <v>44</v>
      </c>
    </row>
    <row r="54" spans="1:6" x14ac:dyDescent="0.25">
      <c r="A54">
        <f>'2020_B5'!A10</f>
        <v>102</v>
      </c>
      <c r="B54">
        <f>'2020_B5'!$C$5</f>
        <v>2005</v>
      </c>
      <c r="C54" t="str">
        <f>'2020_B5'!$D$6</f>
        <v>Ausländerinnen und Ausländer</v>
      </c>
      <c r="D54" t="s">
        <v>4</v>
      </c>
      <c r="E54" t="str">
        <f>VLOOKUP(A54,[1]Kreise!$A$1:$C$53,3,FALSE)</f>
        <v>K03102</v>
      </c>
      <c r="F54">
        <f>'2020_B5'!D10</f>
        <v>30</v>
      </c>
    </row>
    <row r="55" spans="1:6" x14ac:dyDescent="0.25">
      <c r="A55">
        <f>'2020_B5'!A11</f>
        <v>103</v>
      </c>
      <c r="B55">
        <f>'2020_B5'!$C$5</f>
        <v>2005</v>
      </c>
      <c r="C55" t="str">
        <f>'2020_B5'!$D$6</f>
        <v>Ausländerinnen und Ausländer</v>
      </c>
      <c r="D55" t="s">
        <v>4</v>
      </c>
      <c r="E55" t="str">
        <f>VLOOKUP(A55,[1]Kreise!$A$1:$C$53,3,FALSE)</f>
        <v>K03103</v>
      </c>
      <c r="F55">
        <f>'2020_B5'!D11</f>
        <v>36</v>
      </c>
    </row>
    <row r="56" spans="1:6" x14ac:dyDescent="0.25">
      <c r="A56">
        <f>'2020_B5'!A12</f>
        <v>151</v>
      </c>
      <c r="B56">
        <f>'2020_B5'!$C$5</f>
        <v>2005</v>
      </c>
      <c r="C56" t="str">
        <f>'2020_B5'!$D$6</f>
        <v>Ausländerinnen und Ausländer</v>
      </c>
      <c r="D56" t="s">
        <v>4</v>
      </c>
      <c r="E56" t="str">
        <f>VLOOKUP(A56,[1]Kreise!$A$1:$C$53,3,FALSE)</f>
        <v>K03151</v>
      </c>
      <c r="F56">
        <f>'2020_B5'!D12</f>
        <v>34</v>
      </c>
    </row>
    <row r="57" spans="1:6" x14ac:dyDescent="0.25">
      <c r="A57">
        <f>'2020_B5'!A13</f>
        <v>153</v>
      </c>
      <c r="B57">
        <f>'2020_B5'!$C$5</f>
        <v>2005</v>
      </c>
      <c r="C57" t="str">
        <f>'2020_B5'!$D$6</f>
        <v>Ausländerinnen und Ausländer</v>
      </c>
      <c r="D57" t="s">
        <v>4</v>
      </c>
      <c r="E57" t="str">
        <f>VLOOKUP(A57,[1]Kreise!$A$1:$C$53,3,FALSE)</f>
        <v>K03153</v>
      </c>
      <c r="F57">
        <f>'2020_B5'!D13</f>
        <v>33</v>
      </c>
    </row>
    <row r="58" spans="1:6" x14ac:dyDescent="0.25">
      <c r="A58">
        <f>'2020_B5'!A14</f>
        <v>154</v>
      </c>
      <c r="B58">
        <f>'2020_B5'!$C$5</f>
        <v>2005</v>
      </c>
      <c r="C58" t="str">
        <f>'2020_B5'!$D$6</f>
        <v>Ausländerinnen und Ausländer</v>
      </c>
      <c r="D58" t="s">
        <v>4</v>
      </c>
      <c r="E58" t="str">
        <f>VLOOKUP(A58,[1]Kreise!$A$1:$C$53,3,FALSE)</f>
        <v>K03154</v>
      </c>
      <c r="F58">
        <f>'2020_B5'!D14</f>
        <v>6</v>
      </c>
    </row>
    <row r="59" spans="1:6" x14ac:dyDescent="0.25">
      <c r="A59">
        <f>'2020_B5'!A15</f>
        <v>155</v>
      </c>
      <c r="B59">
        <f>'2020_B5'!$C$5</f>
        <v>2005</v>
      </c>
      <c r="C59" t="str">
        <f>'2020_B5'!$D$6</f>
        <v>Ausländerinnen und Ausländer</v>
      </c>
      <c r="D59" t="s">
        <v>4</v>
      </c>
      <c r="E59" t="str">
        <f>VLOOKUP(A59,[1]Kreise!$A$1:$C$53,3,FALSE)</f>
        <v>K03155</v>
      </c>
      <c r="F59">
        <f>'2020_B5'!D15</f>
        <v>23</v>
      </c>
    </row>
    <row r="60" spans="1:6" x14ac:dyDescent="0.25">
      <c r="A60">
        <f>'2020_B5'!A16</f>
        <v>157</v>
      </c>
      <c r="B60">
        <f>'2020_B5'!$C$5</f>
        <v>2005</v>
      </c>
      <c r="C60" t="str">
        <f>'2020_B5'!$D$6</f>
        <v>Ausländerinnen und Ausländer</v>
      </c>
      <c r="D60" t="s">
        <v>4</v>
      </c>
      <c r="E60" t="str">
        <f>VLOOKUP(A60,[1]Kreise!$A$1:$C$53,3,FALSE)</f>
        <v>K03157</v>
      </c>
      <c r="F60">
        <f>'2020_B5'!D16</f>
        <v>28</v>
      </c>
    </row>
    <row r="61" spans="1:6" x14ac:dyDescent="0.25">
      <c r="A61">
        <f>'2020_B5'!A17</f>
        <v>158</v>
      </c>
      <c r="B61">
        <f>'2020_B5'!$C$5</f>
        <v>2005</v>
      </c>
      <c r="C61" t="str">
        <f>'2020_B5'!$D$6</f>
        <v>Ausländerinnen und Ausländer</v>
      </c>
      <c r="D61" t="s">
        <v>4</v>
      </c>
      <c r="E61" t="str">
        <f>VLOOKUP(A61,[1]Kreise!$A$1:$C$53,3,FALSE)</f>
        <v>K03158</v>
      </c>
      <c r="F61">
        <f>'2020_B5'!D17</f>
        <v>10</v>
      </c>
    </row>
    <row r="62" spans="1:6" x14ac:dyDescent="0.25">
      <c r="A62">
        <f>'2020_B5'!A18</f>
        <v>159</v>
      </c>
      <c r="B62">
        <f>'2020_B5'!$C$5</f>
        <v>2005</v>
      </c>
      <c r="C62" t="str">
        <f>'2020_B5'!$D$6</f>
        <v>Ausländerinnen und Ausländer</v>
      </c>
      <c r="D62" t="s">
        <v>4</v>
      </c>
      <c r="E62" t="str">
        <f>VLOOKUP(A62,[1]Kreise!$A$1:$C$53,3,FALSE)</f>
        <v>K03159</v>
      </c>
      <c r="F62">
        <f>'2020_B5'!D18</f>
        <v>72</v>
      </c>
    </row>
    <row r="63" spans="1:6" x14ac:dyDescent="0.25">
      <c r="A63">
        <f>'2020_B5'!A19</f>
        <v>1</v>
      </c>
      <c r="B63">
        <f>'2020_B5'!$C$5</f>
        <v>2005</v>
      </c>
      <c r="C63" t="str">
        <f>'2020_B5'!$D$6</f>
        <v>Ausländerinnen und Ausländer</v>
      </c>
      <c r="D63" t="s">
        <v>4</v>
      </c>
      <c r="E63" t="str">
        <f>VLOOKUP(A63,[1]Kreise!$A$1:$C$53,3,FALSE)</f>
        <v>K031</v>
      </c>
      <c r="F63">
        <f>'2020_B5'!D19</f>
        <v>316</v>
      </c>
    </row>
    <row r="64" spans="1:6" x14ac:dyDescent="0.25">
      <c r="A64">
        <f>'2020_B5'!A20</f>
        <v>241</v>
      </c>
      <c r="B64">
        <f>'2020_B5'!$C$5</f>
        <v>2005</v>
      </c>
      <c r="C64" t="str">
        <f>'2020_B5'!$D$6</f>
        <v>Ausländerinnen und Ausländer</v>
      </c>
      <c r="D64" t="s">
        <v>4</v>
      </c>
      <c r="E64" t="str">
        <f>VLOOKUP(A64,[1]Kreise!$A$1:$C$53,3,FALSE)</f>
        <v>K03241</v>
      </c>
      <c r="F64">
        <f>'2020_B5'!D20</f>
        <v>311</v>
      </c>
    </row>
    <row r="65" spans="1:6" x14ac:dyDescent="0.25">
      <c r="A65">
        <f>'2020_B5'!A21</f>
        <v>241001</v>
      </c>
      <c r="B65">
        <f>'2020_B5'!$C$5</f>
        <v>2005</v>
      </c>
      <c r="C65" t="str">
        <f>'2020_B5'!$D$6</f>
        <v>Ausländerinnen und Ausländer</v>
      </c>
      <c r="D65" t="s">
        <v>4</v>
      </c>
      <c r="E65" t="str">
        <f>VLOOKUP(A65,[1]Kreise!$A$1:$C$53,3,FALSE)</f>
        <v>K03241001</v>
      </c>
      <c r="F65">
        <f>'2020_B5'!D21</f>
        <v>182</v>
      </c>
    </row>
    <row r="66" spans="1:6" x14ac:dyDescent="0.25">
      <c r="A66">
        <f>'2020_B5'!A22</f>
        <v>241999</v>
      </c>
      <c r="B66">
        <f>'2020_B5'!$C$5</f>
        <v>2005</v>
      </c>
      <c r="C66" t="str">
        <f>'2020_B5'!$D$6</f>
        <v>Ausländerinnen und Ausländer</v>
      </c>
      <c r="D66" t="s">
        <v>4</v>
      </c>
      <c r="E66" t="str">
        <f>VLOOKUP(A66,[1]Kreise!$A$1:$C$53,3,FALSE)</f>
        <v>K03241999</v>
      </c>
      <c r="F66">
        <f>'2020_B5'!D22</f>
        <v>129</v>
      </c>
    </row>
    <row r="67" spans="1:6" x14ac:dyDescent="0.25">
      <c r="A67">
        <f>'2020_B5'!A23</f>
        <v>251</v>
      </c>
      <c r="B67">
        <f>'2020_B5'!$C$5</f>
        <v>2005</v>
      </c>
      <c r="C67" t="str">
        <f>'2020_B5'!$D$6</f>
        <v>Ausländerinnen und Ausländer</v>
      </c>
      <c r="D67" t="s">
        <v>4</v>
      </c>
      <c r="E67" t="str">
        <f>VLOOKUP(A67,[1]Kreise!$A$1:$C$53,3,FALSE)</f>
        <v>K03251</v>
      </c>
      <c r="F67">
        <f>'2020_B5'!D23</f>
        <v>30</v>
      </c>
    </row>
    <row r="68" spans="1:6" x14ac:dyDescent="0.25">
      <c r="A68">
        <f>'2020_B5'!A24</f>
        <v>252</v>
      </c>
      <c r="B68">
        <f>'2020_B5'!$C$5</f>
        <v>2005</v>
      </c>
      <c r="C68" t="str">
        <f>'2020_B5'!$D$6</f>
        <v>Ausländerinnen und Ausländer</v>
      </c>
      <c r="D68" t="s">
        <v>4</v>
      </c>
      <c r="E68" t="str">
        <f>VLOOKUP(A68,[1]Kreise!$A$1:$C$53,3,FALSE)</f>
        <v>K03252</v>
      </c>
      <c r="F68">
        <f>'2020_B5'!D24</f>
        <v>47</v>
      </c>
    </row>
    <row r="69" spans="1:6" x14ac:dyDescent="0.25">
      <c r="A69">
        <f>'2020_B5'!A25</f>
        <v>254</v>
      </c>
      <c r="B69">
        <f>'2020_B5'!$C$5</f>
        <v>2005</v>
      </c>
      <c r="C69" t="str">
        <f>'2020_B5'!$D$6</f>
        <v>Ausländerinnen und Ausländer</v>
      </c>
      <c r="D69" t="s">
        <v>4</v>
      </c>
      <c r="E69" t="str">
        <f>VLOOKUP(A69,[1]Kreise!$A$1:$C$53,3,FALSE)</f>
        <v>K03254</v>
      </c>
      <c r="F69">
        <f>'2020_B5'!D25</f>
        <v>82</v>
      </c>
    </row>
    <row r="70" spans="1:6" x14ac:dyDescent="0.25">
      <c r="A70">
        <f>'2020_B5'!A26</f>
        <v>255</v>
      </c>
      <c r="B70">
        <f>'2020_B5'!$C$5</f>
        <v>2005</v>
      </c>
      <c r="C70" t="str">
        <f>'2020_B5'!$D$6</f>
        <v>Ausländerinnen und Ausländer</v>
      </c>
      <c r="D70" t="s">
        <v>4</v>
      </c>
      <c r="E70" t="str">
        <f>VLOOKUP(A70,[1]Kreise!$A$1:$C$53,3,FALSE)</f>
        <v>K03255</v>
      </c>
      <c r="F70">
        <f>'2020_B5'!D26</f>
        <v>6</v>
      </c>
    </row>
    <row r="71" spans="1:6" x14ac:dyDescent="0.25">
      <c r="A71">
        <f>'2020_B5'!A27</f>
        <v>256</v>
      </c>
      <c r="B71">
        <f>'2020_B5'!$C$5</f>
        <v>2005</v>
      </c>
      <c r="C71" t="str">
        <f>'2020_B5'!$D$6</f>
        <v>Ausländerinnen und Ausländer</v>
      </c>
      <c r="D71" t="s">
        <v>4</v>
      </c>
      <c r="E71" t="str">
        <f>VLOOKUP(A71,[1]Kreise!$A$1:$C$53,3,FALSE)</f>
        <v>K03256</v>
      </c>
      <c r="F71">
        <f>'2020_B5'!D27</f>
        <v>34</v>
      </c>
    </row>
    <row r="72" spans="1:6" x14ac:dyDescent="0.25">
      <c r="A72">
        <f>'2020_B5'!A28</f>
        <v>257</v>
      </c>
      <c r="B72">
        <f>'2020_B5'!$C$5</f>
        <v>2005</v>
      </c>
      <c r="C72" t="str">
        <f>'2020_B5'!$D$6</f>
        <v>Ausländerinnen und Ausländer</v>
      </c>
      <c r="D72" t="s">
        <v>4</v>
      </c>
      <c r="E72" t="str">
        <f>VLOOKUP(A72,[1]Kreise!$A$1:$C$53,3,FALSE)</f>
        <v>K03257</v>
      </c>
      <c r="F72">
        <f>'2020_B5'!D28</f>
        <v>23</v>
      </c>
    </row>
    <row r="73" spans="1:6" x14ac:dyDescent="0.25">
      <c r="A73">
        <f>'2020_B5'!A29</f>
        <v>2</v>
      </c>
      <c r="B73">
        <f>'2020_B5'!$C$5</f>
        <v>2005</v>
      </c>
      <c r="C73" t="str">
        <f>'2020_B5'!$D$6</f>
        <v>Ausländerinnen und Ausländer</v>
      </c>
      <c r="D73" t="s">
        <v>4</v>
      </c>
      <c r="E73" t="str">
        <f>VLOOKUP(A73,[1]Kreise!$A$1:$C$53,3,FALSE)</f>
        <v>K032</v>
      </c>
      <c r="F73">
        <f>'2020_B5'!D29</f>
        <v>533</v>
      </c>
    </row>
    <row r="74" spans="1:6" x14ac:dyDescent="0.25">
      <c r="A74">
        <f>'2020_B5'!A30</f>
        <v>351</v>
      </c>
      <c r="B74">
        <f>'2020_B5'!$C$5</f>
        <v>2005</v>
      </c>
      <c r="C74" t="str">
        <f>'2020_B5'!$D$6</f>
        <v>Ausländerinnen und Ausländer</v>
      </c>
      <c r="D74" t="s">
        <v>4</v>
      </c>
      <c r="E74" t="str">
        <f>VLOOKUP(A74,[1]Kreise!$A$1:$C$53,3,FALSE)</f>
        <v>K03351</v>
      </c>
      <c r="F74">
        <f>'2020_B5'!D30</f>
        <v>50</v>
      </c>
    </row>
    <row r="75" spans="1:6" x14ac:dyDescent="0.25">
      <c r="A75">
        <f>'2020_B5'!A31</f>
        <v>352</v>
      </c>
      <c r="B75">
        <f>'2020_B5'!$C$5</f>
        <v>2005</v>
      </c>
      <c r="C75" t="str">
        <f>'2020_B5'!$D$6</f>
        <v>Ausländerinnen und Ausländer</v>
      </c>
      <c r="D75" t="s">
        <v>4</v>
      </c>
      <c r="E75" t="str">
        <f>VLOOKUP(A75,[1]Kreise!$A$1:$C$53,3,FALSE)</f>
        <v>K03352</v>
      </c>
      <c r="F75">
        <f>'2020_B5'!D31</f>
        <v>42</v>
      </c>
    </row>
    <row r="76" spans="1:6" x14ac:dyDescent="0.25">
      <c r="A76">
        <f>'2020_B5'!A32</f>
        <v>353</v>
      </c>
      <c r="B76">
        <f>'2020_B5'!$C$5</f>
        <v>2005</v>
      </c>
      <c r="C76" t="str">
        <f>'2020_B5'!$D$6</f>
        <v>Ausländerinnen und Ausländer</v>
      </c>
      <c r="D76" t="s">
        <v>4</v>
      </c>
      <c r="E76" t="str">
        <f>VLOOKUP(A76,[1]Kreise!$A$1:$C$53,3,FALSE)</f>
        <v>K03353</v>
      </c>
      <c r="F76">
        <f>'2020_B5'!D32</f>
        <v>41</v>
      </c>
    </row>
    <row r="77" spans="1:6" x14ac:dyDescent="0.25">
      <c r="A77">
        <f>'2020_B5'!A33</f>
        <v>354</v>
      </c>
      <c r="B77">
        <f>'2020_B5'!$C$5</f>
        <v>2005</v>
      </c>
      <c r="C77" t="str">
        <f>'2020_B5'!$D$6</f>
        <v>Ausländerinnen und Ausländer</v>
      </c>
      <c r="D77" t="s">
        <v>4</v>
      </c>
      <c r="E77" t="str">
        <f>VLOOKUP(A77,[1]Kreise!$A$1:$C$53,3,FALSE)</f>
        <v>K03354</v>
      </c>
      <c r="F77">
        <f>'2020_B5'!D33</f>
        <v>8</v>
      </c>
    </row>
    <row r="78" spans="1:6" x14ac:dyDescent="0.25">
      <c r="A78">
        <f>'2020_B5'!A34</f>
        <v>355</v>
      </c>
      <c r="B78">
        <f>'2020_B5'!$C$5</f>
        <v>2005</v>
      </c>
      <c r="C78" t="str">
        <f>'2020_B5'!$D$6</f>
        <v>Ausländerinnen und Ausländer</v>
      </c>
      <c r="D78" t="s">
        <v>4</v>
      </c>
      <c r="E78" t="str">
        <f>VLOOKUP(A78,[1]Kreise!$A$1:$C$53,3,FALSE)</f>
        <v>K03355</v>
      </c>
      <c r="F78">
        <f>'2020_B5'!D34</f>
        <v>22</v>
      </c>
    </row>
    <row r="79" spans="1:6" x14ac:dyDescent="0.25">
      <c r="A79">
        <f>'2020_B5'!A35</f>
        <v>356</v>
      </c>
      <c r="B79">
        <f>'2020_B5'!$C$5</f>
        <v>2005</v>
      </c>
      <c r="C79" t="str">
        <f>'2020_B5'!$D$6</f>
        <v>Ausländerinnen und Ausländer</v>
      </c>
      <c r="D79" t="s">
        <v>4</v>
      </c>
      <c r="E79" t="str">
        <f>VLOOKUP(A79,[1]Kreise!$A$1:$C$53,3,FALSE)</f>
        <v>K03356</v>
      </c>
      <c r="F79">
        <f>'2020_B5'!D35</f>
        <v>21</v>
      </c>
    </row>
    <row r="80" spans="1:6" x14ac:dyDescent="0.25">
      <c r="A80">
        <f>'2020_B5'!A36</f>
        <v>357</v>
      </c>
      <c r="B80">
        <f>'2020_B5'!$C$5</f>
        <v>2005</v>
      </c>
      <c r="C80" t="str">
        <f>'2020_B5'!$D$6</f>
        <v>Ausländerinnen und Ausländer</v>
      </c>
      <c r="D80" t="s">
        <v>4</v>
      </c>
      <c r="E80" t="str">
        <f>VLOOKUP(A80,[1]Kreise!$A$1:$C$53,3,FALSE)</f>
        <v>K03357</v>
      </c>
      <c r="F80">
        <f>'2020_B5'!D36</f>
        <v>18</v>
      </c>
    </row>
    <row r="81" spans="1:6" x14ac:dyDescent="0.25">
      <c r="A81">
        <f>'2020_B5'!A37</f>
        <v>358</v>
      </c>
      <c r="B81">
        <f>'2020_B5'!$C$5</f>
        <v>2005</v>
      </c>
      <c r="C81" t="str">
        <f>'2020_B5'!$D$6</f>
        <v>Ausländerinnen und Ausländer</v>
      </c>
      <c r="D81" t="s">
        <v>4</v>
      </c>
      <c r="E81" t="str">
        <f>VLOOKUP(A81,[1]Kreise!$A$1:$C$53,3,FALSE)</f>
        <v>K03358</v>
      </c>
      <c r="F81">
        <f>'2020_B5'!D37</f>
        <v>33</v>
      </c>
    </row>
    <row r="82" spans="1:6" x14ac:dyDescent="0.25">
      <c r="A82">
        <f>'2020_B5'!A38</f>
        <v>359</v>
      </c>
      <c r="B82">
        <f>'2020_B5'!$C$5</f>
        <v>2005</v>
      </c>
      <c r="C82" t="str">
        <f>'2020_B5'!$D$6</f>
        <v>Ausländerinnen und Ausländer</v>
      </c>
      <c r="D82" t="s">
        <v>4</v>
      </c>
      <c r="E82" t="str">
        <f>VLOOKUP(A82,[1]Kreise!$A$1:$C$53,3,FALSE)</f>
        <v>K03359</v>
      </c>
      <c r="F82">
        <f>'2020_B5'!D38</f>
        <v>28</v>
      </c>
    </row>
    <row r="83" spans="1:6" x14ac:dyDescent="0.25">
      <c r="A83">
        <f>'2020_B5'!A39</f>
        <v>360</v>
      </c>
      <c r="B83">
        <f>'2020_B5'!$C$5</f>
        <v>2005</v>
      </c>
      <c r="C83" t="str">
        <f>'2020_B5'!$D$6</f>
        <v>Ausländerinnen und Ausländer</v>
      </c>
      <c r="D83" t="s">
        <v>4</v>
      </c>
      <c r="E83" t="str">
        <f>VLOOKUP(A83,[1]Kreise!$A$1:$C$53,3,FALSE)</f>
        <v>K03360</v>
      </c>
      <c r="F83">
        <f>'2020_B5'!D39</f>
        <v>19</v>
      </c>
    </row>
    <row r="84" spans="1:6" x14ac:dyDescent="0.25">
      <c r="A84">
        <f>'2020_B5'!A40</f>
        <v>361</v>
      </c>
      <c r="B84">
        <f>'2020_B5'!$C$5</f>
        <v>2005</v>
      </c>
      <c r="C84" t="str">
        <f>'2020_B5'!$D$6</f>
        <v>Ausländerinnen und Ausländer</v>
      </c>
      <c r="D84" t="s">
        <v>4</v>
      </c>
      <c r="E84" t="str">
        <f>VLOOKUP(A84,[1]Kreise!$A$1:$C$53,3,FALSE)</f>
        <v>K03361</v>
      </c>
      <c r="F84">
        <f>'2020_B5'!D40</f>
        <v>47</v>
      </c>
    </row>
    <row r="85" spans="1:6" x14ac:dyDescent="0.25">
      <c r="A85">
        <f>'2020_B5'!A41</f>
        <v>3</v>
      </c>
      <c r="B85">
        <f>'2020_B5'!$C$5</f>
        <v>2005</v>
      </c>
      <c r="C85" t="str">
        <f>'2020_B5'!$D$6</f>
        <v>Ausländerinnen und Ausländer</v>
      </c>
      <c r="D85" t="s">
        <v>4</v>
      </c>
      <c r="E85" t="str">
        <f>VLOOKUP(A85,[1]Kreise!$A$1:$C$53,3,FALSE)</f>
        <v>K033</v>
      </c>
      <c r="F85">
        <f>'2020_B5'!D41</f>
        <v>329</v>
      </c>
    </row>
    <row r="86" spans="1:6" x14ac:dyDescent="0.25">
      <c r="A86">
        <f>'2020_B5'!A42</f>
        <v>401</v>
      </c>
      <c r="B86">
        <f>'2020_B5'!$C$5</f>
        <v>2005</v>
      </c>
      <c r="C86" t="str">
        <f>'2020_B5'!$D$6</f>
        <v>Ausländerinnen und Ausländer</v>
      </c>
      <c r="D86" t="s">
        <v>4</v>
      </c>
      <c r="E86" t="str">
        <f>VLOOKUP(A86,[1]Kreise!$A$1:$C$53,3,FALSE)</f>
        <v>K03401</v>
      </c>
      <c r="F86">
        <f>'2020_B5'!D42</f>
        <v>34</v>
      </c>
    </row>
    <row r="87" spans="1:6" x14ac:dyDescent="0.25">
      <c r="A87">
        <f>'2020_B5'!A43</f>
        <v>402</v>
      </c>
      <c r="B87">
        <f>'2020_B5'!$C$5</f>
        <v>2005</v>
      </c>
      <c r="C87" t="str">
        <f>'2020_B5'!$D$6</f>
        <v>Ausländerinnen und Ausländer</v>
      </c>
      <c r="D87" t="s">
        <v>4</v>
      </c>
      <c r="E87" t="str">
        <f>VLOOKUP(A87,[1]Kreise!$A$1:$C$53,3,FALSE)</f>
        <v>K03402</v>
      </c>
      <c r="F87">
        <f>'2020_B5'!D43</f>
        <v>20</v>
      </c>
    </row>
    <row r="88" spans="1:6" x14ac:dyDescent="0.25">
      <c r="A88">
        <f>'2020_B5'!A44</f>
        <v>403</v>
      </c>
      <c r="B88">
        <f>'2020_B5'!$C$5</f>
        <v>2005</v>
      </c>
      <c r="C88" t="str">
        <f>'2020_B5'!$D$6</f>
        <v>Ausländerinnen und Ausländer</v>
      </c>
      <c r="D88" t="s">
        <v>4</v>
      </c>
      <c r="E88" t="str">
        <f>VLOOKUP(A88,[1]Kreise!$A$1:$C$53,3,FALSE)</f>
        <v>K03403</v>
      </c>
      <c r="F88">
        <f>'2020_B5'!D44</f>
        <v>26</v>
      </c>
    </row>
    <row r="89" spans="1:6" x14ac:dyDescent="0.25">
      <c r="A89">
        <f>'2020_B5'!A45</f>
        <v>404</v>
      </c>
      <c r="B89">
        <f>'2020_B5'!$C$5</f>
        <v>2005</v>
      </c>
      <c r="C89" t="str">
        <f>'2020_B5'!$D$6</f>
        <v>Ausländerinnen und Ausländer</v>
      </c>
      <c r="D89" t="s">
        <v>4</v>
      </c>
      <c r="E89" t="str">
        <f>VLOOKUP(A89,[1]Kreise!$A$1:$C$53,3,FALSE)</f>
        <v>K03404</v>
      </c>
      <c r="F89">
        <f>'2020_B5'!D45</f>
        <v>36</v>
      </c>
    </row>
    <row r="90" spans="1:6" x14ac:dyDescent="0.25">
      <c r="A90">
        <f>'2020_B5'!A46</f>
        <v>405</v>
      </c>
      <c r="B90">
        <f>'2020_B5'!$C$5</f>
        <v>2005</v>
      </c>
      <c r="C90" t="str">
        <f>'2020_B5'!$D$6</f>
        <v>Ausländerinnen und Ausländer</v>
      </c>
      <c r="D90" t="s">
        <v>4</v>
      </c>
      <c r="E90" t="str">
        <f>VLOOKUP(A90,[1]Kreise!$A$1:$C$53,3,FALSE)</f>
        <v>K03405</v>
      </c>
      <c r="F90">
        <f>'2020_B5'!D46</f>
        <v>20</v>
      </c>
    </row>
    <row r="91" spans="1:6" x14ac:dyDescent="0.25">
      <c r="A91">
        <f>'2020_B5'!A47</f>
        <v>451</v>
      </c>
      <c r="B91">
        <f>'2020_B5'!$C$5</f>
        <v>2005</v>
      </c>
      <c r="C91" t="str">
        <f>'2020_B5'!$D$6</f>
        <v>Ausländerinnen und Ausländer</v>
      </c>
      <c r="D91" t="s">
        <v>4</v>
      </c>
      <c r="E91" t="str">
        <f>VLOOKUP(A91,[1]Kreise!$A$1:$C$53,3,FALSE)</f>
        <v>K03451</v>
      </c>
      <c r="F91">
        <f>'2020_B5'!D47</f>
        <v>15</v>
      </c>
    </row>
    <row r="92" spans="1:6" x14ac:dyDescent="0.25">
      <c r="A92">
        <f>'2020_B5'!A48</f>
        <v>452</v>
      </c>
      <c r="B92">
        <f>'2020_B5'!$C$5</f>
        <v>2005</v>
      </c>
      <c r="C92" t="str">
        <f>'2020_B5'!$D$6</f>
        <v>Ausländerinnen und Ausländer</v>
      </c>
      <c r="D92" t="s">
        <v>4</v>
      </c>
      <c r="E92" t="str">
        <f>VLOOKUP(A92,[1]Kreise!$A$1:$C$53,3,FALSE)</f>
        <v>K03452</v>
      </c>
      <c r="F92">
        <f>'2020_B5'!D48</f>
        <v>24</v>
      </c>
    </row>
    <row r="93" spans="1:6" x14ac:dyDescent="0.25">
      <c r="A93">
        <f>'2020_B5'!A49</f>
        <v>453</v>
      </c>
      <c r="B93">
        <f>'2020_B5'!$C$5</f>
        <v>2005</v>
      </c>
      <c r="C93" t="str">
        <f>'2020_B5'!$D$6</f>
        <v>Ausländerinnen und Ausländer</v>
      </c>
      <c r="D93" t="s">
        <v>4</v>
      </c>
      <c r="E93" t="str">
        <f>VLOOKUP(A93,[1]Kreise!$A$1:$C$53,3,FALSE)</f>
        <v>K03453</v>
      </c>
      <c r="F93">
        <f>'2020_B5'!D49</f>
        <v>24</v>
      </c>
    </row>
    <row r="94" spans="1:6" x14ac:dyDescent="0.25">
      <c r="A94">
        <f>'2020_B5'!A50</f>
        <v>454</v>
      </c>
      <c r="B94">
        <f>'2020_B5'!$C$5</f>
        <v>2005</v>
      </c>
      <c r="C94" t="str">
        <f>'2020_B5'!$D$6</f>
        <v>Ausländerinnen und Ausländer</v>
      </c>
      <c r="D94" t="s">
        <v>4</v>
      </c>
      <c r="E94" t="str">
        <f>VLOOKUP(A94,[1]Kreise!$A$1:$C$53,3,FALSE)</f>
        <v>K03454</v>
      </c>
      <c r="F94">
        <f>'2020_B5'!D50</f>
        <v>38</v>
      </c>
    </row>
    <row r="95" spans="1:6" x14ac:dyDescent="0.25">
      <c r="A95">
        <f>'2020_B5'!A51</f>
        <v>455</v>
      </c>
      <c r="B95">
        <f>'2020_B5'!$C$5</f>
        <v>2005</v>
      </c>
      <c r="C95" t="str">
        <f>'2020_B5'!$D$6</f>
        <v>Ausländerinnen und Ausländer</v>
      </c>
      <c r="D95" t="s">
        <v>4</v>
      </c>
      <c r="E95" t="str">
        <f>VLOOKUP(A95,[1]Kreise!$A$1:$C$53,3,FALSE)</f>
        <v>K03455</v>
      </c>
      <c r="F95">
        <f>'2020_B5'!D51</f>
        <v>11</v>
      </c>
    </row>
    <row r="96" spans="1:6" x14ac:dyDescent="0.25">
      <c r="A96">
        <f>'2020_B5'!A52</f>
        <v>456</v>
      </c>
      <c r="B96">
        <f>'2020_B5'!$C$5</f>
        <v>2005</v>
      </c>
      <c r="C96" t="str">
        <f>'2020_B5'!$D$6</f>
        <v>Ausländerinnen und Ausländer</v>
      </c>
      <c r="D96" t="s">
        <v>4</v>
      </c>
      <c r="E96" t="str">
        <f>VLOOKUP(A96,[1]Kreise!$A$1:$C$53,3,FALSE)</f>
        <v>K03456</v>
      </c>
      <c r="F96">
        <f>'2020_B5'!D52</f>
        <v>28</v>
      </c>
    </row>
    <row r="97" spans="1:6" x14ac:dyDescent="0.25">
      <c r="A97">
        <f>'2020_B5'!A53</f>
        <v>457</v>
      </c>
      <c r="B97">
        <f>'2020_B5'!$C$5</f>
        <v>2005</v>
      </c>
      <c r="C97" t="str">
        <f>'2020_B5'!$D$6</f>
        <v>Ausländerinnen und Ausländer</v>
      </c>
      <c r="D97" t="s">
        <v>4</v>
      </c>
      <c r="E97" t="str">
        <f>VLOOKUP(A97,[1]Kreise!$A$1:$C$53,3,FALSE)</f>
        <v>K03457</v>
      </c>
      <c r="F97">
        <f>'2020_B5'!D53</f>
        <v>23</v>
      </c>
    </row>
    <row r="98" spans="1:6" x14ac:dyDescent="0.25">
      <c r="A98">
        <f>'2020_B5'!A54</f>
        <v>458</v>
      </c>
      <c r="B98">
        <f>'2020_B5'!$C$5</f>
        <v>2005</v>
      </c>
      <c r="C98" t="str">
        <f>'2020_B5'!$D$6</f>
        <v>Ausländerinnen und Ausländer</v>
      </c>
      <c r="D98" t="s">
        <v>4</v>
      </c>
      <c r="E98" t="str">
        <f>VLOOKUP(A98,[1]Kreise!$A$1:$C$53,3,FALSE)</f>
        <v>K03458</v>
      </c>
      <c r="F98">
        <f>'2020_B5'!D54</f>
        <v>15</v>
      </c>
    </row>
    <row r="99" spans="1:6" x14ac:dyDescent="0.25">
      <c r="A99">
        <f>'2020_B5'!A55</f>
        <v>459</v>
      </c>
      <c r="B99">
        <f>'2020_B5'!$C$5</f>
        <v>2005</v>
      </c>
      <c r="C99" t="str">
        <f>'2020_B5'!$D$6</f>
        <v>Ausländerinnen und Ausländer</v>
      </c>
      <c r="D99" t="s">
        <v>4</v>
      </c>
      <c r="E99" t="str">
        <f>VLOOKUP(A99,[1]Kreise!$A$1:$C$53,3,FALSE)</f>
        <v>K03459</v>
      </c>
      <c r="F99">
        <f>'2020_B5'!D55</f>
        <v>68</v>
      </c>
    </row>
    <row r="100" spans="1:6" x14ac:dyDescent="0.25">
      <c r="A100">
        <f>'2020_B5'!A56</f>
        <v>460</v>
      </c>
      <c r="B100">
        <f>'2020_B5'!$C$5</f>
        <v>2005</v>
      </c>
      <c r="C100" t="str">
        <f>'2020_B5'!$D$6</f>
        <v>Ausländerinnen und Ausländer</v>
      </c>
      <c r="D100" t="s">
        <v>4</v>
      </c>
      <c r="E100" t="str">
        <f>VLOOKUP(A100,[1]Kreise!$A$1:$C$53,3,FALSE)</f>
        <v>K03460</v>
      </c>
      <c r="F100">
        <f>'2020_B5'!D56</f>
        <v>30</v>
      </c>
    </row>
    <row r="101" spans="1:6" x14ac:dyDescent="0.25">
      <c r="A101">
        <f>'2020_B5'!A57</f>
        <v>461</v>
      </c>
      <c r="B101">
        <f>'2020_B5'!$C$5</f>
        <v>2005</v>
      </c>
      <c r="C101" t="str">
        <f>'2020_B5'!$D$6</f>
        <v>Ausländerinnen und Ausländer</v>
      </c>
      <c r="D101" t="s">
        <v>4</v>
      </c>
      <c r="E101" t="str">
        <f>VLOOKUP(A101,[1]Kreise!$A$1:$C$53,3,FALSE)</f>
        <v>K03461</v>
      </c>
      <c r="F101">
        <f>'2020_B5'!D57</f>
        <v>10</v>
      </c>
    </row>
    <row r="102" spans="1:6" x14ac:dyDescent="0.25">
      <c r="A102">
        <f>'2020_B5'!A58</f>
        <v>462</v>
      </c>
      <c r="B102">
        <f>'2020_B5'!$C$5</f>
        <v>2005</v>
      </c>
      <c r="C102" t="str">
        <f>'2020_B5'!$D$6</f>
        <v>Ausländerinnen und Ausländer</v>
      </c>
      <c r="D102" t="s">
        <v>4</v>
      </c>
      <c r="E102" t="str">
        <f>VLOOKUP(A102,[1]Kreise!$A$1:$C$53,3,FALSE)</f>
        <v>K03462</v>
      </c>
      <c r="F102">
        <f>'2020_B5'!D58</f>
        <v>7</v>
      </c>
    </row>
    <row r="103" spans="1:6" x14ac:dyDescent="0.25">
      <c r="A103">
        <f>'2020_B5'!A59</f>
        <v>4</v>
      </c>
      <c r="B103">
        <f>'2020_B5'!$C$5</f>
        <v>2005</v>
      </c>
      <c r="C103" t="str">
        <f>'2020_B5'!$D$6</f>
        <v>Ausländerinnen und Ausländer</v>
      </c>
      <c r="D103" t="s">
        <v>4</v>
      </c>
      <c r="E103" t="str">
        <f>VLOOKUP(A103,[1]Kreise!$A$1:$C$53,3,FALSE)</f>
        <v>K034</v>
      </c>
      <c r="F103">
        <f>'2020_B5'!D59</f>
        <v>429</v>
      </c>
    </row>
    <row r="104" spans="1:6" x14ac:dyDescent="0.25">
      <c r="A104">
        <f>'2020_B5'!A60</f>
        <v>0</v>
      </c>
      <c r="B104">
        <f>'2020_B5'!$C$5</f>
        <v>2005</v>
      </c>
      <c r="C104" t="str">
        <f>'2020_B5'!$D$6</f>
        <v>Ausländerinnen und Ausländer</v>
      </c>
      <c r="D104" t="s">
        <v>4</v>
      </c>
      <c r="E104" t="str">
        <f>VLOOKUP(A104,[1]Kreise!$A$1:$C$53,3,FALSE)</f>
        <v>K030</v>
      </c>
      <c r="F104">
        <f>'2020_B5'!D60</f>
        <v>1607</v>
      </c>
    </row>
    <row r="105" spans="1:6" x14ac:dyDescent="0.25">
      <c r="A105">
        <f>'2020_B5'!A9</f>
        <v>101</v>
      </c>
      <c r="B105">
        <f>'2020_B5'!$E$5</f>
        <v>2011</v>
      </c>
      <c r="C105" t="str">
        <f>'2020_B5'!$E$6</f>
        <v>Deutsche</v>
      </c>
      <c r="D105" t="s">
        <v>4</v>
      </c>
      <c r="E105" t="str">
        <f>VLOOKUP(A105,[1]Kreise!$A$1:$C$53,3,FALSE)</f>
        <v>K03101</v>
      </c>
      <c r="F105">
        <f>'2020_B5'!E9</f>
        <v>65</v>
      </c>
    </row>
    <row r="106" spans="1:6" x14ac:dyDescent="0.25">
      <c r="A106">
        <f>'2020_B5'!A10</f>
        <v>102</v>
      </c>
      <c r="B106">
        <f>'2020_B5'!$E$5</f>
        <v>2011</v>
      </c>
      <c r="C106" t="str">
        <f>'2020_B5'!$E$6</f>
        <v>Deutsche</v>
      </c>
      <c r="D106" t="s">
        <v>4</v>
      </c>
      <c r="E106" t="str">
        <f>VLOOKUP(A106,[1]Kreise!$A$1:$C$53,3,FALSE)</f>
        <v>K03102</v>
      </c>
      <c r="F106">
        <f>'2020_B5'!E10</f>
        <v>21</v>
      </c>
    </row>
    <row r="107" spans="1:6" x14ac:dyDescent="0.25">
      <c r="A107">
        <f>'2020_B5'!A11</f>
        <v>103</v>
      </c>
      <c r="B107">
        <f>'2020_B5'!$E$5</f>
        <v>2011</v>
      </c>
      <c r="C107" t="str">
        <f>'2020_B5'!$E$6</f>
        <v>Deutsche</v>
      </c>
      <c r="D107" t="s">
        <v>4</v>
      </c>
      <c r="E107" t="str">
        <f>VLOOKUP(A107,[1]Kreise!$A$1:$C$53,3,FALSE)</f>
        <v>K03103</v>
      </c>
      <c r="F107">
        <f>'2020_B5'!E11</f>
        <v>46</v>
      </c>
    </row>
    <row r="108" spans="1:6" x14ac:dyDescent="0.25">
      <c r="A108">
        <f>'2020_B5'!A12</f>
        <v>151</v>
      </c>
      <c r="B108">
        <f>'2020_B5'!$E$5</f>
        <v>2011</v>
      </c>
      <c r="C108" t="str">
        <f>'2020_B5'!$E$6</f>
        <v>Deutsche</v>
      </c>
      <c r="D108" t="s">
        <v>4</v>
      </c>
      <c r="E108" t="str">
        <f>VLOOKUP(A108,[1]Kreise!$A$1:$C$53,3,FALSE)</f>
        <v>K03151</v>
      </c>
      <c r="F108">
        <f>'2020_B5'!E12</f>
        <v>47</v>
      </c>
    </row>
    <row r="109" spans="1:6" x14ac:dyDescent="0.25">
      <c r="A109">
        <f>'2020_B5'!A13</f>
        <v>153</v>
      </c>
      <c r="B109">
        <f>'2020_B5'!$E$5</f>
        <v>2011</v>
      </c>
      <c r="C109" t="str">
        <f>'2020_B5'!$E$6</f>
        <v>Deutsche</v>
      </c>
      <c r="D109" t="s">
        <v>4</v>
      </c>
      <c r="E109" t="str">
        <f>VLOOKUP(A109,[1]Kreise!$A$1:$C$53,3,FALSE)</f>
        <v>K03153</v>
      </c>
      <c r="F109">
        <f>'2020_B5'!E13</f>
        <v>40</v>
      </c>
    </row>
    <row r="110" spans="1:6" x14ac:dyDescent="0.25">
      <c r="A110">
        <f>'2020_B5'!A14</f>
        <v>154</v>
      </c>
      <c r="B110">
        <f>'2020_B5'!$E$5</f>
        <v>2011</v>
      </c>
      <c r="C110" t="str">
        <f>'2020_B5'!$E$6</f>
        <v>Deutsche</v>
      </c>
      <c r="D110" t="s">
        <v>4</v>
      </c>
      <c r="E110" t="str">
        <f>VLOOKUP(A110,[1]Kreise!$A$1:$C$53,3,FALSE)</f>
        <v>K03154</v>
      </c>
      <c r="F110">
        <f>'2020_B5'!E14</f>
        <v>19</v>
      </c>
    </row>
    <row r="111" spans="1:6" x14ac:dyDescent="0.25">
      <c r="A111">
        <f>'2020_B5'!A15</f>
        <v>155</v>
      </c>
      <c r="B111">
        <f>'2020_B5'!$E$5</f>
        <v>2011</v>
      </c>
      <c r="C111" t="str">
        <f>'2020_B5'!$E$6</f>
        <v>Deutsche</v>
      </c>
      <c r="D111" t="s">
        <v>4</v>
      </c>
      <c r="E111" t="str">
        <f>VLOOKUP(A111,[1]Kreise!$A$1:$C$53,3,FALSE)</f>
        <v>K03155</v>
      </c>
      <c r="F111">
        <f>'2020_B5'!E15</f>
        <v>25</v>
      </c>
    </row>
    <row r="112" spans="1:6" x14ac:dyDescent="0.25">
      <c r="A112">
        <f>'2020_B5'!A16</f>
        <v>157</v>
      </c>
      <c r="B112">
        <f>'2020_B5'!$E$5</f>
        <v>2011</v>
      </c>
      <c r="C112" t="str">
        <f>'2020_B5'!$E$6</f>
        <v>Deutsche</v>
      </c>
      <c r="D112" t="s">
        <v>4</v>
      </c>
      <c r="E112" t="str">
        <f>VLOOKUP(A112,[1]Kreise!$A$1:$C$53,3,FALSE)</f>
        <v>K03157</v>
      </c>
      <c r="F112">
        <f>'2020_B5'!E16</f>
        <v>23</v>
      </c>
    </row>
    <row r="113" spans="1:6" x14ac:dyDescent="0.25">
      <c r="A113">
        <f>'2020_B5'!A17</f>
        <v>158</v>
      </c>
      <c r="B113">
        <f>'2020_B5'!$E$5</f>
        <v>2011</v>
      </c>
      <c r="C113" t="str">
        <f>'2020_B5'!$E$6</f>
        <v>Deutsche</v>
      </c>
      <c r="D113" t="s">
        <v>4</v>
      </c>
      <c r="E113" t="str">
        <f>VLOOKUP(A113,[1]Kreise!$A$1:$C$53,3,FALSE)</f>
        <v>K03158</v>
      </c>
      <c r="F113">
        <f>'2020_B5'!E17</f>
        <v>30</v>
      </c>
    </row>
    <row r="114" spans="1:6" x14ac:dyDescent="0.25">
      <c r="A114">
        <f>'2020_B5'!A18</f>
        <v>159</v>
      </c>
      <c r="B114">
        <f>'2020_B5'!$E$5</f>
        <v>2011</v>
      </c>
      <c r="C114" t="str">
        <f>'2020_B5'!$E$6</f>
        <v>Deutsche</v>
      </c>
      <c r="D114" t="s">
        <v>4</v>
      </c>
      <c r="E114" t="str">
        <f>VLOOKUP(A114,[1]Kreise!$A$1:$C$53,3,FALSE)</f>
        <v>K03159</v>
      </c>
      <c r="F114">
        <f>'2020_B5'!E18</f>
        <v>162</v>
      </c>
    </row>
    <row r="115" spans="1:6" x14ac:dyDescent="0.25">
      <c r="A115">
        <f>'2020_B5'!A19</f>
        <v>1</v>
      </c>
      <c r="B115">
        <f>'2020_B5'!$E$5</f>
        <v>2011</v>
      </c>
      <c r="C115" t="str">
        <f>'2020_B5'!$E$6</f>
        <v>Deutsche</v>
      </c>
      <c r="D115" t="s">
        <v>4</v>
      </c>
      <c r="E115" t="str">
        <f>VLOOKUP(A115,[1]Kreise!$A$1:$C$53,3,FALSE)</f>
        <v>K031</v>
      </c>
      <c r="F115">
        <f>'2020_B5'!E19</f>
        <v>389</v>
      </c>
    </row>
    <row r="116" spans="1:6" x14ac:dyDescent="0.25">
      <c r="A116">
        <f>'2020_B5'!A20</f>
        <v>241</v>
      </c>
      <c r="B116">
        <f>'2020_B5'!$E$5</f>
        <v>2011</v>
      </c>
      <c r="C116" t="str">
        <f>'2020_B5'!$E$6</f>
        <v>Deutsche</v>
      </c>
      <c r="D116" t="s">
        <v>4</v>
      </c>
      <c r="E116" t="str">
        <f>VLOOKUP(A116,[1]Kreise!$A$1:$C$53,3,FALSE)</f>
        <v>K03241</v>
      </c>
      <c r="F116">
        <f>'2020_B5'!E20</f>
        <v>252</v>
      </c>
    </row>
    <row r="117" spans="1:6" x14ac:dyDescent="0.25">
      <c r="A117">
        <f>'2020_B5'!A21</f>
        <v>241001</v>
      </c>
      <c r="B117">
        <f>'2020_B5'!$E$5</f>
        <v>2011</v>
      </c>
      <c r="C117" t="str">
        <f>'2020_B5'!$E$6</f>
        <v>Deutsche</v>
      </c>
      <c r="D117" t="s">
        <v>4</v>
      </c>
      <c r="E117" t="str">
        <f>VLOOKUP(A117,[1]Kreise!$A$1:$C$53,3,FALSE)</f>
        <v>K03241001</v>
      </c>
      <c r="F117">
        <f>'2020_B5'!E21</f>
        <v>126</v>
      </c>
    </row>
    <row r="118" spans="1:6" x14ac:dyDescent="0.25">
      <c r="A118">
        <f>'2020_B5'!A22</f>
        <v>241999</v>
      </c>
      <c r="B118">
        <f>'2020_B5'!$E$5</f>
        <v>2011</v>
      </c>
      <c r="C118" t="str">
        <f>'2020_B5'!$E$6</f>
        <v>Deutsche</v>
      </c>
      <c r="D118" t="s">
        <v>4</v>
      </c>
      <c r="E118" t="str">
        <f>VLOOKUP(A118,[1]Kreise!$A$1:$C$53,3,FALSE)</f>
        <v>K03241999</v>
      </c>
      <c r="F118">
        <f>'2020_B5'!E22</f>
        <v>126</v>
      </c>
    </row>
    <row r="119" spans="1:6" x14ac:dyDescent="0.25">
      <c r="A119">
        <f>'2020_B5'!A23</f>
        <v>251</v>
      </c>
      <c r="B119">
        <f>'2020_B5'!$E$5</f>
        <v>2011</v>
      </c>
      <c r="C119" t="str">
        <f>'2020_B5'!$E$6</f>
        <v>Deutsche</v>
      </c>
      <c r="D119" t="s">
        <v>4</v>
      </c>
      <c r="E119" t="str">
        <f>VLOOKUP(A119,[1]Kreise!$A$1:$C$53,3,FALSE)</f>
        <v>K03251</v>
      </c>
      <c r="F119">
        <f>'2020_B5'!E23</f>
        <v>54</v>
      </c>
    </row>
    <row r="120" spans="1:6" x14ac:dyDescent="0.25">
      <c r="A120">
        <f>'2020_B5'!A24</f>
        <v>252</v>
      </c>
      <c r="B120">
        <f>'2020_B5'!$E$5</f>
        <v>2011</v>
      </c>
      <c r="C120" t="str">
        <f>'2020_B5'!$E$6</f>
        <v>Deutsche</v>
      </c>
      <c r="D120" t="s">
        <v>4</v>
      </c>
      <c r="E120" t="str">
        <f>VLOOKUP(A120,[1]Kreise!$A$1:$C$53,3,FALSE)</f>
        <v>K03252</v>
      </c>
      <c r="F120">
        <f>'2020_B5'!E24</f>
        <v>62</v>
      </c>
    </row>
    <row r="121" spans="1:6" x14ac:dyDescent="0.25">
      <c r="A121">
        <f>'2020_B5'!A25</f>
        <v>254</v>
      </c>
      <c r="B121">
        <f>'2020_B5'!$E$5</f>
        <v>2011</v>
      </c>
      <c r="C121" t="str">
        <f>'2020_B5'!$E$6</f>
        <v>Deutsche</v>
      </c>
      <c r="D121" t="s">
        <v>4</v>
      </c>
      <c r="E121" t="str">
        <f>VLOOKUP(A121,[1]Kreise!$A$1:$C$53,3,FALSE)</f>
        <v>K03254</v>
      </c>
      <c r="F121">
        <f>'2020_B5'!E25</f>
        <v>79</v>
      </c>
    </row>
    <row r="122" spans="1:6" x14ac:dyDescent="0.25">
      <c r="A122">
        <f>'2020_B5'!A26</f>
        <v>255</v>
      </c>
      <c r="B122">
        <f>'2020_B5'!$E$5</f>
        <v>2011</v>
      </c>
      <c r="C122" t="str">
        <f>'2020_B5'!$E$6</f>
        <v>Deutsche</v>
      </c>
      <c r="D122" t="s">
        <v>4</v>
      </c>
      <c r="E122" t="str">
        <f>VLOOKUP(A122,[1]Kreise!$A$1:$C$53,3,FALSE)</f>
        <v>K03255</v>
      </c>
      <c r="F122">
        <f>'2020_B5'!E26</f>
        <v>11</v>
      </c>
    </row>
    <row r="123" spans="1:6" x14ac:dyDescent="0.25">
      <c r="A123">
        <f>'2020_B5'!A27</f>
        <v>256</v>
      </c>
      <c r="B123">
        <f>'2020_B5'!$E$5</f>
        <v>2011</v>
      </c>
      <c r="C123" t="str">
        <f>'2020_B5'!$E$6</f>
        <v>Deutsche</v>
      </c>
      <c r="D123" t="s">
        <v>4</v>
      </c>
      <c r="E123" t="str">
        <f>VLOOKUP(A123,[1]Kreise!$A$1:$C$53,3,FALSE)</f>
        <v>K03256</v>
      </c>
      <c r="F123">
        <f>'2020_B5'!E27</f>
        <v>23</v>
      </c>
    </row>
    <row r="124" spans="1:6" x14ac:dyDescent="0.25">
      <c r="A124">
        <f>'2020_B5'!A28</f>
        <v>257</v>
      </c>
      <c r="B124">
        <f>'2020_B5'!$E$5</f>
        <v>2011</v>
      </c>
      <c r="C124" t="str">
        <f>'2020_B5'!$E$6</f>
        <v>Deutsche</v>
      </c>
      <c r="D124" t="s">
        <v>4</v>
      </c>
      <c r="E124" t="str">
        <f>VLOOKUP(A124,[1]Kreise!$A$1:$C$53,3,FALSE)</f>
        <v>K03257</v>
      </c>
      <c r="F124">
        <f>'2020_B5'!E28</f>
        <v>38</v>
      </c>
    </row>
    <row r="125" spans="1:6" x14ac:dyDescent="0.25">
      <c r="A125">
        <f>'2020_B5'!A29</f>
        <v>2</v>
      </c>
      <c r="B125">
        <f>'2020_B5'!$E$5</f>
        <v>2011</v>
      </c>
      <c r="C125" t="str">
        <f>'2020_B5'!$E$6</f>
        <v>Deutsche</v>
      </c>
      <c r="D125" t="s">
        <v>4</v>
      </c>
      <c r="E125" t="str">
        <f>VLOOKUP(A125,[1]Kreise!$A$1:$C$53,3,FALSE)</f>
        <v>K032</v>
      </c>
      <c r="F125">
        <f>'2020_B5'!E29</f>
        <v>519</v>
      </c>
    </row>
    <row r="126" spans="1:6" x14ac:dyDescent="0.25">
      <c r="A126">
        <f>'2020_B5'!A30</f>
        <v>351</v>
      </c>
      <c r="B126">
        <f>'2020_B5'!$E$5</f>
        <v>2011</v>
      </c>
      <c r="C126" t="str">
        <f>'2020_B5'!$E$6</f>
        <v>Deutsche</v>
      </c>
      <c r="D126" t="s">
        <v>4</v>
      </c>
      <c r="E126" t="str">
        <f>VLOOKUP(A126,[1]Kreise!$A$1:$C$53,3,FALSE)</f>
        <v>K03351</v>
      </c>
      <c r="F126">
        <f>'2020_B5'!E30</f>
        <v>52</v>
      </c>
    </row>
    <row r="127" spans="1:6" x14ac:dyDescent="0.25">
      <c r="A127">
        <f>'2020_B5'!A31</f>
        <v>352</v>
      </c>
      <c r="B127">
        <f>'2020_B5'!$E$5</f>
        <v>2011</v>
      </c>
      <c r="C127" t="str">
        <f>'2020_B5'!$E$6</f>
        <v>Deutsche</v>
      </c>
      <c r="D127" t="s">
        <v>4</v>
      </c>
      <c r="E127" t="str">
        <f>VLOOKUP(A127,[1]Kreise!$A$1:$C$53,3,FALSE)</f>
        <v>K03352</v>
      </c>
      <c r="F127">
        <f>'2020_B5'!E31</f>
        <v>48</v>
      </c>
    </row>
    <row r="128" spans="1:6" x14ac:dyDescent="0.25">
      <c r="A128">
        <f>'2020_B5'!A32</f>
        <v>353</v>
      </c>
      <c r="B128">
        <f>'2020_B5'!$E$5</f>
        <v>2011</v>
      </c>
      <c r="C128" t="str">
        <f>'2020_B5'!$E$6</f>
        <v>Deutsche</v>
      </c>
      <c r="D128" t="s">
        <v>4</v>
      </c>
      <c r="E128" t="str">
        <f>VLOOKUP(A128,[1]Kreise!$A$1:$C$53,3,FALSE)</f>
        <v>K03353</v>
      </c>
      <c r="F128">
        <f>'2020_B5'!E32</f>
        <v>51</v>
      </c>
    </row>
    <row r="129" spans="1:6" x14ac:dyDescent="0.25">
      <c r="A129">
        <f>'2020_B5'!A33</f>
        <v>354</v>
      </c>
      <c r="B129">
        <f>'2020_B5'!$E$5</f>
        <v>2011</v>
      </c>
      <c r="C129" t="str">
        <f>'2020_B5'!$E$6</f>
        <v>Deutsche</v>
      </c>
      <c r="D129" t="s">
        <v>4</v>
      </c>
      <c r="E129" t="str">
        <f>VLOOKUP(A129,[1]Kreise!$A$1:$C$53,3,FALSE)</f>
        <v>K03354</v>
      </c>
      <c r="F129">
        <f>'2020_B5'!E33</f>
        <v>10</v>
      </c>
    </row>
    <row r="130" spans="1:6" x14ac:dyDescent="0.25">
      <c r="A130">
        <f>'2020_B5'!A34</f>
        <v>355</v>
      </c>
      <c r="B130">
        <f>'2020_B5'!$E$5</f>
        <v>2011</v>
      </c>
      <c r="C130" t="str">
        <f>'2020_B5'!$E$6</f>
        <v>Deutsche</v>
      </c>
      <c r="D130" t="s">
        <v>4</v>
      </c>
      <c r="E130" t="str">
        <f>VLOOKUP(A130,[1]Kreise!$A$1:$C$53,3,FALSE)</f>
        <v>K03355</v>
      </c>
      <c r="F130">
        <f>'2020_B5'!E34</f>
        <v>35</v>
      </c>
    </row>
    <row r="131" spans="1:6" x14ac:dyDescent="0.25">
      <c r="A131">
        <f>'2020_B5'!A35</f>
        <v>356</v>
      </c>
      <c r="B131">
        <f>'2020_B5'!$E$5</f>
        <v>2011</v>
      </c>
      <c r="C131" t="str">
        <f>'2020_B5'!$E$6</f>
        <v>Deutsche</v>
      </c>
      <c r="D131" t="s">
        <v>4</v>
      </c>
      <c r="E131" t="str">
        <f>VLOOKUP(A131,[1]Kreise!$A$1:$C$53,3,FALSE)</f>
        <v>K03356</v>
      </c>
      <c r="F131">
        <f>'2020_B5'!E35</f>
        <v>24</v>
      </c>
    </row>
    <row r="132" spans="1:6" x14ac:dyDescent="0.25">
      <c r="A132">
        <f>'2020_B5'!A36</f>
        <v>357</v>
      </c>
      <c r="B132">
        <f>'2020_B5'!$E$5</f>
        <v>2011</v>
      </c>
      <c r="C132" t="str">
        <f>'2020_B5'!$E$6</f>
        <v>Deutsche</v>
      </c>
      <c r="D132" t="s">
        <v>4</v>
      </c>
      <c r="E132" t="str">
        <f>VLOOKUP(A132,[1]Kreise!$A$1:$C$53,3,FALSE)</f>
        <v>K03357</v>
      </c>
      <c r="F132">
        <f>'2020_B5'!E36</f>
        <v>45</v>
      </c>
    </row>
    <row r="133" spans="1:6" x14ac:dyDescent="0.25">
      <c r="A133">
        <f>'2020_B5'!A37</f>
        <v>358</v>
      </c>
      <c r="B133">
        <f>'2020_B5'!$E$5</f>
        <v>2011</v>
      </c>
      <c r="C133" t="str">
        <f>'2020_B5'!$E$6</f>
        <v>Deutsche</v>
      </c>
      <c r="D133" t="s">
        <v>4</v>
      </c>
      <c r="E133" t="str">
        <f>VLOOKUP(A133,[1]Kreise!$A$1:$C$53,3,FALSE)</f>
        <v>K03358</v>
      </c>
      <c r="F133">
        <f>'2020_B5'!E37</f>
        <v>43</v>
      </c>
    </row>
    <row r="134" spans="1:6" x14ac:dyDescent="0.25">
      <c r="A134">
        <f>'2020_B5'!A38</f>
        <v>359</v>
      </c>
      <c r="B134">
        <f>'2020_B5'!$E$5</f>
        <v>2011</v>
      </c>
      <c r="C134" t="str">
        <f>'2020_B5'!$E$6</f>
        <v>Deutsche</v>
      </c>
      <c r="D134" t="s">
        <v>4</v>
      </c>
      <c r="E134" t="str">
        <f>VLOOKUP(A134,[1]Kreise!$A$1:$C$53,3,FALSE)</f>
        <v>K03359</v>
      </c>
      <c r="F134">
        <f>'2020_B5'!E38</f>
        <v>51</v>
      </c>
    </row>
    <row r="135" spans="1:6" x14ac:dyDescent="0.25">
      <c r="A135">
        <f>'2020_B5'!A39</f>
        <v>360</v>
      </c>
      <c r="B135">
        <f>'2020_B5'!$E$5</f>
        <v>2011</v>
      </c>
      <c r="C135" t="str">
        <f>'2020_B5'!$E$6</f>
        <v>Deutsche</v>
      </c>
      <c r="D135" t="s">
        <v>4</v>
      </c>
      <c r="E135" t="str">
        <f>VLOOKUP(A135,[1]Kreise!$A$1:$C$53,3,FALSE)</f>
        <v>K03360</v>
      </c>
      <c r="F135">
        <f>'2020_B5'!E39</f>
        <v>19</v>
      </c>
    </row>
    <row r="136" spans="1:6" x14ac:dyDescent="0.25">
      <c r="A136">
        <f>'2020_B5'!A40</f>
        <v>361</v>
      </c>
      <c r="B136">
        <f>'2020_B5'!$E$5</f>
        <v>2011</v>
      </c>
      <c r="C136" t="str">
        <f>'2020_B5'!$E$6</f>
        <v>Deutsche</v>
      </c>
      <c r="D136" t="s">
        <v>4</v>
      </c>
      <c r="E136" t="str">
        <f>VLOOKUP(A136,[1]Kreise!$A$1:$C$53,3,FALSE)</f>
        <v>K03361</v>
      </c>
      <c r="F136">
        <f>'2020_B5'!E40</f>
        <v>25</v>
      </c>
    </row>
    <row r="137" spans="1:6" x14ac:dyDescent="0.25">
      <c r="A137">
        <f>'2020_B5'!A41</f>
        <v>3</v>
      </c>
      <c r="B137">
        <f>'2020_B5'!$E$5</f>
        <v>2011</v>
      </c>
      <c r="C137" t="str">
        <f>'2020_B5'!$E$6</f>
        <v>Deutsche</v>
      </c>
      <c r="D137" t="s">
        <v>4</v>
      </c>
      <c r="E137" t="str">
        <f>VLOOKUP(A137,[1]Kreise!$A$1:$C$53,3,FALSE)</f>
        <v>K033</v>
      </c>
      <c r="F137">
        <f>'2020_B5'!E41</f>
        <v>403</v>
      </c>
    </row>
    <row r="138" spans="1:6" x14ac:dyDescent="0.25">
      <c r="A138">
        <f>'2020_B5'!A42</f>
        <v>401</v>
      </c>
      <c r="B138">
        <f>'2020_B5'!$E$5</f>
        <v>2011</v>
      </c>
      <c r="C138" t="str">
        <f>'2020_B5'!$E$6</f>
        <v>Deutsche</v>
      </c>
      <c r="D138" t="s">
        <v>4</v>
      </c>
      <c r="E138" t="str">
        <f>VLOOKUP(A138,[1]Kreise!$A$1:$C$53,3,FALSE)</f>
        <v>K03401</v>
      </c>
      <c r="F138">
        <f>'2020_B5'!E42</f>
        <v>30</v>
      </c>
    </row>
    <row r="139" spans="1:6" x14ac:dyDescent="0.25">
      <c r="A139">
        <f>'2020_B5'!A43</f>
        <v>402</v>
      </c>
      <c r="B139">
        <f>'2020_B5'!$E$5</f>
        <v>2011</v>
      </c>
      <c r="C139" t="str">
        <f>'2020_B5'!$E$6</f>
        <v>Deutsche</v>
      </c>
      <c r="D139" t="s">
        <v>4</v>
      </c>
      <c r="E139" t="str">
        <f>VLOOKUP(A139,[1]Kreise!$A$1:$C$53,3,FALSE)</f>
        <v>K03402</v>
      </c>
      <c r="F139">
        <f>'2020_B5'!E43</f>
        <v>14</v>
      </c>
    </row>
    <row r="140" spans="1:6" x14ac:dyDescent="0.25">
      <c r="A140">
        <f>'2020_B5'!A44</f>
        <v>403</v>
      </c>
      <c r="B140">
        <f>'2020_B5'!$E$5</f>
        <v>2011</v>
      </c>
      <c r="C140" t="str">
        <f>'2020_B5'!$E$6</f>
        <v>Deutsche</v>
      </c>
      <c r="D140" t="s">
        <v>4</v>
      </c>
      <c r="E140" t="str">
        <f>VLOOKUP(A140,[1]Kreise!$A$1:$C$53,3,FALSE)</f>
        <v>K03403</v>
      </c>
      <c r="F140">
        <f>'2020_B5'!E44</f>
        <v>50</v>
      </c>
    </row>
    <row r="141" spans="1:6" x14ac:dyDescent="0.25">
      <c r="A141">
        <f>'2020_B5'!A45</f>
        <v>404</v>
      </c>
      <c r="B141">
        <f>'2020_B5'!$E$5</f>
        <v>2011</v>
      </c>
      <c r="C141" t="str">
        <f>'2020_B5'!$E$6</f>
        <v>Deutsche</v>
      </c>
      <c r="D141" t="s">
        <v>4</v>
      </c>
      <c r="E141" t="str">
        <f>VLOOKUP(A141,[1]Kreise!$A$1:$C$53,3,FALSE)</f>
        <v>K03404</v>
      </c>
      <c r="F141">
        <f>'2020_B5'!E45</f>
        <v>56</v>
      </c>
    </row>
    <row r="142" spans="1:6" x14ac:dyDescent="0.25">
      <c r="A142">
        <f>'2020_B5'!A46</f>
        <v>405</v>
      </c>
      <c r="B142">
        <f>'2020_B5'!$E$5</f>
        <v>2011</v>
      </c>
      <c r="C142" t="str">
        <f>'2020_B5'!$E$6</f>
        <v>Deutsche</v>
      </c>
      <c r="D142" t="s">
        <v>4</v>
      </c>
      <c r="E142" t="str">
        <f>VLOOKUP(A142,[1]Kreise!$A$1:$C$53,3,FALSE)</f>
        <v>K03405</v>
      </c>
      <c r="F142">
        <f>'2020_B5'!E46</f>
        <v>12</v>
      </c>
    </row>
    <row r="143" spans="1:6" x14ac:dyDescent="0.25">
      <c r="A143">
        <f>'2020_B5'!A47</f>
        <v>451</v>
      </c>
      <c r="B143">
        <f>'2020_B5'!$E$5</f>
        <v>2011</v>
      </c>
      <c r="C143" t="str">
        <f>'2020_B5'!$E$6</f>
        <v>Deutsche</v>
      </c>
      <c r="D143" t="s">
        <v>4</v>
      </c>
      <c r="E143" t="str">
        <f>VLOOKUP(A143,[1]Kreise!$A$1:$C$53,3,FALSE)</f>
        <v>K03451</v>
      </c>
      <c r="F143">
        <f>'2020_B5'!E47</f>
        <v>23</v>
      </c>
    </row>
    <row r="144" spans="1:6" x14ac:dyDescent="0.25">
      <c r="A144">
        <f>'2020_B5'!A48</f>
        <v>452</v>
      </c>
      <c r="B144">
        <f>'2020_B5'!$E$5</f>
        <v>2011</v>
      </c>
      <c r="C144" t="str">
        <f>'2020_B5'!$E$6</f>
        <v>Deutsche</v>
      </c>
      <c r="D144" t="s">
        <v>4</v>
      </c>
      <c r="E144" t="str">
        <f>VLOOKUP(A144,[1]Kreise!$A$1:$C$53,3,FALSE)</f>
        <v>K03452</v>
      </c>
      <c r="F144">
        <f>'2020_B5'!E48</f>
        <v>75</v>
      </c>
    </row>
    <row r="145" spans="1:6" x14ac:dyDescent="0.25">
      <c r="A145">
        <f>'2020_B5'!A49</f>
        <v>453</v>
      </c>
      <c r="B145">
        <f>'2020_B5'!$E$5</f>
        <v>2011</v>
      </c>
      <c r="C145" t="str">
        <f>'2020_B5'!$E$6</f>
        <v>Deutsche</v>
      </c>
      <c r="D145" t="s">
        <v>4</v>
      </c>
      <c r="E145" t="str">
        <f>VLOOKUP(A145,[1]Kreise!$A$1:$C$53,3,FALSE)</f>
        <v>K03453</v>
      </c>
      <c r="F145">
        <f>'2020_B5'!E49</f>
        <v>58</v>
      </c>
    </row>
    <row r="146" spans="1:6" x14ac:dyDescent="0.25">
      <c r="A146">
        <f>'2020_B5'!A50</f>
        <v>454</v>
      </c>
      <c r="B146">
        <f>'2020_B5'!$E$5</f>
        <v>2011</v>
      </c>
      <c r="C146" t="str">
        <f>'2020_B5'!$E$6</f>
        <v>Deutsche</v>
      </c>
      <c r="D146" t="s">
        <v>4</v>
      </c>
      <c r="E146" t="str">
        <f>VLOOKUP(A146,[1]Kreise!$A$1:$C$53,3,FALSE)</f>
        <v>K03454</v>
      </c>
      <c r="F146">
        <f>'2020_B5'!E50</f>
        <v>63</v>
      </c>
    </row>
    <row r="147" spans="1:6" x14ac:dyDescent="0.25">
      <c r="A147">
        <f>'2020_B5'!A51</f>
        <v>455</v>
      </c>
      <c r="B147">
        <f>'2020_B5'!$E$5</f>
        <v>2011</v>
      </c>
      <c r="C147" t="str">
        <f>'2020_B5'!$E$6</f>
        <v>Deutsche</v>
      </c>
      <c r="D147" t="s">
        <v>4</v>
      </c>
      <c r="E147" t="str">
        <f>VLOOKUP(A147,[1]Kreise!$A$1:$C$53,3,FALSE)</f>
        <v>K03455</v>
      </c>
      <c r="F147">
        <f>'2020_B5'!E51</f>
        <v>14</v>
      </c>
    </row>
    <row r="148" spans="1:6" x14ac:dyDescent="0.25">
      <c r="A148">
        <f>'2020_B5'!A52</f>
        <v>456</v>
      </c>
      <c r="B148">
        <f>'2020_B5'!$E$5</f>
        <v>2011</v>
      </c>
      <c r="C148" t="str">
        <f>'2020_B5'!$E$6</f>
        <v>Deutsche</v>
      </c>
      <c r="D148" t="s">
        <v>4</v>
      </c>
      <c r="E148" t="str">
        <f>VLOOKUP(A148,[1]Kreise!$A$1:$C$53,3,FALSE)</f>
        <v>K03456</v>
      </c>
      <c r="F148">
        <f>'2020_B5'!E52</f>
        <v>41</v>
      </c>
    </row>
    <row r="149" spans="1:6" x14ac:dyDescent="0.25">
      <c r="A149">
        <f>'2020_B5'!A53</f>
        <v>457</v>
      </c>
      <c r="B149">
        <f>'2020_B5'!$E$5</f>
        <v>2011</v>
      </c>
      <c r="C149" t="str">
        <f>'2020_B5'!$E$6</f>
        <v>Deutsche</v>
      </c>
      <c r="D149" t="s">
        <v>4</v>
      </c>
      <c r="E149" t="str">
        <f>VLOOKUP(A149,[1]Kreise!$A$1:$C$53,3,FALSE)</f>
        <v>K03457</v>
      </c>
      <c r="F149">
        <f>'2020_B5'!E53</f>
        <v>73</v>
      </c>
    </row>
    <row r="150" spans="1:6" x14ac:dyDescent="0.25">
      <c r="A150">
        <f>'2020_B5'!A54</f>
        <v>458</v>
      </c>
      <c r="B150">
        <f>'2020_B5'!$E$5</f>
        <v>2011</v>
      </c>
      <c r="C150" t="str">
        <f>'2020_B5'!$E$6</f>
        <v>Deutsche</v>
      </c>
      <c r="D150" t="s">
        <v>4</v>
      </c>
      <c r="E150" t="str">
        <f>VLOOKUP(A150,[1]Kreise!$A$1:$C$53,3,FALSE)</f>
        <v>K03458</v>
      </c>
      <c r="F150">
        <f>'2020_B5'!E54</f>
        <v>28</v>
      </c>
    </row>
    <row r="151" spans="1:6" x14ac:dyDescent="0.25">
      <c r="A151">
        <f>'2020_B5'!A55</f>
        <v>459</v>
      </c>
      <c r="B151">
        <f>'2020_B5'!$E$5</f>
        <v>2011</v>
      </c>
      <c r="C151" t="str">
        <f>'2020_B5'!$E$6</f>
        <v>Deutsche</v>
      </c>
      <c r="D151" t="s">
        <v>4</v>
      </c>
      <c r="E151" t="str">
        <f>VLOOKUP(A151,[1]Kreise!$A$1:$C$53,3,FALSE)</f>
        <v>K03459</v>
      </c>
      <c r="F151">
        <f>'2020_B5'!E55</f>
        <v>71</v>
      </c>
    </row>
    <row r="152" spans="1:6" x14ac:dyDescent="0.25">
      <c r="A152">
        <f>'2020_B5'!A56</f>
        <v>460</v>
      </c>
      <c r="B152">
        <f>'2020_B5'!$E$5</f>
        <v>2011</v>
      </c>
      <c r="C152" t="str">
        <f>'2020_B5'!$E$6</f>
        <v>Deutsche</v>
      </c>
      <c r="D152" t="s">
        <v>4</v>
      </c>
      <c r="E152" t="str">
        <f>VLOOKUP(A152,[1]Kreise!$A$1:$C$53,3,FALSE)</f>
        <v>K03460</v>
      </c>
      <c r="F152">
        <f>'2020_B5'!E56</f>
        <v>45</v>
      </c>
    </row>
    <row r="153" spans="1:6" x14ac:dyDescent="0.25">
      <c r="A153">
        <f>'2020_B5'!A57</f>
        <v>461</v>
      </c>
      <c r="B153">
        <f>'2020_B5'!$E$5</f>
        <v>2011</v>
      </c>
      <c r="C153" t="str">
        <f>'2020_B5'!$E$6</f>
        <v>Deutsche</v>
      </c>
      <c r="D153" t="s">
        <v>4</v>
      </c>
      <c r="E153" t="str">
        <f>VLOOKUP(A153,[1]Kreise!$A$1:$C$53,3,FALSE)</f>
        <v>K03461</v>
      </c>
      <c r="F153">
        <f>'2020_B5'!E57</f>
        <v>12</v>
      </c>
    </row>
    <row r="154" spans="1:6" x14ac:dyDescent="0.25">
      <c r="A154">
        <f>'2020_B5'!A58</f>
        <v>462</v>
      </c>
      <c r="B154">
        <f>'2020_B5'!$E$5</f>
        <v>2011</v>
      </c>
      <c r="C154" t="str">
        <f>'2020_B5'!$E$6</f>
        <v>Deutsche</v>
      </c>
      <c r="D154" t="s">
        <v>4</v>
      </c>
      <c r="E154" t="str">
        <f>VLOOKUP(A154,[1]Kreise!$A$1:$C$53,3,FALSE)</f>
        <v>K03462</v>
      </c>
      <c r="F154">
        <f>'2020_B5'!E58</f>
        <v>19</v>
      </c>
    </row>
    <row r="155" spans="1:6" x14ac:dyDescent="0.25">
      <c r="A155">
        <f>'2020_B5'!A59</f>
        <v>4</v>
      </c>
      <c r="B155">
        <f>'2020_B5'!$E$5</f>
        <v>2011</v>
      </c>
      <c r="C155" t="str">
        <f>'2020_B5'!$E$6</f>
        <v>Deutsche</v>
      </c>
      <c r="D155" t="s">
        <v>4</v>
      </c>
      <c r="E155" t="str">
        <f>VLOOKUP(A155,[1]Kreise!$A$1:$C$53,3,FALSE)</f>
        <v>K034</v>
      </c>
      <c r="F155">
        <f>'2020_B5'!E59</f>
        <v>684</v>
      </c>
    </row>
    <row r="156" spans="1:6" x14ac:dyDescent="0.25">
      <c r="A156">
        <f>'2020_B5'!A60</f>
        <v>0</v>
      </c>
      <c r="B156">
        <f>'2020_B5'!$E$5</f>
        <v>2011</v>
      </c>
      <c r="C156" t="str">
        <f>'2020_B5'!$E$6</f>
        <v>Deutsche</v>
      </c>
      <c r="D156" t="s">
        <v>4</v>
      </c>
      <c r="E156" t="str">
        <f>VLOOKUP(A156,[1]Kreise!$A$1:$C$53,3,FALSE)</f>
        <v>K030</v>
      </c>
      <c r="F156">
        <f>'2020_B5'!E60</f>
        <v>1995</v>
      </c>
    </row>
    <row r="157" spans="1:6" x14ac:dyDescent="0.25">
      <c r="A157">
        <f>'2020_B5'!A9</f>
        <v>101</v>
      </c>
      <c r="B157">
        <f>'2020_B5'!$E$5</f>
        <v>2011</v>
      </c>
      <c r="C157" t="str">
        <f>'2020_B5'!$D$6</f>
        <v>Ausländerinnen und Ausländer</v>
      </c>
      <c r="D157" t="s">
        <v>4</v>
      </c>
      <c r="E157" t="str">
        <f>VLOOKUP(A157,[1]Kreise!$A$1:$C$53,3,FALSE)</f>
        <v>K03101</v>
      </c>
      <c r="F157">
        <f>'2020_B5'!F9</f>
        <v>17</v>
      </c>
    </row>
    <row r="158" spans="1:6" x14ac:dyDescent="0.25">
      <c r="A158">
        <f>'2020_B5'!A10</f>
        <v>102</v>
      </c>
      <c r="B158">
        <f>'2020_B5'!$E$5</f>
        <v>2011</v>
      </c>
      <c r="C158" t="str">
        <f>'2020_B5'!$D$6</f>
        <v>Ausländerinnen und Ausländer</v>
      </c>
      <c r="D158" t="s">
        <v>4</v>
      </c>
      <c r="E158" t="str">
        <f>VLOOKUP(A158,[1]Kreise!$A$1:$C$53,3,FALSE)</f>
        <v>K03102</v>
      </c>
      <c r="F158">
        <f>'2020_B5'!F10</f>
        <v>7</v>
      </c>
    </row>
    <row r="159" spans="1:6" x14ac:dyDescent="0.25">
      <c r="A159">
        <f>'2020_B5'!A11</f>
        <v>103</v>
      </c>
      <c r="B159">
        <f>'2020_B5'!$E$5</f>
        <v>2011</v>
      </c>
      <c r="C159" t="str">
        <f>'2020_B5'!$D$6</f>
        <v>Ausländerinnen und Ausländer</v>
      </c>
      <c r="D159" t="s">
        <v>4</v>
      </c>
      <c r="E159" t="str">
        <f>VLOOKUP(A159,[1]Kreise!$A$1:$C$53,3,FALSE)</f>
        <v>K03103</v>
      </c>
      <c r="F159">
        <f>'2020_B5'!F11</f>
        <v>7</v>
      </c>
    </row>
    <row r="160" spans="1:6" x14ac:dyDescent="0.25">
      <c r="A160">
        <f>'2020_B5'!A12</f>
        <v>151</v>
      </c>
      <c r="B160">
        <f>'2020_B5'!$E$5</f>
        <v>2011</v>
      </c>
      <c r="C160" t="str">
        <f>'2020_B5'!$D$6</f>
        <v>Ausländerinnen und Ausländer</v>
      </c>
      <c r="D160" t="s">
        <v>4</v>
      </c>
      <c r="E160" t="str">
        <f>VLOOKUP(A160,[1]Kreise!$A$1:$C$53,3,FALSE)</f>
        <v>K03151</v>
      </c>
      <c r="F160">
        <f>'2020_B5'!F12</f>
        <v>25</v>
      </c>
    </row>
    <row r="161" spans="1:6" x14ac:dyDescent="0.25">
      <c r="A161">
        <f>'2020_B5'!A13</f>
        <v>153</v>
      </c>
      <c r="B161">
        <f>'2020_B5'!$E$5</f>
        <v>2011</v>
      </c>
      <c r="C161" t="str">
        <f>'2020_B5'!$D$6</f>
        <v>Ausländerinnen und Ausländer</v>
      </c>
      <c r="D161" t="s">
        <v>4</v>
      </c>
      <c r="E161" t="str">
        <f>VLOOKUP(A161,[1]Kreise!$A$1:$C$53,3,FALSE)</f>
        <v>K03153</v>
      </c>
      <c r="F161">
        <f>'2020_B5'!F13</f>
        <v>13</v>
      </c>
    </row>
    <row r="162" spans="1:6" x14ac:dyDescent="0.25">
      <c r="A162">
        <f>'2020_B5'!A14</f>
        <v>154</v>
      </c>
      <c r="B162">
        <f>'2020_B5'!$E$5</f>
        <v>2011</v>
      </c>
      <c r="C162" t="str">
        <f>'2020_B5'!$D$6</f>
        <v>Ausländerinnen und Ausländer</v>
      </c>
      <c r="D162" t="s">
        <v>4</v>
      </c>
      <c r="E162" t="str">
        <f>VLOOKUP(A162,[1]Kreise!$A$1:$C$53,3,FALSE)</f>
        <v>K03154</v>
      </c>
      <c r="F162">
        <f>'2020_B5'!F14</f>
        <v>3</v>
      </c>
    </row>
    <row r="163" spans="1:6" x14ac:dyDescent="0.25">
      <c r="A163">
        <f>'2020_B5'!A15</f>
        <v>155</v>
      </c>
      <c r="B163">
        <f>'2020_B5'!$E$5</f>
        <v>2011</v>
      </c>
      <c r="C163" t="str">
        <f>'2020_B5'!$D$6</f>
        <v>Ausländerinnen und Ausländer</v>
      </c>
      <c r="D163" t="s">
        <v>4</v>
      </c>
      <c r="E163" t="str">
        <f>VLOOKUP(A163,[1]Kreise!$A$1:$C$53,3,FALSE)</f>
        <v>K03155</v>
      </c>
      <c r="F163">
        <f>'2020_B5'!F15</f>
        <v>13</v>
      </c>
    </row>
    <row r="164" spans="1:6" x14ac:dyDescent="0.25">
      <c r="A164">
        <f>'2020_B5'!A16</f>
        <v>157</v>
      </c>
      <c r="B164">
        <f>'2020_B5'!$E$5</f>
        <v>2011</v>
      </c>
      <c r="C164" t="str">
        <f>'2020_B5'!$D$6</f>
        <v>Ausländerinnen und Ausländer</v>
      </c>
      <c r="D164" t="s">
        <v>4</v>
      </c>
      <c r="E164" t="str">
        <f>VLOOKUP(A164,[1]Kreise!$A$1:$C$53,3,FALSE)</f>
        <v>K03157</v>
      </c>
      <c r="F164">
        <f>'2020_B5'!F16</f>
        <v>12</v>
      </c>
    </row>
    <row r="165" spans="1:6" x14ac:dyDescent="0.25">
      <c r="A165">
        <f>'2020_B5'!A17</f>
        <v>158</v>
      </c>
      <c r="B165">
        <f>'2020_B5'!$E$5</f>
        <v>2011</v>
      </c>
      <c r="C165" t="str">
        <f>'2020_B5'!$D$6</f>
        <v>Ausländerinnen und Ausländer</v>
      </c>
      <c r="D165" t="s">
        <v>4</v>
      </c>
      <c r="E165" t="str">
        <f>VLOOKUP(A165,[1]Kreise!$A$1:$C$53,3,FALSE)</f>
        <v>K03158</v>
      </c>
      <c r="F165">
        <f>'2020_B5'!F17</f>
        <v>6</v>
      </c>
    </row>
    <row r="166" spans="1:6" x14ac:dyDescent="0.25">
      <c r="A166">
        <f>'2020_B5'!A18</f>
        <v>159</v>
      </c>
      <c r="B166">
        <f>'2020_B5'!$E$5</f>
        <v>2011</v>
      </c>
      <c r="C166" t="str">
        <f>'2020_B5'!$D$6</f>
        <v>Ausländerinnen und Ausländer</v>
      </c>
      <c r="D166" t="s">
        <v>4</v>
      </c>
      <c r="E166" t="str">
        <f>VLOOKUP(A166,[1]Kreise!$A$1:$C$53,3,FALSE)</f>
        <v>K03159</v>
      </c>
      <c r="F166">
        <f>'2020_B5'!F18</f>
        <v>37</v>
      </c>
    </row>
    <row r="167" spans="1:6" x14ac:dyDescent="0.25">
      <c r="A167">
        <f>'2020_B5'!A19</f>
        <v>1</v>
      </c>
      <c r="B167">
        <f>'2020_B5'!$E$5</f>
        <v>2011</v>
      </c>
      <c r="C167" t="str">
        <f>'2020_B5'!$D$6</f>
        <v>Ausländerinnen und Ausländer</v>
      </c>
      <c r="D167" t="s">
        <v>4</v>
      </c>
      <c r="E167" t="str">
        <f>VLOOKUP(A167,[1]Kreise!$A$1:$C$53,3,FALSE)</f>
        <v>K031</v>
      </c>
      <c r="F167">
        <f>'2020_B5'!F19</f>
        <v>140</v>
      </c>
    </row>
    <row r="168" spans="1:6" x14ac:dyDescent="0.25">
      <c r="A168">
        <f>'2020_B5'!A20</f>
        <v>241</v>
      </c>
      <c r="B168">
        <f>'2020_B5'!$E$5</f>
        <v>2011</v>
      </c>
      <c r="C168" t="str">
        <f>'2020_B5'!$D$6</f>
        <v>Ausländerinnen und Ausländer</v>
      </c>
      <c r="D168" t="s">
        <v>4</v>
      </c>
      <c r="E168" t="str">
        <f>VLOOKUP(A168,[1]Kreise!$A$1:$C$53,3,FALSE)</f>
        <v>K03241</v>
      </c>
      <c r="F168">
        <f>'2020_B5'!F20</f>
        <v>187</v>
      </c>
    </row>
    <row r="169" spans="1:6" x14ac:dyDescent="0.25">
      <c r="A169">
        <f>'2020_B5'!A21</f>
        <v>241001</v>
      </c>
      <c r="B169">
        <f>'2020_B5'!$E$5</f>
        <v>2011</v>
      </c>
      <c r="C169" t="str">
        <f>'2020_B5'!$D$6</f>
        <v>Ausländerinnen und Ausländer</v>
      </c>
      <c r="D169" t="s">
        <v>4</v>
      </c>
      <c r="E169" t="str">
        <f>VLOOKUP(A169,[1]Kreise!$A$1:$C$53,3,FALSE)</f>
        <v>K03241001</v>
      </c>
      <c r="F169">
        <f>'2020_B5'!F21</f>
        <v>121</v>
      </c>
    </row>
    <row r="170" spans="1:6" x14ac:dyDescent="0.25">
      <c r="A170">
        <f>'2020_B5'!A22</f>
        <v>241999</v>
      </c>
      <c r="B170">
        <f>'2020_B5'!$E$5</f>
        <v>2011</v>
      </c>
      <c r="C170" t="str">
        <f>'2020_B5'!$D$6</f>
        <v>Ausländerinnen und Ausländer</v>
      </c>
      <c r="D170" t="s">
        <v>4</v>
      </c>
      <c r="E170" t="str">
        <f>VLOOKUP(A170,[1]Kreise!$A$1:$C$53,3,FALSE)</f>
        <v>K03241999</v>
      </c>
      <c r="F170">
        <f>'2020_B5'!F22</f>
        <v>66</v>
      </c>
    </row>
    <row r="171" spans="1:6" x14ac:dyDescent="0.25">
      <c r="A171">
        <f>'2020_B5'!A23</f>
        <v>251</v>
      </c>
      <c r="B171">
        <f>'2020_B5'!$E$5</f>
        <v>2011</v>
      </c>
      <c r="C171" t="str">
        <f>'2020_B5'!$D$6</f>
        <v>Ausländerinnen und Ausländer</v>
      </c>
      <c r="D171" t="s">
        <v>4</v>
      </c>
      <c r="E171" t="str">
        <f>VLOOKUP(A171,[1]Kreise!$A$1:$C$53,3,FALSE)</f>
        <v>K03251</v>
      </c>
      <c r="F171">
        <f>'2020_B5'!F23</f>
        <v>10</v>
      </c>
    </row>
    <row r="172" spans="1:6" x14ac:dyDescent="0.25">
      <c r="A172">
        <f>'2020_B5'!A24</f>
        <v>252</v>
      </c>
      <c r="B172">
        <f>'2020_B5'!$E$5</f>
        <v>2011</v>
      </c>
      <c r="C172" t="str">
        <f>'2020_B5'!$D$6</f>
        <v>Ausländerinnen und Ausländer</v>
      </c>
      <c r="D172" t="s">
        <v>4</v>
      </c>
      <c r="E172" t="str">
        <f>VLOOKUP(A172,[1]Kreise!$A$1:$C$53,3,FALSE)</f>
        <v>K03252</v>
      </c>
      <c r="F172">
        <f>'2020_B5'!F24</f>
        <v>19</v>
      </c>
    </row>
    <row r="173" spans="1:6" x14ac:dyDescent="0.25">
      <c r="A173">
        <f>'2020_B5'!A25</f>
        <v>254</v>
      </c>
      <c r="B173">
        <f>'2020_B5'!$E$5</f>
        <v>2011</v>
      </c>
      <c r="C173" t="str">
        <f>'2020_B5'!$D$6</f>
        <v>Ausländerinnen und Ausländer</v>
      </c>
      <c r="D173" t="s">
        <v>4</v>
      </c>
      <c r="E173" t="str">
        <f>VLOOKUP(A173,[1]Kreise!$A$1:$C$53,3,FALSE)</f>
        <v>K03254</v>
      </c>
      <c r="F173">
        <f>'2020_B5'!F25</f>
        <v>32</v>
      </c>
    </row>
    <row r="174" spans="1:6" x14ac:dyDescent="0.25">
      <c r="A174">
        <f>'2020_B5'!A26</f>
        <v>255</v>
      </c>
      <c r="B174">
        <f>'2020_B5'!$E$5</f>
        <v>2011</v>
      </c>
      <c r="C174" t="str">
        <f>'2020_B5'!$D$6</f>
        <v>Ausländerinnen und Ausländer</v>
      </c>
      <c r="D174" t="s">
        <v>4</v>
      </c>
      <c r="E174" t="str">
        <f>VLOOKUP(A174,[1]Kreise!$A$1:$C$53,3,FALSE)</f>
        <v>K03255</v>
      </c>
      <c r="F174">
        <f>'2020_B5'!F26</f>
        <v>2</v>
      </c>
    </row>
    <row r="175" spans="1:6" x14ac:dyDescent="0.25">
      <c r="A175">
        <f>'2020_B5'!A27</f>
        <v>256</v>
      </c>
      <c r="B175">
        <f>'2020_B5'!$E$5</f>
        <v>2011</v>
      </c>
      <c r="C175" t="str">
        <f>'2020_B5'!$D$6</f>
        <v>Ausländerinnen und Ausländer</v>
      </c>
      <c r="D175" t="s">
        <v>4</v>
      </c>
      <c r="E175" t="str">
        <f>VLOOKUP(A175,[1]Kreise!$A$1:$C$53,3,FALSE)</f>
        <v>K03256</v>
      </c>
      <c r="F175">
        <f>'2020_B5'!F27</f>
        <v>17</v>
      </c>
    </row>
    <row r="176" spans="1:6" x14ac:dyDescent="0.25">
      <c r="A176">
        <f>'2020_B5'!A28</f>
        <v>257</v>
      </c>
      <c r="B176">
        <f>'2020_B5'!$E$5</f>
        <v>2011</v>
      </c>
      <c r="C176" t="str">
        <f>'2020_B5'!$D$6</f>
        <v>Ausländerinnen und Ausländer</v>
      </c>
      <c r="D176" t="s">
        <v>4</v>
      </c>
      <c r="E176" t="str">
        <f>VLOOKUP(A176,[1]Kreise!$A$1:$C$53,3,FALSE)</f>
        <v>K03257</v>
      </c>
      <c r="F176">
        <f>'2020_B5'!F28</f>
        <v>15</v>
      </c>
    </row>
    <row r="177" spans="1:6" x14ac:dyDescent="0.25">
      <c r="A177">
        <f>'2020_B5'!A29</f>
        <v>2</v>
      </c>
      <c r="B177">
        <f>'2020_B5'!$E$5</f>
        <v>2011</v>
      </c>
      <c r="C177" t="str">
        <f>'2020_B5'!$D$6</f>
        <v>Ausländerinnen und Ausländer</v>
      </c>
      <c r="D177" t="s">
        <v>4</v>
      </c>
      <c r="E177" t="str">
        <f>VLOOKUP(A177,[1]Kreise!$A$1:$C$53,3,FALSE)</f>
        <v>K032</v>
      </c>
      <c r="F177">
        <f>'2020_B5'!F29</f>
        <v>282</v>
      </c>
    </row>
    <row r="178" spans="1:6" x14ac:dyDescent="0.25">
      <c r="A178">
        <f>'2020_B5'!A30</f>
        <v>351</v>
      </c>
      <c r="B178">
        <f>'2020_B5'!$E$5</f>
        <v>2011</v>
      </c>
      <c r="C178" t="str">
        <f>'2020_B5'!$D$6</f>
        <v>Ausländerinnen und Ausländer</v>
      </c>
      <c r="D178" t="s">
        <v>4</v>
      </c>
      <c r="E178" t="str">
        <f>VLOOKUP(A178,[1]Kreise!$A$1:$C$53,3,FALSE)</f>
        <v>K03351</v>
      </c>
      <c r="F178">
        <f>'2020_B5'!F30</f>
        <v>10</v>
      </c>
    </row>
    <row r="179" spans="1:6" x14ac:dyDescent="0.25">
      <c r="A179">
        <f>'2020_B5'!A31</f>
        <v>352</v>
      </c>
      <c r="B179">
        <f>'2020_B5'!$E$5</f>
        <v>2011</v>
      </c>
      <c r="C179" t="str">
        <f>'2020_B5'!$D$6</f>
        <v>Ausländerinnen und Ausländer</v>
      </c>
      <c r="D179" t="s">
        <v>4</v>
      </c>
      <c r="E179" t="str">
        <f>VLOOKUP(A179,[1]Kreise!$A$1:$C$53,3,FALSE)</f>
        <v>K03352</v>
      </c>
      <c r="F179">
        <f>'2020_B5'!F31</f>
        <v>16</v>
      </c>
    </row>
    <row r="180" spans="1:6" x14ac:dyDescent="0.25">
      <c r="A180">
        <f>'2020_B5'!A32</f>
        <v>353</v>
      </c>
      <c r="B180">
        <f>'2020_B5'!$E$5</f>
        <v>2011</v>
      </c>
      <c r="C180" t="str">
        <f>'2020_B5'!$D$6</f>
        <v>Ausländerinnen und Ausländer</v>
      </c>
      <c r="D180" t="s">
        <v>4</v>
      </c>
      <c r="E180" t="str">
        <f>VLOOKUP(A180,[1]Kreise!$A$1:$C$53,3,FALSE)</f>
        <v>K03353</v>
      </c>
      <c r="F180">
        <f>'2020_B5'!F32</f>
        <v>20</v>
      </c>
    </row>
    <row r="181" spans="1:6" x14ac:dyDescent="0.25">
      <c r="A181">
        <f>'2020_B5'!A33</f>
        <v>354</v>
      </c>
      <c r="B181">
        <f>'2020_B5'!$E$5</f>
        <v>2011</v>
      </c>
      <c r="C181" t="str">
        <f>'2020_B5'!$D$6</f>
        <v>Ausländerinnen und Ausländer</v>
      </c>
      <c r="D181" t="s">
        <v>4</v>
      </c>
      <c r="E181" t="str">
        <f>VLOOKUP(A181,[1]Kreise!$A$1:$C$53,3,FALSE)</f>
        <v>K03354</v>
      </c>
      <c r="F181">
        <f>'2020_B5'!F33</f>
        <v>2</v>
      </c>
    </row>
    <row r="182" spans="1:6" x14ac:dyDescent="0.25">
      <c r="A182">
        <f>'2020_B5'!A34</f>
        <v>355</v>
      </c>
      <c r="B182">
        <f>'2020_B5'!$E$5</f>
        <v>2011</v>
      </c>
      <c r="C182" t="str">
        <f>'2020_B5'!$D$6</f>
        <v>Ausländerinnen und Ausländer</v>
      </c>
      <c r="D182" t="s">
        <v>4</v>
      </c>
      <c r="E182" t="str">
        <f>VLOOKUP(A182,[1]Kreise!$A$1:$C$53,3,FALSE)</f>
        <v>K03355</v>
      </c>
      <c r="F182">
        <f>'2020_B5'!F34</f>
        <v>4</v>
      </c>
    </row>
    <row r="183" spans="1:6" x14ac:dyDescent="0.25">
      <c r="A183">
        <f>'2020_B5'!A35</f>
        <v>356</v>
      </c>
      <c r="B183">
        <f>'2020_B5'!$E$5</f>
        <v>2011</v>
      </c>
      <c r="C183" t="str">
        <f>'2020_B5'!$D$6</f>
        <v>Ausländerinnen und Ausländer</v>
      </c>
      <c r="D183" t="s">
        <v>4</v>
      </c>
      <c r="E183" t="str">
        <f>VLOOKUP(A183,[1]Kreise!$A$1:$C$53,3,FALSE)</f>
        <v>K03356</v>
      </c>
      <c r="F183">
        <f>'2020_B5'!F35</f>
        <v>8</v>
      </c>
    </row>
    <row r="184" spans="1:6" x14ac:dyDescent="0.25">
      <c r="A184">
        <f>'2020_B5'!A36</f>
        <v>357</v>
      </c>
      <c r="B184">
        <f>'2020_B5'!$E$5</f>
        <v>2011</v>
      </c>
      <c r="C184" t="str">
        <f>'2020_B5'!$D$6</f>
        <v>Ausländerinnen und Ausländer</v>
      </c>
      <c r="D184" t="s">
        <v>4</v>
      </c>
      <c r="E184" t="str">
        <f>VLOOKUP(A184,[1]Kreise!$A$1:$C$53,3,FALSE)</f>
        <v>K03357</v>
      </c>
      <c r="F184">
        <f>'2020_B5'!F36</f>
        <v>13</v>
      </c>
    </row>
    <row r="185" spans="1:6" x14ac:dyDescent="0.25">
      <c r="A185">
        <f>'2020_B5'!A37</f>
        <v>358</v>
      </c>
      <c r="B185">
        <f>'2020_B5'!$E$5</f>
        <v>2011</v>
      </c>
      <c r="C185" t="str">
        <f>'2020_B5'!$D$6</f>
        <v>Ausländerinnen und Ausländer</v>
      </c>
      <c r="D185" t="s">
        <v>4</v>
      </c>
      <c r="E185" t="str">
        <f>VLOOKUP(A185,[1]Kreise!$A$1:$C$53,3,FALSE)</f>
        <v>K03358</v>
      </c>
      <c r="F185">
        <f>'2020_B5'!F37</f>
        <v>10</v>
      </c>
    </row>
    <row r="186" spans="1:6" x14ac:dyDescent="0.25">
      <c r="A186">
        <f>'2020_B5'!A38</f>
        <v>359</v>
      </c>
      <c r="B186">
        <f>'2020_B5'!$E$5</f>
        <v>2011</v>
      </c>
      <c r="C186" t="str">
        <f>'2020_B5'!$D$6</f>
        <v>Ausländerinnen und Ausländer</v>
      </c>
      <c r="D186" t="s">
        <v>4</v>
      </c>
      <c r="E186" t="str">
        <f>VLOOKUP(A186,[1]Kreise!$A$1:$C$53,3,FALSE)</f>
        <v>K03359</v>
      </c>
      <c r="F186">
        <f>'2020_B5'!F38</f>
        <v>15</v>
      </c>
    </row>
    <row r="187" spans="1:6" x14ac:dyDescent="0.25">
      <c r="A187">
        <f>'2020_B5'!A39</f>
        <v>360</v>
      </c>
      <c r="B187">
        <f>'2020_B5'!$E$5</f>
        <v>2011</v>
      </c>
      <c r="C187" t="str">
        <f>'2020_B5'!$D$6</f>
        <v>Ausländerinnen und Ausländer</v>
      </c>
      <c r="D187" t="s">
        <v>4</v>
      </c>
      <c r="E187" t="str">
        <f>VLOOKUP(A187,[1]Kreise!$A$1:$C$53,3,FALSE)</f>
        <v>K03360</v>
      </c>
      <c r="F187">
        <f>'2020_B5'!F39</f>
        <v>1</v>
      </c>
    </row>
    <row r="188" spans="1:6" x14ac:dyDescent="0.25">
      <c r="A188">
        <f>'2020_B5'!A40</f>
        <v>361</v>
      </c>
      <c r="B188">
        <f>'2020_B5'!$E$5</f>
        <v>2011</v>
      </c>
      <c r="C188" t="str">
        <f>'2020_B5'!$D$6</f>
        <v>Ausländerinnen und Ausländer</v>
      </c>
      <c r="D188" t="s">
        <v>4</v>
      </c>
      <c r="E188" t="str">
        <f>VLOOKUP(A188,[1]Kreise!$A$1:$C$53,3,FALSE)</f>
        <v>K03361</v>
      </c>
      <c r="F188">
        <f>'2020_B5'!F40</f>
        <v>18</v>
      </c>
    </row>
    <row r="189" spans="1:6" x14ac:dyDescent="0.25">
      <c r="A189">
        <f>'2020_B5'!A41</f>
        <v>3</v>
      </c>
      <c r="B189">
        <f>'2020_B5'!$E$5</f>
        <v>2011</v>
      </c>
      <c r="C189" t="str">
        <f>'2020_B5'!$D$6</f>
        <v>Ausländerinnen und Ausländer</v>
      </c>
      <c r="D189" t="s">
        <v>4</v>
      </c>
      <c r="E189" t="str">
        <f>VLOOKUP(A189,[1]Kreise!$A$1:$C$53,3,FALSE)</f>
        <v>K033</v>
      </c>
      <c r="F189">
        <f>'2020_B5'!F41</f>
        <v>117</v>
      </c>
    </row>
    <row r="190" spans="1:6" x14ac:dyDescent="0.25">
      <c r="A190">
        <f>'2020_B5'!A42</f>
        <v>401</v>
      </c>
      <c r="B190">
        <f>'2020_B5'!$E$5</f>
        <v>2011</v>
      </c>
      <c r="C190" t="str">
        <f>'2020_B5'!$D$6</f>
        <v>Ausländerinnen und Ausländer</v>
      </c>
      <c r="D190" t="s">
        <v>4</v>
      </c>
      <c r="E190" t="str">
        <f>VLOOKUP(A190,[1]Kreise!$A$1:$C$53,3,FALSE)</f>
        <v>K03401</v>
      </c>
      <c r="F190">
        <f>'2020_B5'!F42</f>
        <v>28</v>
      </c>
    </row>
    <row r="191" spans="1:6" x14ac:dyDescent="0.25">
      <c r="A191">
        <f>'2020_B5'!A43</f>
        <v>402</v>
      </c>
      <c r="B191">
        <f>'2020_B5'!$E$5</f>
        <v>2011</v>
      </c>
      <c r="C191" t="str">
        <f>'2020_B5'!$D$6</f>
        <v>Ausländerinnen und Ausländer</v>
      </c>
      <c r="D191" t="s">
        <v>4</v>
      </c>
      <c r="E191" t="str">
        <f>VLOOKUP(A191,[1]Kreise!$A$1:$C$53,3,FALSE)</f>
        <v>K03402</v>
      </c>
      <c r="F191">
        <f>'2020_B5'!F43</f>
        <v>4</v>
      </c>
    </row>
    <row r="192" spans="1:6" x14ac:dyDescent="0.25">
      <c r="A192">
        <f>'2020_B5'!A44</f>
        <v>403</v>
      </c>
      <c r="B192">
        <f>'2020_B5'!$E$5</f>
        <v>2011</v>
      </c>
      <c r="C192" t="str">
        <f>'2020_B5'!$D$6</f>
        <v>Ausländerinnen und Ausländer</v>
      </c>
      <c r="D192" t="s">
        <v>4</v>
      </c>
      <c r="E192" t="str">
        <f>VLOOKUP(A192,[1]Kreise!$A$1:$C$53,3,FALSE)</f>
        <v>K03403</v>
      </c>
      <c r="F192">
        <f>'2020_B5'!F44</f>
        <v>8</v>
      </c>
    </row>
    <row r="193" spans="1:6" x14ac:dyDescent="0.25">
      <c r="A193">
        <f>'2020_B5'!A45</f>
        <v>404</v>
      </c>
      <c r="B193">
        <f>'2020_B5'!$E$5</f>
        <v>2011</v>
      </c>
      <c r="C193" t="str">
        <f>'2020_B5'!$D$6</f>
        <v>Ausländerinnen und Ausländer</v>
      </c>
      <c r="D193" t="s">
        <v>4</v>
      </c>
      <c r="E193" t="str">
        <f>VLOOKUP(A193,[1]Kreise!$A$1:$C$53,3,FALSE)</f>
        <v>K03404</v>
      </c>
      <c r="F193">
        <f>'2020_B5'!F45</f>
        <v>32</v>
      </c>
    </row>
    <row r="194" spans="1:6" x14ac:dyDescent="0.25">
      <c r="A194">
        <f>'2020_B5'!A46</f>
        <v>405</v>
      </c>
      <c r="B194">
        <f>'2020_B5'!$E$5</f>
        <v>2011</v>
      </c>
      <c r="C194" t="str">
        <f>'2020_B5'!$D$6</f>
        <v>Ausländerinnen und Ausländer</v>
      </c>
      <c r="D194" t="s">
        <v>4</v>
      </c>
      <c r="E194" t="str">
        <f>VLOOKUP(A194,[1]Kreise!$A$1:$C$53,3,FALSE)</f>
        <v>K03405</v>
      </c>
      <c r="F194">
        <f>'2020_B5'!F46</f>
        <v>8</v>
      </c>
    </row>
    <row r="195" spans="1:6" x14ac:dyDescent="0.25">
      <c r="A195">
        <f>'2020_B5'!A47</f>
        <v>451</v>
      </c>
      <c r="B195">
        <f>'2020_B5'!$E$5</f>
        <v>2011</v>
      </c>
      <c r="C195" t="str">
        <f>'2020_B5'!$D$6</f>
        <v>Ausländerinnen und Ausländer</v>
      </c>
      <c r="D195" t="s">
        <v>4</v>
      </c>
      <c r="E195" t="str">
        <f>VLOOKUP(A195,[1]Kreise!$A$1:$C$53,3,FALSE)</f>
        <v>K03451</v>
      </c>
      <c r="F195">
        <f>'2020_B5'!F47</f>
        <v>6</v>
      </c>
    </row>
    <row r="196" spans="1:6" x14ac:dyDescent="0.25">
      <c r="A196">
        <f>'2020_B5'!A48</f>
        <v>452</v>
      </c>
      <c r="B196">
        <f>'2020_B5'!$E$5</f>
        <v>2011</v>
      </c>
      <c r="C196" t="str">
        <f>'2020_B5'!$D$6</f>
        <v>Ausländerinnen und Ausländer</v>
      </c>
      <c r="D196" t="s">
        <v>4</v>
      </c>
      <c r="E196" t="str">
        <f>VLOOKUP(A196,[1]Kreise!$A$1:$C$53,3,FALSE)</f>
        <v>K03452</v>
      </c>
      <c r="F196">
        <f>'2020_B5'!F48</f>
        <v>10</v>
      </c>
    </row>
    <row r="197" spans="1:6" x14ac:dyDescent="0.25">
      <c r="A197">
        <f>'2020_B5'!A49</f>
        <v>453</v>
      </c>
      <c r="B197">
        <f>'2020_B5'!$E$5</f>
        <v>2011</v>
      </c>
      <c r="C197" t="str">
        <f>'2020_B5'!$D$6</f>
        <v>Ausländerinnen und Ausländer</v>
      </c>
      <c r="D197" t="s">
        <v>4</v>
      </c>
      <c r="E197" t="str">
        <f>VLOOKUP(A197,[1]Kreise!$A$1:$C$53,3,FALSE)</f>
        <v>K03453</v>
      </c>
      <c r="F197">
        <f>'2020_B5'!F49</f>
        <v>14</v>
      </c>
    </row>
    <row r="198" spans="1:6" x14ac:dyDescent="0.25">
      <c r="A198">
        <f>'2020_B5'!A50</f>
        <v>454</v>
      </c>
      <c r="B198">
        <f>'2020_B5'!$E$5</f>
        <v>2011</v>
      </c>
      <c r="C198" t="str">
        <f>'2020_B5'!$D$6</f>
        <v>Ausländerinnen und Ausländer</v>
      </c>
      <c r="D198" t="s">
        <v>4</v>
      </c>
      <c r="E198" t="str">
        <f>VLOOKUP(A198,[1]Kreise!$A$1:$C$53,3,FALSE)</f>
        <v>K03454</v>
      </c>
      <c r="F198">
        <f>'2020_B5'!F50</f>
        <v>19</v>
      </c>
    </row>
    <row r="199" spans="1:6" x14ac:dyDescent="0.25">
      <c r="A199">
        <f>'2020_B5'!A51</f>
        <v>455</v>
      </c>
      <c r="B199">
        <f>'2020_B5'!$E$5</f>
        <v>2011</v>
      </c>
      <c r="C199" t="str">
        <f>'2020_B5'!$D$6</f>
        <v>Ausländerinnen und Ausländer</v>
      </c>
      <c r="D199" t="s">
        <v>4</v>
      </c>
      <c r="E199" t="str">
        <f>VLOOKUP(A199,[1]Kreise!$A$1:$C$53,3,FALSE)</f>
        <v>K03455</v>
      </c>
      <c r="F199">
        <f>'2020_B5'!F51</f>
        <v>5</v>
      </c>
    </row>
    <row r="200" spans="1:6" x14ac:dyDescent="0.25">
      <c r="A200">
        <f>'2020_B5'!A52</f>
        <v>456</v>
      </c>
      <c r="B200">
        <f>'2020_B5'!$E$5</f>
        <v>2011</v>
      </c>
      <c r="C200" t="str">
        <f>'2020_B5'!$D$6</f>
        <v>Ausländerinnen und Ausländer</v>
      </c>
      <c r="D200" t="s">
        <v>4</v>
      </c>
      <c r="E200" t="str">
        <f>VLOOKUP(A200,[1]Kreise!$A$1:$C$53,3,FALSE)</f>
        <v>K03456</v>
      </c>
      <c r="F200">
        <f>'2020_B5'!F52</f>
        <v>21</v>
      </c>
    </row>
    <row r="201" spans="1:6" x14ac:dyDescent="0.25">
      <c r="A201">
        <f>'2020_B5'!A53</f>
        <v>457</v>
      </c>
      <c r="B201">
        <f>'2020_B5'!$E$5</f>
        <v>2011</v>
      </c>
      <c r="C201" t="str">
        <f>'2020_B5'!$D$6</f>
        <v>Ausländerinnen und Ausländer</v>
      </c>
      <c r="D201" t="s">
        <v>4</v>
      </c>
      <c r="E201" t="str">
        <f>VLOOKUP(A201,[1]Kreise!$A$1:$C$53,3,FALSE)</f>
        <v>K03457</v>
      </c>
      <c r="F201">
        <f>'2020_B5'!F53</f>
        <v>16</v>
      </c>
    </row>
    <row r="202" spans="1:6" x14ac:dyDescent="0.25">
      <c r="A202">
        <f>'2020_B5'!A54</f>
        <v>458</v>
      </c>
      <c r="B202">
        <f>'2020_B5'!$E$5</f>
        <v>2011</v>
      </c>
      <c r="C202" t="str">
        <f>'2020_B5'!$D$6</f>
        <v>Ausländerinnen und Ausländer</v>
      </c>
      <c r="D202" t="s">
        <v>4</v>
      </c>
      <c r="E202" t="str">
        <f>VLOOKUP(A202,[1]Kreise!$A$1:$C$53,3,FALSE)</f>
        <v>K03458</v>
      </c>
      <c r="F202">
        <f>'2020_B5'!F54</f>
        <v>8</v>
      </c>
    </row>
    <row r="203" spans="1:6" x14ac:dyDescent="0.25">
      <c r="A203">
        <f>'2020_B5'!A55</f>
        <v>459</v>
      </c>
      <c r="B203">
        <f>'2020_B5'!$E$5</f>
        <v>2011</v>
      </c>
      <c r="C203" t="str">
        <f>'2020_B5'!$D$6</f>
        <v>Ausländerinnen und Ausländer</v>
      </c>
      <c r="D203" t="s">
        <v>4</v>
      </c>
      <c r="E203" t="str">
        <f>VLOOKUP(A203,[1]Kreise!$A$1:$C$53,3,FALSE)</f>
        <v>K03459</v>
      </c>
      <c r="F203">
        <f>'2020_B5'!F55</f>
        <v>42</v>
      </c>
    </row>
    <row r="204" spans="1:6" x14ac:dyDescent="0.25">
      <c r="A204">
        <f>'2020_B5'!A56</f>
        <v>460</v>
      </c>
      <c r="B204">
        <f>'2020_B5'!$E$5</f>
        <v>2011</v>
      </c>
      <c r="C204" t="str">
        <f>'2020_B5'!$D$6</f>
        <v>Ausländerinnen und Ausländer</v>
      </c>
      <c r="D204" t="s">
        <v>4</v>
      </c>
      <c r="E204" t="str">
        <f>VLOOKUP(A204,[1]Kreise!$A$1:$C$53,3,FALSE)</f>
        <v>K03460</v>
      </c>
      <c r="F204">
        <f>'2020_B5'!F56</f>
        <v>28</v>
      </c>
    </row>
    <row r="205" spans="1:6" x14ac:dyDescent="0.25">
      <c r="A205">
        <f>'2020_B5'!A57</f>
        <v>461</v>
      </c>
      <c r="B205">
        <f>'2020_B5'!$E$5</f>
        <v>2011</v>
      </c>
      <c r="C205" t="str">
        <f>'2020_B5'!$D$6</f>
        <v>Ausländerinnen und Ausländer</v>
      </c>
      <c r="D205" t="s">
        <v>4</v>
      </c>
      <c r="E205" t="str">
        <f>VLOOKUP(A205,[1]Kreise!$A$1:$C$53,3,FALSE)</f>
        <v>K03461</v>
      </c>
      <c r="F205">
        <f>'2020_B5'!F57</f>
        <v>7</v>
      </c>
    </row>
    <row r="206" spans="1:6" x14ac:dyDescent="0.25">
      <c r="A206">
        <f>'2020_B5'!A58</f>
        <v>462</v>
      </c>
      <c r="B206">
        <f>'2020_B5'!$E$5</f>
        <v>2011</v>
      </c>
      <c r="C206" t="str">
        <f>'2020_B5'!$D$6</f>
        <v>Ausländerinnen und Ausländer</v>
      </c>
      <c r="D206" t="s">
        <v>4</v>
      </c>
      <c r="E206" t="str">
        <f>VLOOKUP(A206,[1]Kreise!$A$1:$C$53,3,FALSE)</f>
        <v>K03462</v>
      </c>
      <c r="F206">
        <f>'2020_B5'!F58</f>
        <v>2</v>
      </c>
    </row>
    <row r="207" spans="1:6" x14ac:dyDescent="0.25">
      <c r="A207">
        <f>'2020_B5'!A59</f>
        <v>4</v>
      </c>
      <c r="B207">
        <f>'2020_B5'!$E$5</f>
        <v>2011</v>
      </c>
      <c r="C207" t="str">
        <f>'2020_B5'!$D$6</f>
        <v>Ausländerinnen und Ausländer</v>
      </c>
      <c r="D207" t="s">
        <v>4</v>
      </c>
      <c r="E207" t="str">
        <f>VLOOKUP(A207,[1]Kreise!$A$1:$C$53,3,FALSE)</f>
        <v>K034</v>
      </c>
      <c r="F207">
        <f>'2020_B5'!F59</f>
        <v>258</v>
      </c>
    </row>
    <row r="208" spans="1:6" x14ac:dyDescent="0.25">
      <c r="A208">
        <f>'2020_B5'!A60</f>
        <v>0</v>
      </c>
      <c r="B208">
        <f>'2020_B5'!$E$5</f>
        <v>2011</v>
      </c>
      <c r="C208" t="str">
        <f>'2020_B5'!$D$6</f>
        <v>Ausländerinnen und Ausländer</v>
      </c>
      <c r="D208" t="s">
        <v>4</v>
      </c>
      <c r="E208" t="str">
        <f>VLOOKUP(A208,[1]Kreise!$A$1:$C$53,3,FALSE)</f>
        <v>K030</v>
      </c>
      <c r="F208">
        <f>'2020_B5'!F60</f>
        <v>797</v>
      </c>
    </row>
    <row r="209" spans="1:6" x14ac:dyDescent="0.25">
      <c r="A209">
        <f>'2020_B5'!A9</f>
        <v>101</v>
      </c>
      <c r="B209">
        <f>'2020_B5'!$G$5</f>
        <v>2012</v>
      </c>
      <c r="C209" t="str">
        <f>'2020_B5'!$E$6</f>
        <v>Deutsche</v>
      </c>
      <c r="D209" t="s">
        <v>4</v>
      </c>
      <c r="E209" t="str">
        <f>VLOOKUP(A209,[1]Kreise!$A$1:$C$53,3,FALSE)</f>
        <v>K03101</v>
      </c>
      <c r="F209">
        <f>'2020_B5'!G9</f>
        <v>144</v>
      </c>
    </row>
    <row r="210" spans="1:6" x14ac:dyDescent="0.25">
      <c r="A210">
        <f>'2020_B5'!A10</f>
        <v>102</v>
      </c>
      <c r="B210">
        <f>'2020_B5'!$G$5</f>
        <v>2012</v>
      </c>
      <c r="C210" t="str">
        <f>'2020_B5'!$E$6</f>
        <v>Deutsche</v>
      </c>
      <c r="D210" t="s">
        <v>4</v>
      </c>
      <c r="E210" t="str">
        <f>VLOOKUP(A210,[1]Kreise!$A$1:$C$53,3,FALSE)</f>
        <v>K03102</v>
      </c>
      <c r="F210">
        <f>'2020_B5'!G10</f>
        <v>33</v>
      </c>
    </row>
    <row r="211" spans="1:6" x14ac:dyDescent="0.25">
      <c r="A211">
        <f>'2020_B5'!A11</f>
        <v>103</v>
      </c>
      <c r="B211">
        <f>'2020_B5'!$G$5</f>
        <v>2012</v>
      </c>
      <c r="C211" t="str">
        <f>'2020_B5'!$E$6</f>
        <v>Deutsche</v>
      </c>
      <c r="D211" t="s">
        <v>4</v>
      </c>
      <c r="E211" t="str">
        <f>VLOOKUP(A211,[1]Kreise!$A$1:$C$53,3,FALSE)</f>
        <v>K03103</v>
      </c>
      <c r="F211">
        <f>'2020_B5'!G11</f>
        <v>49</v>
      </c>
    </row>
    <row r="212" spans="1:6" x14ac:dyDescent="0.25">
      <c r="A212">
        <f>'2020_B5'!A12</f>
        <v>151</v>
      </c>
      <c r="B212">
        <f>'2020_B5'!$G$5</f>
        <v>2012</v>
      </c>
      <c r="C212" t="str">
        <f>'2020_B5'!$E$6</f>
        <v>Deutsche</v>
      </c>
      <c r="D212" t="s">
        <v>4</v>
      </c>
      <c r="E212" t="str">
        <f>VLOOKUP(A212,[1]Kreise!$A$1:$C$53,3,FALSE)</f>
        <v>K03151</v>
      </c>
      <c r="F212">
        <f>'2020_B5'!G12</f>
        <v>82</v>
      </c>
    </row>
    <row r="213" spans="1:6" x14ac:dyDescent="0.25">
      <c r="A213">
        <f>'2020_B5'!A13</f>
        <v>153</v>
      </c>
      <c r="B213">
        <f>'2020_B5'!$G$5</f>
        <v>2012</v>
      </c>
      <c r="C213" t="str">
        <f>'2020_B5'!$E$6</f>
        <v>Deutsche</v>
      </c>
      <c r="D213" t="s">
        <v>4</v>
      </c>
      <c r="E213" t="str">
        <f>VLOOKUP(A213,[1]Kreise!$A$1:$C$53,3,FALSE)</f>
        <v>K03153</v>
      </c>
      <c r="F213">
        <f>'2020_B5'!G13</f>
        <v>79</v>
      </c>
    </row>
    <row r="214" spans="1:6" x14ac:dyDescent="0.25">
      <c r="A214">
        <f>'2020_B5'!A14</f>
        <v>154</v>
      </c>
      <c r="B214">
        <f>'2020_B5'!$G$5</f>
        <v>2012</v>
      </c>
      <c r="C214" t="str">
        <f>'2020_B5'!$E$6</f>
        <v>Deutsche</v>
      </c>
      <c r="D214" t="s">
        <v>4</v>
      </c>
      <c r="E214" t="str">
        <f>VLOOKUP(A214,[1]Kreise!$A$1:$C$53,3,FALSE)</f>
        <v>K03154</v>
      </c>
      <c r="F214">
        <f>'2020_B5'!G14</f>
        <v>49</v>
      </c>
    </row>
    <row r="215" spans="1:6" x14ac:dyDescent="0.25">
      <c r="A215">
        <f>'2020_B5'!A15</f>
        <v>155</v>
      </c>
      <c r="B215">
        <f>'2020_B5'!$G$5</f>
        <v>2012</v>
      </c>
      <c r="C215" t="str">
        <f>'2020_B5'!$E$6</f>
        <v>Deutsche</v>
      </c>
      <c r="D215" t="s">
        <v>4</v>
      </c>
      <c r="E215" t="str">
        <f>VLOOKUP(A215,[1]Kreise!$A$1:$C$53,3,FALSE)</f>
        <v>K03155</v>
      </c>
      <c r="F215">
        <f>'2020_B5'!G15</f>
        <v>79</v>
      </c>
    </row>
    <row r="216" spans="1:6" x14ac:dyDescent="0.25">
      <c r="A216">
        <f>'2020_B5'!A16</f>
        <v>157</v>
      </c>
      <c r="B216">
        <f>'2020_B5'!$G$5</f>
        <v>2012</v>
      </c>
      <c r="C216" t="str">
        <f>'2020_B5'!$E$6</f>
        <v>Deutsche</v>
      </c>
      <c r="D216" t="s">
        <v>4</v>
      </c>
      <c r="E216" t="str">
        <f>VLOOKUP(A216,[1]Kreise!$A$1:$C$53,3,FALSE)</f>
        <v>K03157</v>
      </c>
      <c r="F216">
        <f>'2020_B5'!G16</f>
        <v>51</v>
      </c>
    </row>
    <row r="217" spans="1:6" x14ac:dyDescent="0.25">
      <c r="A217">
        <f>'2020_B5'!A17</f>
        <v>158</v>
      </c>
      <c r="B217">
        <f>'2020_B5'!$G$5</f>
        <v>2012</v>
      </c>
      <c r="C217" t="str">
        <f>'2020_B5'!$E$6</f>
        <v>Deutsche</v>
      </c>
      <c r="D217" t="s">
        <v>4</v>
      </c>
      <c r="E217" t="str">
        <f>VLOOKUP(A217,[1]Kreise!$A$1:$C$53,3,FALSE)</f>
        <v>K03158</v>
      </c>
      <c r="F217">
        <f>'2020_B5'!G17</f>
        <v>44</v>
      </c>
    </row>
    <row r="218" spans="1:6" x14ac:dyDescent="0.25">
      <c r="A218">
        <f>'2020_B5'!A18</f>
        <v>159</v>
      </c>
      <c r="B218">
        <f>'2020_B5'!$G$5</f>
        <v>2012</v>
      </c>
      <c r="C218" t="str">
        <f>'2020_B5'!$E$6</f>
        <v>Deutsche</v>
      </c>
      <c r="D218" t="s">
        <v>4</v>
      </c>
      <c r="E218" t="str">
        <f>VLOOKUP(A218,[1]Kreise!$A$1:$C$53,3,FALSE)</f>
        <v>K03159</v>
      </c>
      <c r="F218">
        <f>'2020_B5'!G18</f>
        <v>129</v>
      </c>
    </row>
    <row r="219" spans="1:6" x14ac:dyDescent="0.25">
      <c r="A219">
        <f>'2020_B5'!A19</f>
        <v>1</v>
      </c>
      <c r="B219">
        <f>'2020_B5'!$G$5</f>
        <v>2012</v>
      </c>
      <c r="C219" t="str">
        <f>'2020_B5'!$E$6</f>
        <v>Deutsche</v>
      </c>
      <c r="D219" t="s">
        <v>4</v>
      </c>
      <c r="E219" t="str">
        <f>VLOOKUP(A219,[1]Kreise!$A$1:$C$53,3,FALSE)</f>
        <v>K031</v>
      </c>
      <c r="F219">
        <f>'2020_B5'!G19</f>
        <v>739</v>
      </c>
    </row>
    <row r="220" spans="1:6" x14ac:dyDescent="0.25">
      <c r="A220">
        <f>'2020_B5'!A20</f>
        <v>241</v>
      </c>
      <c r="B220">
        <f>'2020_B5'!$G$5</f>
        <v>2012</v>
      </c>
      <c r="C220" t="str">
        <f>'2020_B5'!$E$6</f>
        <v>Deutsche</v>
      </c>
      <c r="D220" t="s">
        <v>4</v>
      </c>
      <c r="E220" t="str">
        <f>VLOOKUP(A220,[1]Kreise!$A$1:$C$53,3,FALSE)</f>
        <v>K03241</v>
      </c>
      <c r="F220">
        <f>'2020_B5'!G20</f>
        <v>451</v>
      </c>
    </row>
    <row r="221" spans="1:6" x14ac:dyDescent="0.25">
      <c r="A221">
        <f>'2020_B5'!A21</f>
        <v>241001</v>
      </c>
      <c r="B221">
        <f>'2020_B5'!$G$5</f>
        <v>2012</v>
      </c>
      <c r="C221" t="str">
        <f>'2020_B5'!$E$6</f>
        <v>Deutsche</v>
      </c>
      <c r="D221" t="s">
        <v>4</v>
      </c>
      <c r="E221" t="str">
        <f>VLOOKUP(A221,[1]Kreise!$A$1:$C$53,3,FALSE)</f>
        <v>K03241001</v>
      </c>
      <c r="F221">
        <f>'2020_B5'!G21</f>
        <v>220</v>
      </c>
    </row>
    <row r="222" spans="1:6" x14ac:dyDescent="0.25">
      <c r="A222">
        <f>'2020_B5'!A22</f>
        <v>241999</v>
      </c>
      <c r="B222">
        <f>'2020_B5'!$G$5</f>
        <v>2012</v>
      </c>
      <c r="C222" t="str">
        <f>'2020_B5'!$E$6</f>
        <v>Deutsche</v>
      </c>
      <c r="D222" t="s">
        <v>4</v>
      </c>
      <c r="E222" t="str">
        <f>VLOOKUP(A222,[1]Kreise!$A$1:$C$53,3,FALSE)</f>
        <v>K03241999</v>
      </c>
      <c r="F222">
        <f>'2020_B5'!G22</f>
        <v>231</v>
      </c>
    </row>
    <row r="223" spans="1:6" x14ac:dyDescent="0.25">
      <c r="A223">
        <f>'2020_B5'!A23</f>
        <v>251</v>
      </c>
      <c r="B223">
        <f>'2020_B5'!$G$5</f>
        <v>2012</v>
      </c>
      <c r="C223" t="str">
        <f>'2020_B5'!$E$6</f>
        <v>Deutsche</v>
      </c>
      <c r="D223" t="s">
        <v>4</v>
      </c>
      <c r="E223" t="str">
        <f>VLOOKUP(A223,[1]Kreise!$A$1:$C$53,3,FALSE)</f>
        <v>K03251</v>
      </c>
      <c r="F223">
        <f>'2020_B5'!G23</f>
        <v>81</v>
      </c>
    </row>
    <row r="224" spans="1:6" x14ac:dyDescent="0.25">
      <c r="A224">
        <f>'2020_B5'!A24</f>
        <v>252</v>
      </c>
      <c r="B224">
        <f>'2020_B5'!$G$5</f>
        <v>2012</v>
      </c>
      <c r="C224" t="str">
        <f>'2020_B5'!$E$6</f>
        <v>Deutsche</v>
      </c>
      <c r="D224" t="s">
        <v>4</v>
      </c>
      <c r="E224" t="str">
        <f>VLOOKUP(A224,[1]Kreise!$A$1:$C$53,3,FALSE)</f>
        <v>K03252</v>
      </c>
      <c r="F224">
        <f>'2020_B5'!G24</f>
        <v>88</v>
      </c>
    </row>
    <row r="225" spans="1:6" x14ac:dyDescent="0.25">
      <c r="A225">
        <f>'2020_B5'!A25</f>
        <v>254</v>
      </c>
      <c r="B225">
        <f>'2020_B5'!$G$5</f>
        <v>2012</v>
      </c>
      <c r="C225" t="str">
        <f>'2020_B5'!$E$6</f>
        <v>Deutsche</v>
      </c>
      <c r="D225" t="s">
        <v>4</v>
      </c>
      <c r="E225" t="str">
        <f>VLOOKUP(A225,[1]Kreise!$A$1:$C$53,3,FALSE)</f>
        <v>K03254</v>
      </c>
      <c r="F225">
        <f>'2020_B5'!G25</f>
        <v>145</v>
      </c>
    </row>
    <row r="226" spans="1:6" x14ac:dyDescent="0.25">
      <c r="A226">
        <f>'2020_B5'!A26</f>
        <v>255</v>
      </c>
      <c r="B226">
        <f>'2020_B5'!$G$5</f>
        <v>2012</v>
      </c>
      <c r="C226" t="str">
        <f>'2020_B5'!$E$6</f>
        <v>Deutsche</v>
      </c>
      <c r="D226" t="s">
        <v>4</v>
      </c>
      <c r="E226" t="str">
        <f>VLOOKUP(A226,[1]Kreise!$A$1:$C$53,3,FALSE)</f>
        <v>K03255</v>
      </c>
      <c r="F226">
        <f>'2020_B5'!G26</f>
        <v>37</v>
      </c>
    </row>
    <row r="227" spans="1:6" x14ac:dyDescent="0.25">
      <c r="A227">
        <f>'2020_B5'!A27</f>
        <v>256</v>
      </c>
      <c r="B227">
        <f>'2020_B5'!$G$5</f>
        <v>2012</v>
      </c>
      <c r="C227" t="str">
        <f>'2020_B5'!$E$6</f>
        <v>Deutsche</v>
      </c>
      <c r="D227" t="s">
        <v>4</v>
      </c>
      <c r="E227" t="str">
        <f>VLOOKUP(A227,[1]Kreise!$A$1:$C$53,3,FALSE)</f>
        <v>K03256</v>
      </c>
      <c r="F227">
        <f>'2020_B5'!G27</f>
        <v>62</v>
      </c>
    </row>
    <row r="228" spans="1:6" x14ac:dyDescent="0.25">
      <c r="A228">
        <f>'2020_B5'!A28</f>
        <v>257</v>
      </c>
      <c r="B228">
        <f>'2020_B5'!$G$5</f>
        <v>2012</v>
      </c>
      <c r="C228" t="str">
        <f>'2020_B5'!$E$6</f>
        <v>Deutsche</v>
      </c>
      <c r="D228" t="s">
        <v>4</v>
      </c>
      <c r="E228" t="str">
        <f>VLOOKUP(A228,[1]Kreise!$A$1:$C$53,3,FALSE)</f>
        <v>K03257</v>
      </c>
      <c r="F228">
        <f>'2020_B5'!G28</f>
        <v>64</v>
      </c>
    </row>
    <row r="229" spans="1:6" x14ac:dyDescent="0.25">
      <c r="A229">
        <f>'2020_B5'!A29</f>
        <v>2</v>
      </c>
      <c r="B229">
        <f>'2020_B5'!$G$5</f>
        <v>2012</v>
      </c>
      <c r="C229" t="str">
        <f>'2020_B5'!$E$6</f>
        <v>Deutsche</v>
      </c>
      <c r="D229" t="s">
        <v>4</v>
      </c>
      <c r="E229" t="str">
        <f>VLOOKUP(A229,[1]Kreise!$A$1:$C$53,3,FALSE)</f>
        <v>K032</v>
      </c>
      <c r="F229">
        <f>'2020_B5'!G29</f>
        <v>928</v>
      </c>
    </row>
    <row r="230" spans="1:6" x14ac:dyDescent="0.25">
      <c r="A230">
        <f>'2020_B5'!A30</f>
        <v>351</v>
      </c>
      <c r="B230">
        <f>'2020_B5'!$G$5</f>
        <v>2012</v>
      </c>
      <c r="C230" t="str">
        <f>'2020_B5'!$E$6</f>
        <v>Deutsche</v>
      </c>
      <c r="D230" t="s">
        <v>4</v>
      </c>
      <c r="E230" t="str">
        <f>VLOOKUP(A230,[1]Kreise!$A$1:$C$53,3,FALSE)</f>
        <v>K03351</v>
      </c>
      <c r="F230">
        <f>'2020_B5'!G30</f>
        <v>126</v>
      </c>
    </row>
    <row r="231" spans="1:6" x14ac:dyDescent="0.25">
      <c r="A231">
        <f>'2020_B5'!A31</f>
        <v>352</v>
      </c>
      <c r="B231">
        <f>'2020_B5'!$G$5</f>
        <v>2012</v>
      </c>
      <c r="C231" t="str">
        <f>'2020_B5'!$E$6</f>
        <v>Deutsche</v>
      </c>
      <c r="D231" t="s">
        <v>4</v>
      </c>
      <c r="E231" t="str">
        <f>VLOOKUP(A231,[1]Kreise!$A$1:$C$53,3,FALSE)</f>
        <v>K03352</v>
      </c>
      <c r="F231">
        <f>'2020_B5'!G31</f>
        <v>156</v>
      </c>
    </row>
    <row r="232" spans="1:6" x14ac:dyDescent="0.25">
      <c r="A232">
        <f>'2020_B5'!A32</f>
        <v>353</v>
      </c>
      <c r="B232">
        <f>'2020_B5'!$G$5</f>
        <v>2012</v>
      </c>
      <c r="C232" t="str">
        <f>'2020_B5'!$E$6</f>
        <v>Deutsche</v>
      </c>
      <c r="D232" t="s">
        <v>4</v>
      </c>
      <c r="E232" t="str">
        <f>VLOOKUP(A232,[1]Kreise!$A$1:$C$53,3,FALSE)</f>
        <v>K03353</v>
      </c>
      <c r="F232">
        <f>'2020_B5'!G32</f>
        <v>90</v>
      </c>
    </row>
    <row r="233" spans="1:6" x14ac:dyDescent="0.25">
      <c r="A233">
        <f>'2020_B5'!A33</f>
        <v>354</v>
      </c>
      <c r="B233">
        <f>'2020_B5'!$G$5</f>
        <v>2012</v>
      </c>
      <c r="C233" t="str">
        <f>'2020_B5'!$E$6</f>
        <v>Deutsche</v>
      </c>
      <c r="D233" t="s">
        <v>4</v>
      </c>
      <c r="E233" t="str">
        <f>VLOOKUP(A233,[1]Kreise!$A$1:$C$53,3,FALSE)</f>
        <v>K03354</v>
      </c>
      <c r="F233">
        <f>'2020_B5'!G33</f>
        <v>29</v>
      </c>
    </row>
    <row r="234" spans="1:6" x14ac:dyDescent="0.25">
      <c r="A234">
        <f>'2020_B5'!A34</f>
        <v>355</v>
      </c>
      <c r="B234">
        <f>'2020_B5'!$G$5</f>
        <v>2012</v>
      </c>
      <c r="C234" t="str">
        <f>'2020_B5'!$E$6</f>
        <v>Deutsche</v>
      </c>
      <c r="D234" t="s">
        <v>4</v>
      </c>
      <c r="E234" t="str">
        <f>VLOOKUP(A234,[1]Kreise!$A$1:$C$53,3,FALSE)</f>
        <v>K03355</v>
      </c>
      <c r="F234">
        <f>'2020_B5'!G34</f>
        <v>84</v>
      </c>
    </row>
    <row r="235" spans="1:6" x14ac:dyDescent="0.25">
      <c r="A235">
        <f>'2020_B5'!A35</f>
        <v>356</v>
      </c>
      <c r="B235">
        <f>'2020_B5'!$G$5</f>
        <v>2012</v>
      </c>
      <c r="C235" t="str">
        <f>'2020_B5'!$E$6</f>
        <v>Deutsche</v>
      </c>
      <c r="D235" t="s">
        <v>4</v>
      </c>
      <c r="E235" t="str">
        <f>VLOOKUP(A235,[1]Kreise!$A$1:$C$53,3,FALSE)</f>
        <v>K03356</v>
      </c>
      <c r="F235">
        <f>'2020_B5'!G35</f>
        <v>44</v>
      </c>
    </row>
    <row r="236" spans="1:6" x14ac:dyDescent="0.25">
      <c r="A236">
        <f>'2020_B5'!A36</f>
        <v>357</v>
      </c>
      <c r="B236">
        <f>'2020_B5'!$G$5</f>
        <v>2012</v>
      </c>
      <c r="C236" t="str">
        <f>'2020_B5'!$E$6</f>
        <v>Deutsche</v>
      </c>
      <c r="D236" t="s">
        <v>4</v>
      </c>
      <c r="E236" t="str">
        <f>VLOOKUP(A236,[1]Kreise!$A$1:$C$53,3,FALSE)</f>
        <v>K03357</v>
      </c>
      <c r="F236">
        <f>'2020_B5'!G36</f>
        <v>82</v>
      </c>
    </row>
    <row r="237" spans="1:6" x14ac:dyDescent="0.25">
      <c r="A237">
        <f>'2020_B5'!A37</f>
        <v>358</v>
      </c>
      <c r="B237">
        <f>'2020_B5'!$G$5</f>
        <v>2012</v>
      </c>
      <c r="C237" t="str">
        <f>'2020_B5'!$E$6</f>
        <v>Deutsche</v>
      </c>
      <c r="D237" t="s">
        <v>4</v>
      </c>
      <c r="E237" t="str">
        <f>VLOOKUP(A237,[1]Kreise!$A$1:$C$53,3,FALSE)</f>
        <v>K03358</v>
      </c>
      <c r="F237">
        <f>'2020_B5'!G37</f>
        <v>109</v>
      </c>
    </row>
    <row r="238" spans="1:6" x14ac:dyDescent="0.25">
      <c r="A238">
        <f>'2020_B5'!A38</f>
        <v>359</v>
      </c>
      <c r="B238">
        <f>'2020_B5'!$G$5</f>
        <v>2012</v>
      </c>
      <c r="C238" t="str">
        <f>'2020_B5'!$E$6</f>
        <v>Deutsche</v>
      </c>
      <c r="D238" t="s">
        <v>4</v>
      </c>
      <c r="E238" t="str">
        <f>VLOOKUP(A238,[1]Kreise!$A$1:$C$53,3,FALSE)</f>
        <v>K03359</v>
      </c>
      <c r="F238">
        <f>'2020_B5'!G38</f>
        <v>112</v>
      </c>
    </row>
    <row r="239" spans="1:6" x14ac:dyDescent="0.25">
      <c r="A239">
        <f>'2020_B5'!A39</f>
        <v>360</v>
      </c>
      <c r="B239">
        <f>'2020_B5'!$G$5</f>
        <v>2012</v>
      </c>
      <c r="C239" t="str">
        <f>'2020_B5'!$E$6</f>
        <v>Deutsche</v>
      </c>
      <c r="D239" t="s">
        <v>4</v>
      </c>
      <c r="E239" t="str">
        <f>VLOOKUP(A239,[1]Kreise!$A$1:$C$53,3,FALSE)</f>
        <v>K03360</v>
      </c>
      <c r="F239">
        <f>'2020_B5'!G39</f>
        <v>45</v>
      </c>
    </row>
    <row r="240" spans="1:6" x14ac:dyDescent="0.25">
      <c r="A240">
        <f>'2020_B5'!A40</f>
        <v>361</v>
      </c>
      <c r="B240">
        <f>'2020_B5'!$G$5</f>
        <v>2012</v>
      </c>
      <c r="C240" t="str">
        <f>'2020_B5'!$E$6</f>
        <v>Deutsche</v>
      </c>
      <c r="D240" t="s">
        <v>4</v>
      </c>
      <c r="E240" t="str">
        <f>VLOOKUP(A240,[1]Kreise!$A$1:$C$53,3,FALSE)</f>
        <v>K03361</v>
      </c>
      <c r="F240">
        <f>'2020_B5'!G40</f>
        <v>48</v>
      </c>
    </row>
    <row r="241" spans="1:6" x14ac:dyDescent="0.25">
      <c r="A241">
        <f>'2020_B5'!A41</f>
        <v>3</v>
      </c>
      <c r="B241">
        <f>'2020_B5'!$G$5</f>
        <v>2012</v>
      </c>
      <c r="C241" t="str">
        <f>'2020_B5'!$E$6</f>
        <v>Deutsche</v>
      </c>
      <c r="D241" t="s">
        <v>4</v>
      </c>
      <c r="E241" t="str">
        <f>VLOOKUP(A241,[1]Kreise!$A$1:$C$53,3,FALSE)</f>
        <v>K033</v>
      </c>
      <c r="F241">
        <f>'2020_B5'!G41</f>
        <v>925</v>
      </c>
    </row>
    <row r="242" spans="1:6" x14ac:dyDescent="0.25">
      <c r="A242">
        <f>'2020_B5'!A42</f>
        <v>401</v>
      </c>
      <c r="B242">
        <f>'2020_B5'!$G$5</f>
        <v>2012</v>
      </c>
      <c r="C242" t="str">
        <f>'2020_B5'!$E$6</f>
        <v>Deutsche</v>
      </c>
      <c r="D242" t="s">
        <v>4</v>
      </c>
      <c r="E242" t="str">
        <f>VLOOKUP(A242,[1]Kreise!$A$1:$C$53,3,FALSE)</f>
        <v>K03401</v>
      </c>
      <c r="F242">
        <f>'2020_B5'!G42</f>
        <v>37</v>
      </c>
    </row>
    <row r="243" spans="1:6" x14ac:dyDescent="0.25">
      <c r="A243">
        <f>'2020_B5'!A43</f>
        <v>402</v>
      </c>
      <c r="B243">
        <f>'2020_B5'!$G$5</f>
        <v>2012</v>
      </c>
      <c r="C243" t="str">
        <f>'2020_B5'!$E$6</f>
        <v>Deutsche</v>
      </c>
      <c r="D243" t="s">
        <v>4</v>
      </c>
      <c r="E243" t="str">
        <f>VLOOKUP(A243,[1]Kreise!$A$1:$C$53,3,FALSE)</f>
        <v>K03402</v>
      </c>
      <c r="F243">
        <f>'2020_B5'!G43</f>
        <v>49</v>
      </c>
    </row>
    <row r="244" spans="1:6" x14ac:dyDescent="0.25">
      <c r="A244">
        <f>'2020_B5'!A44</f>
        <v>403</v>
      </c>
      <c r="B244">
        <f>'2020_B5'!$G$5</f>
        <v>2012</v>
      </c>
      <c r="C244" t="str">
        <f>'2020_B5'!$E$6</f>
        <v>Deutsche</v>
      </c>
      <c r="D244" t="s">
        <v>4</v>
      </c>
      <c r="E244" t="str">
        <f>VLOOKUP(A244,[1]Kreise!$A$1:$C$53,3,FALSE)</f>
        <v>K03403</v>
      </c>
      <c r="F244">
        <f>'2020_B5'!G44</f>
        <v>80</v>
      </c>
    </row>
    <row r="245" spans="1:6" x14ac:dyDescent="0.25">
      <c r="A245">
        <f>'2020_B5'!A45</f>
        <v>404</v>
      </c>
      <c r="B245">
        <f>'2020_B5'!$G$5</f>
        <v>2012</v>
      </c>
      <c r="C245" t="str">
        <f>'2020_B5'!$E$6</f>
        <v>Deutsche</v>
      </c>
      <c r="D245" t="s">
        <v>4</v>
      </c>
      <c r="E245" t="str">
        <f>VLOOKUP(A245,[1]Kreise!$A$1:$C$53,3,FALSE)</f>
        <v>K03404</v>
      </c>
      <c r="F245">
        <f>'2020_B5'!G45</f>
        <v>93</v>
      </c>
    </row>
    <row r="246" spans="1:6" x14ac:dyDescent="0.25">
      <c r="A246">
        <f>'2020_B5'!A46</f>
        <v>405</v>
      </c>
      <c r="B246">
        <f>'2020_B5'!$G$5</f>
        <v>2012</v>
      </c>
      <c r="C246" t="str">
        <f>'2020_B5'!$E$6</f>
        <v>Deutsche</v>
      </c>
      <c r="D246" t="s">
        <v>4</v>
      </c>
      <c r="E246" t="str">
        <f>VLOOKUP(A246,[1]Kreise!$A$1:$C$53,3,FALSE)</f>
        <v>K03405</v>
      </c>
      <c r="F246">
        <f>'2020_B5'!G46</f>
        <v>31</v>
      </c>
    </row>
    <row r="247" spans="1:6" x14ac:dyDescent="0.25">
      <c r="A247">
        <f>'2020_B5'!A47</f>
        <v>451</v>
      </c>
      <c r="B247">
        <f>'2020_B5'!$G$5</f>
        <v>2012</v>
      </c>
      <c r="C247" t="str">
        <f>'2020_B5'!$E$6</f>
        <v>Deutsche</v>
      </c>
      <c r="D247" t="s">
        <v>4</v>
      </c>
      <c r="E247" t="str">
        <f>VLOOKUP(A247,[1]Kreise!$A$1:$C$53,3,FALSE)</f>
        <v>K03451</v>
      </c>
      <c r="F247">
        <f>'2020_B5'!G47</f>
        <v>44</v>
      </c>
    </row>
    <row r="248" spans="1:6" x14ac:dyDescent="0.25">
      <c r="A248">
        <f>'2020_B5'!A48</f>
        <v>452</v>
      </c>
      <c r="B248">
        <f>'2020_B5'!$G$5</f>
        <v>2012</v>
      </c>
      <c r="C248" t="str">
        <f>'2020_B5'!$E$6</f>
        <v>Deutsche</v>
      </c>
      <c r="D248" t="s">
        <v>4</v>
      </c>
      <c r="E248" t="str">
        <f>VLOOKUP(A248,[1]Kreise!$A$1:$C$53,3,FALSE)</f>
        <v>K03452</v>
      </c>
      <c r="F248">
        <f>'2020_B5'!G48</f>
        <v>171</v>
      </c>
    </row>
    <row r="249" spans="1:6" x14ac:dyDescent="0.25">
      <c r="A249">
        <f>'2020_B5'!A49</f>
        <v>453</v>
      </c>
      <c r="B249">
        <f>'2020_B5'!$G$5</f>
        <v>2012</v>
      </c>
      <c r="C249" t="str">
        <f>'2020_B5'!$E$6</f>
        <v>Deutsche</v>
      </c>
      <c r="D249" t="s">
        <v>4</v>
      </c>
      <c r="E249" t="str">
        <f>VLOOKUP(A249,[1]Kreise!$A$1:$C$53,3,FALSE)</f>
        <v>K03453</v>
      </c>
      <c r="F249">
        <f>'2020_B5'!G49</f>
        <v>115</v>
      </c>
    </row>
    <row r="250" spans="1:6" x14ac:dyDescent="0.25">
      <c r="A250">
        <f>'2020_B5'!A50</f>
        <v>454</v>
      </c>
      <c r="B250">
        <f>'2020_B5'!$G$5</f>
        <v>2012</v>
      </c>
      <c r="C250" t="str">
        <f>'2020_B5'!$E$6</f>
        <v>Deutsche</v>
      </c>
      <c r="D250" t="s">
        <v>4</v>
      </c>
      <c r="E250" t="str">
        <f>VLOOKUP(A250,[1]Kreise!$A$1:$C$53,3,FALSE)</f>
        <v>K03454</v>
      </c>
      <c r="F250">
        <f>'2020_B5'!G50</f>
        <v>164</v>
      </c>
    </row>
    <row r="251" spans="1:6" x14ac:dyDescent="0.25">
      <c r="A251">
        <f>'2020_B5'!A51</f>
        <v>455</v>
      </c>
      <c r="B251">
        <f>'2020_B5'!$G$5</f>
        <v>2012</v>
      </c>
      <c r="C251" t="str">
        <f>'2020_B5'!$E$6</f>
        <v>Deutsche</v>
      </c>
      <c r="D251" t="s">
        <v>4</v>
      </c>
      <c r="E251" t="str">
        <f>VLOOKUP(A251,[1]Kreise!$A$1:$C$53,3,FALSE)</f>
        <v>K03455</v>
      </c>
      <c r="F251">
        <f>'2020_B5'!G51</f>
        <v>58</v>
      </c>
    </row>
    <row r="252" spans="1:6" x14ac:dyDescent="0.25">
      <c r="A252">
        <f>'2020_B5'!A52</f>
        <v>456</v>
      </c>
      <c r="B252">
        <f>'2020_B5'!$G$5</f>
        <v>2012</v>
      </c>
      <c r="C252" t="str">
        <f>'2020_B5'!$E$6</f>
        <v>Deutsche</v>
      </c>
      <c r="D252" t="s">
        <v>4</v>
      </c>
      <c r="E252" t="str">
        <f>VLOOKUP(A252,[1]Kreise!$A$1:$C$53,3,FALSE)</f>
        <v>K03456</v>
      </c>
      <c r="F252">
        <f>'2020_B5'!G52</f>
        <v>89</v>
      </c>
    </row>
    <row r="253" spans="1:6" x14ac:dyDescent="0.25">
      <c r="A253">
        <f>'2020_B5'!A53</f>
        <v>457</v>
      </c>
      <c r="B253">
        <f>'2020_B5'!$G$5</f>
        <v>2012</v>
      </c>
      <c r="C253" t="str">
        <f>'2020_B5'!$E$6</f>
        <v>Deutsche</v>
      </c>
      <c r="D253" t="s">
        <v>4</v>
      </c>
      <c r="E253" t="str">
        <f>VLOOKUP(A253,[1]Kreise!$A$1:$C$53,3,FALSE)</f>
        <v>K03457</v>
      </c>
      <c r="F253">
        <f>'2020_B5'!G53</f>
        <v>150</v>
      </c>
    </row>
    <row r="254" spans="1:6" x14ac:dyDescent="0.25">
      <c r="A254">
        <f>'2020_B5'!A54</f>
        <v>458</v>
      </c>
      <c r="B254">
        <f>'2020_B5'!$G$5</f>
        <v>2012</v>
      </c>
      <c r="C254" t="str">
        <f>'2020_B5'!$E$6</f>
        <v>Deutsche</v>
      </c>
      <c r="D254" t="s">
        <v>4</v>
      </c>
      <c r="E254" t="str">
        <f>VLOOKUP(A254,[1]Kreise!$A$1:$C$53,3,FALSE)</f>
        <v>K03458</v>
      </c>
      <c r="F254">
        <f>'2020_B5'!G54</f>
        <v>63</v>
      </c>
    </row>
    <row r="255" spans="1:6" x14ac:dyDescent="0.25">
      <c r="A255">
        <f>'2020_B5'!A55</f>
        <v>459</v>
      </c>
      <c r="B255">
        <f>'2020_B5'!$G$5</f>
        <v>2012</v>
      </c>
      <c r="C255" t="str">
        <f>'2020_B5'!$E$6</f>
        <v>Deutsche</v>
      </c>
      <c r="D255" t="s">
        <v>4</v>
      </c>
      <c r="E255" t="str">
        <f>VLOOKUP(A255,[1]Kreise!$A$1:$C$53,3,FALSE)</f>
        <v>K03459</v>
      </c>
      <c r="F255">
        <f>'2020_B5'!G55</f>
        <v>176</v>
      </c>
    </row>
    <row r="256" spans="1:6" x14ac:dyDescent="0.25">
      <c r="A256">
        <f>'2020_B5'!A56</f>
        <v>460</v>
      </c>
      <c r="B256">
        <f>'2020_B5'!$G$5</f>
        <v>2012</v>
      </c>
      <c r="C256" t="str">
        <f>'2020_B5'!$E$6</f>
        <v>Deutsche</v>
      </c>
      <c r="D256" t="s">
        <v>4</v>
      </c>
      <c r="E256" t="str">
        <f>VLOOKUP(A256,[1]Kreise!$A$1:$C$53,3,FALSE)</f>
        <v>K03460</v>
      </c>
      <c r="F256">
        <f>'2020_B5'!G56</f>
        <v>106</v>
      </c>
    </row>
    <row r="257" spans="1:6" x14ac:dyDescent="0.25">
      <c r="A257">
        <f>'2020_B5'!A57</f>
        <v>461</v>
      </c>
      <c r="B257">
        <f>'2020_B5'!$G$5</f>
        <v>2012</v>
      </c>
      <c r="C257" t="str">
        <f>'2020_B5'!$E$6</f>
        <v>Deutsche</v>
      </c>
      <c r="D257" t="s">
        <v>4</v>
      </c>
      <c r="E257" t="str">
        <f>VLOOKUP(A257,[1]Kreise!$A$1:$C$53,3,FALSE)</f>
        <v>K03461</v>
      </c>
      <c r="F257">
        <f>'2020_B5'!G57</f>
        <v>34</v>
      </c>
    </row>
    <row r="258" spans="1:6" x14ac:dyDescent="0.25">
      <c r="A258">
        <f>'2020_B5'!A58</f>
        <v>462</v>
      </c>
      <c r="B258">
        <f>'2020_B5'!$G$5</f>
        <v>2012</v>
      </c>
      <c r="C258" t="str">
        <f>'2020_B5'!$E$6</f>
        <v>Deutsche</v>
      </c>
      <c r="D258" t="s">
        <v>4</v>
      </c>
      <c r="E258" t="str">
        <f>VLOOKUP(A258,[1]Kreise!$A$1:$C$53,3,FALSE)</f>
        <v>K03462</v>
      </c>
      <c r="F258">
        <f>'2020_B5'!G58</f>
        <v>30</v>
      </c>
    </row>
    <row r="259" spans="1:6" x14ac:dyDescent="0.25">
      <c r="A259">
        <f>'2020_B5'!A59</f>
        <v>4</v>
      </c>
      <c r="B259">
        <f>'2020_B5'!$G$5</f>
        <v>2012</v>
      </c>
      <c r="C259" t="str">
        <f>'2020_B5'!$E$6</f>
        <v>Deutsche</v>
      </c>
      <c r="D259" t="s">
        <v>4</v>
      </c>
      <c r="E259" t="str">
        <f>VLOOKUP(A259,[1]Kreise!$A$1:$C$53,3,FALSE)</f>
        <v>K034</v>
      </c>
      <c r="F259">
        <f>'2020_B5'!G59</f>
        <v>1490</v>
      </c>
    </row>
    <row r="260" spans="1:6" x14ac:dyDescent="0.25">
      <c r="A260">
        <f>'2020_B5'!A60</f>
        <v>0</v>
      </c>
      <c r="B260">
        <f>'2020_B5'!$G$5</f>
        <v>2012</v>
      </c>
      <c r="C260" t="str">
        <f>'2020_B5'!$E$6</f>
        <v>Deutsche</v>
      </c>
      <c r="D260" t="s">
        <v>4</v>
      </c>
      <c r="E260" t="str">
        <f>VLOOKUP(A260,[1]Kreise!$A$1:$C$53,3,FALSE)</f>
        <v>K030</v>
      </c>
      <c r="F260">
        <f>'2020_B5'!G60</f>
        <v>4082</v>
      </c>
    </row>
    <row r="261" spans="1:6" x14ac:dyDescent="0.25">
      <c r="A261">
        <f>'2020_B5'!A9</f>
        <v>101</v>
      </c>
      <c r="B261">
        <f>'2020_B5'!$G$5</f>
        <v>2012</v>
      </c>
      <c r="C261" t="str">
        <f>'2020_B5'!$D$6</f>
        <v>Ausländerinnen und Ausländer</v>
      </c>
      <c r="D261" t="s">
        <v>4</v>
      </c>
      <c r="E261" t="str">
        <f>VLOOKUP(A261,[1]Kreise!$A$1:$C$53,3,FALSE)</f>
        <v>K03101</v>
      </c>
      <c r="F261">
        <f>'2020_B5'!H9</f>
        <v>15</v>
      </c>
    </row>
    <row r="262" spans="1:6" x14ac:dyDescent="0.25">
      <c r="A262">
        <f>'2020_B5'!A10</f>
        <v>102</v>
      </c>
      <c r="B262">
        <f>'2020_B5'!$G$5</f>
        <v>2012</v>
      </c>
      <c r="C262" t="str">
        <f>'2020_B5'!$D$6</f>
        <v>Ausländerinnen und Ausländer</v>
      </c>
      <c r="D262" t="s">
        <v>4</v>
      </c>
      <c r="E262" t="str">
        <f>VLOOKUP(A262,[1]Kreise!$A$1:$C$53,3,FALSE)</f>
        <v>K03102</v>
      </c>
      <c r="F262">
        <f>'2020_B5'!H10</f>
        <v>1</v>
      </c>
    </row>
    <row r="263" spans="1:6" x14ac:dyDescent="0.25">
      <c r="A263">
        <f>'2020_B5'!A11</f>
        <v>103</v>
      </c>
      <c r="B263">
        <f>'2020_B5'!$G$5</f>
        <v>2012</v>
      </c>
      <c r="C263" t="str">
        <f>'2020_B5'!$D$6</f>
        <v>Ausländerinnen und Ausländer</v>
      </c>
      <c r="D263" t="s">
        <v>4</v>
      </c>
      <c r="E263" t="str">
        <f>VLOOKUP(A263,[1]Kreise!$A$1:$C$53,3,FALSE)</f>
        <v>K03103</v>
      </c>
      <c r="F263">
        <f>'2020_B5'!H11</f>
        <v>9</v>
      </c>
    </row>
    <row r="264" spans="1:6" x14ac:dyDescent="0.25">
      <c r="A264">
        <f>'2020_B5'!A12</f>
        <v>151</v>
      </c>
      <c r="B264">
        <f>'2020_B5'!$G$5</f>
        <v>2012</v>
      </c>
      <c r="C264" t="str">
        <f>'2020_B5'!$D$6</f>
        <v>Ausländerinnen und Ausländer</v>
      </c>
      <c r="D264" t="s">
        <v>4</v>
      </c>
      <c r="E264" t="str">
        <f>VLOOKUP(A264,[1]Kreise!$A$1:$C$53,3,FALSE)</f>
        <v>K03151</v>
      </c>
      <c r="F264">
        <f>'2020_B5'!H12</f>
        <v>8</v>
      </c>
    </row>
    <row r="265" spans="1:6" x14ac:dyDescent="0.25">
      <c r="A265">
        <f>'2020_B5'!A13</f>
        <v>153</v>
      </c>
      <c r="B265">
        <f>'2020_B5'!$G$5</f>
        <v>2012</v>
      </c>
      <c r="C265" t="str">
        <f>'2020_B5'!$D$6</f>
        <v>Ausländerinnen und Ausländer</v>
      </c>
      <c r="D265" t="s">
        <v>4</v>
      </c>
      <c r="E265" t="str">
        <f>VLOOKUP(A265,[1]Kreise!$A$1:$C$53,3,FALSE)</f>
        <v>K03153</v>
      </c>
      <c r="F265">
        <f>'2020_B5'!H13</f>
        <v>10</v>
      </c>
    </row>
    <row r="266" spans="1:6" x14ac:dyDescent="0.25">
      <c r="A266">
        <f>'2020_B5'!A14</f>
        <v>154</v>
      </c>
      <c r="B266">
        <f>'2020_B5'!$G$5</f>
        <v>2012</v>
      </c>
      <c r="C266" t="str">
        <f>'2020_B5'!$D$6</f>
        <v>Ausländerinnen und Ausländer</v>
      </c>
      <c r="D266" t="s">
        <v>4</v>
      </c>
      <c r="E266" t="str">
        <f>VLOOKUP(A266,[1]Kreise!$A$1:$C$53,3,FALSE)</f>
        <v>K03154</v>
      </c>
      <c r="F266">
        <f>'2020_B5'!H14</f>
        <v>1</v>
      </c>
    </row>
    <row r="267" spans="1:6" x14ac:dyDescent="0.25">
      <c r="A267">
        <f>'2020_B5'!A15</f>
        <v>155</v>
      </c>
      <c r="B267">
        <f>'2020_B5'!$G$5</f>
        <v>2012</v>
      </c>
      <c r="C267" t="str">
        <f>'2020_B5'!$D$6</f>
        <v>Ausländerinnen und Ausländer</v>
      </c>
      <c r="D267" t="s">
        <v>4</v>
      </c>
      <c r="E267" t="str">
        <f>VLOOKUP(A267,[1]Kreise!$A$1:$C$53,3,FALSE)</f>
        <v>K03155</v>
      </c>
      <c r="F267">
        <f>'2020_B5'!H15</f>
        <v>17</v>
      </c>
    </row>
    <row r="268" spans="1:6" x14ac:dyDescent="0.25">
      <c r="A268">
        <f>'2020_B5'!A16</f>
        <v>157</v>
      </c>
      <c r="B268">
        <f>'2020_B5'!$G$5</f>
        <v>2012</v>
      </c>
      <c r="C268" t="str">
        <f>'2020_B5'!$D$6</f>
        <v>Ausländerinnen und Ausländer</v>
      </c>
      <c r="D268" t="s">
        <v>4</v>
      </c>
      <c r="E268" t="str">
        <f>VLOOKUP(A268,[1]Kreise!$A$1:$C$53,3,FALSE)</f>
        <v>K03157</v>
      </c>
      <c r="F268">
        <f>'2020_B5'!H16</f>
        <v>13</v>
      </c>
    </row>
    <row r="269" spans="1:6" x14ac:dyDescent="0.25">
      <c r="A269">
        <f>'2020_B5'!A17</f>
        <v>158</v>
      </c>
      <c r="B269">
        <f>'2020_B5'!$G$5</f>
        <v>2012</v>
      </c>
      <c r="C269" t="str">
        <f>'2020_B5'!$D$6</f>
        <v>Ausländerinnen und Ausländer</v>
      </c>
      <c r="D269" t="s">
        <v>4</v>
      </c>
      <c r="E269" t="str">
        <f>VLOOKUP(A269,[1]Kreise!$A$1:$C$53,3,FALSE)</f>
        <v>K03158</v>
      </c>
      <c r="F269">
        <f>'2020_B5'!H17</f>
        <v>5</v>
      </c>
    </row>
    <row r="270" spans="1:6" x14ac:dyDescent="0.25">
      <c r="A270">
        <f>'2020_B5'!A18</f>
        <v>159</v>
      </c>
      <c r="B270">
        <f>'2020_B5'!$G$5</f>
        <v>2012</v>
      </c>
      <c r="C270" t="str">
        <f>'2020_B5'!$D$6</f>
        <v>Ausländerinnen und Ausländer</v>
      </c>
      <c r="D270" t="s">
        <v>4</v>
      </c>
      <c r="E270" t="str">
        <f>VLOOKUP(A270,[1]Kreise!$A$1:$C$53,3,FALSE)</f>
        <v>K03159</v>
      </c>
      <c r="F270">
        <f>'2020_B5'!H18</f>
        <v>22</v>
      </c>
    </row>
    <row r="271" spans="1:6" x14ac:dyDescent="0.25">
      <c r="A271">
        <f>'2020_B5'!A19</f>
        <v>1</v>
      </c>
      <c r="B271">
        <f>'2020_B5'!$G$5</f>
        <v>2012</v>
      </c>
      <c r="C271" t="str">
        <f>'2020_B5'!$D$6</f>
        <v>Ausländerinnen und Ausländer</v>
      </c>
      <c r="D271" t="s">
        <v>4</v>
      </c>
      <c r="E271" t="str">
        <f>VLOOKUP(A271,[1]Kreise!$A$1:$C$53,3,FALSE)</f>
        <v>K031</v>
      </c>
      <c r="F271">
        <f>'2020_B5'!H19</f>
        <v>101</v>
      </c>
    </row>
    <row r="272" spans="1:6" x14ac:dyDescent="0.25">
      <c r="A272">
        <f>'2020_B5'!A20</f>
        <v>241</v>
      </c>
      <c r="B272">
        <f>'2020_B5'!$G$5</f>
        <v>2012</v>
      </c>
      <c r="C272" t="str">
        <f>'2020_B5'!$D$6</f>
        <v>Ausländerinnen und Ausländer</v>
      </c>
      <c r="D272" t="s">
        <v>4</v>
      </c>
      <c r="E272" t="str">
        <f>VLOOKUP(A272,[1]Kreise!$A$1:$C$53,3,FALSE)</f>
        <v>K03241</v>
      </c>
      <c r="F272">
        <f>'2020_B5'!H20</f>
        <v>163</v>
      </c>
    </row>
    <row r="273" spans="1:6" x14ac:dyDescent="0.25">
      <c r="A273">
        <f>'2020_B5'!A21</f>
        <v>241001</v>
      </c>
      <c r="B273">
        <f>'2020_B5'!$G$5</f>
        <v>2012</v>
      </c>
      <c r="C273" t="str">
        <f>'2020_B5'!$D$6</f>
        <v>Ausländerinnen und Ausländer</v>
      </c>
      <c r="D273" t="s">
        <v>4</v>
      </c>
      <c r="E273" t="str">
        <f>VLOOKUP(A273,[1]Kreise!$A$1:$C$53,3,FALSE)</f>
        <v>K03241001</v>
      </c>
      <c r="F273">
        <f>'2020_B5'!H21</f>
        <v>99</v>
      </c>
    </row>
    <row r="274" spans="1:6" x14ac:dyDescent="0.25">
      <c r="A274">
        <f>'2020_B5'!A22</f>
        <v>241999</v>
      </c>
      <c r="B274">
        <f>'2020_B5'!$G$5</f>
        <v>2012</v>
      </c>
      <c r="C274" t="str">
        <f>'2020_B5'!$D$6</f>
        <v>Ausländerinnen und Ausländer</v>
      </c>
      <c r="D274" t="s">
        <v>4</v>
      </c>
      <c r="E274" t="str">
        <f>VLOOKUP(A274,[1]Kreise!$A$1:$C$53,3,FALSE)</f>
        <v>K03241999</v>
      </c>
      <c r="F274">
        <f>'2020_B5'!H22</f>
        <v>64</v>
      </c>
    </row>
    <row r="275" spans="1:6" x14ac:dyDescent="0.25">
      <c r="A275">
        <f>'2020_B5'!A23</f>
        <v>251</v>
      </c>
      <c r="B275">
        <f>'2020_B5'!$G$5</f>
        <v>2012</v>
      </c>
      <c r="C275" t="str">
        <f>'2020_B5'!$D$6</f>
        <v>Ausländerinnen und Ausländer</v>
      </c>
      <c r="D275" t="s">
        <v>4</v>
      </c>
      <c r="E275" t="str">
        <f>VLOOKUP(A275,[1]Kreise!$A$1:$C$53,3,FALSE)</f>
        <v>K03251</v>
      </c>
      <c r="F275">
        <f>'2020_B5'!H23</f>
        <v>9</v>
      </c>
    </row>
    <row r="276" spans="1:6" x14ac:dyDescent="0.25">
      <c r="A276">
        <f>'2020_B5'!A24</f>
        <v>252</v>
      </c>
      <c r="B276">
        <f>'2020_B5'!$G$5</f>
        <v>2012</v>
      </c>
      <c r="C276" t="str">
        <f>'2020_B5'!$D$6</f>
        <v>Ausländerinnen und Ausländer</v>
      </c>
      <c r="D276" t="s">
        <v>4</v>
      </c>
      <c r="E276" t="str">
        <f>VLOOKUP(A276,[1]Kreise!$A$1:$C$53,3,FALSE)</f>
        <v>K03252</v>
      </c>
      <c r="F276">
        <f>'2020_B5'!H24</f>
        <v>9</v>
      </c>
    </row>
    <row r="277" spans="1:6" x14ac:dyDescent="0.25">
      <c r="A277">
        <f>'2020_B5'!A25</f>
        <v>254</v>
      </c>
      <c r="B277">
        <f>'2020_B5'!$G$5</f>
        <v>2012</v>
      </c>
      <c r="C277" t="str">
        <f>'2020_B5'!$D$6</f>
        <v>Ausländerinnen und Ausländer</v>
      </c>
      <c r="D277" t="s">
        <v>4</v>
      </c>
      <c r="E277" t="str">
        <f>VLOOKUP(A277,[1]Kreise!$A$1:$C$53,3,FALSE)</f>
        <v>K03254</v>
      </c>
      <c r="F277">
        <f>'2020_B5'!H25</f>
        <v>25</v>
      </c>
    </row>
    <row r="278" spans="1:6" x14ac:dyDescent="0.25">
      <c r="A278">
        <f>'2020_B5'!A26</f>
        <v>255</v>
      </c>
      <c r="B278">
        <f>'2020_B5'!$G$5</f>
        <v>2012</v>
      </c>
      <c r="C278" t="str">
        <f>'2020_B5'!$D$6</f>
        <v>Ausländerinnen und Ausländer</v>
      </c>
      <c r="D278" t="s">
        <v>4</v>
      </c>
      <c r="E278" t="str">
        <f>VLOOKUP(A278,[1]Kreise!$A$1:$C$53,3,FALSE)</f>
        <v>K03255</v>
      </c>
      <c r="F278">
        <f>'2020_B5'!H26</f>
        <v>5</v>
      </c>
    </row>
    <row r="279" spans="1:6" x14ac:dyDescent="0.25">
      <c r="A279">
        <f>'2020_B5'!A27</f>
        <v>256</v>
      </c>
      <c r="B279">
        <f>'2020_B5'!$G$5</f>
        <v>2012</v>
      </c>
      <c r="C279" t="str">
        <f>'2020_B5'!$D$6</f>
        <v>Ausländerinnen und Ausländer</v>
      </c>
      <c r="D279" t="s">
        <v>4</v>
      </c>
      <c r="E279" t="str">
        <f>VLOOKUP(A279,[1]Kreise!$A$1:$C$53,3,FALSE)</f>
        <v>K03256</v>
      </c>
      <c r="F279">
        <f>'2020_B5'!H27</f>
        <v>14</v>
      </c>
    </row>
    <row r="280" spans="1:6" x14ac:dyDescent="0.25">
      <c r="A280">
        <f>'2020_B5'!A28</f>
        <v>257</v>
      </c>
      <c r="B280">
        <f>'2020_B5'!$G$5</f>
        <v>2012</v>
      </c>
      <c r="C280" t="str">
        <f>'2020_B5'!$D$6</f>
        <v>Ausländerinnen und Ausländer</v>
      </c>
      <c r="D280" t="s">
        <v>4</v>
      </c>
      <c r="E280" t="str">
        <f>VLOOKUP(A280,[1]Kreise!$A$1:$C$53,3,FALSE)</f>
        <v>K03257</v>
      </c>
      <c r="F280">
        <f>'2020_B5'!H28</f>
        <v>13</v>
      </c>
    </row>
    <row r="281" spans="1:6" x14ac:dyDescent="0.25">
      <c r="A281">
        <f>'2020_B5'!A29</f>
        <v>2</v>
      </c>
      <c r="B281">
        <f>'2020_B5'!$G$5</f>
        <v>2012</v>
      </c>
      <c r="C281" t="str">
        <f>'2020_B5'!$D$6</f>
        <v>Ausländerinnen und Ausländer</v>
      </c>
      <c r="D281" t="s">
        <v>4</v>
      </c>
      <c r="E281" t="str">
        <f>VLOOKUP(A281,[1]Kreise!$A$1:$C$53,3,FALSE)</f>
        <v>K032</v>
      </c>
      <c r="F281">
        <f>'2020_B5'!H29</f>
        <v>238</v>
      </c>
    </row>
    <row r="282" spans="1:6" x14ac:dyDescent="0.25">
      <c r="A282">
        <f>'2020_B5'!A30</f>
        <v>351</v>
      </c>
      <c r="B282">
        <f>'2020_B5'!$G$5</f>
        <v>2012</v>
      </c>
      <c r="C282" t="str">
        <f>'2020_B5'!$D$6</f>
        <v>Ausländerinnen und Ausländer</v>
      </c>
      <c r="D282" t="s">
        <v>4</v>
      </c>
      <c r="E282" t="str">
        <f>VLOOKUP(A282,[1]Kreise!$A$1:$C$53,3,FALSE)</f>
        <v>K03351</v>
      </c>
      <c r="F282">
        <f>'2020_B5'!H30</f>
        <v>5</v>
      </c>
    </row>
    <row r="283" spans="1:6" x14ac:dyDescent="0.25">
      <c r="A283">
        <f>'2020_B5'!A31</f>
        <v>352</v>
      </c>
      <c r="B283">
        <f>'2020_B5'!$G$5</f>
        <v>2012</v>
      </c>
      <c r="C283" t="str">
        <f>'2020_B5'!$D$6</f>
        <v>Ausländerinnen und Ausländer</v>
      </c>
      <c r="D283" t="s">
        <v>4</v>
      </c>
      <c r="E283" t="str">
        <f>VLOOKUP(A283,[1]Kreise!$A$1:$C$53,3,FALSE)</f>
        <v>K03352</v>
      </c>
      <c r="F283">
        <f>'2020_B5'!H31</f>
        <v>22</v>
      </c>
    </row>
    <row r="284" spans="1:6" x14ac:dyDescent="0.25">
      <c r="A284">
        <f>'2020_B5'!A32</f>
        <v>353</v>
      </c>
      <c r="B284">
        <f>'2020_B5'!$G$5</f>
        <v>2012</v>
      </c>
      <c r="C284" t="str">
        <f>'2020_B5'!$D$6</f>
        <v>Ausländerinnen und Ausländer</v>
      </c>
      <c r="D284" t="s">
        <v>4</v>
      </c>
      <c r="E284" t="str">
        <f>VLOOKUP(A284,[1]Kreise!$A$1:$C$53,3,FALSE)</f>
        <v>K03353</v>
      </c>
      <c r="F284">
        <f>'2020_B5'!H32</f>
        <v>12</v>
      </c>
    </row>
    <row r="285" spans="1:6" x14ac:dyDescent="0.25">
      <c r="A285">
        <f>'2020_B5'!A33</f>
        <v>354</v>
      </c>
      <c r="B285">
        <f>'2020_B5'!$G$5</f>
        <v>2012</v>
      </c>
      <c r="C285" t="str">
        <f>'2020_B5'!$D$6</f>
        <v>Ausländerinnen und Ausländer</v>
      </c>
      <c r="D285" t="s">
        <v>4</v>
      </c>
      <c r="E285" t="str">
        <f>VLOOKUP(A285,[1]Kreise!$A$1:$C$53,3,FALSE)</f>
        <v>K03354</v>
      </c>
      <c r="F285">
        <f>'2020_B5'!H33</f>
        <v>3</v>
      </c>
    </row>
    <row r="286" spans="1:6" x14ac:dyDescent="0.25">
      <c r="A286">
        <f>'2020_B5'!A34</f>
        <v>355</v>
      </c>
      <c r="B286">
        <f>'2020_B5'!$G$5</f>
        <v>2012</v>
      </c>
      <c r="C286" t="str">
        <f>'2020_B5'!$D$6</f>
        <v>Ausländerinnen und Ausländer</v>
      </c>
      <c r="D286" t="s">
        <v>4</v>
      </c>
      <c r="E286" t="str">
        <f>VLOOKUP(A286,[1]Kreise!$A$1:$C$53,3,FALSE)</f>
        <v>K03355</v>
      </c>
      <c r="F286">
        <f>'2020_B5'!H34</f>
        <v>4</v>
      </c>
    </row>
    <row r="287" spans="1:6" x14ac:dyDescent="0.25">
      <c r="A287">
        <f>'2020_B5'!A35</f>
        <v>356</v>
      </c>
      <c r="B287">
        <f>'2020_B5'!$G$5</f>
        <v>2012</v>
      </c>
      <c r="C287" t="str">
        <f>'2020_B5'!$D$6</f>
        <v>Ausländerinnen und Ausländer</v>
      </c>
      <c r="D287" t="s">
        <v>4</v>
      </c>
      <c r="E287" t="str">
        <f>VLOOKUP(A287,[1]Kreise!$A$1:$C$53,3,FALSE)</f>
        <v>K03356</v>
      </c>
      <c r="F287">
        <f>'2020_B5'!H35</f>
        <v>9</v>
      </c>
    </row>
    <row r="288" spans="1:6" x14ac:dyDescent="0.25">
      <c r="A288">
        <f>'2020_B5'!A36</f>
        <v>357</v>
      </c>
      <c r="B288">
        <f>'2020_B5'!$G$5</f>
        <v>2012</v>
      </c>
      <c r="C288" t="str">
        <f>'2020_B5'!$D$6</f>
        <v>Ausländerinnen und Ausländer</v>
      </c>
      <c r="D288" t="s">
        <v>4</v>
      </c>
      <c r="E288" t="str">
        <f>VLOOKUP(A288,[1]Kreise!$A$1:$C$53,3,FALSE)</f>
        <v>K03357</v>
      </c>
      <c r="F288">
        <f>'2020_B5'!H36</f>
        <v>12</v>
      </c>
    </row>
    <row r="289" spans="1:6" x14ac:dyDescent="0.25">
      <c r="A289">
        <f>'2020_B5'!A37</f>
        <v>358</v>
      </c>
      <c r="B289">
        <f>'2020_B5'!$G$5</f>
        <v>2012</v>
      </c>
      <c r="C289" t="str">
        <f>'2020_B5'!$D$6</f>
        <v>Ausländerinnen und Ausländer</v>
      </c>
      <c r="D289" t="s">
        <v>4</v>
      </c>
      <c r="E289" t="str">
        <f>VLOOKUP(A289,[1]Kreise!$A$1:$C$53,3,FALSE)</f>
        <v>K03358</v>
      </c>
      <c r="F289">
        <f>'2020_B5'!H37</f>
        <v>13</v>
      </c>
    </row>
    <row r="290" spans="1:6" x14ac:dyDescent="0.25">
      <c r="A290">
        <f>'2020_B5'!A38</f>
        <v>359</v>
      </c>
      <c r="B290">
        <f>'2020_B5'!$G$5</f>
        <v>2012</v>
      </c>
      <c r="C290" t="str">
        <f>'2020_B5'!$D$6</f>
        <v>Ausländerinnen und Ausländer</v>
      </c>
      <c r="D290" t="s">
        <v>4</v>
      </c>
      <c r="E290" t="str">
        <f>VLOOKUP(A290,[1]Kreise!$A$1:$C$53,3,FALSE)</f>
        <v>K03359</v>
      </c>
      <c r="F290">
        <f>'2020_B5'!H38</f>
        <v>5</v>
      </c>
    </row>
    <row r="291" spans="1:6" x14ac:dyDescent="0.25">
      <c r="A291">
        <f>'2020_B5'!A39</f>
        <v>360</v>
      </c>
      <c r="B291">
        <f>'2020_B5'!$G$5</f>
        <v>2012</v>
      </c>
      <c r="C291" t="str">
        <f>'2020_B5'!$D$6</f>
        <v>Ausländerinnen und Ausländer</v>
      </c>
      <c r="D291" t="s">
        <v>4</v>
      </c>
      <c r="E291" t="str">
        <f>VLOOKUP(A291,[1]Kreise!$A$1:$C$53,3,FALSE)</f>
        <v>K03360</v>
      </c>
      <c r="F291">
        <f>'2020_B5'!H39</f>
        <v>1</v>
      </c>
    </row>
    <row r="292" spans="1:6" x14ac:dyDescent="0.25">
      <c r="A292">
        <f>'2020_B5'!A40</f>
        <v>361</v>
      </c>
      <c r="B292">
        <f>'2020_B5'!$G$5</f>
        <v>2012</v>
      </c>
      <c r="C292" t="str">
        <f>'2020_B5'!$D$6</f>
        <v>Ausländerinnen und Ausländer</v>
      </c>
      <c r="D292" t="s">
        <v>4</v>
      </c>
      <c r="E292" t="str">
        <f>VLOOKUP(A292,[1]Kreise!$A$1:$C$53,3,FALSE)</f>
        <v>K03361</v>
      </c>
      <c r="F292">
        <f>'2020_B5'!H40</f>
        <v>10</v>
      </c>
    </row>
    <row r="293" spans="1:6" x14ac:dyDescent="0.25">
      <c r="A293">
        <f>'2020_B5'!A41</f>
        <v>3</v>
      </c>
      <c r="B293">
        <f>'2020_B5'!$G$5</f>
        <v>2012</v>
      </c>
      <c r="C293" t="str">
        <f>'2020_B5'!$D$6</f>
        <v>Ausländerinnen und Ausländer</v>
      </c>
      <c r="D293" t="s">
        <v>4</v>
      </c>
      <c r="E293" t="str">
        <f>VLOOKUP(A293,[1]Kreise!$A$1:$C$53,3,FALSE)</f>
        <v>K033</v>
      </c>
      <c r="F293">
        <f>'2020_B5'!H41</f>
        <v>96</v>
      </c>
    </row>
    <row r="294" spans="1:6" x14ac:dyDescent="0.25">
      <c r="A294">
        <f>'2020_B5'!A42</f>
        <v>401</v>
      </c>
      <c r="B294">
        <f>'2020_B5'!$G$5</f>
        <v>2012</v>
      </c>
      <c r="C294" t="str">
        <f>'2020_B5'!$D$6</f>
        <v>Ausländerinnen und Ausländer</v>
      </c>
      <c r="D294" t="s">
        <v>4</v>
      </c>
      <c r="E294" t="str">
        <f>VLOOKUP(A294,[1]Kreise!$A$1:$C$53,3,FALSE)</f>
        <v>K03401</v>
      </c>
      <c r="F294">
        <f>'2020_B5'!H42</f>
        <v>19</v>
      </c>
    </row>
    <row r="295" spans="1:6" x14ac:dyDescent="0.25">
      <c r="A295">
        <f>'2020_B5'!A43</f>
        <v>402</v>
      </c>
      <c r="B295">
        <f>'2020_B5'!$G$5</f>
        <v>2012</v>
      </c>
      <c r="C295" t="str">
        <f>'2020_B5'!$D$6</f>
        <v>Ausländerinnen und Ausländer</v>
      </c>
      <c r="D295" t="s">
        <v>4</v>
      </c>
      <c r="E295" t="str">
        <f>VLOOKUP(A295,[1]Kreise!$A$1:$C$53,3,FALSE)</f>
        <v>K03402</v>
      </c>
      <c r="F295">
        <f>'2020_B5'!H43</f>
        <v>2</v>
      </c>
    </row>
    <row r="296" spans="1:6" x14ac:dyDescent="0.25">
      <c r="A296">
        <f>'2020_B5'!A44</f>
        <v>403</v>
      </c>
      <c r="B296">
        <f>'2020_B5'!$G$5</f>
        <v>2012</v>
      </c>
      <c r="C296" t="str">
        <f>'2020_B5'!$D$6</f>
        <v>Ausländerinnen und Ausländer</v>
      </c>
      <c r="D296" t="s">
        <v>4</v>
      </c>
      <c r="E296" t="str">
        <f>VLOOKUP(A296,[1]Kreise!$A$1:$C$53,3,FALSE)</f>
        <v>K03403</v>
      </c>
      <c r="F296">
        <f>'2020_B5'!H44</f>
        <v>14</v>
      </c>
    </row>
    <row r="297" spans="1:6" x14ac:dyDescent="0.25">
      <c r="A297">
        <f>'2020_B5'!A45</f>
        <v>404</v>
      </c>
      <c r="B297">
        <f>'2020_B5'!$G$5</f>
        <v>2012</v>
      </c>
      <c r="C297" t="str">
        <f>'2020_B5'!$D$6</f>
        <v>Ausländerinnen und Ausländer</v>
      </c>
      <c r="D297" t="s">
        <v>4</v>
      </c>
      <c r="E297" t="str">
        <f>VLOOKUP(A297,[1]Kreise!$A$1:$C$53,3,FALSE)</f>
        <v>K03404</v>
      </c>
      <c r="F297">
        <f>'2020_B5'!H45</f>
        <v>28</v>
      </c>
    </row>
    <row r="298" spans="1:6" x14ac:dyDescent="0.25">
      <c r="A298">
        <f>'2020_B5'!A46</f>
        <v>405</v>
      </c>
      <c r="B298">
        <f>'2020_B5'!$G$5</f>
        <v>2012</v>
      </c>
      <c r="C298" t="str">
        <f>'2020_B5'!$D$6</f>
        <v>Ausländerinnen und Ausländer</v>
      </c>
      <c r="D298" t="s">
        <v>4</v>
      </c>
      <c r="E298" t="str">
        <f>VLOOKUP(A298,[1]Kreise!$A$1:$C$53,3,FALSE)</f>
        <v>K03405</v>
      </c>
      <c r="F298">
        <f>'2020_B5'!H46</f>
        <v>12</v>
      </c>
    </row>
    <row r="299" spans="1:6" x14ac:dyDescent="0.25">
      <c r="A299">
        <f>'2020_B5'!A47</f>
        <v>451</v>
      </c>
      <c r="B299">
        <f>'2020_B5'!$G$5</f>
        <v>2012</v>
      </c>
      <c r="C299" t="str">
        <f>'2020_B5'!$D$6</f>
        <v>Ausländerinnen und Ausländer</v>
      </c>
      <c r="D299" t="s">
        <v>4</v>
      </c>
      <c r="E299" t="str">
        <f>VLOOKUP(A299,[1]Kreise!$A$1:$C$53,3,FALSE)</f>
        <v>K03451</v>
      </c>
      <c r="F299">
        <f>'2020_B5'!H47</f>
        <v>3</v>
      </c>
    </row>
    <row r="300" spans="1:6" x14ac:dyDescent="0.25">
      <c r="A300">
        <f>'2020_B5'!A48</f>
        <v>452</v>
      </c>
      <c r="B300">
        <f>'2020_B5'!$G$5</f>
        <v>2012</v>
      </c>
      <c r="C300" t="str">
        <f>'2020_B5'!$D$6</f>
        <v>Ausländerinnen und Ausländer</v>
      </c>
      <c r="D300" t="s">
        <v>4</v>
      </c>
      <c r="E300" t="str">
        <f>VLOOKUP(A300,[1]Kreise!$A$1:$C$53,3,FALSE)</f>
        <v>K03452</v>
      </c>
      <c r="F300">
        <f>'2020_B5'!H48</f>
        <v>30</v>
      </c>
    </row>
    <row r="301" spans="1:6" x14ac:dyDescent="0.25">
      <c r="A301">
        <f>'2020_B5'!A49</f>
        <v>453</v>
      </c>
      <c r="B301">
        <f>'2020_B5'!$G$5</f>
        <v>2012</v>
      </c>
      <c r="C301" t="str">
        <f>'2020_B5'!$D$6</f>
        <v>Ausländerinnen und Ausländer</v>
      </c>
      <c r="D301" t="s">
        <v>4</v>
      </c>
      <c r="E301" t="str">
        <f>VLOOKUP(A301,[1]Kreise!$A$1:$C$53,3,FALSE)</f>
        <v>K03453</v>
      </c>
      <c r="F301">
        <f>'2020_B5'!H49</f>
        <v>15</v>
      </c>
    </row>
    <row r="302" spans="1:6" x14ac:dyDescent="0.25">
      <c r="A302">
        <f>'2020_B5'!A50</f>
        <v>454</v>
      </c>
      <c r="B302">
        <f>'2020_B5'!$G$5</f>
        <v>2012</v>
      </c>
      <c r="C302" t="str">
        <f>'2020_B5'!$D$6</f>
        <v>Ausländerinnen und Ausländer</v>
      </c>
      <c r="D302" t="s">
        <v>4</v>
      </c>
      <c r="E302" t="str">
        <f>VLOOKUP(A302,[1]Kreise!$A$1:$C$53,3,FALSE)</f>
        <v>K03454</v>
      </c>
      <c r="F302">
        <f>'2020_B5'!H50</f>
        <v>17</v>
      </c>
    </row>
    <row r="303" spans="1:6" x14ac:dyDescent="0.25">
      <c r="A303">
        <f>'2020_B5'!A51</f>
        <v>455</v>
      </c>
      <c r="B303">
        <f>'2020_B5'!$G$5</f>
        <v>2012</v>
      </c>
      <c r="C303" t="str">
        <f>'2020_B5'!$D$6</f>
        <v>Ausländerinnen und Ausländer</v>
      </c>
      <c r="D303" t="s">
        <v>4</v>
      </c>
      <c r="E303" t="str">
        <f>VLOOKUP(A303,[1]Kreise!$A$1:$C$53,3,FALSE)</f>
        <v>K03455</v>
      </c>
      <c r="F303">
        <f>'2020_B5'!H51</f>
        <v>2</v>
      </c>
    </row>
    <row r="304" spans="1:6" x14ac:dyDescent="0.25">
      <c r="A304">
        <f>'2020_B5'!A52</f>
        <v>456</v>
      </c>
      <c r="B304">
        <f>'2020_B5'!$G$5</f>
        <v>2012</v>
      </c>
      <c r="C304" t="str">
        <f>'2020_B5'!$D$6</f>
        <v>Ausländerinnen und Ausländer</v>
      </c>
      <c r="D304" t="s">
        <v>4</v>
      </c>
      <c r="E304" t="str">
        <f>VLOOKUP(A304,[1]Kreise!$A$1:$C$53,3,FALSE)</f>
        <v>K03456</v>
      </c>
      <c r="F304">
        <f>'2020_B5'!H52</f>
        <v>19</v>
      </c>
    </row>
    <row r="305" spans="1:6" x14ac:dyDescent="0.25">
      <c r="A305">
        <f>'2020_B5'!A53</f>
        <v>457</v>
      </c>
      <c r="B305">
        <f>'2020_B5'!$G$5</f>
        <v>2012</v>
      </c>
      <c r="C305" t="str">
        <f>'2020_B5'!$D$6</f>
        <v>Ausländerinnen und Ausländer</v>
      </c>
      <c r="D305" t="s">
        <v>4</v>
      </c>
      <c r="E305" t="str">
        <f>VLOOKUP(A305,[1]Kreise!$A$1:$C$53,3,FALSE)</f>
        <v>K03457</v>
      </c>
      <c r="F305">
        <f>'2020_B5'!H53</f>
        <v>19</v>
      </c>
    </row>
    <row r="306" spans="1:6" x14ac:dyDescent="0.25">
      <c r="A306">
        <f>'2020_B5'!A54</f>
        <v>458</v>
      </c>
      <c r="B306">
        <f>'2020_B5'!$G$5</f>
        <v>2012</v>
      </c>
      <c r="C306" t="str">
        <f>'2020_B5'!$D$6</f>
        <v>Ausländerinnen und Ausländer</v>
      </c>
      <c r="D306" t="s">
        <v>4</v>
      </c>
      <c r="E306" t="str">
        <f>VLOOKUP(A306,[1]Kreise!$A$1:$C$53,3,FALSE)</f>
        <v>K03458</v>
      </c>
      <c r="F306">
        <f>'2020_B5'!H54</f>
        <v>4</v>
      </c>
    </row>
    <row r="307" spans="1:6" x14ac:dyDescent="0.25">
      <c r="A307">
        <f>'2020_B5'!A55</f>
        <v>459</v>
      </c>
      <c r="B307">
        <f>'2020_B5'!$G$5</f>
        <v>2012</v>
      </c>
      <c r="C307" t="str">
        <f>'2020_B5'!$D$6</f>
        <v>Ausländerinnen und Ausländer</v>
      </c>
      <c r="D307" t="s">
        <v>4</v>
      </c>
      <c r="E307" t="str">
        <f>VLOOKUP(A307,[1]Kreise!$A$1:$C$53,3,FALSE)</f>
        <v>K03459</v>
      </c>
      <c r="F307">
        <f>'2020_B5'!H55</f>
        <v>30</v>
      </c>
    </row>
    <row r="308" spans="1:6" x14ac:dyDescent="0.25">
      <c r="A308">
        <f>'2020_B5'!A56</f>
        <v>460</v>
      </c>
      <c r="B308">
        <f>'2020_B5'!$G$5</f>
        <v>2012</v>
      </c>
      <c r="C308" t="str">
        <f>'2020_B5'!$D$6</f>
        <v>Ausländerinnen und Ausländer</v>
      </c>
      <c r="D308" t="s">
        <v>4</v>
      </c>
      <c r="E308" t="str">
        <f>VLOOKUP(A308,[1]Kreise!$A$1:$C$53,3,FALSE)</f>
        <v>K03460</v>
      </c>
      <c r="F308">
        <f>'2020_B5'!H56</f>
        <v>38</v>
      </c>
    </row>
    <row r="309" spans="1:6" x14ac:dyDescent="0.25">
      <c r="A309">
        <f>'2020_B5'!A57</f>
        <v>461</v>
      </c>
      <c r="B309">
        <f>'2020_B5'!$G$5</f>
        <v>2012</v>
      </c>
      <c r="C309" t="str">
        <f>'2020_B5'!$D$6</f>
        <v>Ausländerinnen und Ausländer</v>
      </c>
      <c r="D309" t="s">
        <v>4</v>
      </c>
      <c r="E309" t="str">
        <f>VLOOKUP(A309,[1]Kreise!$A$1:$C$53,3,FALSE)</f>
        <v>K03461</v>
      </c>
      <c r="F309">
        <f>'2020_B5'!H57</f>
        <v>2</v>
      </c>
    </row>
    <row r="310" spans="1:6" x14ac:dyDescent="0.25">
      <c r="A310">
        <f>'2020_B5'!A58</f>
        <v>462</v>
      </c>
      <c r="B310">
        <f>'2020_B5'!$G$5</f>
        <v>2012</v>
      </c>
      <c r="C310" t="str">
        <f>'2020_B5'!$D$6</f>
        <v>Ausländerinnen und Ausländer</v>
      </c>
      <c r="D310" t="s">
        <v>4</v>
      </c>
      <c r="E310" t="str">
        <f>VLOOKUP(A310,[1]Kreise!$A$1:$C$53,3,FALSE)</f>
        <v>K03462</v>
      </c>
      <c r="F310">
        <f>'2020_B5'!H58</f>
        <v>2</v>
      </c>
    </row>
    <row r="311" spans="1:6" x14ac:dyDescent="0.25">
      <c r="A311">
        <f>'2020_B5'!A59</f>
        <v>4</v>
      </c>
      <c r="B311">
        <f>'2020_B5'!$G$5</f>
        <v>2012</v>
      </c>
      <c r="C311" t="str">
        <f>'2020_B5'!$D$6</f>
        <v>Ausländerinnen und Ausländer</v>
      </c>
      <c r="D311" t="s">
        <v>4</v>
      </c>
      <c r="E311" t="str">
        <f>VLOOKUP(A311,[1]Kreise!$A$1:$C$53,3,FALSE)</f>
        <v>K034</v>
      </c>
      <c r="F311">
        <f>'2020_B5'!H59</f>
        <v>256</v>
      </c>
    </row>
    <row r="312" spans="1:6" x14ac:dyDescent="0.25">
      <c r="A312">
        <f>'2020_B5'!A60</f>
        <v>0</v>
      </c>
      <c r="B312">
        <f>'2020_B5'!$G$5</f>
        <v>2012</v>
      </c>
      <c r="C312" t="str">
        <f>'2020_B5'!$D$6</f>
        <v>Ausländerinnen und Ausländer</v>
      </c>
      <c r="D312" t="s">
        <v>4</v>
      </c>
      <c r="E312" t="str">
        <f>VLOOKUP(A312,[1]Kreise!$A$1:$C$53,3,FALSE)</f>
        <v>K030</v>
      </c>
      <c r="F312">
        <f>'2020_B5'!H60</f>
        <v>691</v>
      </c>
    </row>
    <row r="313" spans="1:6" x14ac:dyDescent="0.25">
      <c r="A313">
        <f>'2020_B5'!A9</f>
        <v>101</v>
      </c>
      <c r="B313">
        <f>'2020_B5'!$I$5</f>
        <v>2013</v>
      </c>
      <c r="C313" t="str">
        <f>'2020_B5'!$E$6</f>
        <v>Deutsche</v>
      </c>
      <c r="D313" t="s">
        <v>4</v>
      </c>
      <c r="E313" t="str">
        <f>VLOOKUP(A313,[1]Kreise!$A$1:$C$53,3,FALSE)</f>
        <v>K03101</v>
      </c>
      <c r="F313">
        <f>'2020_B5'!I9</f>
        <v>126</v>
      </c>
    </row>
    <row r="314" spans="1:6" x14ac:dyDescent="0.25">
      <c r="A314">
        <f>'2020_B5'!A10</f>
        <v>102</v>
      </c>
      <c r="B314">
        <f>'2020_B5'!$I$5</f>
        <v>2013</v>
      </c>
      <c r="C314" t="str">
        <f>'2020_B5'!$E$6</f>
        <v>Deutsche</v>
      </c>
      <c r="D314" t="s">
        <v>4</v>
      </c>
      <c r="E314" t="str">
        <f>VLOOKUP(A314,[1]Kreise!$A$1:$C$53,3,FALSE)</f>
        <v>K03102</v>
      </c>
      <c r="F314">
        <f>'2020_B5'!I10</f>
        <v>28</v>
      </c>
    </row>
    <row r="315" spans="1:6" x14ac:dyDescent="0.25">
      <c r="A315">
        <f>'2020_B5'!A11</f>
        <v>103</v>
      </c>
      <c r="B315">
        <f>'2020_B5'!$I$5</f>
        <v>2013</v>
      </c>
      <c r="C315" t="str">
        <f>'2020_B5'!$E$6</f>
        <v>Deutsche</v>
      </c>
      <c r="D315" t="s">
        <v>4</v>
      </c>
      <c r="E315" t="str">
        <f>VLOOKUP(A315,[1]Kreise!$A$1:$C$53,3,FALSE)</f>
        <v>K03103</v>
      </c>
      <c r="F315">
        <f>'2020_B5'!I11</f>
        <v>51</v>
      </c>
    </row>
    <row r="316" spans="1:6" x14ac:dyDescent="0.25">
      <c r="A316">
        <f>'2020_B5'!A12</f>
        <v>151</v>
      </c>
      <c r="B316">
        <f>'2020_B5'!$I$5</f>
        <v>2013</v>
      </c>
      <c r="C316" t="str">
        <f>'2020_B5'!$E$6</f>
        <v>Deutsche</v>
      </c>
      <c r="D316" t="s">
        <v>4</v>
      </c>
      <c r="E316" t="str">
        <f>VLOOKUP(A316,[1]Kreise!$A$1:$C$53,3,FALSE)</f>
        <v>K03151</v>
      </c>
      <c r="F316">
        <f>'2020_B5'!I12</f>
        <v>76</v>
      </c>
    </row>
    <row r="317" spans="1:6" x14ac:dyDescent="0.25">
      <c r="A317">
        <f>'2020_B5'!A13</f>
        <v>153</v>
      </c>
      <c r="B317">
        <f>'2020_B5'!$I$5</f>
        <v>2013</v>
      </c>
      <c r="C317" t="str">
        <f>'2020_B5'!$E$6</f>
        <v>Deutsche</v>
      </c>
      <c r="D317" t="s">
        <v>4</v>
      </c>
      <c r="E317" t="str">
        <f>VLOOKUP(A317,[1]Kreise!$A$1:$C$53,3,FALSE)</f>
        <v>K03153</v>
      </c>
      <c r="F317">
        <f>'2020_B5'!I13</f>
        <v>78</v>
      </c>
    </row>
    <row r="318" spans="1:6" x14ac:dyDescent="0.25">
      <c r="A318">
        <f>'2020_B5'!A14</f>
        <v>154</v>
      </c>
      <c r="B318">
        <f>'2020_B5'!$I$5</f>
        <v>2013</v>
      </c>
      <c r="C318" t="str">
        <f>'2020_B5'!$E$6</f>
        <v>Deutsche</v>
      </c>
      <c r="D318" t="s">
        <v>4</v>
      </c>
      <c r="E318" t="str">
        <f>VLOOKUP(A318,[1]Kreise!$A$1:$C$53,3,FALSE)</f>
        <v>K03154</v>
      </c>
      <c r="F318">
        <f>'2020_B5'!I14</f>
        <v>50</v>
      </c>
    </row>
    <row r="319" spans="1:6" x14ac:dyDescent="0.25">
      <c r="A319">
        <f>'2020_B5'!A15</f>
        <v>155</v>
      </c>
      <c r="B319">
        <f>'2020_B5'!$I$5</f>
        <v>2013</v>
      </c>
      <c r="C319" t="str">
        <f>'2020_B5'!$E$6</f>
        <v>Deutsche</v>
      </c>
      <c r="D319" t="s">
        <v>4</v>
      </c>
      <c r="E319" t="str">
        <f>VLOOKUP(A319,[1]Kreise!$A$1:$C$53,3,FALSE)</f>
        <v>K03155</v>
      </c>
      <c r="F319">
        <f>'2020_B5'!I15</f>
        <v>55</v>
      </c>
    </row>
    <row r="320" spans="1:6" x14ac:dyDescent="0.25">
      <c r="A320">
        <f>'2020_B5'!A16</f>
        <v>157</v>
      </c>
      <c r="B320">
        <f>'2020_B5'!$I$5</f>
        <v>2013</v>
      </c>
      <c r="C320" t="str">
        <f>'2020_B5'!$E$6</f>
        <v>Deutsche</v>
      </c>
      <c r="D320" t="s">
        <v>4</v>
      </c>
      <c r="E320" t="str">
        <f>VLOOKUP(A320,[1]Kreise!$A$1:$C$53,3,FALSE)</f>
        <v>K03157</v>
      </c>
      <c r="F320">
        <f>'2020_B5'!I16</f>
        <v>48</v>
      </c>
    </row>
    <row r="321" spans="1:6" x14ac:dyDescent="0.25">
      <c r="A321">
        <f>'2020_B5'!A17</f>
        <v>158</v>
      </c>
      <c r="B321">
        <f>'2020_B5'!$I$5</f>
        <v>2013</v>
      </c>
      <c r="C321" t="str">
        <f>'2020_B5'!$E$6</f>
        <v>Deutsche</v>
      </c>
      <c r="D321" t="s">
        <v>4</v>
      </c>
      <c r="E321" t="str">
        <f>VLOOKUP(A321,[1]Kreise!$A$1:$C$53,3,FALSE)</f>
        <v>K03158</v>
      </c>
      <c r="F321">
        <f>'2020_B5'!I17</f>
        <v>41</v>
      </c>
    </row>
    <row r="322" spans="1:6" x14ac:dyDescent="0.25">
      <c r="A322">
        <f>'2020_B5'!A18</f>
        <v>159</v>
      </c>
      <c r="B322">
        <f>'2020_B5'!$I$5</f>
        <v>2013</v>
      </c>
      <c r="C322" t="str">
        <f>'2020_B5'!$E$6</f>
        <v>Deutsche</v>
      </c>
      <c r="D322" t="s">
        <v>4</v>
      </c>
      <c r="E322" t="str">
        <f>VLOOKUP(A322,[1]Kreise!$A$1:$C$53,3,FALSE)</f>
        <v>K03159</v>
      </c>
      <c r="F322">
        <f>'2020_B5'!I18</f>
        <v>102</v>
      </c>
    </row>
    <row r="323" spans="1:6" x14ac:dyDescent="0.25">
      <c r="A323">
        <f>'2020_B5'!A19</f>
        <v>1</v>
      </c>
      <c r="B323">
        <f>'2020_B5'!$I$5</f>
        <v>2013</v>
      </c>
      <c r="C323" t="str">
        <f>'2020_B5'!$E$6</f>
        <v>Deutsche</v>
      </c>
      <c r="D323" t="s">
        <v>4</v>
      </c>
      <c r="E323" t="str">
        <f>VLOOKUP(A323,[1]Kreise!$A$1:$C$53,3,FALSE)</f>
        <v>K031</v>
      </c>
      <c r="F323">
        <f>'2020_B5'!I19</f>
        <v>655</v>
      </c>
    </row>
    <row r="324" spans="1:6" x14ac:dyDescent="0.25">
      <c r="A324">
        <f>'2020_B5'!A20</f>
        <v>241</v>
      </c>
      <c r="B324">
        <f>'2020_B5'!$I$5</f>
        <v>2013</v>
      </c>
      <c r="C324" t="str">
        <f>'2020_B5'!$E$6</f>
        <v>Deutsche</v>
      </c>
      <c r="D324" t="s">
        <v>4</v>
      </c>
      <c r="E324" t="str">
        <f>VLOOKUP(A324,[1]Kreise!$A$1:$C$53,3,FALSE)</f>
        <v>K03241</v>
      </c>
      <c r="F324">
        <f>'2020_B5'!I20</f>
        <v>400</v>
      </c>
    </row>
    <row r="325" spans="1:6" x14ac:dyDescent="0.25">
      <c r="A325">
        <f>'2020_B5'!A21</f>
        <v>241001</v>
      </c>
      <c r="B325">
        <f>'2020_B5'!$I$5</f>
        <v>2013</v>
      </c>
      <c r="C325" t="str">
        <f>'2020_B5'!$E$6</f>
        <v>Deutsche</v>
      </c>
      <c r="D325" t="s">
        <v>4</v>
      </c>
      <c r="E325" t="str">
        <f>VLOOKUP(A325,[1]Kreise!$A$1:$C$53,3,FALSE)</f>
        <v>K03241001</v>
      </c>
      <c r="F325">
        <f>'2020_B5'!I21</f>
        <v>196</v>
      </c>
    </row>
    <row r="326" spans="1:6" x14ac:dyDescent="0.25">
      <c r="A326">
        <f>'2020_B5'!A22</f>
        <v>241999</v>
      </c>
      <c r="B326">
        <f>'2020_B5'!$I$5</f>
        <v>2013</v>
      </c>
      <c r="C326" t="str">
        <f>'2020_B5'!$E$6</f>
        <v>Deutsche</v>
      </c>
      <c r="D326" t="s">
        <v>4</v>
      </c>
      <c r="E326" t="str">
        <f>VLOOKUP(A326,[1]Kreise!$A$1:$C$53,3,FALSE)</f>
        <v>K03241999</v>
      </c>
      <c r="F326">
        <f>'2020_B5'!I22</f>
        <v>204</v>
      </c>
    </row>
    <row r="327" spans="1:6" x14ac:dyDescent="0.25">
      <c r="A327">
        <f>'2020_B5'!A23</f>
        <v>251</v>
      </c>
      <c r="B327">
        <f>'2020_B5'!$I$5</f>
        <v>2013</v>
      </c>
      <c r="C327" t="str">
        <f>'2020_B5'!$E$6</f>
        <v>Deutsche</v>
      </c>
      <c r="D327" t="s">
        <v>4</v>
      </c>
      <c r="E327" t="str">
        <f>VLOOKUP(A327,[1]Kreise!$A$1:$C$53,3,FALSE)</f>
        <v>K03251</v>
      </c>
      <c r="F327">
        <f>'2020_B5'!I23</f>
        <v>69</v>
      </c>
    </row>
    <row r="328" spans="1:6" x14ac:dyDescent="0.25">
      <c r="A328">
        <f>'2020_B5'!A24</f>
        <v>252</v>
      </c>
      <c r="B328">
        <f>'2020_B5'!$I$5</f>
        <v>2013</v>
      </c>
      <c r="C328" t="str">
        <f>'2020_B5'!$E$6</f>
        <v>Deutsche</v>
      </c>
      <c r="D328" t="s">
        <v>4</v>
      </c>
      <c r="E328" t="str">
        <f>VLOOKUP(A328,[1]Kreise!$A$1:$C$53,3,FALSE)</f>
        <v>K03252</v>
      </c>
      <c r="F328">
        <f>'2020_B5'!I24</f>
        <v>101</v>
      </c>
    </row>
    <row r="329" spans="1:6" x14ac:dyDescent="0.25">
      <c r="A329">
        <f>'2020_B5'!A25</f>
        <v>254</v>
      </c>
      <c r="B329">
        <f>'2020_B5'!$I$5</f>
        <v>2013</v>
      </c>
      <c r="C329" t="str">
        <f>'2020_B5'!$E$6</f>
        <v>Deutsche</v>
      </c>
      <c r="D329" t="s">
        <v>4</v>
      </c>
      <c r="E329" t="str">
        <f>VLOOKUP(A329,[1]Kreise!$A$1:$C$53,3,FALSE)</f>
        <v>K03254</v>
      </c>
      <c r="F329">
        <f>'2020_B5'!I25</f>
        <v>153</v>
      </c>
    </row>
    <row r="330" spans="1:6" x14ac:dyDescent="0.25">
      <c r="A330">
        <f>'2020_B5'!A26</f>
        <v>255</v>
      </c>
      <c r="B330">
        <f>'2020_B5'!$I$5</f>
        <v>2013</v>
      </c>
      <c r="C330" t="str">
        <f>'2020_B5'!$E$6</f>
        <v>Deutsche</v>
      </c>
      <c r="D330" t="s">
        <v>4</v>
      </c>
      <c r="E330" t="str">
        <f>VLOOKUP(A330,[1]Kreise!$A$1:$C$53,3,FALSE)</f>
        <v>K03255</v>
      </c>
      <c r="F330">
        <f>'2020_B5'!I26</f>
        <v>46</v>
      </c>
    </row>
    <row r="331" spans="1:6" x14ac:dyDescent="0.25">
      <c r="A331">
        <f>'2020_B5'!A27</f>
        <v>256</v>
      </c>
      <c r="B331">
        <f>'2020_B5'!$I$5</f>
        <v>2013</v>
      </c>
      <c r="C331" t="str">
        <f>'2020_B5'!$E$6</f>
        <v>Deutsche</v>
      </c>
      <c r="D331" t="s">
        <v>4</v>
      </c>
      <c r="E331" t="str">
        <f>VLOOKUP(A331,[1]Kreise!$A$1:$C$53,3,FALSE)</f>
        <v>K03256</v>
      </c>
      <c r="F331">
        <f>'2020_B5'!I27</f>
        <v>65</v>
      </c>
    </row>
    <row r="332" spans="1:6" x14ac:dyDescent="0.25">
      <c r="A332">
        <f>'2020_B5'!A28</f>
        <v>257</v>
      </c>
      <c r="B332">
        <f>'2020_B5'!$I$5</f>
        <v>2013</v>
      </c>
      <c r="C332" t="str">
        <f>'2020_B5'!$E$6</f>
        <v>Deutsche</v>
      </c>
      <c r="D332" t="s">
        <v>4</v>
      </c>
      <c r="E332" t="str">
        <f>VLOOKUP(A332,[1]Kreise!$A$1:$C$53,3,FALSE)</f>
        <v>K03257</v>
      </c>
      <c r="F332">
        <f>'2020_B5'!I28</f>
        <v>48</v>
      </c>
    </row>
    <row r="333" spans="1:6" x14ac:dyDescent="0.25">
      <c r="A333">
        <f>'2020_B5'!A29</f>
        <v>2</v>
      </c>
      <c r="B333">
        <f>'2020_B5'!$I$5</f>
        <v>2013</v>
      </c>
      <c r="C333" t="str">
        <f>'2020_B5'!$E$6</f>
        <v>Deutsche</v>
      </c>
      <c r="D333" t="s">
        <v>4</v>
      </c>
      <c r="E333" t="str">
        <f>VLOOKUP(A333,[1]Kreise!$A$1:$C$53,3,FALSE)</f>
        <v>K032</v>
      </c>
      <c r="F333">
        <f>'2020_B5'!I29</f>
        <v>882</v>
      </c>
    </row>
    <row r="334" spans="1:6" x14ac:dyDescent="0.25">
      <c r="A334">
        <f>'2020_B5'!A30</f>
        <v>351</v>
      </c>
      <c r="B334">
        <f>'2020_B5'!$I$5</f>
        <v>2013</v>
      </c>
      <c r="C334" t="str">
        <f>'2020_B5'!$E$6</f>
        <v>Deutsche</v>
      </c>
      <c r="D334" t="s">
        <v>4</v>
      </c>
      <c r="E334" t="str">
        <f>VLOOKUP(A334,[1]Kreise!$A$1:$C$53,3,FALSE)</f>
        <v>K03351</v>
      </c>
      <c r="F334">
        <f>'2020_B5'!I30</f>
        <v>110</v>
      </c>
    </row>
    <row r="335" spans="1:6" x14ac:dyDescent="0.25">
      <c r="A335">
        <f>'2020_B5'!A31</f>
        <v>352</v>
      </c>
      <c r="B335">
        <f>'2020_B5'!$I$5</f>
        <v>2013</v>
      </c>
      <c r="C335" t="str">
        <f>'2020_B5'!$E$6</f>
        <v>Deutsche</v>
      </c>
      <c r="D335" t="s">
        <v>4</v>
      </c>
      <c r="E335" t="str">
        <f>VLOOKUP(A335,[1]Kreise!$A$1:$C$53,3,FALSE)</f>
        <v>K03352</v>
      </c>
      <c r="F335">
        <f>'2020_B5'!I31</f>
        <v>132</v>
      </c>
    </row>
    <row r="336" spans="1:6" x14ac:dyDescent="0.25">
      <c r="A336">
        <f>'2020_B5'!A32</f>
        <v>353</v>
      </c>
      <c r="B336">
        <f>'2020_B5'!$I$5</f>
        <v>2013</v>
      </c>
      <c r="C336" t="str">
        <f>'2020_B5'!$E$6</f>
        <v>Deutsche</v>
      </c>
      <c r="D336" t="s">
        <v>4</v>
      </c>
      <c r="E336" t="str">
        <f>VLOOKUP(A336,[1]Kreise!$A$1:$C$53,3,FALSE)</f>
        <v>K03353</v>
      </c>
      <c r="F336">
        <f>'2020_B5'!I32</f>
        <v>66</v>
      </c>
    </row>
    <row r="337" spans="1:6" x14ac:dyDescent="0.25">
      <c r="A337">
        <f>'2020_B5'!A33</f>
        <v>354</v>
      </c>
      <c r="B337">
        <f>'2020_B5'!$I$5</f>
        <v>2013</v>
      </c>
      <c r="C337" t="str">
        <f>'2020_B5'!$E$6</f>
        <v>Deutsche</v>
      </c>
      <c r="D337" t="s">
        <v>4</v>
      </c>
      <c r="E337" t="str">
        <f>VLOOKUP(A337,[1]Kreise!$A$1:$C$53,3,FALSE)</f>
        <v>K03354</v>
      </c>
      <c r="F337">
        <f>'2020_B5'!I33</f>
        <v>27</v>
      </c>
    </row>
    <row r="338" spans="1:6" x14ac:dyDescent="0.25">
      <c r="A338">
        <f>'2020_B5'!A34</f>
        <v>355</v>
      </c>
      <c r="B338">
        <f>'2020_B5'!$I$5</f>
        <v>2013</v>
      </c>
      <c r="C338" t="str">
        <f>'2020_B5'!$E$6</f>
        <v>Deutsche</v>
      </c>
      <c r="D338" t="s">
        <v>4</v>
      </c>
      <c r="E338" t="str">
        <f>VLOOKUP(A338,[1]Kreise!$A$1:$C$53,3,FALSE)</f>
        <v>K03355</v>
      </c>
      <c r="F338">
        <f>'2020_B5'!I34</f>
        <v>68</v>
      </c>
    </row>
    <row r="339" spans="1:6" x14ac:dyDescent="0.25">
      <c r="A339">
        <f>'2020_B5'!A35</f>
        <v>356</v>
      </c>
      <c r="B339">
        <f>'2020_B5'!$I$5</f>
        <v>2013</v>
      </c>
      <c r="C339" t="str">
        <f>'2020_B5'!$E$6</f>
        <v>Deutsche</v>
      </c>
      <c r="D339" t="s">
        <v>4</v>
      </c>
      <c r="E339" t="str">
        <f>VLOOKUP(A339,[1]Kreise!$A$1:$C$53,3,FALSE)</f>
        <v>K03356</v>
      </c>
      <c r="F339">
        <f>'2020_B5'!I35</f>
        <v>72</v>
      </c>
    </row>
    <row r="340" spans="1:6" x14ac:dyDescent="0.25">
      <c r="A340">
        <f>'2020_B5'!A36</f>
        <v>357</v>
      </c>
      <c r="B340">
        <f>'2020_B5'!$I$5</f>
        <v>2013</v>
      </c>
      <c r="C340" t="str">
        <f>'2020_B5'!$E$6</f>
        <v>Deutsche</v>
      </c>
      <c r="D340" t="s">
        <v>4</v>
      </c>
      <c r="E340" t="str">
        <f>VLOOKUP(A340,[1]Kreise!$A$1:$C$53,3,FALSE)</f>
        <v>K03357</v>
      </c>
      <c r="F340">
        <f>'2020_B5'!I36</f>
        <v>91</v>
      </c>
    </row>
    <row r="341" spans="1:6" x14ac:dyDescent="0.25">
      <c r="A341">
        <f>'2020_B5'!A37</f>
        <v>358</v>
      </c>
      <c r="B341">
        <f>'2020_B5'!$I$5</f>
        <v>2013</v>
      </c>
      <c r="C341" t="str">
        <f>'2020_B5'!$E$6</f>
        <v>Deutsche</v>
      </c>
      <c r="D341" t="s">
        <v>4</v>
      </c>
      <c r="E341" t="str">
        <f>VLOOKUP(A341,[1]Kreise!$A$1:$C$53,3,FALSE)</f>
        <v>K03358</v>
      </c>
      <c r="F341">
        <f>'2020_B5'!I37</f>
        <v>106</v>
      </c>
    </row>
    <row r="342" spans="1:6" x14ac:dyDescent="0.25">
      <c r="A342">
        <f>'2020_B5'!A38</f>
        <v>359</v>
      </c>
      <c r="B342">
        <f>'2020_B5'!$I$5</f>
        <v>2013</v>
      </c>
      <c r="C342" t="str">
        <f>'2020_B5'!$E$6</f>
        <v>Deutsche</v>
      </c>
      <c r="D342" t="s">
        <v>4</v>
      </c>
      <c r="E342" t="str">
        <f>VLOOKUP(A342,[1]Kreise!$A$1:$C$53,3,FALSE)</f>
        <v>K03359</v>
      </c>
      <c r="F342">
        <f>'2020_B5'!I38</f>
        <v>102</v>
      </c>
    </row>
    <row r="343" spans="1:6" x14ac:dyDescent="0.25">
      <c r="A343">
        <f>'2020_B5'!A39</f>
        <v>360</v>
      </c>
      <c r="B343">
        <f>'2020_B5'!$I$5</f>
        <v>2013</v>
      </c>
      <c r="C343" t="str">
        <f>'2020_B5'!$E$6</f>
        <v>Deutsche</v>
      </c>
      <c r="D343" t="s">
        <v>4</v>
      </c>
      <c r="E343" t="str">
        <f>VLOOKUP(A343,[1]Kreise!$A$1:$C$53,3,FALSE)</f>
        <v>K03360</v>
      </c>
      <c r="F343">
        <f>'2020_B5'!I39</f>
        <v>32</v>
      </c>
    </row>
    <row r="344" spans="1:6" x14ac:dyDescent="0.25">
      <c r="A344">
        <f>'2020_B5'!A40</f>
        <v>361</v>
      </c>
      <c r="B344">
        <f>'2020_B5'!$I$5</f>
        <v>2013</v>
      </c>
      <c r="C344" t="str">
        <f>'2020_B5'!$E$6</f>
        <v>Deutsche</v>
      </c>
      <c r="D344" t="s">
        <v>4</v>
      </c>
      <c r="E344" t="str">
        <f>VLOOKUP(A344,[1]Kreise!$A$1:$C$53,3,FALSE)</f>
        <v>K03361</v>
      </c>
      <c r="F344">
        <f>'2020_B5'!I40</f>
        <v>66</v>
      </c>
    </row>
    <row r="345" spans="1:6" x14ac:dyDescent="0.25">
      <c r="A345">
        <f>'2020_B5'!A41</f>
        <v>3</v>
      </c>
      <c r="B345">
        <f>'2020_B5'!$I$5</f>
        <v>2013</v>
      </c>
      <c r="C345" t="str">
        <f>'2020_B5'!$E$6</f>
        <v>Deutsche</v>
      </c>
      <c r="D345" t="s">
        <v>4</v>
      </c>
      <c r="E345" t="str">
        <f>VLOOKUP(A345,[1]Kreise!$A$1:$C$53,3,FALSE)</f>
        <v>K033</v>
      </c>
      <c r="F345">
        <f>'2020_B5'!I41</f>
        <v>872</v>
      </c>
    </row>
    <row r="346" spans="1:6" x14ac:dyDescent="0.25">
      <c r="A346">
        <f>'2020_B5'!A42</f>
        <v>401</v>
      </c>
      <c r="B346">
        <f>'2020_B5'!$I$5</f>
        <v>2013</v>
      </c>
      <c r="C346" t="str">
        <f>'2020_B5'!$E$6</f>
        <v>Deutsche</v>
      </c>
      <c r="D346" t="s">
        <v>4</v>
      </c>
      <c r="E346" t="str">
        <f>VLOOKUP(A346,[1]Kreise!$A$1:$C$53,3,FALSE)</f>
        <v>K03401</v>
      </c>
      <c r="F346">
        <f>'2020_B5'!I42</f>
        <v>43</v>
      </c>
    </row>
    <row r="347" spans="1:6" x14ac:dyDescent="0.25">
      <c r="A347">
        <f>'2020_B5'!A43</f>
        <v>402</v>
      </c>
      <c r="B347">
        <f>'2020_B5'!$I$5</f>
        <v>2013</v>
      </c>
      <c r="C347" t="str">
        <f>'2020_B5'!$E$6</f>
        <v>Deutsche</v>
      </c>
      <c r="D347" t="s">
        <v>4</v>
      </c>
      <c r="E347" t="str">
        <f>VLOOKUP(A347,[1]Kreise!$A$1:$C$53,3,FALSE)</f>
        <v>K03402</v>
      </c>
      <c r="F347">
        <f>'2020_B5'!I43</f>
        <v>50</v>
      </c>
    </row>
    <row r="348" spans="1:6" x14ac:dyDescent="0.25">
      <c r="A348">
        <f>'2020_B5'!A44</f>
        <v>403</v>
      </c>
      <c r="B348">
        <f>'2020_B5'!$I$5</f>
        <v>2013</v>
      </c>
      <c r="C348" t="str">
        <f>'2020_B5'!$E$6</f>
        <v>Deutsche</v>
      </c>
      <c r="D348" t="s">
        <v>4</v>
      </c>
      <c r="E348" t="str">
        <f>VLOOKUP(A348,[1]Kreise!$A$1:$C$53,3,FALSE)</f>
        <v>K03403</v>
      </c>
      <c r="F348">
        <f>'2020_B5'!I44</f>
        <v>96</v>
      </c>
    </row>
    <row r="349" spans="1:6" x14ac:dyDescent="0.25">
      <c r="A349">
        <f>'2020_B5'!A45</f>
        <v>404</v>
      </c>
      <c r="B349">
        <f>'2020_B5'!$I$5</f>
        <v>2013</v>
      </c>
      <c r="C349" t="str">
        <f>'2020_B5'!$E$6</f>
        <v>Deutsche</v>
      </c>
      <c r="D349" t="s">
        <v>4</v>
      </c>
      <c r="E349" t="str">
        <f>VLOOKUP(A349,[1]Kreise!$A$1:$C$53,3,FALSE)</f>
        <v>K03404</v>
      </c>
      <c r="F349">
        <f>'2020_B5'!I45</f>
        <v>80</v>
      </c>
    </row>
    <row r="350" spans="1:6" x14ac:dyDescent="0.25">
      <c r="A350">
        <f>'2020_B5'!A46</f>
        <v>405</v>
      </c>
      <c r="B350">
        <f>'2020_B5'!$I$5</f>
        <v>2013</v>
      </c>
      <c r="C350" t="str">
        <f>'2020_B5'!$E$6</f>
        <v>Deutsche</v>
      </c>
      <c r="D350" t="s">
        <v>4</v>
      </c>
      <c r="E350" t="str">
        <f>VLOOKUP(A350,[1]Kreise!$A$1:$C$53,3,FALSE)</f>
        <v>K03405</v>
      </c>
      <c r="F350">
        <f>'2020_B5'!I46</f>
        <v>38</v>
      </c>
    </row>
    <row r="351" spans="1:6" x14ac:dyDescent="0.25">
      <c r="A351">
        <f>'2020_B5'!A47</f>
        <v>451</v>
      </c>
      <c r="B351">
        <f>'2020_B5'!$I$5</f>
        <v>2013</v>
      </c>
      <c r="C351" t="str">
        <f>'2020_B5'!$E$6</f>
        <v>Deutsche</v>
      </c>
      <c r="D351" t="s">
        <v>4</v>
      </c>
      <c r="E351" t="str">
        <f>VLOOKUP(A351,[1]Kreise!$A$1:$C$53,3,FALSE)</f>
        <v>K03451</v>
      </c>
      <c r="F351">
        <f>'2020_B5'!I47</f>
        <v>35</v>
      </c>
    </row>
    <row r="352" spans="1:6" x14ac:dyDescent="0.25">
      <c r="A352">
        <f>'2020_B5'!A48</f>
        <v>452</v>
      </c>
      <c r="B352">
        <f>'2020_B5'!$I$5</f>
        <v>2013</v>
      </c>
      <c r="C352" t="str">
        <f>'2020_B5'!$E$6</f>
        <v>Deutsche</v>
      </c>
      <c r="D352" t="s">
        <v>4</v>
      </c>
      <c r="E352" t="str">
        <f>VLOOKUP(A352,[1]Kreise!$A$1:$C$53,3,FALSE)</f>
        <v>K03452</v>
      </c>
      <c r="F352">
        <f>'2020_B5'!I48</f>
        <v>186</v>
      </c>
    </row>
    <row r="353" spans="1:6" x14ac:dyDescent="0.25">
      <c r="A353">
        <f>'2020_B5'!A49</f>
        <v>453</v>
      </c>
      <c r="B353">
        <f>'2020_B5'!$I$5</f>
        <v>2013</v>
      </c>
      <c r="C353" t="str">
        <f>'2020_B5'!$E$6</f>
        <v>Deutsche</v>
      </c>
      <c r="D353" t="s">
        <v>4</v>
      </c>
      <c r="E353" t="str">
        <f>VLOOKUP(A353,[1]Kreise!$A$1:$C$53,3,FALSE)</f>
        <v>K03453</v>
      </c>
      <c r="F353">
        <f>'2020_B5'!I49</f>
        <v>94</v>
      </c>
    </row>
    <row r="354" spans="1:6" x14ac:dyDescent="0.25">
      <c r="A354">
        <f>'2020_B5'!A50</f>
        <v>454</v>
      </c>
      <c r="B354">
        <f>'2020_B5'!$I$5</f>
        <v>2013</v>
      </c>
      <c r="C354" t="str">
        <f>'2020_B5'!$E$6</f>
        <v>Deutsche</v>
      </c>
      <c r="D354" t="s">
        <v>4</v>
      </c>
      <c r="E354" t="str">
        <f>VLOOKUP(A354,[1]Kreise!$A$1:$C$53,3,FALSE)</f>
        <v>K03454</v>
      </c>
      <c r="F354">
        <f>'2020_B5'!I50</f>
        <v>164</v>
      </c>
    </row>
    <row r="355" spans="1:6" x14ac:dyDescent="0.25">
      <c r="A355">
        <f>'2020_B5'!A51</f>
        <v>455</v>
      </c>
      <c r="B355">
        <f>'2020_B5'!$I$5</f>
        <v>2013</v>
      </c>
      <c r="C355" t="str">
        <f>'2020_B5'!$E$6</f>
        <v>Deutsche</v>
      </c>
      <c r="D355" t="s">
        <v>4</v>
      </c>
      <c r="E355" t="str">
        <f>VLOOKUP(A355,[1]Kreise!$A$1:$C$53,3,FALSE)</f>
        <v>K03455</v>
      </c>
      <c r="F355">
        <f>'2020_B5'!I51</f>
        <v>34</v>
      </c>
    </row>
    <row r="356" spans="1:6" x14ac:dyDescent="0.25">
      <c r="A356">
        <f>'2020_B5'!A52</f>
        <v>456</v>
      </c>
      <c r="B356">
        <f>'2020_B5'!$I$5</f>
        <v>2013</v>
      </c>
      <c r="C356" t="str">
        <f>'2020_B5'!$E$6</f>
        <v>Deutsche</v>
      </c>
      <c r="D356" t="s">
        <v>4</v>
      </c>
      <c r="E356" t="str">
        <f>VLOOKUP(A356,[1]Kreise!$A$1:$C$53,3,FALSE)</f>
        <v>K03456</v>
      </c>
      <c r="F356">
        <f>'2020_B5'!I52</f>
        <v>89</v>
      </c>
    </row>
    <row r="357" spans="1:6" x14ac:dyDescent="0.25">
      <c r="A357">
        <f>'2020_B5'!A53</f>
        <v>457</v>
      </c>
      <c r="B357">
        <f>'2020_B5'!$I$5</f>
        <v>2013</v>
      </c>
      <c r="C357" t="str">
        <f>'2020_B5'!$E$6</f>
        <v>Deutsche</v>
      </c>
      <c r="D357" t="s">
        <v>4</v>
      </c>
      <c r="E357" t="str">
        <f>VLOOKUP(A357,[1]Kreise!$A$1:$C$53,3,FALSE)</f>
        <v>K03457</v>
      </c>
      <c r="F357">
        <f>'2020_B5'!I53</f>
        <v>130</v>
      </c>
    </row>
    <row r="358" spans="1:6" x14ac:dyDescent="0.25">
      <c r="A358">
        <f>'2020_B5'!A54</f>
        <v>458</v>
      </c>
      <c r="B358">
        <f>'2020_B5'!$I$5</f>
        <v>2013</v>
      </c>
      <c r="C358" t="str">
        <f>'2020_B5'!$E$6</f>
        <v>Deutsche</v>
      </c>
      <c r="D358" t="s">
        <v>4</v>
      </c>
      <c r="E358" t="str">
        <f>VLOOKUP(A358,[1]Kreise!$A$1:$C$53,3,FALSE)</f>
        <v>K03458</v>
      </c>
      <c r="F358">
        <f>'2020_B5'!I54</f>
        <v>44</v>
      </c>
    </row>
    <row r="359" spans="1:6" x14ac:dyDescent="0.25">
      <c r="A359">
        <f>'2020_B5'!A55</f>
        <v>459</v>
      </c>
      <c r="B359">
        <f>'2020_B5'!$I$5</f>
        <v>2013</v>
      </c>
      <c r="C359" t="str">
        <f>'2020_B5'!$E$6</f>
        <v>Deutsche</v>
      </c>
      <c r="D359" t="s">
        <v>4</v>
      </c>
      <c r="E359" t="str">
        <f>VLOOKUP(A359,[1]Kreise!$A$1:$C$53,3,FALSE)</f>
        <v>K03459</v>
      </c>
      <c r="F359">
        <f>'2020_B5'!I55</f>
        <v>105</v>
      </c>
    </row>
    <row r="360" spans="1:6" x14ac:dyDescent="0.25">
      <c r="A360">
        <f>'2020_B5'!A56</f>
        <v>460</v>
      </c>
      <c r="B360">
        <f>'2020_B5'!$I$5</f>
        <v>2013</v>
      </c>
      <c r="C360" t="str">
        <f>'2020_B5'!$E$6</f>
        <v>Deutsche</v>
      </c>
      <c r="D360" t="s">
        <v>4</v>
      </c>
      <c r="E360" t="str">
        <f>VLOOKUP(A360,[1]Kreise!$A$1:$C$53,3,FALSE)</f>
        <v>K03460</v>
      </c>
      <c r="F360">
        <f>'2020_B5'!I56</f>
        <v>55</v>
      </c>
    </row>
    <row r="361" spans="1:6" x14ac:dyDescent="0.25">
      <c r="A361">
        <f>'2020_B5'!A57</f>
        <v>461</v>
      </c>
      <c r="B361">
        <f>'2020_B5'!$I$5</f>
        <v>2013</v>
      </c>
      <c r="C361" t="str">
        <f>'2020_B5'!$E$6</f>
        <v>Deutsche</v>
      </c>
      <c r="D361" t="s">
        <v>4</v>
      </c>
      <c r="E361" t="str">
        <f>VLOOKUP(A361,[1]Kreise!$A$1:$C$53,3,FALSE)</f>
        <v>K03461</v>
      </c>
      <c r="F361">
        <f>'2020_B5'!I57</f>
        <v>38</v>
      </c>
    </row>
    <row r="362" spans="1:6" x14ac:dyDescent="0.25">
      <c r="A362">
        <f>'2020_B5'!A58</f>
        <v>462</v>
      </c>
      <c r="B362">
        <f>'2020_B5'!$I$5</f>
        <v>2013</v>
      </c>
      <c r="C362" t="str">
        <f>'2020_B5'!$E$6</f>
        <v>Deutsche</v>
      </c>
      <c r="D362" t="s">
        <v>4</v>
      </c>
      <c r="E362" t="str">
        <f>VLOOKUP(A362,[1]Kreise!$A$1:$C$53,3,FALSE)</f>
        <v>K03462</v>
      </c>
      <c r="F362" t="str">
        <f>'2020_B5'!I58</f>
        <v>-</v>
      </c>
    </row>
    <row r="363" spans="1:6" x14ac:dyDescent="0.25">
      <c r="A363">
        <f>'2020_B5'!A59</f>
        <v>4</v>
      </c>
      <c r="B363">
        <f>'2020_B5'!$I$5</f>
        <v>2013</v>
      </c>
      <c r="C363" t="str">
        <f>'2020_B5'!$E$6</f>
        <v>Deutsche</v>
      </c>
      <c r="D363" t="s">
        <v>4</v>
      </c>
      <c r="E363" t="str">
        <f>VLOOKUP(A363,[1]Kreise!$A$1:$C$53,3,FALSE)</f>
        <v>K034</v>
      </c>
      <c r="F363">
        <f>'2020_B5'!I59</f>
        <v>1314</v>
      </c>
    </row>
    <row r="364" spans="1:6" x14ac:dyDescent="0.25">
      <c r="A364">
        <f>'2020_B5'!A60</f>
        <v>0</v>
      </c>
      <c r="B364">
        <f>'2020_B5'!$I$5</f>
        <v>2013</v>
      </c>
      <c r="C364" t="str">
        <f>'2020_B5'!$E$6</f>
        <v>Deutsche</v>
      </c>
      <c r="D364" t="s">
        <v>4</v>
      </c>
      <c r="E364" t="str">
        <f>VLOOKUP(A364,[1]Kreise!$A$1:$C$53,3,FALSE)</f>
        <v>K030</v>
      </c>
      <c r="F364">
        <f>'2020_B5'!I60</f>
        <v>3723</v>
      </c>
    </row>
    <row r="365" spans="1:6" x14ac:dyDescent="0.25">
      <c r="A365">
        <f>'2020_B5'!A9</f>
        <v>101</v>
      </c>
      <c r="B365">
        <f>'2020_B5'!$I$5</f>
        <v>2013</v>
      </c>
      <c r="C365" t="str">
        <f>'2020_B5'!$F$6</f>
        <v>Ausländerinnen und Ausländer</v>
      </c>
      <c r="D365" t="s">
        <v>4</v>
      </c>
      <c r="E365" t="str">
        <f>VLOOKUP(A365,[1]Kreise!$A$1:$C$53,3,FALSE)</f>
        <v>K03101</v>
      </c>
      <c r="F365">
        <f>'2020_B5'!J9</f>
        <v>25</v>
      </c>
    </row>
    <row r="366" spans="1:6" x14ac:dyDescent="0.25">
      <c r="A366">
        <f>'2020_B5'!A10</f>
        <v>102</v>
      </c>
      <c r="B366">
        <f>'2020_B5'!$I$5</f>
        <v>2013</v>
      </c>
      <c r="C366" t="str">
        <f>'2020_B5'!$F$6</f>
        <v>Ausländerinnen und Ausländer</v>
      </c>
      <c r="D366" t="s">
        <v>4</v>
      </c>
      <c r="E366" t="str">
        <f>VLOOKUP(A366,[1]Kreise!$A$1:$C$53,3,FALSE)</f>
        <v>K03102</v>
      </c>
      <c r="F366">
        <f>'2020_B5'!J10</f>
        <v>9</v>
      </c>
    </row>
    <row r="367" spans="1:6" x14ac:dyDescent="0.25">
      <c r="A367">
        <f>'2020_B5'!A11</f>
        <v>103</v>
      </c>
      <c r="B367">
        <f>'2020_B5'!$I$5</f>
        <v>2013</v>
      </c>
      <c r="C367" t="str">
        <f>'2020_B5'!$F$6</f>
        <v>Ausländerinnen und Ausländer</v>
      </c>
      <c r="D367" t="s">
        <v>4</v>
      </c>
      <c r="E367" t="str">
        <f>VLOOKUP(A367,[1]Kreise!$A$1:$C$53,3,FALSE)</f>
        <v>K03103</v>
      </c>
      <c r="F367">
        <f>'2020_B5'!J11</f>
        <v>10</v>
      </c>
    </row>
    <row r="368" spans="1:6" x14ac:dyDescent="0.25">
      <c r="A368">
        <f>'2020_B5'!A12</f>
        <v>151</v>
      </c>
      <c r="B368">
        <f>'2020_B5'!$I$5</f>
        <v>2013</v>
      </c>
      <c r="C368" t="str">
        <f>'2020_B5'!$F$6</f>
        <v>Ausländerinnen und Ausländer</v>
      </c>
      <c r="D368" t="s">
        <v>4</v>
      </c>
      <c r="E368" t="str">
        <f>VLOOKUP(A368,[1]Kreise!$A$1:$C$53,3,FALSE)</f>
        <v>K03151</v>
      </c>
      <c r="F368">
        <f>'2020_B5'!J12</f>
        <v>5</v>
      </c>
    </row>
    <row r="369" spans="1:6" x14ac:dyDescent="0.25">
      <c r="A369">
        <f>'2020_B5'!A13</f>
        <v>153</v>
      </c>
      <c r="B369">
        <f>'2020_B5'!$I$5</f>
        <v>2013</v>
      </c>
      <c r="C369" t="str">
        <f>'2020_B5'!$F$6</f>
        <v>Ausländerinnen und Ausländer</v>
      </c>
      <c r="D369" t="s">
        <v>4</v>
      </c>
      <c r="E369" t="str">
        <f>VLOOKUP(A369,[1]Kreise!$A$1:$C$53,3,FALSE)</f>
        <v>K03153</v>
      </c>
      <c r="F369">
        <f>'2020_B5'!J13</f>
        <v>2</v>
      </c>
    </row>
    <row r="370" spans="1:6" x14ac:dyDescent="0.25">
      <c r="A370">
        <f>'2020_B5'!A14</f>
        <v>154</v>
      </c>
      <c r="B370">
        <f>'2020_B5'!$I$5</f>
        <v>2013</v>
      </c>
      <c r="C370" t="str">
        <f>'2020_B5'!$F$6</f>
        <v>Ausländerinnen und Ausländer</v>
      </c>
      <c r="D370" t="s">
        <v>4</v>
      </c>
      <c r="E370" t="str">
        <f>VLOOKUP(A370,[1]Kreise!$A$1:$C$53,3,FALSE)</f>
        <v>K03154</v>
      </c>
      <c r="F370">
        <f>'2020_B5'!J14</f>
        <v>4</v>
      </c>
    </row>
    <row r="371" spans="1:6" x14ac:dyDescent="0.25">
      <c r="A371">
        <f>'2020_B5'!A15</f>
        <v>155</v>
      </c>
      <c r="B371">
        <f>'2020_B5'!$I$5</f>
        <v>2013</v>
      </c>
      <c r="C371" t="str">
        <f>'2020_B5'!$F$6</f>
        <v>Ausländerinnen und Ausländer</v>
      </c>
      <c r="D371" t="s">
        <v>4</v>
      </c>
      <c r="E371" t="str">
        <f>VLOOKUP(A371,[1]Kreise!$A$1:$C$53,3,FALSE)</f>
        <v>K03155</v>
      </c>
      <c r="F371">
        <f>'2020_B5'!J15</f>
        <v>9</v>
      </c>
    </row>
    <row r="372" spans="1:6" x14ac:dyDescent="0.25">
      <c r="A372">
        <f>'2020_B5'!A16</f>
        <v>157</v>
      </c>
      <c r="B372">
        <f>'2020_B5'!$I$5</f>
        <v>2013</v>
      </c>
      <c r="C372" t="str">
        <f>'2020_B5'!$F$6</f>
        <v>Ausländerinnen und Ausländer</v>
      </c>
      <c r="D372" t="s">
        <v>4</v>
      </c>
      <c r="E372" t="str">
        <f>VLOOKUP(A372,[1]Kreise!$A$1:$C$53,3,FALSE)</f>
        <v>K03157</v>
      </c>
      <c r="F372">
        <f>'2020_B5'!J16</f>
        <v>11</v>
      </c>
    </row>
    <row r="373" spans="1:6" x14ac:dyDescent="0.25">
      <c r="A373">
        <f>'2020_B5'!A17</f>
        <v>158</v>
      </c>
      <c r="B373">
        <f>'2020_B5'!$I$5</f>
        <v>2013</v>
      </c>
      <c r="C373" t="str">
        <f>'2020_B5'!$F$6</f>
        <v>Ausländerinnen und Ausländer</v>
      </c>
      <c r="D373" t="s">
        <v>4</v>
      </c>
      <c r="E373" t="str">
        <f>VLOOKUP(A373,[1]Kreise!$A$1:$C$53,3,FALSE)</f>
        <v>K03158</v>
      </c>
      <c r="F373">
        <f>'2020_B5'!J17</f>
        <v>4</v>
      </c>
    </row>
    <row r="374" spans="1:6" x14ac:dyDescent="0.25">
      <c r="A374">
        <f>'2020_B5'!A18</f>
        <v>159</v>
      </c>
      <c r="B374">
        <f>'2020_B5'!$I$5</f>
        <v>2013</v>
      </c>
      <c r="C374" t="str">
        <f>'2020_B5'!$F$6</f>
        <v>Ausländerinnen und Ausländer</v>
      </c>
      <c r="D374" t="s">
        <v>4</v>
      </c>
      <c r="E374" t="str">
        <f>VLOOKUP(A374,[1]Kreise!$A$1:$C$53,3,FALSE)</f>
        <v>K03159</v>
      </c>
      <c r="F374">
        <f>'2020_B5'!J18</f>
        <v>31</v>
      </c>
    </row>
    <row r="375" spans="1:6" x14ac:dyDescent="0.25">
      <c r="A375">
        <f>'2020_B5'!A19</f>
        <v>1</v>
      </c>
      <c r="B375">
        <f>'2020_B5'!$I$5</f>
        <v>2013</v>
      </c>
      <c r="C375" t="str">
        <f>'2020_B5'!$F$6</f>
        <v>Ausländerinnen und Ausländer</v>
      </c>
      <c r="D375" t="s">
        <v>4</v>
      </c>
      <c r="E375" t="str">
        <f>VLOOKUP(A375,[1]Kreise!$A$1:$C$53,3,FALSE)</f>
        <v>K031</v>
      </c>
      <c r="F375">
        <f>'2020_B5'!J19</f>
        <v>110</v>
      </c>
    </row>
    <row r="376" spans="1:6" x14ac:dyDescent="0.25">
      <c r="A376">
        <f>'2020_B5'!A20</f>
        <v>241</v>
      </c>
      <c r="B376">
        <f>'2020_B5'!$I$5</f>
        <v>2013</v>
      </c>
      <c r="C376" t="str">
        <f>'2020_B5'!$F$6</f>
        <v>Ausländerinnen und Ausländer</v>
      </c>
      <c r="D376" t="s">
        <v>4</v>
      </c>
      <c r="E376" t="str">
        <f>VLOOKUP(A376,[1]Kreise!$A$1:$C$53,3,FALSE)</f>
        <v>K03241</v>
      </c>
      <c r="F376">
        <f>'2020_B5'!J20</f>
        <v>144</v>
      </c>
    </row>
    <row r="377" spans="1:6" x14ac:dyDescent="0.25">
      <c r="A377">
        <f>'2020_B5'!A21</f>
        <v>241001</v>
      </c>
      <c r="B377">
        <f>'2020_B5'!$I$5</f>
        <v>2013</v>
      </c>
      <c r="C377" t="str">
        <f>'2020_B5'!$F$6</f>
        <v>Ausländerinnen und Ausländer</v>
      </c>
      <c r="D377" t="s">
        <v>4</v>
      </c>
      <c r="E377" t="str">
        <f>VLOOKUP(A377,[1]Kreise!$A$1:$C$53,3,FALSE)</f>
        <v>K03241001</v>
      </c>
      <c r="F377">
        <f>'2020_B5'!J21</f>
        <v>71</v>
      </c>
    </row>
    <row r="378" spans="1:6" x14ac:dyDescent="0.25">
      <c r="A378">
        <f>'2020_B5'!A22</f>
        <v>241999</v>
      </c>
      <c r="B378">
        <f>'2020_B5'!$I$5</f>
        <v>2013</v>
      </c>
      <c r="C378" t="str">
        <f>'2020_B5'!$F$6</f>
        <v>Ausländerinnen und Ausländer</v>
      </c>
      <c r="D378" t="s">
        <v>4</v>
      </c>
      <c r="E378" t="str">
        <f>VLOOKUP(A378,[1]Kreise!$A$1:$C$53,3,FALSE)</f>
        <v>K03241999</v>
      </c>
      <c r="F378">
        <f>'2020_B5'!J22</f>
        <v>73</v>
      </c>
    </row>
    <row r="379" spans="1:6" x14ac:dyDescent="0.25">
      <c r="A379">
        <f>'2020_B5'!A23</f>
        <v>251</v>
      </c>
      <c r="B379">
        <f>'2020_B5'!$I$5</f>
        <v>2013</v>
      </c>
      <c r="C379" t="str">
        <f>'2020_B5'!$F$6</f>
        <v>Ausländerinnen und Ausländer</v>
      </c>
      <c r="D379" t="s">
        <v>4</v>
      </c>
      <c r="E379" t="str">
        <f>VLOOKUP(A379,[1]Kreise!$A$1:$C$53,3,FALSE)</f>
        <v>K03251</v>
      </c>
      <c r="F379">
        <f>'2020_B5'!J23</f>
        <v>14</v>
      </c>
    </row>
    <row r="380" spans="1:6" x14ac:dyDescent="0.25">
      <c r="A380">
        <f>'2020_B5'!A24</f>
        <v>252</v>
      </c>
      <c r="B380">
        <f>'2020_B5'!$I$5</f>
        <v>2013</v>
      </c>
      <c r="C380" t="str">
        <f>'2020_B5'!$F$6</f>
        <v>Ausländerinnen und Ausländer</v>
      </c>
      <c r="D380" t="s">
        <v>4</v>
      </c>
      <c r="E380" t="str">
        <f>VLOOKUP(A380,[1]Kreise!$A$1:$C$53,3,FALSE)</f>
        <v>K03252</v>
      </c>
      <c r="F380">
        <f>'2020_B5'!J24</f>
        <v>11</v>
      </c>
    </row>
    <row r="381" spans="1:6" x14ac:dyDescent="0.25">
      <c r="A381">
        <f>'2020_B5'!A25</f>
        <v>254</v>
      </c>
      <c r="B381">
        <f>'2020_B5'!$I$5</f>
        <v>2013</v>
      </c>
      <c r="C381" t="str">
        <f>'2020_B5'!$F$6</f>
        <v>Ausländerinnen und Ausländer</v>
      </c>
      <c r="D381" t="s">
        <v>4</v>
      </c>
      <c r="E381" t="str">
        <f>VLOOKUP(A381,[1]Kreise!$A$1:$C$53,3,FALSE)</f>
        <v>K03254</v>
      </c>
      <c r="F381">
        <f>'2020_B5'!J25</f>
        <v>28</v>
      </c>
    </row>
    <row r="382" spans="1:6" x14ac:dyDescent="0.25">
      <c r="A382">
        <f>'2020_B5'!A26</f>
        <v>255</v>
      </c>
      <c r="B382">
        <f>'2020_B5'!$I$5</f>
        <v>2013</v>
      </c>
      <c r="C382" t="str">
        <f>'2020_B5'!$F$6</f>
        <v>Ausländerinnen und Ausländer</v>
      </c>
      <c r="D382" t="s">
        <v>4</v>
      </c>
      <c r="E382" t="str">
        <f>VLOOKUP(A382,[1]Kreise!$A$1:$C$53,3,FALSE)</f>
        <v>K03255</v>
      </c>
      <c r="F382">
        <f>'2020_B5'!J26</f>
        <v>4</v>
      </c>
    </row>
    <row r="383" spans="1:6" x14ac:dyDescent="0.25">
      <c r="A383">
        <f>'2020_B5'!A27</f>
        <v>256</v>
      </c>
      <c r="B383">
        <f>'2020_B5'!$I$5</f>
        <v>2013</v>
      </c>
      <c r="C383" t="str">
        <f>'2020_B5'!$F$6</f>
        <v>Ausländerinnen und Ausländer</v>
      </c>
      <c r="D383" t="s">
        <v>4</v>
      </c>
      <c r="E383" t="str">
        <f>VLOOKUP(A383,[1]Kreise!$A$1:$C$53,3,FALSE)</f>
        <v>K03256</v>
      </c>
      <c r="F383">
        <f>'2020_B5'!J27</f>
        <v>13</v>
      </c>
    </row>
    <row r="384" spans="1:6" x14ac:dyDescent="0.25">
      <c r="A384">
        <f>'2020_B5'!A28</f>
        <v>257</v>
      </c>
      <c r="B384">
        <f>'2020_B5'!$I$5</f>
        <v>2013</v>
      </c>
      <c r="C384" t="str">
        <f>'2020_B5'!$F$6</f>
        <v>Ausländerinnen und Ausländer</v>
      </c>
      <c r="D384" t="s">
        <v>4</v>
      </c>
      <c r="E384" t="str">
        <f>VLOOKUP(A384,[1]Kreise!$A$1:$C$53,3,FALSE)</f>
        <v>K03257</v>
      </c>
      <c r="F384">
        <f>'2020_B5'!J28</f>
        <v>14</v>
      </c>
    </row>
    <row r="385" spans="1:6" x14ac:dyDescent="0.25">
      <c r="A385">
        <f>'2020_B5'!A29</f>
        <v>2</v>
      </c>
      <c r="B385">
        <f>'2020_B5'!$I$5</f>
        <v>2013</v>
      </c>
      <c r="C385" t="str">
        <f>'2020_B5'!$F$6</f>
        <v>Ausländerinnen und Ausländer</v>
      </c>
      <c r="D385" t="s">
        <v>4</v>
      </c>
      <c r="E385" t="str">
        <f>VLOOKUP(A385,[1]Kreise!$A$1:$C$53,3,FALSE)</f>
        <v>K032</v>
      </c>
      <c r="F385">
        <f>'2020_B5'!J29</f>
        <v>228</v>
      </c>
    </row>
    <row r="386" spans="1:6" x14ac:dyDescent="0.25">
      <c r="A386">
        <f>'2020_B5'!A30</f>
        <v>351</v>
      </c>
      <c r="B386">
        <f>'2020_B5'!$I$5</f>
        <v>2013</v>
      </c>
      <c r="C386" t="str">
        <f>'2020_B5'!$F$6</f>
        <v>Ausländerinnen und Ausländer</v>
      </c>
      <c r="D386" t="s">
        <v>4</v>
      </c>
      <c r="E386" t="str">
        <f>VLOOKUP(A386,[1]Kreise!$A$1:$C$53,3,FALSE)</f>
        <v>K03351</v>
      </c>
      <c r="F386">
        <f>'2020_B5'!J30</f>
        <v>4</v>
      </c>
    </row>
    <row r="387" spans="1:6" x14ac:dyDescent="0.25">
      <c r="A387">
        <f>'2020_B5'!A31</f>
        <v>352</v>
      </c>
      <c r="B387">
        <f>'2020_B5'!$I$5</f>
        <v>2013</v>
      </c>
      <c r="C387" t="str">
        <f>'2020_B5'!$F$6</f>
        <v>Ausländerinnen und Ausländer</v>
      </c>
      <c r="D387" t="s">
        <v>4</v>
      </c>
      <c r="E387" t="str">
        <f>VLOOKUP(A387,[1]Kreise!$A$1:$C$53,3,FALSE)</f>
        <v>K03352</v>
      </c>
      <c r="F387">
        <f>'2020_B5'!J31</f>
        <v>11</v>
      </c>
    </row>
    <row r="388" spans="1:6" x14ac:dyDescent="0.25">
      <c r="A388">
        <f>'2020_B5'!A32</f>
        <v>353</v>
      </c>
      <c r="B388">
        <f>'2020_B5'!$I$5</f>
        <v>2013</v>
      </c>
      <c r="C388" t="str">
        <f>'2020_B5'!$F$6</f>
        <v>Ausländerinnen und Ausländer</v>
      </c>
      <c r="D388" t="s">
        <v>4</v>
      </c>
      <c r="E388" t="str">
        <f>VLOOKUP(A388,[1]Kreise!$A$1:$C$53,3,FALSE)</f>
        <v>K03353</v>
      </c>
      <c r="F388">
        <f>'2020_B5'!J32</f>
        <v>7</v>
      </c>
    </row>
    <row r="389" spans="1:6" x14ac:dyDescent="0.25">
      <c r="A389">
        <f>'2020_B5'!A33</f>
        <v>354</v>
      </c>
      <c r="B389">
        <f>'2020_B5'!$I$5</f>
        <v>2013</v>
      </c>
      <c r="C389" t="str">
        <f>'2020_B5'!$F$6</f>
        <v>Ausländerinnen und Ausländer</v>
      </c>
      <c r="D389" t="s">
        <v>4</v>
      </c>
      <c r="E389" t="str">
        <f>VLOOKUP(A389,[1]Kreise!$A$1:$C$53,3,FALSE)</f>
        <v>K03354</v>
      </c>
      <c r="F389">
        <f>'2020_B5'!J33</f>
        <v>1</v>
      </c>
    </row>
    <row r="390" spans="1:6" x14ac:dyDescent="0.25">
      <c r="A390">
        <f>'2020_B5'!A34</f>
        <v>355</v>
      </c>
      <c r="B390">
        <f>'2020_B5'!$I$5</f>
        <v>2013</v>
      </c>
      <c r="C390" t="str">
        <f>'2020_B5'!$F$6</f>
        <v>Ausländerinnen und Ausländer</v>
      </c>
      <c r="D390" t="s">
        <v>4</v>
      </c>
      <c r="E390" t="str">
        <f>VLOOKUP(A390,[1]Kreise!$A$1:$C$53,3,FALSE)</f>
        <v>K03355</v>
      </c>
      <c r="F390">
        <f>'2020_B5'!J34</f>
        <v>8</v>
      </c>
    </row>
    <row r="391" spans="1:6" x14ac:dyDescent="0.25">
      <c r="A391">
        <f>'2020_B5'!A35</f>
        <v>356</v>
      </c>
      <c r="B391">
        <f>'2020_B5'!$I$5</f>
        <v>2013</v>
      </c>
      <c r="C391" t="str">
        <f>'2020_B5'!$F$6</f>
        <v>Ausländerinnen und Ausländer</v>
      </c>
      <c r="D391" t="s">
        <v>4</v>
      </c>
      <c r="E391" t="str">
        <f>VLOOKUP(A391,[1]Kreise!$A$1:$C$53,3,FALSE)</f>
        <v>K03356</v>
      </c>
      <c r="F391">
        <f>'2020_B5'!J35</f>
        <v>3</v>
      </c>
    </row>
    <row r="392" spans="1:6" x14ac:dyDescent="0.25">
      <c r="A392">
        <f>'2020_B5'!A36</f>
        <v>357</v>
      </c>
      <c r="B392">
        <f>'2020_B5'!$I$5</f>
        <v>2013</v>
      </c>
      <c r="C392" t="str">
        <f>'2020_B5'!$F$6</f>
        <v>Ausländerinnen und Ausländer</v>
      </c>
      <c r="D392" t="s">
        <v>4</v>
      </c>
      <c r="E392" t="str">
        <f>VLOOKUP(A392,[1]Kreise!$A$1:$C$53,3,FALSE)</f>
        <v>K03357</v>
      </c>
      <c r="F392">
        <f>'2020_B5'!J36</f>
        <v>4</v>
      </c>
    </row>
    <row r="393" spans="1:6" x14ac:dyDescent="0.25">
      <c r="A393">
        <f>'2020_B5'!A37</f>
        <v>358</v>
      </c>
      <c r="B393">
        <f>'2020_B5'!$I$5</f>
        <v>2013</v>
      </c>
      <c r="C393" t="str">
        <f>'2020_B5'!$F$6</f>
        <v>Ausländerinnen und Ausländer</v>
      </c>
      <c r="D393" t="s">
        <v>4</v>
      </c>
      <c r="E393" t="str">
        <f>VLOOKUP(A393,[1]Kreise!$A$1:$C$53,3,FALSE)</f>
        <v>K03358</v>
      </c>
      <c r="F393">
        <f>'2020_B5'!J37</f>
        <v>22</v>
      </c>
    </row>
    <row r="394" spans="1:6" x14ac:dyDescent="0.25">
      <c r="A394">
        <f>'2020_B5'!A38</f>
        <v>359</v>
      </c>
      <c r="B394">
        <f>'2020_B5'!$I$5</f>
        <v>2013</v>
      </c>
      <c r="C394" t="str">
        <f>'2020_B5'!$F$6</f>
        <v>Ausländerinnen und Ausländer</v>
      </c>
      <c r="D394" t="s">
        <v>4</v>
      </c>
      <c r="E394" t="str">
        <f>VLOOKUP(A394,[1]Kreise!$A$1:$C$53,3,FALSE)</f>
        <v>K03359</v>
      </c>
      <c r="F394">
        <f>'2020_B5'!J38</f>
        <v>10</v>
      </c>
    </row>
    <row r="395" spans="1:6" x14ac:dyDescent="0.25">
      <c r="A395">
        <f>'2020_B5'!A39</f>
        <v>360</v>
      </c>
      <c r="B395">
        <f>'2020_B5'!$I$5</f>
        <v>2013</v>
      </c>
      <c r="C395" t="str">
        <f>'2020_B5'!$F$6</f>
        <v>Ausländerinnen und Ausländer</v>
      </c>
      <c r="D395" t="s">
        <v>4</v>
      </c>
      <c r="E395" t="str">
        <f>VLOOKUP(A395,[1]Kreise!$A$1:$C$53,3,FALSE)</f>
        <v>K03360</v>
      </c>
      <c r="F395">
        <f>'2020_B5'!J39</f>
        <v>3</v>
      </c>
    </row>
    <row r="396" spans="1:6" x14ac:dyDescent="0.25">
      <c r="A396">
        <f>'2020_B5'!A40</f>
        <v>361</v>
      </c>
      <c r="B396">
        <f>'2020_B5'!$I$5</f>
        <v>2013</v>
      </c>
      <c r="C396" t="str">
        <f>'2020_B5'!$F$6</f>
        <v>Ausländerinnen und Ausländer</v>
      </c>
      <c r="D396" t="s">
        <v>4</v>
      </c>
      <c r="E396" t="str">
        <f>VLOOKUP(A396,[1]Kreise!$A$1:$C$53,3,FALSE)</f>
        <v>K03361</v>
      </c>
      <c r="F396">
        <f>'2020_B5'!J40</f>
        <v>8</v>
      </c>
    </row>
    <row r="397" spans="1:6" x14ac:dyDescent="0.25">
      <c r="A397">
        <f>'2020_B5'!A41</f>
        <v>3</v>
      </c>
      <c r="B397">
        <f>'2020_B5'!$I$5</f>
        <v>2013</v>
      </c>
      <c r="C397" t="str">
        <f>'2020_B5'!$F$6</f>
        <v>Ausländerinnen und Ausländer</v>
      </c>
      <c r="D397" t="s">
        <v>4</v>
      </c>
      <c r="E397" t="str">
        <f>VLOOKUP(A397,[1]Kreise!$A$1:$C$53,3,FALSE)</f>
        <v>K033</v>
      </c>
      <c r="F397">
        <f>'2020_B5'!J41</f>
        <v>81</v>
      </c>
    </row>
    <row r="398" spans="1:6" x14ac:dyDescent="0.25">
      <c r="A398">
        <f>'2020_B5'!A42</f>
        <v>401</v>
      </c>
      <c r="B398">
        <f>'2020_B5'!$I$5</f>
        <v>2013</v>
      </c>
      <c r="C398" t="str">
        <f>'2020_B5'!$F$6</f>
        <v>Ausländerinnen und Ausländer</v>
      </c>
      <c r="D398" t="s">
        <v>4</v>
      </c>
      <c r="E398" t="str">
        <f>VLOOKUP(A398,[1]Kreise!$A$1:$C$53,3,FALSE)</f>
        <v>K03401</v>
      </c>
      <c r="F398">
        <f>'2020_B5'!J42</f>
        <v>16</v>
      </c>
    </row>
    <row r="399" spans="1:6" x14ac:dyDescent="0.25">
      <c r="A399">
        <f>'2020_B5'!A43</f>
        <v>402</v>
      </c>
      <c r="B399">
        <f>'2020_B5'!$I$5</f>
        <v>2013</v>
      </c>
      <c r="C399" t="str">
        <f>'2020_B5'!$F$6</f>
        <v>Ausländerinnen und Ausländer</v>
      </c>
      <c r="D399" t="s">
        <v>4</v>
      </c>
      <c r="E399" t="str">
        <f>VLOOKUP(A399,[1]Kreise!$A$1:$C$53,3,FALSE)</f>
        <v>K03402</v>
      </c>
      <c r="F399">
        <f>'2020_B5'!J43</f>
        <v>3</v>
      </c>
    </row>
    <row r="400" spans="1:6" x14ac:dyDescent="0.25">
      <c r="A400">
        <f>'2020_B5'!A44</f>
        <v>403</v>
      </c>
      <c r="B400">
        <f>'2020_B5'!$I$5</f>
        <v>2013</v>
      </c>
      <c r="C400" t="str">
        <f>'2020_B5'!$F$6</f>
        <v>Ausländerinnen und Ausländer</v>
      </c>
      <c r="D400" t="s">
        <v>4</v>
      </c>
      <c r="E400" t="str">
        <f>VLOOKUP(A400,[1]Kreise!$A$1:$C$53,3,FALSE)</f>
        <v>K03403</v>
      </c>
      <c r="F400">
        <f>'2020_B5'!J44</f>
        <v>18</v>
      </c>
    </row>
    <row r="401" spans="1:6" x14ac:dyDescent="0.25">
      <c r="A401">
        <f>'2020_B5'!A45</f>
        <v>404</v>
      </c>
      <c r="B401">
        <f>'2020_B5'!$I$5</f>
        <v>2013</v>
      </c>
      <c r="C401" t="str">
        <f>'2020_B5'!$F$6</f>
        <v>Ausländerinnen und Ausländer</v>
      </c>
      <c r="D401" t="s">
        <v>4</v>
      </c>
      <c r="E401" t="str">
        <f>VLOOKUP(A401,[1]Kreise!$A$1:$C$53,3,FALSE)</f>
        <v>K03404</v>
      </c>
      <c r="F401">
        <f>'2020_B5'!J45</f>
        <v>18</v>
      </c>
    </row>
    <row r="402" spans="1:6" x14ac:dyDescent="0.25">
      <c r="A402">
        <f>'2020_B5'!A46</f>
        <v>405</v>
      </c>
      <c r="B402">
        <f>'2020_B5'!$I$5</f>
        <v>2013</v>
      </c>
      <c r="C402" t="str">
        <f>'2020_B5'!$F$6</f>
        <v>Ausländerinnen und Ausländer</v>
      </c>
      <c r="D402" t="s">
        <v>4</v>
      </c>
      <c r="E402" t="str">
        <f>VLOOKUP(A402,[1]Kreise!$A$1:$C$53,3,FALSE)</f>
        <v>K03405</v>
      </c>
      <c r="F402">
        <f>'2020_B5'!J46</f>
        <v>9</v>
      </c>
    </row>
    <row r="403" spans="1:6" x14ac:dyDescent="0.25">
      <c r="A403">
        <f>'2020_B5'!A47</f>
        <v>451</v>
      </c>
      <c r="B403">
        <f>'2020_B5'!$I$5</f>
        <v>2013</v>
      </c>
      <c r="C403" t="str">
        <f>'2020_B5'!$F$6</f>
        <v>Ausländerinnen und Ausländer</v>
      </c>
      <c r="D403" t="s">
        <v>4</v>
      </c>
      <c r="E403" t="str">
        <f>VLOOKUP(A403,[1]Kreise!$A$1:$C$53,3,FALSE)</f>
        <v>K03451</v>
      </c>
      <c r="F403">
        <f>'2020_B5'!J47</f>
        <v>1</v>
      </c>
    </row>
    <row r="404" spans="1:6" x14ac:dyDescent="0.25">
      <c r="A404">
        <f>'2020_B5'!A48</f>
        <v>452</v>
      </c>
      <c r="B404">
        <f>'2020_B5'!$I$5</f>
        <v>2013</v>
      </c>
      <c r="C404" t="str">
        <f>'2020_B5'!$F$6</f>
        <v>Ausländerinnen und Ausländer</v>
      </c>
      <c r="D404" t="s">
        <v>4</v>
      </c>
      <c r="E404" t="str">
        <f>VLOOKUP(A404,[1]Kreise!$A$1:$C$53,3,FALSE)</f>
        <v>K03452</v>
      </c>
      <c r="F404">
        <f>'2020_B5'!J48</f>
        <v>14</v>
      </c>
    </row>
    <row r="405" spans="1:6" x14ac:dyDescent="0.25">
      <c r="A405">
        <f>'2020_B5'!A49</f>
        <v>453</v>
      </c>
      <c r="B405">
        <f>'2020_B5'!$I$5</f>
        <v>2013</v>
      </c>
      <c r="C405" t="str">
        <f>'2020_B5'!$F$6</f>
        <v>Ausländerinnen und Ausländer</v>
      </c>
      <c r="D405" t="s">
        <v>4</v>
      </c>
      <c r="E405" t="str">
        <f>VLOOKUP(A405,[1]Kreise!$A$1:$C$53,3,FALSE)</f>
        <v>K03453</v>
      </c>
      <c r="F405">
        <f>'2020_B5'!J49</f>
        <v>10</v>
      </c>
    </row>
    <row r="406" spans="1:6" x14ac:dyDescent="0.25">
      <c r="A406">
        <f>'2020_B5'!A50</f>
        <v>454</v>
      </c>
      <c r="B406">
        <f>'2020_B5'!$I$5</f>
        <v>2013</v>
      </c>
      <c r="C406" t="str">
        <f>'2020_B5'!$F$6</f>
        <v>Ausländerinnen und Ausländer</v>
      </c>
      <c r="D406" t="s">
        <v>4</v>
      </c>
      <c r="E406" t="str">
        <f>VLOOKUP(A406,[1]Kreise!$A$1:$C$53,3,FALSE)</f>
        <v>K03454</v>
      </c>
      <c r="F406">
        <f>'2020_B5'!J50</f>
        <v>22</v>
      </c>
    </row>
    <row r="407" spans="1:6" x14ac:dyDescent="0.25">
      <c r="A407">
        <f>'2020_B5'!A51</f>
        <v>455</v>
      </c>
      <c r="B407">
        <f>'2020_B5'!$I$5</f>
        <v>2013</v>
      </c>
      <c r="C407" t="str">
        <f>'2020_B5'!$F$6</f>
        <v>Ausländerinnen und Ausländer</v>
      </c>
      <c r="D407" t="s">
        <v>4</v>
      </c>
      <c r="E407" t="str">
        <f>VLOOKUP(A407,[1]Kreise!$A$1:$C$53,3,FALSE)</f>
        <v>K03455</v>
      </c>
      <c r="F407">
        <f>'2020_B5'!J51</f>
        <v>4</v>
      </c>
    </row>
    <row r="408" spans="1:6" x14ac:dyDescent="0.25">
      <c r="A408">
        <f>'2020_B5'!A52</f>
        <v>456</v>
      </c>
      <c r="B408">
        <f>'2020_B5'!$I$5</f>
        <v>2013</v>
      </c>
      <c r="C408" t="str">
        <f>'2020_B5'!$F$6</f>
        <v>Ausländerinnen und Ausländer</v>
      </c>
      <c r="D408" t="s">
        <v>4</v>
      </c>
      <c r="E408" t="str">
        <f>VLOOKUP(A408,[1]Kreise!$A$1:$C$53,3,FALSE)</f>
        <v>K03456</v>
      </c>
      <c r="F408">
        <f>'2020_B5'!J52</f>
        <v>28</v>
      </c>
    </row>
    <row r="409" spans="1:6" x14ac:dyDescent="0.25">
      <c r="A409">
        <f>'2020_B5'!A53</f>
        <v>457</v>
      </c>
      <c r="B409">
        <f>'2020_B5'!$I$5</f>
        <v>2013</v>
      </c>
      <c r="C409" t="str">
        <f>'2020_B5'!$F$6</f>
        <v>Ausländerinnen und Ausländer</v>
      </c>
      <c r="D409" t="s">
        <v>4</v>
      </c>
      <c r="E409" t="str">
        <f>VLOOKUP(A409,[1]Kreise!$A$1:$C$53,3,FALSE)</f>
        <v>K03457</v>
      </c>
      <c r="F409">
        <f>'2020_B5'!J53</f>
        <v>10</v>
      </c>
    </row>
    <row r="410" spans="1:6" x14ac:dyDescent="0.25">
      <c r="A410">
        <f>'2020_B5'!A54</f>
        <v>458</v>
      </c>
      <c r="B410">
        <f>'2020_B5'!$I$5</f>
        <v>2013</v>
      </c>
      <c r="C410" t="str">
        <f>'2020_B5'!$F$6</f>
        <v>Ausländerinnen und Ausländer</v>
      </c>
      <c r="D410" t="s">
        <v>4</v>
      </c>
      <c r="E410" t="str">
        <f>VLOOKUP(A410,[1]Kreise!$A$1:$C$53,3,FALSE)</f>
        <v>K03458</v>
      </c>
      <c r="F410">
        <f>'2020_B5'!J54</f>
        <v>7</v>
      </c>
    </row>
    <row r="411" spans="1:6" x14ac:dyDescent="0.25">
      <c r="A411">
        <f>'2020_B5'!A55</f>
        <v>459</v>
      </c>
      <c r="B411">
        <f>'2020_B5'!$I$5</f>
        <v>2013</v>
      </c>
      <c r="C411" t="str">
        <f>'2020_B5'!$F$6</f>
        <v>Ausländerinnen und Ausländer</v>
      </c>
      <c r="D411" t="s">
        <v>4</v>
      </c>
      <c r="E411" t="str">
        <f>VLOOKUP(A411,[1]Kreise!$A$1:$C$53,3,FALSE)</f>
        <v>K03459</v>
      </c>
      <c r="F411">
        <f>'2020_B5'!J55</f>
        <v>38</v>
      </c>
    </row>
    <row r="412" spans="1:6" x14ac:dyDescent="0.25">
      <c r="A412">
        <f>'2020_B5'!A56</f>
        <v>460</v>
      </c>
      <c r="B412">
        <f>'2020_B5'!$I$5</f>
        <v>2013</v>
      </c>
      <c r="C412" t="str">
        <f>'2020_B5'!$F$6</f>
        <v>Ausländerinnen und Ausländer</v>
      </c>
      <c r="D412" t="s">
        <v>4</v>
      </c>
      <c r="E412" t="str">
        <f>VLOOKUP(A412,[1]Kreise!$A$1:$C$53,3,FALSE)</f>
        <v>K03460</v>
      </c>
      <c r="F412">
        <f>'2020_B5'!J56</f>
        <v>26</v>
      </c>
    </row>
    <row r="413" spans="1:6" x14ac:dyDescent="0.25">
      <c r="A413">
        <f>'2020_B5'!A57</f>
        <v>461</v>
      </c>
      <c r="B413">
        <f>'2020_B5'!$I$5</f>
        <v>2013</v>
      </c>
      <c r="C413" t="str">
        <f>'2020_B5'!$F$6</f>
        <v>Ausländerinnen und Ausländer</v>
      </c>
      <c r="D413" t="s">
        <v>4</v>
      </c>
      <c r="E413" t="str">
        <f>VLOOKUP(A413,[1]Kreise!$A$1:$C$53,3,FALSE)</f>
        <v>K03461</v>
      </c>
      <c r="F413">
        <f>'2020_B5'!J57</f>
        <v>6</v>
      </c>
    </row>
    <row r="414" spans="1:6" x14ac:dyDescent="0.25">
      <c r="A414">
        <f>'2020_B5'!A58</f>
        <v>462</v>
      </c>
      <c r="B414">
        <f>'2020_B5'!$I$5</f>
        <v>2013</v>
      </c>
      <c r="C414" t="str">
        <f>'2020_B5'!$F$6</f>
        <v>Ausländerinnen und Ausländer</v>
      </c>
      <c r="D414" t="s">
        <v>4</v>
      </c>
      <c r="E414" t="str">
        <f>VLOOKUP(A414,[1]Kreise!$A$1:$C$53,3,FALSE)</f>
        <v>K03462</v>
      </c>
      <c r="F414" t="str">
        <f>'2020_B5'!J58</f>
        <v>-</v>
      </c>
    </row>
    <row r="415" spans="1:6" x14ac:dyDescent="0.25">
      <c r="A415">
        <f>'2020_B5'!A59</f>
        <v>4</v>
      </c>
      <c r="B415">
        <f>'2020_B5'!$I$5</f>
        <v>2013</v>
      </c>
      <c r="C415" t="str">
        <f>'2020_B5'!$F$6</f>
        <v>Ausländerinnen und Ausländer</v>
      </c>
      <c r="D415" t="s">
        <v>4</v>
      </c>
      <c r="E415" t="str">
        <f>VLOOKUP(A415,[1]Kreise!$A$1:$C$53,3,FALSE)</f>
        <v>K034</v>
      </c>
      <c r="F415">
        <f>'2020_B5'!J59</f>
        <v>230</v>
      </c>
    </row>
    <row r="416" spans="1:6" x14ac:dyDescent="0.25">
      <c r="A416">
        <f>'2020_B5'!A60</f>
        <v>0</v>
      </c>
      <c r="B416">
        <f>'2020_B5'!$I$5</f>
        <v>2013</v>
      </c>
      <c r="C416" t="str">
        <f>'2020_B5'!$F$6</f>
        <v>Ausländerinnen und Ausländer</v>
      </c>
      <c r="D416" t="s">
        <v>4</v>
      </c>
      <c r="E416" t="str">
        <f>VLOOKUP(A416,[1]Kreise!$A$1:$C$53,3,FALSE)</f>
        <v>K030</v>
      </c>
      <c r="F416">
        <f>'2020_B5'!J60</f>
        <v>649</v>
      </c>
    </row>
    <row r="417" spans="1:6" x14ac:dyDescent="0.25">
      <c r="A417">
        <f>'2020_B5'!A9</f>
        <v>101</v>
      </c>
      <c r="B417">
        <f>'2020_B5'!$K$5</f>
        <v>2014</v>
      </c>
      <c r="C417" t="str">
        <f>'2020_B5'!$G$6</f>
        <v>Deutsche</v>
      </c>
      <c r="D417" t="s">
        <v>4</v>
      </c>
      <c r="E417" t="str">
        <f>VLOOKUP(A417,[1]Kreise!$A$1:$C$53,3,FALSE)</f>
        <v>K03101</v>
      </c>
      <c r="F417">
        <f>'2020_B5'!K9</f>
        <v>115</v>
      </c>
    </row>
    <row r="418" spans="1:6" x14ac:dyDescent="0.25">
      <c r="A418">
        <f>'2020_B5'!A10</f>
        <v>102</v>
      </c>
      <c r="B418">
        <f>'2020_B5'!$K$5</f>
        <v>2014</v>
      </c>
      <c r="C418" t="str">
        <f>'2020_B5'!$G$6</f>
        <v>Deutsche</v>
      </c>
      <c r="D418" t="s">
        <v>4</v>
      </c>
      <c r="E418" t="str">
        <f>VLOOKUP(A418,[1]Kreise!$A$1:$C$53,3,FALSE)</f>
        <v>K03102</v>
      </c>
      <c r="F418">
        <f>'2020_B5'!K10</f>
        <v>27</v>
      </c>
    </row>
    <row r="419" spans="1:6" x14ac:dyDescent="0.25">
      <c r="A419">
        <f>'2020_B5'!A11</f>
        <v>103</v>
      </c>
      <c r="B419">
        <f>'2020_B5'!$K$5</f>
        <v>2014</v>
      </c>
      <c r="C419" t="str">
        <f>'2020_B5'!$G$6</f>
        <v>Deutsche</v>
      </c>
      <c r="D419" t="s">
        <v>4</v>
      </c>
      <c r="E419" t="str">
        <f>VLOOKUP(A419,[1]Kreise!$A$1:$C$53,3,FALSE)</f>
        <v>K03103</v>
      </c>
      <c r="F419">
        <f>'2020_B5'!K11</f>
        <v>47</v>
      </c>
    </row>
    <row r="420" spans="1:6" x14ac:dyDescent="0.25">
      <c r="A420">
        <f>'2020_B5'!A12</f>
        <v>151</v>
      </c>
      <c r="B420">
        <f>'2020_B5'!$K$5</f>
        <v>2014</v>
      </c>
      <c r="C420" t="str">
        <f>'2020_B5'!$G$6</f>
        <v>Deutsche</v>
      </c>
      <c r="D420" t="s">
        <v>4</v>
      </c>
      <c r="E420" t="str">
        <f>VLOOKUP(A420,[1]Kreise!$A$1:$C$53,3,FALSE)</f>
        <v>K03151</v>
      </c>
      <c r="F420">
        <f>'2020_B5'!K12</f>
        <v>54</v>
      </c>
    </row>
    <row r="421" spans="1:6" x14ac:dyDescent="0.25">
      <c r="A421">
        <f>'2020_B5'!A13</f>
        <v>153</v>
      </c>
      <c r="B421">
        <f>'2020_B5'!$K$5</f>
        <v>2014</v>
      </c>
      <c r="C421" t="str">
        <f>'2020_B5'!$G$6</f>
        <v>Deutsche</v>
      </c>
      <c r="D421" t="s">
        <v>4</v>
      </c>
      <c r="E421" t="str">
        <f>VLOOKUP(A421,[1]Kreise!$A$1:$C$53,3,FALSE)</f>
        <v>K03153</v>
      </c>
      <c r="F421">
        <f>'2020_B5'!K13</f>
        <v>92</v>
      </c>
    </row>
    <row r="422" spans="1:6" x14ac:dyDescent="0.25">
      <c r="A422">
        <f>'2020_B5'!A14</f>
        <v>154</v>
      </c>
      <c r="B422">
        <f>'2020_B5'!$K$5</f>
        <v>2014</v>
      </c>
      <c r="C422" t="str">
        <f>'2020_B5'!$G$6</f>
        <v>Deutsche</v>
      </c>
      <c r="D422" t="s">
        <v>4</v>
      </c>
      <c r="E422" t="str">
        <f>VLOOKUP(A422,[1]Kreise!$A$1:$C$53,3,FALSE)</f>
        <v>K03154</v>
      </c>
      <c r="F422">
        <f>'2020_B5'!K14</f>
        <v>39</v>
      </c>
    </row>
    <row r="423" spans="1:6" x14ac:dyDescent="0.25">
      <c r="A423">
        <f>'2020_B5'!A15</f>
        <v>155</v>
      </c>
      <c r="B423">
        <f>'2020_B5'!$K$5</f>
        <v>2014</v>
      </c>
      <c r="C423" t="str">
        <f>'2020_B5'!$G$6</f>
        <v>Deutsche</v>
      </c>
      <c r="D423" t="s">
        <v>4</v>
      </c>
      <c r="E423" t="str">
        <f>VLOOKUP(A423,[1]Kreise!$A$1:$C$53,3,FALSE)</f>
        <v>K03155</v>
      </c>
      <c r="F423">
        <f>'2020_B5'!K15</f>
        <v>66</v>
      </c>
    </row>
    <row r="424" spans="1:6" x14ac:dyDescent="0.25">
      <c r="A424">
        <f>'2020_B5'!A16</f>
        <v>157</v>
      </c>
      <c r="B424">
        <f>'2020_B5'!$K$5</f>
        <v>2014</v>
      </c>
      <c r="C424" t="str">
        <f>'2020_B5'!$G$6</f>
        <v>Deutsche</v>
      </c>
      <c r="D424" t="s">
        <v>4</v>
      </c>
      <c r="E424" t="str">
        <f>VLOOKUP(A424,[1]Kreise!$A$1:$C$53,3,FALSE)</f>
        <v>K03157</v>
      </c>
      <c r="F424">
        <f>'2020_B5'!K16</f>
        <v>41</v>
      </c>
    </row>
    <row r="425" spans="1:6" x14ac:dyDescent="0.25">
      <c r="A425">
        <f>'2020_B5'!A17</f>
        <v>158</v>
      </c>
      <c r="B425">
        <f>'2020_B5'!$K$5</f>
        <v>2014</v>
      </c>
      <c r="C425" t="str">
        <f>'2020_B5'!$G$6</f>
        <v>Deutsche</v>
      </c>
      <c r="D425" t="s">
        <v>4</v>
      </c>
      <c r="E425" t="str">
        <f>VLOOKUP(A425,[1]Kreise!$A$1:$C$53,3,FALSE)</f>
        <v>K03158</v>
      </c>
      <c r="F425">
        <f>'2020_B5'!K17</f>
        <v>34</v>
      </c>
    </row>
    <row r="426" spans="1:6" x14ac:dyDescent="0.25">
      <c r="A426">
        <f>'2020_B5'!A18</f>
        <v>159</v>
      </c>
      <c r="B426">
        <f>'2020_B5'!$K$5</f>
        <v>2014</v>
      </c>
      <c r="C426" t="str">
        <f>'2020_B5'!$G$6</f>
        <v>Deutsche</v>
      </c>
      <c r="D426" t="s">
        <v>4</v>
      </c>
      <c r="E426" t="str">
        <f>VLOOKUP(A426,[1]Kreise!$A$1:$C$53,3,FALSE)</f>
        <v>K03159</v>
      </c>
      <c r="F426">
        <f>'2020_B5'!K18</f>
        <v>86</v>
      </c>
    </row>
    <row r="427" spans="1:6" x14ac:dyDescent="0.25">
      <c r="A427">
        <f>'2020_B5'!A19</f>
        <v>1</v>
      </c>
      <c r="B427">
        <f>'2020_B5'!$K$5</f>
        <v>2014</v>
      </c>
      <c r="C427" t="str">
        <f>'2020_B5'!$G$6</f>
        <v>Deutsche</v>
      </c>
      <c r="D427" t="s">
        <v>4</v>
      </c>
      <c r="E427" t="str">
        <f>VLOOKUP(A427,[1]Kreise!$A$1:$C$53,3,FALSE)</f>
        <v>K031</v>
      </c>
      <c r="F427">
        <f>'2020_B5'!K19</f>
        <v>644</v>
      </c>
    </row>
    <row r="428" spans="1:6" x14ac:dyDescent="0.25">
      <c r="A428">
        <f>'2020_B5'!A20</f>
        <v>241</v>
      </c>
      <c r="B428">
        <f>'2020_B5'!$K$5</f>
        <v>2014</v>
      </c>
      <c r="C428" t="str">
        <f>'2020_B5'!$G$6</f>
        <v>Deutsche</v>
      </c>
      <c r="D428" t="s">
        <v>4</v>
      </c>
      <c r="E428" t="str">
        <f>VLOOKUP(A428,[1]Kreise!$A$1:$C$53,3,FALSE)</f>
        <v>K03241</v>
      </c>
      <c r="F428">
        <f>'2020_B5'!K20</f>
        <v>387</v>
      </c>
    </row>
    <row r="429" spans="1:6" x14ac:dyDescent="0.25">
      <c r="A429">
        <f>'2020_B5'!A21</f>
        <v>241001</v>
      </c>
      <c r="B429">
        <f>'2020_B5'!$K$5</f>
        <v>2014</v>
      </c>
      <c r="C429" t="str">
        <f>'2020_B5'!$G$6</f>
        <v>Deutsche</v>
      </c>
      <c r="D429" t="s">
        <v>4</v>
      </c>
      <c r="E429" t="str">
        <f>VLOOKUP(A429,[1]Kreise!$A$1:$C$53,3,FALSE)</f>
        <v>K03241001</v>
      </c>
      <c r="F429">
        <f>'2020_B5'!K21</f>
        <v>201</v>
      </c>
    </row>
    <row r="430" spans="1:6" x14ac:dyDescent="0.25">
      <c r="A430">
        <f>'2020_B5'!A22</f>
        <v>241999</v>
      </c>
      <c r="B430">
        <f>'2020_B5'!$K$5</f>
        <v>2014</v>
      </c>
      <c r="C430" t="str">
        <f>'2020_B5'!$G$6</f>
        <v>Deutsche</v>
      </c>
      <c r="D430" t="s">
        <v>4</v>
      </c>
      <c r="E430" t="str">
        <f>VLOOKUP(A430,[1]Kreise!$A$1:$C$53,3,FALSE)</f>
        <v>K03241999</v>
      </c>
      <c r="F430">
        <f>'2020_B5'!K22</f>
        <v>186</v>
      </c>
    </row>
    <row r="431" spans="1:6" x14ac:dyDescent="0.25">
      <c r="A431">
        <f>'2020_B5'!A23</f>
        <v>251</v>
      </c>
      <c r="B431">
        <f>'2020_B5'!$K$5</f>
        <v>2014</v>
      </c>
      <c r="C431" t="str">
        <f>'2020_B5'!$G$6</f>
        <v>Deutsche</v>
      </c>
      <c r="D431" t="s">
        <v>4</v>
      </c>
      <c r="E431" t="str">
        <f>VLOOKUP(A431,[1]Kreise!$A$1:$C$53,3,FALSE)</f>
        <v>K03251</v>
      </c>
      <c r="F431">
        <f>'2020_B5'!K23</f>
        <v>53</v>
      </c>
    </row>
    <row r="432" spans="1:6" x14ac:dyDescent="0.25">
      <c r="A432">
        <f>'2020_B5'!A24</f>
        <v>252</v>
      </c>
      <c r="B432">
        <f>'2020_B5'!$K$5</f>
        <v>2014</v>
      </c>
      <c r="C432" t="str">
        <f>'2020_B5'!$G$6</f>
        <v>Deutsche</v>
      </c>
      <c r="D432" t="s">
        <v>4</v>
      </c>
      <c r="E432" t="str">
        <f>VLOOKUP(A432,[1]Kreise!$A$1:$C$53,3,FALSE)</f>
        <v>K03252</v>
      </c>
      <c r="F432">
        <f>'2020_B5'!K24</f>
        <v>78</v>
      </c>
    </row>
    <row r="433" spans="1:6" x14ac:dyDescent="0.25">
      <c r="A433">
        <f>'2020_B5'!A25</f>
        <v>254</v>
      </c>
      <c r="B433">
        <f>'2020_B5'!$K$5</f>
        <v>2014</v>
      </c>
      <c r="C433" t="str">
        <f>'2020_B5'!$G$6</f>
        <v>Deutsche</v>
      </c>
      <c r="D433" t="s">
        <v>4</v>
      </c>
      <c r="E433" t="str">
        <f>VLOOKUP(A433,[1]Kreise!$A$1:$C$53,3,FALSE)</f>
        <v>K03254</v>
      </c>
      <c r="F433">
        <f>'2020_B5'!K25</f>
        <v>157</v>
      </c>
    </row>
    <row r="434" spans="1:6" x14ac:dyDescent="0.25">
      <c r="A434">
        <f>'2020_B5'!A26</f>
        <v>255</v>
      </c>
      <c r="B434">
        <f>'2020_B5'!$K$5</f>
        <v>2014</v>
      </c>
      <c r="C434" t="str">
        <f>'2020_B5'!$G$6</f>
        <v>Deutsche</v>
      </c>
      <c r="D434" t="s">
        <v>4</v>
      </c>
      <c r="E434" t="str">
        <f>VLOOKUP(A434,[1]Kreise!$A$1:$C$53,3,FALSE)</f>
        <v>K03255</v>
      </c>
      <c r="F434">
        <f>'2020_B5'!K26</f>
        <v>48</v>
      </c>
    </row>
    <row r="435" spans="1:6" x14ac:dyDescent="0.25">
      <c r="A435">
        <f>'2020_B5'!A27</f>
        <v>256</v>
      </c>
      <c r="B435">
        <f>'2020_B5'!$K$5</f>
        <v>2014</v>
      </c>
      <c r="C435" t="str">
        <f>'2020_B5'!$G$6</f>
        <v>Deutsche</v>
      </c>
      <c r="D435" t="s">
        <v>4</v>
      </c>
      <c r="E435" t="str">
        <f>VLOOKUP(A435,[1]Kreise!$A$1:$C$53,3,FALSE)</f>
        <v>K03256</v>
      </c>
      <c r="F435">
        <f>'2020_B5'!K27</f>
        <v>95</v>
      </c>
    </row>
    <row r="436" spans="1:6" x14ac:dyDescent="0.25">
      <c r="A436">
        <f>'2020_B5'!A28</f>
        <v>257</v>
      </c>
      <c r="B436">
        <f>'2020_B5'!$K$5</f>
        <v>2014</v>
      </c>
      <c r="C436" t="str">
        <f>'2020_B5'!$G$6</f>
        <v>Deutsche</v>
      </c>
      <c r="D436" t="s">
        <v>4</v>
      </c>
      <c r="E436" t="str">
        <f>VLOOKUP(A436,[1]Kreise!$A$1:$C$53,3,FALSE)</f>
        <v>K03257</v>
      </c>
      <c r="F436">
        <f>'2020_B5'!K28</f>
        <v>31</v>
      </c>
    </row>
    <row r="437" spans="1:6" x14ac:dyDescent="0.25">
      <c r="A437">
        <f>'2020_B5'!A29</f>
        <v>2</v>
      </c>
      <c r="B437">
        <f>'2020_B5'!$K$5</f>
        <v>2014</v>
      </c>
      <c r="C437" t="str">
        <f>'2020_B5'!$G$6</f>
        <v>Deutsche</v>
      </c>
      <c r="D437" t="s">
        <v>4</v>
      </c>
      <c r="E437" t="str">
        <f>VLOOKUP(A437,[1]Kreise!$A$1:$C$53,3,FALSE)</f>
        <v>K032</v>
      </c>
      <c r="F437">
        <f>'2020_B5'!K29</f>
        <v>849</v>
      </c>
    </row>
    <row r="438" spans="1:6" x14ac:dyDescent="0.25">
      <c r="A438">
        <f>'2020_B5'!A30</f>
        <v>351</v>
      </c>
      <c r="B438">
        <f>'2020_B5'!$K$5</f>
        <v>2014</v>
      </c>
      <c r="C438" t="str">
        <f>'2020_B5'!$G$6</f>
        <v>Deutsche</v>
      </c>
      <c r="D438" t="s">
        <v>4</v>
      </c>
      <c r="E438" t="str">
        <f>VLOOKUP(A438,[1]Kreise!$A$1:$C$53,3,FALSE)</f>
        <v>K03351</v>
      </c>
      <c r="F438">
        <f>'2020_B5'!K30</f>
        <v>81</v>
      </c>
    </row>
    <row r="439" spans="1:6" x14ac:dyDescent="0.25">
      <c r="A439">
        <f>'2020_B5'!A31</f>
        <v>352</v>
      </c>
      <c r="B439">
        <f>'2020_B5'!$K$5</f>
        <v>2014</v>
      </c>
      <c r="C439" t="str">
        <f>'2020_B5'!$G$6</f>
        <v>Deutsche</v>
      </c>
      <c r="D439" t="s">
        <v>4</v>
      </c>
      <c r="E439" t="str">
        <f>VLOOKUP(A439,[1]Kreise!$A$1:$C$53,3,FALSE)</f>
        <v>K03352</v>
      </c>
      <c r="F439">
        <f>'2020_B5'!K31</f>
        <v>122</v>
      </c>
    </row>
    <row r="440" spans="1:6" x14ac:dyDescent="0.25">
      <c r="A440">
        <f>'2020_B5'!A32</f>
        <v>353</v>
      </c>
      <c r="B440">
        <f>'2020_B5'!$K$5</f>
        <v>2014</v>
      </c>
      <c r="C440" t="str">
        <f>'2020_B5'!$G$6</f>
        <v>Deutsche</v>
      </c>
      <c r="D440" t="s">
        <v>4</v>
      </c>
      <c r="E440" t="str">
        <f>VLOOKUP(A440,[1]Kreise!$A$1:$C$53,3,FALSE)</f>
        <v>K03353</v>
      </c>
      <c r="F440">
        <f>'2020_B5'!K32</f>
        <v>61</v>
      </c>
    </row>
    <row r="441" spans="1:6" x14ac:dyDescent="0.25">
      <c r="A441">
        <f>'2020_B5'!A33</f>
        <v>354</v>
      </c>
      <c r="B441">
        <f>'2020_B5'!$K$5</f>
        <v>2014</v>
      </c>
      <c r="C441" t="str">
        <f>'2020_B5'!$G$6</f>
        <v>Deutsche</v>
      </c>
      <c r="D441" t="s">
        <v>4</v>
      </c>
      <c r="E441" t="str">
        <f>VLOOKUP(A441,[1]Kreise!$A$1:$C$53,3,FALSE)</f>
        <v>K03354</v>
      </c>
      <c r="F441">
        <f>'2020_B5'!K33</f>
        <v>34</v>
      </c>
    </row>
    <row r="442" spans="1:6" x14ac:dyDescent="0.25">
      <c r="A442">
        <f>'2020_B5'!A34</f>
        <v>355</v>
      </c>
      <c r="B442">
        <f>'2020_B5'!$K$5</f>
        <v>2014</v>
      </c>
      <c r="C442" t="str">
        <f>'2020_B5'!$G$6</f>
        <v>Deutsche</v>
      </c>
      <c r="D442" t="s">
        <v>4</v>
      </c>
      <c r="E442" t="str">
        <f>VLOOKUP(A442,[1]Kreise!$A$1:$C$53,3,FALSE)</f>
        <v>K03355</v>
      </c>
      <c r="F442">
        <f>'2020_B5'!K34</f>
        <v>67</v>
      </c>
    </row>
    <row r="443" spans="1:6" x14ac:dyDescent="0.25">
      <c r="A443">
        <f>'2020_B5'!A35</f>
        <v>356</v>
      </c>
      <c r="B443">
        <f>'2020_B5'!$K$5</f>
        <v>2014</v>
      </c>
      <c r="C443" t="str">
        <f>'2020_B5'!$G$6</f>
        <v>Deutsche</v>
      </c>
      <c r="D443" t="s">
        <v>4</v>
      </c>
      <c r="E443" t="str">
        <f>VLOOKUP(A443,[1]Kreise!$A$1:$C$53,3,FALSE)</f>
        <v>K03356</v>
      </c>
      <c r="F443">
        <f>'2020_B5'!K35</f>
        <v>59</v>
      </c>
    </row>
    <row r="444" spans="1:6" x14ac:dyDescent="0.25">
      <c r="A444">
        <f>'2020_B5'!A36</f>
        <v>357</v>
      </c>
      <c r="B444">
        <f>'2020_B5'!$K$5</f>
        <v>2014</v>
      </c>
      <c r="C444" t="str">
        <f>'2020_B5'!$G$6</f>
        <v>Deutsche</v>
      </c>
      <c r="D444" t="s">
        <v>4</v>
      </c>
      <c r="E444" t="str">
        <f>VLOOKUP(A444,[1]Kreise!$A$1:$C$53,3,FALSE)</f>
        <v>K03357</v>
      </c>
      <c r="F444">
        <f>'2020_B5'!K36</f>
        <v>91</v>
      </c>
    </row>
    <row r="445" spans="1:6" x14ac:dyDescent="0.25">
      <c r="A445">
        <f>'2020_B5'!A37</f>
        <v>358</v>
      </c>
      <c r="B445">
        <f>'2020_B5'!$K$5</f>
        <v>2014</v>
      </c>
      <c r="C445" t="str">
        <f>'2020_B5'!$G$6</f>
        <v>Deutsche</v>
      </c>
      <c r="D445" t="s">
        <v>4</v>
      </c>
      <c r="E445" t="str">
        <f>VLOOKUP(A445,[1]Kreise!$A$1:$C$53,3,FALSE)</f>
        <v>K03358</v>
      </c>
      <c r="F445">
        <f>'2020_B5'!K37</f>
        <v>82</v>
      </c>
    </row>
    <row r="446" spans="1:6" x14ac:dyDescent="0.25">
      <c r="A446">
        <f>'2020_B5'!A38</f>
        <v>359</v>
      </c>
      <c r="B446">
        <f>'2020_B5'!$K$5</f>
        <v>2014</v>
      </c>
      <c r="C446" t="str">
        <f>'2020_B5'!$G$6</f>
        <v>Deutsche</v>
      </c>
      <c r="D446" t="s">
        <v>4</v>
      </c>
      <c r="E446" t="str">
        <f>VLOOKUP(A446,[1]Kreise!$A$1:$C$53,3,FALSE)</f>
        <v>K03359</v>
      </c>
      <c r="F446">
        <f>'2020_B5'!K38</f>
        <v>73</v>
      </c>
    </row>
    <row r="447" spans="1:6" x14ac:dyDescent="0.25">
      <c r="A447">
        <f>'2020_B5'!A39</f>
        <v>360</v>
      </c>
      <c r="B447">
        <f>'2020_B5'!$K$5</f>
        <v>2014</v>
      </c>
      <c r="C447" t="str">
        <f>'2020_B5'!$G$6</f>
        <v>Deutsche</v>
      </c>
      <c r="D447" t="s">
        <v>4</v>
      </c>
      <c r="E447" t="str">
        <f>VLOOKUP(A447,[1]Kreise!$A$1:$C$53,3,FALSE)</f>
        <v>K03360</v>
      </c>
      <c r="F447">
        <f>'2020_B5'!K39</f>
        <v>41</v>
      </c>
    </row>
    <row r="448" spans="1:6" x14ac:dyDescent="0.25">
      <c r="A448">
        <f>'2020_B5'!A40</f>
        <v>361</v>
      </c>
      <c r="B448">
        <f>'2020_B5'!$K$5</f>
        <v>2014</v>
      </c>
      <c r="C448" t="str">
        <f>'2020_B5'!$G$6</f>
        <v>Deutsche</v>
      </c>
      <c r="D448" t="s">
        <v>4</v>
      </c>
      <c r="E448" t="str">
        <f>VLOOKUP(A448,[1]Kreise!$A$1:$C$53,3,FALSE)</f>
        <v>K03361</v>
      </c>
      <c r="F448">
        <f>'2020_B5'!K40</f>
        <v>38</v>
      </c>
    </row>
    <row r="449" spans="1:6" x14ac:dyDescent="0.25">
      <c r="A449">
        <f>'2020_B5'!A41</f>
        <v>3</v>
      </c>
      <c r="B449">
        <f>'2020_B5'!$K$5</f>
        <v>2014</v>
      </c>
      <c r="C449" t="str">
        <f>'2020_B5'!$G$6</f>
        <v>Deutsche</v>
      </c>
      <c r="D449" t="s">
        <v>4</v>
      </c>
      <c r="E449" t="str">
        <f>VLOOKUP(A449,[1]Kreise!$A$1:$C$53,3,FALSE)</f>
        <v>K033</v>
      </c>
      <c r="F449">
        <f>'2020_B5'!K41</f>
        <v>749</v>
      </c>
    </row>
    <row r="450" spans="1:6" x14ac:dyDescent="0.25">
      <c r="A450">
        <f>'2020_B5'!A42</f>
        <v>401</v>
      </c>
      <c r="B450">
        <f>'2020_B5'!$K$5</f>
        <v>2014</v>
      </c>
      <c r="C450" t="str">
        <f>'2020_B5'!$G$6</f>
        <v>Deutsche</v>
      </c>
      <c r="D450" t="s">
        <v>4</v>
      </c>
      <c r="E450" t="str">
        <f>VLOOKUP(A450,[1]Kreise!$A$1:$C$53,3,FALSE)</f>
        <v>K03401</v>
      </c>
      <c r="F450">
        <f>'2020_B5'!K42</f>
        <v>39</v>
      </c>
    </row>
    <row r="451" spans="1:6" x14ac:dyDescent="0.25">
      <c r="A451">
        <f>'2020_B5'!A43</f>
        <v>402</v>
      </c>
      <c r="B451">
        <f>'2020_B5'!$K$5</f>
        <v>2014</v>
      </c>
      <c r="C451" t="str">
        <f>'2020_B5'!$G$6</f>
        <v>Deutsche</v>
      </c>
      <c r="D451" t="s">
        <v>4</v>
      </c>
      <c r="E451" t="str">
        <f>VLOOKUP(A451,[1]Kreise!$A$1:$C$53,3,FALSE)</f>
        <v>K03402</v>
      </c>
      <c r="F451">
        <f>'2020_B5'!K43</f>
        <v>56</v>
      </c>
    </row>
    <row r="452" spans="1:6" x14ac:dyDescent="0.25">
      <c r="A452">
        <f>'2020_B5'!A44</f>
        <v>403</v>
      </c>
      <c r="B452">
        <f>'2020_B5'!$K$5</f>
        <v>2014</v>
      </c>
      <c r="C452" t="str">
        <f>'2020_B5'!$G$6</f>
        <v>Deutsche</v>
      </c>
      <c r="D452" t="s">
        <v>4</v>
      </c>
      <c r="E452" t="str">
        <f>VLOOKUP(A452,[1]Kreise!$A$1:$C$53,3,FALSE)</f>
        <v>K03403</v>
      </c>
      <c r="F452">
        <f>'2020_B5'!K44</f>
        <v>83</v>
      </c>
    </row>
    <row r="453" spans="1:6" x14ac:dyDescent="0.25">
      <c r="A453">
        <f>'2020_B5'!A45</f>
        <v>404</v>
      </c>
      <c r="B453">
        <f>'2020_B5'!$K$5</f>
        <v>2014</v>
      </c>
      <c r="C453" t="str">
        <f>'2020_B5'!$G$6</f>
        <v>Deutsche</v>
      </c>
      <c r="D453" t="s">
        <v>4</v>
      </c>
      <c r="E453" t="str">
        <f>VLOOKUP(A453,[1]Kreise!$A$1:$C$53,3,FALSE)</f>
        <v>K03404</v>
      </c>
      <c r="F453">
        <f>'2020_B5'!K45</f>
        <v>76</v>
      </c>
    </row>
    <row r="454" spans="1:6" x14ac:dyDescent="0.25">
      <c r="A454">
        <f>'2020_B5'!A46</f>
        <v>405</v>
      </c>
      <c r="B454">
        <f>'2020_B5'!$K$5</f>
        <v>2014</v>
      </c>
      <c r="C454" t="str">
        <f>'2020_B5'!$G$6</f>
        <v>Deutsche</v>
      </c>
      <c r="D454" t="s">
        <v>4</v>
      </c>
      <c r="E454" t="str">
        <f>VLOOKUP(A454,[1]Kreise!$A$1:$C$53,3,FALSE)</f>
        <v>K03405</v>
      </c>
      <c r="F454">
        <f>'2020_B5'!K46</f>
        <v>26</v>
      </c>
    </row>
    <row r="455" spans="1:6" x14ac:dyDescent="0.25">
      <c r="A455">
        <f>'2020_B5'!A47</f>
        <v>451</v>
      </c>
      <c r="B455">
        <f>'2020_B5'!$K$5</f>
        <v>2014</v>
      </c>
      <c r="C455" t="str">
        <f>'2020_B5'!$G$6</f>
        <v>Deutsche</v>
      </c>
      <c r="D455" t="s">
        <v>4</v>
      </c>
      <c r="E455" t="str">
        <f>VLOOKUP(A455,[1]Kreise!$A$1:$C$53,3,FALSE)</f>
        <v>K03451</v>
      </c>
      <c r="F455">
        <f>'2020_B5'!K47</f>
        <v>45</v>
      </c>
    </row>
    <row r="456" spans="1:6" x14ac:dyDescent="0.25">
      <c r="A456">
        <f>'2020_B5'!A48</f>
        <v>452</v>
      </c>
      <c r="B456">
        <f>'2020_B5'!$K$5</f>
        <v>2014</v>
      </c>
      <c r="C456" t="str">
        <f>'2020_B5'!$G$6</f>
        <v>Deutsche</v>
      </c>
      <c r="D456" t="s">
        <v>4</v>
      </c>
      <c r="E456" t="str">
        <f>VLOOKUP(A456,[1]Kreise!$A$1:$C$53,3,FALSE)</f>
        <v>K03452</v>
      </c>
      <c r="F456">
        <f>'2020_B5'!K48</f>
        <v>187</v>
      </c>
    </row>
    <row r="457" spans="1:6" x14ac:dyDescent="0.25">
      <c r="A457">
        <f>'2020_B5'!A49</f>
        <v>453</v>
      </c>
      <c r="B457">
        <f>'2020_B5'!$K$5</f>
        <v>2014</v>
      </c>
      <c r="C457" t="str">
        <f>'2020_B5'!$G$6</f>
        <v>Deutsche</v>
      </c>
      <c r="D457" t="s">
        <v>4</v>
      </c>
      <c r="E457" t="str">
        <f>VLOOKUP(A457,[1]Kreise!$A$1:$C$53,3,FALSE)</f>
        <v>K03453</v>
      </c>
      <c r="F457">
        <f>'2020_B5'!K49</f>
        <v>78</v>
      </c>
    </row>
    <row r="458" spans="1:6" x14ac:dyDescent="0.25">
      <c r="A458">
        <f>'2020_B5'!A50</f>
        <v>454</v>
      </c>
      <c r="B458">
        <f>'2020_B5'!$K$5</f>
        <v>2014</v>
      </c>
      <c r="C458" t="str">
        <f>'2020_B5'!$G$6</f>
        <v>Deutsche</v>
      </c>
      <c r="D458" t="s">
        <v>4</v>
      </c>
      <c r="E458" t="str">
        <f>VLOOKUP(A458,[1]Kreise!$A$1:$C$53,3,FALSE)</f>
        <v>K03454</v>
      </c>
      <c r="F458">
        <f>'2020_B5'!K50</f>
        <v>183</v>
      </c>
    </row>
    <row r="459" spans="1:6" x14ac:dyDescent="0.25">
      <c r="A459">
        <f>'2020_B5'!A51</f>
        <v>455</v>
      </c>
      <c r="B459">
        <f>'2020_B5'!$K$5</f>
        <v>2014</v>
      </c>
      <c r="C459" t="str">
        <f>'2020_B5'!$G$6</f>
        <v>Deutsche</v>
      </c>
      <c r="D459" t="s">
        <v>4</v>
      </c>
      <c r="E459" t="str">
        <f>VLOOKUP(A459,[1]Kreise!$A$1:$C$53,3,FALSE)</f>
        <v>K03455</v>
      </c>
      <c r="F459">
        <f>'2020_B5'!K51</f>
        <v>38</v>
      </c>
    </row>
    <row r="460" spans="1:6" x14ac:dyDescent="0.25">
      <c r="A460">
        <f>'2020_B5'!A52</f>
        <v>456</v>
      </c>
      <c r="B460">
        <f>'2020_B5'!$K$5</f>
        <v>2014</v>
      </c>
      <c r="C460" t="str">
        <f>'2020_B5'!$G$6</f>
        <v>Deutsche</v>
      </c>
      <c r="D460" t="s">
        <v>4</v>
      </c>
      <c r="E460" t="str">
        <f>VLOOKUP(A460,[1]Kreise!$A$1:$C$53,3,FALSE)</f>
        <v>K03456</v>
      </c>
      <c r="F460">
        <f>'2020_B5'!K52</f>
        <v>67</v>
      </c>
    </row>
    <row r="461" spans="1:6" x14ac:dyDescent="0.25">
      <c r="A461">
        <f>'2020_B5'!A53</f>
        <v>457</v>
      </c>
      <c r="B461">
        <f>'2020_B5'!$K$5</f>
        <v>2014</v>
      </c>
      <c r="C461" t="str">
        <f>'2020_B5'!$G$6</f>
        <v>Deutsche</v>
      </c>
      <c r="D461" t="s">
        <v>4</v>
      </c>
      <c r="E461" t="str">
        <f>VLOOKUP(A461,[1]Kreise!$A$1:$C$53,3,FALSE)</f>
        <v>K03457</v>
      </c>
      <c r="F461">
        <f>'2020_B5'!K53</f>
        <v>115</v>
      </c>
    </row>
    <row r="462" spans="1:6" x14ac:dyDescent="0.25">
      <c r="A462">
        <f>'2020_B5'!A54</f>
        <v>458</v>
      </c>
      <c r="B462">
        <f>'2020_B5'!$K$5</f>
        <v>2014</v>
      </c>
      <c r="C462" t="str">
        <f>'2020_B5'!$G$6</f>
        <v>Deutsche</v>
      </c>
      <c r="D462" t="s">
        <v>4</v>
      </c>
      <c r="E462" t="str">
        <f>VLOOKUP(A462,[1]Kreise!$A$1:$C$53,3,FALSE)</f>
        <v>K03458</v>
      </c>
      <c r="F462">
        <f>'2020_B5'!K54</f>
        <v>54</v>
      </c>
    </row>
    <row r="463" spans="1:6" x14ac:dyDescent="0.25">
      <c r="A463">
        <f>'2020_B5'!A55</f>
        <v>459</v>
      </c>
      <c r="B463">
        <f>'2020_B5'!$K$5</f>
        <v>2014</v>
      </c>
      <c r="C463" t="str">
        <f>'2020_B5'!$G$6</f>
        <v>Deutsche</v>
      </c>
      <c r="D463" t="s">
        <v>4</v>
      </c>
      <c r="E463" t="str">
        <f>VLOOKUP(A463,[1]Kreise!$A$1:$C$53,3,FALSE)</f>
        <v>K03459</v>
      </c>
      <c r="F463">
        <f>'2020_B5'!K55</f>
        <v>151</v>
      </c>
    </row>
    <row r="464" spans="1:6" x14ac:dyDescent="0.25">
      <c r="A464">
        <f>'2020_B5'!A56</f>
        <v>460</v>
      </c>
      <c r="B464">
        <f>'2020_B5'!$K$5</f>
        <v>2014</v>
      </c>
      <c r="C464" t="str">
        <f>'2020_B5'!$G$6</f>
        <v>Deutsche</v>
      </c>
      <c r="D464" t="s">
        <v>4</v>
      </c>
      <c r="E464" t="str">
        <f>VLOOKUP(A464,[1]Kreise!$A$1:$C$53,3,FALSE)</f>
        <v>K03460</v>
      </c>
      <c r="F464">
        <f>'2020_B5'!K56</f>
        <v>75</v>
      </c>
    </row>
    <row r="465" spans="1:6" x14ac:dyDescent="0.25">
      <c r="A465">
        <f>'2020_B5'!A57</f>
        <v>461</v>
      </c>
      <c r="B465">
        <f>'2020_B5'!$K$5</f>
        <v>2014</v>
      </c>
      <c r="C465" t="str">
        <f>'2020_B5'!$G$6</f>
        <v>Deutsche</v>
      </c>
      <c r="D465" t="s">
        <v>4</v>
      </c>
      <c r="E465" t="str">
        <f>VLOOKUP(A465,[1]Kreise!$A$1:$C$53,3,FALSE)</f>
        <v>K03461</v>
      </c>
      <c r="F465">
        <f>'2020_B5'!K57</f>
        <v>45</v>
      </c>
    </row>
    <row r="466" spans="1:6" x14ac:dyDescent="0.25">
      <c r="A466">
        <f>'2020_B5'!A58</f>
        <v>462</v>
      </c>
      <c r="B466">
        <f>'2020_B5'!$K$5</f>
        <v>2014</v>
      </c>
      <c r="C466" t="str">
        <f>'2020_B5'!$G$6</f>
        <v>Deutsche</v>
      </c>
      <c r="D466" t="s">
        <v>4</v>
      </c>
      <c r="E466" t="str">
        <f>VLOOKUP(A466,[1]Kreise!$A$1:$C$53,3,FALSE)</f>
        <v>K03462</v>
      </c>
      <c r="F466">
        <f>'2020_B5'!K58</f>
        <v>26</v>
      </c>
    </row>
    <row r="467" spans="1:6" x14ac:dyDescent="0.25">
      <c r="A467">
        <f>'2020_B5'!A59</f>
        <v>4</v>
      </c>
      <c r="B467">
        <f>'2020_B5'!$K$5</f>
        <v>2014</v>
      </c>
      <c r="C467" t="str">
        <f>'2020_B5'!$G$6</f>
        <v>Deutsche</v>
      </c>
      <c r="D467" t="s">
        <v>4</v>
      </c>
      <c r="E467" t="str">
        <f>VLOOKUP(A467,[1]Kreise!$A$1:$C$53,3,FALSE)</f>
        <v>K034</v>
      </c>
      <c r="F467">
        <f>'2020_B5'!K59</f>
        <v>1344</v>
      </c>
    </row>
    <row r="468" spans="1:6" x14ac:dyDescent="0.25">
      <c r="A468">
        <f>'2020_B5'!A60</f>
        <v>0</v>
      </c>
      <c r="B468">
        <f>'2020_B5'!$K$5</f>
        <v>2014</v>
      </c>
      <c r="C468" t="str">
        <f>'2020_B5'!$G$6</f>
        <v>Deutsche</v>
      </c>
      <c r="D468" t="s">
        <v>4</v>
      </c>
      <c r="E468" t="str">
        <f>VLOOKUP(A468,[1]Kreise!$A$1:$C$53,3,FALSE)</f>
        <v>K030</v>
      </c>
      <c r="F468">
        <f>'2020_B5'!K60</f>
        <v>3586</v>
      </c>
    </row>
    <row r="469" spans="1:6" x14ac:dyDescent="0.25">
      <c r="A469">
        <f>'2020_B5'!A9</f>
        <v>101</v>
      </c>
      <c r="B469">
        <f>'2020_B5'!$K$5</f>
        <v>2014</v>
      </c>
      <c r="C469" t="str">
        <f>'2020_B5'!$L$6</f>
        <v>Ausländerinnen und Ausländer</v>
      </c>
      <c r="D469" t="s">
        <v>4</v>
      </c>
      <c r="E469" t="str">
        <f>VLOOKUP(A469,[1]Kreise!$A$1:$C$53,3,FALSE)</f>
        <v>K03101</v>
      </c>
      <c r="F469">
        <f>'2020_B5'!L9</f>
        <v>25</v>
      </c>
    </row>
    <row r="470" spans="1:6" x14ac:dyDescent="0.25">
      <c r="A470">
        <f>'2020_B5'!A10</f>
        <v>102</v>
      </c>
      <c r="B470">
        <f>'2020_B5'!$K$5</f>
        <v>2014</v>
      </c>
      <c r="C470" t="str">
        <f>'2020_B5'!$L$6</f>
        <v>Ausländerinnen und Ausländer</v>
      </c>
      <c r="D470" t="s">
        <v>4</v>
      </c>
      <c r="E470" t="str">
        <f>VLOOKUP(A470,[1]Kreise!$A$1:$C$53,3,FALSE)</f>
        <v>K03102</v>
      </c>
      <c r="F470">
        <f>'2020_B5'!L10</f>
        <v>16</v>
      </c>
    </row>
    <row r="471" spans="1:6" x14ac:dyDescent="0.25">
      <c r="A471">
        <f>'2020_B5'!A11</f>
        <v>103</v>
      </c>
      <c r="B471">
        <f>'2020_B5'!$K$5</f>
        <v>2014</v>
      </c>
      <c r="C471" t="str">
        <f>'2020_B5'!$L$6</f>
        <v>Ausländerinnen und Ausländer</v>
      </c>
      <c r="D471" t="s">
        <v>4</v>
      </c>
      <c r="E471" t="str">
        <f>VLOOKUP(A471,[1]Kreise!$A$1:$C$53,3,FALSE)</f>
        <v>K03103</v>
      </c>
      <c r="F471">
        <f>'2020_B5'!L11</f>
        <v>10</v>
      </c>
    </row>
    <row r="472" spans="1:6" x14ac:dyDescent="0.25">
      <c r="A472">
        <f>'2020_B5'!A12</f>
        <v>151</v>
      </c>
      <c r="B472">
        <f>'2020_B5'!$K$5</f>
        <v>2014</v>
      </c>
      <c r="C472" t="str">
        <f>'2020_B5'!$L$6</f>
        <v>Ausländerinnen und Ausländer</v>
      </c>
      <c r="D472" t="s">
        <v>4</v>
      </c>
      <c r="E472" t="str">
        <f>VLOOKUP(A472,[1]Kreise!$A$1:$C$53,3,FALSE)</f>
        <v>K03151</v>
      </c>
      <c r="F472">
        <f>'2020_B5'!L12</f>
        <v>6</v>
      </c>
    </row>
    <row r="473" spans="1:6" x14ac:dyDescent="0.25">
      <c r="A473">
        <f>'2020_B5'!A13</f>
        <v>153</v>
      </c>
      <c r="B473">
        <f>'2020_B5'!$K$5</f>
        <v>2014</v>
      </c>
      <c r="C473" t="str">
        <f>'2020_B5'!$L$6</f>
        <v>Ausländerinnen und Ausländer</v>
      </c>
      <c r="D473" t="s">
        <v>4</v>
      </c>
      <c r="E473" t="str">
        <f>VLOOKUP(A473,[1]Kreise!$A$1:$C$53,3,FALSE)</f>
        <v>K03153</v>
      </c>
      <c r="F473">
        <f>'2020_B5'!L13</f>
        <v>13</v>
      </c>
    </row>
    <row r="474" spans="1:6" x14ac:dyDescent="0.25">
      <c r="A474">
        <f>'2020_B5'!A14</f>
        <v>154</v>
      </c>
      <c r="B474">
        <f>'2020_B5'!$K$5</f>
        <v>2014</v>
      </c>
      <c r="C474" t="str">
        <f>'2020_B5'!$L$6</f>
        <v>Ausländerinnen und Ausländer</v>
      </c>
      <c r="D474" t="s">
        <v>4</v>
      </c>
      <c r="E474" t="str">
        <f>VLOOKUP(A474,[1]Kreise!$A$1:$C$53,3,FALSE)</f>
        <v>K03154</v>
      </c>
      <c r="F474">
        <f>'2020_B5'!L14</f>
        <v>6</v>
      </c>
    </row>
    <row r="475" spans="1:6" x14ac:dyDescent="0.25">
      <c r="A475">
        <f>'2020_B5'!A15</f>
        <v>155</v>
      </c>
      <c r="B475">
        <f>'2020_B5'!$K$5</f>
        <v>2014</v>
      </c>
      <c r="C475" t="str">
        <f>'2020_B5'!$L$6</f>
        <v>Ausländerinnen und Ausländer</v>
      </c>
      <c r="D475" t="s">
        <v>4</v>
      </c>
      <c r="E475" t="str">
        <f>VLOOKUP(A475,[1]Kreise!$A$1:$C$53,3,FALSE)</f>
        <v>K03155</v>
      </c>
      <c r="F475">
        <f>'2020_B5'!L15</f>
        <v>20</v>
      </c>
    </row>
    <row r="476" spans="1:6" x14ac:dyDescent="0.25">
      <c r="A476">
        <f>'2020_B5'!A16</f>
        <v>157</v>
      </c>
      <c r="B476">
        <f>'2020_B5'!$K$5</f>
        <v>2014</v>
      </c>
      <c r="C476" t="str">
        <f>'2020_B5'!$L$6</f>
        <v>Ausländerinnen und Ausländer</v>
      </c>
      <c r="D476" t="s">
        <v>4</v>
      </c>
      <c r="E476" t="str">
        <f>VLOOKUP(A476,[1]Kreise!$A$1:$C$53,3,FALSE)</f>
        <v>K03157</v>
      </c>
      <c r="F476">
        <f>'2020_B5'!L16</f>
        <v>11</v>
      </c>
    </row>
    <row r="477" spans="1:6" x14ac:dyDescent="0.25">
      <c r="A477">
        <f>'2020_B5'!A17</f>
        <v>158</v>
      </c>
      <c r="B477">
        <f>'2020_B5'!$K$5</f>
        <v>2014</v>
      </c>
      <c r="C477" t="str">
        <f>'2020_B5'!$L$6</f>
        <v>Ausländerinnen und Ausländer</v>
      </c>
      <c r="D477" t="s">
        <v>4</v>
      </c>
      <c r="E477" t="str">
        <f>VLOOKUP(A477,[1]Kreise!$A$1:$C$53,3,FALSE)</f>
        <v>K03158</v>
      </c>
      <c r="F477">
        <f>'2020_B5'!L17</f>
        <v>11</v>
      </c>
    </row>
    <row r="478" spans="1:6" x14ac:dyDescent="0.25">
      <c r="A478">
        <f>'2020_B5'!A18</f>
        <v>159</v>
      </c>
      <c r="B478">
        <f>'2020_B5'!$K$5</f>
        <v>2014</v>
      </c>
      <c r="C478" t="str">
        <f>'2020_B5'!$L$6</f>
        <v>Ausländerinnen und Ausländer</v>
      </c>
      <c r="D478" t="s">
        <v>4</v>
      </c>
      <c r="E478" t="str">
        <f>VLOOKUP(A478,[1]Kreise!$A$1:$C$53,3,FALSE)</f>
        <v>K03159</v>
      </c>
      <c r="F478">
        <f>'2020_B5'!L18</f>
        <v>21</v>
      </c>
    </row>
    <row r="479" spans="1:6" x14ac:dyDescent="0.25">
      <c r="A479">
        <f>'2020_B5'!A19</f>
        <v>1</v>
      </c>
      <c r="B479">
        <f>'2020_B5'!$K$5</f>
        <v>2014</v>
      </c>
      <c r="C479" t="str">
        <f>'2020_B5'!$L$6</f>
        <v>Ausländerinnen und Ausländer</v>
      </c>
      <c r="D479" t="s">
        <v>4</v>
      </c>
      <c r="E479" t="str">
        <f>VLOOKUP(A479,[1]Kreise!$A$1:$C$53,3,FALSE)</f>
        <v>K031</v>
      </c>
      <c r="F479">
        <f>'2020_B5'!L19</f>
        <v>140</v>
      </c>
    </row>
    <row r="480" spans="1:6" x14ac:dyDescent="0.25">
      <c r="A480">
        <f>'2020_B5'!A20</f>
        <v>241</v>
      </c>
      <c r="B480">
        <f>'2020_B5'!$K$5</f>
        <v>2014</v>
      </c>
      <c r="C480" t="str">
        <f>'2020_B5'!$L$6</f>
        <v>Ausländerinnen und Ausländer</v>
      </c>
      <c r="D480" t="s">
        <v>4</v>
      </c>
      <c r="E480" t="str">
        <f>VLOOKUP(A480,[1]Kreise!$A$1:$C$53,3,FALSE)</f>
        <v>K03241</v>
      </c>
      <c r="F480">
        <f>'2020_B5'!L20</f>
        <v>131</v>
      </c>
    </row>
    <row r="481" spans="1:6" x14ac:dyDescent="0.25">
      <c r="A481">
        <f>'2020_B5'!A21</f>
        <v>241001</v>
      </c>
      <c r="B481">
        <f>'2020_B5'!$K$5</f>
        <v>2014</v>
      </c>
      <c r="C481" t="str">
        <f>'2020_B5'!$L$6</f>
        <v>Ausländerinnen und Ausländer</v>
      </c>
      <c r="D481" t="s">
        <v>4</v>
      </c>
      <c r="E481" t="str">
        <f>VLOOKUP(A481,[1]Kreise!$A$1:$C$53,3,FALSE)</f>
        <v>K03241001</v>
      </c>
      <c r="F481">
        <f>'2020_B5'!L21</f>
        <v>74</v>
      </c>
    </row>
    <row r="482" spans="1:6" x14ac:dyDescent="0.25">
      <c r="A482">
        <f>'2020_B5'!A22</f>
        <v>241999</v>
      </c>
      <c r="B482">
        <f>'2020_B5'!$K$5</f>
        <v>2014</v>
      </c>
      <c r="C482" t="str">
        <f>'2020_B5'!$L$6</f>
        <v>Ausländerinnen und Ausländer</v>
      </c>
      <c r="D482" t="s">
        <v>4</v>
      </c>
      <c r="E482" t="str">
        <f>VLOOKUP(A482,[1]Kreise!$A$1:$C$53,3,FALSE)</f>
        <v>K03241999</v>
      </c>
      <c r="F482">
        <f>'2020_B5'!L22</f>
        <v>57</v>
      </c>
    </row>
    <row r="483" spans="1:6" x14ac:dyDescent="0.25">
      <c r="A483">
        <f>'2020_B5'!A23</f>
        <v>251</v>
      </c>
      <c r="B483">
        <f>'2020_B5'!$K$5</f>
        <v>2014</v>
      </c>
      <c r="C483" t="str">
        <f>'2020_B5'!$L$6</f>
        <v>Ausländerinnen und Ausländer</v>
      </c>
      <c r="D483" t="s">
        <v>4</v>
      </c>
      <c r="E483" t="str">
        <f>VLOOKUP(A483,[1]Kreise!$A$1:$C$53,3,FALSE)</f>
        <v>K03251</v>
      </c>
      <c r="F483">
        <f>'2020_B5'!L23</f>
        <v>9</v>
      </c>
    </row>
    <row r="484" spans="1:6" x14ac:dyDescent="0.25">
      <c r="A484">
        <f>'2020_B5'!A24</f>
        <v>252</v>
      </c>
      <c r="B484">
        <f>'2020_B5'!$K$5</f>
        <v>2014</v>
      </c>
      <c r="C484" t="str">
        <f>'2020_B5'!$L$6</f>
        <v>Ausländerinnen und Ausländer</v>
      </c>
      <c r="D484" t="s">
        <v>4</v>
      </c>
      <c r="E484" t="str">
        <f>VLOOKUP(A484,[1]Kreise!$A$1:$C$53,3,FALSE)</f>
        <v>K03252</v>
      </c>
      <c r="F484">
        <f>'2020_B5'!L24</f>
        <v>10</v>
      </c>
    </row>
    <row r="485" spans="1:6" x14ac:dyDescent="0.25">
      <c r="A485">
        <f>'2020_B5'!A25</f>
        <v>254</v>
      </c>
      <c r="B485">
        <f>'2020_B5'!$K$5</f>
        <v>2014</v>
      </c>
      <c r="C485" t="str">
        <f>'2020_B5'!$L$6</f>
        <v>Ausländerinnen und Ausländer</v>
      </c>
      <c r="D485" t="s">
        <v>4</v>
      </c>
      <c r="E485" t="str">
        <f>VLOOKUP(A485,[1]Kreise!$A$1:$C$53,3,FALSE)</f>
        <v>K03254</v>
      </c>
      <c r="F485">
        <f>'2020_B5'!L25</f>
        <v>23</v>
      </c>
    </row>
    <row r="486" spans="1:6" x14ac:dyDescent="0.25">
      <c r="A486">
        <f>'2020_B5'!A26</f>
        <v>255</v>
      </c>
      <c r="B486">
        <f>'2020_B5'!$K$5</f>
        <v>2014</v>
      </c>
      <c r="C486" t="str">
        <f>'2020_B5'!$L$6</f>
        <v>Ausländerinnen und Ausländer</v>
      </c>
      <c r="D486" t="s">
        <v>4</v>
      </c>
      <c r="E486" t="str">
        <f>VLOOKUP(A486,[1]Kreise!$A$1:$C$53,3,FALSE)</f>
        <v>K03255</v>
      </c>
      <c r="F486">
        <f>'2020_B5'!L26</f>
        <v>3</v>
      </c>
    </row>
    <row r="487" spans="1:6" x14ac:dyDescent="0.25">
      <c r="A487">
        <f>'2020_B5'!A27</f>
        <v>256</v>
      </c>
      <c r="B487">
        <f>'2020_B5'!$K$5</f>
        <v>2014</v>
      </c>
      <c r="C487" t="str">
        <f>'2020_B5'!$L$6</f>
        <v>Ausländerinnen und Ausländer</v>
      </c>
      <c r="D487" t="s">
        <v>4</v>
      </c>
      <c r="E487" t="str">
        <f>VLOOKUP(A487,[1]Kreise!$A$1:$C$53,3,FALSE)</f>
        <v>K03256</v>
      </c>
      <c r="F487">
        <f>'2020_B5'!L27</f>
        <v>24</v>
      </c>
    </row>
    <row r="488" spans="1:6" x14ac:dyDescent="0.25">
      <c r="A488">
        <f>'2020_B5'!A28</f>
        <v>257</v>
      </c>
      <c r="B488">
        <f>'2020_B5'!$K$5</f>
        <v>2014</v>
      </c>
      <c r="C488" t="str">
        <f>'2020_B5'!$L$6</f>
        <v>Ausländerinnen und Ausländer</v>
      </c>
      <c r="D488" t="s">
        <v>4</v>
      </c>
      <c r="E488" t="str">
        <f>VLOOKUP(A488,[1]Kreise!$A$1:$C$53,3,FALSE)</f>
        <v>K03257</v>
      </c>
      <c r="F488">
        <f>'2020_B5'!L28</f>
        <v>1</v>
      </c>
    </row>
    <row r="489" spans="1:6" x14ac:dyDescent="0.25">
      <c r="A489">
        <f>'2020_B5'!A29</f>
        <v>2</v>
      </c>
      <c r="B489">
        <f>'2020_B5'!$K$5</f>
        <v>2014</v>
      </c>
      <c r="C489" t="str">
        <f>'2020_B5'!$L$6</f>
        <v>Ausländerinnen und Ausländer</v>
      </c>
      <c r="D489" t="s">
        <v>4</v>
      </c>
      <c r="E489" t="str">
        <f>VLOOKUP(A489,[1]Kreise!$A$1:$C$53,3,FALSE)</f>
        <v>K032</v>
      </c>
      <c r="F489">
        <f>'2020_B5'!L29</f>
        <v>201</v>
      </c>
    </row>
    <row r="490" spans="1:6" x14ac:dyDescent="0.25">
      <c r="A490">
        <f>'2020_B5'!A30</f>
        <v>351</v>
      </c>
      <c r="B490">
        <f>'2020_B5'!$K$5</f>
        <v>2014</v>
      </c>
      <c r="C490" t="str">
        <f>'2020_B5'!$L$6</f>
        <v>Ausländerinnen und Ausländer</v>
      </c>
      <c r="D490" t="s">
        <v>4</v>
      </c>
      <c r="E490" t="str">
        <f>VLOOKUP(A490,[1]Kreise!$A$1:$C$53,3,FALSE)</f>
        <v>K03351</v>
      </c>
      <c r="F490">
        <f>'2020_B5'!L30</f>
        <v>11</v>
      </c>
    </row>
    <row r="491" spans="1:6" x14ac:dyDescent="0.25">
      <c r="A491">
        <f>'2020_B5'!A31</f>
        <v>352</v>
      </c>
      <c r="B491">
        <f>'2020_B5'!$K$5</f>
        <v>2014</v>
      </c>
      <c r="C491" t="str">
        <f>'2020_B5'!$L$6</f>
        <v>Ausländerinnen und Ausländer</v>
      </c>
      <c r="D491" t="s">
        <v>4</v>
      </c>
      <c r="E491" t="str">
        <f>VLOOKUP(A491,[1]Kreise!$A$1:$C$53,3,FALSE)</f>
        <v>K03352</v>
      </c>
      <c r="F491">
        <f>'2020_B5'!L31</f>
        <v>16</v>
      </c>
    </row>
    <row r="492" spans="1:6" x14ac:dyDescent="0.25">
      <c r="A492">
        <f>'2020_B5'!A32</f>
        <v>353</v>
      </c>
      <c r="B492">
        <f>'2020_B5'!$K$5</f>
        <v>2014</v>
      </c>
      <c r="C492" t="str">
        <f>'2020_B5'!$L$6</f>
        <v>Ausländerinnen und Ausländer</v>
      </c>
      <c r="D492" t="s">
        <v>4</v>
      </c>
      <c r="E492" t="str">
        <f>VLOOKUP(A492,[1]Kreise!$A$1:$C$53,3,FALSE)</f>
        <v>K03353</v>
      </c>
      <c r="F492">
        <f>'2020_B5'!L32</f>
        <v>11</v>
      </c>
    </row>
    <row r="493" spans="1:6" x14ac:dyDescent="0.25">
      <c r="A493">
        <f>'2020_B5'!A33</f>
        <v>354</v>
      </c>
      <c r="B493">
        <f>'2020_B5'!$K$5</f>
        <v>2014</v>
      </c>
      <c r="C493" t="str">
        <f>'2020_B5'!$L$6</f>
        <v>Ausländerinnen und Ausländer</v>
      </c>
      <c r="D493" t="s">
        <v>4</v>
      </c>
      <c r="E493" t="str">
        <f>VLOOKUP(A493,[1]Kreise!$A$1:$C$53,3,FALSE)</f>
        <v>K03354</v>
      </c>
      <c r="F493">
        <f>'2020_B5'!L33</f>
        <v>6</v>
      </c>
    </row>
    <row r="494" spans="1:6" x14ac:dyDescent="0.25">
      <c r="A494">
        <f>'2020_B5'!A34</f>
        <v>355</v>
      </c>
      <c r="B494">
        <f>'2020_B5'!$K$5</f>
        <v>2014</v>
      </c>
      <c r="C494" t="str">
        <f>'2020_B5'!$L$6</f>
        <v>Ausländerinnen und Ausländer</v>
      </c>
      <c r="D494" t="s">
        <v>4</v>
      </c>
      <c r="E494" t="str">
        <f>VLOOKUP(A494,[1]Kreise!$A$1:$C$53,3,FALSE)</f>
        <v>K03355</v>
      </c>
      <c r="F494">
        <f>'2020_B5'!L34</f>
        <v>5</v>
      </c>
    </row>
    <row r="495" spans="1:6" x14ac:dyDescent="0.25">
      <c r="A495">
        <f>'2020_B5'!A35</f>
        <v>356</v>
      </c>
      <c r="B495">
        <f>'2020_B5'!$K$5</f>
        <v>2014</v>
      </c>
      <c r="C495" t="str">
        <f>'2020_B5'!$L$6</f>
        <v>Ausländerinnen und Ausländer</v>
      </c>
      <c r="D495" t="s">
        <v>4</v>
      </c>
      <c r="E495" t="str">
        <f>VLOOKUP(A495,[1]Kreise!$A$1:$C$53,3,FALSE)</f>
        <v>K03356</v>
      </c>
      <c r="F495">
        <f>'2020_B5'!L35</f>
        <v>7</v>
      </c>
    </row>
    <row r="496" spans="1:6" x14ac:dyDescent="0.25">
      <c r="A496">
        <f>'2020_B5'!A36</f>
        <v>357</v>
      </c>
      <c r="B496">
        <f>'2020_B5'!$K$5</f>
        <v>2014</v>
      </c>
      <c r="C496" t="str">
        <f>'2020_B5'!$L$6</f>
        <v>Ausländerinnen und Ausländer</v>
      </c>
      <c r="D496" t="s">
        <v>4</v>
      </c>
      <c r="E496" t="str">
        <f>VLOOKUP(A496,[1]Kreise!$A$1:$C$53,3,FALSE)</f>
        <v>K03357</v>
      </c>
      <c r="F496">
        <f>'2020_B5'!L36</f>
        <v>6</v>
      </c>
    </row>
    <row r="497" spans="1:6" x14ac:dyDescent="0.25">
      <c r="A497">
        <f>'2020_B5'!A37</f>
        <v>358</v>
      </c>
      <c r="B497">
        <f>'2020_B5'!$K$5</f>
        <v>2014</v>
      </c>
      <c r="C497" t="str">
        <f>'2020_B5'!$L$6</f>
        <v>Ausländerinnen und Ausländer</v>
      </c>
      <c r="D497" t="s">
        <v>4</v>
      </c>
      <c r="E497" t="str">
        <f>VLOOKUP(A497,[1]Kreise!$A$1:$C$53,3,FALSE)</f>
        <v>K03358</v>
      </c>
      <c r="F497">
        <f>'2020_B5'!L37</f>
        <v>12</v>
      </c>
    </row>
    <row r="498" spans="1:6" x14ac:dyDescent="0.25">
      <c r="A498">
        <f>'2020_B5'!A38</f>
        <v>359</v>
      </c>
      <c r="B498">
        <f>'2020_B5'!$K$5</f>
        <v>2014</v>
      </c>
      <c r="C498" t="str">
        <f>'2020_B5'!$L$6</f>
        <v>Ausländerinnen und Ausländer</v>
      </c>
      <c r="D498" t="s">
        <v>4</v>
      </c>
      <c r="E498" t="str">
        <f>VLOOKUP(A498,[1]Kreise!$A$1:$C$53,3,FALSE)</f>
        <v>K03359</v>
      </c>
      <c r="F498">
        <f>'2020_B5'!L38</f>
        <v>14</v>
      </c>
    </row>
    <row r="499" spans="1:6" x14ac:dyDescent="0.25">
      <c r="A499">
        <f>'2020_B5'!A39</f>
        <v>360</v>
      </c>
      <c r="B499">
        <f>'2020_B5'!$K$5</f>
        <v>2014</v>
      </c>
      <c r="C499" t="str">
        <f>'2020_B5'!$L$6</f>
        <v>Ausländerinnen und Ausländer</v>
      </c>
      <c r="D499" t="s">
        <v>4</v>
      </c>
      <c r="E499" t="str">
        <f>VLOOKUP(A499,[1]Kreise!$A$1:$C$53,3,FALSE)</f>
        <v>K03360</v>
      </c>
      <c r="F499">
        <f>'2020_B5'!L39</f>
        <v>3</v>
      </c>
    </row>
    <row r="500" spans="1:6" x14ac:dyDescent="0.25">
      <c r="A500">
        <f>'2020_B5'!A40</f>
        <v>361</v>
      </c>
      <c r="B500">
        <f>'2020_B5'!$K$5</f>
        <v>2014</v>
      </c>
      <c r="C500" t="str">
        <f>'2020_B5'!$L$6</f>
        <v>Ausländerinnen und Ausländer</v>
      </c>
      <c r="D500" t="s">
        <v>4</v>
      </c>
      <c r="E500" t="str">
        <f>VLOOKUP(A500,[1]Kreise!$A$1:$C$53,3,FALSE)</f>
        <v>K03361</v>
      </c>
      <c r="F500">
        <f>'2020_B5'!L40</f>
        <v>16</v>
      </c>
    </row>
    <row r="501" spans="1:6" x14ac:dyDescent="0.25">
      <c r="A501">
        <f>'2020_B5'!A41</f>
        <v>3</v>
      </c>
      <c r="B501">
        <f>'2020_B5'!$K$5</f>
        <v>2014</v>
      </c>
      <c r="C501" t="str">
        <f>'2020_B5'!$L$6</f>
        <v>Ausländerinnen und Ausländer</v>
      </c>
      <c r="D501" t="s">
        <v>4</v>
      </c>
      <c r="E501" t="str">
        <f>VLOOKUP(A501,[1]Kreise!$A$1:$C$53,3,FALSE)</f>
        <v>K033</v>
      </c>
      <c r="F501">
        <f>'2020_B5'!L41</f>
        <v>107</v>
      </c>
    </row>
    <row r="502" spans="1:6" x14ac:dyDescent="0.25">
      <c r="A502">
        <f>'2020_B5'!A42</f>
        <v>401</v>
      </c>
      <c r="B502">
        <f>'2020_B5'!$K$5</f>
        <v>2014</v>
      </c>
      <c r="C502" t="str">
        <f>'2020_B5'!$L$6</f>
        <v>Ausländerinnen und Ausländer</v>
      </c>
      <c r="D502" t="s">
        <v>4</v>
      </c>
      <c r="E502" t="str">
        <f>VLOOKUP(A502,[1]Kreise!$A$1:$C$53,3,FALSE)</f>
        <v>K03401</v>
      </c>
      <c r="F502">
        <f>'2020_B5'!L42</f>
        <v>13</v>
      </c>
    </row>
    <row r="503" spans="1:6" x14ac:dyDescent="0.25">
      <c r="A503">
        <f>'2020_B5'!A43</f>
        <v>402</v>
      </c>
      <c r="B503">
        <f>'2020_B5'!$K$5</f>
        <v>2014</v>
      </c>
      <c r="C503" t="str">
        <f>'2020_B5'!$L$6</f>
        <v>Ausländerinnen und Ausländer</v>
      </c>
      <c r="D503" t="s">
        <v>4</v>
      </c>
      <c r="E503" t="str">
        <f>VLOOKUP(A503,[1]Kreise!$A$1:$C$53,3,FALSE)</f>
        <v>K03402</v>
      </c>
      <c r="F503">
        <f>'2020_B5'!L43</f>
        <v>6</v>
      </c>
    </row>
    <row r="504" spans="1:6" x14ac:dyDescent="0.25">
      <c r="A504">
        <f>'2020_B5'!A44</f>
        <v>403</v>
      </c>
      <c r="B504">
        <f>'2020_B5'!$K$5</f>
        <v>2014</v>
      </c>
      <c r="C504" t="str">
        <f>'2020_B5'!$L$6</f>
        <v>Ausländerinnen und Ausländer</v>
      </c>
      <c r="D504" t="s">
        <v>4</v>
      </c>
      <c r="E504" t="str">
        <f>VLOOKUP(A504,[1]Kreise!$A$1:$C$53,3,FALSE)</f>
        <v>K03403</v>
      </c>
      <c r="F504">
        <f>'2020_B5'!L44</f>
        <v>9</v>
      </c>
    </row>
    <row r="505" spans="1:6" x14ac:dyDescent="0.25">
      <c r="A505">
        <f>'2020_B5'!A45</f>
        <v>404</v>
      </c>
      <c r="B505">
        <f>'2020_B5'!$K$5</f>
        <v>2014</v>
      </c>
      <c r="C505" t="str">
        <f>'2020_B5'!$L$6</f>
        <v>Ausländerinnen und Ausländer</v>
      </c>
      <c r="D505" t="s">
        <v>4</v>
      </c>
      <c r="E505" t="str">
        <f>VLOOKUP(A505,[1]Kreise!$A$1:$C$53,3,FALSE)</f>
        <v>K03404</v>
      </c>
      <c r="F505">
        <f>'2020_B5'!L45</f>
        <v>19</v>
      </c>
    </row>
    <row r="506" spans="1:6" x14ac:dyDescent="0.25">
      <c r="A506">
        <f>'2020_B5'!A46</f>
        <v>405</v>
      </c>
      <c r="B506">
        <f>'2020_B5'!$K$5</f>
        <v>2014</v>
      </c>
      <c r="C506" t="str">
        <f>'2020_B5'!$L$6</f>
        <v>Ausländerinnen und Ausländer</v>
      </c>
      <c r="D506" t="s">
        <v>4</v>
      </c>
      <c r="E506" t="str">
        <f>VLOOKUP(A506,[1]Kreise!$A$1:$C$53,3,FALSE)</f>
        <v>K03405</v>
      </c>
      <c r="F506">
        <f>'2020_B5'!L46</f>
        <v>5</v>
      </c>
    </row>
    <row r="507" spans="1:6" x14ac:dyDescent="0.25">
      <c r="A507">
        <f>'2020_B5'!A47</f>
        <v>451</v>
      </c>
      <c r="B507">
        <f>'2020_B5'!$K$5</f>
        <v>2014</v>
      </c>
      <c r="C507" t="str">
        <f>'2020_B5'!$L$6</f>
        <v>Ausländerinnen und Ausländer</v>
      </c>
      <c r="D507" t="s">
        <v>4</v>
      </c>
      <c r="E507" t="str">
        <f>VLOOKUP(A507,[1]Kreise!$A$1:$C$53,3,FALSE)</f>
        <v>K03451</v>
      </c>
      <c r="F507">
        <f>'2020_B5'!L47</f>
        <v>3</v>
      </c>
    </row>
    <row r="508" spans="1:6" x14ac:dyDescent="0.25">
      <c r="A508">
        <f>'2020_B5'!A48</f>
        <v>452</v>
      </c>
      <c r="B508">
        <f>'2020_B5'!$K$5</f>
        <v>2014</v>
      </c>
      <c r="C508" t="str">
        <f>'2020_B5'!$L$6</f>
        <v>Ausländerinnen und Ausländer</v>
      </c>
      <c r="D508" t="s">
        <v>4</v>
      </c>
      <c r="E508" t="str">
        <f>VLOOKUP(A508,[1]Kreise!$A$1:$C$53,3,FALSE)</f>
        <v>K03452</v>
      </c>
      <c r="F508">
        <f>'2020_B5'!L48</f>
        <v>10</v>
      </c>
    </row>
    <row r="509" spans="1:6" x14ac:dyDescent="0.25">
      <c r="A509">
        <f>'2020_B5'!A49</f>
        <v>453</v>
      </c>
      <c r="B509">
        <f>'2020_B5'!$K$5</f>
        <v>2014</v>
      </c>
      <c r="C509" t="str">
        <f>'2020_B5'!$L$6</f>
        <v>Ausländerinnen und Ausländer</v>
      </c>
      <c r="D509" t="s">
        <v>4</v>
      </c>
      <c r="E509" t="str">
        <f>VLOOKUP(A509,[1]Kreise!$A$1:$C$53,3,FALSE)</f>
        <v>K03453</v>
      </c>
      <c r="F509">
        <f>'2020_B5'!L49</f>
        <v>16</v>
      </c>
    </row>
    <row r="510" spans="1:6" x14ac:dyDescent="0.25">
      <c r="A510">
        <f>'2020_B5'!A50</f>
        <v>454</v>
      </c>
      <c r="B510">
        <f>'2020_B5'!$K$5</f>
        <v>2014</v>
      </c>
      <c r="C510" t="str">
        <f>'2020_B5'!$L$6</f>
        <v>Ausländerinnen und Ausländer</v>
      </c>
      <c r="D510" t="s">
        <v>4</v>
      </c>
      <c r="E510" t="str">
        <f>VLOOKUP(A510,[1]Kreise!$A$1:$C$53,3,FALSE)</f>
        <v>K03454</v>
      </c>
      <c r="F510">
        <f>'2020_B5'!L50</f>
        <v>25</v>
      </c>
    </row>
    <row r="511" spans="1:6" x14ac:dyDescent="0.25">
      <c r="A511">
        <f>'2020_B5'!A51</f>
        <v>455</v>
      </c>
      <c r="B511">
        <f>'2020_B5'!$K$5</f>
        <v>2014</v>
      </c>
      <c r="C511" t="str">
        <f>'2020_B5'!$L$6</f>
        <v>Ausländerinnen und Ausländer</v>
      </c>
      <c r="D511" t="s">
        <v>4</v>
      </c>
      <c r="E511" t="str">
        <f>VLOOKUP(A511,[1]Kreise!$A$1:$C$53,3,FALSE)</f>
        <v>K03455</v>
      </c>
      <c r="F511">
        <f>'2020_B5'!L51</f>
        <v>1</v>
      </c>
    </row>
    <row r="512" spans="1:6" x14ac:dyDescent="0.25">
      <c r="A512">
        <f>'2020_B5'!A52</f>
        <v>456</v>
      </c>
      <c r="B512">
        <f>'2020_B5'!$K$5</f>
        <v>2014</v>
      </c>
      <c r="C512" t="str">
        <f>'2020_B5'!$L$6</f>
        <v>Ausländerinnen und Ausländer</v>
      </c>
      <c r="D512" t="s">
        <v>4</v>
      </c>
      <c r="E512" t="str">
        <f>VLOOKUP(A512,[1]Kreise!$A$1:$C$53,3,FALSE)</f>
        <v>K03456</v>
      </c>
      <c r="F512">
        <f>'2020_B5'!L52</f>
        <v>22</v>
      </c>
    </row>
    <row r="513" spans="1:6" x14ac:dyDescent="0.25">
      <c r="A513">
        <f>'2020_B5'!A53</f>
        <v>457</v>
      </c>
      <c r="B513">
        <f>'2020_B5'!$K$5</f>
        <v>2014</v>
      </c>
      <c r="C513" t="str">
        <f>'2020_B5'!$L$6</f>
        <v>Ausländerinnen und Ausländer</v>
      </c>
      <c r="D513" t="s">
        <v>4</v>
      </c>
      <c r="E513" t="str">
        <f>VLOOKUP(A513,[1]Kreise!$A$1:$C$53,3,FALSE)</f>
        <v>K03457</v>
      </c>
      <c r="F513">
        <f>'2020_B5'!L53</f>
        <v>12</v>
      </c>
    </row>
    <row r="514" spans="1:6" x14ac:dyDescent="0.25">
      <c r="A514">
        <f>'2020_B5'!A54</f>
        <v>458</v>
      </c>
      <c r="B514">
        <f>'2020_B5'!$K$5</f>
        <v>2014</v>
      </c>
      <c r="C514" t="str">
        <f>'2020_B5'!$L$6</f>
        <v>Ausländerinnen und Ausländer</v>
      </c>
      <c r="D514" t="s">
        <v>4</v>
      </c>
      <c r="E514" t="str">
        <f>VLOOKUP(A514,[1]Kreise!$A$1:$C$53,3,FALSE)</f>
        <v>K03458</v>
      </c>
      <c r="F514">
        <f>'2020_B5'!L54</f>
        <v>5</v>
      </c>
    </row>
    <row r="515" spans="1:6" x14ac:dyDescent="0.25">
      <c r="A515">
        <f>'2020_B5'!A55</f>
        <v>459</v>
      </c>
      <c r="B515">
        <f>'2020_B5'!$K$5</f>
        <v>2014</v>
      </c>
      <c r="C515" t="str">
        <f>'2020_B5'!$L$6</f>
        <v>Ausländerinnen und Ausländer</v>
      </c>
      <c r="D515" t="s">
        <v>4</v>
      </c>
      <c r="E515" t="str">
        <f>VLOOKUP(A515,[1]Kreise!$A$1:$C$53,3,FALSE)</f>
        <v>K03459</v>
      </c>
      <c r="F515">
        <f>'2020_B5'!L55</f>
        <v>29</v>
      </c>
    </row>
    <row r="516" spans="1:6" x14ac:dyDescent="0.25">
      <c r="A516">
        <f>'2020_B5'!A56</f>
        <v>460</v>
      </c>
      <c r="B516">
        <f>'2020_B5'!$K$5</f>
        <v>2014</v>
      </c>
      <c r="C516" t="str">
        <f>'2020_B5'!$L$6</f>
        <v>Ausländerinnen und Ausländer</v>
      </c>
      <c r="D516" t="s">
        <v>4</v>
      </c>
      <c r="E516" t="str">
        <f>VLOOKUP(A516,[1]Kreise!$A$1:$C$53,3,FALSE)</f>
        <v>K03460</v>
      </c>
      <c r="F516">
        <f>'2020_B5'!L56</f>
        <v>31</v>
      </c>
    </row>
    <row r="517" spans="1:6" x14ac:dyDescent="0.25">
      <c r="A517">
        <f>'2020_B5'!A57</f>
        <v>461</v>
      </c>
      <c r="B517">
        <f>'2020_B5'!$K$5</f>
        <v>2014</v>
      </c>
      <c r="C517" t="str">
        <f>'2020_B5'!$L$6</f>
        <v>Ausländerinnen und Ausländer</v>
      </c>
      <c r="D517" t="s">
        <v>4</v>
      </c>
      <c r="E517" t="str">
        <f>VLOOKUP(A517,[1]Kreise!$A$1:$C$53,3,FALSE)</f>
        <v>K03461</v>
      </c>
      <c r="F517">
        <f>'2020_B5'!L57</f>
        <v>4</v>
      </c>
    </row>
    <row r="518" spans="1:6" x14ac:dyDescent="0.25">
      <c r="A518">
        <f>'2020_B5'!A58</f>
        <v>462</v>
      </c>
      <c r="B518">
        <f>'2020_B5'!$K$5</f>
        <v>2014</v>
      </c>
      <c r="C518" t="str">
        <f>'2020_B5'!$L$6</f>
        <v>Ausländerinnen und Ausländer</v>
      </c>
      <c r="D518" t="s">
        <v>4</v>
      </c>
      <c r="E518" t="str">
        <f>VLOOKUP(A518,[1]Kreise!$A$1:$C$53,3,FALSE)</f>
        <v>K03462</v>
      </c>
      <c r="F518">
        <f>'2020_B5'!L58</f>
        <v>1</v>
      </c>
    </row>
    <row r="519" spans="1:6" x14ac:dyDescent="0.25">
      <c r="A519">
        <f>'2020_B5'!A59</f>
        <v>4</v>
      </c>
      <c r="B519">
        <f>'2020_B5'!$K$5</f>
        <v>2014</v>
      </c>
      <c r="C519" t="str">
        <f>'2020_B5'!$L$6</f>
        <v>Ausländerinnen und Ausländer</v>
      </c>
      <c r="D519" t="s">
        <v>4</v>
      </c>
      <c r="E519" t="str">
        <f>VLOOKUP(A519,[1]Kreise!$A$1:$C$53,3,FALSE)</f>
        <v>K034</v>
      </c>
      <c r="F519">
        <f>'2020_B5'!L59</f>
        <v>211</v>
      </c>
    </row>
    <row r="520" spans="1:6" x14ac:dyDescent="0.25">
      <c r="A520">
        <f>'2020_B5'!A60</f>
        <v>0</v>
      </c>
      <c r="B520">
        <f>'2020_B5'!$K$5</f>
        <v>2014</v>
      </c>
      <c r="C520" t="str">
        <f>'2020_B5'!$L$6</f>
        <v>Ausländerinnen und Ausländer</v>
      </c>
      <c r="D520" t="s">
        <v>4</v>
      </c>
      <c r="E520" t="str">
        <f>VLOOKUP(A520,[1]Kreise!$A$1:$C$53,3,FALSE)</f>
        <v>K030</v>
      </c>
      <c r="F520">
        <f>'2020_B5'!L60</f>
        <v>659</v>
      </c>
    </row>
    <row r="521" spans="1:6" x14ac:dyDescent="0.25">
      <c r="A521">
        <f>'2020_B5'!A9</f>
        <v>101</v>
      </c>
      <c r="B521">
        <f>Tabelle2!$A$3</f>
        <v>2015</v>
      </c>
      <c r="C521" t="str">
        <f>'2020_B5'!$G$6</f>
        <v>Deutsche</v>
      </c>
      <c r="D521" t="s">
        <v>4</v>
      </c>
      <c r="E521" t="str">
        <f>VLOOKUP(A521,[1]Kreise!$A$1:$C$53,3,FALSE)</f>
        <v>K03101</v>
      </c>
      <c r="F521">
        <f>'2020_B5'!M9</f>
        <v>106</v>
      </c>
    </row>
    <row r="522" spans="1:6" x14ac:dyDescent="0.25">
      <c r="A522">
        <f>'2020_B5'!A10</f>
        <v>102</v>
      </c>
      <c r="B522">
        <f>Tabelle2!$A$3</f>
        <v>2015</v>
      </c>
      <c r="C522" t="str">
        <f>'2020_B5'!$G$6</f>
        <v>Deutsche</v>
      </c>
      <c r="D522" t="s">
        <v>4</v>
      </c>
      <c r="E522" t="str">
        <f>VLOOKUP(A522,[1]Kreise!$A$1:$C$53,3,FALSE)</f>
        <v>K03102</v>
      </c>
      <c r="F522">
        <f>'2020_B5'!M10</f>
        <v>30</v>
      </c>
    </row>
    <row r="523" spans="1:6" x14ac:dyDescent="0.25">
      <c r="A523">
        <f>'2020_B5'!A11</f>
        <v>103</v>
      </c>
      <c r="B523">
        <f>Tabelle2!$A$3</f>
        <v>2015</v>
      </c>
      <c r="C523" t="str">
        <f>'2020_B5'!$G$6</f>
        <v>Deutsche</v>
      </c>
      <c r="D523" t="s">
        <v>4</v>
      </c>
      <c r="E523" t="str">
        <f>VLOOKUP(A523,[1]Kreise!$A$1:$C$53,3,FALSE)</f>
        <v>K03103</v>
      </c>
      <c r="F523">
        <f>'2020_B5'!M11</f>
        <v>35</v>
      </c>
    </row>
    <row r="524" spans="1:6" x14ac:dyDescent="0.25">
      <c r="A524">
        <f>'2020_B5'!A12</f>
        <v>151</v>
      </c>
      <c r="B524">
        <f>Tabelle2!$A$3</f>
        <v>2015</v>
      </c>
      <c r="C524" t="str">
        <f>'2020_B5'!$G$6</f>
        <v>Deutsche</v>
      </c>
      <c r="D524" t="s">
        <v>4</v>
      </c>
      <c r="E524" t="str">
        <f>VLOOKUP(A524,[1]Kreise!$A$1:$C$53,3,FALSE)</f>
        <v>K03151</v>
      </c>
      <c r="F524">
        <f>'2020_B5'!M12</f>
        <v>59</v>
      </c>
    </row>
    <row r="525" spans="1:6" x14ac:dyDescent="0.25">
      <c r="A525">
        <f>'2020_B5'!A13</f>
        <v>153</v>
      </c>
      <c r="B525">
        <f>Tabelle2!$A$3</f>
        <v>2015</v>
      </c>
      <c r="C525" t="str">
        <f>'2020_B5'!$G$6</f>
        <v>Deutsche</v>
      </c>
      <c r="D525" t="s">
        <v>4</v>
      </c>
      <c r="E525" t="str">
        <f>VLOOKUP(A525,[1]Kreise!$A$1:$C$53,3,FALSE)</f>
        <v>K03153</v>
      </c>
      <c r="F525">
        <f>'2020_B5'!M13</f>
        <v>45</v>
      </c>
    </row>
    <row r="526" spans="1:6" x14ac:dyDescent="0.25">
      <c r="A526">
        <f>'2020_B5'!A14</f>
        <v>154</v>
      </c>
      <c r="B526">
        <f>Tabelle2!$A$3</f>
        <v>2015</v>
      </c>
      <c r="C526" t="str">
        <f>'2020_B5'!$G$6</f>
        <v>Deutsche</v>
      </c>
      <c r="D526" t="s">
        <v>4</v>
      </c>
      <c r="E526" t="str">
        <f>VLOOKUP(A526,[1]Kreise!$A$1:$C$53,3,FALSE)</f>
        <v>K03154</v>
      </c>
      <c r="F526">
        <f>'2020_B5'!M14</f>
        <v>63</v>
      </c>
    </row>
    <row r="527" spans="1:6" x14ac:dyDescent="0.25">
      <c r="A527">
        <f>'2020_B5'!A15</f>
        <v>155</v>
      </c>
      <c r="B527">
        <f>Tabelle2!$A$3</f>
        <v>2015</v>
      </c>
      <c r="C527" t="str">
        <f>'2020_B5'!$G$6</f>
        <v>Deutsche</v>
      </c>
      <c r="D527" t="s">
        <v>4</v>
      </c>
      <c r="E527" t="str">
        <f>VLOOKUP(A527,[1]Kreise!$A$1:$C$53,3,FALSE)</f>
        <v>K03155</v>
      </c>
      <c r="F527">
        <f>'2020_B5'!M15</f>
        <v>53</v>
      </c>
    </row>
    <row r="528" spans="1:6" x14ac:dyDescent="0.25">
      <c r="A528">
        <f>'2020_B5'!A16</f>
        <v>157</v>
      </c>
      <c r="B528">
        <f>Tabelle2!$A$3</f>
        <v>2015</v>
      </c>
      <c r="C528" t="str">
        <f>'2020_B5'!$G$6</f>
        <v>Deutsche</v>
      </c>
      <c r="D528" t="s">
        <v>4</v>
      </c>
      <c r="E528" t="str">
        <f>VLOOKUP(A528,[1]Kreise!$A$1:$C$53,3,FALSE)</f>
        <v>K03157</v>
      </c>
      <c r="F528">
        <f>'2020_B5'!M16</f>
        <v>49</v>
      </c>
    </row>
    <row r="529" spans="1:6" x14ac:dyDescent="0.25">
      <c r="A529">
        <f>'2020_B5'!A17</f>
        <v>158</v>
      </c>
      <c r="B529">
        <f>Tabelle2!$A$3</f>
        <v>2015</v>
      </c>
      <c r="C529" t="str">
        <f>'2020_B5'!$G$6</f>
        <v>Deutsche</v>
      </c>
      <c r="D529" t="s">
        <v>4</v>
      </c>
      <c r="E529" t="str">
        <f>VLOOKUP(A529,[1]Kreise!$A$1:$C$53,3,FALSE)</f>
        <v>K03158</v>
      </c>
      <c r="F529">
        <f>'2020_B5'!M17</f>
        <v>58</v>
      </c>
    </row>
    <row r="530" spans="1:6" x14ac:dyDescent="0.25">
      <c r="A530">
        <f>'2020_B5'!A18</f>
        <v>159</v>
      </c>
      <c r="B530">
        <f>Tabelle2!$A$3</f>
        <v>2015</v>
      </c>
      <c r="C530" t="str">
        <f>'2020_B5'!$G$6</f>
        <v>Deutsche</v>
      </c>
      <c r="D530" t="s">
        <v>4</v>
      </c>
      <c r="E530" t="str">
        <f>VLOOKUP(A530,[1]Kreise!$A$1:$C$53,3,FALSE)</f>
        <v>K03159</v>
      </c>
      <c r="F530">
        <f>'2020_B5'!M18</f>
        <v>89</v>
      </c>
    </row>
    <row r="531" spans="1:6" x14ac:dyDescent="0.25">
      <c r="A531">
        <f>'2020_B5'!A19</f>
        <v>1</v>
      </c>
      <c r="B531">
        <f>Tabelle2!$A$3</f>
        <v>2015</v>
      </c>
      <c r="C531" t="str">
        <f>'2020_B5'!$G$6</f>
        <v>Deutsche</v>
      </c>
      <c r="D531" t="s">
        <v>4</v>
      </c>
      <c r="E531" t="str">
        <f>VLOOKUP(A531,[1]Kreise!$A$1:$C$53,3,FALSE)</f>
        <v>K031</v>
      </c>
      <c r="F531">
        <f>'2020_B5'!M19</f>
        <v>587</v>
      </c>
    </row>
    <row r="532" spans="1:6" x14ac:dyDescent="0.25">
      <c r="A532">
        <f>'2020_B5'!A20</f>
        <v>241</v>
      </c>
      <c r="B532">
        <f>Tabelle2!$A$3</f>
        <v>2015</v>
      </c>
      <c r="C532" t="str">
        <f>'2020_B5'!$G$6</f>
        <v>Deutsche</v>
      </c>
      <c r="D532" t="s">
        <v>4</v>
      </c>
      <c r="E532" t="str">
        <f>VLOOKUP(A532,[1]Kreise!$A$1:$C$53,3,FALSE)</f>
        <v>K03241</v>
      </c>
      <c r="F532">
        <f>'2020_B5'!M20</f>
        <v>397</v>
      </c>
    </row>
    <row r="533" spans="1:6" x14ac:dyDescent="0.25">
      <c r="A533">
        <f>'2020_B5'!A21</f>
        <v>241001</v>
      </c>
      <c r="B533">
        <f>Tabelle2!$A$3</f>
        <v>2015</v>
      </c>
      <c r="C533" t="str">
        <f>'2020_B5'!$G$6</f>
        <v>Deutsche</v>
      </c>
      <c r="D533" t="s">
        <v>4</v>
      </c>
      <c r="E533" t="str">
        <f>VLOOKUP(A533,[1]Kreise!$A$1:$C$53,3,FALSE)</f>
        <v>K03241001</v>
      </c>
      <c r="F533">
        <f>'2020_B5'!M21</f>
        <v>205</v>
      </c>
    </row>
    <row r="534" spans="1:6" x14ac:dyDescent="0.25">
      <c r="A534">
        <f>'2020_B5'!A22</f>
        <v>241999</v>
      </c>
      <c r="B534">
        <f>Tabelle2!$A$3</f>
        <v>2015</v>
      </c>
      <c r="C534" t="str">
        <f>'2020_B5'!$G$6</f>
        <v>Deutsche</v>
      </c>
      <c r="D534" t="s">
        <v>4</v>
      </c>
      <c r="E534" t="str">
        <f>VLOOKUP(A534,[1]Kreise!$A$1:$C$53,3,FALSE)</f>
        <v>K03241999</v>
      </c>
      <c r="F534">
        <f>'2020_B5'!M22</f>
        <v>192</v>
      </c>
    </row>
    <row r="535" spans="1:6" x14ac:dyDescent="0.25">
      <c r="A535">
        <f>'2020_B5'!A23</f>
        <v>251</v>
      </c>
      <c r="B535">
        <f>Tabelle2!$A$3</f>
        <v>2015</v>
      </c>
      <c r="C535" t="str">
        <f>'2020_B5'!$G$6</f>
        <v>Deutsche</v>
      </c>
      <c r="D535" t="s">
        <v>4</v>
      </c>
      <c r="E535" t="str">
        <f>VLOOKUP(A535,[1]Kreise!$A$1:$C$53,3,FALSE)</f>
        <v>K03251</v>
      </c>
      <c r="F535">
        <f>'2020_B5'!M23</f>
        <v>60</v>
      </c>
    </row>
    <row r="536" spans="1:6" x14ac:dyDescent="0.25">
      <c r="A536">
        <f>'2020_B5'!A24</f>
        <v>252</v>
      </c>
      <c r="B536">
        <f>Tabelle2!$A$3</f>
        <v>2015</v>
      </c>
      <c r="C536" t="str">
        <f>'2020_B5'!$G$6</f>
        <v>Deutsche</v>
      </c>
      <c r="D536" t="s">
        <v>4</v>
      </c>
      <c r="E536" t="str">
        <f>VLOOKUP(A536,[1]Kreise!$A$1:$C$53,3,FALSE)</f>
        <v>K03252</v>
      </c>
      <c r="F536">
        <f>'2020_B5'!M24</f>
        <v>67</v>
      </c>
    </row>
    <row r="537" spans="1:6" x14ac:dyDescent="0.25">
      <c r="A537">
        <f>'2020_B5'!A25</f>
        <v>254</v>
      </c>
      <c r="B537">
        <f>Tabelle2!$A$3</f>
        <v>2015</v>
      </c>
      <c r="C537" t="str">
        <f>'2020_B5'!$G$6</f>
        <v>Deutsche</v>
      </c>
      <c r="D537" t="s">
        <v>4</v>
      </c>
      <c r="E537" t="str">
        <f>VLOOKUP(A537,[1]Kreise!$A$1:$C$53,3,FALSE)</f>
        <v>K03254</v>
      </c>
      <c r="F537">
        <f>'2020_B5'!M25</f>
        <v>191</v>
      </c>
    </row>
    <row r="538" spans="1:6" x14ac:dyDescent="0.25">
      <c r="A538">
        <f>'2020_B5'!A26</f>
        <v>255</v>
      </c>
      <c r="B538">
        <f>Tabelle2!$A$3</f>
        <v>2015</v>
      </c>
      <c r="C538" t="str">
        <f>'2020_B5'!$G$6</f>
        <v>Deutsche</v>
      </c>
      <c r="D538" t="s">
        <v>4</v>
      </c>
      <c r="E538" t="str">
        <f>VLOOKUP(A538,[1]Kreise!$A$1:$C$53,3,FALSE)</f>
        <v>K03255</v>
      </c>
      <c r="F538">
        <f>'2020_B5'!M26</f>
        <v>51</v>
      </c>
    </row>
    <row r="539" spans="1:6" x14ac:dyDescent="0.25">
      <c r="A539">
        <f>'2020_B5'!A27</f>
        <v>256</v>
      </c>
      <c r="B539">
        <f>Tabelle2!$A$3</f>
        <v>2015</v>
      </c>
      <c r="C539" t="str">
        <f>'2020_B5'!$G$6</f>
        <v>Deutsche</v>
      </c>
      <c r="D539" t="s">
        <v>4</v>
      </c>
      <c r="E539" t="str">
        <f>VLOOKUP(A539,[1]Kreise!$A$1:$C$53,3,FALSE)</f>
        <v>K03256</v>
      </c>
      <c r="F539">
        <f>'2020_B5'!M27</f>
        <v>60</v>
      </c>
    </row>
    <row r="540" spans="1:6" x14ac:dyDescent="0.25">
      <c r="A540">
        <f>'2020_B5'!A28</f>
        <v>257</v>
      </c>
      <c r="B540">
        <f>Tabelle2!$A$3</f>
        <v>2015</v>
      </c>
      <c r="C540" t="str">
        <f>'2020_B5'!$G$6</f>
        <v>Deutsche</v>
      </c>
      <c r="D540" t="s">
        <v>4</v>
      </c>
      <c r="E540" t="str">
        <f>VLOOKUP(A540,[1]Kreise!$A$1:$C$53,3,FALSE)</f>
        <v>K03257</v>
      </c>
      <c r="F540">
        <f>'2020_B5'!M28</f>
        <v>36</v>
      </c>
    </row>
    <row r="541" spans="1:6" x14ac:dyDescent="0.25">
      <c r="A541">
        <f>'2020_B5'!A29</f>
        <v>2</v>
      </c>
      <c r="B541">
        <f>Tabelle2!$A$3</f>
        <v>2015</v>
      </c>
      <c r="C541" t="str">
        <f>'2020_B5'!$G$6</f>
        <v>Deutsche</v>
      </c>
      <c r="D541" t="s">
        <v>4</v>
      </c>
      <c r="E541" t="str">
        <f>VLOOKUP(A541,[1]Kreise!$A$1:$C$53,3,FALSE)</f>
        <v>K032</v>
      </c>
      <c r="F541">
        <f>'2020_B5'!M29</f>
        <v>862</v>
      </c>
    </row>
    <row r="542" spans="1:6" x14ac:dyDescent="0.25">
      <c r="A542">
        <f>'2020_B5'!A30</f>
        <v>351</v>
      </c>
      <c r="B542">
        <f>Tabelle2!$A$3</f>
        <v>2015</v>
      </c>
      <c r="C542" t="str">
        <f>'2020_B5'!$G$6</f>
        <v>Deutsche</v>
      </c>
      <c r="D542" t="s">
        <v>4</v>
      </c>
      <c r="E542" t="str">
        <f>VLOOKUP(A542,[1]Kreise!$A$1:$C$53,3,FALSE)</f>
        <v>K03351</v>
      </c>
      <c r="F542">
        <f>'2020_B5'!M30</f>
        <v>86</v>
      </c>
    </row>
    <row r="543" spans="1:6" x14ac:dyDescent="0.25">
      <c r="A543">
        <f>'2020_B5'!A31</f>
        <v>352</v>
      </c>
      <c r="B543">
        <f>Tabelle2!$A$3</f>
        <v>2015</v>
      </c>
      <c r="C543" t="str">
        <f>'2020_B5'!$G$6</f>
        <v>Deutsche</v>
      </c>
      <c r="D543" t="s">
        <v>4</v>
      </c>
      <c r="E543" t="str">
        <f>VLOOKUP(A543,[1]Kreise!$A$1:$C$53,3,FALSE)</f>
        <v>K03352</v>
      </c>
      <c r="F543">
        <f>'2020_B5'!M31</f>
        <v>66</v>
      </c>
    </row>
    <row r="544" spans="1:6" x14ac:dyDescent="0.25">
      <c r="A544">
        <f>'2020_B5'!A32</f>
        <v>353</v>
      </c>
      <c r="B544">
        <f>Tabelle2!$A$3</f>
        <v>2015</v>
      </c>
      <c r="C544" t="str">
        <f>'2020_B5'!$G$6</f>
        <v>Deutsche</v>
      </c>
      <c r="D544" t="s">
        <v>4</v>
      </c>
      <c r="E544" t="str">
        <f>VLOOKUP(A544,[1]Kreise!$A$1:$C$53,3,FALSE)</f>
        <v>K03353</v>
      </c>
      <c r="F544">
        <f>'2020_B5'!M32</f>
        <v>53</v>
      </c>
    </row>
    <row r="545" spans="1:6" x14ac:dyDescent="0.25">
      <c r="A545">
        <f>'2020_B5'!A33</f>
        <v>354</v>
      </c>
      <c r="B545">
        <f>Tabelle2!$A$3</f>
        <v>2015</v>
      </c>
      <c r="C545" t="str">
        <f>'2020_B5'!$G$6</f>
        <v>Deutsche</v>
      </c>
      <c r="D545" t="s">
        <v>4</v>
      </c>
      <c r="E545" t="str">
        <f>VLOOKUP(A545,[1]Kreise!$A$1:$C$53,3,FALSE)</f>
        <v>K03354</v>
      </c>
      <c r="F545">
        <f>'2020_B5'!M33</f>
        <v>35</v>
      </c>
    </row>
    <row r="546" spans="1:6" x14ac:dyDescent="0.25">
      <c r="A546">
        <f>'2020_B5'!A34</f>
        <v>355</v>
      </c>
      <c r="B546">
        <f>Tabelle2!$A$3</f>
        <v>2015</v>
      </c>
      <c r="C546" t="str">
        <f>'2020_B5'!$G$6</f>
        <v>Deutsche</v>
      </c>
      <c r="D546" t="s">
        <v>4</v>
      </c>
      <c r="E546" t="str">
        <f>VLOOKUP(A546,[1]Kreise!$A$1:$C$53,3,FALSE)</f>
        <v>K03355</v>
      </c>
      <c r="F546">
        <f>'2020_B5'!M34</f>
        <v>56</v>
      </c>
    </row>
    <row r="547" spans="1:6" x14ac:dyDescent="0.25">
      <c r="A547">
        <f>'2020_B5'!A35</f>
        <v>356</v>
      </c>
      <c r="B547">
        <f>Tabelle2!$A$3</f>
        <v>2015</v>
      </c>
      <c r="C547" t="str">
        <f>'2020_B5'!$G$6</f>
        <v>Deutsche</v>
      </c>
      <c r="D547" t="s">
        <v>4</v>
      </c>
      <c r="E547" t="str">
        <f>VLOOKUP(A547,[1]Kreise!$A$1:$C$53,3,FALSE)</f>
        <v>K03356</v>
      </c>
      <c r="F547">
        <f>'2020_B5'!M35</f>
        <v>35</v>
      </c>
    </row>
    <row r="548" spans="1:6" x14ac:dyDescent="0.25">
      <c r="A548">
        <f>'2020_B5'!A36</f>
        <v>357</v>
      </c>
      <c r="B548">
        <f>Tabelle2!$A$3</f>
        <v>2015</v>
      </c>
      <c r="C548" t="str">
        <f>'2020_B5'!$G$6</f>
        <v>Deutsche</v>
      </c>
      <c r="D548" t="s">
        <v>4</v>
      </c>
      <c r="E548" t="str">
        <f>VLOOKUP(A548,[1]Kreise!$A$1:$C$53,3,FALSE)</f>
        <v>K03357</v>
      </c>
      <c r="F548">
        <f>'2020_B5'!M36</f>
        <v>98</v>
      </c>
    </row>
    <row r="549" spans="1:6" x14ac:dyDescent="0.25">
      <c r="A549">
        <f>'2020_B5'!A37</f>
        <v>358</v>
      </c>
      <c r="B549">
        <f>Tabelle2!$A$3</f>
        <v>2015</v>
      </c>
      <c r="C549" t="str">
        <f>'2020_B5'!$G$6</f>
        <v>Deutsche</v>
      </c>
      <c r="D549" t="s">
        <v>4</v>
      </c>
      <c r="E549" t="str">
        <f>VLOOKUP(A549,[1]Kreise!$A$1:$C$53,3,FALSE)</f>
        <v>K03358</v>
      </c>
      <c r="F549">
        <f>'2020_B5'!M37</f>
        <v>95</v>
      </c>
    </row>
    <row r="550" spans="1:6" x14ac:dyDescent="0.25">
      <c r="A550">
        <f>'2020_B5'!A38</f>
        <v>359</v>
      </c>
      <c r="B550">
        <f>Tabelle2!$A$3</f>
        <v>2015</v>
      </c>
      <c r="C550" t="str">
        <f>'2020_B5'!$G$6</f>
        <v>Deutsche</v>
      </c>
      <c r="D550" t="s">
        <v>4</v>
      </c>
      <c r="E550" t="str">
        <f>VLOOKUP(A550,[1]Kreise!$A$1:$C$53,3,FALSE)</f>
        <v>K03359</v>
      </c>
      <c r="F550">
        <f>'2020_B5'!M38</f>
        <v>74</v>
      </c>
    </row>
    <row r="551" spans="1:6" x14ac:dyDescent="0.25">
      <c r="A551">
        <f>'2020_B5'!A39</f>
        <v>360</v>
      </c>
      <c r="B551">
        <f>Tabelle2!$A$3</f>
        <v>2015</v>
      </c>
      <c r="C551" t="str">
        <f>'2020_B5'!$G$6</f>
        <v>Deutsche</v>
      </c>
      <c r="D551" t="s">
        <v>4</v>
      </c>
      <c r="E551" t="str">
        <f>VLOOKUP(A551,[1]Kreise!$A$1:$C$53,3,FALSE)</f>
        <v>K03360</v>
      </c>
      <c r="F551">
        <f>'2020_B5'!M39</f>
        <v>29</v>
      </c>
    </row>
    <row r="552" spans="1:6" x14ac:dyDescent="0.25">
      <c r="A552">
        <f>'2020_B5'!A40</f>
        <v>361</v>
      </c>
      <c r="B552">
        <f>Tabelle2!$A$3</f>
        <v>2015</v>
      </c>
      <c r="C552" t="str">
        <f>'2020_B5'!$G$6</f>
        <v>Deutsche</v>
      </c>
      <c r="D552" t="s">
        <v>4</v>
      </c>
      <c r="E552" t="str">
        <f>VLOOKUP(A552,[1]Kreise!$A$1:$C$53,3,FALSE)</f>
        <v>K03361</v>
      </c>
      <c r="F552">
        <f>'2020_B5'!M40</f>
        <v>54</v>
      </c>
    </row>
    <row r="553" spans="1:6" x14ac:dyDescent="0.25">
      <c r="A553">
        <f>'2020_B5'!A41</f>
        <v>3</v>
      </c>
      <c r="B553">
        <f>Tabelle2!$A$3</f>
        <v>2015</v>
      </c>
      <c r="C553" t="str">
        <f>'2020_B5'!$G$6</f>
        <v>Deutsche</v>
      </c>
      <c r="D553" t="s">
        <v>4</v>
      </c>
      <c r="E553" t="str">
        <f>VLOOKUP(A553,[1]Kreise!$A$1:$C$53,3,FALSE)</f>
        <v>K033</v>
      </c>
      <c r="F553">
        <f>'2020_B5'!M41</f>
        <v>681</v>
      </c>
    </row>
    <row r="554" spans="1:6" x14ac:dyDescent="0.25">
      <c r="A554">
        <f>'2020_B5'!A42</f>
        <v>401</v>
      </c>
      <c r="B554">
        <f>Tabelle2!$A$3</f>
        <v>2015</v>
      </c>
      <c r="C554" t="str">
        <f>'2020_B5'!$G$6</f>
        <v>Deutsche</v>
      </c>
      <c r="D554" t="s">
        <v>4</v>
      </c>
      <c r="E554" t="str">
        <f>VLOOKUP(A554,[1]Kreise!$A$1:$C$53,3,FALSE)</f>
        <v>K03401</v>
      </c>
      <c r="F554">
        <f>'2020_B5'!M42</f>
        <v>30</v>
      </c>
    </row>
    <row r="555" spans="1:6" x14ac:dyDescent="0.25">
      <c r="A555">
        <f>'2020_B5'!A43</f>
        <v>402</v>
      </c>
      <c r="B555">
        <f>Tabelle2!$A$3</f>
        <v>2015</v>
      </c>
      <c r="C555" t="str">
        <f>'2020_B5'!$G$6</f>
        <v>Deutsche</v>
      </c>
      <c r="D555" t="s">
        <v>4</v>
      </c>
      <c r="E555" t="str">
        <f>VLOOKUP(A555,[1]Kreise!$A$1:$C$53,3,FALSE)</f>
        <v>K03402</v>
      </c>
      <c r="F555">
        <f>'2020_B5'!M43</f>
        <v>42</v>
      </c>
    </row>
    <row r="556" spans="1:6" x14ac:dyDescent="0.25">
      <c r="A556">
        <f>'2020_B5'!A44</f>
        <v>403</v>
      </c>
      <c r="B556">
        <f>Tabelle2!$A$3</f>
        <v>2015</v>
      </c>
      <c r="C556" t="str">
        <f>'2020_B5'!$G$6</f>
        <v>Deutsche</v>
      </c>
      <c r="D556" t="s">
        <v>4</v>
      </c>
      <c r="E556" t="str">
        <f>VLOOKUP(A556,[1]Kreise!$A$1:$C$53,3,FALSE)</f>
        <v>K03403</v>
      </c>
      <c r="F556">
        <f>'2020_B5'!M44</f>
        <v>100</v>
      </c>
    </row>
    <row r="557" spans="1:6" x14ac:dyDescent="0.25">
      <c r="A557">
        <f>'2020_B5'!A45</f>
        <v>404</v>
      </c>
      <c r="B557">
        <f>Tabelle2!$A$3</f>
        <v>2015</v>
      </c>
      <c r="C557" t="str">
        <f>'2020_B5'!$G$6</f>
        <v>Deutsche</v>
      </c>
      <c r="D557" t="s">
        <v>4</v>
      </c>
      <c r="E557" t="str">
        <f>VLOOKUP(A557,[1]Kreise!$A$1:$C$53,3,FALSE)</f>
        <v>K03404</v>
      </c>
      <c r="F557">
        <f>'2020_B5'!M45</f>
        <v>109</v>
      </c>
    </row>
    <row r="558" spans="1:6" x14ac:dyDescent="0.25">
      <c r="A558">
        <f>'2020_B5'!A46</f>
        <v>405</v>
      </c>
      <c r="B558">
        <f>Tabelle2!$A$3</f>
        <v>2015</v>
      </c>
      <c r="C558" t="str">
        <f>'2020_B5'!$G$6</f>
        <v>Deutsche</v>
      </c>
      <c r="D558" t="s">
        <v>4</v>
      </c>
      <c r="E558" t="str">
        <f>VLOOKUP(A558,[1]Kreise!$A$1:$C$53,3,FALSE)</f>
        <v>K03405</v>
      </c>
      <c r="F558">
        <f>'2020_B5'!M46</f>
        <v>25</v>
      </c>
    </row>
    <row r="559" spans="1:6" x14ac:dyDescent="0.25">
      <c r="A559">
        <f>'2020_B5'!A47</f>
        <v>451</v>
      </c>
      <c r="B559">
        <f>Tabelle2!$A$3</f>
        <v>2015</v>
      </c>
      <c r="C559" t="str">
        <f>'2020_B5'!$G$6</f>
        <v>Deutsche</v>
      </c>
      <c r="D559" t="s">
        <v>4</v>
      </c>
      <c r="E559" t="str">
        <f>VLOOKUP(A559,[1]Kreise!$A$1:$C$53,3,FALSE)</f>
        <v>K03451</v>
      </c>
      <c r="F559">
        <f>'2020_B5'!M47</f>
        <v>53</v>
      </c>
    </row>
    <row r="560" spans="1:6" x14ac:dyDescent="0.25">
      <c r="A560">
        <f>'2020_B5'!A48</f>
        <v>452</v>
      </c>
      <c r="B560">
        <f>Tabelle2!$A$3</f>
        <v>2015</v>
      </c>
      <c r="C560" t="str">
        <f>'2020_B5'!$G$6</f>
        <v>Deutsche</v>
      </c>
      <c r="D560" t="s">
        <v>4</v>
      </c>
      <c r="E560" t="str">
        <f>VLOOKUP(A560,[1]Kreise!$A$1:$C$53,3,FALSE)</f>
        <v>K03452</v>
      </c>
      <c r="F560">
        <f>'2020_B5'!M48</f>
        <v>152</v>
      </c>
    </row>
    <row r="561" spans="1:6" x14ac:dyDescent="0.25">
      <c r="A561">
        <f>'2020_B5'!A49</f>
        <v>453</v>
      </c>
      <c r="B561">
        <f>Tabelle2!$A$3</f>
        <v>2015</v>
      </c>
      <c r="C561" t="str">
        <f>'2020_B5'!$G$6</f>
        <v>Deutsche</v>
      </c>
      <c r="D561" t="s">
        <v>4</v>
      </c>
      <c r="E561" t="str">
        <f>VLOOKUP(A561,[1]Kreise!$A$1:$C$53,3,FALSE)</f>
        <v>K03453</v>
      </c>
      <c r="F561">
        <f>'2020_B5'!M49</f>
        <v>79</v>
      </c>
    </row>
    <row r="562" spans="1:6" x14ac:dyDescent="0.25">
      <c r="A562">
        <f>'2020_B5'!A50</f>
        <v>454</v>
      </c>
      <c r="B562">
        <f>Tabelle2!$A$3</f>
        <v>2015</v>
      </c>
      <c r="C562" t="str">
        <f>'2020_B5'!$G$6</f>
        <v>Deutsche</v>
      </c>
      <c r="D562" t="s">
        <v>4</v>
      </c>
      <c r="E562" t="str">
        <f>VLOOKUP(A562,[1]Kreise!$A$1:$C$53,3,FALSE)</f>
        <v>K03454</v>
      </c>
      <c r="F562">
        <f>'2020_B5'!M50</f>
        <v>176</v>
      </c>
    </row>
    <row r="563" spans="1:6" x14ac:dyDescent="0.25">
      <c r="A563">
        <f>'2020_B5'!A51</f>
        <v>455</v>
      </c>
      <c r="B563">
        <f>Tabelle2!$A$3</f>
        <v>2015</v>
      </c>
      <c r="C563" t="str">
        <f>'2020_B5'!$G$6</f>
        <v>Deutsche</v>
      </c>
      <c r="D563" t="s">
        <v>4</v>
      </c>
      <c r="E563" t="str">
        <f>VLOOKUP(A563,[1]Kreise!$A$1:$C$53,3,FALSE)</f>
        <v>K03455</v>
      </c>
      <c r="F563">
        <f>'2020_B5'!M51</f>
        <v>36</v>
      </c>
    </row>
    <row r="564" spans="1:6" x14ac:dyDescent="0.25">
      <c r="A564">
        <f>'2020_B5'!A52</f>
        <v>456</v>
      </c>
      <c r="B564">
        <f>Tabelle2!$A$3</f>
        <v>2015</v>
      </c>
      <c r="C564" t="str">
        <f>'2020_B5'!$G$6</f>
        <v>Deutsche</v>
      </c>
      <c r="D564" t="s">
        <v>4</v>
      </c>
      <c r="E564" t="str">
        <f>VLOOKUP(A564,[1]Kreise!$A$1:$C$53,3,FALSE)</f>
        <v>K03456</v>
      </c>
      <c r="F564">
        <f>'2020_B5'!M52</f>
        <v>91</v>
      </c>
    </row>
    <row r="565" spans="1:6" x14ac:dyDescent="0.25">
      <c r="A565">
        <f>'2020_B5'!A53</f>
        <v>457</v>
      </c>
      <c r="B565">
        <f>Tabelle2!$A$3</f>
        <v>2015</v>
      </c>
      <c r="C565" t="str">
        <f>'2020_B5'!$G$6</f>
        <v>Deutsche</v>
      </c>
      <c r="D565" t="s">
        <v>4</v>
      </c>
      <c r="E565" t="str">
        <f>VLOOKUP(A565,[1]Kreise!$A$1:$C$53,3,FALSE)</f>
        <v>K03457</v>
      </c>
      <c r="F565">
        <f>'2020_B5'!M53</f>
        <v>138</v>
      </c>
    </row>
    <row r="566" spans="1:6" x14ac:dyDescent="0.25">
      <c r="A566">
        <f>'2020_B5'!A54</f>
        <v>458</v>
      </c>
      <c r="B566">
        <f>Tabelle2!$A$3</f>
        <v>2015</v>
      </c>
      <c r="C566" t="str">
        <f>'2020_B5'!$G$6</f>
        <v>Deutsche</v>
      </c>
      <c r="D566" t="s">
        <v>4</v>
      </c>
      <c r="E566" t="str">
        <f>VLOOKUP(A566,[1]Kreise!$A$1:$C$53,3,FALSE)</f>
        <v>K03458</v>
      </c>
      <c r="F566">
        <f>'2020_B5'!M54</f>
        <v>41</v>
      </c>
    </row>
    <row r="567" spans="1:6" x14ac:dyDescent="0.25">
      <c r="A567">
        <f>'2020_B5'!A55</f>
        <v>459</v>
      </c>
      <c r="B567">
        <f>Tabelle2!$A$3</f>
        <v>2015</v>
      </c>
      <c r="C567" t="str">
        <f>'2020_B5'!$G$6</f>
        <v>Deutsche</v>
      </c>
      <c r="D567" t="s">
        <v>4</v>
      </c>
      <c r="E567" t="str">
        <f>VLOOKUP(A567,[1]Kreise!$A$1:$C$53,3,FALSE)</f>
        <v>K03459</v>
      </c>
      <c r="F567">
        <f>'2020_B5'!M55</f>
        <v>160</v>
      </c>
    </row>
    <row r="568" spans="1:6" x14ac:dyDescent="0.25">
      <c r="A568">
        <f>'2020_B5'!A56</f>
        <v>460</v>
      </c>
      <c r="B568">
        <f>Tabelle2!$A$3</f>
        <v>2015</v>
      </c>
      <c r="C568" t="str">
        <f>'2020_B5'!$G$6</f>
        <v>Deutsche</v>
      </c>
      <c r="D568" t="s">
        <v>4</v>
      </c>
      <c r="E568" t="str">
        <f>VLOOKUP(A568,[1]Kreise!$A$1:$C$53,3,FALSE)</f>
        <v>K03460</v>
      </c>
      <c r="F568">
        <f>'2020_B5'!M56</f>
        <v>88</v>
      </c>
    </row>
    <row r="569" spans="1:6" x14ac:dyDescent="0.25">
      <c r="A569">
        <f>'2020_B5'!A57</f>
        <v>461</v>
      </c>
      <c r="B569">
        <f>Tabelle2!$A$3</f>
        <v>2015</v>
      </c>
      <c r="C569" t="str">
        <f>'2020_B5'!$G$6</f>
        <v>Deutsche</v>
      </c>
      <c r="D569" t="s">
        <v>4</v>
      </c>
      <c r="E569" t="str">
        <f>VLOOKUP(A569,[1]Kreise!$A$1:$C$53,3,FALSE)</f>
        <v>K03461</v>
      </c>
      <c r="F569">
        <f>'2020_B5'!M57</f>
        <v>52</v>
      </c>
    </row>
    <row r="570" spans="1:6" x14ac:dyDescent="0.25">
      <c r="A570">
        <f>'2020_B5'!A58</f>
        <v>462</v>
      </c>
      <c r="B570">
        <f>Tabelle2!$A$3</f>
        <v>2015</v>
      </c>
      <c r="C570" t="str">
        <f>'2020_B5'!$G$6</f>
        <v>Deutsche</v>
      </c>
      <c r="D570" t="s">
        <v>4</v>
      </c>
      <c r="E570" t="str">
        <f>VLOOKUP(A570,[1]Kreise!$A$1:$C$53,3,FALSE)</f>
        <v>K03462</v>
      </c>
      <c r="F570">
        <f>'2020_B5'!M58</f>
        <v>34</v>
      </c>
    </row>
    <row r="571" spans="1:6" x14ac:dyDescent="0.25">
      <c r="A571">
        <f>'2020_B5'!A59</f>
        <v>4</v>
      </c>
      <c r="B571">
        <f>Tabelle2!$A$3</f>
        <v>2015</v>
      </c>
      <c r="C571" t="str">
        <f>'2020_B5'!$G$6</f>
        <v>Deutsche</v>
      </c>
      <c r="D571" t="s">
        <v>4</v>
      </c>
      <c r="E571" t="str">
        <f>VLOOKUP(A571,[1]Kreise!$A$1:$C$53,3,FALSE)</f>
        <v>K034</v>
      </c>
      <c r="F571">
        <f>'2020_B5'!M59</f>
        <v>1406</v>
      </c>
    </row>
    <row r="572" spans="1:6" x14ac:dyDescent="0.25">
      <c r="A572">
        <f>'2020_B5'!A60</f>
        <v>0</v>
      </c>
      <c r="B572">
        <f>Tabelle2!$A$3</f>
        <v>2015</v>
      </c>
      <c r="C572" t="str">
        <f>'2020_B5'!$G$6</f>
        <v>Deutsche</v>
      </c>
      <c r="D572" t="s">
        <v>4</v>
      </c>
      <c r="E572" t="str">
        <f>VLOOKUP(A572,[1]Kreise!$A$1:$C$53,3,FALSE)</f>
        <v>K030</v>
      </c>
      <c r="F572">
        <f>'2020_B5'!M60</f>
        <v>3536</v>
      </c>
    </row>
    <row r="573" spans="1:6" x14ac:dyDescent="0.25">
      <c r="A573">
        <f>'2020_B5'!A9</f>
        <v>101</v>
      </c>
      <c r="B573">
        <f>Tabelle2!$A$3</f>
        <v>2015</v>
      </c>
      <c r="C573" t="str">
        <f>'2020_B5'!$L$6</f>
        <v>Ausländerinnen und Ausländer</v>
      </c>
      <c r="D573" t="s">
        <v>4</v>
      </c>
      <c r="E573" t="str">
        <f>VLOOKUP(A573,[1]Kreise!$A$1:$C$53,3,FALSE)</f>
        <v>K03101</v>
      </c>
      <c r="F573">
        <f>'2020_B5'!N9</f>
        <v>24</v>
      </c>
    </row>
    <row r="574" spans="1:6" x14ac:dyDescent="0.25">
      <c r="A574">
        <f>'2020_B5'!A10</f>
        <v>102</v>
      </c>
      <c r="B574">
        <f>Tabelle2!$A$3</f>
        <v>2015</v>
      </c>
      <c r="C574" t="str">
        <f>'2020_B5'!$L$6</f>
        <v>Ausländerinnen und Ausländer</v>
      </c>
      <c r="D574" t="s">
        <v>4</v>
      </c>
      <c r="E574" t="str">
        <f>VLOOKUP(A574,[1]Kreise!$A$1:$C$53,3,FALSE)</f>
        <v>K03102</v>
      </c>
      <c r="F574">
        <f>'2020_B5'!N10</f>
        <v>19</v>
      </c>
    </row>
    <row r="575" spans="1:6" x14ac:dyDescent="0.25">
      <c r="A575">
        <f>'2020_B5'!A11</f>
        <v>103</v>
      </c>
      <c r="B575">
        <f>Tabelle2!$A$3</f>
        <v>2015</v>
      </c>
      <c r="C575" t="str">
        <f>'2020_B5'!$L$6</f>
        <v>Ausländerinnen und Ausländer</v>
      </c>
      <c r="D575" t="s">
        <v>4</v>
      </c>
      <c r="E575" t="str">
        <f>VLOOKUP(A575,[1]Kreise!$A$1:$C$53,3,FALSE)</f>
        <v>K03103</v>
      </c>
      <c r="F575">
        <f>'2020_B5'!N11</f>
        <v>6</v>
      </c>
    </row>
    <row r="576" spans="1:6" x14ac:dyDescent="0.25">
      <c r="A576">
        <f>'2020_B5'!A12</f>
        <v>151</v>
      </c>
      <c r="B576">
        <f>Tabelle2!$A$3</f>
        <v>2015</v>
      </c>
      <c r="C576" t="str">
        <f>'2020_B5'!$L$6</f>
        <v>Ausländerinnen und Ausländer</v>
      </c>
      <c r="D576" t="s">
        <v>4</v>
      </c>
      <c r="E576" t="str">
        <f>VLOOKUP(A576,[1]Kreise!$A$1:$C$53,3,FALSE)</f>
        <v>K03151</v>
      </c>
      <c r="F576">
        <f>'2020_B5'!N12</f>
        <v>7</v>
      </c>
    </row>
    <row r="577" spans="1:6" x14ac:dyDescent="0.25">
      <c r="A577">
        <f>'2020_B5'!A13</f>
        <v>153</v>
      </c>
      <c r="B577">
        <f>Tabelle2!$A$3</f>
        <v>2015</v>
      </c>
      <c r="C577" t="str">
        <f>'2020_B5'!$L$6</f>
        <v>Ausländerinnen und Ausländer</v>
      </c>
      <c r="D577" t="s">
        <v>4</v>
      </c>
      <c r="E577" t="str">
        <f>VLOOKUP(A577,[1]Kreise!$A$1:$C$53,3,FALSE)</f>
        <v>K03153</v>
      </c>
      <c r="F577">
        <f>'2020_B5'!N13</f>
        <v>9</v>
      </c>
    </row>
    <row r="578" spans="1:6" x14ac:dyDescent="0.25">
      <c r="A578">
        <f>'2020_B5'!A14</f>
        <v>154</v>
      </c>
      <c r="B578">
        <f>Tabelle2!$A$3</f>
        <v>2015</v>
      </c>
      <c r="C578" t="str">
        <f>'2020_B5'!$L$6</f>
        <v>Ausländerinnen und Ausländer</v>
      </c>
      <c r="D578" t="s">
        <v>4</v>
      </c>
      <c r="E578" t="str">
        <f>VLOOKUP(A578,[1]Kreise!$A$1:$C$53,3,FALSE)</f>
        <v>K03154</v>
      </c>
      <c r="F578">
        <f>'2020_B5'!N14</f>
        <v>10</v>
      </c>
    </row>
    <row r="579" spans="1:6" x14ac:dyDescent="0.25">
      <c r="A579">
        <f>'2020_B5'!A15</f>
        <v>155</v>
      </c>
      <c r="B579">
        <f>Tabelle2!$A$3</f>
        <v>2015</v>
      </c>
      <c r="C579" t="str">
        <f>'2020_B5'!$L$6</f>
        <v>Ausländerinnen und Ausländer</v>
      </c>
      <c r="D579" t="s">
        <v>4</v>
      </c>
      <c r="E579" t="str">
        <f>VLOOKUP(A579,[1]Kreise!$A$1:$C$53,3,FALSE)</f>
        <v>K03155</v>
      </c>
      <c r="F579">
        <f>'2020_B5'!N15</f>
        <v>18</v>
      </c>
    </row>
    <row r="580" spans="1:6" x14ac:dyDescent="0.25">
      <c r="A580">
        <f>'2020_B5'!A16</f>
        <v>157</v>
      </c>
      <c r="B580">
        <f>Tabelle2!$A$3</f>
        <v>2015</v>
      </c>
      <c r="C580" t="str">
        <f>'2020_B5'!$L$6</f>
        <v>Ausländerinnen und Ausländer</v>
      </c>
      <c r="D580" t="s">
        <v>4</v>
      </c>
      <c r="E580" t="str">
        <f>VLOOKUP(A580,[1]Kreise!$A$1:$C$53,3,FALSE)</f>
        <v>K03157</v>
      </c>
      <c r="F580">
        <f>'2020_B5'!N16</f>
        <v>22</v>
      </c>
    </row>
    <row r="581" spans="1:6" x14ac:dyDescent="0.25">
      <c r="A581">
        <f>'2020_B5'!A17</f>
        <v>158</v>
      </c>
      <c r="B581">
        <f>Tabelle2!$A$3</f>
        <v>2015</v>
      </c>
      <c r="C581" t="str">
        <f>'2020_B5'!$L$6</f>
        <v>Ausländerinnen und Ausländer</v>
      </c>
      <c r="D581" t="s">
        <v>4</v>
      </c>
      <c r="E581" t="str">
        <f>VLOOKUP(A581,[1]Kreise!$A$1:$C$53,3,FALSE)</f>
        <v>K03158</v>
      </c>
      <c r="F581">
        <f>'2020_B5'!N17</f>
        <v>7</v>
      </c>
    </row>
    <row r="582" spans="1:6" x14ac:dyDescent="0.25">
      <c r="A582">
        <f>'2020_B5'!A18</f>
        <v>159</v>
      </c>
      <c r="B582">
        <f>Tabelle2!$A$3</f>
        <v>2015</v>
      </c>
      <c r="C582" t="str">
        <f>'2020_B5'!$L$6</f>
        <v>Ausländerinnen und Ausländer</v>
      </c>
      <c r="D582" t="s">
        <v>4</v>
      </c>
      <c r="E582" t="str">
        <f>VLOOKUP(A582,[1]Kreise!$A$1:$C$53,3,FALSE)</f>
        <v>K03159</v>
      </c>
      <c r="F582">
        <f>'2020_B5'!N18</f>
        <v>36</v>
      </c>
    </row>
    <row r="583" spans="1:6" x14ac:dyDescent="0.25">
      <c r="A583">
        <f>'2020_B5'!A19</f>
        <v>1</v>
      </c>
      <c r="B583">
        <f>Tabelle2!$A$3</f>
        <v>2015</v>
      </c>
      <c r="C583" t="str">
        <f>'2020_B5'!$L$6</f>
        <v>Ausländerinnen und Ausländer</v>
      </c>
      <c r="D583" t="s">
        <v>4</v>
      </c>
      <c r="E583" t="str">
        <f>VLOOKUP(A583,[1]Kreise!$A$1:$C$53,3,FALSE)</f>
        <v>K031</v>
      </c>
      <c r="F583">
        <f>'2020_B5'!N19</f>
        <v>158</v>
      </c>
    </row>
    <row r="584" spans="1:6" x14ac:dyDescent="0.25">
      <c r="A584">
        <f>'2020_B5'!A20</f>
        <v>241</v>
      </c>
      <c r="B584">
        <f>Tabelle2!$A$3</f>
        <v>2015</v>
      </c>
      <c r="C584" t="str">
        <f>'2020_B5'!$L$6</f>
        <v>Ausländerinnen und Ausländer</v>
      </c>
      <c r="D584" t="s">
        <v>4</v>
      </c>
      <c r="E584" t="str">
        <f>VLOOKUP(A584,[1]Kreise!$A$1:$C$53,3,FALSE)</f>
        <v>K03241</v>
      </c>
      <c r="F584">
        <f>'2020_B5'!N20</f>
        <v>139</v>
      </c>
    </row>
    <row r="585" spans="1:6" x14ac:dyDescent="0.25">
      <c r="A585">
        <f>'2020_B5'!A21</f>
        <v>241001</v>
      </c>
      <c r="B585">
        <f>Tabelle2!$A$3</f>
        <v>2015</v>
      </c>
      <c r="C585" t="str">
        <f>'2020_B5'!$L$6</f>
        <v>Ausländerinnen und Ausländer</v>
      </c>
      <c r="D585" t="s">
        <v>4</v>
      </c>
      <c r="E585" t="str">
        <f>VLOOKUP(A585,[1]Kreise!$A$1:$C$53,3,FALSE)</f>
        <v>K03241001</v>
      </c>
      <c r="F585">
        <f>'2020_B5'!N21</f>
        <v>72</v>
      </c>
    </row>
    <row r="586" spans="1:6" x14ac:dyDescent="0.25">
      <c r="A586">
        <f>'2020_B5'!A22</f>
        <v>241999</v>
      </c>
      <c r="B586">
        <f>Tabelle2!$A$3</f>
        <v>2015</v>
      </c>
      <c r="C586" t="str">
        <f>'2020_B5'!$L$6</f>
        <v>Ausländerinnen und Ausländer</v>
      </c>
      <c r="D586" t="s">
        <v>4</v>
      </c>
      <c r="E586" t="str">
        <f>VLOOKUP(A586,[1]Kreise!$A$1:$C$53,3,FALSE)</f>
        <v>K03241999</v>
      </c>
      <c r="F586">
        <f>'2020_B5'!N22</f>
        <v>67</v>
      </c>
    </row>
    <row r="587" spans="1:6" x14ac:dyDescent="0.25">
      <c r="A587">
        <f>'2020_B5'!A23</f>
        <v>251</v>
      </c>
      <c r="B587">
        <f>Tabelle2!$A$3</f>
        <v>2015</v>
      </c>
      <c r="C587" t="str">
        <f>'2020_B5'!$L$6</f>
        <v>Ausländerinnen und Ausländer</v>
      </c>
      <c r="D587" t="s">
        <v>4</v>
      </c>
      <c r="E587" t="str">
        <f>VLOOKUP(A587,[1]Kreise!$A$1:$C$53,3,FALSE)</f>
        <v>K03251</v>
      </c>
      <c r="F587">
        <f>'2020_B5'!N23</f>
        <v>11</v>
      </c>
    </row>
    <row r="588" spans="1:6" x14ac:dyDescent="0.25">
      <c r="A588">
        <f>'2020_B5'!A24</f>
        <v>252</v>
      </c>
      <c r="B588">
        <f>Tabelle2!$A$3</f>
        <v>2015</v>
      </c>
      <c r="C588" t="str">
        <f>'2020_B5'!$L$6</f>
        <v>Ausländerinnen und Ausländer</v>
      </c>
      <c r="D588" t="s">
        <v>4</v>
      </c>
      <c r="E588" t="str">
        <f>VLOOKUP(A588,[1]Kreise!$A$1:$C$53,3,FALSE)</f>
        <v>K03252</v>
      </c>
      <c r="F588">
        <f>'2020_B5'!N24</f>
        <v>21</v>
      </c>
    </row>
    <row r="589" spans="1:6" x14ac:dyDescent="0.25">
      <c r="A589">
        <f>'2020_B5'!A25</f>
        <v>254</v>
      </c>
      <c r="B589">
        <f>Tabelle2!$A$3</f>
        <v>2015</v>
      </c>
      <c r="C589" t="str">
        <f>'2020_B5'!$L$6</f>
        <v>Ausländerinnen und Ausländer</v>
      </c>
      <c r="D589" t="s">
        <v>4</v>
      </c>
      <c r="E589" t="str">
        <f>VLOOKUP(A589,[1]Kreise!$A$1:$C$53,3,FALSE)</f>
        <v>K03254</v>
      </c>
      <c r="F589">
        <f>'2020_B5'!N25</f>
        <v>25</v>
      </c>
    </row>
    <row r="590" spans="1:6" x14ac:dyDescent="0.25">
      <c r="A590">
        <f>'2020_B5'!A26</f>
        <v>255</v>
      </c>
      <c r="B590">
        <f>Tabelle2!$A$3</f>
        <v>2015</v>
      </c>
      <c r="C590" t="str">
        <f>'2020_B5'!$L$6</f>
        <v>Ausländerinnen und Ausländer</v>
      </c>
      <c r="D590" t="s">
        <v>4</v>
      </c>
      <c r="E590" t="str">
        <f>VLOOKUP(A590,[1]Kreise!$A$1:$C$53,3,FALSE)</f>
        <v>K03255</v>
      </c>
      <c r="F590">
        <f>'2020_B5'!N26</f>
        <v>6</v>
      </c>
    </row>
    <row r="591" spans="1:6" x14ac:dyDescent="0.25">
      <c r="A591">
        <f>'2020_B5'!A27</f>
        <v>256</v>
      </c>
      <c r="B591">
        <f>Tabelle2!$A$3</f>
        <v>2015</v>
      </c>
      <c r="C591" t="str">
        <f>'2020_B5'!$L$6</f>
        <v>Ausländerinnen und Ausländer</v>
      </c>
      <c r="D591" t="s">
        <v>4</v>
      </c>
      <c r="E591" t="str">
        <f>VLOOKUP(A591,[1]Kreise!$A$1:$C$53,3,FALSE)</f>
        <v>K03256</v>
      </c>
      <c r="F591">
        <f>'2020_B5'!N27</f>
        <v>19</v>
      </c>
    </row>
    <row r="592" spans="1:6" x14ac:dyDescent="0.25">
      <c r="A592">
        <f>'2020_B5'!A28</f>
        <v>257</v>
      </c>
      <c r="B592">
        <f>Tabelle2!$A$3</f>
        <v>2015</v>
      </c>
      <c r="C592" t="str">
        <f>'2020_B5'!$L$6</f>
        <v>Ausländerinnen und Ausländer</v>
      </c>
      <c r="D592" t="s">
        <v>4</v>
      </c>
      <c r="E592" t="str">
        <f>VLOOKUP(A592,[1]Kreise!$A$1:$C$53,3,FALSE)</f>
        <v>K03257</v>
      </c>
      <c r="F592">
        <f>'2020_B5'!N28</f>
        <v>18</v>
      </c>
    </row>
    <row r="593" spans="1:6" x14ac:dyDescent="0.25">
      <c r="A593">
        <f>'2020_B5'!A29</f>
        <v>2</v>
      </c>
      <c r="B593">
        <f>Tabelle2!$A$3</f>
        <v>2015</v>
      </c>
      <c r="C593" t="str">
        <f>'2020_B5'!$L$6</f>
        <v>Ausländerinnen und Ausländer</v>
      </c>
      <c r="D593" t="s">
        <v>4</v>
      </c>
      <c r="E593" t="str">
        <f>VLOOKUP(A593,[1]Kreise!$A$1:$C$53,3,FALSE)</f>
        <v>K032</v>
      </c>
      <c r="F593">
        <f>'2020_B5'!N29</f>
        <v>239</v>
      </c>
    </row>
    <row r="594" spans="1:6" x14ac:dyDescent="0.25">
      <c r="A594">
        <f>'2020_B5'!A30</f>
        <v>351</v>
      </c>
      <c r="B594">
        <f>Tabelle2!$A$3</f>
        <v>2015</v>
      </c>
      <c r="C594" t="str">
        <f>'2020_B5'!$L$6</f>
        <v>Ausländerinnen und Ausländer</v>
      </c>
      <c r="D594" t="s">
        <v>4</v>
      </c>
      <c r="E594" t="str">
        <f>VLOOKUP(A594,[1]Kreise!$A$1:$C$53,3,FALSE)</f>
        <v>K03351</v>
      </c>
      <c r="F594">
        <f>'2020_B5'!N30</f>
        <v>9</v>
      </c>
    </row>
    <row r="595" spans="1:6" x14ac:dyDescent="0.25">
      <c r="A595">
        <f>'2020_B5'!A31</f>
        <v>352</v>
      </c>
      <c r="B595">
        <f>Tabelle2!$A$3</f>
        <v>2015</v>
      </c>
      <c r="C595" t="str">
        <f>'2020_B5'!$L$6</f>
        <v>Ausländerinnen und Ausländer</v>
      </c>
      <c r="D595" t="s">
        <v>4</v>
      </c>
      <c r="E595" t="str">
        <f>VLOOKUP(A595,[1]Kreise!$A$1:$C$53,3,FALSE)</f>
        <v>K03352</v>
      </c>
      <c r="F595">
        <f>'2020_B5'!N31</f>
        <v>17</v>
      </c>
    </row>
    <row r="596" spans="1:6" x14ac:dyDescent="0.25">
      <c r="A596">
        <f>'2020_B5'!A32</f>
        <v>353</v>
      </c>
      <c r="B596">
        <f>Tabelle2!$A$3</f>
        <v>2015</v>
      </c>
      <c r="C596" t="str">
        <f>'2020_B5'!$L$6</f>
        <v>Ausländerinnen und Ausländer</v>
      </c>
      <c r="D596" t="s">
        <v>4</v>
      </c>
      <c r="E596" t="str">
        <f>VLOOKUP(A596,[1]Kreise!$A$1:$C$53,3,FALSE)</f>
        <v>K03353</v>
      </c>
      <c r="F596">
        <f>'2020_B5'!N32</f>
        <v>7</v>
      </c>
    </row>
    <row r="597" spans="1:6" x14ac:dyDescent="0.25">
      <c r="A597">
        <f>'2020_B5'!A33</f>
        <v>354</v>
      </c>
      <c r="B597">
        <f>Tabelle2!$A$3</f>
        <v>2015</v>
      </c>
      <c r="C597" t="str">
        <f>'2020_B5'!$L$6</f>
        <v>Ausländerinnen und Ausländer</v>
      </c>
      <c r="D597" t="s">
        <v>4</v>
      </c>
      <c r="E597" t="str">
        <f>VLOOKUP(A597,[1]Kreise!$A$1:$C$53,3,FALSE)</f>
        <v>K03354</v>
      </c>
      <c r="F597">
        <f>'2020_B5'!N33</f>
        <v>2</v>
      </c>
    </row>
    <row r="598" spans="1:6" x14ac:dyDescent="0.25">
      <c r="A598">
        <f>'2020_B5'!A34</f>
        <v>355</v>
      </c>
      <c r="B598">
        <f>Tabelle2!$A$3</f>
        <v>2015</v>
      </c>
      <c r="C598" t="str">
        <f>'2020_B5'!$L$6</f>
        <v>Ausländerinnen und Ausländer</v>
      </c>
      <c r="D598" t="s">
        <v>4</v>
      </c>
      <c r="E598" t="str">
        <f>VLOOKUP(A598,[1]Kreise!$A$1:$C$53,3,FALSE)</f>
        <v>K03355</v>
      </c>
      <c r="F598">
        <f>'2020_B5'!N34</f>
        <v>7</v>
      </c>
    </row>
    <row r="599" spans="1:6" x14ac:dyDescent="0.25">
      <c r="A599">
        <f>'2020_B5'!A35</f>
        <v>356</v>
      </c>
      <c r="B599">
        <f>Tabelle2!$A$3</f>
        <v>2015</v>
      </c>
      <c r="C599" t="str">
        <f>'2020_B5'!$L$6</f>
        <v>Ausländerinnen und Ausländer</v>
      </c>
      <c r="D599" t="s">
        <v>4</v>
      </c>
      <c r="E599" t="str">
        <f>VLOOKUP(A599,[1]Kreise!$A$1:$C$53,3,FALSE)</f>
        <v>K03356</v>
      </c>
      <c r="F599">
        <f>'2020_B5'!N35</f>
        <v>4</v>
      </c>
    </row>
    <row r="600" spans="1:6" x14ac:dyDescent="0.25">
      <c r="A600">
        <f>'2020_B5'!A36</f>
        <v>357</v>
      </c>
      <c r="B600">
        <f>Tabelle2!$A$3</f>
        <v>2015</v>
      </c>
      <c r="C600" t="str">
        <f>'2020_B5'!$L$6</f>
        <v>Ausländerinnen und Ausländer</v>
      </c>
      <c r="D600" t="s">
        <v>4</v>
      </c>
      <c r="E600" t="str">
        <f>VLOOKUP(A600,[1]Kreise!$A$1:$C$53,3,FALSE)</f>
        <v>K03357</v>
      </c>
      <c r="F600">
        <f>'2020_B5'!N36</f>
        <v>9</v>
      </c>
    </row>
    <row r="601" spans="1:6" x14ac:dyDescent="0.25">
      <c r="A601">
        <f>'2020_B5'!A37</f>
        <v>358</v>
      </c>
      <c r="B601">
        <f>Tabelle2!$A$3</f>
        <v>2015</v>
      </c>
      <c r="C601" t="str">
        <f>'2020_B5'!$L$6</f>
        <v>Ausländerinnen und Ausländer</v>
      </c>
      <c r="D601" t="s">
        <v>4</v>
      </c>
      <c r="E601" t="str">
        <f>VLOOKUP(A601,[1]Kreise!$A$1:$C$53,3,FALSE)</f>
        <v>K03358</v>
      </c>
      <c r="F601">
        <f>'2020_B5'!N37</f>
        <v>15</v>
      </c>
    </row>
    <row r="602" spans="1:6" x14ac:dyDescent="0.25">
      <c r="A602">
        <f>'2020_B5'!A38</f>
        <v>359</v>
      </c>
      <c r="B602">
        <f>Tabelle2!$A$3</f>
        <v>2015</v>
      </c>
      <c r="C602" t="str">
        <f>'2020_B5'!$L$6</f>
        <v>Ausländerinnen und Ausländer</v>
      </c>
      <c r="D602" t="s">
        <v>4</v>
      </c>
      <c r="E602" t="str">
        <f>VLOOKUP(A602,[1]Kreise!$A$1:$C$53,3,FALSE)</f>
        <v>K03359</v>
      </c>
      <c r="F602">
        <f>'2020_B5'!N38</f>
        <v>28</v>
      </c>
    </row>
    <row r="603" spans="1:6" x14ac:dyDescent="0.25">
      <c r="A603">
        <f>'2020_B5'!A39</f>
        <v>360</v>
      </c>
      <c r="B603">
        <f>Tabelle2!$A$3</f>
        <v>2015</v>
      </c>
      <c r="C603" t="str">
        <f>'2020_B5'!$L$6</f>
        <v>Ausländerinnen und Ausländer</v>
      </c>
      <c r="D603" t="s">
        <v>4</v>
      </c>
      <c r="E603" t="str">
        <f>VLOOKUP(A603,[1]Kreise!$A$1:$C$53,3,FALSE)</f>
        <v>K03360</v>
      </c>
      <c r="F603">
        <f>'2020_B5'!N39</f>
        <v>5</v>
      </c>
    </row>
    <row r="604" spans="1:6" x14ac:dyDescent="0.25">
      <c r="A604">
        <f>'2020_B5'!A40</f>
        <v>361</v>
      </c>
      <c r="B604">
        <f>Tabelle2!$A$3</f>
        <v>2015</v>
      </c>
      <c r="C604" t="str">
        <f>'2020_B5'!$L$6</f>
        <v>Ausländerinnen und Ausländer</v>
      </c>
      <c r="D604" t="s">
        <v>4</v>
      </c>
      <c r="E604" t="str">
        <f>VLOOKUP(A604,[1]Kreise!$A$1:$C$53,3,FALSE)</f>
        <v>K03361</v>
      </c>
      <c r="F604">
        <f>'2020_B5'!N40</f>
        <v>21</v>
      </c>
    </row>
    <row r="605" spans="1:6" x14ac:dyDescent="0.25">
      <c r="A605">
        <f>'2020_B5'!A41</f>
        <v>3</v>
      </c>
      <c r="B605">
        <f>Tabelle2!$A$3</f>
        <v>2015</v>
      </c>
      <c r="C605" t="str">
        <f>'2020_B5'!$L$6</f>
        <v>Ausländerinnen und Ausländer</v>
      </c>
      <c r="D605" t="s">
        <v>4</v>
      </c>
      <c r="E605" t="str">
        <f>VLOOKUP(A605,[1]Kreise!$A$1:$C$53,3,FALSE)</f>
        <v>K033</v>
      </c>
      <c r="F605">
        <f>'2020_B5'!N41</f>
        <v>124</v>
      </c>
    </row>
    <row r="606" spans="1:6" x14ac:dyDescent="0.25">
      <c r="A606">
        <f>'2020_B5'!A42</f>
        <v>401</v>
      </c>
      <c r="B606">
        <f>Tabelle2!$A$3</f>
        <v>2015</v>
      </c>
      <c r="C606" t="str">
        <f>'2020_B5'!$L$6</f>
        <v>Ausländerinnen und Ausländer</v>
      </c>
      <c r="D606" t="s">
        <v>4</v>
      </c>
      <c r="E606" t="str">
        <f>VLOOKUP(A606,[1]Kreise!$A$1:$C$53,3,FALSE)</f>
        <v>K03401</v>
      </c>
      <c r="F606">
        <f>'2020_B5'!N42</f>
        <v>28</v>
      </c>
    </row>
    <row r="607" spans="1:6" x14ac:dyDescent="0.25">
      <c r="A607">
        <f>'2020_B5'!A43</f>
        <v>402</v>
      </c>
      <c r="B607">
        <f>Tabelle2!$A$3</f>
        <v>2015</v>
      </c>
      <c r="C607" t="str">
        <f>'2020_B5'!$L$6</f>
        <v>Ausländerinnen und Ausländer</v>
      </c>
      <c r="D607" t="s">
        <v>4</v>
      </c>
      <c r="E607" t="str">
        <f>VLOOKUP(A607,[1]Kreise!$A$1:$C$53,3,FALSE)</f>
        <v>K03402</v>
      </c>
      <c r="F607">
        <f>'2020_B5'!N43</f>
        <v>9</v>
      </c>
    </row>
    <row r="608" spans="1:6" x14ac:dyDescent="0.25">
      <c r="A608">
        <f>'2020_B5'!A44</f>
        <v>403</v>
      </c>
      <c r="B608">
        <f>Tabelle2!$A$3</f>
        <v>2015</v>
      </c>
      <c r="C608" t="str">
        <f>'2020_B5'!$L$6</f>
        <v>Ausländerinnen und Ausländer</v>
      </c>
      <c r="D608" t="s">
        <v>4</v>
      </c>
      <c r="E608" t="str">
        <f>VLOOKUP(A608,[1]Kreise!$A$1:$C$53,3,FALSE)</f>
        <v>K03403</v>
      </c>
      <c r="F608">
        <f>'2020_B5'!N44</f>
        <v>15</v>
      </c>
    </row>
    <row r="609" spans="1:6" x14ac:dyDescent="0.25">
      <c r="A609">
        <f>'2020_B5'!A45</f>
        <v>404</v>
      </c>
      <c r="B609">
        <f>Tabelle2!$A$3</f>
        <v>2015</v>
      </c>
      <c r="C609" t="str">
        <f>'2020_B5'!$L$6</f>
        <v>Ausländerinnen und Ausländer</v>
      </c>
      <c r="D609" t="s">
        <v>4</v>
      </c>
      <c r="E609" t="str">
        <f>VLOOKUP(A609,[1]Kreise!$A$1:$C$53,3,FALSE)</f>
        <v>K03404</v>
      </c>
      <c r="F609">
        <f>'2020_B5'!N45</f>
        <v>21</v>
      </c>
    </row>
    <row r="610" spans="1:6" x14ac:dyDescent="0.25">
      <c r="A610">
        <f>'2020_B5'!A46</f>
        <v>405</v>
      </c>
      <c r="B610">
        <f>Tabelle2!$A$3</f>
        <v>2015</v>
      </c>
      <c r="C610" t="str">
        <f>'2020_B5'!$L$6</f>
        <v>Ausländerinnen und Ausländer</v>
      </c>
      <c r="D610" t="s">
        <v>4</v>
      </c>
      <c r="E610" t="str">
        <f>VLOOKUP(A610,[1]Kreise!$A$1:$C$53,3,FALSE)</f>
        <v>K03405</v>
      </c>
      <c r="F610">
        <f>'2020_B5'!N46</f>
        <v>2</v>
      </c>
    </row>
    <row r="611" spans="1:6" x14ac:dyDescent="0.25">
      <c r="A611">
        <f>'2020_B5'!A47</f>
        <v>451</v>
      </c>
      <c r="B611">
        <f>Tabelle2!$A$3</f>
        <v>2015</v>
      </c>
      <c r="C611" t="str">
        <f>'2020_B5'!$L$6</f>
        <v>Ausländerinnen und Ausländer</v>
      </c>
      <c r="D611" t="s">
        <v>4</v>
      </c>
      <c r="E611" t="str">
        <f>VLOOKUP(A611,[1]Kreise!$A$1:$C$53,3,FALSE)</f>
        <v>K03451</v>
      </c>
      <c r="F611">
        <f>'2020_B5'!N47</f>
        <v>2</v>
      </c>
    </row>
    <row r="612" spans="1:6" x14ac:dyDescent="0.25">
      <c r="A612">
        <f>'2020_B5'!A48</f>
        <v>452</v>
      </c>
      <c r="B612">
        <f>Tabelle2!$A$3</f>
        <v>2015</v>
      </c>
      <c r="C612" t="str">
        <f>'2020_B5'!$L$6</f>
        <v>Ausländerinnen und Ausländer</v>
      </c>
      <c r="D612" t="s">
        <v>4</v>
      </c>
      <c r="E612" t="str">
        <f>VLOOKUP(A612,[1]Kreise!$A$1:$C$53,3,FALSE)</f>
        <v>K03452</v>
      </c>
      <c r="F612">
        <f>'2020_B5'!N48</f>
        <v>7</v>
      </c>
    </row>
    <row r="613" spans="1:6" x14ac:dyDescent="0.25">
      <c r="A613">
        <f>'2020_B5'!A49</f>
        <v>453</v>
      </c>
      <c r="B613">
        <f>Tabelle2!$A$3</f>
        <v>2015</v>
      </c>
      <c r="C613" t="str">
        <f>'2020_B5'!$L$6</f>
        <v>Ausländerinnen und Ausländer</v>
      </c>
      <c r="D613" t="s">
        <v>4</v>
      </c>
      <c r="E613" t="str">
        <f>VLOOKUP(A613,[1]Kreise!$A$1:$C$53,3,FALSE)</f>
        <v>K03453</v>
      </c>
      <c r="F613">
        <f>'2020_B5'!N49</f>
        <v>7</v>
      </c>
    </row>
    <row r="614" spans="1:6" x14ac:dyDescent="0.25">
      <c r="A614">
        <f>'2020_B5'!A50</f>
        <v>454</v>
      </c>
      <c r="B614">
        <f>Tabelle2!$A$3</f>
        <v>2015</v>
      </c>
      <c r="C614" t="str">
        <f>'2020_B5'!$L$6</f>
        <v>Ausländerinnen und Ausländer</v>
      </c>
      <c r="D614" t="s">
        <v>4</v>
      </c>
      <c r="E614" t="str">
        <f>VLOOKUP(A614,[1]Kreise!$A$1:$C$53,3,FALSE)</f>
        <v>K03454</v>
      </c>
      <c r="F614">
        <f>'2020_B5'!N50</f>
        <v>35</v>
      </c>
    </row>
    <row r="615" spans="1:6" x14ac:dyDescent="0.25">
      <c r="A615">
        <f>'2020_B5'!A51</f>
        <v>455</v>
      </c>
      <c r="B615">
        <f>Tabelle2!$A$3</f>
        <v>2015</v>
      </c>
      <c r="C615" t="str">
        <f>'2020_B5'!$L$6</f>
        <v>Ausländerinnen und Ausländer</v>
      </c>
      <c r="D615" t="s">
        <v>4</v>
      </c>
      <c r="E615" t="str">
        <f>VLOOKUP(A615,[1]Kreise!$A$1:$C$53,3,FALSE)</f>
        <v>K03455</v>
      </c>
      <c r="F615">
        <f>'2020_B5'!N51</f>
        <v>10</v>
      </c>
    </row>
    <row r="616" spans="1:6" x14ac:dyDescent="0.25">
      <c r="A616">
        <f>'2020_B5'!A52</f>
        <v>456</v>
      </c>
      <c r="B616">
        <f>Tabelle2!$A$3</f>
        <v>2015</v>
      </c>
      <c r="C616" t="str">
        <f>'2020_B5'!$L$6</f>
        <v>Ausländerinnen und Ausländer</v>
      </c>
      <c r="D616" t="s">
        <v>4</v>
      </c>
      <c r="E616" t="str">
        <f>VLOOKUP(A616,[1]Kreise!$A$1:$C$53,3,FALSE)</f>
        <v>K03456</v>
      </c>
      <c r="F616">
        <f>'2020_B5'!N52</f>
        <v>31</v>
      </c>
    </row>
    <row r="617" spans="1:6" x14ac:dyDescent="0.25">
      <c r="A617">
        <f>'2020_B5'!A53</f>
        <v>457</v>
      </c>
      <c r="B617">
        <f>Tabelle2!$A$3</f>
        <v>2015</v>
      </c>
      <c r="C617" t="str">
        <f>'2020_B5'!$L$6</f>
        <v>Ausländerinnen und Ausländer</v>
      </c>
      <c r="D617" t="s">
        <v>4</v>
      </c>
      <c r="E617" t="str">
        <f>VLOOKUP(A617,[1]Kreise!$A$1:$C$53,3,FALSE)</f>
        <v>K03457</v>
      </c>
      <c r="F617">
        <f>'2020_B5'!N53</f>
        <v>17</v>
      </c>
    </row>
    <row r="618" spans="1:6" x14ac:dyDescent="0.25">
      <c r="A618">
        <f>'2020_B5'!A54</f>
        <v>458</v>
      </c>
      <c r="B618">
        <f>Tabelle2!$A$3</f>
        <v>2015</v>
      </c>
      <c r="C618" t="str">
        <f>'2020_B5'!$L$6</f>
        <v>Ausländerinnen und Ausländer</v>
      </c>
      <c r="D618" t="s">
        <v>4</v>
      </c>
      <c r="E618" t="str">
        <f>VLOOKUP(A618,[1]Kreise!$A$1:$C$53,3,FALSE)</f>
        <v>K03458</v>
      </c>
      <c r="F618">
        <f>'2020_B5'!N54</f>
        <v>8</v>
      </c>
    </row>
    <row r="619" spans="1:6" x14ac:dyDescent="0.25">
      <c r="A619">
        <f>'2020_B5'!A55</f>
        <v>459</v>
      </c>
      <c r="B619">
        <f>Tabelle2!$A$3</f>
        <v>2015</v>
      </c>
      <c r="C619" t="str">
        <f>'2020_B5'!$L$6</f>
        <v>Ausländerinnen und Ausländer</v>
      </c>
      <c r="D619" t="s">
        <v>4</v>
      </c>
      <c r="E619" t="str">
        <f>VLOOKUP(A619,[1]Kreise!$A$1:$C$53,3,FALSE)</f>
        <v>K03459</v>
      </c>
      <c r="F619">
        <f>'2020_B5'!N55</f>
        <v>52</v>
      </c>
    </row>
    <row r="620" spans="1:6" x14ac:dyDescent="0.25">
      <c r="A620">
        <f>'2020_B5'!A56</f>
        <v>460</v>
      </c>
      <c r="B620">
        <f>Tabelle2!$A$3</f>
        <v>2015</v>
      </c>
      <c r="C620" t="str">
        <f>'2020_B5'!$L$6</f>
        <v>Ausländerinnen und Ausländer</v>
      </c>
      <c r="D620" t="s">
        <v>4</v>
      </c>
      <c r="E620" t="str">
        <f>VLOOKUP(A620,[1]Kreise!$A$1:$C$53,3,FALSE)</f>
        <v>K03460</v>
      </c>
      <c r="F620">
        <f>'2020_B5'!N56</f>
        <v>24</v>
      </c>
    </row>
    <row r="621" spans="1:6" x14ac:dyDescent="0.25">
      <c r="A621">
        <f>'2020_B5'!A57</f>
        <v>461</v>
      </c>
      <c r="B621">
        <f>Tabelle2!$A$3</f>
        <v>2015</v>
      </c>
      <c r="C621" t="str">
        <f>'2020_B5'!$L$6</f>
        <v>Ausländerinnen und Ausländer</v>
      </c>
      <c r="D621" t="s">
        <v>4</v>
      </c>
      <c r="E621" t="str">
        <f>VLOOKUP(A621,[1]Kreise!$A$1:$C$53,3,FALSE)</f>
        <v>K03461</v>
      </c>
      <c r="F621">
        <f>'2020_B5'!N57</f>
        <v>8</v>
      </c>
    </row>
    <row r="622" spans="1:6" x14ac:dyDescent="0.25">
      <c r="A622">
        <f>'2020_B5'!A58</f>
        <v>462</v>
      </c>
      <c r="B622">
        <f>Tabelle2!$A$3</f>
        <v>2015</v>
      </c>
      <c r="C622" t="str">
        <f>'2020_B5'!$L$6</f>
        <v>Ausländerinnen und Ausländer</v>
      </c>
      <c r="D622" t="s">
        <v>4</v>
      </c>
      <c r="E622" t="str">
        <f>VLOOKUP(A622,[1]Kreise!$A$1:$C$53,3,FALSE)</f>
        <v>K03462</v>
      </c>
      <c r="F622">
        <f>'2020_B5'!N58</f>
        <v>6</v>
      </c>
    </row>
    <row r="623" spans="1:6" x14ac:dyDescent="0.25">
      <c r="A623">
        <f>'2020_B5'!A59</f>
        <v>4</v>
      </c>
      <c r="B623">
        <f>Tabelle2!$A$3</f>
        <v>2015</v>
      </c>
      <c r="C623" t="str">
        <f>'2020_B5'!$L$6</f>
        <v>Ausländerinnen und Ausländer</v>
      </c>
      <c r="D623" t="s">
        <v>4</v>
      </c>
      <c r="E623" t="str">
        <f>VLOOKUP(A623,[1]Kreise!$A$1:$C$53,3,FALSE)</f>
        <v>K034</v>
      </c>
      <c r="F623">
        <f>'2020_B5'!N59</f>
        <v>282</v>
      </c>
    </row>
    <row r="624" spans="1:6" x14ac:dyDescent="0.25">
      <c r="A624">
        <f>'2020_B5'!A60</f>
        <v>0</v>
      </c>
      <c r="B624">
        <f>Tabelle2!$A$3</f>
        <v>2015</v>
      </c>
      <c r="C624" t="str">
        <f>'2020_B5'!$L$6</f>
        <v>Ausländerinnen und Ausländer</v>
      </c>
      <c r="D624" t="s">
        <v>4</v>
      </c>
      <c r="E624" t="str">
        <f>VLOOKUP(A624,[1]Kreise!$A$1:$C$53,3,FALSE)</f>
        <v>K030</v>
      </c>
      <c r="F624">
        <f>'2020_B5'!N60</f>
        <v>803</v>
      </c>
    </row>
    <row r="625" spans="1:6" x14ac:dyDescent="0.25">
      <c r="A625">
        <f>'2020_B5'!A113</f>
        <v>455</v>
      </c>
      <c r="B625">
        <f>Tabelle2!$A$3</f>
        <v>2015</v>
      </c>
      <c r="C625" t="str">
        <f>'2020_B5'!$G$6</f>
        <v>Deutsche</v>
      </c>
      <c r="D625" t="s">
        <v>4</v>
      </c>
      <c r="E625" t="str">
        <f>VLOOKUP(A625,[1]Kreise!$A$1:$C$53,3,FALSE)</f>
        <v>K03455</v>
      </c>
      <c r="F625">
        <f>'2020_B5'!M113</f>
        <v>3.730569948186528</v>
      </c>
    </row>
    <row r="626" spans="1:6" x14ac:dyDescent="0.25">
      <c r="A626">
        <f>'2020_B5'!A114</f>
        <v>456</v>
      </c>
      <c r="B626">
        <f>Tabelle2!$A$3</f>
        <v>2015</v>
      </c>
      <c r="C626" t="str">
        <f>'2020_B5'!$G$6</f>
        <v>Deutsche</v>
      </c>
      <c r="D626" t="s">
        <v>4</v>
      </c>
      <c r="E626" t="str">
        <f>VLOOKUP(A626,[1]Kreise!$A$1:$C$53,3,FALSE)</f>
        <v>K03456</v>
      </c>
      <c r="F626">
        <f>'2020_B5'!M114</f>
        <v>6.2371487320082251</v>
      </c>
    </row>
    <row r="627" spans="1:6" x14ac:dyDescent="0.25">
      <c r="A627">
        <f>'2020_B5'!A115</f>
        <v>457</v>
      </c>
      <c r="B627">
        <f>Tabelle2!$A$3</f>
        <v>2015</v>
      </c>
      <c r="C627" t="str">
        <f>'2020_B5'!$G$6</f>
        <v>Deutsche</v>
      </c>
      <c r="D627" t="s">
        <v>4</v>
      </c>
      <c r="E627" t="str">
        <f>VLOOKUP(A627,[1]Kreise!$A$1:$C$53,3,FALSE)</f>
        <v>K03457</v>
      </c>
      <c r="F627">
        <f>'2020_B5'!M115</f>
        <v>7.8902229845626071</v>
      </c>
    </row>
    <row r="628" spans="1:6" x14ac:dyDescent="0.25">
      <c r="A628">
        <f>'2020_B5'!A116</f>
        <v>458</v>
      </c>
      <c r="B628">
        <f>Tabelle2!$A$3</f>
        <v>2015</v>
      </c>
      <c r="C628" t="str">
        <f>'2020_B5'!$G$6</f>
        <v>Deutsche</v>
      </c>
      <c r="D628" t="s">
        <v>4</v>
      </c>
      <c r="E628" t="str">
        <f>VLOOKUP(A628,[1]Kreise!$A$1:$C$53,3,FALSE)</f>
        <v>K03458</v>
      </c>
      <c r="F628">
        <f>'2020_B5'!M116</f>
        <v>3.5714285714285712</v>
      </c>
    </row>
    <row r="629" spans="1:6" x14ac:dyDescent="0.25">
      <c r="A629">
        <f>'2020_B5'!A117</f>
        <v>459</v>
      </c>
      <c r="B629">
        <f>Tabelle2!$A$3</f>
        <v>2015</v>
      </c>
      <c r="C629" t="str">
        <f>'2020_B5'!$G$6</f>
        <v>Deutsche</v>
      </c>
      <c r="D629" t="s">
        <v>4</v>
      </c>
      <c r="E629" t="str">
        <f>VLOOKUP(A629,[1]Kreise!$A$1:$C$53,3,FALSE)</f>
        <v>K03459</v>
      </c>
      <c r="F629">
        <f>'2020_B5'!M117</f>
        <v>4.6783625730994149</v>
      </c>
    </row>
    <row r="630" spans="1:6" x14ac:dyDescent="0.25">
      <c r="A630">
        <f>'2020_B5'!A118</f>
        <v>460</v>
      </c>
      <c r="B630">
        <f>Tabelle2!$A$3</f>
        <v>2015</v>
      </c>
      <c r="C630" t="str">
        <f>'2020_B5'!$G$6</f>
        <v>Deutsche</v>
      </c>
      <c r="D630" t="s">
        <v>4</v>
      </c>
      <c r="E630" t="str">
        <f>VLOOKUP(A630,[1]Kreise!$A$1:$C$53,3,FALSE)</f>
        <v>K03460</v>
      </c>
      <c r="F630">
        <f>'2020_B5'!M118</f>
        <v>5.3658536585365857</v>
      </c>
    </row>
    <row r="631" spans="1:6" x14ac:dyDescent="0.25">
      <c r="A631">
        <f>'2020_B5'!A119</f>
        <v>461</v>
      </c>
      <c r="B631">
        <f>Tabelle2!$A$3</f>
        <v>2015</v>
      </c>
      <c r="C631" t="str">
        <f>'2020_B5'!$G$6</f>
        <v>Deutsche</v>
      </c>
      <c r="D631" t="s">
        <v>4</v>
      </c>
      <c r="E631" t="str">
        <f>VLOOKUP(A631,[1]Kreise!$A$1:$C$53,3,FALSE)</f>
        <v>K03461</v>
      </c>
      <c r="F631">
        <f>'2020_B5'!M119</f>
        <v>5</v>
      </c>
    </row>
    <row r="632" spans="1:6" x14ac:dyDescent="0.25">
      <c r="A632">
        <f>'2020_B5'!A120</f>
        <v>462</v>
      </c>
      <c r="B632">
        <f>Tabelle2!$A$3</f>
        <v>2015</v>
      </c>
      <c r="C632" t="str">
        <f>'2020_B5'!$G$6</f>
        <v>Deutsche</v>
      </c>
      <c r="D632" t="s">
        <v>4</v>
      </c>
      <c r="E632" t="str">
        <f>VLOOKUP(A632,[1]Kreise!$A$1:$C$53,3,FALSE)</f>
        <v>K03462</v>
      </c>
      <c r="F632">
        <f>'2020_B5'!M120</f>
        <v>4.8920863309352516</v>
      </c>
    </row>
    <row r="633" spans="1:6" x14ac:dyDescent="0.25">
      <c r="A633">
        <f>'2020_B5'!A121</f>
        <v>4</v>
      </c>
      <c r="B633">
        <f>Tabelle2!$A$3</f>
        <v>2015</v>
      </c>
      <c r="C633" t="str">
        <f>'2020_B5'!$G$6</f>
        <v>Deutsche</v>
      </c>
      <c r="D633" t="s">
        <v>4</v>
      </c>
      <c r="E633" t="str">
        <f>VLOOKUP(A633,[1]Kreise!$A$1:$C$53,3,FALSE)</f>
        <v>K034</v>
      </c>
      <c r="F633">
        <f>'2020_B5'!M121</f>
        <v>5.2018202671205005</v>
      </c>
    </row>
    <row r="634" spans="1:6" x14ac:dyDescent="0.25">
      <c r="A634">
        <f>'2020_B5'!A122</f>
        <v>0</v>
      </c>
      <c r="B634">
        <f>Tabelle2!$A$3</f>
        <v>2015</v>
      </c>
      <c r="C634" t="str">
        <f>'2020_B5'!$G$6</f>
        <v>Deutsche</v>
      </c>
      <c r="D634" t="s">
        <v>4</v>
      </c>
      <c r="E634" t="str">
        <f>VLOOKUP(A634,[1]Kreise!$A$1:$C$53,3,FALSE)</f>
        <v>K030</v>
      </c>
      <c r="F634">
        <f>'2020_B5'!M122</f>
        <v>4.4078783345799053</v>
      </c>
    </row>
    <row r="635" spans="1:6" x14ac:dyDescent="0.25">
      <c r="A635">
        <f>'2020_B5'!A123</f>
        <v>0</v>
      </c>
      <c r="B635">
        <f>Tabelle2!$A$3</f>
        <v>2015</v>
      </c>
      <c r="C635" t="str">
        <f>'2020_B5'!$G$6</f>
        <v>Deutsche</v>
      </c>
      <c r="D635" t="s">
        <v>4</v>
      </c>
      <c r="E635" t="str">
        <f>VLOOKUP(A635,[1]Kreise!$A$1:$C$53,3,FALSE)</f>
        <v>K030</v>
      </c>
      <c r="F635">
        <f>'2020_B5'!M123</f>
        <v>0</v>
      </c>
    </row>
    <row r="636" spans="1:6" x14ac:dyDescent="0.25">
      <c r="A636">
        <f>'2020_B5'!A124</f>
        <v>0</v>
      </c>
      <c r="B636">
        <f>Tabelle2!$A$3</f>
        <v>2015</v>
      </c>
      <c r="C636" t="str">
        <f>'2020_B5'!$G$6</f>
        <v>Deutsche</v>
      </c>
      <c r="D636" t="s">
        <v>4</v>
      </c>
      <c r="E636" t="str">
        <f>VLOOKUP(A636,[1]Kreise!$A$1:$C$53,3,FALSE)</f>
        <v>K030</v>
      </c>
      <c r="F636">
        <f>'2020_B5'!M124</f>
        <v>0</v>
      </c>
    </row>
    <row r="637" spans="1:6" x14ac:dyDescent="0.25">
      <c r="A637">
        <f>'2020_B5'!A125</f>
        <v>0</v>
      </c>
      <c r="B637">
        <f>Tabelle2!$A$3</f>
        <v>2015</v>
      </c>
      <c r="C637" t="str">
        <f>'2020_B5'!$G$6</f>
        <v>Deutsche</v>
      </c>
      <c r="D637" t="s">
        <v>4</v>
      </c>
      <c r="E637" t="str">
        <f>VLOOKUP(A637,[1]Kreise!$A$1:$C$53,3,FALSE)</f>
        <v>K030</v>
      </c>
      <c r="F637">
        <f>'2020_B5'!M125</f>
        <v>0</v>
      </c>
    </row>
    <row r="638" spans="1:6" x14ac:dyDescent="0.25">
      <c r="A638">
        <f>'2020_B5'!A126</f>
        <v>0</v>
      </c>
      <c r="B638">
        <f>Tabelle2!$A$3</f>
        <v>2015</v>
      </c>
      <c r="C638" t="str">
        <f>'2020_B5'!$G$6</f>
        <v>Deutsche</v>
      </c>
      <c r="D638" t="s">
        <v>4</v>
      </c>
      <c r="E638" t="str">
        <f>VLOOKUP(A638,[1]Kreise!$A$1:$C$53,3,FALSE)</f>
        <v>K030</v>
      </c>
      <c r="F638">
        <f>'2020_B5'!M126</f>
        <v>0</v>
      </c>
    </row>
    <row r="639" spans="1:6" x14ac:dyDescent="0.25">
      <c r="A639">
        <f>'2020_B5'!A127</f>
        <v>0</v>
      </c>
      <c r="B639">
        <f>Tabelle2!$A$3</f>
        <v>2015</v>
      </c>
      <c r="C639" t="str">
        <f>'2020_B5'!$G$6</f>
        <v>Deutsche</v>
      </c>
      <c r="D639" t="s">
        <v>4</v>
      </c>
      <c r="E639" t="str">
        <f>VLOOKUP(A639,[1]Kreise!$A$1:$C$53,3,FALSE)</f>
        <v>K030</v>
      </c>
      <c r="F639">
        <f>'2020_B5'!M127</f>
        <v>0</v>
      </c>
    </row>
    <row r="640" spans="1:6" x14ac:dyDescent="0.25">
      <c r="A640">
        <f>'2020_B5'!A128</f>
        <v>0</v>
      </c>
      <c r="B640">
        <f>Tabelle2!$A$3</f>
        <v>2015</v>
      </c>
      <c r="C640" t="str">
        <f>'2020_B5'!$G$6</f>
        <v>Deutsche</v>
      </c>
      <c r="D640" t="s">
        <v>4</v>
      </c>
      <c r="E640" t="str">
        <f>VLOOKUP(A640,[1]Kreise!$A$1:$C$53,3,FALSE)</f>
        <v>K030</v>
      </c>
      <c r="F640">
        <f>'2020_B5'!M128</f>
        <v>0</v>
      </c>
    </row>
    <row r="641" spans="1:6" x14ac:dyDescent="0.25">
      <c r="A641">
        <f>'2020_B5'!A129</f>
        <v>0</v>
      </c>
      <c r="B641">
        <f>Tabelle2!$A$3</f>
        <v>2015</v>
      </c>
      <c r="C641" t="str">
        <f>'2020_B5'!$G$6</f>
        <v>Deutsche</v>
      </c>
      <c r="D641" t="s">
        <v>4</v>
      </c>
      <c r="E641" t="str">
        <f>VLOOKUP(A641,[1]Kreise!$A$1:$C$53,3,FALSE)</f>
        <v>K030</v>
      </c>
      <c r="F641">
        <f>'2020_B5'!M129</f>
        <v>0</v>
      </c>
    </row>
    <row r="642" spans="1:6" x14ac:dyDescent="0.25">
      <c r="A642">
        <f>'2020_B5'!A130</f>
        <v>0</v>
      </c>
      <c r="B642">
        <f>Tabelle2!$A$3</f>
        <v>2015</v>
      </c>
      <c r="C642" t="str">
        <f>'2020_B5'!$G$6</f>
        <v>Deutsche</v>
      </c>
      <c r="D642" t="s">
        <v>4</v>
      </c>
      <c r="E642" t="str">
        <f>VLOOKUP(A642,[1]Kreise!$A$1:$C$53,3,FALSE)</f>
        <v>K030</v>
      </c>
      <c r="F642">
        <f>'2020_B5'!M130</f>
        <v>0</v>
      </c>
    </row>
    <row r="643" spans="1:6" x14ac:dyDescent="0.25">
      <c r="A643">
        <f>'2020_B5'!A131</f>
        <v>0</v>
      </c>
      <c r="B643">
        <f>Tabelle2!$A$3</f>
        <v>2015</v>
      </c>
      <c r="C643" t="str">
        <f>'2020_B5'!$G$6</f>
        <v>Deutsche</v>
      </c>
      <c r="D643" t="s">
        <v>4</v>
      </c>
      <c r="E643" t="str">
        <f>VLOOKUP(A643,[1]Kreise!$A$1:$C$53,3,FALSE)</f>
        <v>K030</v>
      </c>
      <c r="F643">
        <f>'2020_B5'!M131</f>
        <v>0</v>
      </c>
    </row>
    <row r="644" spans="1:6" x14ac:dyDescent="0.25">
      <c r="A644">
        <f>'2020_B5'!A132</f>
        <v>0</v>
      </c>
      <c r="B644">
        <f>Tabelle2!$A$3</f>
        <v>2015</v>
      </c>
      <c r="C644" t="str">
        <f>'2020_B5'!$G$6</f>
        <v>Deutsche</v>
      </c>
      <c r="D644" t="s">
        <v>4</v>
      </c>
      <c r="E644" t="str">
        <f>VLOOKUP(A644,[1]Kreise!$A$1:$C$53,3,FALSE)</f>
        <v>K030</v>
      </c>
      <c r="F644">
        <f>'2020_B5'!M132</f>
        <v>0</v>
      </c>
    </row>
    <row r="645" spans="1:6" x14ac:dyDescent="0.25">
      <c r="A645">
        <f>'2020_B5'!A133</f>
        <v>0</v>
      </c>
      <c r="B645">
        <f>Tabelle2!$A$3</f>
        <v>2015</v>
      </c>
      <c r="C645" t="str">
        <f>'2020_B5'!$G$6</f>
        <v>Deutsche</v>
      </c>
      <c r="D645" t="s">
        <v>4</v>
      </c>
      <c r="E645" t="str">
        <f>VLOOKUP(A645,[1]Kreise!$A$1:$C$53,3,FALSE)</f>
        <v>K030</v>
      </c>
      <c r="F645">
        <f>'2020_B5'!M133</f>
        <v>0</v>
      </c>
    </row>
    <row r="646" spans="1:6" x14ac:dyDescent="0.25">
      <c r="A646">
        <f>'2020_B5'!A134</f>
        <v>0</v>
      </c>
      <c r="B646">
        <f>Tabelle2!$A$3</f>
        <v>2015</v>
      </c>
      <c r="C646" t="str">
        <f>'2020_B5'!$G$6</f>
        <v>Deutsche</v>
      </c>
      <c r="D646" t="s">
        <v>4</v>
      </c>
      <c r="E646" t="str">
        <f>VLOOKUP(A646,[1]Kreise!$A$1:$C$53,3,FALSE)</f>
        <v>K030</v>
      </c>
      <c r="F646">
        <f>'2020_B5'!M134</f>
        <v>0</v>
      </c>
    </row>
    <row r="647" spans="1:6" x14ac:dyDescent="0.25">
      <c r="A647">
        <f>'2020_B5'!A135</f>
        <v>0</v>
      </c>
      <c r="B647">
        <f>Tabelle2!$A$3</f>
        <v>2015</v>
      </c>
      <c r="C647" t="str">
        <f>'2020_B5'!$G$6</f>
        <v>Deutsche</v>
      </c>
      <c r="D647" t="s">
        <v>4</v>
      </c>
      <c r="E647" t="str">
        <f>VLOOKUP(A647,[1]Kreise!$A$1:$C$53,3,FALSE)</f>
        <v>K030</v>
      </c>
      <c r="F647">
        <f>'2020_B5'!M135</f>
        <v>0</v>
      </c>
    </row>
    <row r="648" spans="1:6" x14ac:dyDescent="0.25">
      <c r="A648">
        <f>'2020_B5'!A136</f>
        <v>0</v>
      </c>
      <c r="B648">
        <f>Tabelle2!$A$3</f>
        <v>2015</v>
      </c>
      <c r="C648" t="str">
        <f>'2020_B5'!$G$6</f>
        <v>Deutsche</v>
      </c>
      <c r="D648" t="s">
        <v>4</v>
      </c>
      <c r="E648" t="str">
        <f>VLOOKUP(A648,[1]Kreise!$A$1:$C$53,3,FALSE)</f>
        <v>K030</v>
      </c>
      <c r="F648">
        <f>'2020_B5'!M136</f>
        <v>0</v>
      </c>
    </row>
    <row r="649" spans="1:6" x14ac:dyDescent="0.25">
      <c r="A649">
        <f>'2020_B5'!A137</f>
        <v>0</v>
      </c>
      <c r="B649">
        <f>Tabelle2!$A$3</f>
        <v>2015</v>
      </c>
      <c r="C649" t="str">
        <f>'2020_B5'!$G$6</f>
        <v>Deutsche</v>
      </c>
      <c r="D649" t="s">
        <v>4</v>
      </c>
      <c r="E649" t="str">
        <f>VLOOKUP(A649,[1]Kreise!$A$1:$C$53,3,FALSE)</f>
        <v>K030</v>
      </c>
      <c r="F649">
        <f>'2020_B5'!M137</f>
        <v>0</v>
      </c>
    </row>
    <row r="650" spans="1:6" x14ac:dyDescent="0.25">
      <c r="A650">
        <f>'2020_B5'!A138</f>
        <v>0</v>
      </c>
      <c r="B650">
        <f>Tabelle2!$A$3</f>
        <v>2015</v>
      </c>
      <c r="C650" t="str">
        <f>'2020_B5'!$G$6</f>
        <v>Deutsche</v>
      </c>
      <c r="D650" t="s">
        <v>4</v>
      </c>
      <c r="E650" t="str">
        <f>VLOOKUP(A650,[1]Kreise!$A$1:$C$53,3,FALSE)</f>
        <v>K030</v>
      </c>
      <c r="F650">
        <f>'2020_B5'!M138</f>
        <v>0</v>
      </c>
    </row>
    <row r="651" spans="1:6" x14ac:dyDescent="0.25">
      <c r="A651">
        <f>'2020_B5'!A139</f>
        <v>0</v>
      </c>
      <c r="B651">
        <f>Tabelle2!$A$3</f>
        <v>2015</v>
      </c>
      <c r="C651" t="str">
        <f>'2020_B5'!$G$6</f>
        <v>Deutsche</v>
      </c>
      <c r="D651" t="s">
        <v>4</v>
      </c>
      <c r="E651" t="str">
        <f>VLOOKUP(A651,[1]Kreise!$A$1:$C$53,3,FALSE)</f>
        <v>K030</v>
      </c>
      <c r="F651">
        <f>'2020_B5'!M139</f>
        <v>0</v>
      </c>
    </row>
    <row r="652" spans="1:6" x14ac:dyDescent="0.25">
      <c r="A652">
        <f>'2020_B5'!A140</f>
        <v>0</v>
      </c>
      <c r="B652">
        <f>Tabelle2!$A$3</f>
        <v>2015</v>
      </c>
      <c r="C652" t="str">
        <f>'2020_B5'!$G$6</f>
        <v>Deutsche</v>
      </c>
      <c r="D652" t="s">
        <v>4</v>
      </c>
      <c r="E652" t="str">
        <f>VLOOKUP(A652,[1]Kreise!$A$1:$C$53,3,FALSE)</f>
        <v>K030</v>
      </c>
      <c r="F652">
        <f>'2020_B5'!M140</f>
        <v>0</v>
      </c>
    </row>
    <row r="653" spans="1:6" x14ac:dyDescent="0.25">
      <c r="A653">
        <f>'2020_B5'!A141</f>
        <v>0</v>
      </c>
      <c r="B653">
        <f>Tabelle2!$A$3</f>
        <v>2015</v>
      </c>
      <c r="C653" t="str">
        <f>'2020_B5'!$G$6</f>
        <v>Deutsche</v>
      </c>
      <c r="D653" t="s">
        <v>4</v>
      </c>
      <c r="E653" t="str">
        <f>VLOOKUP(A653,[1]Kreise!$A$1:$C$53,3,FALSE)</f>
        <v>K030</v>
      </c>
      <c r="F653">
        <f>'2020_B5'!M141</f>
        <v>0</v>
      </c>
    </row>
    <row r="654" spans="1:6" x14ac:dyDescent="0.25">
      <c r="A654">
        <f>'2020_B5'!A142</f>
        <v>0</v>
      </c>
      <c r="B654">
        <f>Tabelle2!$A$3</f>
        <v>2015</v>
      </c>
      <c r="C654" t="str">
        <f>'2020_B5'!$G$6</f>
        <v>Deutsche</v>
      </c>
      <c r="D654" t="s">
        <v>4</v>
      </c>
      <c r="E654" t="str">
        <f>VLOOKUP(A654,[1]Kreise!$A$1:$C$53,3,FALSE)</f>
        <v>K030</v>
      </c>
      <c r="F654">
        <f>'2020_B5'!M142</f>
        <v>0</v>
      </c>
    </row>
    <row r="655" spans="1:6" x14ac:dyDescent="0.25">
      <c r="A655">
        <f>'2020_B5'!A143</f>
        <v>0</v>
      </c>
      <c r="B655">
        <f>Tabelle2!$A$3</f>
        <v>2015</v>
      </c>
      <c r="C655" t="str">
        <f>'2020_B5'!$G$6</f>
        <v>Deutsche</v>
      </c>
      <c r="D655" t="s">
        <v>4</v>
      </c>
      <c r="E655" t="str">
        <f>VLOOKUP(A655,[1]Kreise!$A$1:$C$53,3,FALSE)</f>
        <v>K030</v>
      </c>
      <c r="F655">
        <f>'2020_B5'!M143</f>
        <v>0</v>
      </c>
    </row>
    <row r="656" spans="1:6" x14ac:dyDescent="0.25">
      <c r="A656">
        <f>'2020_B5'!A144</f>
        <v>0</v>
      </c>
      <c r="B656">
        <f>Tabelle2!$A$3</f>
        <v>2015</v>
      </c>
      <c r="C656" t="str">
        <f>'2020_B5'!$G$6</f>
        <v>Deutsche</v>
      </c>
      <c r="D656" t="s">
        <v>4</v>
      </c>
      <c r="E656" t="str">
        <f>VLOOKUP(A656,[1]Kreise!$A$1:$C$53,3,FALSE)</f>
        <v>K030</v>
      </c>
      <c r="F656">
        <f>'2020_B5'!M144</f>
        <v>0</v>
      </c>
    </row>
    <row r="657" spans="1:6" x14ac:dyDescent="0.25">
      <c r="A657">
        <f>'2020_B5'!A145</f>
        <v>0</v>
      </c>
      <c r="B657">
        <f>Tabelle2!$A$3</f>
        <v>2015</v>
      </c>
      <c r="C657" t="str">
        <f>'2020_B5'!$G$6</f>
        <v>Deutsche</v>
      </c>
      <c r="D657" t="s">
        <v>4</v>
      </c>
      <c r="E657" t="str">
        <f>VLOOKUP(A657,[1]Kreise!$A$1:$C$53,3,FALSE)</f>
        <v>K030</v>
      </c>
      <c r="F657">
        <f>'2020_B5'!M145</f>
        <v>0</v>
      </c>
    </row>
    <row r="658" spans="1:6" x14ac:dyDescent="0.25">
      <c r="A658">
        <f>'2020_B5'!A146</f>
        <v>0</v>
      </c>
      <c r="B658">
        <f>Tabelle2!$A$3</f>
        <v>2015</v>
      </c>
      <c r="C658" t="str">
        <f>'2020_B5'!$G$6</f>
        <v>Deutsche</v>
      </c>
      <c r="D658" t="s">
        <v>4</v>
      </c>
      <c r="E658" t="str">
        <f>VLOOKUP(A658,[1]Kreise!$A$1:$C$53,3,FALSE)</f>
        <v>K030</v>
      </c>
      <c r="F658">
        <f>'2020_B5'!M146</f>
        <v>0</v>
      </c>
    </row>
    <row r="659" spans="1:6" x14ac:dyDescent="0.25">
      <c r="A659">
        <f>'2020_B5'!A147</f>
        <v>0</v>
      </c>
      <c r="B659">
        <f>Tabelle2!$A$3</f>
        <v>2015</v>
      </c>
      <c r="C659" t="str">
        <f>'2020_B5'!$G$6</f>
        <v>Deutsche</v>
      </c>
      <c r="D659" t="s">
        <v>4</v>
      </c>
      <c r="E659" t="str">
        <f>VLOOKUP(A659,[1]Kreise!$A$1:$C$53,3,FALSE)</f>
        <v>K030</v>
      </c>
      <c r="F659">
        <f>'2020_B5'!M147</f>
        <v>0</v>
      </c>
    </row>
    <row r="660" spans="1:6" x14ac:dyDescent="0.25">
      <c r="A660">
        <f>'2020_B5'!A148</f>
        <v>0</v>
      </c>
      <c r="B660">
        <f>Tabelle2!$A$3</f>
        <v>2015</v>
      </c>
      <c r="C660" t="str">
        <f>'2020_B5'!$G$6</f>
        <v>Deutsche</v>
      </c>
      <c r="D660" t="s">
        <v>4</v>
      </c>
      <c r="E660" t="str">
        <f>VLOOKUP(A660,[1]Kreise!$A$1:$C$53,3,FALSE)</f>
        <v>K030</v>
      </c>
      <c r="F660">
        <f>'2020_B5'!M148</f>
        <v>0</v>
      </c>
    </row>
    <row r="661" spans="1:6" x14ac:dyDescent="0.25">
      <c r="A661">
        <f>'2020_B5'!A149</f>
        <v>0</v>
      </c>
      <c r="B661">
        <f>Tabelle2!$A$3</f>
        <v>2015</v>
      </c>
      <c r="C661" t="str">
        <f>'2020_B5'!$G$6</f>
        <v>Deutsche</v>
      </c>
      <c r="D661" t="s">
        <v>4</v>
      </c>
      <c r="E661" t="str">
        <f>VLOOKUP(A661,[1]Kreise!$A$1:$C$53,3,FALSE)</f>
        <v>K030</v>
      </c>
      <c r="F661">
        <f>'2020_B5'!M149</f>
        <v>0</v>
      </c>
    </row>
    <row r="662" spans="1:6" x14ac:dyDescent="0.25">
      <c r="A662">
        <f>'2020_B5'!A150</f>
        <v>0</v>
      </c>
      <c r="B662">
        <f>Tabelle2!$A$3</f>
        <v>2015</v>
      </c>
      <c r="C662" t="str">
        <f>'2020_B5'!$G$6</f>
        <v>Deutsche</v>
      </c>
      <c r="D662" t="s">
        <v>4</v>
      </c>
      <c r="E662" t="str">
        <f>VLOOKUP(A662,[1]Kreise!$A$1:$C$53,3,FALSE)</f>
        <v>K030</v>
      </c>
      <c r="F662">
        <f>'2020_B5'!M150</f>
        <v>0</v>
      </c>
    </row>
    <row r="663" spans="1:6" x14ac:dyDescent="0.25">
      <c r="A663">
        <f>'2020_B5'!A151</f>
        <v>0</v>
      </c>
      <c r="B663">
        <f>Tabelle2!$A$3</f>
        <v>2015</v>
      </c>
      <c r="C663" t="str">
        <f>'2020_B5'!$G$6</f>
        <v>Deutsche</v>
      </c>
      <c r="D663" t="s">
        <v>4</v>
      </c>
      <c r="E663" t="str">
        <f>VLOOKUP(A663,[1]Kreise!$A$1:$C$53,3,FALSE)</f>
        <v>K030</v>
      </c>
      <c r="F663">
        <f>'2020_B5'!M151</f>
        <v>0</v>
      </c>
    </row>
    <row r="664" spans="1:6" x14ac:dyDescent="0.25">
      <c r="A664">
        <f>'2020_B5'!A152</f>
        <v>0</v>
      </c>
      <c r="B664">
        <f>Tabelle2!$A$3</f>
        <v>2015</v>
      </c>
      <c r="C664" t="str">
        <f>'2020_B5'!$G$6</f>
        <v>Deutsche</v>
      </c>
      <c r="D664" t="s">
        <v>4</v>
      </c>
      <c r="E664" t="str">
        <f>VLOOKUP(A664,[1]Kreise!$A$1:$C$53,3,FALSE)</f>
        <v>K030</v>
      </c>
      <c r="F664">
        <f>'2020_B5'!M152</f>
        <v>0</v>
      </c>
    </row>
    <row r="665" spans="1:6" x14ac:dyDescent="0.25">
      <c r="A665">
        <f>'2020_B5'!A153</f>
        <v>0</v>
      </c>
      <c r="B665">
        <f>Tabelle2!$A$3</f>
        <v>2015</v>
      </c>
      <c r="C665" t="str">
        <f>'2020_B5'!$G$6</f>
        <v>Deutsche</v>
      </c>
      <c r="D665" t="s">
        <v>4</v>
      </c>
      <c r="E665" t="str">
        <f>VLOOKUP(A665,[1]Kreise!$A$1:$C$53,3,FALSE)</f>
        <v>K030</v>
      </c>
      <c r="F665">
        <f>'2020_B5'!M153</f>
        <v>0</v>
      </c>
    </row>
    <row r="666" spans="1:6" x14ac:dyDescent="0.25">
      <c r="A666">
        <f>'2020_B5'!A154</f>
        <v>0</v>
      </c>
      <c r="B666">
        <f>Tabelle2!$A$3</f>
        <v>2015</v>
      </c>
      <c r="C666" t="str">
        <f>'2020_B5'!$G$6</f>
        <v>Deutsche</v>
      </c>
      <c r="D666" t="s">
        <v>4</v>
      </c>
      <c r="E666" t="str">
        <f>VLOOKUP(A666,[1]Kreise!$A$1:$C$53,3,FALSE)</f>
        <v>K030</v>
      </c>
      <c r="F666">
        <f>'2020_B5'!M154</f>
        <v>0</v>
      </c>
    </row>
    <row r="667" spans="1:6" x14ac:dyDescent="0.25">
      <c r="A667">
        <f>'2020_B5'!A155</f>
        <v>0</v>
      </c>
      <c r="B667">
        <f>Tabelle2!$A$3</f>
        <v>2015</v>
      </c>
      <c r="C667" t="str">
        <f>'2020_B5'!$G$6</f>
        <v>Deutsche</v>
      </c>
      <c r="D667" t="s">
        <v>4</v>
      </c>
      <c r="E667" t="str">
        <f>VLOOKUP(A667,[1]Kreise!$A$1:$C$53,3,FALSE)</f>
        <v>K030</v>
      </c>
      <c r="F667">
        <f>'2020_B5'!M155</f>
        <v>0</v>
      </c>
    </row>
    <row r="668" spans="1:6" x14ac:dyDescent="0.25">
      <c r="A668">
        <f>'2020_B5'!A156</f>
        <v>0</v>
      </c>
      <c r="B668">
        <f>Tabelle2!$A$3</f>
        <v>2015</v>
      </c>
      <c r="C668" t="str">
        <f>'2020_B5'!$G$6</f>
        <v>Deutsche</v>
      </c>
      <c r="D668" t="s">
        <v>4</v>
      </c>
      <c r="E668" t="str">
        <f>VLOOKUP(A668,[1]Kreise!$A$1:$C$53,3,FALSE)</f>
        <v>K030</v>
      </c>
      <c r="F668">
        <f>'2020_B5'!M156</f>
        <v>0</v>
      </c>
    </row>
    <row r="669" spans="1:6" x14ac:dyDescent="0.25">
      <c r="A669">
        <f>'2020_B5'!A157</f>
        <v>0</v>
      </c>
      <c r="B669">
        <f>Tabelle2!$A$3</f>
        <v>2015</v>
      </c>
      <c r="C669" t="str">
        <f>'2020_B5'!$G$6</f>
        <v>Deutsche</v>
      </c>
      <c r="D669" t="s">
        <v>4</v>
      </c>
      <c r="E669" t="str">
        <f>VLOOKUP(A669,[1]Kreise!$A$1:$C$53,3,FALSE)</f>
        <v>K030</v>
      </c>
      <c r="F669">
        <f>'2020_B5'!M157</f>
        <v>0</v>
      </c>
    </row>
    <row r="670" spans="1:6" x14ac:dyDescent="0.25">
      <c r="A670">
        <f>'2020_B5'!A158</f>
        <v>0</v>
      </c>
      <c r="B670">
        <f>Tabelle2!$A$3</f>
        <v>2015</v>
      </c>
      <c r="C670" t="str">
        <f>'2020_B5'!$G$6</f>
        <v>Deutsche</v>
      </c>
      <c r="D670" t="s">
        <v>4</v>
      </c>
      <c r="E670" t="str">
        <f>VLOOKUP(A670,[1]Kreise!$A$1:$C$53,3,FALSE)</f>
        <v>K030</v>
      </c>
      <c r="F670">
        <f>'2020_B5'!M158</f>
        <v>0</v>
      </c>
    </row>
    <row r="671" spans="1:6" x14ac:dyDescent="0.25">
      <c r="A671">
        <f>'2020_B5'!A159</f>
        <v>0</v>
      </c>
      <c r="B671">
        <f>Tabelle2!$A$3</f>
        <v>2015</v>
      </c>
      <c r="C671" t="str">
        <f>'2020_B5'!$G$6</f>
        <v>Deutsche</v>
      </c>
      <c r="D671" t="s">
        <v>4</v>
      </c>
      <c r="E671" t="str">
        <f>VLOOKUP(A671,[1]Kreise!$A$1:$C$53,3,FALSE)</f>
        <v>K030</v>
      </c>
      <c r="F671">
        <f>'2020_B5'!M159</f>
        <v>0</v>
      </c>
    </row>
    <row r="672" spans="1:6" x14ac:dyDescent="0.25">
      <c r="A672">
        <f>'2020_B5'!A160</f>
        <v>0</v>
      </c>
      <c r="B672">
        <f>Tabelle2!$A$3</f>
        <v>2015</v>
      </c>
      <c r="C672" t="str">
        <f>'2020_B5'!$G$6</f>
        <v>Deutsche</v>
      </c>
      <c r="D672" t="s">
        <v>4</v>
      </c>
      <c r="E672" t="str">
        <f>VLOOKUP(A672,[1]Kreise!$A$1:$C$53,3,FALSE)</f>
        <v>K030</v>
      </c>
      <c r="F672">
        <f>'2020_B5'!M160</f>
        <v>0</v>
      </c>
    </row>
    <row r="673" spans="1:6" x14ac:dyDescent="0.25">
      <c r="A673">
        <f>'2020_B5'!A161</f>
        <v>0</v>
      </c>
      <c r="B673">
        <f>Tabelle2!$A$3</f>
        <v>2015</v>
      </c>
      <c r="C673" t="str">
        <f>'2020_B5'!$G$6</f>
        <v>Deutsche</v>
      </c>
      <c r="D673" t="s">
        <v>4</v>
      </c>
      <c r="E673" t="str">
        <f>VLOOKUP(A673,[1]Kreise!$A$1:$C$53,3,FALSE)</f>
        <v>K030</v>
      </c>
      <c r="F673">
        <f>'2020_B5'!M161</f>
        <v>0</v>
      </c>
    </row>
    <row r="674" spans="1:6" x14ac:dyDescent="0.25">
      <c r="A674">
        <f>'2020_B5'!A162</f>
        <v>0</v>
      </c>
      <c r="B674">
        <f>Tabelle2!$A$3</f>
        <v>2015</v>
      </c>
      <c r="C674" t="str">
        <f>'2020_B5'!$G$6</f>
        <v>Deutsche</v>
      </c>
      <c r="D674" t="s">
        <v>4</v>
      </c>
      <c r="E674" t="str">
        <f>VLOOKUP(A674,[1]Kreise!$A$1:$C$53,3,FALSE)</f>
        <v>K030</v>
      </c>
      <c r="F674">
        <f>'2020_B5'!M162</f>
        <v>0</v>
      </c>
    </row>
    <row r="675" spans="1:6" x14ac:dyDescent="0.25">
      <c r="A675">
        <f>'2020_B5'!A163</f>
        <v>0</v>
      </c>
      <c r="B675">
        <f>Tabelle2!$A$3</f>
        <v>2015</v>
      </c>
      <c r="C675" t="str">
        <f>'2020_B5'!$G$6</f>
        <v>Deutsche</v>
      </c>
      <c r="D675" t="s">
        <v>4</v>
      </c>
      <c r="E675" t="str">
        <f>VLOOKUP(A675,[1]Kreise!$A$1:$C$53,3,FALSE)</f>
        <v>K030</v>
      </c>
      <c r="F675">
        <f>'2020_B5'!M163</f>
        <v>0</v>
      </c>
    </row>
    <row r="676" spans="1:6" x14ac:dyDescent="0.25">
      <c r="A676">
        <f>'2020_B5'!A164</f>
        <v>0</v>
      </c>
      <c r="B676">
        <f>Tabelle2!$A$3</f>
        <v>2015</v>
      </c>
      <c r="C676" t="str">
        <f>'2020_B5'!$G$6</f>
        <v>Deutsche</v>
      </c>
      <c r="D676" t="s">
        <v>4</v>
      </c>
      <c r="E676" t="str">
        <f>VLOOKUP(A676,[1]Kreise!$A$1:$C$53,3,FALSE)</f>
        <v>K030</v>
      </c>
      <c r="F676">
        <f>'2020_B5'!M164</f>
        <v>0</v>
      </c>
    </row>
    <row r="677" spans="1:6" x14ac:dyDescent="0.25">
      <c r="A677">
        <f>'2020_B5'!A113</f>
        <v>455</v>
      </c>
      <c r="B677">
        <f>Tabelle2!$A$3</f>
        <v>2015</v>
      </c>
      <c r="C677" t="str">
        <f>'2020_B5'!$L$6</f>
        <v>Ausländerinnen und Ausländer</v>
      </c>
      <c r="D677" t="s">
        <v>4</v>
      </c>
      <c r="E677" t="str">
        <f>VLOOKUP(A677,[1]Kreise!$A$1:$C$53,3,FALSE)</f>
        <v>K03455</v>
      </c>
      <c r="F677">
        <f>'2020_B5'!N113</f>
        <v>23.255813953488371</v>
      </c>
    </row>
    <row r="678" spans="1:6" x14ac:dyDescent="0.25">
      <c r="A678">
        <f>'2020_B5'!A114</f>
        <v>456</v>
      </c>
      <c r="B678">
        <f>Tabelle2!$A$3</f>
        <v>2015</v>
      </c>
      <c r="C678" t="str">
        <f>'2020_B5'!$L$6</f>
        <v>Ausländerinnen und Ausländer</v>
      </c>
      <c r="D678" t="s">
        <v>4</v>
      </c>
      <c r="E678" t="str">
        <f>VLOOKUP(A678,[1]Kreise!$A$1:$C$53,3,FALSE)</f>
        <v>K03456</v>
      </c>
      <c r="F678">
        <f>'2020_B5'!N114</f>
        <v>20.52980132450331</v>
      </c>
    </row>
    <row r="679" spans="1:6" x14ac:dyDescent="0.25">
      <c r="A679">
        <f>'2020_B5'!A115</f>
        <v>457</v>
      </c>
      <c r="B679">
        <f>Tabelle2!$A$3</f>
        <v>2015</v>
      </c>
      <c r="C679" t="str">
        <f>'2020_B5'!$L$6</f>
        <v>Ausländerinnen und Ausländer</v>
      </c>
      <c r="D679" t="s">
        <v>4</v>
      </c>
      <c r="E679" t="str">
        <f>VLOOKUP(A679,[1]Kreise!$A$1:$C$53,3,FALSE)</f>
        <v>K03457</v>
      </c>
      <c r="F679">
        <f>'2020_B5'!N115</f>
        <v>17.525773195876287</v>
      </c>
    </row>
    <row r="680" spans="1:6" x14ac:dyDescent="0.25">
      <c r="A680">
        <f>'2020_B5'!A116</f>
        <v>458</v>
      </c>
      <c r="B680">
        <f>Tabelle2!$A$3</f>
        <v>2015</v>
      </c>
      <c r="C680" t="str">
        <f>'2020_B5'!$L$6</f>
        <v>Ausländerinnen und Ausländer</v>
      </c>
      <c r="D680" t="s">
        <v>4</v>
      </c>
      <c r="E680" t="str">
        <f>VLOOKUP(A680,[1]Kreise!$A$1:$C$53,3,FALSE)</f>
        <v>K03458</v>
      </c>
      <c r="F680">
        <f>'2020_B5'!N116</f>
        <v>11.428571428571429</v>
      </c>
    </row>
    <row r="681" spans="1:6" x14ac:dyDescent="0.25">
      <c r="A681">
        <f>'2020_B5'!A117</f>
        <v>459</v>
      </c>
      <c r="B681">
        <f>Tabelle2!$A$3</f>
        <v>2015</v>
      </c>
      <c r="C681" t="str">
        <f>'2020_B5'!$L$6</f>
        <v>Ausländerinnen und Ausländer</v>
      </c>
      <c r="D681" t="s">
        <v>4</v>
      </c>
      <c r="E681" t="str">
        <f>VLOOKUP(A681,[1]Kreise!$A$1:$C$53,3,FALSE)</f>
        <v>K03459</v>
      </c>
      <c r="F681">
        <f>'2020_B5'!N117</f>
        <v>23.636363636363637</v>
      </c>
    </row>
    <row r="682" spans="1:6" x14ac:dyDescent="0.25">
      <c r="A682">
        <f>'2020_B5'!A118</f>
        <v>460</v>
      </c>
      <c r="B682">
        <f>Tabelle2!$A$3</f>
        <v>2015</v>
      </c>
      <c r="C682" t="str">
        <f>'2020_B5'!$L$6</f>
        <v>Ausländerinnen und Ausländer</v>
      </c>
      <c r="D682" t="s">
        <v>4</v>
      </c>
      <c r="E682" t="str">
        <f>VLOOKUP(A682,[1]Kreise!$A$1:$C$53,3,FALSE)</f>
        <v>K03460</v>
      </c>
      <c r="F682">
        <f>'2020_B5'!N118</f>
        <v>19.672131147540984</v>
      </c>
    </row>
    <row r="683" spans="1:6" x14ac:dyDescent="0.25">
      <c r="A683">
        <f>'2020_B5'!A119</f>
        <v>461</v>
      </c>
      <c r="B683">
        <f>Tabelle2!$A$3</f>
        <v>2015</v>
      </c>
      <c r="C683" t="str">
        <f>'2020_B5'!$L$6</f>
        <v>Ausländerinnen und Ausländer</v>
      </c>
      <c r="D683" t="s">
        <v>4</v>
      </c>
      <c r="E683" t="str">
        <f>VLOOKUP(A683,[1]Kreise!$A$1:$C$53,3,FALSE)</f>
        <v>K03461</v>
      </c>
      <c r="F683">
        <f>'2020_B5'!N119</f>
        <v>16</v>
      </c>
    </row>
    <row r="684" spans="1:6" x14ac:dyDescent="0.25">
      <c r="A684">
        <f>'2020_B5'!A120</f>
        <v>462</v>
      </c>
      <c r="B684">
        <f>Tabelle2!$A$3</f>
        <v>2015</v>
      </c>
      <c r="C684" t="str">
        <f>'2020_B5'!$L$6</f>
        <v>Ausländerinnen und Ausländer</v>
      </c>
      <c r="D684" t="s">
        <v>4</v>
      </c>
      <c r="E684" t="str">
        <f>VLOOKUP(A684,[1]Kreise!$A$1:$C$53,3,FALSE)</f>
        <v>K03462</v>
      </c>
      <c r="F684">
        <f>'2020_B5'!N120</f>
        <v>25</v>
      </c>
    </row>
    <row r="685" spans="1:6" x14ac:dyDescent="0.25">
      <c r="A685">
        <f>'2020_B5'!A121</f>
        <v>4</v>
      </c>
      <c r="B685">
        <f>Tabelle2!$A$3</f>
        <v>2015</v>
      </c>
      <c r="C685" t="str">
        <f>'2020_B5'!$L$6</f>
        <v>Ausländerinnen und Ausländer</v>
      </c>
      <c r="D685" t="s">
        <v>4</v>
      </c>
      <c r="E685" t="str">
        <f>VLOOKUP(A685,[1]Kreise!$A$1:$C$53,3,FALSE)</f>
        <v>K034</v>
      </c>
      <c r="F685">
        <f>'2020_B5'!N121</f>
        <v>18.217054263565892</v>
      </c>
    </row>
    <row r="686" spans="1:6" x14ac:dyDescent="0.25">
      <c r="A686">
        <f>'2020_B5'!A122</f>
        <v>0</v>
      </c>
      <c r="B686">
        <f>Tabelle2!$A$3</f>
        <v>2015</v>
      </c>
      <c r="C686" t="str">
        <f>'2020_B5'!$L$6</f>
        <v>Ausländerinnen und Ausländer</v>
      </c>
      <c r="D686" t="s">
        <v>4</v>
      </c>
      <c r="E686" t="str">
        <f>VLOOKUP(A686,[1]Kreise!$A$1:$C$53,3,FALSE)</f>
        <v>K030</v>
      </c>
      <c r="F686">
        <f>'2020_B5'!N122</f>
        <v>14.419105764050997</v>
      </c>
    </row>
    <row r="687" spans="1:6" x14ac:dyDescent="0.25">
      <c r="A687">
        <f>'2020_B5'!A123</f>
        <v>0</v>
      </c>
      <c r="B687">
        <f>Tabelle2!$A$3</f>
        <v>2015</v>
      </c>
      <c r="C687" t="str">
        <f>'2020_B5'!$L$6</f>
        <v>Ausländerinnen und Ausländer</v>
      </c>
      <c r="D687" t="s">
        <v>4</v>
      </c>
      <c r="E687" t="str">
        <f>VLOOKUP(A687,[1]Kreise!$A$1:$C$53,3,FALSE)</f>
        <v>K030</v>
      </c>
      <c r="F687">
        <f>'2020_B5'!N123</f>
        <v>0</v>
      </c>
    </row>
    <row r="688" spans="1:6" x14ac:dyDescent="0.25">
      <c r="A688">
        <f>'2020_B5'!A124</f>
        <v>0</v>
      </c>
      <c r="B688">
        <f>Tabelle2!$A$3</f>
        <v>2015</v>
      </c>
      <c r="C688" t="str">
        <f>'2020_B5'!$L$6</f>
        <v>Ausländerinnen und Ausländer</v>
      </c>
      <c r="D688" t="s">
        <v>4</v>
      </c>
      <c r="E688" t="str">
        <f>VLOOKUP(A688,[1]Kreise!$A$1:$C$53,3,FALSE)</f>
        <v>K030</v>
      </c>
      <c r="F688">
        <f>'2020_B5'!N124</f>
        <v>0</v>
      </c>
    </row>
    <row r="689" spans="1:6" x14ac:dyDescent="0.25">
      <c r="A689">
        <f>'2020_B5'!A125</f>
        <v>0</v>
      </c>
      <c r="B689">
        <f>Tabelle2!$A$3</f>
        <v>2015</v>
      </c>
      <c r="C689" t="str">
        <f>'2020_B5'!$L$6</f>
        <v>Ausländerinnen und Ausländer</v>
      </c>
      <c r="D689" t="s">
        <v>4</v>
      </c>
      <c r="E689" t="str">
        <f>VLOOKUP(A689,[1]Kreise!$A$1:$C$53,3,FALSE)</f>
        <v>K030</v>
      </c>
      <c r="F689">
        <f>'2020_B5'!N125</f>
        <v>0</v>
      </c>
    </row>
    <row r="690" spans="1:6" x14ac:dyDescent="0.25">
      <c r="A690">
        <f>'2020_B5'!A126</f>
        <v>0</v>
      </c>
      <c r="B690">
        <f>Tabelle2!$A$3</f>
        <v>2015</v>
      </c>
      <c r="C690" t="str">
        <f>'2020_B5'!$L$6</f>
        <v>Ausländerinnen und Ausländer</v>
      </c>
      <c r="D690" t="s">
        <v>4</v>
      </c>
      <c r="E690" t="str">
        <f>VLOOKUP(A690,[1]Kreise!$A$1:$C$53,3,FALSE)</f>
        <v>K030</v>
      </c>
      <c r="F690">
        <f>'2020_B5'!N126</f>
        <v>0</v>
      </c>
    </row>
    <row r="691" spans="1:6" x14ac:dyDescent="0.25">
      <c r="A691">
        <f>'2020_B5'!A127</f>
        <v>0</v>
      </c>
      <c r="B691">
        <f>Tabelle2!$A$3</f>
        <v>2015</v>
      </c>
      <c r="C691" t="str">
        <f>'2020_B5'!$L$6</f>
        <v>Ausländerinnen und Ausländer</v>
      </c>
      <c r="D691" t="s">
        <v>4</v>
      </c>
      <c r="E691" t="str">
        <f>VLOOKUP(A691,[1]Kreise!$A$1:$C$53,3,FALSE)</f>
        <v>K030</v>
      </c>
      <c r="F691">
        <f>'2020_B5'!N127</f>
        <v>0</v>
      </c>
    </row>
    <row r="692" spans="1:6" x14ac:dyDescent="0.25">
      <c r="A692">
        <f>'2020_B5'!A128</f>
        <v>0</v>
      </c>
      <c r="B692">
        <f>Tabelle2!$A$3</f>
        <v>2015</v>
      </c>
      <c r="C692" t="str">
        <f>'2020_B5'!$L$6</f>
        <v>Ausländerinnen und Ausländer</v>
      </c>
      <c r="D692" t="s">
        <v>4</v>
      </c>
      <c r="E692" t="str">
        <f>VLOOKUP(A692,[1]Kreise!$A$1:$C$53,3,FALSE)</f>
        <v>K030</v>
      </c>
      <c r="F692">
        <f>'2020_B5'!N128</f>
        <v>0</v>
      </c>
    </row>
    <row r="693" spans="1:6" x14ac:dyDescent="0.25">
      <c r="A693">
        <f>'2020_B5'!A129</f>
        <v>0</v>
      </c>
      <c r="B693">
        <f>Tabelle2!$A$3</f>
        <v>2015</v>
      </c>
      <c r="C693" t="str">
        <f>'2020_B5'!$L$6</f>
        <v>Ausländerinnen und Ausländer</v>
      </c>
      <c r="D693" t="s">
        <v>4</v>
      </c>
      <c r="E693" t="str">
        <f>VLOOKUP(A693,[1]Kreise!$A$1:$C$53,3,FALSE)</f>
        <v>K030</v>
      </c>
      <c r="F693">
        <f>'2020_B5'!N129</f>
        <v>0</v>
      </c>
    </row>
    <row r="694" spans="1:6" x14ac:dyDescent="0.25">
      <c r="A694">
        <f>'2020_B5'!A130</f>
        <v>0</v>
      </c>
      <c r="B694">
        <f>Tabelle2!$A$3</f>
        <v>2015</v>
      </c>
      <c r="C694" t="str">
        <f>'2020_B5'!$L$6</f>
        <v>Ausländerinnen und Ausländer</v>
      </c>
      <c r="D694" t="s">
        <v>4</v>
      </c>
      <c r="E694" t="str">
        <f>VLOOKUP(A694,[1]Kreise!$A$1:$C$53,3,FALSE)</f>
        <v>K030</v>
      </c>
      <c r="F694">
        <f>'2020_B5'!N130</f>
        <v>0</v>
      </c>
    </row>
    <row r="695" spans="1:6" x14ac:dyDescent="0.25">
      <c r="A695">
        <f>'2020_B5'!A131</f>
        <v>0</v>
      </c>
      <c r="B695">
        <f>Tabelle2!$A$3</f>
        <v>2015</v>
      </c>
      <c r="C695" t="str">
        <f>'2020_B5'!$L$6</f>
        <v>Ausländerinnen und Ausländer</v>
      </c>
      <c r="D695" t="s">
        <v>4</v>
      </c>
      <c r="E695" t="str">
        <f>VLOOKUP(A695,[1]Kreise!$A$1:$C$53,3,FALSE)</f>
        <v>K030</v>
      </c>
      <c r="F695">
        <f>'2020_B5'!N131</f>
        <v>0</v>
      </c>
    </row>
    <row r="696" spans="1:6" x14ac:dyDescent="0.25">
      <c r="A696">
        <f>'2020_B5'!A132</f>
        <v>0</v>
      </c>
      <c r="B696">
        <f>Tabelle2!$A$3</f>
        <v>2015</v>
      </c>
      <c r="C696" t="str">
        <f>'2020_B5'!$L$6</f>
        <v>Ausländerinnen und Ausländer</v>
      </c>
      <c r="D696" t="s">
        <v>4</v>
      </c>
      <c r="E696" t="str">
        <f>VLOOKUP(A696,[1]Kreise!$A$1:$C$53,3,FALSE)</f>
        <v>K030</v>
      </c>
      <c r="F696">
        <f>'2020_B5'!N132</f>
        <v>0</v>
      </c>
    </row>
    <row r="697" spans="1:6" x14ac:dyDescent="0.25">
      <c r="A697">
        <f>'2020_B5'!A133</f>
        <v>0</v>
      </c>
      <c r="B697">
        <f>Tabelle2!$A$3</f>
        <v>2015</v>
      </c>
      <c r="C697" t="str">
        <f>'2020_B5'!$L$6</f>
        <v>Ausländerinnen und Ausländer</v>
      </c>
      <c r="D697" t="s">
        <v>4</v>
      </c>
      <c r="E697" t="str">
        <f>VLOOKUP(A697,[1]Kreise!$A$1:$C$53,3,FALSE)</f>
        <v>K030</v>
      </c>
      <c r="F697">
        <f>'2020_B5'!N133</f>
        <v>0</v>
      </c>
    </row>
    <row r="698" spans="1:6" x14ac:dyDescent="0.25">
      <c r="A698">
        <f>'2020_B5'!A134</f>
        <v>0</v>
      </c>
      <c r="B698">
        <f>Tabelle2!$A$3</f>
        <v>2015</v>
      </c>
      <c r="C698" t="str">
        <f>'2020_B5'!$L$6</f>
        <v>Ausländerinnen und Ausländer</v>
      </c>
      <c r="D698" t="s">
        <v>4</v>
      </c>
      <c r="E698" t="str">
        <f>VLOOKUP(A698,[1]Kreise!$A$1:$C$53,3,FALSE)</f>
        <v>K030</v>
      </c>
      <c r="F698">
        <f>'2020_B5'!N134</f>
        <v>0</v>
      </c>
    </row>
    <row r="699" spans="1:6" x14ac:dyDescent="0.25">
      <c r="A699">
        <f>'2020_B5'!A135</f>
        <v>0</v>
      </c>
      <c r="B699">
        <f>Tabelle2!$A$3</f>
        <v>2015</v>
      </c>
      <c r="C699" t="str">
        <f>'2020_B5'!$L$6</f>
        <v>Ausländerinnen und Ausländer</v>
      </c>
      <c r="D699" t="s">
        <v>4</v>
      </c>
      <c r="E699" t="str">
        <f>VLOOKUP(A699,[1]Kreise!$A$1:$C$53,3,FALSE)</f>
        <v>K030</v>
      </c>
      <c r="F699">
        <f>'2020_B5'!N135</f>
        <v>0</v>
      </c>
    </row>
    <row r="700" spans="1:6" x14ac:dyDescent="0.25">
      <c r="A700">
        <f>'2020_B5'!A136</f>
        <v>0</v>
      </c>
      <c r="B700">
        <f>Tabelle2!$A$3</f>
        <v>2015</v>
      </c>
      <c r="C700" t="str">
        <f>'2020_B5'!$L$6</f>
        <v>Ausländerinnen und Ausländer</v>
      </c>
      <c r="D700" t="s">
        <v>4</v>
      </c>
      <c r="E700" t="str">
        <f>VLOOKUP(A700,[1]Kreise!$A$1:$C$53,3,FALSE)</f>
        <v>K030</v>
      </c>
      <c r="F700">
        <f>'2020_B5'!N136</f>
        <v>0</v>
      </c>
    </row>
    <row r="701" spans="1:6" x14ac:dyDescent="0.25">
      <c r="A701">
        <f>'2020_B5'!A137</f>
        <v>0</v>
      </c>
      <c r="B701">
        <f>Tabelle2!$A$3</f>
        <v>2015</v>
      </c>
      <c r="C701" t="str">
        <f>'2020_B5'!$L$6</f>
        <v>Ausländerinnen und Ausländer</v>
      </c>
      <c r="D701" t="s">
        <v>4</v>
      </c>
      <c r="E701" t="str">
        <f>VLOOKUP(A701,[1]Kreise!$A$1:$C$53,3,FALSE)</f>
        <v>K030</v>
      </c>
      <c r="F701">
        <f>'2020_B5'!N137</f>
        <v>0</v>
      </c>
    </row>
    <row r="702" spans="1:6" x14ac:dyDescent="0.25">
      <c r="A702">
        <f>'2020_B5'!A138</f>
        <v>0</v>
      </c>
      <c r="B702">
        <f>Tabelle2!$A$3</f>
        <v>2015</v>
      </c>
      <c r="C702" t="str">
        <f>'2020_B5'!$L$6</f>
        <v>Ausländerinnen und Ausländer</v>
      </c>
      <c r="D702" t="s">
        <v>4</v>
      </c>
      <c r="E702" t="str">
        <f>VLOOKUP(A702,[1]Kreise!$A$1:$C$53,3,FALSE)</f>
        <v>K030</v>
      </c>
      <c r="F702">
        <f>'2020_B5'!N138</f>
        <v>0</v>
      </c>
    </row>
    <row r="703" spans="1:6" x14ac:dyDescent="0.25">
      <c r="A703">
        <f>'2020_B5'!A139</f>
        <v>0</v>
      </c>
      <c r="B703">
        <f>Tabelle2!$A$3</f>
        <v>2015</v>
      </c>
      <c r="C703" t="str">
        <f>'2020_B5'!$L$6</f>
        <v>Ausländerinnen und Ausländer</v>
      </c>
      <c r="D703" t="s">
        <v>4</v>
      </c>
      <c r="E703" t="str">
        <f>VLOOKUP(A703,[1]Kreise!$A$1:$C$53,3,FALSE)</f>
        <v>K030</v>
      </c>
      <c r="F703">
        <f>'2020_B5'!N139</f>
        <v>0</v>
      </c>
    </row>
    <row r="704" spans="1:6" x14ac:dyDescent="0.25">
      <c r="A704">
        <f>'2020_B5'!A140</f>
        <v>0</v>
      </c>
      <c r="B704">
        <f>Tabelle2!$A$3</f>
        <v>2015</v>
      </c>
      <c r="C704" t="str">
        <f>'2020_B5'!$L$6</f>
        <v>Ausländerinnen und Ausländer</v>
      </c>
      <c r="D704" t="s">
        <v>4</v>
      </c>
      <c r="E704" t="str">
        <f>VLOOKUP(A704,[1]Kreise!$A$1:$C$53,3,FALSE)</f>
        <v>K030</v>
      </c>
      <c r="F704">
        <f>'2020_B5'!N140</f>
        <v>0</v>
      </c>
    </row>
    <row r="705" spans="1:6" x14ac:dyDescent="0.25">
      <c r="A705">
        <f>'2020_B5'!A141</f>
        <v>0</v>
      </c>
      <c r="B705">
        <f>Tabelle2!$A$3</f>
        <v>2015</v>
      </c>
      <c r="C705" t="str">
        <f>'2020_B5'!$L$6</f>
        <v>Ausländerinnen und Ausländer</v>
      </c>
      <c r="D705" t="s">
        <v>4</v>
      </c>
      <c r="E705" t="str">
        <f>VLOOKUP(A705,[1]Kreise!$A$1:$C$53,3,FALSE)</f>
        <v>K030</v>
      </c>
      <c r="F705">
        <f>'2020_B5'!N141</f>
        <v>0</v>
      </c>
    </row>
    <row r="706" spans="1:6" x14ac:dyDescent="0.25">
      <c r="A706">
        <f>'2020_B5'!A142</f>
        <v>0</v>
      </c>
      <c r="B706">
        <f>Tabelle2!$A$3</f>
        <v>2015</v>
      </c>
      <c r="C706" t="str">
        <f>'2020_B5'!$L$6</f>
        <v>Ausländerinnen und Ausländer</v>
      </c>
      <c r="D706" t="s">
        <v>4</v>
      </c>
      <c r="E706" t="str">
        <f>VLOOKUP(A706,[1]Kreise!$A$1:$C$53,3,FALSE)</f>
        <v>K030</v>
      </c>
      <c r="F706">
        <f>'2020_B5'!N142</f>
        <v>0</v>
      </c>
    </row>
    <row r="707" spans="1:6" x14ac:dyDescent="0.25">
      <c r="A707">
        <f>'2020_B5'!A143</f>
        <v>0</v>
      </c>
      <c r="B707">
        <f>Tabelle2!$A$3</f>
        <v>2015</v>
      </c>
      <c r="C707" t="str">
        <f>'2020_B5'!$L$6</f>
        <v>Ausländerinnen und Ausländer</v>
      </c>
      <c r="D707" t="s">
        <v>4</v>
      </c>
      <c r="E707" t="str">
        <f>VLOOKUP(A707,[1]Kreise!$A$1:$C$53,3,FALSE)</f>
        <v>K030</v>
      </c>
      <c r="F707">
        <f>'2020_B5'!N143</f>
        <v>0</v>
      </c>
    </row>
    <row r="708" spans="1:6" x14ac:dyDescent="0.25">
      <c r="A708">
        <f>'2020_B5'!A144</f>
        <v>0</v>
      </c>
      <c r="B708">
        <f>Tabelle2!$A$3</f>
        <v>2015</v>
      </c>
      <c r="C708" t="str">
        <f>'2020_B5'!$L$6</f>
        <v>Ausländerinnen und Ausländer</v>
      </c>
      <c r="D708" t="s">
        <v>4</v>
      </c>
      <c r="E708" t="str">
        <f>VLOOKUP(A708,[1]Kreise!$A$1:$C$53,3,FALSE)</f>
        <v>K030</v>
      </c>
      <c r="F708">
        <f>'2020_B5'!N144</f>
        <v>0</v>
      </c>
    </row>
    <row r="709" spans="1:6" x14ac:dyDescent="0.25">
      <c r="A709">
        <f>'2020_B5'!A145</f>
        <v>0</v>
      </c>
      <c r="B709">
        <f>Tabelle2!$A$3</f>
        <v>2015</v>
      </c>
      <c r="C709" t="str">
        <f>'2020_B5'!$L$6</f>
        <v>Ausländerinnen und Ausländer</v>
      </c>
      <c r="D709" t="s">
        <v>4</v>
      </c>
      <c r="E709" t="str">
        <f>VLOOKUP(A709,[1]Kreise!$A$1:$C$53,3,FALSE)</f>
        <v>K030</v>
      </c>
      <c r="F709">
        <f>'2020_B5'!N145</f>
        <v>0</v>
      </c>
    </row>
    <row r="710" spans="1:6" x14ac:dyDescent="0.25">
      <c r="A710">
        <f>'2020_B5'!A146</f>
        <v>0</v>
      </c>
      <c r="B710">
        <f>Tabelle2!$A$3</f>
        <v>2015</v>
      </c>
      <c r="C710" t="str">
        <f>'2020_B5'!$L$6</f>
        <v>Ausländerinnen und Ausländer</v>
      </c>
      <c r="D710" t="s">
        <v>4</v>
      </c>
      <c r="E710" t="str">
        <f>VLOOKUP(A710,[1]Kreise!$A$1:$C$53,3,FALSE)</f>
        <v>K030</v>
      </c>
      <c r="F710">
        <f>'2020_B5'!N146</f>
        <v>0</v>
      </c>
    </row>
    <row r="711" spans="1:6" x14ac:dyDescent="0.25">
      <c r="A711">
        <f>'2020_B5'!A147</f>
        <v>0</v>
      </c>
      <c r="B711">
        <f>Tabelle2!$A$3</f>
        <v>2015</v>
      </c>
      <c r="C711" t="str">
        <f>'2020_B5'!$L$6</f>
        <v>Ausländerinnen und Ausländer</v>
      </c>
      <c r="D711" t="s">
        <v>4</v>
      </c>
      <c r="E711" t="str">
        <f>VLOOKUP(A711,[1]Kreise!$A$1:$C$53,3,FALSE)</f>
        <v>K030</v>
      </c>
      <c r="F711">
        <f>'2020_B5'!N147</f>
        <v>0</v>
      </c>
    </row>
    <row r="712" spans="1:6" x14ac:dyDescent="0.25">
      <c r="A712">
        <f>'2020_B5'!A148</f>
        <v>0</v>
      </c>
      <c r="B712">
        <f>Tabelle2!$A$3</f>
        <v>2015</v>
      </c>
      <c r="C712" t="str">
        <f>'2020_B5'!$L$6</f>
        <v>Ausländerinnen und Ausländer</v>
      </c>
      <c r="D712" t="s">
        <v>4</v>
      </c>
      <c r="E712" t="str">
        <f>VLOOKUP(A712,[1]Kreise!$A$1:$C$53,3,FALSE)</f>
        <v>K030</v>
      </c>
      <c r="F712">
        <f>'2020_B5'!N148</f>
        <v>0</v>
      </c>
    </row>
    <row r="713" spans="1:6" x14ac:dyDescent="0.25">
      <c r="A713">
        <f>'2020_B5'!A149</f>
        <v>0</v>
      </c>
      <c r="B713">
        <f>Tabelle2!$A$3</f>
        <v>2015</v>
      </c>
      <c r="C713" t="str">
        <f>'2020_B5'!$L$6</f>
        <v>Ausländerinnen und Ausländer</v>
      </c>
      <c r="D713" t="s">
        <v>4</v>
      </c>
      <c r="E713" t="str">
        <f>VLOOKUP(A713,[1]Kreise!$A$1:$C$53,3,FALSE)</f>
        <v>K030</v>
      </c>
      <c r="F713">
        <f>'2020_B5'!N149</f>
        <v>0</v>
      </c>
    </row>
    <row r="714" spans="1:6" x14ac:dyDescent="0.25">
      <c r="A714">
        <f>'2020_B5'!A150</f>
        <v>0</v>
      </c>
      <c r="B714">
        <f>Tabelle2!$A$3</f>
        <v>2015</v>
      </c>
      <c r="C714" t="str">
        <f>'2020_B5'!$L$6</f>
        <v>Ausländerinnen und Ausländer</v>
      </c>
      <c r="D714" t="s">
        <v>4</v>
      </c>
      <c r="E714" t="str">
        <f>VLOOKUP(A714,[1]Kreise!$A$1:$C$53,3,FALSE)</f>
        <v>K030</v>
      </c>
      <c r="F714">
        <f>'2020_B5'!N150</f>
        <v>0</v>
      </c>
    </row>
    <row r="715" spans="1:6" x14ac:dyDescent="0.25">
      <c r="A715">
        <f>'2020_B5'!A151</f>
        <v>0</v>
      </c>
      <c r="B715">
        <f>Tabelle2!$A$3</f>
        <v>2015</v>
      </c>
      <c r="C715" t="str">
        <f>'2020_B5'!$L$6</f>
        <v>Ausländerinnen und Ausländer</v>
      </c>
      <c r="D715" t="s">
        <v>4</v>
      </c>
      <c r="E715" t="str">
        <f>VLOOKUP(A715,[1]Kreise!$A$1:$C$53,3,FALSE)</f>
        <v>K030</v>
      </c>
      <c r="F715">
        <f>'2020_B5'!N151</f>
        <v>0</v>
      </c>
    </row>
    <row r="716" spans="1:6" x14ac:dyDescent="0.25">
      <c r="A716">
        <f>'2020_B5'!A152</f>
        <v>0</v>
      </c>
      <c r="B716">
        <f>Tabelle2!$A$3</f>
        <v>2015</v>
      </c>
      <c r="C716" t="str">
        <f>'2020_B5'!$L$6</f>
        <v>Ausländerinnen und Ausländer</v>
      </c>
      <c r="D716" t="s">
        <v>4</v>
      </c>
      <c r="E716" t="str">
        <f>VLOOKUP(A716,[1]Kreise!$A$1:$C$53,3,FALSE)</f>
        <v>K030</v>
      </c>
      <c r="F716">
        <f>'2020_B5'!N152</f>
        <v>0</v>
      </c>
    </row>
    <row r="717" spans="1:6" x14ac:dyDescent="0.25">
      <c r="A717">
        <f>'2020_B5'!A153</f>
        <v>0</v>
      </c>
      <c r="B717">
        <f>Tabelle2!$A$3</f>
        <v>2015</v>
      </c>
      <c r="C717" t="str">
        <f>'2020_B5'!$L$6</f>
        <v>Ausländerinnen und Ausländer</v>
      </c>
      <c r="D717" t="s">
        <v>4</v>
      </c>
      <c r="E717" t="str">
        <f>VLOOKUP(A717,[1]Kreise!$A$1:$C$53,3,FALSE)</f>
        <v>K030</v>
      </c>
      <c r="F717">
        <f>'2020_B5'!N153</f>
        <v>0</v>
      </c>
    </row>
    <row r="718" spans="1:6" x14ac:dyDescent="0.25">
      <c r="A718">
        <f>'2020_B5'!A154</f>
        <v>0</v>
      </c>
      <c r="B718">
        <f>Tabelle2!$A$3</f>
        <v>2015</v>
      </c>
      <c r="C718" t="str">
        <f>'2020_B5'!$L$6</f>
        <v>Ausländerinnen und Ausländer</v>
      </c>
      <c r="D718" t="s">
        <v>4</v>
      </c>
      <c r="E718" t="str">
        <f>VLOOKUP(A718,[1]Kreise!$A$1:$C$53,3,FALSE)</f>
        <v>K030</v>
      </c>
      <c r="F718">
        <f>'2020_B5'!N154</f>
        <v>0</v>
      </c>
    </row>
    <row r="719" spans="1:6" x14ac:dyDescent="0.25">
      <c r="A719">
        <f>'2020_B5'!A155</f>
        <v>0</v>
      </c>
      <c r="B719">
        <f>Tabelle2!$A$3</f>
        <v>2015</v>
      </c>
      <c r="C719" t="str">
        <f>'2020_B5'!$L$6</f>
        <v>Ausländerinnen und Ausländer</v>
      </c>
      <c r="D719" t="s">
        <v>4</v>
      </c>
      <c r="E719" t="str">
        <f>VLOOKUP(A719,[1]Kreise!$A$1:$C$53,3,FALSE)</f>
        <v>K030</v>
      </c>
      <c r="F719">
        <f>'2020_B5'!N155</f>
        <v>0</v>
      </c>
    </row>
    <row r="720" spans="1:6" x14ac:dyDescent="0.25">
      <c r="A720">
        <f>'2020_B5'!A156</f>
        <v>0</v>
      </c>
      <c r="B720">
        <f>Tabelle2!$A$3</f>
        <v>2015</v>
      </c>
      <c r="C720" t="str">
        <f>'2020_B5'!$L$6</f>
        <v>Ausländerinnen und Ausländer</v>
      </c>
      <c r="D720" t="s">
        <v>4</v>
      </c>
      <c r="E720" t="str">
        <f>VLOOKUP(A720,[1]Kreise!$A$1:$C$53,3,FALSE)</f>
        <v>K030</v>
      </c>
      <c r="F720">
        <f>'2020_B5'!N156</f>
        <v>0</v>
      </c>
    </row>
    <row r="721" spans="1:6" x14ac:dyDescent="0.25">
      <c r="A721">
        <f>'2020_B5'!A157</f>
        <v>0</v>
      </c>
      <c r="B721">
        <f>Tabelle2!$A$3</f>
        <v>2015</v>
      </c>
      <c r="C721" t="str">
        <f>'2020_B5'!$L$6</f>
        <v>Ausländerinnen und Ausländer</v>
      </c>
      <c r="D721" t="s">
        <v>4</v>
      </c>
      <c r="E721" t="str">
        <f>VLOOKUP(A721,[1]Kreise!$A$1:$C$53,3,FALSE)</f>
        <v>K030</v>
      </c>
      <c r="F721">
        <f>'2020_B5'!N157</f>
        <v>0</v>
      </c>
    </row>
    <row r="722" spans="1:6" x14ac:dyDescent="0.25">
      <c r="A722">
        <f>'2020_B5'!A158</f>
        <v>0</v>
      </c>
      <c r="B722">
        <f>Tabelle2!$A$3</f>
        <v>2015</v>
      </c>
      <c r="C722" t="str">
        <f>'2020_B5'!$L$6</f>
        <v>Ausländerinnen und Ausländer</v>
      </c>
      <c r="D722" t="s">
        <v>4</v>
      </c>
      <c r="E722" t="str">
        <f>VLOOKUP(A722,[1]Kreise!$A$1:$C$53,3,FALSE)</f>
        <v>K030</v>
      </c>
      <c r="F722">
        <f>'2020_B5'!N158</f>
        <v>0</v>
      </c>
    </row>
    <row r="723" spans="1:6" x14ac:dyDescent="0.25">
      <c r="A723">
        <f>'2020_B5'!A159</f>
        <v>0</v>
      </c>
      <c r="B723">
        <f>Tabelle2!$A$3</f>
        <v>2015</v>
      </c>
      <c r="C723" t="str">
        <f>'2020_B5'!$L$6</f>
        <v>Ausländerinnen und Ausländer</v>
      </c>
      <c r="D723" t="s">
        <v>4</v>
      </c>
      <c r="E723" t="str">
        <f>VLOOKUP(A723,[1]Kreise!$A$1:$C$53,3,FALSE)</f>
        <v>K030</v>
      </c>
      <c r="F723">
        <f>'2020_B5'!N159</f>
        <v>0</v>
      </c>
    </row>
    <row r="724" spans="1:6" x14ac:dyDescent="0.25">
      <c r="A724">
        <f>'2020_B5'!A160</f>
        <v>0</v>
      </c>
      <c r="B724">
        <f>Tabelle2!$A$3</f>
        <v>2015</v>
      </c>
      <c r="C724" t="str">
        <f>'2020_B5'!$L$6</f>
        <v>Ausländerinnen und Ausländer</v>
      </c>
      <c r="D724" t="s">
        <v>4</v>
      </c>
      <c r="E724" t="str">
        <f>VLOOKUP(A724,[1]Kreise!$A$1:$C$53,3,FALSE)</f>
        <v>K030</v>
      </c>
      <c r="F724">
        <f>'2020_B5'!N160</f>
        <v>0</v>
      </c>
    </row>
    <row r="725" spans="1:6" x14ac:dyDescent="0.25">
      <c r="A725">
        <f>'2020_B5'!A161</f>
        <v>0</v>
      </c>
      <c r="B725">
        <f>Tabelle2!$A$3</f>
        <v>2015</v>
      </c>
      <c r="C725" t="str">
        <f>'2020_B5'!$L$6</f>
        <v>Ausländerinnen und Ausländer</v>
      </c>
      <c r="D725" t="s">
        <v>4</v>
      </c>
      <c r="E725" t="str">
        <f>VLOOKUP(A725,[1]Kreise!$A$1:$C$53,3,FALSE)</f>
        <v>K030</v>
      </c>
      <c r="F725">
        <f>'2020_B5'!N161</f>
        <v>0</v>
      </c>
    </row>
    <row r="726" spans="1:6" x14ac:dyDescent="0.25">
      <c r="A726">
        <f>'2020_B5'!A162</f>
        <v>0</v>
      </c>
      <c r="B726">
        <f>Tabelle2!$A$3</f>
        <v>2015</v>
      </c>
      <c r="C726" t="str">
        <f>'2020_B5'!$L$6</f>
        <v>Ausländerinnen und Ausländer</v>
      </c>
      <c r="D726" t="s">
        <v>4</v>
      </c>
      <c r="E726" t="str">
        <f>VLOOKUP(A726,[1]Kreise!$A$1:$C$53,3,FALSE)</f>
        <v>K030</v>
      </c>
      <c r="F726">
        <f>'2020_B5'!N162</f>
        <v>0</v>
      </c>
    </row>
    <row r="727" spans="1:6" x14ac:dyDescent="0.25">
      <c r="A727">
        <f>'2020_B5'!A163</f>
        <v>0</v>
      </c>
      <c r="B727">
        <f>Tabelle2!$A$3</f>
        <v>2015</v>
      </c>
      <c r="C727" t="str">
        <f>'2020_B5'!$L$6</f>
        <v>Ausländerinnen und Ausländer</v>
      </c>
      <c r="D727" t="s">
        <v>4</v>
      </c>
      <c r="E727" t="str">
        <f>VLOOKUP(A727,[1]Kreise!$A$1:$C$53,3,FALSE)</f>
        <v>K030</v>
      </c>
      <c r="F727">
        <f>'2020_B5'!N163</f>
        <v>0</v>
      </c>
    </row>
    <row r="728" spans="1:6" x14ac:dyDescent="0.25">
      <c r="A728">
        <f>'2020_B5'!A164</f>
        <v>0</v>
      </c>
      <c r="B728">
        <f>Tabelle2!$A$3</f>
        <v>2015</v>
      </c>
      <c r="C728" t="str">
        <f>'2020_B5'!$L$6</f>
        <v>Ausländerinnen und Ausländer</v>
      </c>
      <c r="D728" t="s">
        <v>4</v>
      </c>
      <c r="E728" t="str">
        <f>VLOOKUP(A728,[1]Kreise!$A$1:$C$53,3,FALSE)</f>
        <v>K030</v>
      </c>
      <c r="F728">
        <f>'2020_B5'!N164</f>
        <v>0</v>
      </c>
    </row>
    <row r="729" spans="1:6" x14ac:dyDescent="0.25">
      <c r="A729">
        <f>'2020_B5'!A321</f>
        <v>0</v>
      </c>
      <c r="B729">
        <f>'2020_B5'!$K$5</f>
        <v>2014</v>
      </c>
      <c r="C729" t="str">
        <f>'2020_B5'!$G$6</f>
        <v>Deutsche</v>
      </c>
      <c r="D729" t="s">
        <v>4</v>
      </c>
      <c r="E729" t="str">
        <f>VLOOKUP(A729,[1]Kreise!$A$1:$C$53,3,FALSE)</f>
        <v>K030</v>
      </c>
      <c r="F729">
        <f>'2020_B5'!K321</f>
        <v>0</v>
      </c>
    </row>
    <row r="730" spans="1:6" x14ac:dyDescent="0.25">
      <c r="A730">
        <f>'2020_B5'!A322</f>
        <v>0</v>
      </c>
      <c r="B730">
        <f>'2020_B5'!$K$5</f>
        <v>2014</v>
      </c>
      <c r="C730" t="str">
        <f>'2020_B5'!$G$6</f>
        <v>Deutsche</v>
      </c>
      <c r="D730" t="s">
        <v>4</v>
      </c>
      <c r="E730" t="str">
        <f>VLOOKUP(A730,[1]Kreise!$A$1:$C$53,3,FALSE)</f>
        <v>K030</v>
      </c>
      <c r="F730">
        <f>'2020_B5'!K322</f>
        <v>0</v>
      </c>
    </row>
    <row r="731" spans="1:6" x14ac:dyDescent="0.25">
      <c r="A731">
        <f>'2020_B5'!A323</f>
        <v>0</v>
      </c>
      <c r="B731">
        <f>'2020_B5'!$K$5</f>
        <v>2014</v>
      </c>
      <c r="C731" t="str">
        <f>'2020_B5'!$G$6</f>
        <v>Deutsche</v>
      </c>
      <c r="D731" t="s">
        <v>4</v>
      </c>
      <c r="E731" t="str">
        <f>VLOOKUP(A731,[1]Kreise!$A$1:$C$53,3,FALSE)</f>
        <v>K030</v>
      </c>
      <c r="F731">
        <f>'2020_B5'!K323</f>
        <v>0</v>
      </c>
    </row>
    <row r="732" spans="1:6" x14ac:dyDescent="0.25">
      <c r="A732">
        <f>'2020_B5'!A324</f>
        <v>0</v>
      </c>
      <c r="B732">
        <f>'2020_B5'!$K$5</f>
        <v>2014</v>
      </c>
      <c r="C732" t="str">
        <f>'2020_B5'!$G$6</f>
        <v>Deutsche</v>
      </c>
      <c r="D732" t="s">
        <v>4</v>
      </c>
      <c r="E732" t="str">
        <f>VLOOKUP(A732,[1]Kreise!$A$1:$C$53,3,FALSE)</f>
        <v>K030</v>
      </c>
      <c r="F732">
        <f>'2020_B5'!K324</f>
        <v>0</v>
      </c>
    </row>
    <row r="733" spans="1:6" x14ac:dyDescent="0.25">
      <c r="A733">
        <f>'2020_B5'!A325</f>
        <v>0</v>
      </c>
      <c r="B733">
        <f>'2020_B5'!$K$5</f>
        <v>2014</v>
      </c>
      <c r="C733" t="str">
        <f>'2020_B5'!$G$6</f>
        <v>Deutsche</v>
      </c>
      <c r="D733" t="s">
        <v>4</v>
      </c>
      <c r="E733" t="str">
        <f>VLOOKUP(A733,[1]Kreise!$A$1:$C$53,3,FALSE)</f>
        <v>K030</v>
      </c>
      <c r="F733">
        <f>'2020_B5'!K325</f>
        <v>0</v>
      </c>
    </row>
    <row r="734" spans="1:6" x14ac:dyDescent="0.25">
      <c r="A734">
        <f>'2020_B5'!A326</f>
        <v>0</v>
      </c>
      <c r="B734">
        <f>'2020_B5'!$K$5</f>
        <v>2014</v>
      </c>
      <c r="C734" t="str">
        <f>'2020_B5'!$G$6</f>
        <v>Deutsche</v>
      </c>
      <c r="D734" t="s">
        <v>4</v>
      </c>
      <c r="E734" t="str">
        <f>VLOOKUP(A734,[1]Kreise!$A$1:$C$53,3,FALSE)</f>
        <v>K030</v>
      </c>
      <c r="F734">
        <f>'2020_B5'!K326</f>
        <v>0</v>
      </c>
    </row>
    <row r="735" spans="1:6" x14ac:dyDescent="0.25">
      <c r="A735">
        <f>'2020_B5'!A327</f>
        <v>0</v>
      </c>
      <c r="B735">
        <f>'2020_B5'!$K$5</f>
        <v>2014</v>
      </c>
      <c r="C735" t="str">
        <f>'2020_B5'!$G$6</f>
        <v>Deutsche</v>
      </c>
      <c r="D735" t="s">
        <v>4</v>
      </c>
      <c r="E735" t="str">
        <f>VLOOKUP(A735,[1]Kreise!$A$1:$C$53,3,FALSE)</f>
        <v>K030</v>
      </c>
      <c r="F735">
        <f>'2020_B5'!K327</f>
        <v>0</v>
      </c>
    </row>
    <row r="736" spans="1:6" x14ac:dyDescent="0.25">
      <c r="A736">
        <f>'2020_B5'!A328</f>
        <v>0</v>
      </c>
      <c r="B736">
        <f>'2020_B5'!$K$5</f>
        <v>2014</v>
      </c>
      <c r="C736" t="str">
        <f>'2020_B5'!$G$6</f>
        <v>Deutsche</v>
      </c>
      <c r="D736" t="s">
        <v>4</v>
      </c>
      <c r="E736" t="str">
        <f>VLOOKUP(A736,[1]Kreise!$A$1:$C$53,3,FALSE)</f>
        <v>K030</v>
      </c>
      <c r="F736">
        <f>'2020_B5'!K328</f>
        <v>0</v>
      </c>
    </row>
    <row r="737" spans="1:6" x14ac:dyDescent="0.25">
      <c r="A737">
        <f>'2020_B5'!A329</f>
        <v>0</v>
      </c>
      <c r="B737">
        <f>'2020_B5'!$K$5</f>
        <v>2014</v>
      </c>
      <c r="C737" t="str">
        <f>'2020_B5'!$G$6</f>
        <v>Deutsche</v>
      </c>
      <c r="D737" t="s">
        <v>4</v>
      </c>
      <c r="E737" t="str">
        <f>VLOOKUP(A737,[1]Kreise!$A$1:$C$53,3,FALSE)</f>
        <v>K030</v>
      </c>
      <c r="F737">
        <f>'2020_B5'!K329</f>
        <v>0</v>
      </c>
    </row>
    <row r="738" spans="1:6" x14ac:dyDescent="0.25">
      <c r="A738">
        <f>'2020_B5'!A330</f>
        <v>0</v>
      </c>
      <c r="B738">
        <f>'2020_B5'!$K$5</f>
        <v>2014</v>
      </c>
      <c r="C738" t="str">
        <f>'2020_B5'!$G$6</f>
        <v>Deutsche</v>
      </c>
      <c r="D738" t="s">
        <v>4</v>
      </c>
      <c r="E738" t="str">
        <f>VLOOKUP(A738,[1]Kreise!$A$1:$C$53,3,FALSE)</f>
        <v>K030</v>
      </c>
      <c r="F738">
        <f>'2020_B5'!K330</f>
        <v>0</v>
      </c>
    </row>
    <row r="739" spans="1:6" x14ac:dyDescent="0.25">
      <c r="A739">
        <f>'2020_B5'!A331</f>
        <v>0</v>
      </c>
      <c r="B739">
        <f>'2020_B5'!$K$5</f>
        <v>2014</v>
      </c>
      <c r="C739" t="str">
        <f>'2020_B5'!$G$6</f>
        <v>Deutsche</v>
      </c>
      <c r="D739" t="s">
        <v>4</v>
      </c>
      <c r="E739" t="str">
        <f>VLOOKUP(A739,[1]Kreise!$A$1:$C$53,3,FALSE)</f>
        <v>K030</v>
      </c>
      <c r="F739">
        <f>'2020_B5'!K331</f>
        <v>0</v>
      </c>
    </row>
    <row r="740" spans="1:6" x14ac:dyDescent="0.25">
      <c r="A740">
        <f>'2020_B5'!A332</f>
        <v>0</v>
      </c>
      <c r="B740">
        <f>'2020_B5'!$K$5</f>
        <v>2014</v>
      </c>
      <c r="C740" t="str">
        <f>'2020_B5'!$G$6</f>
        <v>Deutsche</v>
      </c>
      <c r="D740" t="s">
        <v>4</v>
      </c>
      <c r="E740" t="str">
        <f>VLOOKUP(A740,[1]Kreise!$A$1:$C$53,3,FALSE)</f>
        <v>K030</v>
      </c>
      <c r="F740">
        <f>'2020_B5'!K332</f>
        <v>0</v>
      </c>
    </row>
    <row r="741" spans="1:6" x14ac:dyDescent="0.25">
      <c r="A741">
        <f>'2020_B5'!A333</f>
        <v>0</v>
      </c>
      <c r="B741">
        <f>'2020_B5'!$K$5</f>
        <v>2014</v>
      </c>
      <c r="C741" t="str">
        <f>'2020_B5'!$G$6</f>
        <v>Deutsche</v>
      </c>
      <c r="D741" t="s">
        <v>4</v>
      </c>
      <c r="E741" t="str">
        <f>VLOOKUP(A741,[1]Kreise!$A$1:$C$53,3,FALSE)</f>
        <v>K030</v>
      </c>
      <c r="F741">
        <f>'2020_B5'!K333</f>
        <v>0</v>
      </c>
    </row>
    <row r="742" spans="1:6" x14ac:dyDescent="0.25">
      <c r="A742">
        <f>'2020_B5'!A334</f>
        <v>0</v>
      </c>
      <c r="B742">
        <f>'2020_B5'!$K$5</f>
        <v>2014</v>
      </c>
      <c r="C742" t="str">
        <f>'2020_B5'!$G$6</f>
        <v>Deutsche</v>
      </c>
      <c r="D742" t="s">
        <v>4</v>
      </c>
      <c r="E742" t="str">
        <f>VLOOKUP(A742,[1]Kreise!$A$1:$C$53,3,FALSE)</f>
        <v>K030</v>
      </c>
      <c r="F742">
        <f>'2020_B5'!K334</f>
        <v>0</v>
      </c>
    </row>
    <row r="743" spans="1:6" x14ac:dyDescent="0.25">
      <c r="A743">
        <f>'2020_B5'!A335</f>
        <v>0</v>
      </c>
      <c r="B743">
        <f>'2020_B5'!$K$5</f>
        <v>2014</v>
      </c>
      <c r="C743" t="str">
        <f>'2020_B5'!$G$6</f>
        <v>Deutsche</v>
      </c>
      <c r="D743" t="s">
        <v>4</v>
      </c>
      <c r="E743" t="str">
        <f>VLOOKUP(A743,[1]Kreise!$A$1:$C$53,3,FALSE)</f>
        <v>K030</v>
      </c>
      <c r="F743">
        <f>'2020_B5'!K335</f>
        <v>0</v>
      </c>
    </row>
    <row r="744" spans="1:6" x14ac:dyDescent="0.25">
      <c r="A744">
        <f>'2020_B5'!A336</f>
        <v>0</v>
      </c>
      <c r="B744">
        <f>'2020_B5'!$K$5</f>
        <v>2014</v>
      </c>
      <c r="C744" t="str">
        <f>'2020_B5'!$G$6</f>
        <v>Deutsche</v>
      </c>
      <c r="D744" t="s">
        <v>4</v>
      </c>
      <c r="E744" t="str">
        <f>VLOOKUP(A744,[1]Kreise!$A$1:$C$53,3,FALSE)</f>
        <v>K030</v>
      </c>
      <c r="F744">
        <f>'2020_B5'!K336</f>
        <v>0</v>
      </c>
    </row>
    <row r="745" spans="1:6" x14ac:dyDescent="0.25">
      <c r="A745">
        <f>'2020_B5'!A337</f>
        <v>0</v>
      </c>
      <c r="B745">
        <f>'2020_B5'!$K$5</f>
        <v>2014</v>
      </c>
      <c r="C745" t="str">
        <f>'2020_B5'!$G$6</f>
        <v>Deutsche</v>
      </c>
      <c r="D745" t="s">
        <v>4</v>
      </c>
      <c r="E745" t="str">
        <f>VLOOKUP(A745,[1]Kreise!$A$1:$C$53,3,FALSE)</f>
        <v>K030</v>
      </c>
      <c r="F745">
        <f>'2020_B5'!K337</f>
        <v>0</v>
      </c>
    </row>
    <row r="746" spans="1:6" x14ac:dyDescent="0.25">
      <c r="A746">
        <f>'2020_B5'!A338</f>
        <v>0</v>
      </c>
      <c r="B746">
        <f>'2020_B5'!$K$5</f>
        <v>2014</v>
      </c>
      <c r="C746" t="str">
        <f>'2020_B5'!$G$6</f>
        <v>Deutsche</v>
      </c>
      <c r="D746" t="s">
        <v>4</v>
      </c>
      <c r="E746" t="str">
        <f>VLOOKUP(A746,[1]Kreise!$A$1:$C$53,3,FALSE)</f>
        <v>K030</v>
      </c>
      <c r="F746">
        <f>'2020_B5'!K338</f>
        <v>0</v>
      </c>
    </row>
    <row r="747" spans="1:6" x14ac:dyDescent="0.25">
      <c r="A747">
        <f>'2020_B5'!A339</f>
        <v>0</v>
      </c>
      <c r="B747">
        <f>'2020_B5'!$K$5</f>
        <v>2014</v>
      </c>
      <c r="C747" t="str">
        <f>'2020_B5'!$G$6</f>
        <v>Deutsche</v>
      </c>
      <c r="D747" t="s">
        <v>4</v>
      </c>
      <c r="E747" t="str">
        <f>VLOOKUP(A747,[1]Kreise!$A$1:$C$53,3,FALSE)</f>
        <v>K030</v>
      </c>
      <c r="F747">
        <f>'2020_B5'!K339</f>
        <v>0</v>
      </c>
    </row>
    <row r="748" spans="1:6" x14ac:dyDescent="0.25">
      <c r="A748">
        <f>'2020_B5'!A340</f>
        <v>0</v>
      </c>
      <c r="B748">
        <f>'2020_B5'!$K$5</f>
        <v>2014</v>
      </c>
      <c r="C748" t="str">
        <f>'2020_B5'!$G$6</f>
        <v>Deutsche</v>
      </c>
      <c r="D748" t="s">
        <v>4</v>
      </c>
      <c r="E748" t="str">
        <f>VLOOKUP(A748,[1]Kreise!$A$1:$C$53,3,FALSE)</f>
        <v>K030</v>
      </c>
      <c r="F748">
        <f>'2020_B5'!K340</f>
        <v>0</v>
      </c>
    </row>
    <row r="749" spans="1:6" x14ac:dyDescent="0.25">
      <c r="A749">
        <f>'2020_B5'!A341</f>
        <v>0</v>
      </c>
      <c r="B749">
        <f>'2020_B5'!$K$5</f>
        <v>2014</v>
      </c>
      <c r="C749" t="str">
        <f>'2020_B5'!$G$6</f>
        <v>Deutsche</v>
      </c>
      <c r="D749" t="s">
        <v>4</v>
      </c>
      <c r="E749" t="str">
        <f>VLOOKUP(A749,[1]Kreise!$A$1:$C$53,3,FALSE)</f>
        <v>K030</v>
      </c>
      <c r="F749">
        <f>'2020_B5'!K341</f>
        <v>0</v>
      </c>
    </row>
    <row r="750" spans="1:6" x14ac:dyDescent="0.25">
      <c r="A750">
        <f>'2020_B5'!A342</f>
        <v>0</v>
      </c>
      <c r="B750">
        <f>'2020_B5'!$K$5</f>
        <v>2014</v>
      </c>
      <c r="C750" t="str">
        <f>'2020_B5'!$G$6</f>
        <v>Deutsche</v>
      </c>
      <c r="D750" t="s">
        <v>4</v>
      </c>
      <c r="E750" t="str">
        <f>VLOOKUP(A750,[1]Kreise!$A$1:$C$53,3,FALSE)</f>
        <v>K030</v>
      </c>
      <c r="F750">
        <f>'2020_B5'!K342</f>
        <v>0</v>
      </c>
    </row>
    <row r="751" spans="1:6" x14ac:dyDescent="0.25">
      <c r="A751">
        <f>'2020_B5'!A343</f>
        <v>0</v>
      </c>
      <c r="B751">
        <f>'2020_B5'!$K$5</f>
        <v>2014</v>
      </c>
      <c r="C751" t="str">
        <f>'2020_B5'!$G$6</f>
        <v>Deutsche</v>
      </c>
      <c r="D751" t="s">
        <v>4</v>
      </c>
      <c r="E751" t="str">
        <f>VLOOKUP(A751,[1]Kreise!$A$1:$C$53,3,FALSE)</f>
        <v>K030</v>
      </c>
      <c r="F751">
        <f>'2020_B5'!K343</f>
        <v>0</v>
      </c>
    </row>
    <row r="752" spans="1:6" x14ac:dyDescent="0.25">
      <c r="A752">
        <f>'2020_B5'!A344</f>
        <v>0</v>
      </c>
      <c r="B752">
        <f>'2020_B5'!$K$5</f>
        <v>2014</v>
      </c>
      <c r="C752" t="str">
        <f>'2020_B5'!$G$6</f>
        <v>Deutsche</v>
      </c>
      <c r="D752" t="s">
        <v>4</v>
      </c>
      <c r="E752" t="str">
        <f>VLOOKUP(A752,[1]Kreise!$A$1:$C$53,3,FALSE)</f>
        <v>K030</v>
      </c>
      <c r="F752">
        <f>'2020_B5'!K344</f>
        <v>0</v>
      </c>
    </row>
    <row r="753" spans="1:6" x14ac:dyDescent="0.25">
      <c r="A753">
        <f>'2020_B5'!A345</f>
        <v>0</v>
      </c>
      <c r="B753">
        <f>'2020_B5'!$K$5</f>
        <v>2014</v>
      </c>
      <c r="C753" t="str">
        <f>'2020_B5'!$G$6</f>
        <v>Deutsche</v>
      </c>
      <c r="D753" t="s">
        <v>4</v>
      </c>
      <c r="E753" t="str">
        <f>VLOOKUP(A753,[1]Kreise!$A$1:$C$53,3,FALSE)</f>
        <v>K030</v>
      </c>
      <c r="F753">
        <f>'2020_B5'!K345</f>
        <v>0</v>
      </c>
    </row>
    <row r="754" spans="1:6" x14ac:dyDescent="0.25">
      <c r="A754">
        <f>'2020_B5'!A346</f>
        <v>0</v>
      </c>
      <c r="B754">
        <f>'2020_B5'!$K$5</f>
        <v>2014</v>
      </c>
      <c r="C754" t="str">
        <f>'2020_B5'!$G$6</f>
        <v>Deutsche</v>
      </c>
      <c r="D754" t="s">
        <v>4</v>
      </c>
      <c r="E754" t="str">
        <f>VLOOKUP(A754,[1]Kreise!$A$1:$C$53,3,FALSE)</f>
        <v>K030</v>
      </c>
      <c r="F754">
        <f>'2020_B5'!K346</f>
        <v>0</v>
      </c>
    </row>
    <row r="755" spans="1:6" x14ac:dyDescent="0.25">
      <c r="A755">
        <f>'2020_B5'!A347</f>
        <v>0</v>
      </c>
      <c r="B755">
        <f>'2020_B5'!$K$5</f>
        <v>2014</v>
      </c>
      <c r="C755" t="str">
        <f>'2020_B5'!$G$6</f>
        <v>Deutsche</v>
      </c>
      <c r="D755" t="s">
        <v>4</v>
      </c>
      <c r="E755" t="str">
        <f>VLOOKUP(A755,[1]Kreise!$A$1:$C$53,3,FALSE)</f>
        <v>K030</v>
      </c>
      <c r="F755">
        <f>'2020_B5'!K347</f>
        <v>0</v>
      </c>
    </row>
    <row r="756" spans="1:6" x14ac:dyDescent="0.25">
      <c r="A756">
        <f>'2020_B5'!A348</f>
        <v>0</v>
      </c>
      <c r="B756">
        <f>'2020_B5'!$K$5</f>
        <v>2014</v>
      </c>
      <c r="C756" t="str">
        <f>'2020_B5'!$G$6</f>
        <v>Deutsche</v>
      </c>
      <c r="D756" t="s">
        <v>4</v>
      </c>
      <c r="E756" t="str">
        <f>VLOOKUP(A756,[1]Kreise!$A$1:$C$53,3,FALSE)</f>
        <v>K030</v>
      </c>
      <c r="F756">
        <f>'2020_B5'!K348</f>
        <v>0</v>
      </c>
    </row>
    <row r="757" spans="1:6" x14ac:dyDescent="0.25">
      <c r="A757">
        <f>'2020_B5'!A349</f>
        <v>0</v>
      </c>
      <c r="B757">
        <f>'2020_B5'!$K$5</f>
        <v>2014</v>
      </c>
      <c r="C757" t="str">
        <f>'2020_B5'!$G$6</f>
        <v>Deutsche</v>
      </c>
      <c r="D757" t="s">
        <v>4</v>
      </c>
      <c r="E757" t="str">
        <f>VLOOKUP(A757,[1]Kreise!$A$1:$C$53,3,FALSE)</f>
        <v>K030</v>
      </c>
      <c r="F757">
        <f>'2020_B5'!K349</f>
        <v>0</v>
      </c>
    </row>
    <row r="758" spans="1:6" x14ac:dyDescent="0.25">
      <c r="A758">
        <f>'2020_B5'!A350</f>
        <v>0</v>
      </c>
      <c r="B758">
        <f>'2020_B5'!$K$5</f>
        <v>2014</v>
      </c>
      <c r="C758" t="str">
        <f>'2020_B5'!$G$6</f>
        <v>Deutsche</v>
      </c>
      <c r="D758" t="s">
        <v>4</v>
      </c>
      <c r="E758" t="str">
        <f>VLOOKUP(A758,[1]Kreise!$A$1:$C$53,3,FALSE)</f>
        <v>K030</v>
      </c>
      <c r="F758">
        <f>'2020_B5'!K350</f>
        <v>0</v>
      </c>
    </row>
    <row r="759" spans="1:6" x14ac:dyDescent="0.25">
      <c r="A759">
        <f>'2020_B5'!A351</f>
        <v>0</v>
      </c>
      <c r="B759">
        <f>'2020_B5'!$K$5</f>
        <v>2014</v>
      </c>
      <c r="C759" t="str">
        <f>'2020_B5'!$G$6</f>
        <v>Deutsche</v>
      </c>
      <c r="D759" t="s">
        <v>4</v>
      </c>
      <c r="E759" t="str">
        <f>VLOOKUP(A759,[1]Kreise!$A$1:$C$53,3,FALSE)</f>
        <v>K030</v>
      </c>
      <c r="F759">
        <f>'2020_B5'!K351</f>
        <v>0</v>
      </c>
    </row>
    <row r="760" spans="1:6" x14ac:dyDescent="0.25">
      <c r="A760">
        <f>'2020_B5'!A352</f>
        <v>0</v>
      </c>
      <c r="B760">
        <f>'2020_B5'!$K$5</f>
        <v>2014</v>
      </c>
      <c r="C760" t="str">
        <f>'2020_B5'!$G$6</f>
        <v>Deutsche</v>
      </c>
      <c r="D760" t="s">
        <v>4</v>
      </c>
      <c r="E760" t="str">
        <f>VLOOKUP(A760,[1]Kreise!$A$1:$C$53,3,FALSE)</f>
        <v>K030</v>
      </c>
      <c r="F760">
        <f>'2020_B5'!K352</f>
        <v>0</v>
      </c>
    </row>
    <row r="761" spans="1:6" x14ac:dyDescent="0.25">
      <c r="A761">
        <f>'2020_B5'!A353</f>
        <v>0</v>
      </c>
      <c r="B761">
        <f>'2020_B5'!$K$5</f>
        <v>2014</v>
      </c>
      <c r="C761" t="str">
        <f>'2020_B5'!$G$6</f>
        <v>Deutsche</v>
      </c>
      <c r="D761" t="s">
        <v>4</v>
      </c>
      <c r="E761" t="str">
        <f>VLOOKUP(A761,[1]Kreise!$A$1:$C$53,3,FALSE)</f>
        <v>K030</v>
      </c>
      <c r="F761">
        <f>'2020_B5'!K353</f>
        <v>0</v>
      </c>
    </row>
    <row r="762" spans="1:6" x14ac:dyDescent="0.25">
      <c r="A762">
        <f>'2020_B5'!A354</f>
        <v>0</v>
      </c>
      <c r="B762">
        <f>'2020_B5'!$K$5</f>
        <v>2014</v>
      </c>
      <c r="C762" t="str">
        <f>'2020_B5'!$G$6</f>
        <v>Deutsche</v>
      </c>
      <c r="D762" t="s">
        <v>4</v>
      </c>
      <c r="E762" t="str">
        <f>VLOOKUP(A762,[1]Kreise!$A$1:$C$53,3,FALSE)</f>
        <v>K030</v>
      </c>
      <c r="F762">
        <f>'2020_B5'!K354</f>
        <v>0</v>
      </c>
    </row>
    <row r="763" spans="1:6" x14ac:dyDescent="0.25">
      <c r="A763">
        <f>'2020_B5'!A355</f>
        <v>0</v>
      </c>
      <c r="B763">
        <f>'2020_B5'!$K$5</f>
        <v>2014</v>
      </c>
      <c r="C763" t="str">
        <f>'2020_B5'!$G$6</f>
        <v>Deutsche</v>
      </c>
      <c r="D763" t="s">
        <v>4</v>
      </c>
      <c r="E763" t="str">
        <f>VLOOKUP(A763,[1]Kreise!$A$1:$C$53,3,FALSE)</f>
        <v>K030</v>
      </c>
      <c r="F763">
        <f>'2020_B5'!K355</f>
        <v>0</v>
      </c>
    </row>
    <row r="764" spans="1:6" x14ac:dyDescent="0.25">
      <c r="A764">
        <f>'2020_B5'!A356</f>
        <v>0</v>
      </c>
      <c r="B764">
        <f>'2020_B5'!$K$5</f>
        <v>2014</v>
      </c>
      <c r="C764" t="str">
        <f>'2020_B5'!$G$6</f>
        <v>Deutsche</v>
      </c>
      <c r="D764" t="s">
        <v>4</v>
      </c>
      <c r="E764" t="str">
        <f>VLOOKUP(A764,[1]Kreise!$A$1:$C$53,3,FALSE)</f>
        <v>K030</v>
      </c>
      <c r="F764">
        <f>'2020_B5'!K356</f>
        <v>0</v>
      </c>
    </row>
    <row r="765" spans="1:6" x14ac:dyDescent="0.25">
      <c r="A765">
        <f>'2020_B5'!A357</f>
        <v>0</v>
      </c>
      <c r="B765">
        <f>'2020_B5'!$K$5</f>
        <v>2014</v>
      </c>
      <c r="C765" t="str">
        <f>'2020_B5'!$G$6</f>
        <v>Deutsche</v>
      </c>
      <c r="D765" t="s">
        <v>4</v>
      </c>
      <c r="E765" t="str">
        <f>VLOOKUP(A765,[1]Kreise!$A$1:$C$53,3,FALSE)</f>
        <v>K030</v>
      </c>
      <c r="F765">
        <f>'2020_B5'!K357</f>
        <v>0</v>
      </c>
    </row>
    <row r="766" spans="1:6" x14ac:dyDescent="0.25">
      <c r="A766">
        <f>'2020_B5'!A358</f>
        <v>0</v>
      </c>
      <c r="B766">
        <f>'2020_B5'!$K$5</f>
        <v>2014</v>
      </c>
      <c r="C766" t="str">
        <f>'2020_B5'!$G$6</f>
        <v>Deutsche</v>
      </c>
      <c r="D766" t="s">
        <v>4</v>
      </c>
      <c r="E766" t="str">
        <f>VLOOKUP(A766,[1]Kreise!$A$1:$C$53,3,FALSE)</f>
        <v>K030</v>
      </c>
      <c r="F766">
        <f>'2020_B5'!K358</f>
        <v>0</v>
      </c>
    </row>
    <row r="767" spans="1:6" x14ac:dyDescent="0.25">
      <c r="A767">
        <f>'2020_B5'!A359</f>
        <v>0</v>
      </c>
      <c r="B767">
        <f>'2020_B5'!$K$5</f>
        <v>2014</v>
      </c>
      <c r="C767" t="str">
        <f>'2020_B5'!$G$6</f>
        <v>Deutsche</v>
      </c>
      <c r="D767" t="s">
        <v>4</v>
      </c>
      <c r="E767" t="str">
        <f>VLOOKUP(A767,[1]Kreise!$A$1:$C$53,3,FALSE)</f>
        <v>K030</v>
      </c>
      <c r="F767">
        <f>'2020_B5'!K359</f>
        <v>0</v>
      </c>
    </row>
    <row r="768" spans="1:6" x14ac:dyDescent="0.25">
      <c r="A768">
        <f>'2020_B5'!A360</f>
        <v>0</v>
      </c>
      <c r="B768">
        <f>'2020_B5'!$K$5</f>
        <v>2014</v>
      </c>
      <c r="C768" t="str">
        <f>'2020_B5'!$G$6</f>
        <v>Deutsche</v>
      </c>
      <c r="D768" t="s">
        <v>4</v>
      </c>
      <c r="E768" t="str">
        <f>VLOOKUP(A768,[1]Kreise!$A$1:$C$53,3,FALSE)</f>
        <v>K030</v>
      </c>
      <c r="F768">
        <f>'2020_B5'!K360</f>
        <v>0</v>
      </c>
    </row>
    <row r="769" spans="1:6" x14ac:dyDescent="0.25">
      <c r="A769">
        <f>'2020_B5'!A361</f>
        <v>0</v>
      </c>
      <c r="B769">
        <f>'2020_B5'!$K$5</f>
        <v>2014</v>
      </c>
      <c r="C769" t="str">
        <f>'2020_B5'!$G$6</f>
        <v>Deutsche</v>
      </c>
      <c r="D769" t="s">
        <v>4</v>
      </c>
      <c r="E769" t="str">
        <f>VLOOKUP(A769,[1]Kreise!$A$1:$C$53,3,FALSE)</f>
        <v>K030</v>
      </c>
      <c r="F769">
        <f>'2020_B5'!K361</f>
        <v>0</v>
      </c>
    </row>
    <row r="770" spans="1:6" x14ac:dyDescent="0.25">
      <c r="A770">
        <f>'2020_B5'!A362</f>
        <v>0</v>
      </c>
      <c r="B770">
        <f>'2020_B5'!$K$5</f>
        <v>2014</v>
      </c>
      <c r="C770" t="str">
        <f>'2020_B5'!$G$6</f>
        <v>Deutsche</v>
      </c>
      <c r="D770" t="s">
        <v>4</v>
      </c>
      <c r="E770" t="str">
        <f>VLOOKUP(A770,[1]Kreise!$A$1:$C$53,3,FALSE)</f>
        <v>K030</v>
      </c>
      <c r="F770">
        <f>'2020_B5'!K362</f>
        <v>0</v>
      </c>
    </row>
    <row r="771" spans="1:6" x14ac:dyDescent="0.25">
      <c r="A771">
        <f>'2020_B5'!A363</f>
        <v>0</v>
      </c>
      <c r="B771">
        <f>'2020_B5'!$K$5</f>
        <v>2014</v>
      </c>
      <c r="C771" t="str">
        <f>'2020_B5'!$G$6</f>
        <v>Deutsche</v>
      </c>
      <c r="D771" t="s">
        <v>4</v>
      </c>
      <c r="E771" t="str">
        <f>VLOOKUP(A771,[1]Kreise!$A$1:$C$53,3,FALSE)</f>
        <v>K030</v>
      </c>
      <c r="F771">
        <f>'2020_B5'!K363</f>
        <v>0</v>
      </c>
    </row>
    <row r="772" spans="1:6" x14ac:dyDescent="0.25">
      <c r="A772">
        <f>'2020_B5'!A364</f>
        <v>0</v>
      </c>
      <c r="B772">
        <f>'2020_B5'!$K$5</f>
        <v>2014</v>
      </c>
      <c r="C772" t="str">
        <f>'2020_B5'!$G$6</f>
        <v>Deutsche</v>
      </c>
      <c r="D772" t="s">
        <v>4</v>
      </c>
      <c r="E772" t="str">
        <f>VLOOKUP(A772,[1]Kreise!$A$1:$C$53,3,FALSE)</f>
        <v>K030</v>
      </c>
      <c r="F772">
        <f>'2020_B5'!K364</f>
        <v>0</v>
      </c>
    </row>
    <row r="773" spans="1:6" x14ac:dyDescent="0.25">
      <c r="A773">
        <f>'2020_B5'!A365</f>
        <v>0</v>
      </c>
      <c r="B773">
        <f>'2020_B5'!$K$5</f>
        <v>2014</v>
      </c>
      <c r="C773" t="str">
        <f>'2020_B5'!$G$6</f>
        <v>Deutsche</v>
      </c>
      <c r="D773" t="s">
        <v>4</v>
      </c>
      <c r="E773" t="str">
        <f>VLOOKUP(A773,[1]Kreise!$A$1:$C$53,3,FALSE)</f>
        <v>K030</v>
      </c>
      <c r="F773">
        <f>'2020_B5'!K365</f>
        <v>0</v>
      </c>
    </row>
    <row r="774" spans="1:6" x14ac:dyDescent="0.25">
      <c r="A774">
        <f>'2020_B5'!A366</f>
        <v>0</v>
      </c>
      <c r="B774">
        <f>'2020_B5'!$K$5</f>
        <v>2014</v>
      </c>
      <c r="C774" t="str">
        <f>'2020_B5'!$G$6</f>
        <v>Deutsche</v>
      </c>
      <c r="D774" t="s">
        <v>4</v>
      </c>
      <c r="E774" t="str">
        <f>VLOOKUP(A774,[1]Kreise!$A$1:$C$53,3,FALSE)</f>
        <v>K030</v>
      </c>
      <c r="F774">
        <f>'2020_B5'!K366</f>
        <v>0</v>
      </c>
    </row>
    <row r="775" spans="1:6" x14ac:dyDescent="0.25">
      <c r="A775">
        <f>'2020_B5'!A367</f>
        <v>0</v>
      </c>
      <c r="B775">
        <f>'2020_B5'!$K$5</f>
        <v>2014</v>
      </c>
      <c r="C775" t="str">
        <f>'2020_B5'!$G$6</f>
        <v>Deutsche</v>
      </c>
      <c r="D775" t="s">
        <v>4</v>
      </c>
      <c r="E775" t="str">
        <f>VLOOKUP(A775,[1]Kreise!$A$1:$C$53,3,FALSE)</f>
        <v>K030</v>
      </c>
      <c r="F775">
        <f>'2020_B5'!K367</f>
        <v>0</v>
      </c>
    </row>
    <row r="776" spans="1:6" x14ac:dyDescent="0.25">
      <c r="A776">
        <f>'2020_B5'!A368</f>
        <v>0</v>
      </c>
      <c r="B776">
        <f>'2020_B5'!$K$5</f>
        <v>2014</v>
      </c>
      <c r="C776" t="str">
        <f>'2020_B5'!$G$6</f>
        <v>Deutsche</v>
      </c>
      <c r="D776" t="s">
        <v>4</v>
      </c>
      <c r="E776" t="str">
        <f>VLOOKUP(A776,[1]Kreise!$A$1:$C$53,3,FALSE)</f>
        <v>K030</v>
      </c>
      <c r="F776">
        <f>'2020_B5'!K368</f>
        <v>0</v>
      </c>
    </row>
    <row r="777" spans="1:6" x14ac:dyDescent="0.25">
      <c r="A777">
        <f>'2020_B5'!A369</f>
        <v>0</v>
      </c>
      <c r="B777">
        <f>'2020_B5'!$K$5</f>
        <v>2014</v>
      </c>
      <c r="C777" t="str">
        <f>'2020_B5'!$G$6</f>
        <v>Deutsche</v>
      </c>
      <c r="D777" t="s">
        <v>4</v>
      </c>
      <c r="E777" t="str">
        <f>VLOOKUP(A777,[1]Kreise!$A$1:$C$53,3,FALSE)</f>
        <v>K030</v>
      </c>
      <c r="F777">
        <f>'2020_B5'!K369</f>
        <v>0</v>
      </c>
    </row>
    <row r="778" spans="1:6" x14ac:dyDescent="0.25">
      <c r="A778">
        <f>'2020_B5'!A370</f>
        <v>0</v>
      </c>
      <c r="B778">
        <f>'2020_B5'!$K$5</f>
        <v>2014</v>
      </c>
      <c r="C778" t="str">
        <f>'2020_B5'!$G$6</f>
        <v>Deutsche</v>
      </c>
      <c r="D778" t="s">
        <v>4</v>
      </c>
      <c r="E778" t="str">
        <f>VLOOKUP(A778,[1]Kreise!$A$1:$C$53,3,FALSE)</f>
        <v>K030</v>
      </c>
      <c r="F778">
        <f>'2020_B5'!K370</f>
        <v>0</v>
      </c>
    </row>
    <row r="779" spans="1:6" x14ac:dyDescent="0.25">
      <c r="A779">
        <f>'2020_B5'!A371</f>
        <v>0</v>
      </c>
      <c r="B779">
        <f>'2020_B5'!$K$5</f>
        <v>2014</v>
      </c>
      <c r="C779" t="str">
        <f>'2020_B5'!$G$6</f>
        <v>Deutsche</v>
      </c>
      <c r="D779" t="s">
        <v>4</v>
      </c>
      <c r="E779" t="str">
        <f>VLOOKUP(A779,[1]Kreise!$A$1:$C$53,3,FALSE)</f>
        <v>K030</v>
      </c>
      <c r="F779">
        <f>'2020_B5'!K371</f>
        <v>0</v>
      </c>
    </row>
    <row r="780" spans="1:6" x14ac:dyDescent="0.25">
      <c r="A780">
        <f>'2020_B5'!A372</f>
        <v>0</v>
      </c>
      <c r="B780">
        <f>'2020_B5'!$K$5</f>
        <v>2014</v>
      </c>
      <c r="C780" t="str">
        <f>'2020_B5'!$G$6</f>
        <v>Deutsche</v>
      </c>
      <c r="D780" t="s">
        <v>4</v>
      </c>
      <c r="E780" t="str">
        <f>VLOOKUP(A780,[1]Kreise!$A$1:$C$53,3,FALSE)</f>
        <v>K030</v>
      </c>
      <c r="F780">
        <f>'2020_B5'!K372</f>
        <v>0</v>
      </c>
    </row>
    <row r="781" spans="1:6" x14ac:dyDescent="0.25">
      <c r="A781">
        <f>'2020_B5'!A321</f>
        <v>0</v>
      </c>
      <c r="B781">
        <f>'2020_B5'!$K$5</f>
        <v>2014</v>
      </c>
      <c r="C781" t="str">
        <f>'2020_B5'!$L$6</f>
        <v>Ausländerinnen und Ausländer</v>
      </c>
      <c r="D781" t="s">
        <v>4</v>
      </c>
      <c r="E781" t="str">
        <f>VLOOKUP(A781,[1]Kreise!$A$1:$C$53,3,FALSE)</f>
        <v>K030</v>
      </c>
      <c r="F781">
        <f>'2020_B5'!L321</f>
        <v>0</v>
      </c>
    </row>
    <row r="782" spans="1:6" x14ac:dyDescent="0.25">
      <c r="A782">
        <f>'2020_B5'!A322</f>
        <v>0</v>
      </c>
      <c r="B782">
        <f>'2020_B5'!$K$5</f>
        <v>2014</v>
      </c>
      <c r="C782" t="str">
        <f>'2020_B5'!$L$6</f>
        <v>Ausländerinnen und Ausländer</v>
      </c>
      <c r="D782" t="s">
        <v>4</v>
      </c>
      <c r="E782" t="str">
        <f>VLOOKUP(A782,[1]Kreise!$A$1:$C$53,3,FALSE)</f>
        <v>K030</v>
      </c>
      <c r="F782">
        <f>'2020_B5'!L322</f>
        <v>0</v>
      </c>
    </row>
    <row r="783" spans="1:6" x14ac:dyDescent="0.25">
      <c r="A783">
        <f>'2020_B5'!A323</f>
        <v>0</v>
      </c>
      <c r="B783">
        <f>'2020_B5'!$K$5</f>
        <v>2014</v>
      </c>
      <c r="C783" t="str">
        <f>'2020_B5'!$L$6</f>
        <v>Ausländerinnen und Ausländer</v>
      </c>
      <c r="D783" t="s">
        <v>4</v>
      </c>
      <c r="E783" t="str">
        <f>VLOOKUP(A783,[1]Kreise!$A$1:$C$53,3,FALSE)</f>
        <v>K030</v>
      </c>
      <c r="F783">
        <f>'2020_B5'!L323</f>
        <v>0</v>
      </c>
    </row>
    <row r="784" spans="1:6" x14ac:dyDescent="0.25">
      <c r="A784">
        <f>'2020_B5'!A324</f>
        <v>0</v>
      </c>
      <c r="B784">
        <f>'2020_B5'!$K$5</f>
        <v>2014</v>
      </c>
      <c r="C784" t="str">
        <f>'2020_B5'!$L$6</f>
        <v>Ausländerinnen und Ausländer</v>
      </c>
      <c r="D784" t="s">
        <v>4</v>
      </c>
      <c r="E784" t="str">
        <f>VLOOKUP(A784,[1]Kreise!$A$1:$C$53,3,FALSE)</f>
        <v>K030</v>
      </c>
      <c r="F784">
        <f>'2020_B5'!L324</f>
        <v>0</v>
      </c>
    </row>
    <row r="785" spans="1:6" x14ac:dyDescent="0.25">
      <c r="A785">
        <f>'2020_B5'!A325</f>
        <v>0</v>
      </c>
      <c r="B785">
        <f>'2020_B5'!$K$5</f>
        <v>2014</v>
      </c>
      <c r="C785" t="str">
        <f>'2020_B5'!$L$6</f>
        <v>Ausländerinnen und Ausländer</v>
      </c>
      <c r="D785" t="s">
        <v>4</v>
      </c>
      <c r="E785" t="str">
        <f>VLOOKUP(A785,[1]Kreise!$A$1:$C$53,3,FALSE)</f>
        <v>K030</v>
      </c>
      <c r="F785">
        <f>'2020_B5'!L325</f>
        <v>0</v>
      </c>
    </row>
    <row r="786" spans="1:6" x14ac:dyDescent="0.25">
      <c r="A786">
        <f>'2020_B5'!A326</f>
        <v>0</v>
      </c>
      <c r="B786">
        <f>'2020_B5'!$K$5</f>
        <v>2014</v>
      </c>
      <c r="C786" t="str">
        <f>'2020_B5'!$L$6</f>
        <v>Ausländerinnen und Ausländer</v>
      </c>
      <c r="D786" t="s">
        <v>4</v>
      </c>
      <c r="E786" t="str">
        <f>VLOOKUP(A786,[1]Kreise!$A$1:$C$53,3,FALSE)</f>
        <v>K030</v>
      </c>
      <c r="F786">
        <f>'2020_B5'!L326</f>
        <v>0</v>
      </c>
    </row>
    <row r="787" spans="1:6" x14ac:dyDescent="0.25">
      <c r="A787">
        <f>'2020_B5'!A327</f>
        <v>0</v>
      </c>
      <c r="B787">
        <f>'2020_B5'!$K$5</f>
        <v>2014</v>
      </c>
      <c r="C787" t="str">
        <f>'2020_B5'!$L$6</f>
        <v>Ausländerinnen und Ausländer</v>
      </c>
      <c r="D787" t="s">
        <v>4</v>
      </c>
      <c r="E787" t="str">
        <f>VLOOKUP(A787,[1]Kreise!$A$1:$C$53,3,FALSE)</f>
        <v>K030</v>
      </c>
      <c r="F787">
        <f>'2020_B5'!L327</f>
        <v>0</v>
      </c>
    </row>
    <row r="788" spans="1:6" x14ac:dyDescent="0.25">
      <c r="A788">
        <f>'2020_B5'!A328</f>
        <v>0</v>
      </c>
      <c r="B788">
        <f>'2020_B5'!$K$5</f>
        <v>2014</v>
      </c>
      <c r="C788" t="str">
        <f>'2020_B5'!$L$6</f>
        <v>Ausländerinnen und Ausländer</v>
      </c>
      <c r="D788" t="s">
        <v>4</v>
      </c>
      <c r="E788" t="str">
        <f>VLOOKUP(A788,[1]Kreise!$A$1:$C$53,3,FALSE)</f>
        <v>K030</v>
      </c>
      <c r="F788">
        <f>'2020_B5'!L328</f>
        <v>0</v>
      </c>
    </row>
    <row r="789" spans="1:6" x14ac:dyDescent="0.25">
      <c r="A789">
        <f>'2020_B5'!A329</f>
        <v>0</v>
      </c>
      <c r="B789">
        <f>'2020_B5'!$K$5</f>
        <v>2014</v>
      </c>
      <c r="C789" t="str">
        <f>'2020_B5'!$L$6</f>
        <v>Ausländerinnen und Ausländer</v>
      </c>
      <c r="D789" t="s">
        <v>4</v>
      </c>
      <c r="E789" t="str">
        <f>VLOOKUP(A789,[1]Kreise!$A$1:$C$53,3,FALSE)</f>
        <v>K030</v>
      </c>
      <c r="F789">
        <f>'2020_B5'!L329</f>
        <v>0</v>
      </c>
    </row>
    <row r="790" spans="1:6" x14ac:dyDescent="0.25">
      <c r="A790">
        <f>'2020_B5'!A330</f>
        <v>0</v>
      </c>
      <c r="B790">
        <f>'2020_B5'!$K$5</f>
        <v>2014</v>
      </c>
      <c r="C790" t="str">
        <f>'2020_B5'!$L$6</f>
        <v>Ausländerinnen und Ausländer</v>
      </c>
      <c r="D790" t="s">
        <v>4</v>
      </c>
      <c r="E790" t="str">
        <f>VLOOKUP(A790,[1]Kreise!$A$1:$C$53,3,FALSE)</f>
        <v>K030</v>
      </c>
      <c r="F790">
        <f>'2020_B5'!L330</f>
        <v>0</v>
      </c>
    </row>
    <row r="791" spans="1:6" x14ac:dyDescent="0.25">
      <c r="A791">
        <f>'2020_B5'!A331</f>
        <v>0</v>
      </c>
      <c r="B791">
        <f>'2020_B5'!$K$5</f>
        <v>2014</v>
      </c>
      <c r="C791" t="str">
        <f>'2020_B5'!$L$6</f>
        <v>Ausländerinnen und Ausländer</v>
      </c>
      <c r="D791" t="s">
        <v>4</v>
      </c>
      <c r="E791" t="str">
        <f>VLOOKUP(A791,[1]Kreise!$A$1:$C$53,3,FALSE)</f>
        <v>K030</v>
      </c>
      <c r="F791">
        <f>'2020_B5'!L331</f>
        <v>0</v>
      </c>
    </row>
    <row r="792" spans="1:6" x14ac:dyDescent="0.25">
      <c r="A792">
        <f>'2020_B5'!A332</f>
        <v>0</v>
      </c>
      <c r="B792">
        <f>'2020_B5'!$K$5</f>
        <v>2014</v>
      </c>
      <c r="C792" t="str">
        <f>'2020_B5'!$L$6</f>
        <v>Ausländerinnen und Ausländer</v>
      </c>
      <c r="D792" t="s">
        <v>4</v>
      </c>
      <c r="E792" t="str">
        <f>VLOOKUP(A792,[1]Kreise!$A$1:$C$53,3,FALSE)</f>
        <v>K030</v>
      </c>
      <c r="F792">
        <f>'2020_B5'!L332</f>
        <v>0</v>
      </c>
    </row>
    <row r="793" spans="1:6" x14ac:dyDescent="0.25">
      <c r="A793">
        <f>'2020_B5'!A333</f>
        <v>0</v>
      </c>
      <c r="B793">
        <f>'2020_B5'!$K$5</f>
        <v>2014</v>
      </c>
      <c r="C793" t="str">
        <f>'2020_B5'!$L$6</f>
        <v>Ausländerinnen und Ausländer</v>
      </c>
      <c r="D793" t="s">
        <v>4</v>
      </c>
      <c r="E793" t="str">
        <f>VLOOKUP(A793,[1]Kreise!$A$1:$C$53,3,FALSE)</f>
        <v>K030</v>
      </c>
      <c r="F793">
        <f>'2020_B5'!L333</f>
        <v>0</v>
      </c>
    </row>
    <row r="794" spans="1:6" x14ac:dyDescent="0.25">
      <c r="A794">
        <f>'2020_B5'!A334</f>
        <v>0</v>
      </c>
      <c r="B794">
        <f>'2020_B5'!$K$5</f>
        <v>2014</v>
      </c>
      <c r="C794" t="str">
        <f>'2020_B5'!$L$6</f>
        <v>Ausländerinnen und Ausländer</v>
      </c>
      <c r="D794" t="s">
        <v>4</v>
      </c>
      <c r="E794" t="str">
        <f>VLOOKUP(A794,[1]Kreise!$A$1:$C$53,3,FALSE)</f>
        <v>K030</v>
      </c>
      <c r="F794">
        <f>'2020_B5'!L334</f>
        <v>0</v>
      </c>
    </row>
    <row r="795" spans="1:6" x14ac:dyDescent="0.25">
      <c r="A795">
        <f>'2020_B5'!A335</f>
        <v>0</v>
      </c>
      <c r="B795">
        <f>'2020_B5'!$K$5</f>
        <v>2014</v>
      </c>
      <c r="C795" t="str">
        <f>'2020_B5'!$L$6</f>
        <v>Ausländerinnen und Ausländer</v>
      </c>
      <c r="D795" t="s">
        <v>4</v>
      </c>
      <c r="E795" t="str">
        <f>VLOOKUP(A795,[1]Kreise!$A$1:$C$53,3,FALSE)</f>
        <v>K030</v>
      </c>
      <c r="F795">
        <f>'2020_B5'!L335</f>
        <v>0</v>
      </c>
    </row>
    <row r="796" spans="1:6" x14ac:dyDescent="0.25">
      <c r="A796">
        <f>'2020_B5'!A336</f>
        <v>0</v>
      </c>
      <c r="B796">
        <f>'2020_B5'!$K$5</f>
        <v>2014</v>
      </c>
      <c r="C796" t="str">
        <f>'2020_B5'!$L$6</f>
        <v>Ausländerinnen und Ausländer</v>
      </c>
      <c r="D796" t="s">
        <v>4</v>
      </c>
      <c r="E796" t="str">
        <f>VLOOKUP(A796,[1]Kreise!$A$1:$C$53,3,FALSE)</f>
        <v>K030</v>
      </c>
      <c r="F796">
        <f>'2020_B5'!L336</f>
        <v>0</v>
      </c>
    </row>
    <row r="797" spans="1:6" x14ac:dyDescent="0.25">
      <c r="A797">
        <f>'2020_B5'!A337</f>
        <v>0</v>
      </c>
      <c r="B797">
        <f>'2020_B5'!$K$5</f>
        <v>2014</v>
      </c>
      <c r="C797" t="str">
        <f>'2020_B5'!$L$6</f>
        <v>Ausländerinnen und Ausländer</v>
      </c>
      <c r="D797" t="s">
        <v>4</v>
      </c>
      <c r="E797" t="str">
        <f>VLOOKUP(A797,[1]Kreise!$A$1:$C$53,3,FALSE)</f>
        <v>K030</v>
      </c>
      <c r="F797">
        <f>'2020_B5'!L337</f>
        <v>0</v>
      </c>
    </row>
    <row r="798" spans="1:6" x14ac:dyDescent="0.25">
      <c r="A798">
        <f>'2020_B5'!A338</f>
        <v>0</v>
      </c>
      <c r="B798">
        <f>'2020_B5'!$K$5</f>
        <v>2014</v>
      </c>
      <c r="C798" t="str">
        <f>'2020_B5'!$L$6</f>
        <v>Ausländerinnen und Ausländer</v>
      </c>
      <c r="D798" t="s">
        <v>4</v>
      </c>
      <c r="E798" t="str">
        <f>VLOOKUP(A798,[1]Kreise!$A$1:$C$53,3,FALSE)</f>
        <v>K030</v>
      </c>
      <c r="F798">
        <f>'2020_B5'!L338</f>
        <v>0</v>
      </c>
    </row>
    <row r="799" spans="1:6" x14ac:dyDescent="0.25">
      <c r="A799">
        <f>'2020_B5'!A339</f>
        <v>0</v>
      </c>
      <c r="B799">
        <f>'2020_B5'!$K$5</f>
        <v>2014</v>
      </c>
      <c r="C799" t="str">
        <f>'2020_B5'!$L$6</f>
        <v>Ausländerinnen und Ausländer</v>
      </c>
      <c r="D799" t="s">
        <v>4</v>
      </c>
      <c r="E799" t="str">
        <f>VLOOKUP(A799,[1]Kreise!$A$1:$C$53,3,FALSE)</f>
        <v>K030</v>
      </c>
      <c r="F799">
        <f>'2020_B5'!L339</f>
        <v>0</v>
      </c>
    </row>
    <row r="800" spans="1:6" x14ac:dyDescent="0.25">
      <c r="A800">
        <f>'2020_B5'!A340</f>
        <v>0</v>
      </c>
      <c r="B800">
        <f>'2020_B5'!$K$5</f>
        <v>2014</v>
      </c>
      <c r="C800" t="str">
        <f>'2020_B5'!$L$6</f>
        <v>Ausländerinnen und Ausländer</v>
      </c>
      <c r="D800" t="s">
        <v>4</v>
      </c>
      <c r="E800" t="str">
        <f>VLOOKUP(A800,[1]Kreise!$A$1:$C$53,3,FALSE)</f>
        <v>K030</v>
      </c>
      <c r="F800">
        <f>'2020_B5'!L340</f>
        <v>0</v>
      </c>
    </row>
    <row r="801" spans="1:6" x14ac:dyDescent="0.25">
      <c r="A801">
        <f>'2020_B5'!A341</f>
        <v>0</v>
      </c>
      <c r="B801">
        <f>'2020_B5'!$K$5</f>
        <v>2014</v>
      </c>
      <c r="C801" t="str">
        <f>'2020_B5'!$L$6</f>
        <v>Ausländerinnen und Ausländer</v>
      </c>
      <c r="D801" t="s">
        <v>4</v>
      </c>
      <c r="E801" t="str">
        <f>VLOOKUP(A801,[1]Kreise!$A$1:$C$53,3,FALSE)</f>
        <v>K030</v>
      </c>
      <c r="F801">
        <f>'2020_B5'!L341</f>
        <v>0</v>
      </c>
    </row>
    <row r="802" spans="1:6" x14ac:dyDescent="0.25">
      <c r="A802">
        <f>'2020_B5'!A342</f>
        <v>0</v>
      </c>
      <c r="B802">
        <f>'2020_B5'!$K$5</f>
        <v>2014</v>
      </c>
      <c r="C802" t="str">
        <f>'2020_B5'!$L$6</f>
        <v>Ausländerinnen und Ausländer</v>
      </c>
      <c r="D802" t="s">
        <v>4</v>
      </c>
      <c r="E802" t="str">
        <f>VLOOKUP(A802,[1]Kreise!$A$1:$C$53,3,FALSE)</f>
        <v>K030</v>
      </c>
      <c r="F802">
        <f>'2020_B5'!L342</f>
        <v>0</v>
      </c>
    </row>
    <row r="803" spans="1:6" x14ac:dyDescent="0.25">
      <c r="A803">
        <f>'2020_B5'!A343</f>
        <v>0</v>
      </c>
      <c r="B803">
        <f>'2020_B5'!$K$5</f>
        <v>2014</v>
      </c>
      <c r="C803" t="str">
        <f>'2020_B5'!$L$6</f>
        <v>Ausländerinnen und Ausländer</v>
      </c>
      <c r="D803" t="s">
        <v>4</v>
      </c>
      <c r="E803" t="str">
        <f>VLOOKUP(A803,[1]Kreise!$A$1:$C$53,3,FALSE)</f>
        <v>K030</v>
      </c>
      <c r="F803">
        <f>'2020_B5'!L343</f>
        <v>0</v>
      </c>
    </row>
    <row r="804" spans="1:6" x14ac:dyDescent="0.25">
      <c r="A804">
        <f>'2020_B5'!A344</f>
        <v>0</v>
      </c>
      <c r="B804">
        <f>'2020_B5'!$K$5</f>
        <v>2014</v>
      </c>
      <c r="C804" t="str">
        <f>'2020_B5'!$L$6</f>
        <v>Ausländerinnen und Ausländer</v>
      </c>
      <c r="D804" t="s">
        <v>4</v>
      </c>
      <c r="E804" t="str">
        <f>VLOOKUP(A804,[1]Kreise!$A$1:$C$53,3,FALSE)</f>
        <v>K030</v>
      </c>
      <c r="F804">
        <f>'2020_B5'!L344</f>
        <v>0</v>
      </c>
    </row>
    <row r="805" spans="1:6" x14ac:dyDescent="0.25">
      <c r="A805">
        <f>'2020_B5'!A345</f>
        <v>0</v>
      </c>
      <c r="B805">
        <f>'2020_B5'!$K$5</f>
        <v>2014</v>
      </c>
      <c r="C805" t="str">
        <f>'2020_B5'!$L$6</f>
        <v>Ausländerinnen und Ausländer</v>
      </c>
      <c r="D805" t="s">
        <v>4</v>
      </c>
      <c r="E805" t="str">
        <f>VLOOKUP(A805,[1]Kreise!$A$1:$C$53,3,FALSE)</f>
        <v>K030</v>
      </c>
      <c r="F805">
        <f>'2020_B5'!L345</f>
        <v>0</v>
      </c>
    </row>
    <row r="806" spans="1:6" x14ac:dyDescent="0.25">
      <c r="A806">
        <f>'2020_B5'!A346</f>
        <v>0</v>
      </c>
      <c r="B806">
        <f>'2020_B5'!$K$5</f>
        <v>2014</v>
      </c>
      <c r="C806" t="str">
        <f>'2020_B5'!$L$6</f>
        <v>Ausländerinnen und Ausländer</v>
      </c>
      <c r="D806" t="s">
        <v>4</v>
      </c>
      <c r="E806" t="str">
        <f>VLOOKUP(A806,[1]Kreise!$A$1:$C$53,3,FALSE)</f>
        <v>K030</v>
      </c>
      <c r="F806">
        <f>'2020_B5'!L346</f>
        <v>0</v>
      </c>
    </row>
    <row r="807" spans="1:6" x14ac:dyDescent="0.25">
      <c r="A807">
        <f>'2020_B5'!A347</f>
        <v>0</v>
      </c>
      <c r="B807">
        <f>'2020_B5'!$K$5</f>
        <v>2014</v>
      </c>
      <c r="C807" t="str">
        <f>'2020_B5'!$L$6</f>
        <v>Ausländerinnen und Ausländer</v>
      </c>
      <c r="D807" t="s">
        <v>4</v>
      </c>
      <c r="E807" t="str">
        <f>VLOOKUP(A807,[1]Kreise!$A$1:$C$53,3,FALSE)</f>
        <v>K030</v>
      </c>
      <c r="F807">
        <f>'2020_B5'!L347</f>
        <v>0</v>
      </c>
    </row>
    <row r="808" spans="1:6" x14ac:dyDescent="0.25">
      <c r="A808">
        <f>'2020_B5'!A348</f>
        <v>0</v>
      </c>
      <c r="B808">
        <f>'2020_B5'!$K$5</f>
        <v>2014</v>
      </c>
      <c r="C808" t="str">
        <f>'2020_B5'!$L$6</f>
        <v>Ausländerinnen und Ausländer</v>
      </c>
      <c r="D808" t="s">
        <v>4</v>
      </c>
      <c r="E808" t="str">
        <f>VLOOKUP(A808,[1]Kreise!$A$1:$C$53,3,FALSE)</f>
        <v>K030</v>
      </c>
      <c r="F808">
        <f>'2020_B5'!L348</f>
        <v>0</v>
      </c>
    </row>
    <row r="809" spans="1:6" x14ac:dyDescent="0.25">
      <c r="A809">
        <f>'2020_B5'!A349</f>
        <v>0</v>
      </c>
      <c r="B809">
        <f>'2020_B5'!$K$5</f>
        <v>2014</v>
      </c>
      <c r="C809" t="str">
        <f>'2020_B5'!$L$6</f>
        <v>Ausländerinnen und Ausländer</v>
      </c>
      <c r="D809" t="s">
        <v>4</v>
      </c>
      <c r="E809" t="str">
        <f>VLOOKUP(A809,[1]Kreise!$A$1:$C$53,3,FALSE)</f>
        <v>K030</v>
      </c>
      <c r="F809">
        <f>'2020_B5'!L349</f>
        <v>0</v>
      </c>
    </row>
    <row r="810" spans="1:6" x14ac:dyDescent="0.25">
      <c r="A810">
        <f>'2020_B5'!A350</f>
        <v>0</v>
      </c>
      <c r="B810">
        <f>'2020_B5'!$K$5</f>
        <v>2014</v>
      </c>
      <c r="C810" t="str">
        <f>'2020_B5'!$L$6</f>
        <v>Ausländerinnen und Ausländer</v>
      </c>
      <c r="D810" t="s">
        <v>4</v>
      </c>
      <c r="E810" t="str">
        <f>VLOOKUP(A810,[1]Kreise!$A$1:$C$53,3,FALSE)</f>
        <v>K030</v>
      </c>
      <c r="F810">
        <f>'2020_B5'!L350</f>
        <v>0</v>
      </c>
    </row>
    <row r="811" spans="1:6" x14ac:dyDescent="0.25">
      <c r="A811">
        <f>'2020_B5'!A351</f>
        <v>0</v>
      </c>
      <c r="B811">
        <f>'2020_B5'!$K$5</f>
        <v>2014</v>
      </c>
      <c r="C811" t="str">
        <f>'2020_B5'!$L$6</f>
        <v>Ausländerinnen und Ausländer</v>
      </c>
      <c r="D811" t="s">
        <v>4</v>
      </c>
      <c r="E811" t="str">
        <f>VLOOKUP(A811,[1]Kreise!$A$1:$C$53,3,FALSE)</f>
        <v>K030</v>
      </c>
      <c r="F811">
        <f>'2020_B5'!L351</f>
        <v>0</v>
      </c>
    </row>
    <row r="812" spans="1:6" x14ac:dyDescent="0.25">
      <c r="A812">
        <f>'2020_B5'!A352</f>
        <v>0</v>
      </c>
      <c r="B812">
        <f>'2020_B5'!$K$5</f>
        <v>2014</v>
      </c>
      <c r="C812" t="str">
        <f>'2020_B5'!$L$6</f>
        <v>Ausländerinnen und Ausländer</v>
      </c>
      <c r="D812" t="s">
        <v>4</v>
      </c>
      <c r="E812" t="str">
        <f>VLOOKUP(A812,[1]Kreise!$A$1:$C$53,3,FALSE)</f>
        <v>K030</v>
      </c>
      <c r="F812">
        <f>'2020_B5'!L352</f>
        <v>0</v>
      </c>
    </row>
    <row r="813" spans="1:6" x14ac:dyDescent="0.25">
      <c r="A813">
        <f>'2020_B5'!A353</f>
        <v>0</v>
      </c>
      <c r="B813">
        <f>'2020_B5'!$K$5</f>
        <v>2014</v>
      </c>
      <c r="C813" t="str">
        <f>'2020_B5'!$L$6</f>
        <v>Ausländerinnen und Ausländer</v>
      </c>
      <c r="D813" t="s">
        <v>4</v>
      </c>
      <c r="E813" t="str">
        <f>VLOOKUP(A813,[1]Kreise!$A$1:$C$53,3,FALSE)</f>
        <v>K030</v>
      </c>
      <c r="F813">
        <f>'2020_B5'!L353</f>
        <v>0</v>
      </c>
    </row>
    <row r="814" spans="1:6" x14ac:dyDescent="0.25">
      <c r="A814">
        <f>'2020_B5'!A354</f>
        <v>0</v>
      </c>
      <c r="B814">
        <f>'2020_B5'!$K$5</f>
        <v>2014</v>
      </c>
      <c r="C814" t="str">
        <f>'2020_B5'!$L$6</f>
        <v>Ausländerinnen und Ausländer</v>
      </c>
      <c r="D814" t="s">
        <v>4</v>
      </c>
      <c r="E814" t="str">
        <f>VLOOKUP(A814,[1]Kreise!$A$1:$C$53,3,FALSE)</f>
        <v>K030</v>
      </c>
      <c r="F814">
        <f>'2020_B5'!L354</f>
        <v>0</v>
      </c>
    </row>
    <row r="815" spans="1:6" x14ac:dyDescent="0.25">
      <c r="A815">
        <f>'2020_B5'!A355</f>
        <v>0</v>
      </c>
      <c r="B815">
        <f>'2020_B5'!$K$5</f>
        <v>2014</v>
      </c>
      <c r="C815" t="str">
        <f>'2020_B5'!$L$6</f>
        <v>Ausländerinnen und Ausländer</v>
      </c>
      <c r="D815" t="s">
        <v>4</v>
      </c>
      <c r="E815" t="str">
        <f>VLOOKUP(A815,[1]Kreise!$A$1:$C$53,3,FALSE)</f>
        <v>K030</v>
      </c>
      <c r="F815">
        <f>'2020_B5'!L355</f>
        <v>0</v>
      </c>
    </row>
    <row r="816" spans="1:6" x14ac:dyDescent="0.25">
      <c r="A816">
        <f>'2020_B5'!A356</f>
        <v>0</v>
      </c>
      <c r="B816">
        <f>'2020_B5'!$K$5</f>
        <v>2014</v>
      </c>
      <c r="C816" t="str">
        <f>'2020_B5'!$L$6</f>
        <v>Ausländerinnen und Ausländer</v>
      </c>
      <c r="D816" t="s">
        <v>4</v>
      </c>
      <c r="E816" t="str">
        <f>VLOOKUP(A816,[1]Kreise!$A$1:$C$53,3,FALSE)</f>
        <v>K030</v>
      </c>
      <c r="F816">
        <f>'2020_B5'!L356</f>
        <v>0</v>
      </c>
    </row>
    <row r="817" spans="1:6" x14ac:dyDescent="0.25">
      <c r="A817">
        <f>'2020_B5'!A357</f>
        <v>0</v>
      </c>
      <c r="B817">
        <f>'2020_B5'!$K$5</f>
        <v>2014</v>
      </c>
      <c r="C817" t="str">
        <f>'2020_B5'!$L$6</f>
        <v>Ausländerinnen und Ausländer</v>
      </c>
      <c r="D817" t="s">
        <v>4</v>
      </c>
      <c r="E817" t="str">
        <f>VLOOKUP(A817,[1]Kreise!$A$1:$C$53,3,FALSE)</f>
        <v>K030</v>
      </c>
      <c r="F817">
        <f>'2020_B5'!L357</f>
        <v>0</v>
      </c>
    </row>
    <row r="818" spans="1:6" x14ac:dyDescent="0.25">
      <c r="A818">
        <f>'2020_B5'!A358</f>
        <v>0</v>
      </c>
      <c r="B818">
        <f>'2020_B5'!$K$5</f>
        <v>2014</v>
      </c>
      <c r="C818" t="str">
        <f>'2020_B5'!$L$6</f>
        <v>Ausländerinnen und Ausländer</v>
      </c>
      <c r="D818" t="s">
        <v>4</v>
      </c>
      <c r="E818" t="str">
        <f>VLOOKUP(A818,[1]Kreise!$A$1:$C$53,3,FALSE)</f>
        <v>K030</v>
      </c>
      <c r="F818">
        <f>'2020_B5'!L358</f>
        <v>0</v>
      </c>
    </row>
    <row r="819" spans="1:6" x14ac:dyDescent="0.25">
      <c r="A819">
        <f>'2020_B5'!A359</f>
        <v>0</v>
      </c>
      <c r="B819">
        <f>'2020_B5'!$K$5</f>
        <v>2014</v>
      </c>
      <c r="C819" t="str">
        <f>'2020_B5'!$L$6</f>
        <v>Ausländerinnen und Ausländer</v>
      </c>
      <c r="D819" t="s">
        <v>4</v>
      </c>
      <c r="E819" t="str">
        <f>VLOOKUP(A819,[1]Kreise!$A$1:$C$53,3,FALSE)</f>
        <v>K030</v>
      </c>
      <c r="F819">
        <f>'2020_B5'!L359</f>
        <v>0</v>
      </c>
    </row>
    <row r="820" spans="1:6" x14ac:dyDescent="0.25">
      <c r="A820">
        <f>'2020_B5'!A360</f>
        <v>0</v>
      </c>
      <c r="B820">
        <f>'2020_B5'!$K$5</f>
        <v>2014</v>
      </c>
      <c r="C820" t="str">
        <f>'2020_B5'!$L$6</f>
        <v>Ausländerinnen und Ausländer</v>
      </c>
      <c r="D820" t="s">
        <v>4</v>
      </c>
      <c r="E820" t="str">
        <f>VLOOKUP(A820,[1]Kreise!$A$1:$C$53,3,FALSE)</f>
        <v>K030</v>
      </c>
      <c r="F820">
        <f>'2020_B5'!L360</f>
        <v>0</v>
      </c>
    </row>
    <row r="821" spans="1:6" x14ac:dyDescent="0.25">
      <c r="A821">
        <f>'2020_B5'!A361</f>
        <v>0</v>
      </c>
      <c r="B821">
        <f>'2020_B5'!$K$5</f>
        <v>2014</v>
      </c>
      <c r="C821" t="str">
        <f>'2020_B5'!$L$6</f>
        <v>Ausländerinnen und Ausländer</v>
      </c>
      <c r="D821" t="s">
        <v>4</v>
      </c>
      <c r="E821" t="str">
        <f>VLOOKUP(A821,[1]Kreise!$A$1:$C$53,3,FALSE)</f>
        <v>K030</v>
      </c>
      <c r="F821">
        <f>'2020_B5'!L361</f>
        <v>0</v>
      </c>
    </row>
    <row r="822" spans="1:6" x14ac:dyDescent="0.25">
      <c r="A822">
        <f>'2020_B5'!A362</f>
        <v>0</v>
      </c>
      <c r="B822">
        <f>'2020_B5'!$K$5</f>
        <v>2014</v>
      </c>
      <c r="C822" t="str">
        <f>'2020_B5'!$L$6</f>
        <v>Ausländerinnen und Ausländer</v>
      </c>
      <c r="D822" t="s">
        <v>4</v>
      </c>
      <c r="E822" t="str">
        <f>VLOOKUP(A822,[1]Kreise!$A$1:$C$53,3,FALSE)</f>
        <v>K030</v>
      </c>
      <c r="F822">
        <f>'2020_B5'!L362</f>
        <v>0</v>
      </c>
    </row>
    <row r="823" spans="1:6" x14ac:dyDescent="0.25">
      <c r="A823">
        <f>'2020_B5'!A363</f>
        <v>0</v>
      </c>
      <c r="B823">
        <f>'2020_B5'!$K$5</f>
        <v>2014</v>
      </c>
      <c r="C823" t="str">
        <f>'2020_B5'!$L$6</f>
        <v>Ausländerinnen und Ausländer</v>
      </c>
      <c r="D823" t="s">
        <v>4</v>
      </c>
      <c r="E823" t="str">
        <f>VLOOKUP(A823,[1]Kreise!$A$1:$C$53,3,FALSE)</f>
        <v>K030</v>
      </c>
      <c r="F823">
        <f>'2020_B5'!L363</f>
        <v>0</v>
      </c>
    </row>
    <row r="824" spans="1:6" x14ac:dyDescent="0.25">
      <c r="A824">
        <f>'2020_B5'!A364</f>
        <v>0</v>
      </c>
      <c r="B824">
        <f>'2020_B5'!$K$5</f>
        <v>2014</v>
      </c>
      <c r="C824" t="str">
        <f>'2020_B5'!$L$6</f>
        <v>Ausländerinnen und Ausländer</v>
      </c>
      <c r="D824" t="s">
        <v>4</v>
      </c>
      <c r="E824" t="str">
        <f>VLOOKUP(A824,[1]Kreise!$A$1:$C$53,3,FALSE)</f>
        <v>K030</v>
      </c>
      <c r="F824">
        <f>'2020_B5'!L364</f>
        <v>0</v>
      </c>
    </row>
    <row r="825" spans="1:6" x14ac:dyDescent="0.25">
      <c r="A825">
        <f>'2020_B5'!A365</f>
        <v>0</v>
      </c>
      <c r="B825">
        <f>'2020_B5'!$K$5</f>
        <v>2014</v>
      </c>
      <c r="C825" t="str">
        <f>'2020_B5'!$L$6</f>
        <v>Ausländerinnen und Ausländer</v>
      </c>
      <c r="D825" t="s">
        <v>4</v>
      </c>
      <c r="E825" t="str">
        <f>VLOOKUP(A825,[1]Kreise!$A$1:$C$53,3,FALSE)</f>
        <v>K030</v>
      </c>
      <c r="F825">
        <f>'2020_B5'!L365</f>
        <v>0</v>
      </c>
    </row>
    <row r="826" spans="1:6" x14ac:dyDescent="0.25">
      <c r="A826">
        <f>'2020_B5'!A366</f>
        <v>0</v>
      </c>
      <c r="B826">
        <f>'2020_B5'!$K$5</f>
        <v>2014</v>
      </c>
      <c r="C826" t="str">
        <f>'2020_B5'!$L$6</f>
        <v>Ausländerinnen und Ausländer</v>
      </c>
      <c r="D826" t="s">
        <v>4</v>
      </c>
      <c r="E826" t="str">
        <f>VLOOKUP(A826,[1]Kreise!$A$1:$C$53,3,FALSE)</f>
        <v>K030</v>
      </c>
      <c r="F826">
        <f>'2020_B5'!L366</f>
        <v>0</v>
      </c>
    </row>
    <row r="827" spans="1:6" x14ac:dyDescent="0.25">
      <c r="A827">
        <f>'2020_B5'!A367</f>
        <v>0</v>
      </c>
      <c r="B827">
        <f>'2020_B5'!$K$5</f>
        <v>2014</v>
      </c>
      <c r="C827" t="str">
        <f>'2020_B5'!$L$6</f>
        <v>Ausländerinnen und Ausländer</v>
      </c>
      <c r="D827" t="s">
        <v>4</v>
      </c>
      <c r="E827" t="str">
        <f>VLOOKUP(A827,[1]Kreise!$A$1:$C$53,3,FALSE)</f>
        <v>K030</v>
      </c>
      <c r="F827">
        <f>'2020_B5'!L367</f>
        <v>0</v>
      </c>
    </row>
    <row r="828" spans="1:6" x14ac:dyDescent="0.25">
      <c r="A828">
        <f>'2020_B5'!A368</f>
        <v>0</v>
      </c>
      <c r="B828">
        <f>'2020_B5'!$K$5</f>
        <v>2014</v>
      </c>
      <c r="C828" t="str">
        <f>'2020_B5'!$L$6</f>
        <v>Ausländerinnen und Ausländer</v>
      </c>
      <c r="D828" t="s">
        <v>4</v>
      </c>
      <c r="E828" t="str">
        <f>VLOOKUP(A828,[1]Kreise!$A$1:$C$53,3,FALSE)</f>
        <v>K030</v>
      </c>
      <c r="F828">
        <f>'2020_B5'!L368</f>
        <v>0</v>
      </c>
    </row>
    <row r="829" spans="1:6" x14ac:dyDescent="0.25">
      <c r="A829">
        <f>'2020_B5'!A369</f>
        <v>0</v>
      </c>
      <c r="B829">
        <f>'2020_B5'!$K$5</f>
        <v>2014</v>
      </c>
      <c r="C829" t="str">
        <f>'2020_B5'!$L$6</f>
        <v>Ausländerinnen und Ausländer</v>
      </c>
      <c r="D829" t="s">
        <v>4</v>
      </c>
      <c r="E829" t="str">
        <f>VLOOKUP(A829,[1]Kreise!$A$1:$C$53,3,FALSE)</f>
        <v>K030</v>
      </c>
      <c r="F829">
        <f>'2020_B5'!L369</f>
        <v>0</v>
      </c>
    </row>
    <row r="830" spans="1:6" x14ac:dyDescent="0.25">
      <c r="A830">
        <f>'2020_B5'!A370</f>
        <v>0</v>
      </c>
      <c r="B830">
        <f>'2020_B5'!$K$5</f>
        <v>2014</v>
      </c>
      <c r="C830" t="str">
        <f>'2020_B5'!$L$6</f>
        <v>Ausländerinnen und Ausländer</v>
      </c>
      <c r="D830" t="s">
        <v>4</v>
      </c>
      <c r="E830" t="str">
        <f>VLOOKUP(A830,[1]Kreise!$A$1:$C$53,3,FALSE)</f>
        <v>K030</v>
      </c>
      <c r="F830">
        <f>'2020_B5'!L370</f>
        <v>0</v>
      </c>
    </row>
    <row r="831" spans="1:6" x14ac:dyDescent="0.25">
      <c r="A831">
        <f>'2020_B5'!A371</f>
        <v>0</v>
      </c>
      <c r="B831">
        <f>'2020_B5'!$K$5</f>
        <v>2014</v>
      </c>
      <c r="C831" t="str">
        <f>'2020_B5'!$L$6</f>
        <v>Ausländerinnen und Ausländer</v>
      </c>
      <c r="D831" t="s">
        <v>4</v>
      </c>
      <c r="E831" t="str">
        <f>VLOOKUP(A831,[1]Kreise!$A$1:$C$53,3,FALSE)</f>
        <v>K030</v>
      </c>
      <c r="F831">
        <f>'2020_B5'!L371</f>
        <v>0</v>
      </c>
    </row>
    <row r="832" spans="1:6" x14ac:dyDescent="0.25">
      <c r="A832">
        <f>'2020_B5'!A372</f>
        <v>0</v>
      </c>
      <c r="B832">
        <f>'2020_B5'!$K$5</f>
        <v>2014</v>
      </c>
      <c r="C832" t="str">
        <f>'2020_B5'!$L$6</f>
        <v>Ausländerinnen und Ausländer</v>
      </c>
      <c r="D832" t="s">
        <v>4</v>
      </c>
      <c r="E832" t="str">
        <f>VLOOKUP(A832,[1]Kreise!$A$1:$C$53,3,FALSE)</f>
        <v>K030</v>
      </c>
      <c r="F832">
        <f>'2020_B5'!L372</f>
        <v>0</v>
      </c>
    </row>
    <row r="833" spans="1:6" x14ac:dyDescent="0.25">
      <c r="A833">
        <f>'2020_B5'!A425</f>
        <v>0</v>
      </c>
      <c r="B833">
        <f>'2020_B5'!$K$5</f>
        <v>2014</v>
      </c>
      <c r="C833" t="str">
        <f>'2020_B5'!$G$6</f>
        <v>Deutsche</v>
      </c>
      <c r="D833" t="s">
        <v>4</v>
      </c>
      <c r="E833" t="str">
        <f>VLOOKUP(A833,[1]Kreise!$A$1:$C$53,3,FALSE)</f>
        <v>K030</v>
      </c>
      <c r="F833">
        <f>'2020_B5'!K425</f>
        <v>0</v>
      </c>
    </row>
    <row r="834" spans="1:6" x14ac:dyDescent="0.25">
      <c r="A834">
        <f>'2020_B5'!A426</f>
        <v>0</v>
      </c>
      <c r="B834">
        <f>'2020_B5'!$K$5</f>
        <v>2014</v>
      </c>
      <c r="C834" t="str">
        <f>'2020_B5'!$G$6</f>
        <v>Deutsche</v>
      </c>
      <c r="D834" t="s">
        <v>4</v>
      </c>
      <c r="E834" t="str">
        <f>VLOOKUP(A834,[1]Kreise!$A$1:$C$53,3,FALSE)</f>
        <v>K030</v>
      </c>
      <c r="F834">
        <f>'2020_B5'!K426</f>
        <v>0</v>
      </c>
    </row>
    <row r="835" spans="1:6" x14ac:dyDescent="0.25">
      <c r="A835">
        <f>'2020_B5'!A427</f>
        <v>0</v>
      </c>
      <c r="B835">
        <f>'2020_B5'!$K$5</f>
        <v>2014</v>
      </c>
      <c r="C835" t="str">
        <f>'2020_B5'!$G$6</f>
        <v>Deutsche</v>
      </c>
      <c r="D835" t="s">
        <v>4</v>
      </c>
      <c r="E835" t="str">
        <f>VLOOKUP(A835,[1]Kreise!$A$1:$C$53,3,FALSE)</f>
        <v>K030</v>
      </c>
      <c r="F835">
        <f>'2020_B5'!K427</f>
        <v>0</v>
      </c>
    </row>
    <row r="836" spans="1:6" x14ac:dyDescent="0.25">
      <c r="A836">
        <f>'2020_B5'!A428</f>
        <v>0</v>
      </c>
      <c r="B836">
        <f>'2020_B5'!$K$5</f>
        <v>2014</v>
      </c>
      <c r="C836" t="str">
        <f>'2020_B5'!$G$6</f>
        <v>Deutsche</v>
      </c>
      <c r="D836" t="s">
        <v>4</v>
      </c>
      <c r="E836" t="str">
        <f>VLOOKUP(A836,[1]Kreise!$A$1:$C$53,3,FALSE)</f>
        <v>K030</v>
      </c>
      <c r="F836">
        <f>'2020_B5'!K428</f>
        <v>0</v>
      </c>
    </row>
    <row r="837" spans="1:6" x14ac:dyDescent="0.25">
      <c r="A837">
        <f>'2020_B5'!A429</f>
        <v>0</v>
      </c>
      <c r="B837">
        <f>'2020_B5'!$K$5</f>
        <v>2014</v>
      </c>
      <c r="C837" t="str">
        <f>'2020_B5'!$G$6</f>
        <v>Deutsche</v>
      </c>
      <c r="D837" t="s">
        <v>4</v>
      </c>
      <c r="E837" t="str">
        <f>VLOOKUP(A837,[1]Kreise!$A$1:$C$53,3,FALSE)</f>
        <v>K030</v>
      </c>
      <c r="F837">
        <f>'2020_B5'!K429</f>
        <v>0</v>
      </c>
    </row>
    <row r="838" spans="1:6" x14ac:dyDescent="0.25">
      <c r="A838">
        <f>'2020_B5'!A430</f>
        <v>0</v>
      </c>
      <c r="B838">
        <f>'2020_B5'!$K$5</f>
        <v>2014</v>
      </c>
      <c r="C838" t="str">
        <f>'2020_B5'!$G$6</f>
        <v>Deutsche</v>
      </c>
      <c r="D838" t="s">
        <v>4</v>
      </c>
      <c r="E838" t="str">
        <f>VLOOKUP(A838,[1]Kreise!$A$1:$C$53,3,FALSE)</f>
        <v>K030</v>
      </c>
      <c r="F838">
        <f>'2020_B5'!K430</f>
        <v>0</v>
      </c>
    </row>
    <row r="839" spans="1:6" x14ac:dyDescent="0.25">
      <c r="A839">
        <f>'2020_B5'!A431</f>
        <v>0</v>
      </c>
      <c r="B839">
        <f>'2020_B5'!$K$5</f>
        <v>2014</v>
      </c>
      <c r="C839" t="str">
        <f>'2020_B5'!$G$6</f>
        <v>Deutsche</v>
      </c>
      <c r="D839" t="s">
        <v>4</v>
      </c>
      <c r="E839" t="str">
        <f>VLOOKUP(A839,[1]Kreise!$A$1:$C$53,3,FALSE)</f>
        <v>K030</v>
      </c>
      <c r="F839">
        <f>'2020_B5'!K431</f>
        <v>0</v>
      </c>
    </row>
    <row r="840" spans="1:6" x14ac:dyDescent="0.25">
      <c r="A840">
        <f>'2020_B5'!A432</f>
        <v>0</v>
      </c>
      <c r="B840">
        <f>'2020_B5'!$K$5</f>
        <v>2014</v>
      </c>
      <c r="C840" t="str">
        <f>'2020_B5'!$G$6</f>
        <v>Deutsche</v>
      </c>
      <c r="D840" t="s">
        <v>4</v>
      </c>
      <c r="E840" t="str">
        <f>VLOOKUP(A840,[1]Kreise!$A$1:$C$53,3,FALSE)</f>
        <v>K030</v>
      </c>
      <c r="F840">
        <f>'2020_B5'!K432</f>
        <v>0</v>
      </c>
    </row>
    <row r="841" spans="1:6" x14ac:dyDescent="0.25">
      <c r="A841">
        <f>'2020_B5'!A433</f>
        <v>0</v>
      </c>
      <c r="B841">
        <f>'2020_B5'!$K$5</f>
        <v>2014</v>
      </c>
      <c r="C841" t="str">
        <f>'2020_B5'!$G$6</f>
        <v>Deutsche</v>
      </c>
      <c r="D841" t="s">
        <v>4</v>
      </c>
      <c r="E841" t="str">
        <f>VLOOKUP(A841,[1]Kreise!$A$1:$C$53,3,FALSE)</f>
        <v>K030</v>
      </c>
      <c r="F841">
        <f>'2020_B5'!K433</f>
        <v>0</v>
      </c>
    </row>
    <row r="842" spans="1:6" x14ac:dyDescent="0.25">
      <c r="A842">
        <f>'2020_B5'!A434</f>
        <v>0</v>
      </c>
      <c r="B842">
        <f>'2020_B5'!$K$5</f>
        <v>2014</v>
      </c>
      <c r="C842" t="str">
        <f>'2020_B5'!$G$6</f>
        <v>Deutsche</v>
      </c>
      <c r="D842" t="s">
        <v>4</v>
      </c>
      <c r="E842" t="str">
        <f>VLOOKUP(A842,[1]Kreise!$A$1:$C$53,3,FALSE)</f>
        <v>K030</v>
      </c>
      <c r="F842">
        <f>'2020_B5'!K434</f>
        <v>0</v>
      </c>
    </row>
    <row r="843" spans="1:6" x14ac:dyDescent="0.25">
      <c r="A843">
        <f>'2020_B5'!A435</f>
        <v>0</v>
      </c>
      <c r="B843">
        <f>'2020_B5'!$K$5</f>
        <v>2014</v>
      </c>
      <c r="C843" t="str">
        <f>'2020_B5'!$G$6</f>
        <v>Deutsche</v>
      </c>
      <c r="D843" t="s">
        <v>4</v>
      </c>
      <c r="E843" t="str">
        <f>VLOOKUP(A843,[1]Kreise!$A$1:$C$53,3,FALSE)</f>
        <v>K030</v>
      </c>
      <c r="F843">
        <f>'2020_B5'!K435</f>
        <v>0</v>
      </c>
    </row>
    <row r="844" spans="1:6" x14ac:dyDescent="0.25">
      <c r="A844">
        <f>'2020_B5'!A436</f>
        <v>0</v>
      </c>
      <c r="B844">
        <f>'2020_B5'!$K$5</f>
        <v>2014</v>
      </c>
      <c r="C844" t="str">
        <f>'2020_B5'!$G$6</f>
        <v>Deutsche</v>
      </c>
      <c r="D844" t="s">
        <v>4</v>
      </c>
      <c r="E844" t="str">
        <f>VLOOKUP(A844,[1]Kreise!$A$1:$C$53,3,FALSE)</f>
        <v>K030</v>
      </c>
      <c r="F844">
        <f>'2020_B5'!K436</f>
        <v>0</v>
      </c>
    </row>
    <row r="845" spans="1:6" x14ac:dyDescent="0.25">
      <c r="A845">
        <f>'2020_B5'!A437</f>
        <v>0</v>
      </c>
      <c r="B845">
        <f>'2020_B5'!$K$5</f>
        <v>2014</v>
      </c>
      <c r="C845" t="str">
        <f>'2020_B5'!$G$6</f>
        <v>Deutsche</v>
      </c>
      <c r="D845" t="s">
        <v>4</v>
      </c>
      <c r="E845" t="str">
        <f>VLOOKUP(A845,[1]Kreise!$A$1:$C$53,3,FALSE)</f>
        <v>K030</v>
      </c>
      <c r="F845">
        <f>'2020_B5'!K437</f>
        <v>0</v>
      </c>
    </row>
    <row r="846" spans="1:6" x14ac:dyDescent="0.25">
      <c r="A846">
        <f>'2020_B5'!A438</f>
        <v>0</v>
      </c>
      <c r="B846">
        <f>'2020_B5'!$K$5</f>
        <v>2014</v>
      </c>
      <c r="C846" t="str">
        <f>'2020_B5'!$G$6</f>
        <v>Deutsche</v>
      </c>
      <c r="D846" t="s">
        <v>4</v>
      </c>
      <c r="E846" t="str">
        <f>VLOOKUP(A846,[1]Kreise!$A$1:$C$53,3,FALSE)</f>
        <v>K030</v>
      </c>
      <c r="F846">
        <f>'2020_B5'!K438</f>
        <v>0</v>
      </c>
    </row>
    <row r="847" spans="1:6" x14ac:dyDescent="0.25">
      <c r="A847">
        <f>'2020_B5'!A439</f>
        <v>0</v>
      </c>
      <c r="B847">
        <f>'2020_B5'!$K$5</f>
        <v>2014</v>
      </c>
      <c r="C847" t="str">
        <f>'2020_B5'!$G$6</f>
        <v>Deutsche</v>
      </c>
      <c r="D847" t="s">
        <v>4</v>
      </c>
      <c r="E847" t="str">
        <f>VLOOKUP(A847,[1]Kreise!$A$1:$C$53,3,FALSE)</f>
        <v>K030</v>
      </c>
      <c r="F847">
        <f>'2020_B5'!K439</f>
        <v>0</v>
      </c>
    </row>
    <row r="848" spans="1:6" x14ac:dyDescent="0.25">
      <c r="A848">
        <f>'2020_B5'!A440</f>
        <v>0</v>
      </c>
      <c r="B848">
        <f>'2020_B5'!$K$5</f>
        <v>2014</v>
      </c>
      <c r="C848" t="str">
        <f>'2020_B5'!$G$6</f>
        <v>Deutsche</v>
      </c>
      <c r="D848" t="s">
        <v>4</v>
      </c>
      <c r="E848" t="str">
        <f>VLOOKUP(A848,[1]Kreise!$A$1:$C$53,3,FALSE)</f>
        <v>K030</v>
      </c>
      <c r="F848">
        <f>'2020_B5'!K440</f>
        <v>0</v>
      </c>
    </row>
    <row r="849" spans="1:6" x14ac:dyDescent="0.25">
      <c r="A849">
        <f>'2020_B5'!A441</f>
        <v>0</v>
      </c>
      <c r="B849">
        <f>'2020_B5'!$K$5</f>
        <v>2014</v>
      </c>
      <c r="C849" t="str">
        <f>'2020_B5'!$G$6</f>
        <v>Deutsche</v>
      </c>
      <c r="D849" t="s">
        <v>4</v>
      </c>
      <c r="E849" t="str">
        <f>VLOOKUP(A849,[1]Kreise!$A$1:$C$53,3,FALSE)</f>
        <v>K030</v>
      </c>
      <c r="F849">
        <f>'2020_B5'!K441</f>
        <v>0</v>
      </c>
    </row>
    <row r="850" spans="1:6" x14ac:dyDescent="0.25">
      <c r="A850">
        <f>'2020_B5'!A442</f>
        <v>0</v>
      </c>
      <c r="B850">
        <f>'2020_B5'!$K$5</f>
        <v>2014</v>
      </c>
      <c r="C850" t="str">
        <f>'2020_B5'!$G$6</f>
        <v>Deutsche</v>
      </c>
      <c r="D850" t="s">
        <v>4</v>
      </c>
      <c r="E850" t="str">
        <f>VLOOKUP(A850,[1]Kreise!$A$1:$C$53,3,FALSE)</f>
        <v>K030</v>
      </c>
      <c r="F850">
        <f>'2020_B5'!K442</f>
        <v>0</v>
      </c>
    </row>
    <row r="851" spans="1:6" x14ac:dyDescent="0.25">
      <c r="A851">
        <f>'2020_B5'!A443</f>
        <v>0</v>
      </c>
      <c r="B851">
        <f>'2020_B5'!$K$5</f>
        <v>2014</v>
      </c>
      <c r="C851" t="str">
        <f>'2020_B5'!$G$6</f>
        <v>Deutsche</v>
      </c>
      <c r="D851" t="s">
        <v>4</v>
      </c>
      <c r="E851" t="str">
        <f>VLOOKUP(A851,[1]Kreise!$A$1:$C$53,3,FALSE)</f>
        <v>K030</v>
      </c>
      <c r="F851">
        <f>'2020_B5'!K443</f>
        <v>0</v>
      </c>
    </row>
    <row r="852" spans="1:6" x14ac:dyDescent="0.25">
      <c r="A852">
        <f>'2020_B5'!A444</f>
        <v>0</v>
      </c>
      <c r="B852">
        <f>'2020_B5'!$K$5</f>
        <v>2014</v>
      </c>
      <c r="C852" t="str">
        <f>'2020_B5'!$G$6</f>
        <v>Deutsche</v>
      </c>
      <c r="D852" t="s">
        <v>4</v>
      </c>
      <c r="E852" t="str">
        <f>VLOOKUP(A852,[1]Kreise!$A$1:$C$53,3,FALSE)</f>
        <v>K030</v>
      </c>
      <c r="F852">
        <f>'2020_B5'!K444</f>
        <v>0</v>
      </c>
    </row>
    <row r="853" spans="1:6" x14ac:dyDescent="0.25">
      <c r="A853">
        <f>'2020_B5'!A445</f>
        <v>0</v>
      </c>
      <c r="B853">
        <f>'2020_B5'!$K$5</f>
        <v>2014</v>
      </c>
      <c r="C853" t="str">
        <f>'2020_B5'!$G$6</f>
        <v>Deutsche</v>
      </c>
      <c r="D853" t="s">
        <v>4</v>
      </c>
      <c r="E853" t="str">
        <f>VLOOKUP(A853,[1]Kreise!$A$1:$C$53,3,FALSE)</f>
        <v>K030</v>
      </c>
      <c r="F853">
        <f>'2020_B5'!K445</f>
        <v>0</v>
      </c>
    </row>
    <row r="854" spans="1:6" x14ac:dyDescent="0.25">
      <c r="A854">
        <f>'2020_B5'!A446</f>
        <v>0</v>
      </c>
      <c r="B854">
        <f>'2020_B5'!$K$5</f>
        <v>2014</v>
      </c>
      <c r="C854" t="str">
        <f>'2020_B5'!$G$6</f>
        <v>Deutsche</v>
      </c>
      <c r="D854" t="s">
        <v>4</v>
      </c>
      <c r="E854" t="str">
        <f>VLOOKUP(A854,[1]Kreise!$A$1:$C$53,3,FALSE)</f>
        <v>K030</v>
      </c>
      <c r="F854">
        <f>'2020_B5'!K446</f>
        <v>0</v>
      </c>
    </row>
    <row r="855" spans="1:6" x14ac:dyDescent="0.25">
      <c r="A855">
        <f>'2020_B5'!A447</f>
        <v>0</v>
      </c>
      <c r="B855">
        <f>'2020_B5'!$K$5</f>
        <v>2014</v>
      </c>
      <c r="C855" t="str">
        <f>'2020_B5'!$G$6</f>
        <v>Deutsche</v>
      </c>
      <c r="D855" t="s">
        <v>4</v>
      </c>
      <c r="E855" t="str">
        <f>VLOOKUP(A855,[1]Kreise!$A$1:$C$53,3,FALSE)</f>
        <v>K030</v>
      </c>
      <c r="F855">
        <f>'2020_B5'!K447</f>
        <v>0</v>
      </c>
    </row>
    <row r="856" spans="1:6" x14ac:dyDescent="0.25">
      <c r="A856">
        <f>'2020_B5'!A448</f>
        <v>0</v>
      </c>
      <c r="B856">
        <f>'2020_B5'!$K$5</f>
        <v>2014</v>
      </c>
      <c r="C856" t="str">
        <f>'2020_B5'!$G$6</f>
        <v>Deutsche</v>
      </c>
      <c r="D856" t="s">
        <v>4</v>
      </c>
      <c r="E856" t="str">
        <f>VLOOKUP(A856,[1]Kreise!$A$1:$C$53,3,FALSE)</f>
        <v>K030</v>
      </c>
      <c r="F856">
        <f>'2020_B5'!K448</f>
        <v>0</v>
      </c>
    </row>
    <row r="857" spans="1:6" x14ac:dyDescent="0.25">
      <c r="A857">
        <f>'2020_B5'!A449</f>
        <v>0</v>
      </c>
      <c r="B857">
        <f>'2020_B5'!$K$5</f>
        <v>2014</v>
      </c>
      <c r="C857" t="str">
        <f>'2020_B5'!$G$6</f>
        <v>Deutsche</v>
      </c>
      <c r="D857" t="s">
        <v>4</v>
      </c>
      <c r="E857" t="str">
        <f>VLOOKUP(A857,[1]Kreise!$A$1:$C$53,3,FALSE)</f>
        <v>K030</v>
      </c>
      <c r="F857">
        <f>'2020_B5'!K449</f>
        <v>0</v>
      </c>
    </row>
    <row r="858" spans="1:6" x14ac:dyDescent="0.25">
      <c r="A858">
        <f>'2020_B5'!A450</f>
        <v>0</v>
      </c>
      <c r="B858">
        <f>'2020_B5'!$K$5</f>
        <v>2014</v>
      </c>
      <c r="C858" t="str">
        <f>'2020_B5'!$G$6</f>
        <v>Deutsche</v>
      </c>
      <c r="D858" t="s">
        <v>4</v>
      </c>
      <c r="E858" t="str">
        <f>VLOOKUP(A858,[1]Kreise!$A$1:$C$53,3,FALSE)</f>
        <v>K030</v>
      </c>
      <c r="F858">
        <f>'2020_B5'!K450</f>
        <v>0</v>
      </c>
    </row>
    <row r="859" spans="1:6" x14ac:dyDescent="0.25">
      <c r="A859">
        <f>'2020_B5'!A451</f>
        <v>0</v>
      </c>
      <c r="B859">
        <f>'2020_B5'!$K$5</f>
        <v>2014</v>
      </c>
      <c r="C859" t="str">
        <f>'2020_B5'!$G$6</f>
        <v>Deutsche</v>
      </c>
      <c r="D859" t="s">
        <v>4</v>
      </c>
      <c r="E859" t="str">
        <f>VLOOKUP(A859,[1]Kreise!$A$1:$C$53,3,FALSE)</f>
        <v>K030</v>
      </c>
      <c r="F859">
        <f>'2020_B5'!K451</f>
        <v>0</v>
      </c>
    </row>
    <row r="860" spans="1:6" x14ac:dyDescent="0.25">
      <c r="A860">
        <f>'2020_B5'!A452</f>
        <v>0</v>
      </c>
      <c r="B860">
        <f>'2020_B5'!$K$5</f>
        <v>2014</v>
      </c>
      <c r="C860" t="str">
        <f>'2020_B5'!$G$6</f>
        <v>Deutsche</v>
      </c>
      <c r="D860" t="s">
        <v>4</v>
      </c>
      <c r="E860" t="str">
        <f>VLOOKUP(A860,[1]Kreise!$A$1:$C$53,3,FALSE)</f>
        <v>K030</v>
      </c>
      <c r="F860">
        <f>'2020_B5'!K452</f>
        <v>0</v>
      </c>
    </row>
    <row r="861" spans="1:6" x14ac:dyDescent="0.25">
      <c r="A861">
        <f>'2020_B5'!A453</f>
        <v>0</v>
      </c>
      <c r="B861">
        <f>'2020_B5'!$K$5</f>
        <v>2014</v>
      </c>
      <c r="C861" t="str">
        <f>'2020_B5'!$G$6</f>
        <v>Deutsche</v>
      </c>
      <c r="D861" t="s">
        <v>4</v>
      </c>
      <c r="E861" t="str">
        <f>VLOOKUP(A861,[1]Kreise!$A$1:$C$53,3,FALSE)</f>
        <v>K030</v>
      </c>
      <c r="F861">
        <f>'2020_B5'!K453</f>
        <v>0</v>
      </c>
    </row>
    <row r="862" spans="1:6" x14ac:dyDescent="0.25">
      <c r="A862">
        <f>'2020_B5'!A454</f>
        <v>0</v>
      </c>
      <c r="B862">
        <f>'2020_B5'!$K$5</f>
        <v>2014</v>
      </c>
      <c r="C862" t="str">
        <f>'2020_B5'!$G$6</f>
        <v>Deutsche</v>
      </c>
      <c r="D862" t="s">
        <v>4</v>
      </c>
      <c r="E862" t="str">
        <f>VLOOKUP(A862,[1]Kreise!$A$1:$C$53,3,FALSE)</f>
        <v>K030</v>
      </c>
      <c r="F862">
        <f>'2020_B5'!K454</f>
        <v>0</v>
      </c>
    </row>
    <row r="863" spans="1:6" x14ac:dyDescent="0.25">
      <c r="A863">
        <f>'2020_B5'!A455</f>
        <v>0</v>
      </c>
      <c r="B863">
        <f>'2020_B5'!$K$5</f>
        <v>2014</v>
      </c>
      <c r="C863" t="str">
        <f>'2020_B5'!$G$6</f>
        <v>Deutsche</v>
      </c>
      <c r="D863" t="s">
        <v>4</v>
      </c>
      <c r="E863" t="str">
        <f>VLOOKUP(A863,[1]Kreise!$A$1:$C$53,3,FALSE)</f>
        <v>K030</v>
      </c>
      <c r="F863">
        <f>'2020_B5'!K455</f>
        <v>0</v>
      </c>
    </row>
    <row r="864" spans="1:6" x14ac:dyDescent="0.25">
      <c r="A864">
        <f>'2020_B5'!A456</f>
        <v>0</v>
      </c>
      <c r="B864">
        <f>'2020_B5'!$K$5</f>
        <v>2014</v>
      </c>
      <c r="C864" t="str">
        <f>'2020_B5'!$G$6</f>
        <v>Deutsche</v>
      </c>
      <c r="D864" t="s">
        <v>4</v>
      </c>
      <c r="E864" t="str">
        <f>VLOOKUP(A864,[1]Kreise!$A$1:$C$53,3,FALSE)</f>
        <v>K030</v>
      </c>
      <c r="F864">
        <f>'2020_B5'!K456</f>
        <v>0</v>
      </c>
    </row>
    <row r="865" spans="1:6" x14ac:dyDescent="0.25">
      <c r="A865">
        <f>'2020_B5'!A457</f>
        <v>0</v>
      </c>
      <c r="B865">
        <f>'2020_B5'!$K$5</f>
        <v>2014</v>
      </c>
      <c r="C865" t="str">
        <f>'2020_B5'!$G$6</f>
        <v>Deutsche</v>
      </c>
      <c r="D865" t="s">
        <v>4</v>
      </c>
      <c r="E865" t="str">
        <f>VLOOKUP(A865,[1]Kreise!$A$1:$C$53,3,FALSE)</f>
        <v>K030</v>
      </c>
      <c r="F865">
        <f>'2020_B5'!K457</f>
        <v>0</v>
      </c>
    </row>
    <row r="866" spans="1:6" x14ac:dyDescent="0.25">
      <c r="A866">
        <f>'2020_B5'!A458</f>
        <v>0</v>
      </c>
      <c r="B866">
        <f>'2020_B5'!$K$5</f>
        <v>2014</v>
      </c>
      <c r="C866" t="str">
        <f>'2020_B5'!$G$6</f>
        <v>Deutsche</v>
      </c>
      <c r="D866" t="s">
        <v>4</v>
      </c>
      <c r="E866" t="str">
        <f>VLOOKUP(A866,[1]Kreise!$A$1:$C$53,3,FALSE)</f>
        <v>K030</v>
      </c>
      <c r="F866">
        <f>'2020_B5'!K458</f>
        <v>0</v>
      </c>
    </row>
    <row r="867" spans="1:6" x14ac:dyDescent="0.25">
      <c r="A867">
        <f>'2020_B5'!A459</f>
        <v>0</v>
      </c>
      <c r="B867">
        <f>'2020_B5'!$K$5</f>
        <v>2014</v>
      </c>
      <c r="C867" t="str">
        <f>'2020_B5'!$G$6</f>
        <v>Deutsche</v>
      </c>
      <c r="D867" t="s">
        <v>4</v>
      </c>
      <c r="E867" t="str">
        <f>VLOOKUP(A867,[1]Kreise!$A$1:$C$53,3,FALSE)</f>
        <v>K030</v>
      </c>
      <c r="F867">
        <f>'2020_B5'!K459</f>
        <v>0</v>
      </c>
    </row>
    <row r="868" spans="1:6" x14ac:dyDescent="0.25">
      <c r="A868">
        <f>'2020_B5'!A460</f>
        <v>0</v>
      </c>
      <c r="B868">
        <f>'2020_B5'!$K$5</f>
        <v>2014</v>
      </c>
      <c r="C868" t="str">
        <f>'2020_B5'!$G$6</f>
        <v>Deutsche</v>
      </c>
      <c r="D868" t="s">
        <v>4</v>
      </c>
      <c r="E868" t="str">
        <f>VLOOKUP(A868,[1]Kreise!$A$1:$C$53,3,FALSE)</f>
        <v>K030</v>
      </c>
      <c r="F868">
        <f>'2020_B5'!K460</f>
        <v>0</v>
      </c>
    </row>
    <row r="869" spans="1:6" x14ac:dyDescent="0.25">
      <c r="A869">
        <f>'2020_B5'!A461</f>
        <v>0</v>
      </c>
      <c r="B869">
        <f>'2020_B5'!$K$5</f>
        <v>2014</v>
      </c>
      <c r="C869" t="str">
        <f>'2020_B5'!$G$6</f>
        <v>Deutsche</v>
      </c>
      <c r="D869" t="s">
        <v>4</v>
      </c>
      <c r="E869" t="str">
        <f>VLOOKUP(A869,[1]Kreise!$A$1:$C$53,3,FALSE)</f>
        <v>K030</v>
      </c>
      <c r="F869">
        <f>'2020_B5'!K461</f>
        <v>0</v>
      </c>
    </row>
    <row r="870" spans="1:6" x14ac:dyDescent="0.25">
      <c r="A870">
        <f>'2020_B5'!A462</f>
        <v>0</v>
      </c>
      <c r="B870">
        <f>'2020_B5'!$K$5</f>
        <v>2014</v>
      </c>
      <c r="C870" t="str">
        <f>'2020_B5'!$G$6</f>
        <v>Deutsche</v>
      </c>
      <c r="D870" t="s">
        <v>4</v>
      </c>
      <c r="E870" t="str">
        <f>VLOOKUP(A870,[1]Kreise!$A$1:$C$53,3,FALSE)</f>
        <v>K030</v>
      </c>
      <c r="F870">
        <f>'2020_B5'!K462</f>
        <v>0</v>
      </c>
    </row>
    <row r="871" spans="1:6" x14ac:dyDescent="0.25">
      <c r="A871">
        <f>'2020_B5'!A463</f>
        <v>0</v>
      </c>
      <c r="B871">
        <f>'2020_B5'!$K$5</f>
        <v>2014</v>
      </c>
      <c r="C871" t="str">
        <f>'2020_B5'!$G$6</f>
        <v>Deutsche</v>
      </c>
      <c r="D871" t="s">
        <v>4</v>
      </c>
      <c r="E871" t="str">
        <f>VLOOKUP(A871,[1]Kreise!$A$1:$C$53,3,FALSE)</f>
        <v>K030</v>
      </c>
      <c r="F871">
        <f>'2020_B5'!K463</f>
        <v>0</v>
      </c>
    </row>
    <row r="872" spans="1:6" x14ac:dyDescent="0.25">
      <c r="A872">
        <f>'2020_B5'!A464</f>
        <v>0</v>
      </c>
      <c r="B872">
        <f>'2020_B5'!$K$5</f>
        <v>2014</v>
      </c>
      <c r="C872" t="str">
        <f>'2020_B5'!$G$6</f>
        <v>Deutsche</v>
      </c>
      <c r="D872" t="s">
        <v>4</v>
      </c>
      <c r="E872" t="str">
        <f>VLOOKUP(A872,[1]Kreise!$A$1:$C$53,3,FALSE)</f>
        <v>K030</v>
      </c>
      <c r="F872">
        <f>'2020_B5'!K464</f>
        <v>0</v>
      </c>
    </row>
    <row r="873" spans="1:6" x14ac:dyDescent="0.25">
      <c r="A873">
        <f>'2020_B5'!A465</f>
        <v>0</v>
      </c>
      <c r="B873">
        <f>'2020_B5'!$K$5</f>
        <v>2014</v>
      </c>
      <c r="C873" t="str">
        <f>'2020_B5'!$G$6</f>
        <v>Deutsche</v>
      </c>
      <c r="D873" t="s">
        <v>4</v>
      </c>
      <c r="E873" t="str">
        <f>VLOOKUP(A873,[1]Kreise!$A$1:$C$53,3,FALSE)</f>
        <v>K030</v>
      </c>
      <c r="F873">
        <f>'2020_B5'!K465</f>
        <v>0</v>
      </c>
    </row>
    <row r="874" spans="1:6" x14ac:dyDescent="0.25">
      <c r="A874">
        <f>'2020_B5'!A466</f>
        <v>0</v>
      </c>
      <c r="B874">
        <f>'2020_B5'!$K$5</f>
        <v>2014</v>
      </c>
      <c r="C874" t="str">
        <f>'2020_B5'!$G$6</f>
        <v>Deutsche</v>
      </c>
      <c r="D874" t="s">
        <v>4</v>
      </c>
      <c r="E874" t="str">
        <f>VLOOKUP(A874,[1]Kreise!$A$1:$C$53,3,FALSE)</f>
        <v>K030</v>
      </c>
      <c r="F874">
        <f>'2020_B5'!K466</f>
        <v>0</v>
      </c>
    </row>
    <row r="875" spans="1:6" x14ac:dyDescent="0.25">
      <c r="A875">
        <f>'2020_B5'!A467</f>
        <v>0</v>
      </c>
      <c r="B875">
        <f>'2020_B5'!$K$5</f>
        <v>2014</v>
      </c>
      <c r="C875" t="str">
        <f>'2020_B5'!$G$6</f>
        <v>Deutsche</v>
      </c>
      <c r="D875" t="s">
        <v>4</v>
      </c>
      <c r="E875" t="str">
        <f>VLOOKUP(A875,[1]Kreise!$A$1:$C$53,3,FALSE)</f>
        <v>K030</v>
      </c>
      <c r="F875">
        <f>'2020_B5'!K467</f>
        <v>0</v>
      </c>
    </row>
    <row r="876" spans="1:6" x14ac:dyDescent="0.25">
      <c r="A876">
        <f>'2020_B5'!A468</f>
        <v>0</v>
      </c>
      <c r="B876">
        <f>'2020_B5'!$K$5</f>
        <v>2014</v>
      </c>
      <c r="C876" t="str">
        <f>'2020_B5'!$G$6</f>
        <v>Deutsche</v>
      </c>
      <c r="D876" t="s">
        <v>4</v>
      </c>
      <c r="E876" t="str">
        <f>VLOOKUP(A876,[1]Kreise!$A$1:$C$53,3,FALSE)</f>
        <v>K030</v>
      </c>
      <c r="F876">
        <f>'2020_B5'!K468</f>
        <v>0</v>
      </c>
    </row>
    <row r="877" spans="1:6" x14ac:dyDescent="0.25">
      <c r="A877">
        <f>'2020_B5'!A469</f>
        <v>0</v>
      </c>
      <c r="B877">
        <f>'2020_B5'!$K$5</f>
        <v>2014</v>
      </c>
      <c r="C877" t="str">
        <f>'2020_B5'!$G$6</f>
        <v>Deutsche</v>
      </c>
      <c r="D877" t="s">
        <v>4</v>
      </c>
      <c r="E877" t="str">
        <f>VLOOKUP(A877,[1]Kreise!$A$1:$C$53,3,FALSE)</f>
        <v>K030</v>
      </c>
      <c r="F877">
        <f>'2020_B5'!K469</f>
        <v>0</v>
      </c>
    </row>
    <row r="878" spans="1:6" x14ac:dyDescent="0.25">
      <c r="A878">
        <f>'2020_B5'!A470</f>
        <v>0</v>
      </c>
      <c r="B878">
        <f>'2020_B5'!$K$5</f>
        <v>2014</v>
      </c>
      <c r="C878" t="str">
        <f>'2020_B5'!$G$6</f>
        <v>Deutsche</v>
      </c>
      <c r="D878" t="s">
        <v>4</v>
      </c>
      <c r="E878" t="str">
        <f>VLOOKUP(A878,[1]Kreise!$A$1:$C$53,3,FALSE)</f>
        <v>K030</v>
      </c>
      <c r="F878">
        <f>'2020_B5'!K470</f>
        <v>0</v>
      </c>
    </row>
    <row r="879" spans="1:6" x14ac:dyDescent="0.25">
      <c r="A879">
        <f>'2020_B5'!A471</f>
        <v>0</v>
      </c>
      <c r="B879">
        <f>'2020_B5'!$K$5</f>
        <v>2014</v>
      </c>
      <c r="C879" t="str">
        <f>'2020_B5'!$G$6</f>
        <v>Deutsche</v>
      </c>
      <c r="D879" t="s">
        <v>4</v>
      </c>
      <c r="E879" t="str">
        <f>VLOOKUP(A879,[1]Kreise!$A$1:$C$53,3,FALSE)</f>
        <v>K030</v>
      </c>
      <c r="F879">
        <f>'2020_B5'!K471</f>
        <v>0</v>
      </c>
    </row>
    <row r="880" spans="1:6" x14ac:dyDescent="0.25">
      <c r="A880">
        <f>'2020_B5'!A472</f>
        <v>0</v>
      </c>
      <c r="B880">
        <f>'2020_B5'!$K$5</f>
        <v>2014</v>
      </c>
      <c r="C880" t="str">
        <f>'2020_B5'!$G$6</f>
        <v>Deutsche</v>
      </c>
      <c r="D880" t="s">
        <v>4</v>
      </c>
      <c r="E880" t="str">
        <f>VLOOKUP(A880,[1]Kreise!$A$1:$C$53,3,FALSE)</f>
        <v>K030</v>
      </c>
      <c r="F880">
        <f>'2020_B5'!K472</f>
        <v>0</v>
      </c>
    </row>
    <row r="881" spans="1:6" x14ac:dyDescent="0.25">
      <c r="A881">
        <f>'2020_B5'!A473</f>
        <v>0</v>
      </c>
      <c r="B881">
        <f>'2020_B5'!$K$5</f>
        <v>2014</v>
      </c>
      <c r="C881" t="str">
        <f>'2020_B5'!$G$6</f>
        <v>Deutsche</v>
      </c>
      <c r="D881" t="s">
        <v>4</v>
      </c>
      <c r="E881" t="str">
        <f>VLOOKUP(A881,[1]Kreise!$A$1:$C$53,3,FALSE)</f>
        <v>K030</v>
      </c>
      <c r="F881">
        <f>'2020_B5'!K473</f>
        <v>0</v>
      </c>
    </row>
    <row r="882" spans="1:6" x14ac:dyDescent="0.25">
      <c r="A882">
        <f>'2020_B5'!A474</f>
        <v>0</v>
      </c>
      <c r="B882">
        <f>'2020_B5'!$K$5</f>
        <v>2014</v>
      </c>
      <c r="C882" t="str">
        <f>'2020_B5'!$G$6</f>
        <v>Deutsche</v>
      </c>
      <c r="D882" t="s">
        <v>4</v>
      </c>
      <c r="E882" t="str">
        <f>VLOOKUP(A882,[1]Kreise!$A$1:$C$53,3,FALSE)</f>
        <v>K030</v>
      </c>
      <c r="F882">
        <f>'2020_B5'!K474</f>
        <v>0</v>
      </c>
    </row>
    <row r="883" spans="1:6" x14ac:dyDescent="0.25">
      <c r="A883">
        <f>'2020_B5'!A475</f>
        <v>0</v>
      </c>
      <c r="B883">
        <f>'2020_B5'!$K$5</f>
        <v>2014</v>
      </c>
      <c r="C883" t="str">
        <f>'2020_B5'!$G$6</f>
        <v>Deutsche</v>
      </c>
      <c r="D883" t="s">
        <v>4</v>
      </c>
      <c r="E883" t="str">
        <f>VLOOKUP(A883,[1]Kreise!$A$1:$C$53,3,FALSE)</f>
        <v>K030</v>
      </c>
      <c r="F883">
        <f>'2020_B5'!K475</f>
        <v>0</v>
      </c>
    </row>
    <row r="884" spans="1:6" x14ac:dyDescent="0.25">
      <c r="A884">
        <f>'2020_B5'!A476</f>
        <v>0</v>
      </c>
      <c r="B884">
        <f>'2020_B5'!$K$5</f>
        <v>2014</v>
      </c>
      <c r="C884" t="str">
        <f>'2020_B5'!$G$6</f>
        <v>Deutsche</v>
      </c>
      <c r="D884" t="s">
        <v>4</v>
      </c>
      <c r="E884" t="str">
        <f>VLOOKUP(A884,[1]Kreise!$A$1:$C$53,3,FALSE)</f>
        <v>K030</v>
      </c>
      <c r="F884">
        <f>'2020_B5'!K476</f>
        <v>0</v>
      </c>
    </row>
    <row r="885" spans="1:6" x14ac:dyDescent="0.25">
      <c r="A885">
        <f>'2020_B5'!A425</f>
        <v>0</v>
      </c>
      <c r="B885">
        <f>'2020_B5'!$K$5</f>
        <v>2014</v>
      </c>
      <c r="C885" t="str">
        <f>'2020_B5'!$L$6</f>
        <v>Ausländerinnen und Ausländer</v>
      </c>
      <c r="D885" t="s">
        <v>4</v>
      </c>
      <c r="E885" t="str">
        <f>VLOOKUP(A885,[1]Kreise!$A$1:$C$53,3,FALSE)</f>
        <v>K030</v>
      </c>
      <c r="F885">
        <f>'2020_B5'!L425</f>
        <v>0</v>
      </c>
    </row>
    <row r="886" spans="1:6" x14ac:dyDescent="0.25">
      <c r="A886">
        <f>'2020_B5'!A426</f>
        <v>0</v>
      </c>
      <c r="B886">
        <f>'2020_B5'!$K$5</f>
        <v>2014</v>
      </c>
      <c r="C886" t="str">
        <f>'2020_B5'!$L$6</f>
        <v>Ausländerinnen und Ausländer</v>
      </c>
      <c r="D886" t="s">
        <v>4</v>
      </c>
      <c r="E886" t="str">
        <f>VLOOKUP(A886,[1]Kreise!$A$1:$C$53,3,FALSE)</f>
        <v>K030</v>
      </c>
      <c r="F886">
        <f>'2020_B5'!L426</f>
        <v>0</v>
      </c>
    </row>
    <row r="887" spans="1:6" x14ac:dyDescent="0.25">
      <c r="A887">
        <f>'2020_B5'!A427</f>
        <v>0</v>
      </c>
      <c r="B887">
        <f>'2020_B5'!$K$5</f>
        <v>2014</v>
      </c>
      <c r="C887" t="str">
        <f>'2020_B5'!$L$6</f>
        <v>Ausländerinnen und Ausländer</v>
      </c>
      <c r="D887" t="s">
        <v>4</v>
      </c>
      <c r="E887" t="str">
        <f>VLOOKUP(A887,[1]Kreise!$A$1:$C$53,3,FALSE)</f>
        <v>K030</v>
      </c>
      <c r="F887">
        <f>'2020_B5'!L427</f>
        <v>0</v>
      </c>
    </row>
    <row r="888" spans="1:6" x14ac:dyDescent="0.25">
      <c r="A888">
        <f>'2020_B5'!A428</f>
        <v>0</v>
      </c>
      <c r="B888">
        <f>'2020_B5'!$K$5</f>
        <v>2014</v>
      </c>
      <c r="C888" t="str">
        <f>'2020_B5'!$L$6</f>
        <v>Ausländerinnen und Ausländer</v>
      </c>
      <c r="D888" t="s">
        <v>4</v>
      </c>
      <c r="E888" t="str">
        <f>VLOOKUP(A888,[1]Kreise!$A$1:$C$53,3,FALSE)</f>
        <v>K030</v>
      </c>
      <c r="F888">
        <f>'2020_B5'!L428</f>
        <v>0</v>
      </c>
    </row>
    <row r="889" spans="1:6" x14ac:dyDescent="0.25">
      <c r="A889">
        <f>'2020_B5'!A429</f>
        <v>0</v>
      </c>
      <c r="B889">
        <f>'2020_B5'!$K$5</f>
        <v>2014</v>
      </c>
      <c r="C889" t="str">
        <f>'2020_B5'!$L$6</f>
        <v>Ausländerinnen und Ausländer</v>
      </c>
      <c r="D889" t="s">
        <v>4</v>
      </c>
      <c r="E889" t="str">
        <f>VLOOKUP(A889,[1]Kreise!$A$1:$C$53,3,FALSE)</f>
        <v>K030</v>
      </c>
      <c r="F889">
        <f>'2020_B5'!L429</f>
        <v>0</v>
      </c>
    </row>
    <row r="890" spans="1:6" x14ac:dyDescent="0.25">
      <c r="A890">
        <f>'2020_B5'!A430</f>
        <v>0</v>
      </c>
      <c r="B890">
        <f>'2020_B5'!$K$5</f>
        <v>2014</v>
      </c>
      <c r="C890" t="str">
        <f>'2020_B5'!$L$6</f>
        <v>Ausländerinnen und Ausländer</v>
      </c>
      <c r="D890" t="s">
        <v>4</v>
      </c>
      <c r="E890" t="str">
        <f>VLOOKUP(A890,[1]Kreise!$A$1:$C$53,3,FALSE)</f>
        <v>K030</v>
      </c>
      <c r="F890">
        <f>'2020_B5'!L430</f>
        <v>0</v>
      </c>
    </row>
    <row r="891" spans="1:6" x14ac:dyDescent="0.25">
      <c r="A891">
        <f>'2020_B5'!A431</f>
        <v>0</v>
      </c>
      <c r="B891">
        <f>'2020_B5'!$K$5</f>
        <v>2014</v>
      </c>
      <c r="C891" t="str">
        <f>'2020_B5'!$L$6</f>
        <v>Ausländerinnen und Ausländer</v>
      </c>
      <c r="D891" t="s">
        <v>4</v>
      </c>
      <c r="E891" t="str">
        <f>VLOOKUP(A891,[1]Kreise!$A$1:$C$53,3,FALSE)</f>
        <v>K030</v>
      </c>
      <c r="F891">
        <f>'2020_B5'!L431</f>
        <v>0</v>
      </c>
    </row>
    <row r="892" spans="1:6" x14ac:dyDescent="0.25">
      <c r="A892">
        <f>'2020_B5'!A432</f>
        <v>0</v>
      </c>
      <c r="B892">
        <f>'2020_B5'!$K$5</f>
        <v>2014</v>
      </c>
      <c r="C892" t="str">
        <f>'2020_B5'!$L$6</f>
        <v>Ausländerinnen und Ausländer</v>
      </c>
      <c r="D892" t="s">
        <v>4</v>
      </c>
      <c r="E892" t="str">
        <f>VLOOKUP(A892,[1]Kreise!$A$1:$C$53,3,FALSE)</f>
        <v>K030</v>
      </c>
      <c r="F892">
        <f>'2020_B5'!L432</f>
        <v>0</v>
      </c>
    </row>
    <row r="893" spans="1:6" x14ac:dyDescent="0.25">
      <c r="A893">
        <f>'2020_B5'!A433</f>
        <v>0</v>
      </c>
      <c r="B893">
        <f>'2020_B5'!$K$5</f>
        <v>2014</v>
      </c>
      <c r="C893" t="str">
        <f>'2020_B5'!$L$6</f>
        <v>Ausländerinnen und Ausländer</v>
      </c>
      <c r="D893" t="s">
        <v>4</v>
      </c>
      <c r="E893" t="str">
        <f>VLOOKUP(A893,[1]Kreise!$A$1:$C$53,3,FALSE)</f>
        <v>K030</v>
      </c>
      <c r="F893">
        <f>'2020_B5'!L433</f>
        <v>0</v>
      </c>
    </row>
    <row r="894" spans="1:6" x14ac:dyDescent="0.25">
      <c r="A894">
        <f>'2020_B5'!A434</f>
        <v>0</v>
      </c>
      <c r="B894">
        <f>'2020_B5'!$K$5</f>
        <v>2014</v>
      </c>
      <c r="C894" t="str">
        <f>'2020_B5'!$L$6</f>
        <v>Ausländerinnen und Ausländer</v>
      </c>
      <c r="D894" t="s">
        <v>4</v>
      </c>
      <c r="E894" t="str">
        <f>VLOOKUP(A894,[1]Kreise!$A$1:$C$53,3,FALSE)</f>
        <v>K030</v>
      </c>
      <c r="F894">
        <f>'2020_B5'!L434</f>
        <v>0</v>
      </c>
    </row>
    <row r="895" spans="1:6" x14ac:dyDescent="0.25">
      <c r="A895">
        <f>'2020_B5'!A435</f>
        <v>0</v>
      </c>
      <c r="B895">
        <f>'2020_B5'!$K$5</f>
        <v>2014</v>
      </c>
      <c r="C895" t="str">
        <f>'2020_B5'!$L$6</f>
        <v>Ausländerinnen und Ausländer</v>
      </c>
      <c r="D895" t="s">
        <v>4</v>
      </c>
      <c r="E895" t="str">
        <f>VLOOKUP(A895,[1]Kreise!$A$1:$C$53,3,FALSE)</f>
        <v>K030</v>
      </c>
      <c r="F895">
        <f>'2020_B5'!L435</f>
        <v>0</v>
      </c>
    </row>
    <row r="896" spans="1:6" x14ac:dyDescent="0.25">
      <c r="A896">
        <f>'2020_B5'!A436</f>
        <v>0</v>
      </c>
      <c r="B896">
        <f>'2020_B5'!$K$5</f>
        <v>2014</v>
      </c>
      <c r="C896" t="str">
        <f>'2020_B5'!$L$6</f>
        <v>Ausländerinnen und Ausländer</v>
      </c>
      <c r="D896" t="s">
        <v>4</v>
      </c>
      <c r="E896" t="str">
        <f>VLOOKUP(A896,[1]Kreise!$A$1:$C$53,3,FALSE)</f>
        <v>K030</v>
      </c>
      <c r="F896">
        <f>'2020_B5'!L436</f>
        <v>0</v>
      </c>
    </row>
    <row r="897" spans="1:6" x14ac:dyDescent="0.25">
      <c r="A897">
        <f>'2020_B5'!A437</f>
        <v>0</v>
      </c>
      <c r="B897">
        <f>'2020_B5'!$K$5</f>
        <v>2014</v>
      </c>
      <c r="C897" t="str">
        <f>'2020_B5'!$L$6</f>
        <v>Ausländerinnen und Ausländer</v>
      </c>
      <c r="D897" t="s">
        <v>4</v>
      </c>
      <c r="E897" t="str">
        <f>VLOOKUP(A897,[1]Kreise!$A$1:$C$53,3,FALSE)</f>
        <v>K030</v>
      </c>
      <c r="F897">
        <f>'2020_B5'!L437</f>
        <v>0</v>
      </c>
    </row>
    <row r="898" spans="1:6" x14ac:dyDescent="0.25">
      <c r="A898">
        <f>'2020_B5'!A438</f>
        <v>0</v>
      </c>
      <c r="B898">
        <f>'2020_B5'!$K$5</f>
        <v>2014</v>
      </c>
      <c r="C898" t="str">
        <f>'2020_B5'!$L$6</f>
        <v>Ausländerinnen und Ausländer</v>
      </c>
      <c r="D898" t="s">
        <v>4</v>
      </c>
      <c r="E898" t="str">
        <f>VLOOKUP(A898,[1]Kreise!$A$1:$C$53,3,FALSE)</f>
        <v>K030</v>
      </c>
      <c r="F898">
        <f>'2020_B5'!L438</f>
        <v>0</v>
      </c>
    </row>
    <row r="899" spans="1:6" x14ac:dyDescent="0.25">
      <c r="A899">
        <f>'2020_B5'!A439</f>
        <v>0</v>
      </c>
      <c r="B899">
        <f>'2020_B5'!$K$5</f>
        <v>2014</v>
      </c>
      <c r="C899" t="str">
        <f>'2020_B5'!$L$6</f>
        <v>Ausländerinnen und Ausländer</v>
      </c>
      <c r="D899" t="s">
        <v>4</v>
      </c>
      <c r="E899" t="str">
        <f>VLOOKUP(A899,[1]Kreise!$A$1:$C$53,3,FALSE)</f>
        <v>K030</v>
      </c>
      <c r="F899">
        <f>'2020_B5'!L439</f>
        <v>0</v>
      </c>
    </row>
    <row r="900" spans="1:6" x14ac:dyDescent="0.25">
      <c r="A900">
        <f>'2020_B5'!A440</f>
        <v>0</v>
      </c>
      <c r="B900">
        <f>'2020_B5'!$K$5</f>
        <v>2014</v>
      </c>
      <c r="C900" t="str">
        <f>'2020_B5'!$L$6</f>
        <v>Ausländerinnen und Ausländer</v>
      </c>
      <c r="D900" t="s">
        <v>4</v>
      </c>
      <c r="E900" t="str">
        <f>VLOOKUP(A900,[1]Kreise!$A$1:$C$53,3,FALSE)</f>
        <v>K030</v>
      </c>
      <c r="F900">
        <f>'2020_B5'!L440</f>
        <v>0</v>
      </c>
    </row>
    <row r="901" spans="1:6" x14ac:dyDescent="0.25">
      <c r="A901">
        <f>'2020_B5'!A441</f>
        <v>0</v>
      </c>
      <c r="B901">
        <f>'2020_B5'!$K$5</f>
        <v>2014</v>
      </c>
      <c r="C901" t="str">
        <f>'2020_B5'!$L$6</f>
        <v>Ausländerinnen und Ausländer</v>
      </c>
      <c r="D901" t="s">
        <v>4</v>
      </c>
      <c r="E901" t="str">
        <f>VLOOKUP(A901,[1]Kreise!$A$1:$C$53,3,FALSE)</f>
        <v>K030</v>
      </c>
      <c r="F901">
        <f>'2020_B5'!L441</f>
        <v>0</v>
      </c>
    </row>
    <row r="902" spans="1:6" x14ac:dyDescent="0.25">
      <c r="A902">
        <f>'2020_B5'!A442</f>
        <v>0</v>
      </c>
      <c r="B902">
        <f>'2020_B5'!$K$5</f>
        <v>2014</v>
      </c>
      <c r="C902" t="str">
        <f>'2020_B5'!$L$6</f>
        <v>Ausländerinnen und Ausländer</v>
      </c>
      <c r="D902" t="s">
        <v>4</v>
      </c>
      <c r="E902" t="str">
        <f>VLOOKUP(A902,[1]Kreise!$A$1:$C$53,3,FALSE)</f>
        <v>K030</v>
      </c>
      <c r="F902">
        <f>'2020_B5'!L442</f>
        <v>0</v>
      </c>
    </row>
    <row r="903" spans="1:6" x14ac:dyDescent="0.25">
      <c r="A903">
        <f>'2020_B5'!A443</f>
        <v>0</v>
      </c>
      <c r="B903">
        <f>'2020_B5'!$K$5</f>
        <v>2014</v>
      </c>
      <c r="C903" t="str">
        <f>'2020_B5'!$L$6</f>
        <v>Ausländerinnen und Ausländer</v>
      </c>
      <c r="D903" t="s">
        <v>4</v>
      </c>
      <c r="E903" t="str">
        <f>VLOOKUP(A903,[1]Kreise!$A$1:$C$53,3,FALSE)</f>
        <v>K030</v>
      </c>
      <c r="F903">
        <f>'2020_B5'!L443</f>
        <v>0</v>
      </c>
    </row>
    <row r="904" spans="1:6" x14ac:dyDescent="0.25">
      <c r="A904">
        <f>'2020_B5'!A444</f>
        <v>0</v>
      </c>
      <c r="B904">
        <f>'2020_B5'!$K$5</f>
        <v>2014</v>
      </c>
      <c r="C904" t="str">
        <f>'2020_B5'!$L$6</f>
        <v>Ausländerinnen und Ausländer</v>
      </c>
      <c r="D904" t="s">
        <v>4</v>
      </c>
      <c r="E904" t="str">
        <f>VLOOKUP(A904,[1]Kreise!$A$1:$C$53,3,FALSE)</f>
        <v>K030</v>
      </c>
      <c r="F904">
        <f>'2020_B5'!L444</f>
        <v>0</v>
      </c>
    </row>
    <row r="905" spans="1:6" x14ac:dyDescent="0.25">
      <c r="A905">
        <f>'2020_B5'!A445</f>
        <v>0</v>
      </c>
      <c r="B905">
        <f>'2020_B5'!$K$5</f>
        <v>2014</v>
      </c>
      <c r="C905" t="str">
        <f>'2020_B5'!$L$6</f>
        <v>Ausländerinnen und Ausländer</v>
      </c>
      <c r="D905" t="s">
        <v>4</v>
      </c>
      <c r="E905" t="str">
        <f>VLOOKUP(A905,[1]Kreise!$A$1:$C$53,3,FALSE)</f>
        <v>K030</v>
      </c>
      <c r="F905">
        <f>'2020_B5'!L445</f>
        <v>0</v>
      </c>
    </row>
    <row r="906" spans="1:6" x14ac:dyDescent="0.25">
      <c r="A906">
        <f>'2020_B5'!A446</f>
        <v>0</v>
      </c>
      <c r="B906">
        <f>'2020_B5'!$K$5</f>
        <v>2014</v>
      </c>
      <c r="C906" t="str">
        <f>'2020_B5'!$L$6</f>
        <v>Ausländerinnen und Ausländer</v>
      </c>
      <c r="D906" t="s">
        <v>4</v>
      </c>
      <c r="E906" t="str">
        <f>VLOOKUP(A906,[1]Kreise!$A$1:$C$53,3,FALSE)</f>
        <v>K030</v>
      </c>
      <c r="F906">
        <f>'2020_B5'!L446</f>
        <v>0</v>
      </c>
    </row>
    <row r="907" spans="1:6" x14ac:dyDescent="0.25">
      <c r="A907">
        <f>'2020_B5'!A447</f>
        <v>0</v>
      </c>
      <c r="B907">
        <f>'2020_B5'!$K$5</f>
        <v>2014</v>
      </c>
      <c r="C907" t="str">
        <f>'2020_B5'!$L$6</f>
        <v>Ausländerinnen und Ausländer</v>
      </c>
      <c r="D907" t="s">
        <v>4</v>
      </c>
      <c r="E907" t="str">
        <f>VLOOKUP(A907,[1]Kreise!$A$1:$C$53,3,FALSE)</f>
        <v>K030</v>
      </c>
      <c r="F907">
        <f>'2020_B5'!L447</f>
        <v>0</v>
      </c>
    </row>
    <row r="908" spans="1:6" x14ac:dyDescent="0.25">
      <c r="A908">
        <f>'2020_B5'!A448</f>
        <v>0</v>
      </c>
      <c r="B908">
        <f>'2020_B5'!$K$5</f>
        <v>2014</v>
      </c>
      <c r="C908" t="str">
        <f>'2020_B5'!$L$6</f>
        <v>Ausländerinnen und Ausländer</v>
      </c>
      <c r="D908" t="s">
        <v>4</v>
      </c>
      <c r="E908" t="str">
        <f>VLOOKUP(A908,[1]Kreise!$A$1:$C$53,3,FALSE)</f>
        <v>K030</v>
      </c>
      <c r="F908">
        <f>'2020_B5'!L448</f>
        <v>0</v>
      </c>
    </row>
    <row r="909" spans="1:6" x14ac:dyDescent="0.25">
      <c r="A909">
        <f>'2020_B5'!A449</f>
        <v>0</v>
      </c>
      <c r="B909">
        <f>'2020_B5'!$K$5</f>
        <v>2014</v>
      </c>
      <c r="C909" t="str">
        <f>'2020_B5'!$L$6</f>
        <v>Ausländerinnen und Ausländer</v>
      </c>
      <c r="D909" t="s">
        <v>4</v>
      </c>
      <c r="E909" t="str">
        <f>VLOOKUP(A909,[1]Kreise!$A$1:$C$53,3,FALSE)</f>
        <v>K030</v>
      </c>
      <c r="F909">
        <f>'2020_B5'!L449</f>
        <v>0</v>
      </c>
    </row>
    <row r="910" spans="1:6" x14ac:dyDescent="0.25">
      <c r="A910">
        <f>'2020_B5'!A450</f>
        <v>0</v>
      </c>
      <c r="B910">
        <f>'2020_B5'!$K$5</f>
        <v>2014</v>
      </c>
      <c r="C910" t="str">
        <f>'2020_B5'!$L$6</f>
        <v>Ausländerinnen und Ausländer</v>
      </c>
      <c r="D910" t="s">
        <v>4</v>
      </c>
      <c r="E910" t="str">
        <f>VLOOKUP(A910,[1]Kreise!$A$1:$C$53,3,FALSE)</f>
        <v>K030</v>
      </c>
      <c r="F910">
        <f>'2020_B5'!L450</f>
        <v>0</v>
      </c>
    </row>
    <row r="911" spans="1:6" x14ac:dyDescent="0.25">
      <c r="A911">
        <f>'2020_B5'!A451</f>
        <v>0</v>
      </c>
      <c r="B911">
        <f>'2020_B5'!$K$5</f>
        <v>2014</v>
      </c>
      <c r="C911" t="str">
        <f>'2020_B5'!$L$6</f>
        <v>Ausländerinnen und Ausländer</v>
      </c>
      <c r="D911" t="s">
        <v>4</v>
      </c>
      <c r="E911" t="str">
        <f>VLOOKUP(A911,[1]Kreise!$A$1:$C$53,3,FALSE)</f>
        <v>K030</v>
      </c>
      <c r="F911">
        <f>'2020_B5'!L451</f>
        <v>0</v>
      </c>
    </row>
    <row r="912" spans="1:6" x14ac:dyDescent="0.25">
      <c r="A912">
        <f>'2020_B5'!A452</f>
        <v>0</v>
      </c>
      <c r="B912">
        <f>'2020_B5'!$K$5</f>
        <v>2014</v>
      </c>
      <c r="C912" t="str">
        <f>'2020_B5'!$L$6</f>
        <v>Ausländerinnen und Ausländer</v>
      </c>
      <c r="D912" t="s">
        <v>4</v>
      </c>
      <c r="E912" t="str">
        <f>VLOOKUP(A912,[1]Kreise!$A$1:$C$53,3,FALSE)</f>
        <v>K030</v>
      </c>
      <c r="F912">
        <f>'2020_B5'!L452</f>
        <v>0</v>
      </c>
    </row>
    <row r="913" spans="1:6" x14ac:dyDescent="0.25">
      <c r="A913">
        <f>'2020_B5'!A453</f>
        <v>0</v>
      </c>
      <c r="B913">
        <f>'2020_B5'!$K$5</f>
        <v>2014</v>
      </c>
      <c r="C913" t="str">
        <f>'2020_B5'!$L$6</f>
        <v>Ausländerinnen und Ausländer</v>
      </c>
      <c r="D913" t="s">
        <v>4</v>
      </c>
      <c r="E913" t="str">
        <f>VLOOKUP(A913,[1]Kreise!$A$1:$C$53,3,FALSE)</f>
        <v>K030</v>
      </c>
      <c r="F913">
        <f>'2020_B5'!L453</f>
        <v>0</v>
      </c>
    </row>
    <row r="914" spans="1:6" x14ac:dyDescent="0.25">
      <c r="A914">
        <f>'2020_B5'!A454</f>
        <v>0</v>
      </c>
      <c r="B914">
        <f>'2020_B5'!$K$5</f>
        <v>2014</v>
      </c>
      <c r="C914" t="str">
        <f>'2020_B5'!$L$6</f>
        <v>Ausländerinnen und Ausländer</v>
      </c>
      <c r="D914" t="s">
        <v>4</v>
      </c>
      <c r="E914" t="str">
        <f>VLOOKUP(A914,[1]Kreise!$A$1:$C$53,3,FALSE)</f>
        <v>K030</v>
      </c>
      <c r="F914">
        <f>'2020_B5'!L454</f>
        <v>0</v>
      </c>
    </row>
    <row r="915" spans="1:6" x14ac:dyDescent="0.25">
      <c r="A915">
        <f>'2020_B5'!A455</f>
        <v>0</v>
      </c>
      <c r="B915">
        <f>'2020_B5'!$K$5</f>
        <v>2014</v>
      </c>
      <c r="C915" t="str">
        <f>'2020_B5'!$L$6</f>
        <v>Ausländerinnen und Ausländer</v>
      </c>
      <c r="D915" t="s">
        <v>4</v>
      </c>
      <c r="E915" t="str">
        <f>VLOOKUP(A915,[1]Kreise!$A$1:$C$53,3,FALSE)</f>
        <v>K030</v>
      </c>
      <c r="F915">
        <f>'2020_B5'!L455</f>
        <v>0</v>
      </c>
    </row>
    <row r="916" spans="1:6" x14ac:dyDescent="0.25">
      <c r="A916">
        <f>'2020_B5'!A456</f>
        <v>0</v>
      </c>
      <c r="B916">
        <f>'2020_B5'!$K$5</f>
        <v>2014</v>
      </c>
      <c r="C916" t="str">
        <f>'2020_B5'!$L$6</f>
        <v>Ausländerinnen und Ausländer</v>
      </c>
      <c r="D916" t="s">
        <v>4</v>
      </c>
      <c r="E916" t="str">
        <f>VLOOKUP(A916,[1]Kreise!$A$1:$C$53,3,FALSE)</f>
        <v>K030</v>
      </c>
      <c r="F916">
        <f>'2020_B5'!L456</f>
        <v>0</v>
      </c>
    </row>
    <row r="917" spans="1:6" x14ac:dyDescent="0.25">
      <c r="A917">
        <f>'2020_B5'!A457</f>
        <v>0</v>
      </c>
      <c r="B917">
        <f>'2020_B5'!$K$5</f>
        <v>2014</v>
      </c>
      <c r="C917" t="str">
        <f>'2020_B5'!$L$6</f>
        <v>Ausländerinnen und Ausländer</v>
      </c>
      <c r="D917" t="s">
        <v>4</v>
      </c>
      <c r="E917" t="str">
        <f>VLOOKUP(A917,[1]Kreise!$A$1:$C$53,3,FALSE)</f>
        <v>K030</v>
      </c>
      <c r="F917">
        <f>'2020_B5'!L457</f>
        <v>0</v>
      </c>
    </row>
    <row r="918" spans="1:6" x14ac:dyDescent="0.25">
      <c r="A918">
        <f>'2020_B5'!A458</f>
        <v>0</v>
      </c>
      <c r="B918">
        <f>'2020_B5'!$K$5</f>
        <v>2014</v>
      </c>
      <c r="C918" t="str">
        <f>'2020_B5'!$L$6</f>
        <v>Ausländerinnen und Ausländer</v>
      </c>
      <c r="D918" t="s">
        <v>4</v>
      </c>
      <c r="E918" t="str">
        <f>VLOOKUP(A918,[1]Kreise!$A$1:$C$53,3,FALSE)</f>
        <v>K030</v>
      </c>
      <c r="F918">
        <f>'2020_B5'!L458</f>
        <v>0</v>
      </c>
    </row>
    <row r="919" spans="1:6" x14ac:dyDescent="0.25">
      <c r="A919">
        <f>'2020_B5'!A459</f>
        <v>0</v>
      </c>
      <c r="B919">
        <f>'2020_B5'!$K$5</f>
        <v>2014</v>
      </c>
      <c r="C919" t="str">
        <f>'2020_B5'!$L$6</f>
        <v>Ausländerinnen und Ausländer</v>
      </c>
      <c r="D919" t="s">
        <v>4</v>
      </c>
      <c r="E919" t="str">
        <f>VLOOKUP(A919,[1]Kreise!$A$1:$C$53,3,FALSE)</f>
        <v>K030</v>
      </c>
      <c r="F919">
        <f>'2020_B5'!L459</f>
        <v>0</v>
      </c>
    </row>
    <row r="920" spans="1:6" x14ac:dyDescent="0.25">
      <c r="A920">
        <f>'2020_B5'!A460</f>
        <v>0</v>
      </c>
      <c r="B920">
        <f>'2020_B5'!$K$5</f>
        <v>2014</v>
      </c>
      <c r="C920" t="str">
        <f>'2020_B5'!$L$6</f>
        <v>Ausländerinnen und Ausländer</v>
      </c>
      <c r="D920" t="s">
        <v>4</v>
      </c>
      <c r="E920" t="str">
        <f>VLOOKUP(A920,[1]Kreise!$A$1:$C$53,3,FALSE)</f>
        <v>K030</v>
      </c>
      <c r="F920">
        <f>'2020_B5'!L460</f>
        <v>0</v>
      </c>
    </row>
    <row r="921" spans="1:6" x14ac:dyDescent="0.25">
      <c r="A921">
        <f>'2020_B5'!A461</f>
        <v>0</v>
      </c>
      <c r="B921">
        <f>'2020_B5'!$K$5</f>
        <v>2014</v>
      </c>
      <c r="C921" t="str">
        <f>'2020_B5'!$L$6</f>
        <v>Ausländerinnen und Ausländer</v>
      </c>
      <c r="D921" t="s">
        <v>4</v>
      </c>
      <c r="E921" t="str">
        <f>VLOOKUP(A921,[1]Kreise!$A$1:$C$53,3,FALSE)</f>
        <v>K030</v>
      </c>
      <c r="F921">
        <f>'2020_B5'!L461</f>
        <v>0</v>
      </c>
    </row>
    <row r="922" spans="1:6" x14ac:dyDescent="0.25">
      <c r="A922">
        <f>'2020_B5'!A462</f>
        <v>0</v>
      </c>
      <c r="B922">
        <f>'2020_B5'!$K$5</f>
        <v>2014</v>
      </c>
      <c r="C922" t="str">
        <f>'2020_B5'!$L$6</f>
        <v>Ausländerinnen und Ausländer</v>
      </c>
      <c r="D922" t="s">
        <v>4</v>
      </c>
      <c r="E922" t="str">
        <f>VLOOKUP(A922,[1]Kreise!$A$1:$C$53,3,FALSE)</f>
        <v>K030</v>
      </c>
      <c r="F922">
        <f>'2020_B5'!L462</f>
        <v>0</v>
      </c>
    </row>
    <row r="923" spans="1:6" x14ac:dyDescent="0.25">
      <c r="A923">
        <f>'2020_B5'!A463</f>
        <v>0</v>
      </c>
      <c r="B923">
        <f>'2020_B5'!$K$5</f>
        <v>2014</v>
      </c>
      <c r="C923" t="str">
        <f>'2020_B5'!$L$6</f>
        <v>Ausländerinnen und Ausländer</v>
      </c>
      <c r="D923" t="s">
        <v>4</v>
      </c>
      <c r="E923" t="str">
        <f>VLOOKUP(A923,[1]Kreise!$A$1:$C$53,3,FALSE)</f>
        <v>K030</v>
      </c>
      <c r="F923">
        <f>'2020_B5'!L463</f>
        <v>0</v>
      </c>
    </row>
    <row r="924" spans="1:6" x14ac:dyDescent="0.25">
      <c r="A924">
        <f>'2020_B5'!A464</f>
        <v>0</v>
      </c>
      <c r="B924">
        <f>'2020_B5'!$K$5</f>
        <v>2014</v>
      </c>
      <c r="C924" t="str">
        <f>'2020_B5'!$L$6</f>
        <v>Ausländerinnen und Ausländer</v>
      </c>
      <c r="D924" t="s">
        <v>4</v>
      </c>
      <c r="E924" t="str">
        <f>VLOOKUP(A924,[1]Kreise!$A$1:$C$53,3,FALSE)</f>
        <v>K030</v>
      </c>
      <c r="F924">
        <f>'2020_B5'!L464</f>
        <v>0</v>
      </c>
    </row>
    <row r="925" spans="1:6" x14ac:dyDescent="0.25">
      <c r="A925">
        <f>'2020_B5'!A465</f>
        <v>0</v>
      </c>
      <c r="B925">
        <f>'2020_B5'!$K$5</f>
        <v>2014</v>
      </c>
      <c r="C925" t="str">
        <f>'2020_B5'!$L$6</f>
        <v>Ausländerinnen und Ausländer</v>
      </c>
      <c r="D925" t="s">
        <v>4</v>
      </c>
      <c r="E925" t="str">
        <f>VLOOKUP(A925,[1]Kreise!$A$1:$C$53,3,FALSE)</f>
        <v>K030</v>
      </c>
      <c r="F925">
        <f>'2020_B5'!L465</f>
        <v>0</v>
      </c>
    </row>
    <row r="926" spans="1:6" x14ac:dyDescent="0.25">
      <c r="A926">
        <f>'2020_B5'!A466</f>
        <v>0</v>
      </c>
      <c r="B926">
        <f>'2020_B5'!$K$5</f>
        <v>2014</v>
      </c>
      <c r="C926" t="str">
        <f>'2020_B5'!$L$6</f>
        <v>Ausländerinnen und Ausländer</v>
      </c>
      <c r="D926" t="s">
        <v>4</v>
      </c>
      <c r="E926" t="str">
        <f>VLOOKUP(A926,[1]Kreise!$A$1:$C$53,3,FALSE)</f>
        <v>K030</v>
      </c>
      <c r="F926">
        <f>'2020_B5'!L466</f>
        <v>0</v>
      </c>
    </row>
    <row r="927" spans="1:6" x14ac:dyDescent="0.25">
      <c r="A927">
        <f>'2020_B5'!A467</f>
        <v>0</v>
      </c>
      <c r="B927">
        <f>'2020_B5'!$K$5</f>
        <v>2014</v>
      </c>
      <c r="C927" t="str">
        <f>'2020_B5'!$L$6</f>
        <v>Ausländerinnen und Ausländer</v>
      </c>
      <c r="D927" t="s">
        <v>4</v>
      </c>
      <c r="E927" t="str">
        <f>VLOOKUP(A927,[1]Kreise!$A$1:$C$53,3,FALSE)</f>
        <v>K030</v>
      </c>
      <c r="F927">
        <f>'2020_B5'!L467</f>
        <v>0</v>
      </c>
    </row>
    <row r="928" spans="1:6" x14ac:dyDescent="0.25">
      <c r="A928">
        <f>'2020_B5'!A468</f>
        <v>0</v>
      </c>
      <c r="B928">
        <f>'2020_B5'!$K$5</f>
        <v>2014</v>
      </c>
      <c r="C928" t="str">
        <f>'2020_B5'!$L$6</f>
        <v>Ausländerinnen und Ausländer</v>
      </c>
      <c r="D928" t="s">
        <v>4</v>
      </c>
      <c r="E928" t="str">
        <f>VLOOKUP(A928,[1]Kreise!$A$1:$C$53,3,FALSE)</f>
        <v>K030</v>
      </c>
      <c r="F928">
        <f>'2020_B5'!L468</f>
        <v>0</v>
      </c>
    </row>
    <row r="929" spans="1:6" x14ac:dyDescent="0.25">
      <c r="A929">
        <f>'2020_B5'!A469</f>
        <v>0</v>
      </c>
      <c r="B929">
        <f>'2020_B5'!$K$5</f>
        <v>2014</v>
      </c>
      <c r="C929" t="str">
        <f>'2020_B5'!$L$6</f>
        <v>Ausländerinnen und Ausländer</v>
      </c>
      <c r="D929" t="s">
        <v>4</v>
      </c>
      <c r="E929" t="str">
        <f>VLOOKUP(A929,[1]Kreise!$A$1:$C$53,3,FALSE)</f>
        <v>K030</v>
      </c>
      <c r="F929">
        <f>'2020_B5'!L469</f>
        <v>0</v>
      </c>
    </row>
    <row r="930" spans="1:6" x14ac:dyDescent="0.25">
      <c r="A930">
        <f>'2020_B5'!A470</f>
        <v>0</v>
      </c>
      <c r="B930">
        <f>'2020_B5'!$K$5</f>
        <v>2014</v>
      </c>
      <c r="C930" t="str">
        <f>'2020_B5'!$L$6</f>
        <v>Ausländerinnen und Ausländer</v>
      </c>
      <c r="D930" t="s">
        <v>4</v>
      </c>
      <c r="E930" t="str">
        <f>VLOOKUP(A930,[1]Kreise!$A$1:$C$53,3,FALSE)</f>
        <v>K030</v>
      </c>
      <c r="F930">
        <f>'2020_B5'!L470</f>
        <v>0</v>
      </c>
    </row>
    <row r="931" spans="1:6" x14ac:dyDescent="0.25">
      <c r="A931">
        <f>'2020_B5'!A471</f>
        <v>0</v>
      </c>
      <c r="B931">
        <f>'2020_B5'!$K$5</f>
        <v>2014</v>
      </c>
      <c r="C931" t="str">
        <f>'2020_B5'!$L$6</f>
        <v>Ausländerinnen und Ausländer</v>
      </c>
      <c r="D931" t="s">
        <v>4</v>
      </c>
      <c r="E931" t="str">
        <f>VLOOKUP(A931,[1]Kreise!$A$1:$C$53,3,FALSE)</f>
        <v>K030</v>
      </c>
      <c r="F931">
        <f>'2020_B5'!L471</f>
        <v>0</v>
      </c>
    </row>
    <row r="932" spans="1:6" x14ac:dyDescent="0.25">
      <c r="A932">
        <f>'2020_B5'!A472</f>
        <v>0</v>
      </c>
      <c r="B932">
        <f>'2020_B5'!$K$5</f>
        <v>2014</v>
      </c>
      <c r="C932" t="str">
        <f>'2020_B5'!$L$6</f>
        <v>Ausländerinnen und Ausländer</v>
      </c>
      <c r="D932" t="s">
        <v>4</v>
      </c>
      <c r="E932" t="str">
        <f>VLOOKUP(A932,[1]Kreise!$A$1:$C$53,3,FALSE)</f>
        <v>K030</v>
      </c>
      <c r="F932">
        <f>'2020_B5'!L472</f>
        <v>0</v>
      </c>
    </row>
    <row r="933" spans="1:6" x14ac:dyDescent="0.25">
      <c r="A933">
        <f>'2020_B5'!A473</f>
        <v>0</v>
      </c>
      <c r="B933">
        <f>'2020_B5'!$K$5</f>
        <v>2014</v>
      </c>
      <c r="C933" t="str">
        <f>'2020_B5'!$L$6</f>
        <v>Ausländerinnen und Ausländer</v>
      </c>
      <c r="D933" t="s">
        <v>4</v>
      </c>
      <c r="E933" t="str">
        <f>VLOOKUP(A933,[1]Kreise!$A$1:$C$53,3,FALSE)</f>
        <v>K030</v>
      </c>
      <c r="F933">
        <f>'2020_B5'!L473</f>
        <v>0</v>
      </c>
    </row>
    <row r="934" spans="1:6" x14ac:dyDescent="0.25">
      <c r="A934">
        <f>'2020_B5'!A474</f>
        <v>0</v>
      </c>
      <c r="B934">
        <f>'2020_B5'!$K$5</f>
        <v>2014</v>
      </c>
      <c r="C934" t="str">
        <f>'2020_B5'!$L$6</f>
        <v>Ausländerinnen und Ausländer</v>
      </c>
      <c r="D934" t="s">
        <v>4</v>
      </c>
      <c r="E934" t="str">
        <f>VLOOKUP(A934,[1]Kreise!$A$1:$C$53,3,FALSE)</f>
        <v>K030</v>
      </c>
      <c r="F934">
        <f>'2020_B5'!L474</f>
        <v>0</v>
      </c>
    </row>
    <row r="935" spans="1:6" x14ac:dyDescent="0.25">
      <c r="A935">
        <f>'2020_B5'!A475</f>
        <v>0</v>
      </c>
      <c r="B935">
        <f>'2020_B5'!$K$5</f>
        <v>2014</v>
      </c>
      <c r="C935" t="str">
        <f>'2020_B5'!$L$6</f>
        <v>Ausländerinnen und Ausländer</v>
      </c>
      <c r="D935" t="s">
        <v>4</v>
      </c>
      <c r="E935" t="str">
        <f>VLOOKUP(A935,[1]Kreise!$A$1:$C$53,3,FALSE)</f>
        <v>K030</v>
      </c>
      <c r="F935">
        <f>'2020_B5'!L475</f>
        <v>0</v>
      </c>
    </row>
    <row r="936" spans="1:6" x14ac:dyDescent="0.25">
      <c r="A936">
        <f>'2020_B5'!A476</f>
        <v>0</v>
      </c>
      <c r="B936">
        <f>'2020_B5'!$K$5</f>
        <v>2014</v>
      </c>
      <c r="C936" t="str">
        <f>'2020_B5'!$L$6</f>
        <v>Ausländerinnen und Ausländer</v>
      </c>
      <c r="D936" t="s">
        <v>4</v>
      </c>
      <c r="E936" t="str">
        <f>VLOOKUP(A936,[1]Kreise!$A$1:$C$53,3,FALSE)</f>
        <v>K030</v>
      </c>
      <c r="F936">
        <f>'2020_B5'!L476</f>
        <v>0</v>
      </c>
    </row>
    <row r="937" spans="1:6" x14ac:dyDescent="0.25">
      <c r="A937">
        <f>'2020_B5'!A529</f>
        <v>0</v>
      </c>
      <c r="B937">
        <f>'2020_B5'!$K$5</f>
        <v>2014</v>
      </c>
      <c r="C937" t="str">
        <f>'2020_B5'!$G$6</f>
        <v>Deutsche</v>
      </c>
      <c r="D937" t="s">
        <v>4</v>
      </c>
      <c r="E937" t="str">
        <f>VLOOKUP(A937,[1]Kreise!$A$1:$C$53,3,FALSE)</f>
        <v>K030</v>
      </c>
      <c r="F937">
        <f>'2020_B5'!K529</f>
        <v>0</v>
      </c>
    </row>
    <row r="938" spans="1:6" x14ac:dyDescent="0.25">
      <c r="A938">
        <f>'2020_B5'!A530</f>
        <v>0</v>
      </c>
      <c r="B938">
        <f>'2020_B5'!$K$5</f>
        <v>2014</v>
      </c>
      <c r="C938" t="str">
        <f>'2020_B5'!$G$6</f>
        <v>Deutsche</v>
      </c>
      <c r="D938" t="s">
        <v>4</v>
      </c>
      <c r="E938" t="str">
        <f>VLOOKUP(A938,[1]Kreise!$A$1:$C$53,3,FALSE)</f>
        <v>K030</v>
      </c>
      <c r="F938">
        <f>'2020_B5'!K530</f>
        <v>0</v>
      </c>
    </row>
    <row r="939" spans="1:6" x14ac:dyDescent="0.25">
      <c r="A939">
        <f>'2020_B5'!A531</f>
        <v>0</v>
      </c>
      <c r="B939">
        <f>'2020_B5'!$K$5</f>
        <v>2014</v>
      </c>
      <c r="C939" t="str">
        <f>'2020_B5'!$G$6</f>
        <v>Deutsche</v>
      </c>
      <c r="D939" t="s">
        <v>4</v>
      </c>
      <c r="E939" t="str">
        <f>VLOOKUP(A939,[1]Kreise!$A$1:$C$53,3,FALSE)</f>
        <v>K030</v>
      </c>
      <c r="F939">
        <f>'2020_B5'!K531</f>
        <v>0</v>
      </c>
    </row>
    <row r="940" spans="1:6" x14ac:dyDescent="0.25">
      <c r="A940">
        <f>'2020_B5'!A532</f>
        <v>0</v>
      </c>
      <c r="B940">
        <f>'2020_B5'!$K$5</f>
        <v>2014</v>
      </c>
      <c r="C940" t="str">
        <f>'2020_B5'!$G$6</f>
        <v>Deutsche</v>
      </c>
      <c r="D940" t="s">
        <v>4</v>
      </c>
      <c r="E940" t="str">
        <f>VLOOKUP(A940,[1]Kreise!$A$1:$C$53,3,FALSE)</f>
        <v>K030</v>
      </c>
      <c r="F940">
        <f>'2020_B5'!K532</f>
        <v>0</v>
      </c>
    </row>
    <row r="941" spans="1:6" x14ac:dyDescent="0.25">
      <c r="A941">
        <f>'2020_B5'!A533</f>
        <v>0</v>
      </c>
      <c r="B941">
        <f>'2020_B5'!$K$5</f>
        <v>2014</v>
      </c>
      <c r="C941" t="str">
        <f>'2020_B5'!$G$6</f>
        <v>Deutsche</v>
      </c>
      <c r="D941" t="s">
        <v>4</v>
      </c>
      <c r="E941" t="str">
        <f>VLOOKUP(A941,[1]Kreise!$A$1:$C$53,3,FALSE)</f>
        <v>K030</v>
      </c>
      <c r="F941">
        <f>'2020_B5'!K533</f>
        <v>0</v>
      </c>
    </row>
    <row r="942" spans="1:6" x14ac:dyDescent="0.25">
      <c r="A942">
        <f>'2020_B5'!A534</f>
        <v>0</v>
      </c>
      <c r="B942">
        <f>'2020_B5'!$K$5</f>
        <v>2014</v>
      </c>
      <c r="C942" t="str">
        <f>'2020_B5'!$G$6</f>
        <v>Deutsche</v>
      </c>
      <c r="D942" t="s">
        <v>4</v>
      </c>
      <c r="E942" t="str">
        <f>VLOOKUP(A942,[1]Kreise!$A$1:$C$53,3,FALSE)</f>
        <v>K030</v>
      </c>
      <c r="F942">
        <f>'2020_B5'!K534</f>
        <v>0</v>
      </c>
    </row>
    <row r="943" spans="1:6" x14ac:dyDescent="0.25">
      <c r="A943">
        <f>'2020_B5'!A535</f>
        <v>0</v>
      </c>
      <c r="B943">
        <f>'2020_B5'!$K$5</f>
        <v>2014</v>
      </c>
      <c r="C943" t="str">
        <f>'2020_B5'!$G$6</f>
        <v>Deutsche</v>
      </c>
      <c r="D943" t="s">
        <v>4</v>
      </c>
      <c r="E943" t="str">
        <f>VLOOKUP(A943,[1]Kreise!$A$1:$C$53,3,FALSE)</f>
        <v>K030</v>
      </c>
      <c r="F943">
        <f>'2020_B5'!K535</f>
        <v>0</v>
      </c>
    </row>
    <row r="944" spans="1:6" x14ac:dyDescent="0.25">
      <c r="A944">
        <f>'2020_B5'!A536</f>
        <v>0</v>
      </c>
      <c r="B944">
        <f>'2020_B5'!$K$5</f>
        <v>2014</v>
      </c>
      <c r="C944" t="str">
        <f>'2020_B5'!$G$6</f>
        <v>Deutsche</v>
      </c>
      <c r="D944" t="s">
        <v>4</v>
      </c>
      <c r="E944" t="str">
        <f>VLOOKUP(A944,[1]Kreise!$A$1:$C$53,3,FALSE)</f>
        <v>K030</v>
      </c>
      <c r="F944">
        <f>'2020_B5'!K536</f>
        <v>0</v>
      </c>
    </row>
    <row r="945" spans="1:6" x14ac:dyDescent="0.25">
      <c r="A945">
        <f>'2020_B5'!A537</f>
        <v>0</v>
      </c>
      <c r="B945">
        <f>'2020_B5'!$K$5</f>
        <v>2014</v>
      </c>
      <c r="C945" t="str">
        <f>'2020_B5'!$G$6</f>
        <v>Deutsche</v>
      </c>
      <c r="D945" t="s">
        <v>4</v>
      </c>
      <c r="E945" t="str">
        <f>VLOOKUP(A945,[1]Kreise!$A$1:$C$53,3,FALSE)</f>
        <v>K030</v>
      </c>
      <c r="F945">
        <f>'2020_B5'!K537</f>
        <v>0</v>
      </c>
    </row>
    <row r="946" spans="1:6" x14ac:dyDescent="0.25">
      <c r="A946">
        <f>'2020_B5'!A538</f>
        <v>0</v>
      </c>
      <c r="B946">
        <f>'2020_B5'!$K$5</f>
        <v>2014</v>
      </c>
      <c r="C946" t="str">
        <f>'2020_B5'!$G$6</f>
        <v>Deutsche</v>
      </c>
      <c r="D946" t="s">
        <v>4</v>
      </c>
      <c r="E946" t="str">
        <f>VLOOKUP(A946,[1]Kreise!$A$1:$C$53,3,FALSE)</f>
        <v>K030</v>
      </c>
      <c r="F946">
        <f>'2020_B5'!K538</f>
        <v>0</v>
      </c>
    </row>
    <row r="947" spans="1:6" x14ac:dyDescent="0.25">
      <c r="A947">
        <f>'2020_B5'!A539</f>
        <v>0</v>
      </c>
      <c r="B947">
        <f>'2020_B5'!$K$5</f>
        <v>2014</v>
      </c>
      <c r="C947" t="str">
        <f>'2020_B5'!$G$6</f>
        <v>Deutsche</v>
      </c>
      <c r="D947" t="s">
        <v>4</v>
      </c>
      <c r="E947" t="str">
        <f>VLOOKUP(A947,[1]Kreise!$A$1:$C$53,3,FALSE)</f>
        <v>K030</v>
      </c>
      <c r="F947">
        <f>'2020_B5'!K539</f>
        <v>0</v>
      </c>
    </row>
    <row r="948" spans="1:6" x14ac:dyDescent="0.25">
      <c r="A948">
        <f>'2020_B5'!A540</f>
        <v>0</v>
      </c>
      <c r="B948">
        <f>'2020_B5'!$K$5</f>
        <v>2014</v>
      </c>
      <c r="C948" t="str">
        <f>'2020_B5'!$G$6</f>
        <v>Deutsche</v>
      </c>
      <c r="D948" t="s">
        <v>4</v>
      </c>
      <c r="E948" t="str">
        <f>VLOOKUP(A948,[1]Kreise!$A$1:$C$53,3,FALSE)</f>
        <v>K030</v>
      </c>
      <c r="F948">
        <f>'2020_B5'!K540</f>
        <v>0</v>
      </c>
    </row>
    <row r="949" spans="1:6" x14ac:dyDescent="0.25">
      <c r="A949">
        <f>'2020_B5'!A541</f>
        <v>0</v>
      </c>
      <c r="B949">
        <f>'2020_B5'!$K$5</f>
        <v>2014</v>
      </c>
      <c r="C949" t="str">
        <f>'2020_B5'!$G$6</f>
        <v>Deutsche</v>
      </c>
      <c r="D949" t="s">
        <v>4</v>
      </c>
      <c r="E949" t="str">
        <f>VLOOKUP(A949,[1]Kreise!$A$1:$C$53,3,FALSE)</f>
        <v>K030</v>
      </c>
      <c r="F949">
        <f>'2020_B5'!K541</f>
        <v>0</v>
      </c>
    </row>
    <row r="950" spans="1:6" x14ac:dyDescent="0.25">
      <c r="A950">
        <f>'2020_B5'!A542</f>
        <v>0</v>
      </c>
      <c r="B950">
        <f>'2020_B5'!$K$5</f>
        <v>2014</v>
      </c>
      <c r="C950" t="str">
        <f>'2020_B5'!$G$6</f>
        <v>Deutsche</v>
      </c>
      <c r="D950" t="s">
        <v>4</v>
      </c>
      <c r="E950" t="str">
        <f>VLOOKUP(A950,[1]Kreise!$A$1:$C$53,3,FALSE)</f>
        <v>K030</v>
      </c>
      <c r="F950">
        <f>'2020_B5'!K542</f>
        <v>0</v>
      </c>
    </row>
    <row r="951" spans="1:6" x14ac:dyDescent="0.25">
      <c r="A951">
        <f>'2020_B5'!A543</f>
        <v>0</v>
      </c>
      <c r="B951">
        <f>'2020_B5'!$K$5</f>
        <v>2014</v>
      </c>
      <c r="C951" t="str">
        <f>'2020_B5'!$G$6</f>
        <v>Deutsche</v>
      </c>
      <c r="D951" t="s">
        <v>4</v>
      </c>
      <c r="E951" t="str">
        <f>VLOOKUP(A951,[1]Kreise!$A$1:$C$53,3,FALSE)</f>
        <v>K030</v>
      </c>
      <c r="F951">
        <f>'2020_B5'!K543</f>
        <v>0</v>
      </c>
    </row>
    <row r="952" spans="1:6" x14ac:dyDescent="0.25">
      <c r="A952">
        <f>'2020_B5'!A544</f>
        <v>0</v>
      </c>
      <c r="B952">
        <f>'2020_B5'!$K$5</f>
        <v>2014</v>
      </c>
      <c r="C952" t="str">
        <f>'2020_B5'!$G$6</f>
        <v>Deutsche</v>
      </c>
      <c r="D952" t="s">
        <v>4</v>
      </c>
      <c r="E952" t="str">
        <f>VLOOKUP(A952,[1]Kreise!$A$1:$C$53,3,FALSE)</f>
        <v>K030</v>
      </c>
      <c r="F952">
        <f>'2020_B5'!K544</f>
        <v>0</v>
      </c>
    </row>
    <row r="953" spans="1:6" x14ac:dyDescent="0.25">
      <c r="A953">
        <f>'2020_B5'!A545</f>
        <v>0</v>
      </c>
      <c r="B953">
        <f>'2020_B5'!$K$5</f>
        <v>2014</v>
      </c>
      <c r="C953" t="str">
        <f>'2020_B5'!$G$6</f>
        <v>Deutsche</v>
      </c>
      <c r="D953" t="s">
        <v>4</v>
      </c>
      <c r="E953" t="str">
        <f>VLOOKUP(A953,[1]Kreise!$A$1:$C$53,3,FALSE)</f>
        <v>K030</v>
      </c>
      <c r="F953">
        <f>'2020_B5'!K545</f>
        <v>0</v>
      </c>
    </row>
    <row r="954" spans="1:6" x14ac:dyDescent="0.25">
      <c r="A954">
        <f>'2020_B5'!A546</f>
        <v>0</v>
      </c>
      <c r="B954">
        <f>'2020_B5'!$K$5</f>
        <v>2014</v>
      </c>
      <c r="C954" t="str">
        <f>'2020_B5'!$G$6</f>
        <v>Deutsche</v>
      </c>
      <c r="D954" t="s">
        <v>4</v>
      </c>
      <c r="E954" t="str">
        <f>VLOOKUP(A954,[1]Kreise!$A$1:$C$53,3,FALSE)</f>
        <v>K030</v>
      </c>
      <c r="F954">
        <f>'2020_B5'!K546</f>
        <v>0</v>
      </c>
    </row>
    <row r="955" spans="1:6" x14ac:dyDescent="0.25">
      <c r="A955">
        <f>'2020_B5'!A547</f>
        <v>0</v>
      </c>
      <c r="B955">
        <f>'2020_B5'!$K$5</f>
        <v>2014</v>
      </c>
      <c r="C955" t="str">
        <f>'2020_B5'!$G$6</f>
        <v>Deutsche</v>
      </c>
      <c r="D955" t="s">
        <v>4</v>
      </c>
      <c r="E955" t="str">
        <f>VLOOKUP(A955,[1]Kreise!$A$1:$C$53,3,FALSE)</f>
        <v>K030</v>
      </c>
      <c r="F955">
        <f>'2020_B5'!K547</f>
        <v>0</v>
      </c>
    </row>
    <row r="956" spans="1:6" x14ac:dyDescent="0.25">
      <c r="A956">
        <f>'2020_B5'!A548</f>
        <v>0</v>
      </c>
      <c r="B956">
        <f>'2020_B5'!$K$5</f>
        <v>2014</v>
      </c>
      <c r="C956" t="str">
        <f>'2020_B5'!$G$6</f>
        <v>Deutsche</v>
      </c>
      <c r="D956" t="s">
        <v>4</v>
      </c>
      <c r="E956" t="str">
        <f>VLOOKUP(A956,[1]Kreise!$A$1:$C$53,3,FALSE)</f>
        <v>K030</v>
      </c>
      <c r="F956">
        <f>'2020_B5'!K548</f>
        <v>0</v>
      </c>
    </row>
    <row r="957" spans="1:6" x14ac:dyDescent="0.25">
      <c r="A957">
        <f>'2020_B5'!A549</f>
        <v>0</v>
      </c>
      <c r="B957">
        <f>'2020_B5'!$K$5</f>
        <v>2014</v>
      </c>
      <c r="C957" t="str">
        <f>'2020_B5'!$G$6</f>
        <v>Deutsche</v>
      </c>
      <c r="D957" t="s">
        <v>4</v>
      </c>
      <c r="E957" t="str">
        <f>VLOOKUP(A957,[1]Kreise!$A$1:$C$53,3,FALSE)</f>
        <v>K030</v>
      </c>
      <c r="F957">
        <f>'2020_B5'!K549</f>
        <v>0</v>
      </c>
    </row>
    <row r="958" spans="1:6" x14ac:dyDescent="0.25">
      <c r="A958">
        <f>'2020_B5'!A550</f>
        <v>0</v>
      </c>
      <c r="B958">
        <f>'2020_B5'!$K$5</f>
        <v>2014</v>
      </c>
      <c r="C958" t="str">
        <f>'2020_B5'!$G$6</f>
        <v>Deutsche</v>
      </c>
      <c r="D958" t="s">
        <v>4</v>
      </c>
      <c r="E958" t="str">
        <f>VLOOKUP(A958,[1]Kreise!$A$1:$C$53,3,FALSE)</f>
        <v>K030</v>
      </c>
      <c r="F958">
        <f>'2020_B5'!K550</f>
        <v>0</v>
      </c>
    </row>
    <row r="959" spans="1:6" x14ac:dyDescent="0.25">
      <c r="A959">
        <f>'2020_B5'!A551</f>
        <v>0</v>
      </c>
      <c r="B959">
        <f>'2020_B5'!$K$5</f>
        <v>2014</v>
      </c>
      <c r="C959" t="str">
        <f>'2020_B5'!$G$6</f>
        <v>Deutsche</v>
      </c>
      <c r="D959" t="s">
        <v>4</v>
      </c>
      <c r="E959" t="str">
        <f>VLOOKUP(A959,[1]Kreise!$A$1:$C$53,3,FALSE)</f>
        <v>K030</v>
      </c>
      <c r="F959">
        <f>'2020_B5'!K551</f>
        <v>0</v>
      </c>
    </row>
    <row r="960" spans="1:6" x14ac:dyDescent="0.25">
      <c r="A960">
        <f>'2020_B5'!A552</f>
        <v>0</v>
      </c>
      <c r="B960">
        <f>'2020_B5'!$K$5</f>
        <v>2014</v>
      </c>
      <c r="C960" t="str">
        <f>'2020_B5'!$G$6</f>
        <v>Deutsche</v>
      </c>
      <c r="D960" t="s">
        <v>4</v>
      </c>
      <c r="E960" t="str">
        <f>VLOOKUP(A960,[1]Kreise!$A$1:$C$53,3,FALSE)</f>
        <v>K030</v>
      </c>
      <c r="F960">
        <f>'2020_B5'!K552</f>
        <v>0</v>
      </c>
    </row>
    <row r="961" spans="1:6" x14ac:dyDescent="0.25">
      <c r="A961">
        <f>'2020_B5'!A553</f>
        <v>0</v>
      </c>
      <c r="B961">
        <f>'2020_B5'!$K$5</f>
        <v>2014</v>
      </c>
      <c r="C961" t="str">
        <f>'2020_B5'!$G$6</f>
        <v>Deutsche</v>
      </c>
      <c r="D961" t="s">
        <v>4</v>
      </c>
      <c r="E961" t="str">
        <f>VLOOKUP(A961,[1]Kreise!$A$1:$C$53,3,FALSE)</f>
        <v>K030</v>
      </c>
      <c r="F961">
        <f>'2020_B5'!K553</f>
        <v>0</v>
      </c>
    </row>
    <row r="962" spans="1:6" x14ac:dyDescent="0.25">
      <c r="A962">
        <f>'2020_B5'!A554</f>
        <v>0</v>
      </c>
      <c r="B962">
        <f>'2020_B5'!$K$5</f>
        <v>2014</v>
      </c>
      <c r="C962" t="str">
        <f>'2020_B5'!$G$6</f>
        <v>Deutsche</v>
      </c>
      <c r="D962" t="s">
        <v>4</v>
      </c>
      <c r="E962" t="str">
        <f>VLOOKUP(A962,[1]Kreise!$A$1:$C$53,3,FALSE)</f>
        <v>K030</v>
      </c>
      <c r="F962">
        <f>'2020_B5'!K554</f>
        <v>0</v>
      </c>
    </row>
    <row r="963" spans="1:6" x14ac:dyDescent="0.25">
      <c r="A963">
        <f>'2020_B5'!A555</f>
        <v>0</v>
      </c>
      <c r="B963">
        <f>'2020_B5'!$K$5</f>
        <v>2014</v>
      </c>
      <c r="C963" t="str">
        <f>'2020_B5'!$G$6</f>
        <v>Deutsche</v>
      </c>
      <c r="D963" t="s">
        <v>4</v>
      </c>
      <c r="E963" t="str">
        <f>VLOOKUP(A963,[1]Kreise!$A$1:$C$53,3,FALSE)</f>
        <v>K030</v>
      </c>
      <c r="F963">
        <f>'2020_B5'!K555</f>
        <v>0</v>
      </c>
    </row>
    <row r="964" spans="1:6" x14ac:dyDescent="0.25">
      <c r="A964">
        <f>'2020_B5'!A556</f>
        <v>0</v>
      </c>
      <c r="B964">
        <f>'2020_B5'!$K$5</f>
        <v>2014</v>
      </c>
      <c r="C964" t="str">
        <f>'2020_B5'!$G$6</f>
        <v>Deutsche</v>
      </c>
      <c r="D964" t="s">
        <v>4</v>
      </c>
      <c r="E964" t="str">
        <f>VLOOKUP(A964,[1]Kreise!$A$1:$C$53,3,FALSE)</f>
        <v>K030</v>
      </c>
      <c r="F964">
        <f>'2020_B5'!K556</f>
        <v>0</v>
      </c>
    </row>
    <row r="965" spans="1:6" x14ac:dyDescent="0.25">
      <c r="A965">
        <f>'2020_B5'!A557</f>
        <v>0</v>
      </c>
      <c r="B965">
        <f>'2020_B5'!$K$5</f>
        <v>2014</v>
      </c>
      <c r="C965" t="str">
        <f>'2020_B5'!$G$6</f>
        <v>Deutsche</v>
      </c>
      <c r="D965" t="s">
        <v>4</v>
      </c>
      <c r="E965" t="str">
        <f>VLOOKUP(A965,[1]Kreise!$A$1:$C$53,3,FALSE)</f>
        <v>K030</v>
      </c>
      <c r="F965">
        <f>'2020_B5'!K557</f>
        <v>0</v>
      </c>
    </row>
    <row r="966" spans="1:6" x14ac:dyDescent="0.25">
      <c r="A966">
        <f>'2020_B5'!A558</f>
        <v>0</v>
      </c>
      <c r="B966">
        <f>'2020_B5'!$K$5</f>
        <v>2014</v>
      </c>
      <c r="C966" t="str">
        <f>'2020_B5'!$G$6</f>
        <v>Deutsche</v>
      </c>
      <c r="D966" t="s">
        <v>4</v>
      </c>
      <c r="E966" t="str">
        <f>VLOOKUP(A966,[1]Kreise!$A$1:$C$53,3,FALSE)</f>
        <v>K030</v>
      </c>
      <c r="F966">
        <f>'2020_B5'!K558</f>
        <v>0</v>
      </c>
    </row>
    <row r="967" spans="1:6" x14ac:dyDescent="0.25">
      <c r="A967">
        <f>'2020_B5'!A559</f>
        <v>0</v>
      </c>
      <c r="B967">
        <f>'2020_B5'!$K$5</f>
        <v>2014</v>
      </c>
      <c r="C967" t="str">
        <f>'2020_B5'!$G$6</f>
        <v>Deutsche</v>
      </c>
      <c r="D967" t="s">
        <v>4</v>
      </c>
      <c r="E967" t="str">
        <f>VLOOKUP(A967,[1]Kreise!$A$1:$C$53,3,FALSE)</f>
        <v>K030</v>
      </c>
      <c r="F967">
        <f>'2020_B5'!K559</f>
        <v>0</v>
      </c>
    </row>
    <row r="968" spans="1:6" x14ac:dyDescent="0.25">
      <c r="A968">
        <f>'2020_B5'!A560</f>
        <v>0</v>
      </c>
      <c r="B968">
        <f>'2020_B5'!$K$5</f>
        <v>2014</v>
      </c>
      <c r="C968" t="str">
        <f>'2020_B5'!$G$6</f>
        <v>Deutsche</v>
      </c>
      <c r="D968" t="s">
        <v>4</v>
      </c>
      <c r="E968" t="str">
        <f>VLOOKUP(A968,[1]Kreise!$A$1:$C$53,3,FALSE)</f>
        <v>K030</v>
      </c>
      <c r="F968">
        <f>'2020_B5'!K560</f>
        <v>0</v>
      </c>
    </row>
    <row r="969" spans="1:6" x14ac:dyDescent="0.25">
      <c r="A969">
        <f>'2020_B5'!A561</f>
        <v>0</v>
      </c>
      <c r="B969">
        <f>'2020_B5'!$K$5</f>
        <v>2014</v>
      </c>
      <c r="C969" t="str">
        <f>'2020_B5'!$G$6</f>
        <v>Deutsche</v>
      </c>
      <c r="D969" t="s">
        <v>4</v>
      </c>
      <c r="E969" t="str">
        <f>VLOOKUP(A969,[1]Kreise!$A$1:$C$53,3,FALSE)</f>
        <v>K030</v>
      </c>
      <c r="F969">
        <f>'2020_B5'!K561</f>
        <v>0</v>
      </c>
    </row>
    <row r="970" spans="1:6" x14ac:dyDescent="0.25">
      <c r="A970">
        <f>'2020_B5'!A562</f>
        <v>0</v>
      </c>
      <c r="B970">
        <f>'2020_B5'!$K$5</f>
        <v>2014</v>
      </c>
      <c r="C970" t="str">
        <f>'2020_B5'!$G$6</f>
        <v>Deutsche</v>
      </c>
      <c r="D970" t="s">
        <v>4</v>
      </c>
      <c r="E970" t="str">
        <f>VLOOKUP(A970,[1]Kreise!$A$1:$C$53,3,FALSE)</f>
        <v>K030</v>
      </c>
      <c r="F970">
        <f>'2020_B5'!K562</f>
        <v>0</v>
      </c>
    </row>
    <row r="971" spans="1:6" x14ac:dyDescent="0.25">
      <c r="A971">
        <f>'2020_B5'!A563</f>
        <v>0</v>
      </c>
      <c r="B971">
        <f>'2020_B5'!$K$5</f>
        <v>2014</v>
      </c>
      <c r="C971" t="str">
        <f>'2020_B5'!$G$6</f>
        <v>Deutsche</v>
      </c>
      <c r="D971" t="s">
        <v>4</v>
      </c>
      <c r="E971" t="str">
        <f>VLOOKUP(A971,[1]Kreise!$A$1:$C$53,3,FALSE)</f>
        <v>K030</v>
      </c>
      <c r="F971">
        <f>'2020_B5'!K563</f>
        <v>0</v>
      </c>
    </row>
    <row r="972" spans="1:6" x14ac:dyDescent="0.25">
      <c r="A972">
        <f>'2020_B5'!A564</f>
        <v>0</v>
      </c>
      <c r="B972">
        <f>'2020_B5'!$K$5</f>
        <v>2014</v>
      </c>
      <c r="C972" t="str">
        <f>'2020_B5'!$G$6</f>
        <v>Deutsche</v>
      </c>
      <c r="D972" t="s">
        <v>4</v>
      </c>
      <c r="E972" t="str">
        <f>VLOOKUP(A972,[1]Kreise!$A$1:$C$53,3,FALSE)</f>
        <v>K030</v>
      </c>
      <c r="F972">
        <f>'2020_B5'!K564</f>
        <v>0</v>
      </c>
    </row>
    <row r="973" spans="1:6" x14ac:dyDescent="0.25">
      <c r="A973">
        <f>'2020_B5'!A565</f>
        <v>0</v>
      </c>
      <c r="B973">
        <f>'2020_B5'!$K$5</f>
        <v>2014</v>
      </c>
      <c r="C973" t="str">
        <f>'2020_B5'!$G$6</f>
        <v>Deutsche</v>
      </c>
      <c r="D973" t="s">
        <v>4</v>
      </c>
      <c r="E973" t="str">
        <f>VLOOKUP(A973,[1]Kreise!$A$1:$C$53,3,FALSE)</f>
        <v>K030</v>
      </c>
      <c r="F973">
        <f>'2020_B5'!K565</f>
        <v>0</v>
      </c>
    </row>
    <row r="974" spans="1:6" x14ac:dyDescent="0.25">
      <c r="A974">
        <f>'2020_B5'!A566</f>
        <v>0</v>
      </c>
      <c r="B974">
        <f>'2020_B5'!$K$5</f>
        <v>2014</v>
      </c>
      <c r="C974" t="str">
        <f>'2020_B5'!$G$6</f>
        <v>Deutsche</v>
      </c>
      <c r="D974" t="s">
        <v>4</v>
      </c>
      <c r="E974" t="str">
        <f>VLOOKUP(A974,[1]Kreise!$A$1:$C$53,3,FALSE)</f>
        <v>K030</v>
      </c>
      <c r="F974">
        <f>'2020_B5'!K566</f>
        <v>0</v>
      </c>
    </row>
    <row r="975" spans="1:6" x14ac:dyDescent="0.25">
      <c r="A975">
        <f>'2020_B5'!A567</f>
        <v>0</v>
      </c>
      <c r="B975">
        <f>'2020_B5'!$K$5</f>
        <v>2014</v>
      </c>
      <c r="C975" t="str">
        <f>'2020_B5'!$G$6</f>
        <v>Deutsche</v>
      </c>
      <c r="D975" t="s">
        <v>4</v>
      </c>
      <c r="E975" t="str">
        <f>VLOOKUP(A975,[1]Kreise!$A$1:$C$53,3,FALSE)</f>
        <v>K030</v>
      </c>
      <c r="F975">
        <f>'2020_B5'!K567</f>
        <v>0</v>
      </c>
    </row>
    <row r="976" spans="1:6" x14ac:dyDescent="0.25">
      <c r="A976">
        <f>'2020_B5'!A568</f>
        <v>0</v>
      </c>
      <c r="B976">
        <f>'2020_B5'!$K$5</f>
        <v>2014</v>
      </c>
      <c r="C976" t="str">
        <f>'2020_B5'!$G$6</f>
        <v>Deutsche</v>
      </c>
      <c r="D976" t="s">
        <v>4</v>
      </c>
      <c r="E976" t="str">
        <f>VLOOKUP(A976,[1]Kreise!$A$1:$C$53,3,FALSE)</f>
        <v>K030</v>
      </c>
      <c r="F976">
        <f>'2020_B5'!K568</f>
        <v>0</v>
      </c>
    </row>
    <row r="977" spans="1:6" x14ac:dyDescent="0.25">
      <c r="A977">
        <f>'2020_B5'!A569</f>
        <v>0</v>
      </c>
      <c r="B977">
        <f>'2020_B5'!$K$5</f>
        <v>2014</v>
      </c>
      <c r="C977" t="str">
        <f>'2020_B5'!$G$6</f>
        <v>Deutsche</v>
      </c>
      <c r="D977" t="s">
        <v>4</v>
      </c>
      <c r="E977" t="str">
        <f>VLOOKUP(A977,[1]Kreise!$A$1:$C$53,3,FALSE)</f>
        <v>K030</v>
      </c>
      <c r="F977">
        <f>'2020_B5'!K569</f>
        <v>0</v>
      </c>
    </row>
    <row r="978" spans="1:6" x14ac:dyDescent="0.25">
      <c r="A978">
        <f>'2020_B5'!A570</f>
        <v>0</v>
      </c>
      <c r="B978">
        <f>'2020_B5'!$K$5</f>
        <v>2014</v>
      </c>
      <c r="C978" t="str">
        <f>'2020_B5'!$G$6</f>
        <v>Deutsche</v>
      </c>
      <c r="D978" t="s">
        <v>4</v>
      </c>
      <c r="E978" t="str">
        <f>VLOOKUP(A978,[1]Kreise!$A$1:$C$53,3,FALSE)</f>
        <v>K030</v>
      </c>
      <c r="F978">
        <f>'2020_B5'!K570</f>
        <v>0</v>
      </c>
    </row>
    <row r="979" spans="1:6" x14ac:dyDescent="0.25">
      <c r="A979">
        <f>'2020_B5'!A571</f>
        <v>0</v>
      </c>
      <c r="B979">
        <f>'2020_B5'!$K$5</f>
        <v>2014</v>
      </c>
      <c r="C979" t="str">
        <f>'2020_B5'!$G$6</f>
        <v>Deutsche</v>
      </c>
      <c r="D979" t="s">
        <v>4</v>
      </c>
      <c r="E979" t="str">
        <f>VLOOKUP(A979,[1]Kreise!$A$1:$C$53,3,FALSE)</f>
        <v>K030</v>
      </c>
      <c r="F979">
        <f>'2020_B5'!K571</f>
        <v>0</v>
      </c>
    </row>
    <row r="980" spans="1:6" x14ac:dyDescent="0.25">
      <c r="A980">
        <f>'2020_B5'!A572</f>
        <v>0</v>
      </c>
      <c r="B980">
        <f>'2020_B5'!$K$5</f>
        <v>2014</v>
      </c>
      <c r="C980" t="str">
        <f>'2020_B5'!$G$6</f>
        <v>Deutsche</v>
      </c>
      <c r="D980" t="s">
        <v>4</v>
      </c>
      <c r="E980" t="str">
        <f>VLOOKUP(A980,[1]Kreise!$A$1:$C$53,3,FALSE)</f>
        <v>K030</v>
      </c>
      <c r="F980">
        <f>'2020_B5'!K572</f>
        <v>0</v>
      </c>
    </row>
    <row r="981" spans="1:6" x14ac:dyDescent="0.25">
      <c r="A981">
        <f>'2020_B5'!A573</f>
        <v>0</v>
      </c>
      <c r="B981">
        <f>'2020_B5'!$K$5</f>
        <v>2014</v>
      </c>
      <c r="C981" t="str">
        <f>'2020_B5'!$G$6</f>
        <v>Deutsche</v>
      </c>
      <c r="D981" t="s">
        <v>4</v>
      </c>
      <c r="E981" t="str">
        <f>VLOOKUP(A981,[1]Kreise!$A$1:$C$53,3,FALSE)</f>
        <v>K030</v>
      </c>
      <c r="F981">
        <f>'2020_B5'!K573</f>
        <v>0</v>
      </c>
    </row>
    <row r="982" spans="1:6" x14ac:dyDescent="0.25">
      <c r="A982">
        <f>'2020_B5'!A574</f>
        <v>0</v>
      </c>
      <c r="B982">
        <f>'2020_B5'!$K$5</f>
        <v>2014</v>
      </c>
      <c r="C982" t="str">
        <f>'2020_B5'!$G$6</f>
        <v>Deutsche</v>
      </c>
      <c r="D982" t="s">
        <v>4</v>
      </c>
      <c r="E982" t="str">
        <f>VLOOKUP(A982,[1]Kreise!$A$1:$C$53,3,FALSE)</f>
        <v>K030</v>
      </c>
      <c r="F982">
        <f>'2020_B5'!K574</f>
        <v>0</v>
      </c>
    </row>
    <row r="983" spans="1:6" x14ac:dyDescent="0.25">
      <c r="A983">
        <f>'2020_B5'!A575</f>
        <v>0</v>
      </c>
      <c r="B983">
        <f>'2020_B5'!$K$5</f>
        <v>2014</v>
      </c>
      <c r="C983" t="str">
        <f>'2020_B5'!$G$6</f>
        <v>Deutsche</v>
      </c>
      <c r="D983" t="s">
        <v>4</v>
      </c>
      <c r="E983" t="str">
        <f>VLOOKUP(A983,[1]Kreise!$A$1:$C$53,3,FALSE)</f>
        <v>K030</v>
      </c>
      <c r="F983">
        <f>'2020_B5'!K575</f>
        <v>0</v>
      </c>
    </row>
    <row r="984" spans="1:6" x14ac:dyDescent="0.25">
      <c r="A984">
        <f>'2020_B5'!A576</f>
        <v>0</v>
      </c>
      <c r="B984">
        <f>'2020_B5'!$K$5</f>
        <v>2014</v>
      </c>
      <c r="C984" t="str">
        <f>'2020_B5'!$G$6</f>
        <v>Deutsche</v>
      </c>
      <c r="D984" t="s">
        <v>4</v>
      </c>
      <c r="E984" t="str">
        <f>VLOOKUP(A984,[1]Kreise!$A$1:$C$53,3,FALSE)</f>
        <v>K030</v>
      </c>
      <c r="F984">
        <f>'2020_B5'!K576</f>
        <v>0</v>
      </c>
    </row>
    <row r="985" spans="1:6" x14ac:dyDescent="0.25">
      <c r="A985">
        <f>'2020_B5'!A577</f>
        <v>0</v>
      </c>
      <c r="B985">
        <f>'2020_B5'!$K$5</f>
        <v>2014</v>
      </c>
      <c r="C985" t="str">
        <f>'2020_B5'!$G$6</f>
        <v>Deutsche</v>
      </c>
      <c r="D985" t="s">
        <v>4</v>
      </c>
      <c r="E985" t="str">
        <f>VLOOKUP(A985,[1]Kreise!$A$1:$C$53,3,FALSE)</f>
        <v>K030</v>
      </c>
      <c r="F985">
        <f>'2020_B5'!K577</f>
        <v>0</v>
      </c>
    </row>
    <row r="986" spans="1:6" x14ac:dyDescent="0.25">
      <c r="A986">
        <f>'2020_B5'!A578</f>
        <v>0</v>
      </c>
      <c r="B986">
        <f>'2020_B5'!$K$5</f>
        <v>2014</v>
      </c>
      <c r="C986" t="str">
        <f>'2020_B5'!$G$6</f>
        <v>Deutsche</v>
      </c>
      <c r="D986" t="s">
        <v>4</v>
      </c>
      <c r="E986" t="str">
        <f>VLOOKUP(A986,[1]Kreise!$A$1:$C$53,3,FALSE)</f>
        <v>K030</v>
      </c>
      <c r="F986">
        <f>'2020_B5'!K578</f>
        <v>0</v>
      </c>
    </row>
    <row r="987" spans="1:6" x14ac:dyDescent="0.25">
      <c r="A987">
        <f>'2020_B5'!A579</f>
        <v>0</v>
      </c>
      <c r="B987">
        <f>'2020_B5'!$K$5</f>
        <v>2014</v>
      </c>
      <c r="C987" t="str">
        <f>'2020_B5'!$G$6</f>
        <v>Deutsche</v>
      </c>
      <c r="D987" t="s">
        <v>4</v>
      </c>
      <c r="E987" t="str">
        <f>VLOOKUP(A987,[1]Kreise!$A$1:$C$53,3,FALSE)</f>
        <v>K030</v>
      </c>
      <c r="F987">
        <f>'2020_B5'!K579</f>
        <v>0</v>
      </c>
    </row>
    <row r="988" spans="1:6" x14ac:dyDescent="0.25">
      <c r="A988">
        <f>'2020_B5'!A580</f>
        <v>0</v>
      </c>
      <c r="B988">
        <f>'2020_B5'!$K$5</f>
        <v>2014</v>
      </c>
      <c r="C988" t="str">
        <f>'2020_B5'!$G$6</f>
        <v>Deutsche</v>
      </c>
      <c r="D988" t="s">
        <v>4</v>
      </c>
      <c r="E988" t="str">
        <f>VLOOKUP(A988,[1]Kreise!$A$1:$C$53,3,FALSE)</f>
        <v>K030</v>
      </c>
      <c r="F988">
        <f>'2020_B5'!K580</f>
        <v>0</v>
      </c>
    </row>
    <row r="989" spans="1:6" x14ac:dyDescent="0.25">
      <c r="A989">
        <f>'2020_B5'!A529</f>
        <v>0</v>
      </c>
      <c r="B989">
        <f>'2020_B5'!$K$5</f>
        <v>2014</v>
      </c>
      <c r="C989" t="str">
        <f>'2020_B5'!$L$6</f>
        <v>Ausländerinnen und Ausländer</v>
      </c>
      <c r="D989" t="s">
        <v>4</v>
      </c>
      <c r="E989" t="str">
        <f>VLOOKUP(A989,[1]Kreise!$A$1:$C$53,3,FALSE)</f>
        <v>K030</v>
      </c>
      <c r="F989">
        <f>'2020_B5'!L529</f>
        <v>0</v>
      </c>
    </row>
    <row r="990" spans="1:6" x14ac:dyDescent="0.25">
      <c r="A990">
        <f>'2020_B5'!A530</f>
        <v>0</v>
      </c>
      <c r="B990">
        <f>'2020_B5'!$K$5</f>
        <v>2014</v>
      </c>
      <c r="C990" t="str">
        <f>'2020_B5'!$L$6</f>
        <v>Ausländerinnen und Ausländer</v>
      </c>
      <c r="D990" t="s">
        <v>4</v>
      </c>
      <c r="E990" t="str">
        <f>VLOOKUP(A990,[1]Kreise!$A$1:$C$53,3,FALSE)</f>
        <v>K030</v>
      </c>
      <c r="F990">
        <f>'2020_B5'!L530</f>
        <v>0</v>
      </c>
    </row>
    <row r="991" spans="1:6" x14ac:dyDescent="0.25">
      <c r="A991">
        <f>'2020_B5'!A531</f>
        <v>0</v>
      </c>
      <c r="B991">
        <f>'2020_B5'!$K$5</f>
        <v>2014</v>
      </c>
      <c r="C991" t="str">
        <f>'2020_B5'!$L$6</f>
        <v>Ausländerinnen und Ausländer</v>
      </c>
      <c r="D991" t="s">
        <v>4</v>
      </c>
      <c r="E991" t="str">
        <f>VLOOKUP(A991,[1]Kreise!$A$1:$C$53,3,FALSE)</f>
        <v>K030</v>
      </c>
      <c r="F991">
        <f>'2020_B5'!L531</f>
        <v>0</v>
      </c>
    </row>
    <row r="992" spans="1:6" x14ac:dyDescent="0.25">
      <c r="A992">
        <f>'2020_B5'!A532</f>
        <v>0</v>
      </c>
      <c r="B992">
        <f>'2020_B5'!$K$5</f>
        <v>2014</v>
      </c>
      <c r="C992" t="str">
        <f>'2020_B5'!$L$6</f>
        <v>Ausländerinnen und Ausländer</v>
      </c>
      <c r="D992" t="s">
        <v>4</v>
      </c>
      <c r="E992" t="str">
        <f>VLOOKUP(A992,[1]Kreise!$A$1:$C$53,3,FALSE)</f>
        <v>K030</v>
      </c>
      <c r="F992">
        <f>'2020_B5'!L532</f>
        <v>0</v>
      </c>
    </row>
    <row r="993" spans="1:6" x14ac:dyDescent="0.25">
      <c r="A993">
        <f>'2020_B5'!A533</f>
        <v>0</v>
      </c>
      <c r="B993">
        <f>'2020_B5'!$K$5</f>
        <v>2014</v>
      </c>
      <c r="C993" t="str">
        <f>'2020_B5'!$L$6</f>
        <v>Ausländerinnen und Ausländer</v>
      </c>
      <c r="D993" t="s">
        <v>4</v>
      </c>
      <c r="E993" t="str">
        <f>VLOOKUP(A993,[1]Kreise!$A$1:$C$53,3,FALSE)</f>
        <v>K030</v>
      </c>
      <c r="F993">
        <f>'2020_B5'!L533</f>
        <v>0</v>
      </c>
    </row>
    <row r="994" spans="1:6" x14ac:dyDescent="0.25">
      <c r="A994">
        <f>'2020_B5'!A534</f>
        <v>0</v>
      </c>
      <c r="B994">
        <f>'2020_B5'!$K$5</f>
        <v>2014</v>
      </c>
      <c r="C994" t="str">
        <f>'2020_B5'!$L$6</f>
        <v>Ausländerinnen und Ausländer</v>
      </c>
      <c r="D994" t="s">
        <v>4</v>
      </c>
      <c r="E994" t="str">
        <f>VLOOKUP(A994,[1]Kreise!$A$1:$C$53,3,FALSE)</f>
        <v>K030</v>
      </c>
      <c r="F994">
        <f>'2020_B5'!L534</f>
        <v>0</v>
      </c>
    </row>
    <row r="995" spans="1:6" x14ac:dyDescent="0.25">
      <c r="A995">
        <f>'2020_B5'!A535</f>
        <v>0</v>
      </c>
      <c r="B995">
        <f>'2020_B5'!$K$5</f>
        <v>2014</v>
      </c>
      <c r="C995" t="str">
        <f>'2020_B5'!$L$6</f>
        <v>Ausländerinnen und Ausländer</v>
      </c>
      <c r="D995" t="s">
        <v>4</v>
      </c>
      <c r="E995" t="str">
        <f>VLOOKUP(A995,[1]Kreise!$A$1:$C$53,3,FALSE)</f>
        <v>K030</v>
      </c>
      <c r="F995">
        <f>'2020_B5'!L535</f>
        <v>0</v>
      </c>
    </row>
    <row r="996" spans="1:6" x14ac:dyDescent="0.25">
      <c r="A996">
        <f>'2020_B5'!A536</f>
        <v>0</v>
      </c>
      <c r="B996">
        <f>'2020_B5'!$K$5</f>
        <v>2014</v>
      </c>
      <c r="C996" t="str">
        <f>'2020_B5'!$L$6</f>
        <v>Ausländerinnen und Ausländer</v>
      </c>
      <c r="D996" t="s">
        <v>4</v>
      </c>
      <c r="E996" t="str">
        <f>VLOOKUP(A996,[1]Kreise!$A$1:$C$53,3,FALSE)</f>
        <v>K030</v>
      </c>
      <c r="F996">
        <f>'2020_B5'!L536</f>
        <v>0</v>
      </c>
    </row>
    <row r="997" spans="1:6" x14ac:dyDescent="0.25">
      <c r="A997">
        <f>'2020_B5'!A537</f>
        <v>0</v>
      </c>
      <c r="B997">
        <f>'2020_B5'!$K$5</f>
        <v>2014</v>
      </c>
      <c r="C997" t="str">
        <f>'2020_B5'!$L$6</f>
        <v>Ausländerinnen und Ausländer</v>
      </c>
      <c r="D997" t="s">
        <v>4</v>
      </c>
      <c r="E997" t="str">
        <f>VLOOKUP(A997,[1]Kreise!$A$1:$C$53,3,FALSE)</f>
        <v>K030</v>
      </c>
      <c r="F997">
        <f>'2020_B5'!L537</f>
        <v>0</v>
      </c>
    </row>
    <row r="998" spans="1:6" x14ac:dyDescent="0.25">
      <c r="A998">
        <f>'2020_B5'!A538</f>
        <v>0</v>
      </c>
      <c r="B998">
        <f>'2020_B5'!$K$5</f>
        <v>2014</v>
      </c>
      <c r="C998" t="str">
        <f>'2020_B5'!$L$6</f>
        <v>Ausländerinnen und Ausländer</v>
      </c>
      <c r="D998" t="s">
        <v>4</v>
      </c>
      <c r="E998" t="str">
        <f>VLOOKUP(A998,[1]Kreise!$A$1:$C$53,3,FALSE)</f>
        <v>K030</v>
      </c>
      <c r="F998">
        <f>'2020_B5'!L538</f>
        <v>0</v>
      </c>
    </row>
    <row r="999" spans="1:6" x14ac:dyDescent="0.25">
      <c r="A999">
        <f>'2020_B5'!A539</f>
        <v>0</v>
      </c>
      <c r="B999">
        <f>'2020_B5'!$K$5</f>
        <v>2014</v>
      </c>
      <c r="C999" t="str">
        <f>'2020_B5'!$L$6</f>
        <v>Ausländerinnen und Ausländer</v>
      </c>
      <c r="D999" t="s">
        <v>4</v>
      </c>
      <c r="E999" t="str">
        <f>VLOOKUP(A999,[1]Kreise!$A$1:$C$53,3,FALSE)</f>
        <v>K030</v>
      </c>
      <c r="F999">
        <f>'2020_B5'!L539</f>
        <v>0</v>
      </c>
    </row>
    <row r="1000" spans="1:6" x14ac:dyDescent="0.25">
      <c r="A1000">
        <f>'2020_B5'!A540</f>
        <v>0</v>
      </c>
      <c r="B1000">
        <f>'2020_B5'!$K$5</f>
        <v>2014</v>
      </c>
      <c r="C1000" t="str">
        <f>'2020_B5'!$L$6</f>
        <v>Ausländerinnen und Ausländer</v>
      </c>
      <c r="D1000" t="s">
        <v>4</v>
      </c>
      <c r="E1000" t="str">
        <f>VLOOKUP(A1000,[1]Kreise!$A$1:$C$53,3,FALSE)</f>
        <v>K030</v>
      </c>
      <c r="F1000">
        <f>'2020_B5'!L540</f>
        <v>0</v>
      </c>
    </row>
    <row r="1001" spans="1:6" x14ac:dyDescent="0.25">
      <c r="A1001">
        <f>'2020_B5'!A541</f>
        <v>0</v>
      </c>
      <c r="B1001">
        <f>'2020_B5'!$K$5</f>
        <v>2014</v>
      </c>
      <c r="C1001" t="str">
        <f>'2020_B5'!$L$6</f>
        <v>Ausländerinnen und Ausländer</v>
      </c>
      <c r="D1001" t="s">
        <v>4</v>
      </c>
      <c r="E1001" t="str">
        <f>VLOOKUP(A1001,[1]Kreise!$A$1:$C$53,3,FALSE)</f>
        <v>K030</v>
      </c>
      <c r="F1001">
        <f>'2020_B5'!L541</f>
        <v>0</v>
      </c>
    </row>
    <row r="1002" spans="1:6" x14ac:dyDescent="0.25">
      <c r="A1002">
        <f>'2020_B5'!A542</f>
        <v>0</v>
      </c>
      <c r="B1002">
        <f>'2020_B5'!$K$5</f>
        <v>2014</v>
      </c>
      <c r="C1002" t="str">
        <f>'2020_B5'!$L$6</f>
        <v>Ausländerinnen und Ausländer</v>
      </c>
      <c r="D1002" t="s">
        <v>4</v>
      </c>
      <c r="E1002" t="str">
        <f>VLOOKUP(A1002,[1]Kreise!$A$1:$C$53,3,FALSE)</f>
        <v>K030</v>
      </c>
      <c r="F1002">
        <f>'2020_B5'!L542</f>
        <v>0</v>
      </c>
    </row>
    <row r="1003" spans="1:6" x14ac:dyDescent="0.25">
      <c r="A1003">
        <f>'2020_B5'!A543</f>
        <v>0</v>
      </c>
      <c r="B1003">
        <f>'2020_B5'!$K$5</f>
        <v>2014</v>
      </c>
      <c r="C1003" t="str">
        <f>'2020_B5'!$L$6</f>
        <v>Ausländerinnen und Ausländer</v>
      </c>
      <c r="D1003" t="s">
        <v>4</v>
      </c>
      <c r="E1003" t="str">
        <f>VLOOKUP(A1003,[1]Kreise!$A$1:$C$53,3,FALSE)</f>
        <v>K030</v>
      </c>
      <c r="F1003">
        <f>'2020_B5'!L543</f>
        <v>0</v>
      </c>
    </row>
    <row r="1004" spans="1:6" x14ac:dyDescent="0.25">
      <c r="A1004">
        <f>'2020_B5'!A544</f>
        <v>0</v>
      </c>
      <c r="B1004">
        <f>'2020_B5'!$K$5</f>
        <v>2014</v>
      </c>
      <c r="C1004" t="str">
        <f>'2020_B5'!$L$6</f>
        <v>Ausländerinnen und Ausländer</v>
      </c>
      <c r="D1004" t="s">
        <v>4</v>
      </c>
      <c r="E1004" t="str">
        <f>VLOOKUP(A1004,[1]Kreise!$A$1:$C$53,3,FALSE)</f>
        <v>K030</v>
      </c>
      <c r="F1004">
        <f>'2020_B5'!L544</f>
        <v>0</v>
      </c>
    </row>
    <row r="1005" spans="1:6" x14ac:dyDescent="0.25">
      <c r="A1005">
        <f>'2020_B5'!A545</f>
        <v>0</v>
      </c>
      <c r="B1005">
        <f>'2020_B5'!$K$5</f>
        <v>2014</v>
      </c>
      <c r="C1005" t="str">
        <f>'2020_B5'!$L$6</f>
        <v>Ausländerinnen und Ausländer</v>
      </c>
      <c r="D1005" t="s">
        <v>4</v>
      </c>
      <c r="E1005" t="str">
        <f>VLOOKUP(A1005,[1]Kreise!$A$1:$C$53,3,FALSE)</f>
        <v>K030</v>
      </c>
      <c r="F1005">
        <f>'2020_B5'!L545</f>
        <v>0</v>
      </c>
    </row>
    <row r="1006" spans="1:6" x14ac:dyDescent="0.25">
      <c r="A1006">
        <f>'2020_B5'!A546</f>
        <v>0</v>
      </c>
      <c r="B1006">
        <f>'2020_B5'!$K$5</f>
        <v>2014</v>
      </c>
      <c r="C1006" t="str">
        <f>'2020_B5'!$L$6</f>
        <v>Ausländerinnen und Ausländer</v>
      </c>
      <c r="D1006" t="s">
        <v>4</v>
      </c>
      <c r="E1006" t="str">
        <f>VLOOKUP(A1006,[1]Kreise!$A$1:$C$53,3,FALSE)</f>
        <v>K030</v>
      </c>
      <c r="F1006">
        <f>'2020_B5'!L546</f>
        <v>0</v>
      </c>
    </row>
    <row r="1007" spans="1:6" x14ac:dyDescent="0.25">
      <c r="A1007">
        <f>'2020_B5'!A547</f>
        <v>0</v>
      </c>
      <c r="B1007">
        <f>'2020_B5'!$K$5</f>
        <v>2014</v>
      </c>
      <c r="C1007" t="str">
        <f>'2020_B5'!$L$6</f>
        <v>Ausländerinnen und Ausländer</v>
      </c>
      <c r="D1007" t="s">
        <v>4</v>
      </c>
      <c r="E1007" t="str">
        <f>VLOOKUP(A1007,[1]Kreise!$A$1:$C$53,3,FALSE)</f>
        <v>K030</v>
      </c>
      <c r="F1007">
        <f>'2020_B5'!L547</f>
        <v>0</v>
      </c>
    </row>
    <row r="1008" spans="1:6" x14ac:dyDescent="0.25">
      <c r="A1008">
        <f>'2020_B5'!A548</f>
        <v>0</v>
      </c>
      <c r="B1008">
        <f>'2020_B5'!$K$5</f>
        <v>2014</v>
      </c>
      <c r="C1008" t="str">
        <f>'2020_B5'!$L$6</f>
        <v>Ausländerinnen und Ausländer</v>
      </c>
      <c r="D1008" t="s">
        <v>4</v>
      </c>
      <c r="E1008" t="str">
        <f>VLOOKUP(A1008,[1]Kreise!$A$1:$C$53,3,FALSE)</f>
        <v>K030</v>
      </c>
      <c r="F1008">
        <f>'2020_B5'!L548</f>
        <v>0</v>
      </c>
    </row>
    <row r="1009" spans="1:6" x14ac:dyDescent="0.25">
      <c r="A1009">
        <f>'2020_B5'!A549</f>
        <v>0</v>
      </c>
      <c r="B1009">
        <f>'2020_B5'!$K$5</f>
        <v>2014</v>
      </c>
      <c r="C1009" t="str">
        <f>'2020_B5'!$L$6</f>
        <v>Ausländerinnen und Ausländer</v>
      </c>
      <c r="D1009" t="s">
        <v>4</v>
      </c>
      <c r="E1009" t="str">
        <f>VLOOKUP(A1009,[1]Kreise!$A$1:$C$53,3,FALSE)</f>
        <v>K030</v>
      </c>
      <c r="F1009">
        <f>'2020_B5'!L549</f>
        <v>0</v>
      </c>
    </row>
    <row r="1010" spans="1:6" x14ac:dyDescent="0.25">
      <c r="A1010">
        <f>'2020_B5'!A550</f>
        <v>0</v>
      </c>
      <c r="B1010">
        <f>'2020_B5'!$K$5</f>
        <v>2014</v>
      </c>
      <c r="C1010" t="str">
        <f>'2020_B5'!$L$6</f>
        <v>Ausländerinnen und Ausländer</v>
      </c>
      <c r="D1010" t="s">
        <v>4</v>
      </c>
      <c r="E1010" t="str">
        <f>VLOOKUP(A1010,[1]Kreise!$A$1:$C$53,3,FALSE)</f>
        <v>K030</v>
      </c>
      <c r="F1010">
        <f>'2020_B5'!L550</f>
        <v>0</v>
      </c>
    </row>
    <row r="1011" spans="1:6" x14ac:dyDescent="0.25">
      <c r="A1011">
        <f>'2020_B5'!A551</f>
        <v>0</v>
      </c>
      <c r="B1011">
        <f>'2020_B5'!$K$5</f>
        <v>2014</v>
      </c>
      <c r="C1011" t="str">
        <f>'2020_B5'!$L$6</f>
        <v>Ausländerinnen und Ausländer</v>
      </c>
      <c r="D1011" t="s">
        <v>4</v>
      </c>
      <c r="E1011" t="str">
        <f>VLOOKUP(A1011,[1]Kreise!$A$1:$C$53,3,FALSE)</f>
        <v>K030</v>
      </c>
      <c r="F1011">
        <f>'2020_B5'!L551</f>
        <v>0</v>
      </c>
    </row>
    <row r="1012" spans="1:6" x14ac:dyDescent="0.25">
      <c r="A1012">
        <f>'2020_B5'!A552</f>
        <v>0</v>
      </c>
      <c r="B1012">
        <f>'2020_B5'!$K$5</f>
        <v>2014</v>
      </c>
      <c r="C1012" t="str">
        <f>'2020_B5'!$L$6</f>
        <v>Ausländerinnen und Ausländer</v>
      </c>
      <c r="D1012" t="s">
        <v>4</v>
      </c>
      <c r="E1012" t="str">
        <f>VLOOKUP(A1012,[1]Kreise!$A$1:$C$53,3,FALSE)</f>
        <v>K030</v>
      </c>
      <c r="F1012">
        <f>'2020_B5'!L552</f>
        <v>0</v>
      </c>
    </row>
    <row r="1013" spans="1:6" x14ac:dyDescent="0.25">
      <c r="A1013">
        <f>'2020_B5'!A553</f>
        <v>0</v>
      </c>
      <c r="B1013">
        <f>'2020_B5'!$K$5</f>
        <v>2014</v>
      </c>
      <c r="C1013" t="str">
        <f>'2020_B5'!$L$6</f>
        <v>Ausländerinnen und Ausländer</v>
      </c>
      <c r="D1013" t="s">
        <v>4</v>
      </c>
      <c r="E1013" t="str">
        <f>VLOOKUP(A1013,[1]Kreise!$A$1:$C$53,3,FALSE)</f>
        <v>K030</v>
      </c>
      <c r="F1013">
        <f>'2020_B5'!L553</f>
        <v>0</v>
      </c>
    </row>
    <row r="1014" spans="1:6" x14ac:dyDescent="0.25">
      <c r="A1014">
        <f>'2020_B5'!A554</f>
        <v>0</v>
      </c>
      <c r="B1014">
        <f>'2020_B5'!$K$5</f>
        <v>2014</v>
      </c>
      <c r="C1014" t="str">
        <f>'2020_B5'!$L$6</f>
        <v>Ausländerinnen und Ausländer</v>
      </c>
      <c r="D1014" t="s">
        <v>4</v>
      </c>
      <c r="E1014" t="str">
        <f>VLOOKUP(A1014,[1]Kreise!$A$1:$C$53,3,FALSE)</f>
        <v>K030</v>
      </c>
      <c r="F1014">
        <f>'2020_B5'!L554</f>
        <v>0</v>
      </c>
    </row>
    <row r="1015" spans="1:6" x14ac:dyDescent="0.25">
      <c r="A1015">
        <f>'2020_B5'!A555</f>
        <v>0</v>
      </c>
      <c r="B1015">
        <f>'2020_B5'!$K$5</f>
        <v>2014</v>
      </c>
      <c r="C1015" t="str">
        <f>'2020_B5'!$L$6</f>
        <v>Ausländerinnen und Ausländer</v>
      </c>
      <c r="D1015" t="s">
        <v>4</v>
      </c>
      <c r="E1015" t="str">
        <f>VLOOKUP(A1015,[1]Kreise!$A$1:$C$53,3,FALSE)</f>
        <v>K030</v>
      </c>
      <c r="F1015">
        <f>'2020_B5'!L555</f>
        <v>0</v>
      </c>
    </row>
    <row r="1016" spans="1:6" x14ac:dyDescent="0.25">
      <c r="A1016">
        <f>'2020_B5'!A556</f>
        <v>0</v>
      </c>
      <c r="B1016">
        <f>'2020_B5'!$K$5</f>
        <v>2014</v>
      </c>
      <c r="C1016" t="str">
        <f>'2020_B5'!$L$6</f>
        <v>Ausländerinnen und Ausländer</v>
      </c>
      <c r="D1016" t="s">
        <v>4</v>
      </c>
      <c r="E1016" t="str">
        <f>VLOOKUP(A1016,[1]Kreise!$A$1:$C$53,3,FALSE)</f>
        <v>K030</v>
      </c>
      <c r="F1016">
        <f>'2020_B5'!L556</f>
        <v>0</v>
      </c>
    </row>
    <row r="1017" spans="1:6" x14ac:dyDescent="0.25">
      <c r="A1017">
        <f>'2020_B5'!A557</f>
        <v>0</v>
      </c>
      <c r="B1017">
        <f>'2020_B5'!$K$5</f>
        <v>2014</v>
      </c>
      <c r="C1017" t="str">
        <f>'2020_B5'!$L$6</f>
        <v>Ausländerinnen und Ausländer</v>
      </c>
      <c r="D1017" t="s">
        <v>4</v>
      </c>
      <c r="E1017" t="str">
        <f>VLOOKUP(A1017,[1]Kreise!$A$1:$C$53,3,FALSE)</f>
        <v>K030</v>
      </c>
      <c r="F1017">
        <f>'2020_B5'!L557</f>
        <v>0</v>
      </c>
    </row>
    <row r="1018" spans="1:6" x14ac:dyDescent="0.25">
      <c r="A1018">
        <f>'2020_B5'!A558</f>
        <v>0</v>
      </c>
      <c r="B1018">
        <f>'2020_B5'!$K$5</f>
        <v>2014</v>
      </c>
      <c r="C1018" t="str">
        <f>'2020_B5'!$L$6</f>
        <v>Ausländerinnen und Ausländer</v>
      </c>
      <c r="D1018" t="s">
        <v>4</v>
      </c>
      <c r="E1018" t="str">
        <f>VLOOKUP(A1018,[1]Kreise!$A$1:$C$53,3,FALSE)</f>
        <v>K030</v>
      </c>
      <c r="F1018">
        <f>'2020_B5'!L558</f>
        <v>0</v>
      </c>
    </row>
    <row r="1019" spans="1:6" x14ac:dyDescent="0.25">
      <c r="A1019">
        <f>'2020_B5'!A559</f>
        <v>0</v>
      </c>
      <c r="B1019">
        <f>'2020_B5'!$K$5</f>
        <v>2014</v>
      </c>
      <c r="C1019" t="str">
        <f>'2020_B5'!$L$6</f>
        <v>Ausländerinnen und Ausländer</v>
      </c>
      <c r="D1019" t="s">
        <v>4</v>
      </c>
      <c r="E1019" t="str">
        <f>VLOOKUP(A1019,[1]Kreise!$A$1:$C$53,3,FALSE)</f>
        <v>K030</v>
      </c>
      <c r="F1019">
        <f>'2020_B5'!L559</f>
        <v>0</v>
      </c>
    </row>
    <row r="1020" spans="1:6" x14ac:dyDescent="0.25">
      <c r="A1020">
        <f>'2020_B5'!A560</f>
        <v>0</v>
      </c>
      <c r="B1020">
        <f>'2020_B5'!$K$5</f>
        <v>2014</v>
      </c>
      <c r="C1020" t="str">
        <f>'2020_B5'!$L$6</f>
        <v>Ausländerinnen und Ausländer</v>
      </c>
      <c r="D1020" t="s">
        <v>4</v>
      </c>
      <c r="E1020" t="str">
        <f>VLOOKUP(A1020,[1]Kreise!$A$1:$C$53,3,FALSE)</f>
        <v>K030</v>
      </c>
      <c r="F1020">
        <f>'2020_B5'!L560</f>
        <v>0</v>
      </c>
    </row>
    <row r="1021" spans="1:6" x14ac:dyDescent="0.25">
      <c r="A1021">
        <f>'2020_B5'!A561</f>
        <v>0</v>
      </c>
      <c r="B1021">
        <f>'2020_B5'!$K$5</f>
        <v>2014</v>
      </c>
      <c r="C1021" t="str">
        <f>'2020_B5'!$L$6</f>
        <v>Ausländerinnen und Ausländer</v>
      </c>
      <c r="D1021" t="s">
        <v>4</v>
      </c>
      <c r="E1021" t="str">
        <f>VLOOKUP(A1021,[1]Kreise!$A$1:$C$53,3,FALSE)</f>
        <v>K030</v>
      </c>
      <c r="F1021">
        <f>'2020_B5'!L561</f>
        <v>0</v>
      </c>
    </row>
    <row r="1022" spans="1:6" x14ac:dyDescent="0.25">
      <c r="A1022">
        <f>'2020_B5'!A562</f>
        <v>0</v>
      </c>
      <c r="B1022">
        <f>'2020_B5'!$K$5</f>
        <v>2014</v>
      </c>
      <c r="C1022" t="str">
        <f>'2020_B5'!$L$6</f>
        <v>Ausländerinnen und Ausländer</v>
      </c>
      <c r="D1022" t="s">
        <v>4</v>
      </c>
      <c r="E1022" t="str">
        <f>VLOOKUP(A1022,[1]Kreise!$A$1:$C$53,3,FALSE)</f>
        <v>K030</v>
      </c>
      <c r="F1022">
        <f>'2020_B5'!L562</f>
        <v>0</v>
      </c>
    </row>
    <row r="1023" spans="1:6" x14ac:dyDescent="0.25">
      <c r="A1023">
        <f>'2020_B5'!A563</f>
        <v>0</v>
      </c>
      <c r="B1023">
        <f>'2020_B5'!$K$5</f>
        <v>2014</v>
      </c>
      <c r="C1023" t="str">
        <f>'2020_B5'!$L$6</f>
        <v>Ausländerinnen und Ausländer</v>
      </c>
      <c r="D1023" t="s">
        <v>4</v>
      </c>
      <c r="E1023" t="str">
        <f>VLOOKUP(A1023,[1]Kreise!$A$1:$C$53,3,FALSE)</f>
        <v>K030</v>
      </c>
      <c r="F1023">
        <f>'2020_B5'!L563</f>
        <v>0</v>
      </c>
    </row>
    <row r="1024" spans="1:6" x14ac:dyDescent="0.25">
      <c r="A1024">
        <f>'2020_B5'!A564</f>
        <v>0</v>
      </c>
      <c r="B1024">
        <f>'2020_B5'!$K$5</f>
        <v>2014</v>
      </c>
      <c r="C1024" t="str">
        <f>'2020_B5'!$L$6</f>
        <v>Ausländerinnen und Ausländer</v>
      </c>
      <c r="D1024" t="s">
        <v>4</v>
      </c>
      <c r="E1024" t="str">
        <f>VLOOKUP(A1024,[1]Kreise!$A$1:$C$53,3,FALSE)</f>
        <v>K030</v>
      </c>
      <c r="F1024">
        <f>'2020_B5'!L564</f>
        <v>0</v>
      </c>
    </row>
    <row r="1025" spans="1:6" x14ac:dyDescent="0.25">
      <c r="A1025">
        <f>'2020_B5'!A565</f>
        <v>0</v>
      </c>
      <c r="B1025">
        <f>'2020_B5'!$K$5</f>
        <v>2014</v>
      </c>
      <c r="C1025" t="str">
        <f>'2020_B5'!$L$6</f>
        <v>Ausländerinnen und Ausländer</v>
      </c>
      <c r="D1025" t="s">
        <v>4</v>
      </c>
      <c r="E1025" t="str">
        <f>VLOOKUP(A1025,[1]Kreise!$A$1:$C$53,3,FALSE)</f>
        <v>K030</v>
      </c>
      <c r="F1025">
        <f>'2020_B5'!L565</f>
        <v>0</v>
      </c>
    </row>
    <row r="1026" spans="1:6" x14ac:dyDescent="0.25">
      <c r="A1026">
        <f>'2020_B5'!A566</f>
        <v>0</v>
      </c>
      <c r="B1026">
        <f>'2020_B5'!$K$5</f>
        <v>2014</v>
      </c>
      <c r="C1026" t="str">
        <f>'2020_B5'!$L$6</f>
        <v>Ausländerinnen und Ausländer</v>
      </c>
      <c r="D1026" t="s">
        <v>4</v>
      </c>
      <c r="E1026" t="str">
        <f>VLOOKUP(A1026,[1]Kreise!$A$1:$C$53,3,FALSE)</f>
        <v>K030</v>
      </c>
      <c r="F1026">
        <f>'2020_B5'!L566</f>
        <v>0</v>
      </c>
    </row>
    <row r="1027" spans="1:6" x14ac:dyDescent="0.25">
      <c r="A1027">
        <f>'2020_B5'!A567</f>
        <v>0</v>
      </c>
      <c r="B1027">
        <f>'2020_B5'!$K$5</f>
        <v>2014</v>
      </c>
      <c r="C1027" t="str">
        <f>'2020_B5'!$L$6</f>
        <v>Ausländerinnen und Ausländer</v>
      </c>
      <c r="D1027" t="s">
        <v>4</v>
      </c>
      <c r="E1027" t="str">
        <f>VLOOKUP(A1027,[1]Kreise!$A$1:$C$53,3,FALSE)</f>
        <v>K030</v>
      </c>
      <c r="F1027">
        <f>'2020_B5'!L567</f>
        <v>0</v>
      </c>
    </row>
    <row r="1028" spans="1:6" x14ac:dyDescent="0.25">
      <c r="A1028">
        <f>'2020_B5'!A568</f>
        <v>0</v>
      </c>
      <c r="B1028">
        <f>'2020_B5'!$K$5</f>
        <v>2014</v>
      </c>
      <c r="C1028" t="str">
        <f>'2020_B5'!$L$6</f>
        <v>Ausländerinnen und Ausländer</v>
      </c>
      <c r="D1028" t="s">
        <v>4</v>
      </c>
      <c r="E1028" t="str">
        <f>VLOOKUP(A1028,[1]Kreise!$A$1:$C$53,3,FALSE)</f>
        <v>K030</v>
      </c>
      <c r="F1028">
        <f>'2020_B5'!L568</f>
        <v>0</v>
      </c>
    </row>
    <row r="1029" spans="1:6" x14ac:dyDescent="0.25">
      <c r="A1029">
        <f>'2020_B5'!A569</f>
        <v>0</v>
      </c>
      <c r="B1029">
        <f>'2020_B5'!$K$5</f>
        <v>2014</v>
      </c>
      <c r="C1029" t="str">
        <f>'2020_B5'!$L$6</f>
        <v>Ausländerinnen und Ausländer</v>
      </c>
      <c r="D1029" t="s">
        <v>4</v>
      </c>
      <c r="E1029" t="str">
        <f>VLOOKUP(A1029,[1]Kreise!$A$1:$C$53,3,FALSE)</f>
        <v>K030</v>
      </c>
      <c r="F1029">
        <f>'2020_B5'!L569</f>
        <v>0</v>
      </c>
    </row>
    <row r="1030" spans="1:6" x14ac:dyDescent="0.25">
      <c r="A1030">
        <f>'2020_B5'!A570</f>
        <v>0</v>
      </c>
      <c r="B1030">
        <f>'2020_B5'!$K$5</f>
        <v>2014</v>
      </c>
      <c r="C1030" t="str">
        <f>'2020_B5'!$L$6</f>
        <v>Ausländerinnen und Ausländer</v>
      </c>
      <c r="D1030" t="s">
        <v>4</v>
      </c>
      <c r="E1030" t="str">
        <f>VLOOKUP(A1030,[1]Kreise!$A$1:$C$53,3,FALSE)</f>
        <v>K030</v>
      </c>
      <c r="F1030">
        <f>'2020_B5'!L570</f>
        <v>0</v>
      </c>
    </row>
    <row r="1031" spans="1:6" x14ac:dyDescent="0.25">
      <c r="A1031">
        <f>'2020_B5'!A571</f>
        <v>0</v>
      </c>
      <c r="B1031">
        <f>'2020_B5'!$K$5</f>
        <v>2014</v>
      </c>
      <c r="C1031" t="str">
        <f>'2020_B5'!$L$6</f>
        <v>Ausländerinnen und Ausländer</v>
      </c>
      <c r="D1031" t="s">
        <v>4</v>
      </c>
      <c r="E1031" t="str">
        <f>VLOOKUP(A1031,[1]Kreise!$A$1:$C$53,3,FALSE)</f>
        <v>K030</v>
      </c>
      <c r="F1031">
        <f>'2020_B5'!L571</f>
        <v>0</v>
      </c>
    </row>
    <row r="1032" spans="1:6" x14ac:dyDescent="0.25">
      <c r="A1032">
        <f>'2020_B5'!A572</f>
        <v>0</v>
      </c>
      <c r="B1032">
        <f>'2020_B5'!$K$5</f>
        <v>2014</v>
      </c>
      <c r="C1032" t="str">
        <f>'2020_B5'!$L$6</f>
        <v>Ausländerinnen und Ausländer</v>
      </c>
      <c r="D1032" t="s">
        <v>4</v>
      </c>
      <c r="E1032" t="str">
        <f>VLOOKUP(A1032,[1]Kreise!$A$1:$C$53,3,FALSE)</f>
        <v>K030</v>
      </c>
      <c r="F1032">
        <f>'2020_B5'!L572</f>
        <v>0</v>
      </c>
    </row>
    <row r="1033" spans="1:6" x14ac:dyDescent="0.25">
      <c r="A1033">
        <f>'2020_B5'!A573</f>
        <v>0</v>
      </c>
      <c r="B1033">
        <f>'2020_B5'!$K$5</f>
        <v>2014</v>
      </c>
      <c r="C1033" t="str">
        <f>'2020_B5'!$L$6</f>
        <v>Ausländerinnen und Ausländer</v>
      </c>
      <c r="D1033" t="s">
        <v>4</v>
      </c>
      <c r="E1033" t="str">
        <f>VLOOKUP(A1033,[1]Kreise!$A$1:$C$53,3,FALSE)</f>
        <v>K030</v>
      </c>
      <c r="F1033">
        <f>'2020_B5'!L573</f>
        <v>0</v>
      </c>
    </row>
    <row r="1034" spans="1:6" x14ac:dyDescent="0.25">
      <c r="A1034">
        <f>'2020_B5'!A574</f>
        <v>0</v>
      </c>
      <c r="B1034">
        <f>'2020_B5'!$K$5</f>
        <v>2014</v>
      </c>
      <c r="C1034" t="str">
        <f>'2020_B5'!$L$6</f>
        <v>Ausländerinnen und Ausländer</v>
      </c>
      <c r="D1034" t="s">
        <v>4</v>
      </c>
      <c r="E1034" t="str">
        <f>VLOOKUP(A1034,[1]Kreise!$A$1:$C$53,3,FALSE)</f>
        <v>K030</v>
      </c>
      <c r="F1034">
        <f>'2020_B5'!L574</f>
        <v>0</v>
      </c>
    </row>
    <row r="1035" spans="1:6" x14ac:dyDescent="0.25">
      <c r="A1035">
        <f>'2020_B5'!A575</f>
        <v>0</v>
      </c>
      <c r="B1035">
        <f>'2020_B5'!$K$5</f>
        <v>2014</v>
      </c>
      <c r="C1035" t="str">
        <f>'2020_B5'!$L$6</f>
        <v>Ausländerinnen und Ausländer</v>
      </c>
      <c r="D1035" t="s">
        <v>4</v>
      </c>
      <c r="E1035" t="str">
        <f>VLOOKUP(A1035,[1]Kreise!$A$1:$C$53,3,FALSE)</f>
        <v>K030</v>
      </c>
      <c r="F1035">
        <f>'2020_B5'!L575</f>
        <v>0</v>
      </c>
    </row>
    <row r="1036" spans="1:6" x14ac:dyDescent="0.25">
      <c r="A1036">
        <f>'2020_B5'!A576</f>
        <v>0</v>
      </c>
      <c r="B1036">
        <f>'2020_B5'!$K$5</f>
        <v>2014</v>
      </c>
      <c r="C1036" t="str">
        <f>'2020_B5'!$L$6</f>
        <v>Ausländerinnen und Ausländer</v>
      </c>
      <c r="D1036" t="s">
        <v>4</v>
      </c>
      <c r="E1036" t="str">
        <f>VLOOKUP(A1036,[1]Kreise!$A$1:$C$53,3,FALSE)</f>
        <v>K030</v>
      </c>
      <c r="F1036">
        <f>'2020_B5'!L576</f>
        <v>0</v>
      </c>
    </row>
    <row r="1037" spans="1:6" x14ac:dyDescent="0.25">
      <c r="A1037">
        <f>'2020_B5'!A577</f>
        <v>0</v>
      </c>
      <c r="B1037">
        <f>'2020_B5'!$K$5</f>
        <v>2014</v>
      </c>
      <c r="C1037" t="str">
        <f>'2020_B5'!$L$6</f>
        <v>Ausländerinnen und Ausländer</v>
      </c>
      <c r="D1037" t="s">
        <v>4</v>
      </c>
      <c r="E1037" t="str">
        <f>VLOOKUP(A1037,[1]Kreise!$A$1:$C$53,3,FALSE)</f>
        <v>K030</v>
      </c>
      <c r="F1037">
        <f>'2020_B5'!L577</f>
        <v>0</v>
      </c>
    </row>
    <row r="1038" spans="1:6" x14ac:dyDescent="0.25">
      <c r="A1038">
        <f>'2020_B5'!A578</f>
        <v>0</v>
      </c>
      <c r="B1038">
        <f>'2020_B5'!$K$5</f>
        <v>2014</v>
      </c>
      <c r="C1038" t="str">
        <f>'2020_B5'!$L$6</f>
        <v>Ausländerinnen und Ausländer</v>
      </c>
      <c r="D1038" t="s">
        <v>4</v>
      </c>
      <c r="E1038" t="str">
        <f>VLOOKUP(A1038,[1]Kreise!$A$1:$C$53,3,FALSE)</f>
        <v>K030</v>
      </c>
      <c r="F1038">
        <f>'2020_B5'!L578</f>
        <v>0</v>
      </c>
    </row>
    <row r="1039" spans="1:6" x14ac:dyDescent="0.25">
      <c r="A1039">
        <f>'2020_B5'!A579</f>
        <v>0</v>
      </c>
      <c r="B1039">
        <f>'2020_B5'!$K$5</f>
        <v>2014</v>
      </c>
      <c r="C1039" t="str">
        <f>'2020_B5'!$L$6</f>
        <v>Ausländerinnen und Ausländer</v>
      </c>
      <c r="D1039" t="s">
        <v>4</v>
      </c>
      <c r="E1039" t="str">
        <f>VLOOKUP(A1039,[1]Kreise!$A$1:$C$53,3,FALSE)</f>
        <v>K030</v>
      </c>
      <c r="F1039">
        <f>'2020_B5'!L579</f>
        <v>0</v>
      </c>
    </row>
    <row r="1040" spans="1:6" x14ac:dyDescent="0.25">
      <c r="A1040">
        <f>'2020_B5'!A580</f>
        <v>0</v>
      </c>
      <c r="B1040">
        <f>'2020_B5'!$K$5</f>
        <v>2014</v>
      </c>
      <c r="C1040" t="str">
        <f>'2020_B5'!$L$6</f>
        <v>Ausländerinnen und Ausländer</v>
      </c>
      <c r="D1040" t="s">
        <v>4</v>
      </c>
      <c r="E1040" t="str">
        <f>VLOOKUP(A1040,[1]Kreise!$A$1:$C$53,3,FALSE)</f>
        <v>K030</v>
      </c>
      <c r="F1040">
        <f>'2020_B5'!L580</f>
        <v>0</v>
      </c>
    </row>
    <row r="1041" spans="1:6" x14ac:dyDescent="0.25">
      <c r="A1041">
        <f>'2020_B5'!A633</f>
        <v>0</v>
      </c>
      <c r="B1041">
        <f>'2020_B5'!$K$5</f>
        <v>2014</v>
      </c>
      <c r="C1041" t="str">
        <f>'2020_B5'!$G$6</f>
        <v>Deutsche</v>
      </c>
      <c r="D1041" t="s">
        <v>4</v>
      </c>
      <c r="E1041" t="str">
        <f>VLOOKUP(A1041,[1]Kreise!$A$1:$C$53,3,FALSE)</f>
        <v>K030</v>
      </c>
      <c r="F1041">
        <f>'2020_B5'!K633</f>
        <v>0</v>
      </c>
    </row>
    <row r="1042" spans="1:6" x14ac:dyDescent="0.25">
      <c r="A1042">
        <f>'2020_B5'!A634</f>
        <v>0</v>
      </c>
      <c r="B1042">
        <f>'2020_B5'!$K$5</f>
        <v>2014</v>
      </c>
      <c r="C1042" t="str">
        <f>'2020_B5'!$G$6</f>
        <v>Deutsche</v>
      </c>
      <c r="D1042" t="s">
        <v>4</v>
      </c>
      <c r="E1042" t="str">
        <f>VLOOKUP(A1042,[1]Kreise!$A$1:$C$53,3,FALSE)</f>
        <v>K030</v>
      </c>
      <c r="F1042">
        <f>'2020_B5'!K634</f>
        <v>0</v>
      </c>
    </row>
    <row r="1043" spans="1:6" x14ac:dyDescent="0.25">
      <c r="A1043">
        <f>'2020_B5'!A635</f>
        <v>0</v>
      </c>
      <c r="B1043">
        <f>'2020_B5'!$K$5</f>
        <v>2014</v>
      </c>
      <c r="C1043" t="str">
        <f>'2020_B5'!$G$6</f>
        <v>Deutsche</v>
      </c>
      <c r="D1043" t="s">
        <v>4</v>
      </c>
      <c r="E1043" t="str">
        <f>VLOOKUP(A1043,[1]Kreise!$A$1:$C$53,3,FALSE)</f>
        <v>K030</v>
      </c>
      <c r="F1043">
        <f>'2020_B5'!K635</f>
        <v>0</v>
      </c>
    </row>
    <row r="1044" spans="1:6" x14ac:dyDescent="0.25">
      <c r="A1044">
        <f>'2020_B5'!A636</f>
        <v>0</v>
      </c>
      <c r="B1044">
        <f>'2020_B5'!$K$5</f>
        <v>2014</v>
      </c>
      <c r="C1044" t="str">
        <f>'2020_B5'!$G$6</f>
        <v>Deutsche</v>
      </c>
      <c r="D1044" t="s">
        <v>4</v>
      </c>
      <c r="E1044" t="str">
        <f>VLOOKUP(A1044,[1]Kreise!$A$1:$C$53,3,FALSE)</f>
        <v>K030</v>
      </c>
      <c r="F1044">
        <f>'2020_B5'!K636</f>
        <v>0</v>
      </c>
    </row>
    <row r="1045" spans="1:6" x14ac:dyDescent="0.25">
      <c r="A1045">
        <f>'2020_B5'!A637</f>
        <v>0</v>
      </c>
      <c r="B1045">
        <f>'2020_B5'!$K$5</f>
        <v>2014</v>
      </c>
      <c r="C1045" t="str">
        <f>'2020_B5'!$G$6</f>
        <v>Deutsche</v>
      </c>
      <c r="D1045" t="s">
        <v>4</v>
      </c>
      <c r="E1045" t="str">
        <f>VLOOKUP(A1045,[1]Kreise!$A$1:$C$53,3,FALSE)</f>
        <v>K030</v>
      </c>
      <c r="F1045">
        <f>'2020_B5'!K637</f>
        <v>0</v>
      </c>
    </row>
    <row r="1046" spans="1:6" x14ac:dyDescent="0.25">
      <c r="A1046">
        <f>'2020_B5'!A638</f>
        <v>0</v>
      </c>
      <c r="B1046">
        <f>'2020_B5'!$K$5</f>
        <v>2014</v>
      </c>
      <c r="C1046" t="str">
        <f>'2020_B5'!$G$6</f>
        <v>Deutsche</v>
      </c>
      <c r="D1046" t="s">
        <v>4</v>
      </c>
      <c r="E1046" t="str">
        <f>VLOOKUP(A1046,[1]Kreise!$A$1:$C$53,3,FALSE)</f>
        <v>K030</v>
      </c>
      <c r="F1046">
        <f>'2020_B5'!K638</f>
        <v>0</v>
      </c>
    </row>
    <row r="1047" spans="1:6" x14ac:dyDescent="0.25">
      <c r="A1047">
        <f>'2020_B5'!A639</f>
        <v>0</v>
      </c>
      <c r="B1047">
        <f>'2020_B5'!$K$5</f>
        <v>2014</v>
      </c>
      <c r="C1047" t="str">
        <f>'2020_B5'!$G$6</f>
        <v>Deutsche</v>
      </c>
      <c r="D1047" t="s">
        <v>4</v>
      </c>
      <c r="E1047" t="str">
        <f>VLOOKUP(A1047,[1]Kreise!$A$1:$C$53,3,FALSE)</f>
        <v>K030</v>
      </c>
      <c r="F1047">
        <f>'2020_B5'!K639</f>
        <v>0</v>
      </c>
    </row>
    <row r="1048" spans="1:6" x14ac:dyDescent="0.25">
      <c r="A1048">
        <f>'2020_B5'!A640</f>
        <v>0</v>
      </c>
      <c r="B1048">
        <f>'2020_B5'!$K$5</f>
        <v>2014</v>
      </c>
      <c r="C1048" t="str">
        <f>'2020_B5'!$G$6</f>
        <v>Deutsche</v>
      </c>
      <c r="D1048" t="s">
        <v>4</v>
      </c>
      <c r="E1048" t="str">
        <f>VLOOKUP(A1048,[1]Kreise!$A$1:$C$53,3,FALSE)</f>
        <v>K030</v>
      </c>
      <c r="F1048">
        <f>'2020_B5'!K640</f>
        <v>0</v>
      </c>
    </row>
    <row r="1049" spans="1:6" x14ac:dyDescent="0.25">
      <c r="A1049">
        <f>'2020_B5'!A641</f>
        <v>0</v>
      </c>
      <c r="B1049">
        <f>'2020_B5'!$K$5</f>
        <v>2014</v>
      </c>
      <c r="C1049" t="str">
        <f>'2020_B5'!$G$6</f>
        <v>Deutsche</v>
      </c>
      <c r="D1049" t="s">
        <v>4</v>
      </c>
      <c r="E1049" t="str">
        <f>VLOOKUP(A1049,[1]Kreise!$A$1:$C$53,3,FALSE)</f>
        <v>K030</v>
      </c>
      <c r="F1049">
        <f>'2020_B5'!K641</f>
        <v>0</v>
      </c>
    </row>
    <row r="1050" spans="1:6" x14ac:dyDescent="0.25">
      <c r="A1050">
        <f>'2020_B5'!A642</f>
        <v>0</v>
      </c>
      <c r="B1050">
        <f>'2020_B5'!$K$5</f>
        <v>2014</v>
      </c>
      <c r="C1050" t="str">
        <f>'2020_B5'!$G$6</f>
        <v>Deutsche</v>
      </c>
      <c r="D1050" t="s">
        <v>4</v>
      </c>
      <c r="E1050" t="str">
        <f>VLOOKUP(A1050,[1]Kreise!$A$1:$C$53,3,FALSE)</f>
        <v>K030</v>
      </c>
      <c r="F1050">
        <f>'2020_B5'!K642</f>
        <v>0</v>
      </c>
    </row>
    <row r="1051" spans="1:6" x14ac:dyDescent="0.25">
      <c r="A1051">
        <f>'2020_B5'!A643</f>
        <v>0</v>
      </c>
      <c r="B1051">
        <f>'2020_B5'!$K$5</f>
        <v>2014</v>
      </c>
      <c r="C1051" t="str">
        <f>'2020_B5'!$G$6</f>
        <v>Deutsche</v>
      </c>
      <c r="D1051" t="s">
        <v>4</v>
      </c>
      <c r="E1051" t="str">
        <f>VLOOKUP(A1051,[1]Kreise!$A$1:$C$53,3,FALSE)</f>
        <v>K030</v>
      </c>
      <c r="F1051">
        <f>'2020_B5'!K643</f>
        <v>0</v>
      </c>
    </row>
    <row r="1052" spans="1:6" x14ac:dyDescent="0.25">
      <c r="A1052">
        <f>'2020_B5'!A644</f>
        <v>0</v>
      </c>
      <c r="B1052">
        <f>'2020_B5'!$K$5</f>
        <v>2014</v>
      </c>
      <c r="C1052" t="str">
        <f>'2020_B5'!$G$6</f>
        <v>Deutsche</v>
      </c>
      <c r="D1052" t="s">
        <v>4</v>
      </c>
      <c r="E1052" t="str">
        <f>VLOOKUP(A1052,[1]Kreise!$A$1:$C$53,3,FALSE)</f>
        <v>K030</v>
      </c>
      <c r="F1052">
        <f>'2020_B5'!K644</f>
        <v>0</v>
      </c>
    </row>
    <row r="1053" spans="1:6" x14ac:dyDescent="0.25">
      <c r="A1053">
        <f>'2020_B5'!A645</f>
        <v>0</v>
      </c>
      <c r="B1053">
        <f>'2020_B5'!$K$5</f>
        <v>2014</v>
      </c>
      <c r="C1053" t="str">
        <f>'2020_B5'!$G$6</f>
        <v>Deutsche</v>
      </c>
      <c r="D1053" t="s">
        <v>4</v>
      </c>
      <c r="E1053" t="str">
        <f>VLOOKUP(A1053,[1]Kreise!$A$1:$C$53,3,FALSE)</f>
        <v>K030</v>
      </c>
      <c r="F1053">
        <f>'2020_B5'!K645</f>
        <v>0</v>
      </c>
    </row>
    <row r="1054" spans="1:6" x14ac:dyDescent="0.25">
      <c r="A1054">
        <f>'2020_B5'!A646</f>
        <v>0</v>
      </c>
      <c r="B1054">
        <f>'2020_B5'!$K$5</f>
        <v>2014</v>
      </c>
      <c r="C1054" t="str">
        <f>'2020_B5'!$G$6</f>
        <v>Deutsche</v>
      </c>
      <c r="D1054" t="s">
        <v>4</v>
      </c>
      <c r="E1054" t="str">
        <f>VLOOKUP(A1054,[1]Kreise!$A$1:$C$53,3,FALSE)</f>
        <v>K030</v>
      </c>
      <c r="F1054">
        <f>'2020_B5'!K646</f>
        <v>0</v>
      </c>
    </row>
    <row r="1055" spans="1:6" x14ac:dyDescent="0.25">
      <c r="A1055">
        <f>'2020_B5'!A647</f>
        <v>0</v>
      </c>
      <c r="B1055">
        <f>'2020_B5'!$K$5</f>
        <v>2014</v>
      </c>
      <c r="C1055" t="str">
        <f>'2020_B5'!$G$6</f>
        <v>Deutsche</v>
      </c>
      <c r="D1055" t="s">
        <v>4</v>
      </c>
      <c r="E1055" t="str">
        <f>VLOOKUP(A1055,[1]Kreise!$A$1:$C$53,3,FALSE)</f>
        <v>K030</v>
      </c>
      <c r="F1055">
        <f>'2020_B5'!K647</f>
        <v>0</v>
      </c>
    </row>
    <row r="1056" spans="1:6" x14ac:dyDescent="0.25">
      <c r="A1056">
        <f>'2020_B5'!A648</f>
        <v>0</v>
      </c>
      <c r="B1056">
        <f>'2020_B5'!$K$5</f>
        <v>2014</v>
      </c>
      <c r="C1056" t="str">
        <f>'2020_B5'!$G$6</f>
        <v>Deutsche</v>
      </c>
      <c r="D1056" t="s">
        <v>4</v>
      </c>
      <c r="E1056" t="str">
        <f>VLOOKUP(A1056,[1]Kreise!$A$1:$C$53,3,FALSE)</f>
        <v>K030</v>
      </c>
      <c r="F1056">
        <f>'2020_B5'!K648</f>
        <v>0</v>
      </c>
    </row>
    <row r="1057" spans="1:6" x14ac:dyDescent="0.25">
      <c r="A1057">
        <f>'2020_B5'!A649</f>
        <v>0</v>
      </c>
      <c r="B1057">
        <f>'2020_B5'!$K$5</f>
        <v>2014</v>
      </c>
      <c r="C1057" t="str">
        <f>'2020_B5'!$G$6</f>
        <v>Deutsche</v>
      </c>
      <c r="D1057" t="s">
        <v>4</v>
      </c>
      <c r="E1057" t="str">
        <f>VLOOKUP(A1057,[1]Kreise!$A$1:$C$53,3,FALSE)</f>
        <v>K030</v>
      </c>
      <c r="F1057">
        <f>'2020_B5'!K649</f>
        <v>0</v>
      </c>
    </row>
    <row r="1058" spans="1:6" x14ac:dyDescent="0.25">
      <c r="A1058">
        <f>'2020_B5'!A650</f>
        <v>0</v>
      </c>
      <c r="B1058">
        <f>'2020_B5'!$K$5</f>
        <v>2014</v>
      </c>
      <c r="C1058" t="str">
        <f>'2020_B5'!$G$6</f>
        <v>Deutsche</v>
      </c>
      <c r="D1058" t="s">
        <v>4</v>
      </c>
      <c r="E1058" t="str">
        <f>VLOOKUP(A1058,[1]Kreise!$A$1:$C$53,3,FALSE)</f>
        <v>K030</v>
      </c>
      <c r="F1058">
        <f>'2020_B5'!K650</f>
        <v>0</v>
      </c>
    </row>
    <row r="1059" spans="1:6" x14ac:dyDescent="0.25">
      <c r="A1059">
        <f>'2020_B5'!A651</f>
        <v>0</v>
      </c>
      <c r="B1059">
        <f>'2020_B5'!$K$5</f>
        <v>2014</v>
      </c>
      <c r="C1059" t="str">
        <f>'2020_B5'!$G$6</f>
        <v>Deutsche</v>
      </c>
      <c r="D1059" t="s">
        <v>4</v>
      </c>
      <c r="E1059" t="str">
        <f>VLOOKUP(A1059,[1]Kreise!$A$1:$C$53,3,FALSE)</f>
        <v>K030</v>
      </c>
      <c r="F1059">
        <f>'2020_B5'!K651</f>
        <v>0</v>
      </c>
    </row>
    <row r="1060" spans="1:6" x14ac:dyDescent="0.25">
      <c r="A1060">
        <f>'2020_B5'!A652</f>
        <v>0</v>
      </c>
      <c r="B1060">
        <f>'2020_B5'!$K$5</f>
        <v>2014</v>
      </c>
      <c r="C1060" t="str">
        <f>'2020_B5'!$G$6</f>
        <v>Deutsche</v>
      </c>
      <c r="D1060" t="s">
        <v>4</v>
      </c>
      <c r="E1060" t="str">
        <f>VLOOKUP(A1060,[1]Kreise!$A$1:$C$53,3,FALSE)</f>
        <v>K030</v>
      </c>
      <c r="F1060">
        <f>'2020_B5'!K652</f>
        <v>0</v>
      </c>
    </row>
    <row r="1061" spans="1:6" x14ac:dyDescent="0.25">
      <c r="A1061">
        <f>'2020_B5'!A653</f>
        <v>0</v>
      </c>
      <c r="B1061">
        <f>'2020_B5'!$K$5</f>
        <v>2014</v>
      </c>
      <c r="C1061" t="str">
        <f>'2020_B5'!$G$6</f>
        <v>Deutsche</v>
      </c>
      <c r="D1061" t="s">
        <v>4</v>
      </c>
      <c r="E1061" t="str">
        <f>VLOOKUP(A1061,[1]Kreise!$A$1:$C$53,3,FALSE)</f>
        <v>K030</v>
      </c>
      <c r="F1061">
        <f>'2020_B5'!K653</f>
        <v>0</v>
      </c>
    </row>
    <row r="1062" spans="1:6" x14ac:dyDescent="0.25">
      <c r="A1062">
        <f>'2020_B5'!A654</f>
        <v>0</v>
      </c>
      <c r="B1062">
        <f>'2020_B5'!$K$5</f>
        <v>2014</v>
      </c>
      <c r="C1062" t="str">
        <f>'2020_B5'!$G$6</f>
        <v>Deutsche</v>
      </c>
      <c r="D1062" t="s">
        <v>4</v>
      </c>
      <c r="E1062" t="str">
        <f>VLOOKUP(A1062,[1]Kreise!$A$1:$C$53,3,FALSE)</f>
        <v>K030</v>
      </c>
      <c r="F1062">
        <f>'2020_B5'!K654</f>
        <v>0</v>
      </c>
    </row>
    <row r="1063" spans="1:6" x14ac:dyDescent="0.25">
      <c r="A1063">
        <f>'2020_B5'!A655</f>
        <v>0</v>
      </c>
      <c r="B1063">
        <f>'2020_B5'!$K$5</f>
        <v>2014</v>
      </c>
      <c r="C1063" t="str">
        <f>'2020_B5'!$G$6</f>
        <v>Deutsche</v>
      </c>
      <c r="D1063" t="s">
        <v>4</v>
      </c>
      <c r="E1063" t="str">
        <f>VLOOKUP(A1063,[1]Kreise!$A$1:$C$53,3,FALSE)</f>
        <v>K030</v>
      </c>
      <c r="F1063">
        <f>'2020_B5'!K655</f>
        <v>0</v>
      </c>
    </row>
    <row r="1064" spans="1:6" x14ac:dyDescent="0.25">
      <c r="A1064">
        <f>'2020_B5'!A656</f>
        <v>0</v>
      </c>
      <c r="B1064">
        <f>'2020_B5'!$K$5</f>
        <v>2014</v>
      </c>
      <c r="C1064" t="str">
        <f>'2020_B5'!$G$6</f>
        <v>Deutsche</v>
      </c>
      <c r="D1064" t="s">
        <v>4</v>
      </c>
      <c r="E1064" t="str">
        <f>VLOOKUP(A1064,[1]Kreise!$A$1:$C$53,3,FALSE)</f>
        <v>K030</v>
      </c>
      <c r="F1064">
        <f>'2020_B5'!K656</f>
        <v>0</v>
      </c>
    </row>
    <row r="1065" spans="1:6" x14ac:dyDescent="0.25">
      <c r="A1065">
        <f>'2020_B5'!A657</f>
        <v>0</v>
      </c>
      <c r="B1065">
        <f>'2020_B5'!$K$5</f>
        <v>2014</v>
      </c>
      <c r="C1065" t="str">
        <f>'2020_B5'!$G$6</f>
        <v>Deutsche</v>
      </c>
      <c r="D1065" t="s">
        <v>4</v>
      </c>
      <c r="E1065" t="str">
        <f>VLOOKUP(A1065,[1]Kreise!$A$1:$C$53,3,FALSE)</f>
        <v>K030</v>
      </c>
      <c r="F1065">
        <f>'2020_B5'!K657</f>
        <v>0</v>
      </c>
    </row>
    <row r="1066" spans="1:6" x14ac:dyDescent="0.25">
      <c r="A1066">
        <f>'2020_B5'!A658</f>
        <v>0</v>
      </c>
      <c r="B1066">
        <f>'2020_B5'!$K$5</f>
        <v>2014</v>
      </c>
      <c r="C1066" t="str">
        <f>'2020_B5'!$G$6</f>
        <v>Deutsche</v>
      </c>
      <c r="D1066" t="s">
        <v>4</v>
      </c>
      <c r="E1066" t="str">
        <f>VLOOKUP(A1066,[1]Kreise!$A$1:$C$53,3,FALSE)</f>
        <v>K030</v>
      </c>
      <c r="F1066">
        <f>'2020_B5'!K658</f>
        <v>0</v>
      </c>
    </row>
    <row r="1067" spans="1:6" x14ac:dyDescent="0.25">
      <c r="A1067">
        <f>'2020_B5'!A659</f>
        <v>0</v>
      </c>
      <c r="B1067">
        <f>'2020_B5'!$K$5</f>
        <v>2014</v>
      </c>
      <c r="C1067" t="str">
        <f>'2020_B5'!$G$6</f>
        <v>Deutsche</v>
      </c>
      <c r="D1067" t="s">
        <v>4</v>
      </c>
      <c r="E1067" t="str">
        <f>VLOOKUP(A1067,[1]Kreise!$A$1:$C$53,3,FALSE)</f>
        <v>K030</v>
      </c>
      <c r="F1067">
        <f>'2020_B5'!K659</f>
        <v>0</v>
      </c>
    </row>
    <row r="1068" spans="1:6" x14ac:dyDescent="0.25">
      <c r="A1068">
        <f>'2020_B5'!A660</f>
        <v>0</v>
      </c>
      <c r="B1068">
        <f>'2020_B5'!$K$5</f>
        <v>2014</v>
      </c>
      <c r="C1068" t="str">
        <f>'2020_B5'!$G$6</f>
        <v>Deutsche</v>
      </c>
      <c r="D1068" t="s">
        <v>4</v>
      </c>
      <c r="E1068" t="str">
        <f>VLOOKUP(A1068,[1]Kreise!$A$1:$C$53,3,FALSE)</f>
        <v>K030</v>
      </c>
      <c r="F1068">
        <f>'2020_B5'!K660</f>
        <v>0</v>
      </c>
    </row>
    <row r="1069" spans="1:6" x14ac:dyDescent="0.25">
      <c r="A1069">
        <f>'2020_B5'!A661</f>
        <v>0</v>
      </c>
      <c r="B1069">
        <f>'2020_B5'!$K$5</f>
        <v>2014</v>
      </c>
      <c r="C1069" t="str">
        <f>'2020_B5'!$G$6</f>
        <v>Deutsche</v>
      </c>
      <c r="D1069" t="s">
        <v>4</v>
      </c>
      <c r="E1069" t="str">
        <f>VLOOKUP(A1069,[1]Kreise!$A$1:$C$53,3,FALSE)</f>
        <v>K030</v>
      </c>
      <c r="F1069">
        <f>'2020_B5'!K661</f>
        <v>0</v>
      </c>
    </row>
    <row r="1070" spans="1:6" x14ac:dyDescent="0.25">
      <c r="A1070">
        <f>'2020_B5'!A662</f>
        <v>0</v>
      </c>
      <c r="B1070">
        <f>'2020_B5'!$K$5</f>
        <v>2014</v>
      </c>
      <c r="C1070" t="str">
        <f>'2020_B5'!$G$6</f>
        <v>Deutsche</v>
      </c>
      <c r="D1070" t="s">
        <v>4</v>
      </c>
      <c r="E1070" t="str">
        <f>VLOOKUP(A1070,[1]Kreise!$A$1:$C$53,3,FALSE)</f>
        <v>K030</v>
      </c>
      <c r="F1070">
        <f>'2020_B5'!K662</f>
        <v>0</v>
      </c>
    </row>
    <row r="1071" spans="1:6" x14ac:dyDescent="0.25">
      <c r="A1071">
        <f>'2020_B5'!A663</f>
        <v>0</v>
      </c>
      <c r="B1071">
        <f>'2020_B5'!$K$5</f>
        <v>2014</v>
      </c>
      <c r="C1071" t="str">
        <f>'2020_B5'!$G$6</f>
        <v>Deutsche</v>
      </c>
      <c r="D1071" t="s">
        <v>4</v>
      </c>
      <c r="E1071" t="str">
        <f>VLOOKUP(A1071,[1]Kreise!$A$1:$C$53,3,FALSE)</f>
        <v>K030</v>
      </c>
      <c r="F1071">
        <f>'2020_B5'!K663</f>
        <v>0</v>
      </c>
    </row>
    <row r="1072" spans="1:6" x14ac:dyDescent="0.25">
      <c r="A1072">
        <f>'2020_B5'!A664</f>
        <v>0</v>
      </c>
      <c r="B1072">
        <f>'2020_B5'!$K$5</f>
        <v>2014</v>
      </c>
      <c r="C1072" t="str">
        <f>'2020_B5'!$G$6</f>
        <v>Deutsche</v>
      </c>
      <c r="D1072" t="s">
        <v>4</v>
      </c>
      <c r="E1072" t="str">
        <f>VLOOKUP(A1072,[1]Kreise!$A$1:$C$53,3,FALSE)</f>
        <v>K030</v>
      </c>
      <c r="F1072">
        <f>'2020_B5'!K664</f>
        <v>0</v>
      </c>
    </row>
    <row r="1073" spans="1:6" x14ac:dyDescent="0.25">
      <c r="A1073">
        <f>'2020_B5'!A665</f>
        <v>0</v>
      </c>
      <c r="B1073">
        <f>'2020_B5'!$K$5</f>
        <v>2014</v>
      </c>
      <c r="C1073" t="str">
        <f>'2020_B5'!$G$6</f>
        <v>Deutsche</v>
      </c>
      <c r="D1073" t="s">
        <v>4</v>
      </c>
      <c r="E1073" t="str">
        <f>VLOOKUP(A1073,[1]Kreise!$A$1:$C$53,3,FALSE)</f>
        <v>K030</v>
      </c>
      <c r="F1073">
        <f>'2020_B5'!K665</f>
        <v>0</v>
      </c>
    </row>
    <row r="1074" spans="1:6" x14ac:dyDescent="0.25">
      <c r="A1074">
        <f>'2020_B5'!A666</f>
        <v>0</v>
      </c>
      <c r="B1074">
        <f>'2020_B5'!$K$5</f>
        <v>2014</v>
      </c>
      <c r="C1074" t="str">
        <f>'2020_B5'!$G$6</f>
        <v>Deutsche</v>
      </c>
      <c r="D1074" t="s">
        <v>4</v>
      </c>
      <c r="E1074" t="str">
        <f>VLOOKUP(A1074,[1]Kreise!$A$1:$C$53,3,FALSE)</f>
        <v>K030</v>
      </c>
      <c r="F1074">
        <f>'2020_B5'!K666</f>
        <v>0</v>
      </c>
    </row>
    <row r="1075" spans="1:6" x14ac:dyDescent="0.25">
      <c r="A1075">
        <f>'2020_B5'!A667</f>
        <v>0</v>
      </c>
      <c r="B1075">
        <f>'2020_B5'!$K$5</f>
        <v>2014</v>
      </c>
      <c r="C1075" t="str">
        <f>'2020_B5'!$G$6</f>
        <v>Deutsche</v>
      </c>
      <c r="D1075" t="s">
        <v>4</v>
      </c>
      <c r="E1075" t="str">
        <f>VLOOKUP(A1075,[1]Kreise!$A$1:$C$53,3,FALSE)</f>
        <v>K030</v>
      </c>
      <c r="F1075">
        <f>'2020_B5'!K667</f>
        <v>0</v>
      </c>
    </row>
    <row r="1076" spans="1:6" x14ac:dyDescent="0.25">
      <c r="A1076">
        <f>'2020_B5'!A668</f>
        <v>0</v>
      </c>
      <c r="B1076">
        <f>'2020_B5'!$K$5</f>
        <v>2014</v>
      </c>
      <c r="C1076" t="str">
        <f>'2020_B5'!$G$6</f>
        <v>Deutsche</v>
      </c>
      <c r="D1076" t="s">
        <v>4</v>
      </c>
      <c r="E1076" t="str">
        <f>VLOOKUP(A1076,[1]Kreise!$A$1:$C$53,3,FALSE)</f>
        <v>K030</v>
      </c>
      <c r="F1076">
        <f>'2020_B5'!K668</f>
        <v>0</v>
      </c>
    </row>
    <row r="1077" spans="1:6" x14ac:dyDescent="0.25">
      <c r="A1077">
        <f>'2020_B5'!A669</f>
        <v>0</v>
      </c>
      <c r="B1077">
        <f>'2020_B5'!$K$5</f>
        <v>2014</v>
      </c>
      <c r="C1077" t="str">
        <f>'2020_B5'!$G$6</f>
        <v>Deutsche</v>
      </c>
      <c r="D1077" t="s">
        <v>4</v>
      </c>
      <c r="E1077" t="str">
        <f>VLOOKUP(A1077,[1]Kreise!$A$1:$C$53,3,FALSE)</f>
        <v>K030</v>
      </c>
      <c r="F1077">
        <f>'2020_B5'!K669</f>
        <v>0</v>
      </c>
    </row>
    <row r="1078" spans="1:6" x14ac:dyDescent="0.25">
      <c r="A1078">
        <f>'2020_B5'!A670</f>
        <v>0</v>
      </c>
      <c r="B1078">
        <f>'2020_B5'!$K$5</f>
        <v>2014</v>
      </c>
      <c r="C1078" t="str">
        <f>'2020_B5'!$G$6</f>
        <v>Deutsche</v>
      </c>
      <c r="D1078" t="s">
        <v>4</v>
      </c>
      <c r="E1078" t="str">
        <f>VLOOKUP(A1078,[1]Kreise!$A$1:$C$53,3,FALSE)</f>
        <v>K030</v>
      </c>
      <c r="F1078">
        <f>'2020_B5'!K670</f>
        <v>0</v>
      </c>
    </row>
    <row r="1079" spans="1:6" x14ac:dyDescent="0.25">
      <c r="A1079">
        <f>'2020_B5'!A671</f>
        <v>0</v>
      </c>
      <c r="B1079">
        <f>'2020_B5'!$K$5</f>
        <v>2014</v>
      </c>
      <c r="C1079" t="str">
        <f>'2020_B5'!$G$6</f>
        <v>Deutsche</v>
      </c>
      <c r="D1079" t="s">
        <v>4</v>
      </c>
      <c r="E1079" t="str">
        <f>VLOOKUP(A1079,[1]Kreise!$A$1:$C$53,3,FALSE)</f>
        <v>K030</v>
      </c>
      <c r="F1079">
        <f>'2020_B5'!K671</f>
        <v>0</v>
      </c>
    </row>
    <row r="1080" spans="1:6" x14ac:dyDescent="0.25">
      <c r="A1080">
        <f>'2020_B5'!A672</f>
        <v>0</v>
      </c>
      <c r="B1080">
        <f>'2020_B5'!$K$5</f>
        <v>2014</v>
      </c>
      <c r="C1080" t="str">
        <f>'2020_B5'!$G$6</f>
        <v>Deutsche</v>
      </c>
      <c r="D1080" t="s">
        <v>4</v>
      </c>
      <c r="E1080" t="str">
        <f>VLOOKUP(A1080,[1]Kreise!$A$1:$C$53,3,FALSE)</f>
        <v>K030</v>
      </c>
      <c r="F1080">
        <f>'2020_B5'!K672</f>
        <v>0</v>
      </c>
    </row>
    <row r="1081" spans="1:6" x14ac:dyDescent="0.25">
      <c r="A1081">
        <f>'2020_B5'!A673</f>
        <v>0</v>
      </c>
      <c r="B1081">
        <f>'2020_B5'!$K$5</f>
        <v>2014</v>
      </c>
      <c r="C1081" t="str">
        <f>'2020_B5'!$G$6</f>
        <v>Deutsche</v>
      </c>
      <c r="D1081" t="s">
        <v>4</v>
      </c>
      <c r="E1081" t="str">
        <f>VLOOKUP(A1081,[1]Kreise!$A$1:$C$53,3,FALSE)</f>
        <v>K030</v>
      </c>
      <c r="F1081">
        <f>'2020_B5'!K673</f>
        <v>0</v>
      </c>
    </row>
    <row r="1082" spans="1:6" x14ac:dyDescent="0.25">
      <c r="A1082">
        <f>'2020_B5'!A674</f>
        <v>0</v>
      </c>
      <c r="B1082">
        <f>'2020_B5'!$K$5</f>
        <v>2014</v>
      </c>
      <c r="C1082" t="str">
        <f>'2020_B5'!$G$6</f>
        <v>Deutsche</v>
      </c>
      <c r="D1082" t="s">
        <v>4</v>
      </c>
      <c r="E1082" t="str">
        <f>VLOOKUP(A1082,[1]Kreise!$A$1:$C$53,3,FALSE)</f>
        <v>K030</v>
      </c>
      <c r="F1082">
        <f>'2020_B5'!K674</f>
        <v>0</v>
      </c>
    </row>
    <row r="1083" spans="1:6" x14ac:dyDescent="0.25">
      <c r="A1083">
        <f>'2020_B5'!A675</f>
        <v>0</v>
      </c>
      <c r="B1083">
        <f>'2020_B5'!$K$5</f>
        <v>2014</v>
      </c>
      <c r="C1083" t="str">
        <f>'2020_B5'!$G$6</f>
        <v>Deutsche</v>
      </c>
      <c r="D1083" t="s">
        <v>4</v>
      </c>
      <c r="E1083" t="str">
        <f>VLOOKUP(A1083,[1]Kreise!$A$1:$C$53,3,FALSE)</f>
        <v>K030</v>
      </c>
      <c r="F1083">
        <f>'2020_B5'!K675</f>
        <v>0</v>
      </c>
    </row>
    <row r="1084" spans="1:6" x14ac:dyDescent="0.25">
      <c r="A1084">
        <f>'2020_B5'!A676</f>
        <v>0</v>
      </c>
      <c r="B1084">
        <f>'2020_B5'!$K$5</f>
        <v>2014</v>
      </c>
      <c r="C1084" t="str">
        <f>'2020_B5'!$G$6</f>
        <v>Deutsche</v>
      </c>
      <c r="D1084" t="s">
        <v>4</v>
      </c>
      <c r="E1084" t="str">
        <f>VLOOKUP(A1084,[1]Kreise!$A$1:$C$53,3,FALSE)</f>
        <v>K030</v>
      </c>
      <c r="F1084">
        <f>'2020_B5'!K676</f>
        <v>0</v>
      </c>
    </row>
    <row r="1085" spans="1:6" x14ac:dyDescent="0.25">
      <c r="A1085">
        <f>'2020_B5'!A677</f>
        <v>0</v>
      </c>
      <c r="B1085">
        <f>'2020_B5'!$K$5</f>
        <v>2014</v>
      </c>
      <c r="C1085" t="str">
        <f>'2020_B5'!$G$6</f>
        <v>Deutsche</v>
      </c>
      <c r="D1085" t="s">
        <v>4</v>
      </c>
      <c r="E1085" t="str">
        <f>VLOOKUP(A1085,[1]Kreise!$A$1:$C$53,3,FALSE)</f>
        <v>K030</v>
      </c>
      <c r="F1085">
        <f>'2020_B5'!K677</f>
        <v>0</v>
      </c>
    </row>
    <row r="1086" spans="1:6" x14ac:dyDescent="0.25">
      <c r="A1086">
        <f>'2020_B5'!A678</f>
        <v>0</v>
      </c>
      <c r="B1086">
        <f>'2020_B5'!$K$5</f>
        <v>2014</v>
      </c>
      <c r="C1086" t="str">
        <f>'2020_B5'!$G$6</f>
        <v>Deutsche</v>
      </c>
      <c r="D1086" t="s">
        <v>4</v>
      </c>
      <c r="E1086" t="str">
        <f>VLOOKUP(A1086,[1]Kreise!$A$1:$C$53,3,FALSE)</f>
        <v>K030</v>
      </c>
      <c r="F1086">
        <f>'2020_B5'!K678</f>
        <v>0</v>
      </c>
    </row>
    <row r="1087" spans="1:6" x14ac:dyDescent="0.25">
      <c r="A1087">
        <f>'2020_B5'!A679</f>
        <v>0</v>
      </c>
      <c r="B1087">
        <f>'2020_B5'!$K$5</f>
        <v>2014</v>
      </c>
      <c r="C1087" t="str">
        <f>'2020_B5'!$G$6</f>
        <v>Deutsche</v>
      </c>
      <c r="D1087" t="s">
        <v>4</v>
      </c>
      <c r="E1087" t="str">
        <f>VLOOKUP(A1087,[1]Kreise!$A$1:$C$53,3,FALSE)</f>
        <v>K030</v>
      </c>
      <c r="F1087">
        <f>'2020_B5'!K679</f>
        <v>0</v>
      </c>
    </row>
    <row r="1088" spans="1:6" x14ac:dyDescent="0.25">
      <c r="A1088">
        <f>'2020_B5'!A680</f>
        <v>0</v>
      </c>
      <c r="B1088">
        <f>'2020_B5'!$K$5</f>
        <v>2014</v>
      </c>
      <c r="C1088" t="str">
        <f>'2020_B5'!$G$6</f>
        <v>Deutsche</v>
      </c>
      <c r="D1088" t="s">
        <v>4</v>
      </c>
      <c r="E1088" t="str">
        <f>VLOOKUP(A1088,[1]Kreise!$A$1:$C$53,3,FALSE)</f>
        <v>K030</v>
      </c>
      <c r="F1088">
        <f>'2020_B5'!K680</f>
        <v>0</v>
      </c>
    </row>
    <row r="1089" spans="1:6" x14ac:dyDescent="0.25">
      <c r="A1089">
        <f>'2020_B5'!A681</f>
        <v>0</v>
      </c>
      <c r="B1089">
        <f>'2020_B5'!$K$5</f>
        <v>2014</v>
      </c>
      <c r="C1089" t="str">
        <f>'2020_B5'!$G$6</f>
        <v>Deutsche</v>
      </c>
      <c r="D1089" t="s">
        <v>4</v>
      </c>
      <c r="E1089" t="str">
        <f>VLOOKUP(A1089,[1]Kreise!$A$1:$C$53,3,FALSE)</f>
        <v>K030</v>
      </c>
      <c r="F1089">
        <f>'2020_B5'!K681</f>
        <v>0</v>
      </c>
    </row>
    <row r="1090" spans="1:6" x14ac:dyDescent="0.25">
      <c r="A1090">
        <f>'2020_B5'!A682</f>
        <v>0</v>
      </c>
      <c r="B1090">
        <f>'2020_B5'!$K$5</f>
        <v>2014</v>
      </c>
      <c r="C1090" t="str">
        <f>'2020_B5'!$G$6</f>
        <v>Deutsche</v>
      </c>
      <c r="D1090" t="s">
        <v>4</v>
      </c>
      <c r="E1090" t="str">
        <f>VLOOKUP(A1090,[1]Kreise!$A$1:$C$53,3,FALSE)</f>
        <v>K030</v>
      </c>
      <c r="F1090">
        <f>'2020_B5'!K682</f>
        <v>0</v>
      </c>
    </row>
    <row r="1091" spans="1:6" x14ac:dyDescent="0.25">
      <c r="A1091">
        <f>'2020_B5'!A683</f>
        <v>0</v>
      </c>
      <c r="B1091">
        <f>'2020_B5'!$K$5</f>
        <v>2014</v>
      </c>
      <c r="C1091" t="str">
        <f>'2020_B5'!$G$6</f>
        <v>Deutsche</v>
      </c>
      <c r="D1091" t="s">
        <v>4</v>
      </c>
      <c r="E1091" t="str">
        <f>VLOOKUP(A1091,[1]Kreise!$A$1:$C$53,3,FALSE)</f>
        <v>K030</v>
      </c>
      <c r="F1091">
        <f>'2020_B5'!K683</f>
        <v>0</v>
      </c>
    </row>
    <row r="1092" spans="1:6" x14ac:dyDescent="0.25">
      <c r="A1092">
        <f>'2020_B5'!A684</f>
        <v>0</v>
      </c>
      <c r="B1092">
        <f>'2020_B5'!$K$5</f>
        <v>2014</v>
      </c>
      <c r="C1092" t="str">
        <f>'2020_B5'!$G$6</f>
        <v>Deutsche</v>
      </c>
      <c r="D1092" t="s">
        <v>4</v>
      </c>
      <c r="E1092" t="str">
        <f>VLOOKUP(A1092,[1]Kreise!$A$1:$C$53,3,FALSE)</f>
        <v>K030</v>
      </c>
      <c r="F1092">
        <f>'2020_B5'!K684</f>
        <v>0</v>
      </c>
    </row>
    <row r="1093" spans="1:6" x14ac:dyDescent="0.25">
      <c r="A1093">
        <f>'2020_B5'!A633</f>
        <v>0</v>
      </c>
      <c r="B1093">
        <f>'2020_B5'!$K$5</f>
        <v>2014</v>
      </c>
      <c r="C1093" t="str">
        <f>'2020_B5'!$L$6</f>
        <v>Ausländerinnen und Ausländer</v>
      </c>
      <c r="D1093" t="s">
        <v>4</v>
      </c>
      <c r="E1093" t="str">
        <f>VLOOKUP(A1093,[1]Kreise!$A$1:$C$53,3,FALSE)</f>
        <v>K030</v>
      </c>
      <c r="F1093">
        <f>'2020_B5'!L633</f>
        <v>0</v>
      </c>
    </row>
    <row r="1094" spans="1:6" x14ac:dyDescent="0.25">
      <c r="A1094">
        <f>'2020_B5'!A634</f>
        <v>0</v>
      </c>
      <c r="B1094">
        <f>'2020_B5'!$K$5</f>
        <v>2014</v>
      </c>
      <c r="C1094" t="str">
        <f>'2020_B5'!$L$6</f>
        <v>Ausländerinnen und Ausländer</v>
      </c>
      <c r="D1094" t="s">
        <v>4</v>
      </c>
      <c r="E1094" t="str">
        <f>VLOOKUP(A1094,[1]Kreise!$A$1:$C$53,3,FALSE)</f>
        <v>K030</v>
      </c>
      <c r="F1094">
        <f>'2020_B5'!L634</f>
        <v>0</v>
      </c>
    </row>
    <row r="1095" spans="1:6" x14ac:dyDescent="0.25">
      <c r="A1095">
        <f>'2020_B5'!A635</f>
        <v>0</v>
      </c>
      <c r="B1095">
        <f>'2020_B5'!$K$5</f>
        <v>2014</v>
      </c>
      <c r="C1095" t="str">
        <f>'2020_B5'!$L$6</f>
        <v>Ausländerinnen und Ausländer</v>
      </c>
      <c r="D1095" t="s">
        <v>4</v>
      </c>
      <c r="E1095" t="str">
        <f>VLOOKUP(A1095,[1]Kreise!$A$1:$C$53,3,FALSE)</f>
        <v>K030</v>
      </c>
      <c r="F1095">
        <f>'2020_B5'!L635</f>
        <v>0</v>
      </c>
    </row>
    <row r="1096" spans="1:6" x14ac:dyDescent="0.25">
      <c r="A1096">
        <f>'2020_B5'!A636</f>
        <v>0</v>
      </c>
      <c r="B1096">
        <f>'2020_B5'!$K$5</f>
        <v>2014</v>
      </c>
      <c r="C1096" t="str">
        <f>'2020_B5'!$L$6</f>
        <v>Ausländerinnen und Ausländer</v>
      </c>
      <c r="D1096" t="s">
        <v>4</v>
      </c>
      <c r="E1096" t="str">
        <f>VLOOKUP(A1096,[1]Kreise!$A$1:$C$53,3,FALSE)</f>
        <v>K030</v>
      </c>
      <c r="F1096">
        <f>'2020_B5'!L636</f>
        <v>0</v>
      </c>
    </row>
    <row r="1097" spans="1:6" x14ac:dyDescent="0.25">
      <c r="A1097">
        <f>'2020_B5'!A637</f>
        <v>0</v>
      </c>
      <c r="B1097">
        <f>'2020_B5'!$K$5</f>
        <v>2014</v>
      </c>
      <c r="C1097" t="str">
        <f>'2020_B5'!$L$6</f>
        <v>Ausländerinnen und Ausländer</v>
      </c>
      <c r="D1097" t="s">
        <v>4</v>
      </c>
      <c r="E1097" t="str">
        <f>VLOOKUP(A1097,[1]Kreise!$A$1:$C$53,3,FALSE)</f>
        <v>K030</v>
      </c>
      <c r="F1097">
        <f>'2020_B5'!L637</f>
        <v>0</v>
      </c>
    </row>
    <row r="1098" spans="1:6" x14ac:dyDescent="0.25">
      <c r="A1098">
        <f>'2020_B5'!A638</f>
        <v>0</v>
      </c>
      <c r="B1098">
        <f>'2020_B5'!$K$5</f>
        <v>2014</v>
      </c>
      <c r="C1098" t="str">
        <f>'2020_B5'!$L$6</f>
        <v>Ausländerinnen und Ausländer</v>
      </c>
      <c r="D1098" t="s">
        <v>4</v>
      </c>
      <c r="E1098" t="str">
        <f>VLOOKUP(A1098,[1]Kreise!$A$1:$C$53,3,FALSE)</f>
        <v>K030</v>
      </c>
      <c r="F1098">
        <f>'2020_B5'!L638</f>
        <v>0</v>
      </c>
    </row>
    <row r="1099" spans="1:6" x14ac:dyDescent="0.25">
      <c r="A1099">
        <f>'2020_B5'!A639</f>
        <v>0</v>
      </c>
      <c r="B1099">
        <f>'2020_B5'!$K$5</f>
        <v>2014</v>
      </c>
      <c r="C1099" t="str">
        <f>'2020_B5'!$L$6</f>
        <v>Ausländerinnen und Ausländer</v>
      </c>
      <c r="D1099" t="s">
        <v>4</v>
      </c>
      <c r="E1099" t="str">
        <f>VLOOKUP(A1099,[1]Kreise!$A$1:$C$53,3,FALSE)</f>
        <v>K030</v>
      </c>
      <c r="F1099">
        <f>'2020_B5'!L639</f>
        <v>0</v>
      </c>
    </row>
    <row r="1100" spans="1:6" x14ac:dyDescent="0.25">
      <c r="A1100">
        <f>'2020_B5'!A640</f>
        <v>0</v>
      </c>
      <c r="B1100">
        <f>'2020_B5'!$K$5</f>
        <v>2014</v>
      </c>
      <c r="C1100" t="str">
        <f>'2020_B5'!$L$6</f>
        <v>Ausländerinnen und Ausländer</v>
      </c>
      <c r="D1100" t="s">
        <v>4</v>
      </c>
      <c r="E1100" t="str">
        <f>VLOOKUP(A1100,[1]Kreise!$A$1:$C$53,3,FALSE)</f>
        <v>K030</v>
      </c>
      <c r="F1100">
        <f>'2020_B5'!L640</f>
        <v>0</v>
      </c>
    </row>
    <row r="1101" spans="1:6" x14ac:dyDescent="0.25">
      <c r="A1101">
        <f>'2020_B5'!A641</f>
        <v>0</v>
      </c>
      <c r="B1101">
        <f>'2020_B5'!$K$5</f>
        <v>2014</v>
      </c>
      <c r="C1101" t="str">
        <f>'2020_B5'!$L$6</f>
        <v>Ausländerinnen und Ausländer</v>
      </c>
      <c r="D1101" t="s">
        <v>4</v>
      </c>
      <c r="E1101" t="str">
        <f>VLOOKUP(A1101,[1]Kreise!$A$1:$C$53,3,FALSE)</f>
        <v>K030</v>
      </c>
      <c r="F1101">
        <f>'2020_B5'!L641</f>
        <v>0</v>
      </c>
    </row>
    <row r="1102" spans="1:6" x14ac:dyDescent="0.25">
      <c r="A1102">
        <f>'2020_B5'!A642</f>
        <v>0</v>
      </c>
      <c r="B1102">
        <f>'2020_B5'!$K$5</f>
        <v>2014</v>
      </c>
      <c r="C1102" t="str">
        <f>'2020_B5'!$L$6</f>
        <v>Ausländerinnen und Ausländer</v>
      </c>
      <c r="D1102" t="s">
        <v>4</v>
      </c>
      <c r="E1102" t="str">
        <f>VLOOKUP(A1102,[1]Kreise!$A$1:$C$53,3,FALSE)</f>
        <v>K030</v>
      </c>
      <c r="F1102">
        <f>'2020_B5'!L642</f>
        <v>0</v>
      </c>
    </row>
    <row r="1103" spans="1:6" x14ac:dyDescent="0.25">
      <c r="A1103">
        <f>'2020_B5'!A643</f>
        <v>0</v>
      </c>
      <c r="B1103">
        <f>'2020_B5'!$K$5</f>
        <v>2014</v>
      </c>
      <c r="C1103" t="str">
        <f>'2020_B5'!$L$6</f>
        <v>Ausländerinnen und Ausländer</v>
      </c>
      <c r="D1103" t="s">
        <v>4</v>
      </c>
      <c r="E1103" t="str">
        <f>VLOOKUP(A1103,[1]Kreise!$A$1:$C$53,3,FALSE)</f>
        <v>K030</v>
      </c>
      <c r="F1103">
        <f>'2020_B5'!L643</f>
        <v>0</v>
      </c>
    </row>
    <row r="1104" spans="1:6" x14ac:dyDescent="0.25">
      <c r="A1104">
        <f>'2020_B5'!A644</f>
        <v>0</v>
      </c>
      <c r="B1104">
        <f>'2020_B5'!$K$5</f>
        <v>2014</v>
      </c>
      <c r="C1104" t="str">
        <f>'2020_B5'!$L$6</f>
        <v>Ausländerinnen und Ausländer</v>
      </c>
      <c r="D1104" t="s">
        <v>4</v>
      </c>
      <c r="E1104" t="str">
        <f>VLOOKUP(A1104,[1]Kreise!$A$1:$C$53,3,FALSE)</f>
        <v>K030</v>
      </c>
      <c r="F1104">
        <f>'2020_B5'!L644</f>
        <v>0</v>
      </c>
    </row>
    <row r="1105" spans="1:6" x14ac:dyDescent="0.25">
      <c r="A1105">
        <f>'2020_B5'!A645</f>
        <v>0</v>
      </c>
      <c r="B1105">
        <f>'2020_B5'!$K$5</f>
        <v>2014</v>
      </c>
      <c r="C1105" t="str">
        <f>'2020_B5'!$L$6</f>
        <v>Ausländerinnen und Ausländer</v>
      </c>
      <c r="D1105" t="s">
        <v>4</v>
      </c>
      <c r="E1105" t="str">
        <f>VLOOKUP(A1105,[1]Kreise!$A$1:$C$53,3,FALSE)</f>
        <v>K030</v>
      </c>
      <c r="F1105">
        <f>'2020_B5'!L645</f>
        <v>0</v>
      </c>
    </row>
    <row r="1106" spans="1:6" x14ac:dyDescent="0.25">
      <c r="A1106">
        <f>'2020_B5'!A646</f>
        <v>0</v>
      </c>
      <c r="B1106">
        <f>'2020_B5'!$K$5</f>
        <v>2014</v>
      </c>
      <c r="C1106" t="str">
        <f>'2020_B5'!$L$6</f>
        <v>Ausländerinnen und Ausländer</v>
      </c>
      <c r="D1106" t="s">
        <v>4</v>
      </c>
      <c r="E1106" t="str">
        <f>VLOOKUP(A1106,[1]Kreise!$A$1:$C$53,3,FALSE)</f>
        <v>K030</v>
      </c>
      <c r="F1106">
        <f>'2020_B5'!L646</f>
        <v>0</v>
      </c>
    </row>
    <row r="1107" spans="1:6" x14ac:dyDescent="0.25">
      <c r="A1107">
        <f>'2020_B5'!A647</f>
        <v>0</v>
      </c>
      <c r="B1107">
        <f>'2020_B5'!$K$5</f>
        <v>2014</v>
      </c>
      <c r="C1107" t="str">
        <f>'2020_B5'!$L$6</f>
        <v>Ausländerinnen und Ausländer</v>
      </c>
      <c r="D1107" t="s">
        <v>4</v>
      </c>
      <c r="E1107" t="str">
        <f>VLOOKUP(A1107,[1]Kreise!$A$1:$C$53,3,FALSE)</f>
        <v>K030</v>
      </c>
      <c r="F1107">
        <f>'2020_B5'!L647</f>
        <v>0</v>
      </c>
    </row>
    <row r="1108" spans="1:6" x14ac:dyDescent="0.25">
      <c r="A1108">
        <f>'2020_B5'!A648</f>
        <v>0</v>
      </c>
      <c r="B1108">
        <f>'2020_B5'!$K$5</f>
        <v>2014</v>
      </c>
      <c r="C1108" t="str">
        <f>'2020_B5'!$L$6</f>
        <v>Ausländerinnen und Ausländer</v>
      </c>
      <c r="D1108" t="s">
        <v>4</v>
      </c>
      <c r="E1108" t="str">
        <f>VLOOKUP(A1108,[1]Kreise!$A$1:$C$53,3,FALSE)</f>
        <v>K030</v>
      </c>
      <c r="F1108">
        <f>'2020_B5'!L648</f>
        <v>0</v>
      </c>
    </row>
    <row r="1109" spans="1:6" x14ac:dyDescent="0.25">
      <c r="A1109">
        <f>'2020_B5'!A649</f>
        <v>0</v>
      </c>
      <c r="B1109">
        <f>'2020_B5'!$K$5</f>
        <v>2014</v>
      </c>
      <c r="C1109" t="str">
        <f>'2020_B5'!$L$6</f>
        <v>Ausländerinnen und Ausländer</v>
      </c>
      <c r="D1109" t="s">
        <v>4</v>
      </c>
      <c r="E1109" t="str">
        <f>VLOOKUP(A1109,[1]Kreise!$A$1:$C$53,3,FALSE)</f>
        <v>K030</v>
      </c>
      <c r="F1109">
        <f>'2020_B5'!L649</f>
        <v>0</v>
      </c>
    </row>
    <row r="1110" spans="1:6" x14ac:dyDescent="0.25">
      <c r="A1110">
        <f>'2020_B5'!A650</f>
        <v>0</v>
      </c>
      <c r="B1110">
        <f>'2020_B5'!$K$5</f>
        <v>2014</v>
      </c>
      <c r="C1110" t="str">
        <f>'2020_B5'!$L$6</f>
        <v>Ausländerinnen und Ausländer</v>
      </c>
      <c r="D1110" t="s">
        <v>4</v>
      </c>
      <c r="E1110" t="str">
        <f>VLOOKUP(A1110,[1]Kreise!$A$1:$C$53,3,FALSE)</f>
        <v>K030</v>
      </c>
      <c r="F1110">
        <f>'2020_B5'!L650</f>
        <v>0</v>
      </c>
    </row>
    <row r="1111" spans="1:6" x14ac:dyDescent="0.25">
      <c r="A1111">
        <f>'2020_B5'!A651</f>
        <v>0</v>
      </c>
      <c r="B1111">
        <f>'2020_B5'!$K$5</f>
        <v>2014</v>
      </c>
      <c r="C1111" t="str">
        <f>'2020_B5'!$L$6</f>
        <v>Ausländerinnen und Ausländer</v>
      </c>
      <c r="D1111" t="s">
        <v>4</v>
      </c>
      <c r="E1111" t="str">
        <f>VLOOKUP(A1111,[1]Kreise!$A$1:$C$53,3,FALSE)</f>
        <v>K030</v>
      </c>
      <c r="F1111">
        <f>'2020_B5'!L651</f>
        <v>0</v>
      </c>
    </row>
    <row r="1112" spans="1:6" x14ac:dyDescent="0.25">
      <c r="A1112">
        <f>'2020_B5'!A652</f>
        <v>0</v>
      </c>
      <c r="B1112">
        <f>'2020_B5'!$K$5</f>
        <v>2014</v>
      </c>
      <c r="C1112" t="str">
        <f>'2020_B5'!$L$6</f>
        <v>Ausländerinnen und Ausländer</v>
      </c>
      <c r="D1112" t="s">
        <v>4</v>
      </c>
      <c r="E1112" t="str">
        <f>VLOOKUP(A1112,[1]Kreise!$A$1:$C$53,3,FALSE)</f>
        <v>K030</v>
      </c>
      <c r="F1112">
        <f>'2020_B5'!L652</f>
        <v>0</v>
      </c>
    </row>
    <row r="1113" spans="1:6" x14ac:dyDescent="0.25">
      <c r="A1113">
        <f>'2020_B5'!A653</f>
        <v>0</v>
      </c>
      <c r="B1113">
        <f>'2020_B5'!$K$5</f>
        <v>2014</v>
      </c>
      <c r="C1113" t="str">
        <f>'2020_B5'!$L$6</f>
        <v>Ausländerinnen und Ausländer</v>
      </c>
      <c r="D1113" t="s">
        <v>4</v>
      </c>
      <c r="E1113" t="str">
        <f>VLOOKUP(A1113,[1]Kreise!$A$1:$C$53,3,FALSE)</f>
        <v>K030</v>
      </c>
      <c r="F1113">
        <f>'2020_B5'!L653</f>
        <v>0</v>
      </c>
    </row>
    <row r="1114" spans="1:6" x14ac:dyDescent="0.25">
      <c r="A1114">
        <f>'2020_B5'!A654</f>
        <v>0</v>
      </c>
      <c r="B1114">
        <f>'2020_B5'!$K$5</f>
        <v>2014</v>
      </c>
      <c r="C1114" t="str">
        <f>'2020_B5'!$L$6</f>
        <v>Ausländerinnen und Ausländer</v>
      </c>
      <c r="D1114" t="s">
        <v>4</v>
      </c>
      <c r="E1114" t="str">
        <f>VLOOKUP(A1114,[1]Kreise!$A$1:$C$53,3,FALSE)</f>
        <v>K030</v>
      </c>
      <c r="F1114">
        <f>'2020_B5'!L654</f>
        <v>0</v>
      </c>
    </row>
    <row r="1115" spans="1:6" x14ac:dyDescent="0.25">
      <c r="A1115">
        <f>'2020_B5'!A655</f>
        <v>0</v>
      </c>
      <c r="B1115">
        <f>'2020_B5'!$K$5</f>
        <v>2014</v>
      </c>
      <c r="C1115" t="str">
        <f>'2020_B5'!$L$6</f>
        <v>Ausländerinnen und Ausländer</v>
      </c>
      <c r="D1115" t="s">
        <v>4</v>
      </c>
      <c r="E1115" t="str">
        <f>VLOOKUP(A1115,[1]Kreise!$A$1:$C$53,3,FALSE)</f>
        <v>K030</v>
      </c>
      <c r="F1115">
        <f>'2020_B5'!L655</f>
        <v>0</v>
      </c>
    </row>
    <row r="1116" spans="1:6" x14ac:dyDescent="0.25">
      <c r="A1116">
        <f>'2020_B5'!A656</f>
        <v>0</v>
      </c>
      <c r="B1116">
        <f>'2020_B5'!$K$5</f>
        <v>2014</v>
      </c>
      <c r="C1116" t="str">
        <f>'2020_B5'!$L$6</f>
        <v>Ausländerinnen und Ausländer</v>
      </c>
      <c r="D1116" t="s">
        <v>4</v>
      </c>
      <c r="E1116" t="str">
        <f>VLOOKUP(A1116,[1]Kreise!$A$1:$C$53,3,FALSE)</f>
        <v>K030</v>
      </c>
      <c r="F1116">
        <f>'2020_B5'!L656</f>
        <v>0</v>
      </c>
    </row>
    <row r="1117" spans="1:6" x14ac:dyDescent="0.25">
      <c r="A1117">
        <f>'2020_B5'!A657</f>
        <v>0</v>
      </c>
      <c r="B1117">
        <f>'2020_B5'!$K$5</f>
        <v>2014</v>
      </c>
      <c r="C1117" t="str">
        <f>'2020_B5'!$L$6</f>
        <v>Ausländerinnen und Ausländer</v>
      </c>
      <c r="D1117" t="s">
        <v>4</v>
      </c>
      <c r="E1117" t="str">
        <f>VLOOKUP(A1117,[1]Kreise!$A$1:$C$53,3,FALSE)</f>
        <v>K030</v>
      </c>
      <c r="F1117">
        <f>'2020_B5'!L657</f>
        <v>0</v>
      </c>
    </row>
    <row r="1118" spans="1:6" x14ac:dyDescent="0.25">
      <c r="A1118">
        <f>'2020_B5'!A658</f>
        <v>0</v>
      </c>
      <c r="B1118">
        <f>'2020_B5'!$K$5</f>
        <v>2014</v>
      </c>
      <c r="C1118" t="str">
        <f>'2020_B5'!$L$6</f>
        <v>Ausländerinnen und Ausländer</v>
      </c>
      <c r="D1118" t="s">
        <v>4</v>
      </c>
      <c r="E1118" t="str">
        <f>VLOOKUP(A1118,[1]Kreise!$A$1:$C$53,3,FALSE)</f>
        <v>K030</v>
      </c>
      <c r="F1118">
        <f>'2020_B5'!L658</f>
        <v>0</v>
      </c>
    </row>
    <row r="1119" spans="1:6" x14ac:dyDescent="0.25">
      <c r="A1119">
        <f>'2020_B5'!A659</f>
        <v>0</v>
      </c>
      <c r="B1119">
        <f>'2020_B5'!$K$5</f>
        <v>2014</v>
      </c>
      <c r="C1119" t="str">
        <f>'2020_B5'!$L$6</f>
        <v>Ausländerinnen und Ausländer</v>
      </c>
      <c r="D1119" t="s">
        <v>4</v>
      </c>
      <c r="E1119" t="str">
        <f>VLOOKUP(A1119,[1]Kreise!$A$1:$C$53,3,FALSE)</f>
        <v>K030</v>
      </c>
      <c r="F1119">
        <f>'2020_B5'!L659</f>
        <v>0</v>
      </c>
    </row>
    <row r="1120" spans="1:6" x14ac:dyDescent="0.25">
      <c r="A1120">
        <f>'2020_B5'!A660</f>
        <v>0</v>
      </c>
      <c r="B1120">
        <f>'2020_B5'!$K$5</f>
        <v>2014</v>
      </c>
      <c r="C1120" t="str">
        <f>'2020_B5'!$L$6</f>
        <v>Ausländerinnen und Ausländer</v>
      </c>
      <c r="D1120" t="s">
        <v>4</v>
      </c>
      <c r="E1120" t="str">
        <f>VLOOKUP(A1120,[1]Kreise!$A$1:$C$53,3,FALSE)</f>
        <v>K030</v>
      </c>
      <c r="F1120">
        <f>'2020_B5'!L660</f>
        <v>0</v>
      </c>
    </row>
    <row r="1121" spans="1:6" x14ac:dyDescent="0.25">
      <c r="A1121">
        <f>'2020_B5'!A661</f>
        <v>0</v>
      </c>
      <c r="B1121">
        <f>'2020_B5'!$K$5</f>
        <v>2014</v>
      </c>
      <c r="C1121" t="str">
        <f>'2020_B5'!$L$6</f>
        <v>Ausländerinnen und Ausländer</v>
      </c>
      <c r="D1121" t="s">
        <v>4</v>
      </c>
      <c r="E1121" t="str">
        <f>VLOOKUP(A1121,[1]Kreise!$A$1:$C$53,3,FALSE)</f>
        <v>K030</v>
      </c>
      <c r="F1121">
        <f>'2020_B5'!L661</f>
        <v>0</v>
      </c>
    </row>
    <row r="1122" spans="1:6" x14ac:dyDescent="0.25">
      <c r="A1122">
        <f>'2020_B5'!A662</f>
        <v>0</v>
      </c>
      <c r="B1122">
        <f>'2020_B5'!$K$5</f>
        <v>2014</v>
      </c>
      <c r="C1122" t="str">
        <f>'2020_B5'!$L$6</f>
        <v>Ausländerinnen und Ausländer</v>
      </c>
      <c r="D1122" t="s">
        <v>4</v>
      </c>
      <c r="E1122" t="str">
        <f>VLOOKUP(A1122,[1]Kreise!$A$1:$C$53,3,FALSE)</f>
        <v>K030</v>
      </c>
      <c r="F1122">
        <f>'2020_B5'!L662</f>
        <v>0</v>
      </c>
    </row>
    <row r="1123" spans="1:6" x14ac:dyDescent="0.25">
      <c r="A1123">
        <f>'2020_B5'!A663</f>
        <v>0</v>
      </c>
      <c r="B1123">
        <f>'2020_B5'!$K$5</f>
        <v>2014</v>
      </c>
      <c r="C1123" t="str">
        <f>'2020_B5'!$L$6</f>
        <v>Ausländerinnen und Ausländer</v>
      </c>
      <c r="D1123" t="s">
        <v>4</v>
      </c>
      <c r="E1123" t="str">
        <f>VLOOKUP(A1123,[1]Kreise!$A$1:$C$53,3,FALSE)</f>
        <v>K030</v>
      </c>
      <c r="F1123">
        <f>'2020_B5'!L663</f>
        <v>0</v>
      </c>
    </row>
    <row r="1124" spans="1:6" x14ac:dyDescent="0.25">
      <c r="A1124">
        <f>'2020_B5'!A664</f>
        <v>0</v>
      </c>
      <c r="B1124">
        <f>'2020_B5'!$K$5</f>
        <v>2014</v>
      </c>
      <c r="C1124" t="str">
        <f>'2020_B5'!$L$6</f>
        <v>Ausländerinnen und Ausländer</v>
      </c>
      <c r="D1124" t="s">
        <v>4</v>
      </c>
      <c r="E1124" t="str">
        <f>VLOOKUP(A1124,[1]Kreise!$A$1:$C$53,3,FALSE)</f>
        <v>K030</v>
      </c>
      <c r="F1124">
        <f>'2020_B5'!L664</f>
        <v>0</v>
      </c>
    </row>
    <row r="1125" spans="1:6" x14ac:dyDescent="0.25">
      <c r="A1125">
        <f>'2020_B5'!A665</f>
        <v>0</v>
      </c>
      <c r="B1125">
        <f>'2020_B5'!$K$5</f>
        <v>2014</v>
      </c>
      <c r="C1125" t="str">
        <f>'2020_B5'!$L$6</f>
        <v>Ausländerinnen und Ausländer</v>
      </c>
      <c r="D1125" t="s">
        <v>4</v>
      </c>
      <c r="E1125" t="str">
        <f>VLOOKUP(A1125,[1]Kreise!$A$1:$C$53,3,FALSE)</f>
        <v>K030</v>
      </c>
      <c r="F1125">
        <f>'2020_B5'!L665</f>
        <v>0</v>
      </c>
    </row>
    <row r="1126" spans="1:6" x14ac:dyDescent="0.25">
      <c r="A1126">
        <f>'2020_B5'!A666</f>
        <v>0</v>
      </c>
      <c r="B1126">
        <f>'2020_B5'!$K$5</f>
        <v>2014</v>
      </c>
      <c r="C1126" t="str">
        <f>'2020_B5'!$L$6</f>
        <v>Ausländerinnen und Ausländer</v>
      </c>
      <c r="D1126" t="s">
        <v>4</v>
      </c>
      <c r="E1126" t="str">
        <f>VLOOKUP(A1126,[1]Kreise!$A$1:$C$53,3,FALSE)</f>
        <v>K030</v>
      </c>
      <c r="F1126">
        <f>'2020_B5'!L666</f>
        <v>0</v>
      </c>
    </row>
    <row r="1127" spans="1:6" x14ac:dyDescent="0.25">
      <c r="A1127">
        <f>'2020_B5'!A667</f>
        <v>0</v>
      </c>
      <c r="B1127">
        <f>'2020_B5'!$K$5</f>
        <v>2014</v>
      </c>
      <c r="C1127" t="str">
        <f>'2020_B5'!$L$6</f>
        <v>Ausländerinnen und Ausländer</v>
      </c>
      <c r="D1127" t="s">
        <v>4</v>
      </c>
      <c r="E1127" t="str">
        <f>VLOOKUP(A1127,[1]Kreise!$A$1:$C$53,3,FALSE)</f>
        <v>K030</v>
      </c>
      <c r="F1127">
        <f>'2020_B5'!L667</f>
        <v>0</v>
      </c>
    </row>
    <row r="1128" spans="1:6" x14ac:dyDescent="0.25">
      <c r="A1128">
        <f>'2020_B5'!A668</f>
        <v>0</v>
      </c>
      <c r="B1128">
        <f>'2020_B5'!$K$5</f>
        <v>2014</v>
      </c>
      <c r="C1128" t="str">
        <f>'2020_B5'!$L$6</f>
        <v>Ausländerinnen und Ausländer</v>
      </c>
      <c r="D1128" t="s">
        <v>4</v>
      </c>
      <c r="E1128" t="str">
        <f>VLOOKUP(A1128,[1]Kreise!$A$1:$C$53,3,FALSE)</f>
        <v>K030</v>
      </c>
      <c r="F1128">
        <f>'2020_B5'!L668</f>
        <v>0</v>
      </c>
    </row>
    <row r="1129" spans="1:6" x14ac:dyDescent="0.25">
      <c r="A1129">
        <f>'2020_B5'!A669</f>
        <v>0</v>
      </c>
      <c r="B1129">
        <f>'2020_B5'!$K$5</f>
        <v>2014</v>
      </c>
      <c r="C1129" t="str">
        <f>'2020_B5'!$L$6</f>
        <v>Ausländerinnen und Ausländer</v>
      </c>
      <c r="D1129" t="s">
        <v>4</v>
      </c>
      <c r="E1129" t="str">
        <f>VLOOKUP(A1129,[1]Kreise!$A$1:$C$53,3,FALSE)</f>
        <v>K030</v>
      </c>
      <c r="F1129">
        <f>'2020_B5'!L669</f>
        <v>0</v>
      </c>
    </row>
    <row r="1130" spans="1:6" x14ac:dyDescent="0.25">
      <c r="A1130">
        <f>'2020_B5'!A670</f>
        <v>0</v>
      </c>
      <c r="B1130">
        <f>'2020_B5'!$K$5</f>
        <v>2014</v>
      </c>
      <c r="C1130" t="str">
        <f>'2020_B5'!$L$6</f>
        <v>Ausländerinnen und Ausländer</v>
      </c>
      <c r="D1130" t="s">
        <v>4</v>
      </c>
      <c r="E1130" t="str">
        <f>VLOOKUP(A1130,[1]Kreise!$A$1:$C$53,3,FALSE)</f>
        <v>K030</v>
      </c>
      <c r="F1130">
        <f>'2020_B5'!L670</f>
        <v>0</v>
      </c>
    </row>
    <row r="1131" spans="1:6" x14ac:dyDescent="0.25">
      <c r="A1131">
        <f>'2020_B5'!A671</f>
        <v>0</v>
      </c>
      <c r="B1131">
        <f>'2020_B5'!$K$5</f>
        <v>2014</v>
      </c>
      <c r="C1131" t="str">
        <f>'2020_B5'!$L$6</f>
        <v>Ausländerinnen und Ausländer</v>
      </c>
      <c r="D1131" t="s">
        <v>4</v>
      </c>
      <c r="E1131" t="str">
        <f>VLOOKUP(A1131,[1]Kreise!$A$1:$C$53,3,FALSE)</f>
        <v>K030</v>
      </c>
      <c r="F1131">
        <f>'2020_B5'!L671</f>
        <v>0</v>
      </c>
    </row>
    <row r="1132" spans="1:6" x14ac:dyDescent="0.25">
      <c r="A1132">
        <f>'2020_B5'!A672</f>
        <v>0</v>
      </c>
      <c r="B1132">
        <f>'2020_B5'!$K$5</f>
        <v>2014</v>
      </c>
      <c r="C1132" t="str">
        <f>'2020_B5'!$L$6</f>
        <v>Ausländerinnen und Ausländer</v>
      </c>
      <c r="D1132" t="s">
        <v>4</v>
      </c>
      <c r="E1132" t="str">
        <f>VLOOKUP(A1132,[1]Kreise!$A$1:$C$53,3,FALSE)</f>
        <v>K030</v>
      </c>
      <c r="F1132">
        <f>'2020_B5'!L672</f>
        <v>0</v>
      </c>
    </row>
    <row r="1133" spans="1:6" x14ac:dyDescent="0.25">
      <c r="A1133">
        <f>'2020_B5'!A673</f>
        <v>0</v>
      </c>
      <c r="B1133">
        <f>'2020_B5'!$K$5</f>
        <v>2014</v>
      </c>
      <c r="C1133" t="str">
        <f>'2020_B5'!$L$6</f>
        <v>Ausländerinnen und Ausländer</v>
      </c>
      <c r="D1133" t="s">
        <v>4</v>
      </c>
      <c r="E1133" t="str">
        <f>VLOOKUP(A1133,[1]Kreise!$A$1:$C$53,3,FALSE)</f>
        <v>K030</v>
      </c>
      <c r="F1133">
        <f>'2020_B5'!L673</f>
        <v>0</v>
      </c>
    </row>
    <row r="1134" spans="1:6" x14ac:dyDescent="0.25">
      <c r="A1134">
        <f>'2020_B5'!A674</f>
        <v>0</v>
      </c>
      <c r="B1134">
        <f>'2020_B5'!$K$5</f>
        <v>2014</v>
      </c>
      <c r="C1134" t="str">
        <f>'2020_B5'!$L$6</f>
        <v>Ausländerinnen und Ausländer</v>
      </c>
      <c r="D1134" t="s">
        <v>4</v>
      </c>
      <c r="E1134" t="str">
        <f>VLOOKUP(A1134,[1]Kreise!$A$1:$C$53,3,FALSE)</f>
        <v>K030</v>
      </c>
      <c r="F1134">
        <f>'2020_B5'!L674</f>
        <v>0</v>
      </c>
    </row>
    <row r="1135" spans="1:6" x14ac:dyDescent="0.25">
      <c r="A1135">
        <f>'2020_B5'!A675</f>
        <v>0</v>
      </c>
      <c r="B1135">
        <f>'2020_B5'!$K$5</f>
        <v>2014</v>
      </c>
      <c r="C1135" t="str">
        <f>'2020_B5'!$L$6</f>
        <v>Ausländerinnen und Ausländer</v>
      </c>
      <c r="D1135" t="s">
        <v>4</v>
      </c>
      <c r="E1135" t="str">
        <f>VLOOKUP(A1135,[1]Kreise!$A$1:$C$53,3,FALSE)</f>
        <v>K030</v>
      </c>
      <c r="F1135">
        <f>'2020_B5'!L675</f>
        <v>0</v>
      </c>
    </row>
    <row r="1136" spans="1:6" x14ac:dyDescent="0.25">
      <c r="A1136">
        <f>'2020_B5'!A676</f>
        <v>0</v>
      </c>
      <c r="B1136">
        <f>'2020_B5'!$K$5</f>
        <v>2014</v>
      </c>
      <c r="C1136" t="str">
        <f>'2020_B5'!$L$6</f>
        <v>Ausländerinnen und Ausländer</v>
      </c>
      <c r="D1136" t="s">
        <v>4</v>
      </c>
      <c r="E1136" t="str">
        <f>VLOOKUP(A1136,[1]Kreise!$A$1:$C$53,3,FALSE)</f>
        <v>K030</v>
      </c>
      <c r="F1136">
        <f>'2020_B5'!L676</f>
        <v>0</v>
      </c>
    </row>
    <row r="1137" spans="1:6" x14ac:dyDescent="0.25">
      <c r="A1137">
        <f>'2020_B5'!A677</f>
        <v>0</v>
      </c>
      <c r="B1137">
        <f>'2020_B5'!$K$5</f>
        <v>2014</v>
      </c>
      <c r="C1137" t="str">
        <f>'2020_B5'!$L$6</f>
        <v>Ausländerinnen und Ausländer</v>
      </c>
      <c r="D1137" t="s">
        <v>4</v>
      </c>
      <c r="E1137" t="str">
        <f>VLOOKUP(A1137,[1]Kreise!$A$1:$C$53,3,FALSE)</f>
        <v>K030</v>
      </c>
      <c r="F1137">
        <f>'2020_B5'!L677</f>
        <v>0</v>
      </c>
    </row>
    <row r="1138" spans="1:6" x14ac:dyDescent="0.25">
      <c r="A1138">
        <f>'2020_B5'!A678</f>
        <v>0</v>
      </c>
      <c r="B1138">
        <f>'2020_B5'!$K$5</f>
        <v>2014</v>
      </c>
      <c r="C1138" t="str">
        <f>'2020_B5'!$L$6</f>
        <v>Ausländerinnen und Ausländer</v>
      </c>
      <c r="D1138" t="s">
        <v>4</v>
      </c>
      <c r="E1138" t="str">
        <f>VLOOKUP(A1138,[1]Kreise!$A$1:$C$53,3,FALSE)</f>
        <v>K030</v>
      </c>
      <c r="F1138">
        <f>'2020_B5'!L678</f>
        <v>0</v>
      </c>
    </row>
    <row r="1139" spans="1:6" x14ac:dyDescent="0.25">
      <c r="A1139">
        <f>'2020_B5'!A679</f>
        <v>0</v>
      </c>
      <c r="B1139">
        <f>'2020_B5'!$K$5</f>
        <v>2014</v>
      </c>
      <c r="C1139" t="str">
        <f>'2020_B5'!$L$6</f>
        <v>Ausländerinnen und Ausländer</v>
      </c>
      <c r="D1139" t="s">
        <v>4</v>
      </c>
      <c r="E1139" t="str">
        <f>VLOOKUP(A1139,[1]Kreise!$A$1:$C$53,3,FALSE)</f>
        <v>K030</v>
      </c>
      <c r="F1139">
        <f>'2020_B5'!L679</f>
        <v>0</v>
      </c>
    </row>
    <row r="1140" spans="1:6" x14ac:dyDescent="0.25">
      <c r="A1140">
        <f>'2020_B5'!A680</f>
        <v>0</v>
      </c>
      <c r="B1140">
        <f>'2020_B5'!$K$5</f>
        <v>2014</v>
      </c>
      <c r="C1140" t="str">
        <f>'2020_B5'!$L$6</f>
        <v>Ausländerinnen und Ausländer</v>
      </c>
      <c r="D1140" t="s">
        <v>4</v>
      </c>
      <c r="E1140" t="str">
        <f>VLOOKUP(A1140,[1]Kreise!$A$1:$C$53,3,FALSE)</f>
        <v>K030</v>
      </c>
      <c r="F1140">
        <f>'2020_B5'!L680</f>
        <v>0</v>
      </c>
    </row>
    <row r="1141" spans="1:6" x14ac:dyDescent="0.25">
      <c r="A1141">
        <f>'2020_B5'!A681</f>
        <v>0</v>
      </c>
      <c r="B1141">
        <f>'2020_B5'!$K$5</f>
        <v>2014</v>
      </c>
      <c r="C1141" t="str">
        <f>'2020_B5'!$L$6</f>
        <v>Ausländerinnen und Ausländer</v>
      </c>
      <c r="D1141" t="s">
        <v>4</v>
      </c>
      <c r="E1141" t="str">
        <f>VLOOKUP(A1141,[1]Kreise!$A$1:$C$53,3,FALSE)</f>
        <v>K030</v>
      </c>
      <c r="F1141">
        <f>'2020_B5'!L681</f>
        <v>0</v>
      </c>
    </row>
    <row r="1142" spans="1:6" x14ac:dyDescent="0.25">
      <c r="A1142">
        <f>'2020_B5'!A682</f>
        <v>0</v>
      </c>
      <c r="B1142">
        <f>'2020_B5'!$K$5</f>
        <v>2014</v>
      </c>
      <c r="C1142" t="str">
        <f>'2020_B5'!$L$6</f>
        <v>Ausländerinnen und Ausländer</v>
      </c>
      <c r="D1142" t="s">
        <v>4</v>
      </c>
      <c r="E1142" t="str">
        <f>VLOOKUP(A1142,[1]Kreise!$A$1:$C$53,3,FALSE)</f>
        <v>K030</v>
      </c>
      <c r="F1142">
        <f>'2020_B5'!L682</f>
        <v>0</v>
      </c>
    </row>
    <row r="1143" spans="1:6" x14ac:dyDescent="0.25">
      <c r="A1143">
        <f>'2020_B5'!A683</f>
        <v>0</v>
      </c>
      <c r="B1143">
        <f>'2020_B5'!$K$5</f>
        <v>2014</v>
      </c>
      <c r="C1143" t="str">
        <f>'2020_B5'!$L$6</f>
        <v>Ausländerinnen und Ausländer</v>
      </c>
      <c r="D1143" t="s">
        <v>4</v>
      </c>
      <c r="E1143" t="str">
        <f>VLOOKUP(A1143,[1]Kreise!$A$1:$C$53,3,FALSE)</f>
        <v>K030</v>
      </c>
      <c r="F1143">
        <f>'2020_B5'!L683</f>
        <v>0</v>
      </c>
    </row>
    <row r="1144" spans="1:6" x14ac:dyDescent="0.25">
      <c r="A1144">
        <f>'2020_B5'!A684</f>
        <v>0</v>
      </c>
      <c r="B1144">
        <f>'2020_B5'!$K$5</f>
        <v>2014</v>
      </c>
      <c r="C1144" t="str">
        <f>'2020_B5'!$L$6</f>
        <v>Ausländerinnen und Ausländer</v>
      </c>
      <c r="D1144" t="s">
        <v>4</v>
      </c>
      <c r="E1144" t="str">
        <f>VLOOKUP(A1144,[1]Kreise!$A$1:$C$53,3,FALSE)</f>
        <v>K030</v>
      </c>
      <c r="F1144">
        <f>'2020_B5'!L684</f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6862D-7BDF-4E0C-AB0A-D39C99F32AE7}">
  <sheetPr codeName="Tabelle1">
    <tabColor theme="7"/>
  </sheetPr>
  <dimension ref="A1:V122"/>
  <sheetViews>
    <sheetView topLeftCell="G91" zoomScale="145" zoomScaleNormal="145" workbookViewId="0">
      <selection activeCell="A109" sqref="A109:XFD109"/>
    </sheetView>
  </sheetViews>
  <sheetFormatPr baseColWidth="10" defaultRowHeight="15" x14ac:dyDescent="0.25"/>
  <sheetData>
    <row r="1" spans="1:22" ht="30" customHeight="1" x14ac:dyDescent="0.25">
      <c r="A1" s="23" t="s">
        <v>160</v>
      </c>
      <c r="C1" s="23"/>
      <c r="D1" s="24"/>
      <c r="E1" s="24"/>
      <c r="F1" s="24"/>
      <c r="G1" s="24"/>
      <c r="H1" s="24"/>
      <c r="I1" s="24"/>
      <c r="J1" s="24"/>
      <c r="K1" s="24"/>
      <c r="L1" s="21"/>
    </row>
    <row r="2" spans="1:22" ht="30" customHeight="1" x14ac:dyDescent="0.25">
      <c r="A2" s="25" t="s">
        <v>161</v>
      </c>
      <c r="B2">
        <v>101</v>
      </c>
      <c r="C2" s="25"/>
      <c r="D2" s="25"/>
      <c r="E2" s="25"/>
      <c r="F2" s="25"/>
      <c r="G2" s="25"/>
      <c r="H2" s="25"/>
      <c r="I2" s="25"/>
      <c r="J2" s="25"/>
      <c r="K2" s="25"/>
      <c r="L2" s="22"/>
    </row>
    <row r="3" spans="1:22" x14ac:dyDescent="0.25">
      <c r="B3">
        <v>102</v>
      </c>
    </row>
    <row r="4" spans="1:22" ht="8.25" customHeight="1" x14ac:dyDescent="0.25">
      <c r="A4" s="195" t="s">
        <v>168</v>
      </c>
      <c r="B4" s="198">
        <v>103</v>
      </c>
      <c r="C4" s="192" t="s">
        <v>1</v>
      </c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</row>
    <row r="5" spans="1:22" ht="8.25" customHeight="1" x14ac:dyDescent="0.25">
      <c r="A5" s="196"/>
      <c r="B5" s="199"/>
      <c r="C5" s="200">
        <v>2005</v>
      </c>
      <c r="D5" s="201"/>
      <c r="E5" s="201">
        <v>2011</v>
      </c>
      <c r="F5" s="201"/>
      <c r="G5" s="201">
        <v>2012</v>
      </c>
      <c r="H5" s="201"/>
      <c r="I5" s="205">
        <v>2013</v>
      </c>
      <c r="J5" s="200"/>
      <c r="K5" s="201">
        <v>2014</v>
      </c>
      <c r="L5" s="201"/>
      <c r="M5" s="205">
        <v>2015</v>
      </c>
      <c r="N5" s="200"/>
      <c r="O5" s="205">
        <v>2016</v>
      </c>
      <c r="P5" s="200"/>
      <c r="Q5" s="205">
        <v>2017</v>
      </c>
      <c r="R5" s="200"/>
      <c r="S5" s="201">
        <v>2018</v>
      </c>
      <c r="T5" s="205"/>
      <c r="U5" s="201">
        <v>2019</v>
      </c>
      <c r="V5" s="205"/>
    </row>
    <row r="6" spans="1:22" ht="17.25" customHeight="1" x14ac:dyDescent="0.25">
      <c r="A6" s="196"/>
      <c r="B6" s="199"/>
      <c r="C6" s="57" t="s">
        <v>2</v>
      </c>
      <c r="D6" s="58" t="s">
        <v>3</v>
      </c>
      <c r="E6" s="58" t="s">
        <v>2</v>
      </c>
      <c r="F6" s="58" t="s">
        <v>3</v>
      </c>
      <c r="G6" s="58" t="s">
        <v>2</v>
      </c>
      <c r="H6" s="58" t="s">
        <v>3</v>
      </c>
      <c r="I6" s="58" t="s">
        <v>2</v>
      </c>
      <c r="J6" s="58" t="s">
        <v>3</v>
      </c>
      <c r="K6" s="58" t="s">
        <v>2</v>
      </c>
      <c r="L6" s="58" t="s">
        <v>3</v>
      </c>
      <c r="M6" s="58" t="s">
        <v>2</v>
      </c>
      <c r="N6" s="58" t="s">
        <v>3</v>
      </c>
      <c r="O6" s="58" t="s">
        <v>2</v>
      </c>
      <c r="P6" s="58" t="s">
        <v>3</v>
      </c>
      <c r="Q6" s="58" t="s">
        <v>2</v>
      </c>
      <c r="R6" s="58" t="s">
        <v>3</v>
      </c>
      <c r="S6" s="58" t="s">
        <v>2</v>
      </c>
      <c r="T6" s="59" t="s">
        <v>3</v>
      </c>
      <c r="U6" s="58" t="s">
        <v>2</v>
      </c>
      <c r="V6" s="59" t="s">
        <v>3</v>
      </c>
    </row>
    <row r="7" spans="1:22" ht="8.25" customHeight="1" x14ac:dyDescent="0.25">
      <c r="A7" s="197"/>
      <c r="B7" s="200"/>
      <c r="C7" s="202" t="s">
        <v>4</v>
      </c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</row>
    <row r="8" spans="1:22" ht="8.25" customHeight="1" x14ac:dyDescent="0.25">
      <c r="A8" s="1" t="s">
        <v>5</v>
      </c>
      <c r="B8" s="2">
        <v>155</v>
      </c>
      <c r="C8" s="2" t="s">
        <v>7</v>
      </c>
      <c r="D8" s="2" t="s">
        <v>8</v>
      </c>
      <c r="E8" s="2" t="s">
        <v>9</v>
      </c>
      <c r="F8" s="2" t="s">
        <v>10</v>
      </c>
      <c r="G8" s="2" t="s">
        <v>11</v>
      </c>
      <c r="H8" s="2">
        <v>8</v>
      </c>
      <c r="I8" s="2">
        <v>9</v>
      </c>
      <c r="J8" s="2">
        <v>10</v>
      </c>
      <c r="K8" s="2">
        <v>11</v>
      </c>
      <c r="L8" s="2">
        <v>12</v>
      </c>
      <c r="M8" s="2">
        <v>13</v>
      </c>
      <c r="N8" s="2">
        <v>14</v>
      </c>
      <c r="O8" s="2">
        <v>15</v>
      </c>
      <c r="P8" s="2">
        <v>16</v>
      </c>
      <c r="Q8" s="2">
        <v>17</v>
      </c>
      <c r="R8" s="1">
        <v>18</v>
      </c>
      <c r="S8" s="1">
        <v>19</v>
      </c>
      <c r="T8" s="1">
        <v>20</v>
      </c>
      <c r="U8" s="1">
        <v>21</v>
      </c>
      <c r="V8" s="1">
        <v>22</v>
      </c>
    </row>
    <row r="9" spans="1:22" ht="8.25" customHeight="1" x14ac:dyDescent="0.25">
      <c r="A9" s="45">
        <v>101</v>
      </c>
      <c r="B9" s="3">
        <v>157</v>
      </c>
      <c r="C9" s="37">
        <v>202</v>
      </c>
      <c r="D9" s="37">
        <v>44</v>
      </c>
      <c r="E9" s="37">
        <v>65</v>
      </c>
      <c r="F9" s="37">
        <v>17</v>
      </c>
      <c r="G9" s="37">
        <v>144</v>
      </c>
      <c r="H9" s="37">
        <v>15</v>
      </c>
      <c r="I9" s="38">
        <v>126</v>
      </c>
      <c r="J9" s="39">
        <v>25</v>
      </c>
      <c r="K9" s="37">
        <v>115</v>
      </c>
      <c r="L9" s="37">
        <v>25</v>
      </c>
      <c r="M9" s="37">
        <f>VLOOKUP(A9,'2019_B5_Berechnung'!$B$71:$M$122,7,FALSE)</f>
        <v>106</v>
      </c>
      <c r="N9" s="37">
        <f>VLOOKUP(A9,'2019_B5_Berechnung'!$B$71:$M$122,6,FALSE)</f>
        <v>24</v>
      </c>
      <c r="O9" s="38">
        <v>120</v>
      </c>
      <c r="P9" s="39">
        <v>20</v>
      </c>
      <c r="Q9" s="38">
        <v>129</v>
      </c>
      <c r="R9" s="39">
        <v>39</v>
      </c>
      <c r="S9" s="116">
        <v>103</v>
      </c>
      <c r="T9" s="44">
        <v>32</v>
      </c>
      <c r="U9" s="119">
        <f>VLOOKUP(A9,'2019_B5_Berechnung'!$B$279:$M$330,7,FALSE)</f>
        <v>121</v>
      </c>
      <c r="V9" s="119">
        <f>VLOOKUP(A9,'2019_B5_Berechnung'!$B$279:$M$330,6,FALSE)</f>
        <v>27</v>
      </c>
    </row>
    <row r="10" spans="1:22" ht="8.25" customHeight="1" x14ac:dyDescent="0.25">
      <c r="A10" s="45">
        <v>102</v>
      </c>
      <c r="B10" s="3">
        <v>158</v>
      </c>
      <c r="C10" s="37">
        <v>61</v>
      </c>
      <c r="D10" s="37">
        <v>30</v>
      </c>
      <c r="E10" s="37">
        <v>21</v>
      </c>
      <c r="F10" s="37">
        <v>7</v>
      </c>
      <c r="G10" s="4">
        <v>33</v>
      </c>
      <c r="H10" s="4">
        <v>1</v>
      </c>
      <c r="I10" s="38">
        <v>28</v>
      </c>
      <c r="J10" s="39">
        <v>9</v>
      </c>
      <c r="K10" s="37">
        <v>27</v>
      </c>
      <c r="L10" s="37">
        <v>16</v>
      </c>
      <c r="M10" s="37">
        <f>VLOOKUP(A10,'2019_B5_Berechnung'!$B$71:$M$122,7,FALSE)</f>
        <v>30</v>
      </c>
      <c r="N10" s="37">
        <f>VLOOKUP(A10,'2019_B5_Berechnung'!$B$71:$M$122,6,FALSE)</f>
        <v>19</v>
      </c>
      <c r="O10" s="38">
        <v>33</v>
      </c>
      <c r="P10" s="39">
        <v>21</v>
      </c>
      <c r="Q10" s="38">
        <v>51</v>
      </c>
      <c r="R10" s="39">
        <v>30</v>
      </c>
      <c r="S10" s="116">
        <v>68</v>
      </c>
      <c r="T10" s="44">
        <v>58</v>
      </c>
      <c r="U10" s="119">
        <f>VLOOKUP(A10,'2019_B5_Berechnung'!$B$279:$M$330,7,FALSE)</f>
        <v>54</v>
      </c>
      <c r="V10" s="119">
        <f>VLOOKUP(A10,'2019_B5_Berechnung'!$B$279:$M$330,6,FALSE)</f>
        <v>32</v>
      </c>
    </row>
    <row r="11" spans="1:22" ht="8.25" customHeight="1" x14ac:dyDescent="0.25">
      <c r="A11" s="45">
        <v>103</v>
      </c>
      <c r="B11" s="3">
        <v>159</v>
      </c>
      <c r="C11" s="37">
        <v>87</v>
      </c>
      <c r="D11" s="37">
        <v>36</v>
      </c>
      <c r="E11" s="4">
        <v>46</v>
      </c>
      <c r="F11" s="4">
        <v>7</v>
      </c>
      <c r="G11" s="4">
        <v>49</v>
      </c>
      <c r="H11" s="4">
        <v>9</v>
      </c>
      <c r="I11" s="38">
        <v>51</v>
      </c>
      <c r="J11" s="39">
        <v>10</v>
      </c>
      <c r="K11" s="37">
        <v>47</v>
      </c>
      <c r="L11" s="37">
        <v>10</v>
      </c>
      <c r="M11" s="37">
        <f>VLOOKUP(A11,'2019_B5_Berechnung'!$B$71:$M$122,7,FALSE)</f>
        <v>35</v>
      </c>
      <c r="N11" s="37">
        <f>VLOOKUP(A11,'2019_B5_Berechnung'!$B$71:$M$122,6,FALSE)</f>
        <v>6</v>
      </c>
      <c r="O11" s="38">
        <v>37</v>
      </c>
      <c r="P11" s="39">
        <v>11</v>
      </c>
      <c r="Q11" s="38">
        <v>35</v>
      </c>
      <c r="R11" s="39">
        <v>23</v>
      </c>
      <c r="S11" s="116">
        <v>39</v>
      </c>
      <c r="T11" s="44">
        <v>20</v>
      </c>
      <c r="U11" s="119">
        <f>VLOOKUP(A11,'2019_B5_Berechnung'!$B$279:$M$330,7,FALSE)</f>
        <v>51</v>
      </c>
      <c r="V11" s="119">
        <f>VLOOKUP(A11,'2019_B5_Berechnung'!$B$279:$M$330,6,FALSE)</f>
        <v>29</v>
      </c>
    </row>
    <row r="12" spans="1:22" ht="8.25" customHeight="1" x14ac:dyDescent="0.25">
      <c r="A12" s="45">
        <v>151</v>
      </c>
      <c r="B12" s="3">
        <v>1</v>
      </c>
      <c r="C12" s="37">
        <v>116</v>
      </c>
      <c r="D12" s="37">
        <v>34</v>
      </c>
      <c r="E12" s="4">
        <v>47</v>
      </c>
      <c r="F12" s="4">
        <v>25</v>
      </c>
      <c r="G12" s="4">
        <v>82</v>
      </c>
      <c r="H12" s="4">
        <v>8</v>
      </c>
      <c r="I12" s="38">
        <v>76</v>
      </c>
      <c r="J12" s="39">
        <v>5</v>
      </c>
      <c r="K12" s="37">
        <v>54</v>
      </c>
      <c r="L12" s="37">
        <v>6</v>
      </c>
      <c r="M12" s="37">
        <f>VLOOKUP(A12,'2019_B5_Berechnung'!$B$71:$M$122,7,FALSE)</f>
        <v>59</v>
      </c>
      <c r="N12" s="37">
        <f>VLOOKUP(A12,'2019_B5_Berechnung'!$B$71:$M$122,6,FALSE)</f>
        <v>7</v>
      </c>
      <c r="O12" s="38">
        <v>73</v>
      </c>
      <c r="P12" s="39">
        <v>5</v>
      </c>
      <c r="Q12" s="38">
        <v>70</v>
      </c>
      <c r="R12" s="39">
        <v>16</v>
      </c>
      <c r="S12" s="116">
        <v>80</v>
      </c>
      <c r="T12" s="44">
        <v>23</v>
      </c>
      <c r="U12" s="119">
        <f>VLOOKUP(A12,'2019_B5_Berechnung'!$B$279:$M$330,7,FALSE)</f>
        <v>47</v>
      </c>
      <c r="V12" s="119">
        <f>VLOOKUP(A12,'2019_B5_Berechnung'!$B$279:$M$330,6,FALSE)</f>
        <v>8</v>
      </c>
    </row>
    <row r="13" spans="1:22" ht="8.25" customHeight="1" x14ac:dyDescent="0.25">
      <c r="A13" s="45">
        <v>153</v>
      </c>
      <c r="B13" s="3">
        <v>241</v>
      </c>
      <c r="C13" s="37">
        <v>158</v>
      </c>
      <c r="D13" s="37">
        <v>33</v>
      </c>
      <c r="E13" s="4">
        <v>40</v>
      </c>
      <c r="F13" s="4">
        <v>13</v>
      </c>
      <c r="G13" s="4">
        <v>79</v>
      </c>
      <c r="H13" s="4">
        <v>10</v>
      </c>
      <c r="I13" s="38">
        <v>78</v>
      </c>
      <c r="J13" s="39">
        <v>2</v>
      </c>
      <c r="K13" s="37">
        <v>92</v>
      </c>
      <c r="L13" s="37">
        <v>13</v>
      </c>
      <c r="M13" s="37">
        <f>VLOOKUP(A13,'2019_B5_Berechnung'!$B$71:$M$122,7,FALSE)</f>
        <v>45</v>
      </c>
      <c r="N13" s="37">
        <f>VLOOKUP(A13,'2019_B5_Berechnung'!$B$71:$M$122,6,FALSE)</f>
        <v>9</v>
      </c>
      <c r="O13" s="38">
        <v>59</v>
      </c>
      <c r="P13" s="39">
        <v>6</v>
      </c>
      <c r="Q13" s="38">
        <v>55</v>
      </c>
      <c r="R13" s="39">
        <v>10</v>
      </c>
      <c r="S13" s="116">
        <v>63</v>
      </c>
      <c r="T13" s="44">
        <v>13</v>
      </c>
      <c r="U13" s="119">
        <f>VLOOKUP(A13,'2019_B5_Berechnung'!$B$279:$M$330,7,FALSE)</f>
        <v>70</v>
      </c>
      <c r="V13" s="119">
        <f>VLOOKUP(A13,'2019_B5_Berechnung'!$B$279:$M$330,6,FALSE)</f>
        <v>18</v>
      </c>
    </row>
    <row r="14" spans="1:22" ht="8.25" customHeight="1" x14ac:dyDescent="0.25">
      <c r="A14" s="45">
        <v>154</v>
      </c>
      <c r="B14" s="3">
        <v>241001</v>
      </c>
      <c r="C14" s="37">
        <v>73</v>
      </c>
      <c r="D14" s="37">
        <v>6</v>
      </c>
      <c r="E14" s="4">
        <v>19</v>
      </c>
      <c r="F14" s="4">
        <v>3</v>
      </c>
      <c r="G14" s="4">
        <v>49</v>
      </c>
      <c r="H14" s="4">
        <v>1</v>
      </c>
      <c r="I14" s="38">
        <v>50</v>
      </c>
      <c r="J14" s="39">
        <v>4</v>
      </c>
      <c r="K14" s="37">
        <v>39</v>
      </c>
      <c r="L14" s="37">
        <v>6</v>
      </c>
      <c r="M14" s="37">
        <f>VLOOKUP(A14,'2019_B5_Berechnung'!$B$71:$M$122,7,FALSE)</f>
        <v>63</v>
      </c>
      <c r="N14" s="37">
        <f>VLOOKUP(A14,'2019_B5_Berechnung'!$B$71:$M$122,6,FALSE)</f>
        <v>10</v>
      </c>
      <c r="O14" s="38">
        <v>40</v>
      </c>
      <c r="P14" s="39">
        <v>3</v>
      </c>
      <c r="Q14" s="38">
        <v>43</v>
      </c>
      <c r="R14" s="39">
        <v>8</v>
      </c>
      <c r="S14" s="116">
        <v>52</v>
      </c>
      <c r="T14" s="44">
        <v>9</v>
      </c>
      <c r="U14" s="119">
        <f>VLOOKUP(A14,'2019_B5_Berechnung'!$B$279:$M$330,7,FALSE)</f>
        <v>47</v>
      </c>
      <c r="V14" s="119">
        <f>VLOOKUP(A14,'2019_B5_Berechnung'!$B$279:$M$330,6,FALSE)</f>
        <v>11</v>
      </c>
    </row>
    <row r="15" spans="1:22" ht="8.25" customHeight="1" x14ac:dyDescent="0.25">
      <c r="A15" s="45">
        <v>155</v>
      </c>
      <c r="B15" s="3">
        <v>241999</v>
      </c>
      <c r="C15" s="37">
        <v>136</v>
      </c>
      <c r="D15" s="37">
        <v>23</v>
      </c>
      <c r="E15" s="4">
        <v>25</v>
      </c>
      <c r="F15" s="4">
        <v>13</v>
      </c>
      <c r="G15" s="4">
        <v>79</v>
      </c>
      <c r="H15" s="4">
        <v>17</v>
      </c>
      <c r="I15" s="38">
        <v>55</v>
      </c>
      <c r="J15" s="39">
        <v>9</v>
      </c>
      <c r="K15" s="37">
        <v>66</v>
      </c>
      <c r="L15" s="37">
        <v>20</v>
      </c>
      <c r="M15" s="37">
        <f>VLOOKUP(A15,'2019_B5_Berechnung'!$B$71:$M$122,7,FALSE)</f>
        <v>53</v>
      </c>
      <c r="N15" s="37">
        <f>VLOOKUP(A15,'2019_B5_Berechnung'!$B$71:$M$122,6,FALSE)</f>
        <v>18</v>
      </c>
      <c r="O15" s="38">
        <v>45</v>
      </c>
      <c r="P15" s="39">
        <v>17</v>
      </c>
      <c r="Q15" s="38">
        <v>46</v>
      </c>
      <c r="R15" s="39">
        <v>14</v>
      </c>
      <c r="S15" s="116">
        <v>43</v>
      </c>
      <c r="T15" s="44">
        <v>16</v>
      </c>
      <c r="U15" s="119">
        <f>VLOOKUP(A15,'2019_B5_Berechnung'!$B$279:$M$330,7,FALSE)</f>
        <v>53</v>
      </c>
      <c r="V15" s="119">
        <f>VLOOKUP(A15,'2019_B5_Berechnung'!$B$279:$M$330,6,FALSE)</f>
        <v>16</v>
      </c>
    </row>
    <row r="16" spans="1:22" ht="8.25" customHeight="1" x14ac:dyDescent="0.25">
      <c r="A16" s="45">
        <v>157</v>
      </c>
      <c r="B16" s="3">
        <v>251</v>
      </c>
      <c r="C16" s="37">
        <v>111</v>
      </c>
      <c r="D16" s="37">
        <v>28</v>
      </c>
      <c r="E16" s="4">
        <v>23</v>
      </c>
      <c r="F16" s="4">
        <v>12</v>
      </c>
      <c r="G16" s="4">
        <v>51</v>
      </c>
      <c r="H16" s="4">
        <v>13</v>
      </c>
      <c r="I16" s="38">
        <v>48</v>
      </c>
      <c r="J16" s="39">
        <v>11</v>
      </c>
      <c r="K16" s="37">
        <v>41</v>
      </c>
      <c r="L16" s="37">
        <v>11</v>
      </c>
      <c r="M16" s="37">
        <f>VLOOKUP(A16,'2019_B5_Berechnung'!$B$71:$M$122,7,FALSE)</f>
        <v>49</v>
      </c>
      <c r="N16" s="37">
        <f>VLOOKUP(A16,'2019_B5_Berechnung'!$B$71:$M$122,6,FALSE)</f>
        <v>22</v>
      </c>
      <c r="O16" s="38">
        <v>40</v>
      </c>
      <c r="P16" s="39">
        <v>13</v>
      </c>
      <c r="Q16" s="38">
        <v>35</v>
      </c>
      <c r="R16" s="39">
        <v>17</v>
      </c>
      <c r="S16" s="116">
        <v>52</v>
      </c>
      <c r="T16" s="44">
        <v>25</v>
      </c>
      <c r="U16" s="119">
        <f>VLOOKUP(A16,'2019_B5_Berechnung'!$B$279:$M$330,7,FALSE)</f>
        <v>37</v>
      </c>
      <c r="V16" s="119">
        <f>VLOOKUP(A16,'2019_B5_Berechnung'!$B$279:$M$330,6,FALSE)</f>
        <v>18</v>
      </c>
    </row>
    <row r="17" spans="1:22" ht="8.25" customHeight="1" x14ac:dyDescent="0.25">
      <c r="A17" s="45">
        <v>158</v>
      </c>
      <c r="B17" s="3">
        <v>252</v>
      </c>
      <c r="C17" s="37">
        <v>70</v>
      </c>
      <c r="D17" s="37">
        <v>10</v>
      </c>
      <c r="E17" s="4">
        <v>30</v>
      </c>
      <c r="F17" s="4">
        <v>6</v>
      </c>
      <c r="G17" s="4">
        <v>44</v>
      </c>
      <c r="H17" s="4">
        <v>5</v>
      </c>
      <c r="I17" s="38">
        <v>41</v>
      </c>
      <c r="J17" s="39">
        <v>4</v>
      </c>
      <c r="K17" s="37">
        <v>34</v>
      </c>
      <c r="L17" s="37">
        <v>11</v>
      </c>
      <c r="M17" s="37">
        <f>VLOOKUP(A17,'2019_B5_Berechnung'!$B$71:$M$122,7,FALSE)</f>
        <v>58</v>
      </c>
      <c r="N17" s="37">
        <f>VLOOKUP(A17,'2019_B5_Berechnung'!$B$71:$M$122,6,FALSE)</f>
        <v>7</v>
      </c>
      <c r="O17" s="38">
        <v>34</v>
      </c>
      <c r="P17" s="39">
        <v>11</v>
      </c>
      <c r="Q17" s="38">
        <v>41</v>
      </c>
      <c r="R17" s="39">
        <v>16</v>
      </c>
      <c r="S17" s="116">
        <v>42</v>
      </c>
      <c r="T17" s="44">
        <v>19</v>
      </c>
      <c r="U17" s="119">
        <f>VLOOKUP(A17,'2019_B5_Berechnung'!$B$279:$M$330,7,FALSE)</f>
        <v>43</v>
      </c>
      <c r="V17" s="119">
        <f>VLOOKUP(A17,'2019_B5_Berechnung'!$B$279:$M$330,6,FALSE)</f>
        <v>17</v>
      </c>
    </row>
    <row r="18" spans="1:22" s="29" customFormat="1" ht="8.25" customHeight="1" x14ac:dyDescent="0.25">
      <c r="A18" s="120">
        <v>159</v>
      </c>
      <c r="B18" s="3">
        <v>254</v>
      </c>
      <c r="C18" s="121">
        <f>'2019_B5 Ergänzung_Gö_Osterode'!P19</f>
        <v>283</v>
      </c>
      <c r="D18" s="121">
        <f>'2019_B5 Ergänzung_Gö_Osterode'!R19</f>
        <v>72</v>
      </c>
      <c r="E18" s="122">
        <f>'2019_B5 Ergänzung_Gö_Osterode'!T19</f>
        <v>162</v>
      </c>
      <c r="F18" s="122">
        <f>'2019_B5 Ergänzung_Gö_Osterode'!V19</f>
        <v>37</v>
      </c>
      <c r="G18" s="122">
        <f>'2019_B5 Ergänzung_Gö_Osterode'!X19</f>
        <v>129</v>
      </c>
      <c r="H18" s="122">
        <f>'2019_B5 Ergänzung_Gö_Osterode'!Z19</f>
        <v>22</v>
      </c>
      <c r="I18" s="116">
        <v>102</v>
      </c>
      <c r="J18" s="44">
        <v>31</v>
      </c>
      <c r="K18" s="121">
        <v>86</v>
      </c>
      <c r="L18" s="121">
        <v>21</v>
      </c>
      <c r="M18" s="121">
        <f>VLOOKUP(A18,'2019_B5_Berechnung'!$B$71:$M$122,7,FALSE)</f>
        <v>89</v>
      </c>
      <c r="N18" s="121">
        <f>VLOOKUP(A18,'2019_B5_Berechnung'!$B$71:$M$122,6,FALSE)</f>
        <v>36</v>
      </c>
      <c r="O18" s="116">
        <v>100</v>
      </c>
      <c r="P18" s="44">
        <v>44</v>
      </c>
      <c r="Q18" s="116">
        <v>87</v>
      </c>
      <c r="R18" s="44">
        <v>37</v>
      </c>
      <c r="S18" s="116">
        <v>118</v>
      </c>
      <c r="T18" s="44">
        <v>62</v>
      </c>
      <c r="U18" s="119">
        <f>VLOOKUP(A18,'2019_B5_Berechnung'!$B$279:$M$330,7,FALSE)</f>
        <v>152</v>
      </c>
      <c r="V18" s="119">
        <f>VLOOKUP(A18,'2019_B5_Berechnung'!$B$279:$M$330,6,FALSE)</f>
        <v>61</v>
      </c>
    </row>
    <row r="19" spans="1:22" s="36" customFormat="1" ht="16.5" customHeight="1" x14ac:dyDescent="0.25">
      <c r="A19" s="46">
        <v>1</v>
      </c>
      <c r="B19" s="5">
        <v>255</v>
      </c>
      <c r="C19" s="40">
        <v>1297</v>
      </c>
      <c r="D19" s="40">
        <v>316</v>
      </c>
      <c r="E19" s="41">
        <v>389</v>
      </c>
      <c r="F19" s="41">
        <v>140</v>
      </c>
      <c r="G19" s="41">
        <v>739</v>
      </c>
      <c r="H19" s="41">
        <v>101</v>
      </c>
      <c r="I19" s="42">
        <v>655</v>
      </c>
      <c r="J19" s="43">
        <v>110</v>
      </c>
      <c r="K19" s="40">
        <v>644</v>
      </c>
      <c r="L19" s="40">
        <v>140</v>
      </c>
      <c r="M19" s="40">
        <f>VLOOKUP(A19,'2019_B5_Berechnung'!$B$71:$M$122,7,FALSE)</f>
        <v>587</v>
      </c>
      <c r="N19" s="40">
        <f>VLOOKUP(A19,'2019_B5_Berechnung'!$B$71:$M$122,6,FALSE)</f>
        <v>158</v>
      </c>
      <c r="O19" s="42">
        <v>581</v>
      </c>
      <c r="P19" s="43">
        <v>151</v>
      </c>
      <c r="Q19" s="42">
        <v>592</v>
      </c>
      <c r="R19" s="43">
        <v>210</v>
      </c>
      <c r="S19" s="117">
        <v>660</v>
      </c>
      <c r="T19" s="118">
        <v>277</v>
      </c>
      <c r="U19" s="119">
        <f>VLOOKUP(A19,'2019_B5_Berechnung'!$B$279:$M$330,7,FALSE)</f>
        <v>675</v>
      </c>
      <c r="V19" s="119">
        <f>VLOOKUP(A19,'2019_B5_Berechnung'!$B$279:$M$330,6,FALSE)</f>
        <v>237</v>
      </c>
    </row>
    <row r="20" spans="1:22" ht="8.25" customHeight="1" x14ac:dyDescent="0.25">
      <c r="A20" s="45">
        <v>241</v>
      </c>
      <c r="B20" s="3">
        <v>256</v>
      </c>
      <c r="C20" s="37">
        <v>674</v>
      </c>
      <c r="D20" s="37">
        <v>311</v>
      </c>
      <c r="E20" s="4">
        <v>252</v>
      </c>
      <c r="F20" s="4">
        <v>187</v>
      </c>
      <c r="G20" s="4">
        <v>451</v>
      </c>
      <c r="H20" s="4">
        <v>163</v>
      </c>
      <c r="I20" s="38">
        <v>400</v>
      </c>
      <c r="J20" s="39">
        <v>144</v>
      </c>
      <c r="K20" s="37">
        <v>387</v>
      </c>
      <c r="L20" s="37">
        <v>131</v>
      </c>
      <c r="M20" s="37">
        <f>VLOOKUP(A20,'2019_B5_Berechnung'!$B$71:$M$122,7,FALSE)</f>
        <v>397</v>
      </c>
      <c r="N20" s="37">
        <f>VLOOKUP(A20,'2019_B5_Berechnung'!$B$71:$M$122,6,FALSE)</f>
        <v>139</v>
      </c>
      <c r="O20" s="38">
        <v>374</v>
      </c>
      <c r="P20" s="39">
        <v>173</v>
      </c>
      <c r="Q20" s="38">
        <v>360</v>
      </c>
      <c r="R20" s="39">
        <v>211</v>
      </c>
      <c r="S20" s="116">
        <v>413</v>
      </c>
      <c r="T20" s="44">
        <v>240</v>
      </c>
      <c r="U20" s="119">
        <f>VLOOKUP(A20,'2019_B5_Berechnung'!$B$279:$M$330,7,FALSE)</f>
        <v>401</v>
      </c>
      <c r="V20" s="119">
        <f>VLOOKUP(A20,'2019_B5_Berechnung'!$B$279:$M$330,6,FALSE)</f>
        <v>259</v>
      </c>
    </row>
    <row r="21" spans="1:22" ht="8.25" customHeight="1" x14ac:dyDescent="0.25">
      <c r="A21" s="45">
        <v>241001</v>
      </c>
      <c r="B21" s="3">
        <v>257</v>
      </c>
      <c r="C21" s="37">
        <v>297</v>
      </c>
      <c r="D21" s="37">
        <v>182</v>
      </c>
      <c r="E21" s="4">
        <v>126</v>
      </c>
      <c r="F21" s="4">
        <v>121</v>
      </c>
      <c r="G21" s="4">
        <v>220</v>
      </c>
      <c r="H21" s="4">
        <v>99</v>
      </c>
      <c r="I21" s="38">
        <v>196</v>
      </c>
      <c r="J21" s="39">
        <v>71</v>
      </c>
      <c r="K21" s="37">
        <v>201</v>
      </c>
      <c r="L21" s="37">
        <v>74</v>
      </c>
      <c r="M21" s="37">
        <f>VLOOKUP(A21,'2019_B5_Berechnung'!$B$71:$M$122,7,FALSE)</f>
        <v>205</v>
      </c>
      <c r="N21" s="37">
        <f>VLOOKUP(A21,'2019_B5_Berechnung'!$B$71:$M$122,6,FALSE)</f>
        <v>72</v>
      </c>
      <c r="O21" s="38">
        <v>163</v>
      </c>
      <c r="P21" s="39">
        <v>105</v>
      </c>
      <c r="Q21" s="38">
        <v>174</v>
      </c>
      <c r="R21" s="39">
        <v>129</v>
      </c>
      <c r="S21" s="116">
        <v>222</v>
      </c>
      <c r="T21" s="44">
        <v>126</v>
      </c>
      <c r="U21" s="119">
        <f>VLOOKUP(A21,'2019_B5_Berechnung'!$B$279:$M$330,7,FALSE)</f>
        <v>185</v>
      </c>
      <c r="V21" s="119">
        <f>VLOOKUP(A21,'2019_B5_Berechnung'!$B$279:$M$330,6,FALSE)</f>
        <v>135</v>
      </c>
    </row>
    <row r="22" spans="1:22" ht="8.25" customHeight="1" x14ac:dyDescent="0.25">
      <c r="A22" s="45">
        <v>241999</v>
      </c>
      <c r="B22" s="3">
        <v>2</v>
      </c>
      <c r="C22" s="37">
        <v>377</v>
      </c>
      <c r="D22" s="37">
        <v>129</v>
      </c>
      <c r="E22" s="4">
        <v>126</v>
      </c>
      <c r="F22" s="4">
        <v>66</v>
      </c>
      <c r="G22" s="4">
        <v>231</v>
      </c>
      <c r="H22" s="4">
        <v>64</v>
      </c>
      <c r="I22" s="38">
        <v>204</v>
      </c>
      <c r="J22" s="44">
        <v>73</v>
      </c>
      <c r="K22" s="37">
        <v>186</v>
      </c>
      <c r="L22" s="37">
        <v>57</v>
      </c>
      <c r="M22" s="37">
        <f>VLOOKUP(A22,'2019_B5_Berechnung'!$B$71:$M$122,7,FALSE)</f>
        <v>192</v>
      </c>
      <c r="N22" s="37">
        <f>VLOOKUP(A22,'2019_B5_Berechnung'!$B$71:$M$122,6,FALSE)</f>
        <v>67</v>
      </c>
      <c r="O22" s="38">
        <v>211</v>
      </c>
      <c r="P22" s="38">
        <v>68</v>
      </c>
      <c r="Q22" s="38">
        <v>186</v>
      </c>
      <c r="R22" s="38">
        <v>82</v>
      </c>
      <c r="S22" s="116">
        <v>191</v>
      </c>
      <c r="T22" s="116">
        <v>114</v>
      </c>
      <c r="U22" s="119">
        <f>VLOOKUP(A22,'2019_B5_Berechnung'!$B$279:$M$330,7,FALSE)</f>
        <v>216</v>
      </c>
      <c r="V22" s="119">
        <f>VLOOKUP(A22,'2019_B5_Berechnung'!$B$279:$M$330,6,FALSE)</f>
        <v>124</v>
      </c>
    </row>
    <row r="23" spans="1:22" ht="8.25" customHeight="1" x14ac:dyDescent="0.25">
      <c r="A23" s="45">
        <v>251</v>
      </c>
      <c r="B23" s="3">
        <v>351</v>
      </c>
      <c r="C23" s="37">
        <v>128</v>
      </c>
      <c r="D23" s="37">
        <v>30</v>
      </c>
      <c r="E23" s="4">
        <v>54</v>
      </c>
      <c r="F23" s="4">
        <v>10</v>
      </c>
      <c r="G23" s="4">
        <v>81</v>
      </c>
      <c r="H23" s="4">
        <v>9</v>
      </c>
      <c r="I23" s="38">
        <v>69</v>
      </c>
      <c r="J23" s="39">
        <v>14</v>
      </c>
      <c r="K23" s="37">
        <v>53</v>
      </c>
      <c r="L23" s="37">
        <v>9</v>
      </c>
      <c r="M23" s="37">
        <f>VLOOKUP(A23,'2019_B5_Berechnung'!$B$71:$M$122,7,FALSE)</f>
        <v>60</v>
      </c>
      <c r="N23" s="37">
        <f>VLOOKUP(A23,'2019_B5_Berechnung'!$B$71:$M$122,6,FALSE)</f>
        <v>11</v>
      </c>
      <c r="O23" s="38">
        <v>68</v>
      </c>
      <c r="P23" s="39">
        <v>13</v>
      </c>
      <c r="Q23" s="38">
        <v>66</v>
      </c>
      <c r="R23" s="39">
        <v>31</v>
      </c>
      <c r="S23" s="116">
        <v>64</v>
      </c>
      <c r="T23" s="44">
        <v>41</v>
      </c>
      <c r="U23" s="119">
        <f>VLOOKUP(A23,'2019_B5_Berechnung'!$B$279:$M$330,7,FALSE)</f>
        <v>80</v>
      </c>
      <c r="V23" s="119">
        <f>VLOOKUP(A23,'2019_B5_Berechnung'!$B$279:$M$330,6,FALSE)</f>
        <v>43</v>
      </c>
    </row>
    <row r="24" spans="1:22" ht="8.25" customHeight="1" x14ac:dyDescent="0.25">
      <c r="A24" s="45">
        <v>252</v>
      </c>
      <c r="B24" s="3">
        <v>352</v>
      </c>
      <c r="C24" s="37">
        <v>151</v>
      </c>
      <c r="D24" s="37">
        <v>47</v>
      </c>
      <c r="E24" s="4">
        <v>62</v>
      </c>
      <c r="F24" s="4">
        <v>19</v>
      </c>
      <c r="G24" s="37">
        <v>88</v>
      </c>
      <c r="H24" s="37">
        <v>9</v>
      </c>
      <c r="I24" s="38">
        <v>101</v>
      </c>
      <c r="J24" s="39">
        <v>11</v>
      </c>
      <c r="K24" s="37">
        <v>78</v>
      </c>
      <c r="L24" s="37">
        <v>10</v>
      </c>
      <c r="M24" s="37">
        <f>VLOOKUP(A24,'2019_B5_Berechnung'!$B$71:$M$122,7,FALSE)</f>
        <v>67</v>
      </c>
      <c r="N24" s="37">
        <f>VLOOKUP(A24,'2019_B5_Berechnung'!$B$71:$M$122,6,FALSE)</f>
        <v>21</v>
      </c>
      <c r="O24" s="38">
        <v>45</v>
      </c>
      <c r="P24" s="39">
        <v>15</v>
      </c>
      <c r="Q24" s="38">
        <v>57</v>
      </c>
      <c r="R24" s="39">
        <v>18</v>
      </c>
      <c r="S24" s="116">
        <v>68</v>
      </c>
      <c r="T24" s="44">
        <v>33</v>
      </c>
      <c r="U24" s="119">
        <f>VLOOKUP(A24,'2019_B5_Berechnung'!$B$279:$M$330,7,FALSE)</f>
        <v>93</v>
      </c>
      <c r="V24" s="119">
        <f>VLOOKUP(A24,'2019_B5_Berechnung'!$B$279:$M$330,6,FALSE)</f>
        <v>54</v>
      </c>
    </row>
    <row r="25" spans="1:22" ht="8.25" customHeight="1" x14ac:dyDescent="0.25">
      <c r="A25" s="45">
        <v>254</v>
      </c>
      <c r="B25" s="3">
        <v>353</v>
      </c>
      <c r="C25" s="37">
        <v>244</v>
      </c>
      <c r="D25" s="37">
        <v>82</v>
      </c>
      <c r="E25" s="4">
        <v>79</v>
      </c>
      <c r="F25" s="4">
        <v>32</v>
      </c>
      <c r="G25" s="4">
        <v>145</v>
      </c>
      <c r="H25" s="4">
        <v>25</v>
      </c>
      <c r="I25" s="38">
        <v>153</v>
      </c>
      <c r="J25" s="39">
        <v>28</v>
      </c>
      <c r="K25" s="37">
        <v>157</v>
      </c>
      <c r="L25" s="37">
        <v>23</v>
      </c>
      <c r="M25" s="37">
        <f>VLOOKUP(A25,'2019_B5_Berechnung'!$B$71:$M$122,7,FALSE)</f>
        <v>191</v>
      </c>
      <c r="N25" s="37">
        <f>VLOOKUP(A25,'2019_B5_Berechnung'!$B$71:$M$122,6,FALSE)</f>
        <v>25</v>
      </c>
      <c r="O25" s="38">
        <v>147</v>
      </c>
      <c r="P25" s="39">
        <v>32</v>
      </c>
      <c r="Q25" s="38">
        <v>139</v>
      </c>
      <c r="R25" s="39">
        <v>46</v>
      </c>
      <c r="S25" s="116">
        <v>129</v>
      </c>
      <c r="T25" s="44">
        <v>54</v>
      </c>
      <c r="U25" s="119">
        <f>VLOOKUP(A25,'2019_B5_Berechnung'!$B$279:$M$330,7,FALSE)</f>
        <v>139</v>
      </c>
      <c r="V25" s="119">
        <f>VLOOKUP(A25,'2019_B5_Berechnung'!$B$279:$M$330,6,FALSE)</f>
        <v>72</v>
      </c>
    </row>
    <row r="26" spans="1:22" ht="8.25" customHeight="1" x14ac:dyDescent="0.25">
      <c r="A26" s="45">
        <v>255</v>
      </c>
      <c r="B26" s="3">
        <v>354</v>
      </c>
      <c r="C26" s="37">
        <v>55</v>
      </c>
      <c r="D26" s="37">
        <v>6</v>
      </c>
      <c r="E26" s="4">
        <v>11</v>
      </c>
      <c r="F26" s="4">
        <v>2</v>
      </c>
      <c r="G26" s="4">
        <v>37</v>
      </c>
      <c r="H26" s="4">
        <v>5</v>
      </c>
      <c r="I26" s="38">
        <v>46</v>
      </c>
      <c r="J26" s="39">
        <v>4</v>
      </c>
      <c r="K26" s="37">
        <v>48</v>
      </c>
      <c r="L26" s="37">
        <v>3</v>
      </c>
      <c r="M26" s="37">
        <f>VLOOKUP(A26,'2019_B5_Berechnung'!$B$71:$M$122,7,FALSE)</f>
        <v>51</v>
      </c>
      <c r="N26" s="37">
        <f>VLOOKUP(A26,'2019_B5_Berechnung'!$B$71:$M$122,6,FALSE)</f>
        <v>6</v>
      </c>
      <c r="O26" s="38">
        <v>21</v>
      </c>
      <c r="P26" s="39">
        <v>2</v>
      </c>
      <c r="Q26" s="38">
        <v>25</v>
      </c>
      <c r="R26" s="39">
        <v>2</v>
      </c>
      <c r="S26" s="116">
        <v>50</v>
      </c>
      <c r="T26" s="44">
        <v>12</v>
      </c>
      <c r="U26" s="119">
        <f>VLOOKUP(A26,'2019_B5_Berechnung'!$B$279:$M$330,7,FALSE)</f>
        <v>56</v>
      </c>
      <c r="V26" s="119">
        <f>VLOOKUP(A26,'2019_B5_Berechnung'!$B$279:$M$330,6,FALSE)</f>
        <v>7</v>
      </c>
    </row>
    <row r="27" spans="1:22" ht="8.25" customHeight="1" x14ac:dyDescent="0.25">
      <c r="A27" s="45">
        <v>256</v>
      </c>
      <c r="B27" s="3">
        <v>355</v>
      </c>
      <c r="C27" s="37">
        <v>102</v>
      </c>
      <c r="D27" s="37">
        <v>34</v>
      </c>
      <c r="E27" s="4">
        <v>23</v>
      </c>
      <c r="F27" s="4">
        <v>17</v>
      </c>
      <c r="G27" s="4">
        <v>62</v>
      </c>
      <c r="H27" s="4">
        <v>14</v>
      </c>
      <c r="I27" s="38">
        <v>65</v>
      </c>
      <c r="J27" s="39">
        <v>13</v>
      </c>
      <c r="K27" s="37">
        <v>95</v>
      </c>
      <c r="L27" s="37">
        <v>24</v>
      </c>
      <c r="M27" s="37">
        <f>VLOOKUP(A27,'2019_B5_Berechnung'!$B$71:$M$122,7,FALSE)</f>
        <v>60</v>
      </c>
      <c r="N27" s="37">
        <f>VLOOKUP(A27,'2019_B5_Berechnung'!$B$71:$M$122,6,FALSE)</f>
        <v>19</v>
      </c>
      <c r="O27" s="38">
        <v>46</v>
      </c>
      <c r="P27" s="39">
        <v>16</v>
      </c>
      <c r="Q27" s="38">
        <v>55</v>
      </c>
      <c r="R27" s="39">
        <v>19</v>
      </c>
      <c r="S27" s="116">
        <v>80</v>
      </c>
      <c r="T27" s="44">
        <v>57</v>
      </c>
      <c r="U27" s="119">
        <f>VLOOKUP(A27,'2019_B5_Berechnung'!$B$279:$M$330,7,FALSE)</f>
        <v>60</v>
      </c>
      <c r="V27" s="119">
        <f>VLOOKUP(A27,'2019_B5_Berechnung'!$B$279:$M$330,6,FALSE)</f>
        <v>25</v>
      </c>
    </row>
    <row r="28" spans="1:22" ht="8.25" customHeight="1" x14ac:dyDescent="0.25">
      <c r="A28" s="45">
        <v>257</v>
      </c>
      <c r="B28" s="3">
        <v>356</v>
      </c>
      <c r="C28" s="37">
        <v>141</v>
      </c>
      <c r="D28" s="37">
        <v>23</v>
      </c>
      <c r="E28" s="4">
        <v>38</v>
      </c>
      <c r="F28" s="4">
        <v>15</v>
      </c>
      <c r="G28" s="4">
        <v>64</v>
      </c>
      <c r="H28" s="4">
        <v>13</v>
      </c>
      <c r="I28" s="38">
        <v>48</v>
      </c>
      <c r="J28" s="39">
        <v>14</v>
      </c>
      <c r="K28" s="37">
        <v>31</v>
      </c>
      <c r="L28" s="37">
        <v>1</v>
      </c>
      <c r="M28" s="37">
        <f>VLOOKUP(A28,'2019_B5_Berechnung'!$B$71:$M$122,7,FALSE)</f>
        <v>36</v>
      </c>
      <c r="N28" s="37">
        <f>VLOOKUP(A28,'2019_B5_Berechnung'!$B$71:$M$122,6,FALSE)</f>
        <v>18</v>
      </c>
      <c r="O28" s="38">
        <v>57</v>
      </c>
      <c r="P28" s="39">
        <v>7</v>
      </c>
      <c r="Q28" s="38">
        <v>37</v>
      </c>
      <c r="R28" s="39">
        <v>41</v>
      </c>
      <c r="S28" s="116">
        <v>55</v>
      </c>
      <c r="T28" s="44">
        <v>25</v>
      </c>
      <c r="U28" s="119">
        <f>VLOOKUP(A28,'2019_B5_Berechnung'!$B$279:$M$330,7,FALSE)</f>
        <v>92</v>
      </c>
      <c r="V28" s="119">
        <f>VLOOKUP(A28,'2019_B5_Berechnung'!$B$279:$M$330,6,FALSE)</f>
        <v>30</v>
      </c>
    </row>
    <row r="29" spans="1:22" s="36" customFormat="1" ht="16.5" customHeight="1" x14ac:dyDescent="0.25">
      <c r="A29" s="46">
        <v>2</v>
      </c>
      <c r="B29" s="5">
        <v>357</v>
      </c>
      <c r="C29" s="40">
        <v>1495</v>
      </c>
      <c r="D29" s="40">
        <v>533</v>
      </c>
      <c r="E29" s="41">
        <v>519</v>
      </c>
      <c r="F29" s="41">
        <v>282</v>
      </c>
      <c r="G29" s="41">
        <v>928</v>
      </c>
      <c r="H29" s="41">
        <v>238</v>
      </c>
      <c r="I29" s="42">
        <v>882</v>
      </c>
      <c r="J29" s="40">
        <v>228</v>
      </c>
      <c r="K29" s="40">
        <v>849</v>
      </c>
      <c r="L29" s="40">
        <v>201</v>
      </c>
      <c r="M29" s="40">
        <f>VLOOKUP(A29,'2019_B5_Berechnung'!$B$71:$M$122,7,FALSE)</f>
        <v>862</v>
      </c>
      <c r="N29" s="40">
        <f>VLOOKUP(A29,'2019_B5_Berechnung'!$B$71:$M$122,6,FALSE)</f>
        <v>239</v>
      </c>
      <c r="O29" s="42">
        <v>758</v>
      </c>
      <c r="P29" s="43">
        <v>258</v>
      </c>
      <c r="Q29" s="42">
        <v>739</v>
      </c>
      <c r="R29" s="43">
        <v>368</v>
      </c>
      <c r="S29" s="117">
        <v>859</v>
      </c>
      <c r="T29" s="118">
        <v>462</v>
      </c>
      <c r="U29" s="119">
        <f>VLOOKUP(A29,'2019_B5_Berechnung'!$B$279:$M$330,7,FALSE)</f>
        <v>921</v>
      </c>
      <c r="V29" s="119">
        <f>VLOOKUP(A29,'2019_B5_Berechnung'!$B$279:$M$330,6,FALSE)</f>
        <v>490</v>
      </c>
    </row>
    <row r="30" spans="1:22" ht="8.25" customHeight="1" x14ac:dyDescent="0.25">
      <c r="A30" s="45">
        <v>351</v>
      </c>
      <c r="B30" s="3">
        <v>358</v>
      </c>
      <c r="C30" s="37">
        <v>181</v>
      </c>
      <c r="D30" s="37">
        <v>50</v>
      </c>
      <c r="E30" s="4">
        <v>52</v>
      </c>
      <c r="F30" s="4">
        <v>10</v>
      </c>
      <c r="G30" s="4">
        <v>126</v>
      </c>
      <c r="H30" s="4">
        <v>5</v>
      </c>
      <c r="I30" s="38">
        <v>110</v>
      </c>
      <c r="J30" s="39">
        <v>4</v>
      </c>
      <c r="K30" s="37">
        <v>81</v>
      </c>
      <c r="L30" s="37">
        <v>11</v>
      </c>
      <c r="M30" s="37">
        <f>VLOOKUP(A30,'2019_B5_Berechnung'!$B$71:$M$122,7,FALSE)</f>
        <v>86</v>
      </c>
      <c r="N30" s="37">
        <f>VLOOKUP(A30,'2019_B5_Berechnung'!$B$71:$M$122,6,FALSE)</f>
        <v>9</v>
      </c>
      <c r="O30" s="38">
        <v>74</v>
      </c>
      <c r="P30" s="39">
        <v>3</v>
      </c>
      <c r="Q30" s="38">
        <v>120</v>
      </c>
      <c r="R30" s="39">
        <v>22</v>
      </c>
      <c r="S30" s="116">
        <v>118</v>
      </c>
      <c r="T30" s="44">
        <v>32</v>
      </c>
      <c r="U30" s="119">
        <f>VLOOKUP(A30,'2019_B5_Berechnung'!$B$279:$M$330,7,FALSE)</f>
        <v>93</v>
      </c>
      <c r="V30" s="119">
        <f>VLOOKUP(A30,'2019_B5_Berechnung'!$B$279:$M$330,6,FALSE)</f>
        <v>30</v>
      </c>
    </row>
    <row r="31" spans="1:22" ht="8.25" customHeight="1" x14ac:dyDescent="0.25">
      <c r="A31" s="45">
        <v>352</v>
      </c>
      <c r="B31" s="3">
        <v>359</v>
      </c>
      <c r="C31" s="37">
        <v>180</v>
      </c>
      <c r="D31" s="37">
        <v>42</v>
      </c>
      <c r="E31" s="4">
        <v>48</v>
      </c>
      <c r="F31" s="4">
        <v>16</v>
      </c>
      <c r="G31" s="4">
        <v>156</v>
      </c>
      <c r="H31" s="4">
        <v>22</v>
      </c>
      <c r="I31" s="38">
        <v>132</v>
      </c>
      <c r="J31" s="39">
        <v>11</v>
      </c>
      <c r="K31" s="37">
        <v>122</v>
      </c>
      <c r="L31" s="37">
        <v>16</v>
      </c>
      <c r="M31" s="37">
        <f>VLOOKUP(A31,'2019_B5_Berechnung'!$B$71:$M$122,7,FALSE)</f>
        <v>66</v>
      </c>
      <c r="N31" s="37">
        <f>VLOOKUP(A31,'2019_B5_Berechnung'!$B$71:$M$122,6,FALSE)</f>
        <v>17</v>
      </c>
      <c r="O31" s="38">
        <v>115</v>
      </c>
      <c r="P31" s="39">
        <v>27</v>
      </c>
      <c r="Q31" s="38">
        <v>98</v>
      </c>
      <c r="R31" s="39">
        <v>40</v>
      </c>
      <c r="S31" s="116">
        <v>118</v>
      </c>
      <c r="T31" s="44">
        <v>23</v>
      </c>
      <c r="U31" s="119">
        <f>VLOOKUP(A31,'2019_B5_Berechnung'!$B$279:$M$330,7,FALSE)</f>
        <v>116</v>
      </c>
      <c r="V31" s="119">
        <f>VLOOKUP(A31,'2019_B5_Berechnung'!$B$279:$M$330,6,FALSE)</f>
        <v>35</v>
      </c>
    </row>
    <row r="32" spans="1:22" ht="8.25" customHeight="1" x14ac:dyDescent="0.25">
      <c r="A32" s="45">
        <v>353</v>
      </c>
      <c r="B32" s="3">
        <v>360</v>
      </c>
      <c r="C32" s="37">
        <v>159</v>
      </c>
      <c r="D32" s="37">
        <v>41</v>
      </c>
      <c r="E32" s="4">
        <v>51</v>
      </c>
      <c r="F32" s="4">
        <v>20</v>
      </c>
      <c r="G32" s="4">
        <v>90</v>
      </c>
      <c r="H32" s="4">
        <v>12</v>
      </c>
      <c r="I32" s="38">
        <v>66</v>
      </c>
      <c r="J32" s="39">
        <v>7</v>
      </c>
      <c r="K32" s="37">
        <v>61</v>
      </c>
      <c r="L32" s="37">
        <v>11</v>
      </c>
      <c r="M32" s="37">
        <f>VLOOKUP(A32,'2019_B5_Berechnung'!$B$71:$M$122,7,FALSE)</f>
        <v>53</v>
      </c>
      <c r="N32" s="37">
        <f>VLOOKUP(A32,'2019_B5_Berechnung'!$B$71:$M$122,6,FALSE)</f>
        <v>7</v>
      </c>
      <c r="O32" s="38">
        <v>60</v>
      </c>
      <c r="P32" s="39">
        <v>10</v>
      </c>
      <c r="Q32" s="38">
        <v>75</v>
      </c>
      <c r="R32" s="39">
        <v>23</v>
      </c>
      <c r="S32" s="116">
        <v>63</v>
      </c>
      <c r="T32" s="44">
        <v>18</v>
      </c>
      <c r="U32" s="119">
        <f>VLOOKUP(A32,'2019_B5_Berechnung'!$B$279:$M$330,7,FALSE)</f>
        <v>99</v>
      </c>
      <c r="V32" s="119">
        <f>VLOOKUP(A32,'2019_B5_Berechnung'!$B$279:$M$330,6,FALSE)</f>
        <v>21</v>
      </c>
    </row>
    <row r="33" spans="1:22" ht="8.25" customHeight="1" x14ac:dyDescent="0.25">
      <c r="A33" s="45">
        <v>354</v>
      </c>
      <c r="B33" s="3">
        <v>361</v>
      </c>
      <c r="C33" s="37">
        <v>63</v>
      </c>
      <c r="D33" s="37">
        <v>8</v>
      </c>
      <c r="E33" s="4">
        <v>10</v>
      </c>
      <c r="F33" s="4">
        <v>2</v>
      </c>
      <c r="G33" s="4">
        <v>29</v>
      </c>
      <c r="H33" s="4">
        <v>3</v>
      </c>
      <c r="I33" s="38">
        <v>27</v>
      </c>
      <c r="J33" s="39">
        <v>1</v>
      </c>
      <c r="K33" s="37">
        <v>34</v>
      </c>
      <c r="L33" s="37">
        <v>6</v>
      </c>
      <c r="M33" s="37">
        <f>VLOOKUP(A33,'2019_B5_Berechnung'!$B$71:$M$122,7,FALSE)</f>
        <v>35</v>
      </c>
      <c r="N33" s="37">
        <f>VLOOKUP(A33,'2019_B5_Berechnung'!$B$71:$M$122,6,FALSE)</f>
        <v>2</v>
      </c>
      <c r="O33" s="38">
        <v>25</v>
      </c>
      <c r="P33" s="39">
        <v>9</v>
      </c>
      <c r="Q33" s="38">
        <v>34</v>
      </c>
      <c r="R33" s="39">
        <v>8</v>
      </c>
      <c r="S33" s="116">
        <v>31</v>
      </c>
      <c r="T33" s="44">
        <v>7</v>
      </c>
      <c r="U33" s="119">
        <f>VLOOKUP(A33,'2019_B5_Berechnung'!$B$279:$M$330,7,FALSE)</f>
        <v>40</v>
      </c>
      <c r="V33" s="119">
        <f>VLOOKUP(A33,'2019_B5_Berechnung'!$B$279:$M$330,6,FALSE)</f>
        <v>3</v>
      </c>
    </row>
    <row r="34" spans="1:22" ht="8.25" customHeight="1" x14ac:dyDescent="0.25">
      <c r="A34" s="45">
        <v>355</v>
      </c>
      <c r="B34" s="3">
        <v>3</v>
      </c>
      <c r="C34" s="37">
        <v>105</v>
      </c>
      <c r="D34" s="37">
        <v>22</v>
      </c>
      <c r="E34" s="4">
        <v>35</v>
      </c>
      <c r="F34" s="4">
        <v>4</v>
      </c>
      <c r="G34" s="4">
        <v>84</v>
      </c>
      <c r="H34" s="4">
        <v>4</v>
      </c>
      <c r="I34" s="38">
        <v>68</v>
      </c>
      <c r="J34" s="39">
        <v>8</v>
      </c>
      <c r="K34" s="37">
        <v>67</v>
      </c>
      <c r="L34" s="37">
        <v>5</v>
      </c>
      <c r="M34" s="37">
        <f>VLOOKUP(A34,'2019_B5_Berechnung'!$B$71:$M$122,7,FALSE)</f>
        <v>56</v>
      </c>
      <c r="N34" s="37">
        <f>VLOOKUP(A34,'2019_B5_Berechnung'!$B$71:$M$122,6,FALSE)</f>
        <v>7</v>
      </c>
      <c r="O34" s="38">
        <v>64</v>
      </c>
      <c r="P34" s="39">
        <v>8</v>
      </c>
      <c r="Q34" s="38">
        <v>87</v>
      </c>
      <c r="R34" s="39">
        <v>12</v>
      </c>
      <c r="S34" s="116">
        <v>84</v>
      </c>
      <c r="T34" s="44">
        <v>15</v>
      </c>
      <c r="U34" s="119">
        <f>VLOOKUP(A34,'2019_B5_Berechnung'!$B$279:$M$330,7,FALSE)</f>
        <v>82</v>
      </c>
      <c r="V34" s="119">
        <f>VLOOKUP(A34,'2019_B5_Berechnung'!$B$279:$M$330,6,FALSE)</f>
        <v>27</v>
      </c>
    </row>
    <row r="35" spans="1:22" ht="8.25" customHeight="1" x14ac:dyDescent="0.25">
      <c r="A35" s="45">
        <v>356</v>
      </c>
      <c r="B35" s="3">
        <v>401</v>
      </c>
      <c r="C35" s="37">
        <v>63</v>
      </c>
      <c r="D35" s="37">
        <v>21</v>
      </c>
      <c r="E35" s="4">
        <v>24</v>
      </c>
      <c r="F35" s="4">
        <v>8</v>
      </c>
      <c r="G35" s="4">
        <v>44</v>
      </c>
      <c r="H35" s="4">
        <v>9</v>
      </c>
      <c r="I35" s="38">
        <v>72</v>
      </c>
      <c r="J35" s="39">
        <v>3</v>
      </c>
      <c r="K35" s="37">
        <v>59</v>
      </c>
      <c r="L35" s="37">
        <v>7</v>
      </c>
      <c r="M35" s="37">
        <f>VLOOKUP(A35,'2019_B5_Berechnung'!$B$71:$M$122,7,FALSE)</f>
        <v>35</v>
      </c>
      <c r="N35" s="37">
        <f>VLOOKUP(A35,'2019_B5_Berechnung'!$B$71:$M$122,6,FALSE)</f>
        <v>4</v>
      </c>
      <c r="O35" s="38">
        <v>29</v>
      </c>
      <c r="P35" s="39">
        <v>9</v>
      </c>
      <c r="Q35" s="38">
        <v>35</v>
      </c>
      <c r="R35" s="39">
        <v>7</v>
      </c>
      <c r="S35" s="116">
        <v>29</v>
      </c>
      <c r="T35" s="44">
        <v>9</v>
      </c>
      <c r="U35" s="119">
        <f>VLOOKUP(A35,'2019_B5_Berechnung'!$B$279:$M$330,7,FALSE)</f>
        <v>35</v>
      </c>
      <c r="V35" s="119">
        <f>VLOOKUP(A35,'2019_B5_Berechnung'!$B$279:$M$330,6,FALSE)</f>
        <v>13</v>
      </c>
    </row>
    <row r="36" spans="1:22" ht="8.25" customHeight="1" x14ac:dyDescent="0.25">
      <c r="A36" s="45">
        <v>357</v>
      </c>
      <c r="B36" s="3">
        <v>402</v>
      </c>
      <c r="C36" s="37">
        <v>218</v>
      </c>
      <c r="D36" s="37">
        <v>18</v>
      </c>
      <c r="E36" s="4">
        <v>45</v>
      </c>
      <c r="F36" s="4">
        <v>13</v>
      </c>
      <c r="G36" s="4">
        <v>82</v>
      </c>
      <c r="H36" s="4">
        <v>12</v>
      </c>
      <c r="I36" s="38">
        <v>91</v>
      </c>
      <c r="J36" s="39">
        <v>4</v>
      </c>
      <c r="K36" s="37">
        <v>91</v>
      </c>
      <c r="L36" s="37">
        <v>6</v>
      </c>
      <c r="M36" s="37">
        <f>VLOOKUP(A36,'2019_B5_Berechnung'!$B$71:$M$122,7,FALSE)</f>
        <v>98</v>
      </c>
      <c r="N36" s="37">
        <f>VLOOKUP(A36,'2019_B5_Berechnung'!$B$71:$M$122,6,FALSE)</f>
        <v>9</v>
      </c>
      <c r="O36" s="38">
        <v>89</v>
      </c>
      <c r="P36" s="39">
        <v>20</v>
      </c>
      <c r="Q36" s="38">
        <v>94</v>
      </c>
      <c r="R36" s="39">
        <v>17</v>
      </c>
      <c r="S36" s="116">
        <v>108</v>
      </c>
      <c r="T36" s="44">
        <v>19</v>
      </c>
      <c r="U36" s="119">
        <f>VLOOKUP(A36,'2019_B5_Berechnung'!$B$279:$M$330,7,FALSE)</f>
        <v>131</v>
      </c>
      <c r="V36" s="119">
        <f>VLOOKUP(A36,'2019_B5_Berechnung'!$B$279:$M$330,6,FALSE)</f>
        <v>28</v>
      </c>
    </row>
    <row r="37" spans="1:22" ht="8.25" customHeight="1" x14ac:dyDescent="0.25">
      <c r="A37" s="45">
        <v>358</v>
      </c>
      <c r="B37" s="3">
        <v>403</v>
      </c>
      <c r="C37" s="37">
        <v>143</v>
      </c>
      <c r="D37" s="37">
        <v>33</v>
      </c>
      <c r="E37" s="4">
        <v>43</v>
      </c>
      <c r="F37" s="4">
        <v>10</v>
      </c>
      <c r="G37" s="4">
        <v>109</v>
      </c>
      <c r="H37" s="4">
        <v>13</v>
      </c>
      <c r="I37" s="38">
        <v>106</v>
      </c>
      <c r="J37" s="39">
        <v>22</v>
      </c>
      <c r="K37" s="37">
        <v>82</v>
      </c>
      <c r="L37" s="37">
        <v>12</v>
      </c>
      <c r="M37" s="37">
        <f>VLOOKUP(A37,'2019_B5_Berechnung'!$B$71:$M$122,7,FALSE)</f>
        <v>95</v>
      </c>
      <c r="N37" s="37">
        <f>VLOOKUP(A37,'2019_B5_Berechnung'!$B$71:$M$122,6,FALSE)</f>
        <v>15</v>
      </c>
      <c r="O37" s="38">
        <v>98</v>
      </c>
      <c r="P37" s="39">
        <v>13</v>
      </c>
      <c r="Q37" s="38">
        <v>80</v>
      </c>
      <c r="R37" s="39">
        <v>17</v>
      </c>
      <c r="S37" s="116">
        <v>88</v>
      </c>
      <c r="T37" s="44">
        <v>16</v>
      </c>
      <c r="U37" s="119">
        <f>VLOOKUP(A37,'2019_B5_Berechnung'!$B$279:$M$330,7,FALSE)</f>
        <v>72</v>
      </c>
      <c r="V37" s="119">
        <f>VLOOKUP(A37,'2019_B5_Berechnung'!$B$279:$M$330,6,FALSE)</f>
        <v>13</v>
      </c>
    </row>
    <row r="38" spans="1:22" ht="8.25" customHeight="1" x14ac:dyDescent="0.25">
      <c r="A38" s="45">
        <v>359</v>
      </c>
      <c r="B38" s="3">
        <v>404</v>
      </c>
      <c r="C38" s="37">
        <v>193</v>
      </c>
      <c r="D38" s="37">
        <v>28</v>
      </c>
      <c r="E38" s="4">
        <v>51</v>
      </c>
      <c r="F38" s="4">
        <v>15</v>
      </c>
      <c r="G38" s="4">
        <v>112</v>
      </c>
      <c r="H38" s="4">
        <v>5</v>
      </c>
      <c r="I38" s="38">
        <v>102</v>
      </c>
      <c r="J38" s="39">
        <v>10</v>
      </c>
      <c r="K38" s="37">
        <v>73</v>
      </c>
      <c r="L38" s="37">
        <v>14</v>
      </c>
      <c r="M38" s="37">
        <f>VLOOKUP(A38,'2019_B5_Berechnung'!$B$71:$M$122,7,FALSE)</f>
        <v>74</v>
      </c>
      <c r="N38" s="37">
        <f>VLOOKUP(A38,'2019_B5_Berechnung'!$B$71:$M$122,6,FALSE)</f>
        <v>28</v>
      </c>
      <c r="O38" s="38">
        <v>105</v>
      </c>
      <c r="P38" s="39">
        <v>43</v>
      </c>
      <c r="Q38" s="38">
        <v>80</v>
      </c>
      <c r="R38" s="39">
        <v>29</v>
      </c>
      <c r="S38" s="116">
        <v>125</v>
      </c>
      <c r="T38" s="44">
        <v>37</v>
      </c>
      <c r="U38" s="119">
        <f>VLOOKUP(A38,'2019_B5_Berechnung'!$B$279:$M$330,7,FALSE)</f>
        <v>105</v>
      </c>
      <c r="V38" s="119">
        <f>VLOOKUP(A38,'2019_B5_Berechnung'!$B$279:$M$330,6,FALSE)</f>
        <v>36</v>
      </c>
    </row>
    <row r="39" spans="1:22" ht="8.25" customHeight="1" x14ac:dyDescent="0.25">
      <c r="A39" s="45">
        <v>360</v>
      </c>
      <c r="B39" s="3">
        <v>405</v>
      </c>
      <c r="C39" s="37">
        <v>111</v>
      </c>
      <c r="D39" s="37">
        <v>19</v>
      </c>
      <c r="E39" s="4">
        <v>19</v>
      </c>
      <c r="F39" s="4">
        <v>1</v>
      </c>
      <c r="G39" s="4">
        <v>45</v>
      </c>
      <c r="H39" s="4">
        <v>1</v>
      </c>
      <c r="I39" s="38">
        <v>32</v>
      </c>
      <c r="J39" s="39">
        <v>3</v>
      </c>
      <c r="K39" s="37">
        <v>41</v>
      </c>
      <c r="L39" s="37">
        <v>3</v>
      </c>
      <c r="M39" s="37">
        <f>VLOOKUP(A39,'2019_B5_Berechnung'!$B$71:$M$122,7,FALSE)</f>
        <v>29</v>
      </c>
      <c r="N39" s="37">
        <f>VLOOKUP(A39,'2019_B5_Berechnung'!$B$71:$M$122,6,FALSE)</f>
        <v>5</v>
      </c>
      <c r="O39" s="38">
        <v>39</v>
      </c>
      <c r="P39" s="39">
        <v>6</v>
      </c>
      <c r="Q39" s="38">
        <v>38</v>
      </c>
      <c r="R39" s="39">
        <v>17</v>
      </c>
      <c r="S39" s="116">
        <v>46</v>
      </c>
      <c r="T39" s="44">
        <v>8</v>
      </c>
      <c r="U39" s="119">
        <f>VLOOKUP(A39,'2019_B5_Berechnung'!$B$279:$M$330,7,FALSE)</f>
        <v>72</v>
      </c>
      <c r="V39" s="119">
        <f>VLOOKUP(A39,'2019_B5_Berechnung'!$B$279:$M$330,6,FALSE)</f>
        <v>9</v>
      </c>
    </row>
    <row r="40" spans="1:22" ht="8.25" customHeight="1" x14ac:dyDescent="0.25">
      <c r="A40" s="45">
        <v>361</v>
      </c>
      <c r="B40" s="3">
        <v>451</v>
      </c>
      <c r="C40" s="37">
        <v>125</v>
      </c>
      <c r="D40" s="37">
        <v>47</v>
      </c>
      <c r="E40" s="4">
        <v>25</v>
      </c>
      <c r="F40" s="4">
        <v>18</v>
      </c>
      <c r="G40" s="4">
        <v>48</v>
      </c>
      <c r="H40" s="4">
        <v>10</v>
      </c>
      <c r="I40" s="38">
        <v>66</v>
      </c>
      <c r="J40" s="39">
        <v>8</v>
      </c>
      <c r="K40" s="37">
        <v>38</v>
      </c>
      <c r="L40" s="37">
        <v>16</v>
      </c>
      <c r="M40" s="37">
        <f>VLOOKUP(A40,'2019_B5_Berechnung'!$B$71:$M$122,7,FALSE)</f>
        <v>54</v>
      </c>
      <c r="N40" s="37">
        <f>VLOOKUP(A40,'2019_B5_Berechnung'!$B$71:$M$122,6,FALSE)</f>
        <v>21</v>
      </c>
      <c r="O40" s="38">
        <v>48</v>
      </c>
      <c r="P40" s="39">
        <v>14</v>
      </c>
      <c r="Q40" s="38">
        <v>34</v>
      </c>
      <c r="R40" s="39">
        <v>24</v>
      </c>
      <c r="S40" s="116">
        <v>39</v>
      </c>
      <c r="T40" s="44">
        <v>14</v>
      </c>
      <c r="U40" s="119">
        <f>VLOOKUP(A40,'2019_B5_Berechnung'!$B$279:$M$330,7,FALSE)</f>
        <v>55</v>
      </c>
      <c r="V40" s="119">
        <f>VLOOKUP(A40,'2019_B5_Berechnung'!$B$279:$M$330,6,FALSE)</f>
        <v>14</v>
      </c>
    </row>
    <row r="41" spans="1:22" s="36" customFormat="1" ht="16.5" customHeight="1" x14ac:dyDescent="0.25">
      <c r="A41" s="46">
        <v>3</v>
      </c>
      <c r="B41" s="5">
        <v>452</v>
      </c>
      <c r="C41" s="40">
        <v>1541</v>
      </c>
      <c r="D41" s="40">
        <v>329</v>
      </c>
      <c r="E41" s="41">
        <v>403</v>
      </c>
      <c r="F41" s="41">
        <v>117</v>
      </c>
      <c r="G41" s="41">
        <v>925</v>
      </c>
      <c r="H41" s="41">
        <v>96</v>
      </c>
      <c r="I41" s="40">
        <v>872</v>
      </c>
      <c r="J41" s="43">
        <v>81</v>
      </c>
      <c r="K41" s="40">
        <v>749</v>
      </c>
      <c r="L41" s="40">
        <v>107</v>
      </c>
      <c r="M41" s="40">
        <f>VLOOKUP(A41,'2019_B5_Berechnung'!$B$71:$M$122,7,FALSE)</f>
        <v>681</v>
      </c>
      <c r="N41" s="40">
        <f>VLOOKUP(A41,'2019_B5_Berechnung'!$B$71:$M$122,6,FALSE)</f>
        <v>124</v>
      </c>
      <c r="O41" s="42">
        <v>746</v>
      </c>
      <c r="P41" s="43">
        <v>162</v>
      </c>
      <c r="Q41" s="42">
        <v>775</v>
      </c>
      <c r="R41" s="43">
        <v>216</v>
      </c>
      <c r="S41" s="117">
        <v>849</v>
      </c>
      <c r="T41" s="118">
        <v>198</v>
      </c>
      <c r="U41" s="119">
        <f>VLOOKUP(A41,'2019_B5_Berechnung'!$B$279:$M$330,7,FALSE)</f>
        <v>900</v>
      </c>
      <c r="V41" s="119">
        <f>VLOOKUP(A41,'2019_B5_Berechnung'!$B$279:$M$330,6,FALSE)</f>
        <v>229</v>
      </c>
    </row>
    <row r="42" spans="1:22" ht="8.25" customHeight="1" x14ac:dyDescent="0.25">
      <c r="A42" s="45">
        <v>401</v>
      </c>
      <c r="B42" s="3">
        <v>453</v>
      </c>
      <c r="C42" s="37">
        <v>77</v>
      </c>
      <c r="D42" s="37">
        <v>34</v>
      </c>
      <c r="E42" s="4">
        <v>30</v>
      </c>
      <c r="F42" s="4">
        <v>28</v>
      </c>
      <c r="G42" s="4">
        <v>37</v>
      </c>
      <c r="H42" s="4">
        <v>19</v>
      </c>
      <c r="I42" s="38">
        <v>43</v>
      </c>
      <c r="J42" s="39">
        <v>16</v>
      </c>
      <c r="K42" s="37">
        <v>39</v>
      </c>
      <c r="L42" s="37">
        <v>13</v>
      </c>
      <c r="M42" s="37">
        <f>VLOOKUP(A42,'2019_B5_Berechnung'!$B$71:$M$122,7,FALSE)</f>
        <v>30</v>
      </c>
      <c r="N42" s="37">
        <f>VLOOKUP(A42,'2019_B5_Berechnung'!$B$71:$M$122,6,FALSE)</f>
        <v>28</v>
      </c>
      <c r="O42" s="38">
        <v>36</v>
      </c>
      <c r="P42" s="39">
        <v>12</v>
      </c>
      <c r="Q42" s="38">
        <v>44</v>
      </c>
      <c r="R42" s="39">
        <v>40</v>
      </c>
      <c r="S42" s="116">
        <v>36</v>
      </c>
      <c r="T42" s="44">
        <v>37</v>
      </c>
      <c r="U42" s="119">
        <f>VLOOKUP(A42,'2019_B5_Berechnung'!$B$279:$M$330,7,FALSE)</f>
        <v>42</v>
      </c>
      <c r="V42" s="119">
        <f>VLOOKUP(A42,'2019_B5_Berechnung'!$B$279:$M$330,6,FALSE)</f>
        <v>68</v>
      </c>
    </row>
    <row r="43" spans="1:22" ht="8.25" customHeight="1" x14ac:dyDescent="0.25">
      <c r="A43" s="45">
        <v>402</v>
      </c>
      <c r="B43" s="3">
        <v>454</v>
      </c>
      <c r="C43" s="37">
        <v>58</v>
      </c>
      <c r="D43" s="37">
        <v>20</v>
      </c>
      <c r="E43" s="4">
        <v>14</v>
      </c>
      <c r="F43" s="4">
        <v>4</v>
      </c>
      <c r="G43" s="4">
        <v>49</v>
      </c>
      <c r="H43" s="4">
        <v>2</v>
      </c>
      <c r="I43" s="38">
        <v>50</v>
      </c>
      <c r="J43" s="39">
        <v>3</v>
      </c>
      <c r="K43" s="37">
        <v>56</v>
      </c>
      <c r="L43" s="37">
        <v>6</v>
      </c>
      <c r="M43" s="37">
        <f>VLOOKUP(A43,'2019_B5_Berechnung'!$B$71:$M$122,7,FALSE)</f>
        <v>42</v>
      </c>
      <c r="N43" s="37">
        <f>VLOOKUP(A43,'2019_B5_Berechnung'!$B$71:$M$122,6,FALSE)</f>
        <v>9</v>
      </c>
      <c r="O43" s="38">
        <v>34</v>
      </c>
      <c r="P43" s="39">
        <v>9</v>
      </c>
      <c r="Q43" s="38">
        <v>38</v>
      </c>
      <c r="R43" s="39">
        <v>14</v>
      </c>
      <c r="S43" s="116">
        <v>41</v>
      </c>
      <c r="T43" s="44">
        <v>8</v>
      </c>
      <c r="U43" s="119">
        <f>VLOOKUP(A43,'2019_B5_Berechnung'!$B$279:$M$330,7,FALSE)</f>
        <v>33</v>
      </c>
      <c r="V43" s="119">
        <f>VLOOKUP(A43,'2019_B5_Berechnung'!$B$279:$M$330,6,FALSE)</f>
        <v>14</v>
      </c>
    </row>
    <row r="44" spans="1:22" ht="8.25" customHeight="1" x14ac:dyDescent="0.25">
      <c r="A44" s="45">
        <v>403</v>
      </c>
      <c r="B44" s="3">
        <v>455</v>
      </c>
      <c r="C44" s="37">
        <v>118</v>
      </c>
      <c r="D44" s="37">
        <v>26</v>
      </c>
      <c r="E44" s="4">
        <v>50</v>
      </c>
      <c r="F44" s="4">
        <v>8</v>
      </c>
      <c r="G44" s="4">
        <v>80</v>
      </c>
      <c r="H44" s="4">
        <v>14</v>
      </c>
      <c r="I44" s="38">
        <v>96</v>
      </c>
      <c r="J44" s="39">
        <v>18</v>
      </c>
      <c r="K44" s="37">
        <v>83</v>
      </c>
      <c r="L44" s="37">
        <v>9</v>
      </c>
      <c r="M44" s="37">
        <f>VLOOKUP(A44,'2019_B5_Berechnung'!$B$71:$M$122,7,FALSE)</f>
        <v>100</v>
      </c>
      <c r="N44" s="37">
        <f>VLOOKUP(A44,'2019_B5_Berechnung'!$B$71:$M$122,6,FALSE)</f>
        <v>15</v>
      </c>
      <c r="O44" s="38">
        <v>87</v>
      </c>
      <c r="P44" s="39">
        <v>13</v>
      </c>
      <c r="Q44" s="38">
        <v>89</v>
      </c>
      <c r="R44" s="39">
        <v>17</v>
      </c>
      <c r="S44" s="116">
        <v>79</v>
      </c>
      <c r="T44" s="44">
        <v>24</v>
      </c>
      <c r="U44" s="119">
        <f>VLOOKUP(A44,'2019_B5_Berechnung'!$B$279:$M$330,7,FALSE)</f>
        <v>65</v>
      </c>
      <c r="V44" s="119">
        <f>VLOOKUP(A44,'2019_B5_Berechnung'!$B$279:$M$330,6,FALSE)</f>
        <v>26</v>
      </c>
    </row>
    <row r="45" spans="1:22" ht="8.25" customHeight="1" x14ac:dyDescent="0.25">
      <c r="A45" s="45">
        <v>404</v>
      </c>
      <c r="B45" s="3">
        <v>456</v>
      </c>
      <c r="C45" s="37">
        <v>76</v>
      </c>
      <c r="D45" s="37">
        <v>36</v>
      </c>
      <c r="E45" s="4">
        <v>56</v>
      </c>
      <c r="F45" s="4">
        <v>32</v>
      </c>
      <c r="G45" s="4">
        <v>93</v>
      </c>
      <c r="H45" s="4">
        <v>28</v>
      </c>
      <c r="I45" s="38">
        <v>80</v>
      </c>
      <c r="J45" s="39">
        <v>18</v>
      </c>
      <c r="K45" s="37">
        <v>76</v>
      </c>
      <c r="L45" s="37">
        <v>19</v>
      </c>
      <c r="M45" s="37">
        <f>VLOOKUP(A45,'2019_B5_Berechnung'!$B$71:$M$122,7,FALSE)</f>
        <v>109</v>
      </c>
      <c r="N45" s="37">
        <f>VLOOKUP(A45,'2019_B5_Berechnung'!$B$71:$M$122,6,FALSE)</f>
        <v>21</v>
      </c>
      <c r="O45" s="38">
        <v>88</v>
      </c>
      <c r="P45" s="39">
        <v>23</v>
      </c>
      <c r="Q45" s="38">
        <v>80</v>
      </c>
      <c r="R45" s="39">
        <v>21</v>
      </c>
      <c r="S45" s="116">
        <v>64</v>
      </c>
      <c r="T45" s="44">
        <v>28</v>
      </c>
      <c r="U45" s="119">
        <f>VLOOKUP(A45,'2019_B5_Berechnung'!$B$279:$M$330,7,FALSE)</f>
        <v>67</v>
      </c>
      <c r="V45" s="119">
        <f>VLOOKUP(A45,'2019_B5_Berechnung'!$B$279:$M$330,6,FALSE)</f>
        <v>48</v>
      </c>
    </row>
    <row r="46" spans="1:22" ht="8.25" customHeight="1" x14ac:dyDescent="0.25">
      <c r="A46" s="45">
        <v>405</v>
      </c>
      <c r="B46" s="3">
        <v>457</v>
      </c>
      <c r="C46" s="37">
        <v>80</v>
      </c>
      <c r="D46" s="37">
        <v>20</v>
      </c>
      <c r="E46" s="4">
        <v>12</v>
      </c>
      <c r="F46" s="4">
        <v>8</v>
      </c>
      <c r="G46" s="4">
        <v>31</v>
      </c>
      <c r="H46" s="4">
        <v>12</v>
      </c>
      <c r="I46" s="38">
        <v>38</v>
      </c>
      <c r="J46" s="39">
        <v>9</v>
      </c>
      <c r="K46" s="37">
        <v>26</v>
      </c>
      <c r="L46" s="37">
        <v>5</v>
      </c>
      <c r="M46" s="37">
        <f>VLOOKUP(A46,'2019_B5_Berechnung'!$B$71:$M$122,7,FALSE)</f>
        <v>25</v>
      </c>
      <c r="N46" s="37">
        <f>VLOOKUP(A46,'2019_B5_Berechnung'!$B$71:$M$122,6,FALSE)</f>
        <v>2</v>
      </c>
      <c r="O46" s="38" t="s">
        <v>84</v>
      </c>
      <c r="P46" s="39" t="s">
        <v>84</v>
      </c>
      <c r="Q46" s="38">
        <v>25</v>
      </c>
      <c r="R46" s="39">
        <v>4</v>
      </c>
      <c r="S46" s="116">
        <v>41</v>
      </c>
      <c r="T46" s="44">
        <v>3</v>
      </c>
      <c r="U46" s="119">
        <f>VLOOKUP(A46,'2019_B5_Berechnung'!$B$279:$M$330,7,FALSE)</f>
        <v>33</v>
      </c>
      <c r="V46" s="119">
        <f>VLOOKUP(A46,'2019_B5_Berechnung'!$B$279:$M$330,6,FALSE)</f>
        <v>19</v>
      </c>
    </row>
    <row r="47" spans="1:22" ht="8.25" customHeight="1" x14ac:dyDescent="0.25">
      <c r="A47" s="45">
        <v>451</v>
      </c>
      <c r="B47" s="3">
        <v>458</v>
      </c>
      <c r="C47" s="37">
        <v>117</v>
      </c>
      <c r="D47" s="37">
        <v>15</v>
      </c>
      <c r="E47" s="4">
        <v>23</v>
      </c>
      <c r="F47" s="4">
        <v>6</v>
      </c>
      <c r="G47" s="4">
        <v>44</v>
      </c>
      <c r="H47" s="4">
        <v>3</v>
      </c>
      <c r="I47" s="38">
        <v>35</v>
      </c>
      <c r="J47" s="39">
        <v>1</v>
      </c>
      <c r="K47" s="37">
        <v>45</v>
      </c>
      <c r="L47" s="37">
        <v>3</v>
      </c>
      <c r="M47" s="37">
        <f>VLOOKUP(A47,'2019_B5_Berechnung'!$B$71:$M$122,7,FALSE)</f>
        <v>53</v>
      </c>
      <c r="N47" s="37">
        <f>VLOOKUP(A47,'2019_B5_Berechnung'!$B$71:$M$122,6,FALSE)</f>
        <v>2</v>
      </c>
      <c r="O47" s="38">
        <v>46</v>
      </c>
      <c r="P47" s="39">
        <v>4</v>
      </c>
      <c r="Q47" s="38">
        <v>64</v>
      </c>
      <c r="R47" s="39">
        <v>7</v>
      </c>
      <c r="S47" s="116">
        <v>38</v>
      </c>
      <c r="T47" s="44">
        <v>2</v>
      </c>
      <c r="U47" s="119">
        <f>VLOOKUP(A47,'2019_B5_Berechnung'!$B$279:$M$330,7,FALSE)</f>
        <v>92</v>
      </c>
      <c r="V47" s="119">
        <f>VLOOKUP(A47,'2019_B5_Berechnung'!$B$279:$M$330,6,FALSE)</f>
        <v>3</v>
      </c>
    </row>
    <row r="48" spans="1:22" ht="8.25" customHeight="1" x14ac:dyDescent="0.25">
      <c r="A48" s="45">
        <v>452</v>
      </c>
      <c r="B48" s="3">
        <v>459</v>
      </c>
      <c r="C48" s="37">
        <v>279</v>
      </c>
      <c r="D48" s="37">
        <v>24</v>
      </c>
      <c r="E48" s="4">
        <v>75</v>
      </c>
      <c r="F48" s="4">
        <v>10</v>
      </c>
      <c r="G48" s="4">
        <v>171</v>
      </c>
      <c r="H48" s="4">
        <v>30</v>
      </c>
      <c r="I48" s="38">
        <v>186</v>
      </c>
      <c r="J48" s="39">
        <v>14</v>
      </c>
      <c r="K48" s="37">
        <v>187</v>
      </c>
      <c r="L48" s="37">
        <v>10</v>
      </c>
      <c r="M48" s="37">
        <f>VLOOKUP(A48,'2019_B5_Berechnung'!$B$71:$M$122,7,FALSE)</f>
        <v>152</v>
      </c>
      <c r="N48" s="37">
        <f>VLOOKUP(A48,'2019_B5_Berechnung'!$B$71:$M$122,6,FALSE)</f>
        <v>7</v>
      </c>
      <c r="O48" s="38">
        <v>162</v>
      </c>
      <c r="P48" s="39">
        <v>10</v>
      </c>
      <c r="Q48" s="38">
        <v>150</v>
      </c>
      <c r="R48" s="39">
        <v>14</v>
      </c>
      <c r="S48" s="116">
        <v>166</v>
      </c>
      <c r="T48" s="44">
        <v>18</v>
      </c>
      <c r="U48" s="119">
        <f>VLOOKUP(A48,'2019_B5_Berechnung'!$B$279:$M$330,7,FALSE)</f>
        <v>154</v>
      </c>
      <c r="V48" s="119">
        <f>VLOOKUP(A48,'2019_B5_Berechnung'!$B$279:$M$330,6,FALSE)</f>
        <v>24</v>
      </c>
    </row>
    <row r="49" spans="1:22" ht="8.25" customHeight="1" x14ac:dyDescent="0.25">
      <c r="A49" s="45">
        <v>453</v>
      </c>
      <c r="B49" s="3">
        <v>460</v>
      </c>
      <c r="C49" s="37">
        <v>176</v>
      </c>
      <c r="D49" s="37">
        <v>24</v>
      </c>
      <c r="E49" s="4">
        <v>58</v>
      </c>
      <c r="F49" s="4">
        <v>14</v>
      </c>
      <c r="G49" s="4">
        <v>115</v>
      </c>
      <c r="H49" s="4">
        <v>15</v>
      </c>
      <c r="I49" s="38">
        <v>94</v>
      </c>
      <c r="J49" s="39">
        <v>10</v>
      </c>
      <c r="K49" s="37">
        <v>78</v>
      </c>
      <c r="L49" s="37">
        <v>16</v>
      </c>
      <c r="M49" s="37">
        <f>VLOOKUP(A49,'2019_B5_Berechnung'!$B$71:$M$122,7,FALSE)</f>
        <v>79</v>
      </c>
      <c r="N49" s="37">
        <f>VLOOKUP(A49,'2019_B5_Berechnung'!$B$71:$M$122,6,FALSE)</f>
        <v>7</v>
      </c>
      <c r="O49" s="38">
        <v>72</v>
      </c>
      <c r="P49" s="39">
        <v>14</v>
      </c>
      <c r="Q49" s="38">
        <v>100</v>
      </c>
      <c r="R49" s="39">
        <v>30</v>
      </c>
      <c r="S49" s="116">
        <v>91</v>
      </c>
      <c r="T49" s="44">
        <v>30</v>
      </c>
      <c r="U49" s="119">
        <f>VLOOKUP(A49,'2019_B5_Berechnung'!$B$279:$M$330,7,FALSE)</f>
        <v>147</v>
      </c>
      <c r="V49" s="119">
        <f>VLOOKUP(A49,'2019_B5_Berechnung'!$B$279:$M$330,6,FALSE)</f>
        <v>61</v>
      </c>
    </row>
    <row r="50" spans="1:22" ht="8.25" customHeight="1" x14ac:dyDescent="0.25">
      <c r="A50" s="45">
        <v>454</v>
      </c>
      <c r="B50" s="3">
        <v>461</v>
      </c>
      <c r="C50" s="37">
        <v>319</v>
      </c>
      <c r="D50" s="37">
        <v>38</v>
      </c>
      <c r="E50" s="4">
        <v>63</v>
      </c>
      <c r="F50" s="4">
        <v>19</v>
      </c>
      <c r="G50" s="4">
        <v>164</v>
      </c>
      <c r="H50" s="4">
        <v>17</v>
      </c>
      <c r="I50" s="38">
        <v>164</v>
      </c>
      <c r="J50" s="39">
        <v>22</v>
      </c>
      <c r="K50" s="37">
        <v>183</v>
      </c>
      <c r="L50" s="37">
        <v>25</v>
      </c>
      <c r="M50" s="37">
        <f>VLOOKUP(A50,'2019_B5_Berechnung'!$B$71:$M$122,7,FALSE)</f>
        <v>176</v>
      </c>
      <c r="N50" s="37">
        <f>VLOOKUP(A50,'2019_B5_Berechnung'!$B$71:$M$122,6,FALSE)</f>
        <v>35</v>
      </c>
      <c r="O50" s="38">
        <v>206</v>
      </c>
      <c r="P50" s="39">
        <v>68</v>
      </c>
      <c r="Q50" s="38">
        <v>191</v>
      </c>
      <c r="R50" s="39">
        <v>95</v>
      </c>
      <c r="S50" s="116">
        <v>143</v>
      </c>
      <c r="T50" s="44">
        <v>86</v>
      </c>
      <c r="U50" s="119">
        <f>VLOOKUP(A50,'2019_B5_Berechnung'!$B$279:$M$330,7,FALSE)</f>
        <v>196</v>
      </c>
      <c r="V50" s="119">
        <f>VLOOKUP(A50,'2019_B5_Berechnung'!$B$279:$M$330,6,FALSE)</f>
        <v>88</v>
      </c>
    </row>
    <row r="51" spans="1:22" ht="8.25" customHeight="1" x14ac:dyDescent="0.25">
      <c r="A51" s="45">
        <v>455</v>
      </c>
      <c r="B51" s="3">
        <v>462</v>
      </c>
      <c r="C51" s="37">
        <v>103</v>
      </c>
      <c r="D51" s="37">
        <v>11</v>
      </c>
      <c r="E51" s="4">
        <v>14</v>
      </c>
      <c r="F51" s="4">
        <v>5</v>
      </c>
      <c r="G51" s="4">
        <v>58</v>
      </c>
      <c r="H51" s="4">
        <v>2</v>
      </c>
      <c r="I51" s="38">
        <v>34</v>
      </c>
      <c r="J51" s="39">
        <v>4</v>
      </c>
      <c r="K51" s="37">
        <v>38</v>
      </c>
      <c r="L51" s="37">
        <v>1</v>
      </c>
      <c r="M51" s="37">
        <f>VLOOKUP(A51,'2019_B5_Berechnung'!$B$71:$M$122,7,FALSE)</f>
        <v>36</v>
      </c>
      <c r="N51" s="37">
        <f>VLOOKUP(A51,'2019_B5_Berechnung'!$B$71:$M$122,6,FALSE)</f>
        <v>10</v>
      </c>
      <c r="O51" s="38">
        <v>39</v>
      </c>
      <c r="P51" s="39">
        <v>2</v>
      </c>
      <c r="Q51" s="38">
        <v>54</v>
      </c>
      <c r="R51" s="39">
        <v>27</v>
      </c>
      <c r="S51" s="116">
        <v>90</v>
      </c>
      <c r="T51" s="44">
        <v>10</v>
      </c>
      <c r="U51" s="119">
        <f>VLOOKUP(A51,'2019_B5_Berechnung'!$B$279:$M$330,7,FALSE)</f>
        <v>65</v>
      </c>
      <c r="V51" s="119">
        <f>VLOOKUP(A51,'2019_B5_Berechnung'!$B$279:$M$330,6,FALSE)</f>
        <v>14</v>
      </c>
    </row>
    <row r="52" spans="1:22" ht="8.25" customHeight="1" x14ac:dyDescent="0.25">
      <c r="A52" s="45">
        <v>456</v>
      </c>
      <c r="B52" s="3">
        <v>4</v>
      </c>
      <c r="C52" s="37">
        <v>159</v>
      </c>
      <c r="D52" s="37">
        <v>28</v>
      </c>
      <c r="E52" s="4">
        <v>41</v>
      </c>
      <c r="F52" s="4">
        <v>21</v>
      </c>
      <c r="G52" s="4">
        <v>89</v>
      </c>
      <c r="H52" s="4">
        <v>19</v>
      </c>
      <c r="I52" s="38">
        <v>89</v>
      </c>
      <c r="J52" s="39">
        <v>28</v>
      </c>
      <c r="K52" s="37">
        <v>67</v>
      </c>
      <c r="L52" s="37">
        <v>22</v>
      </c>
      <c r="M52" s="37">
        <f>VLOOKUP(A52,'2019_B5_Berechnung'!$B$71:$M$122,7,FALSE)</f>
        <v>91</v>
      </c>
      <c r="N52" s="37">
        <f>VLOOKUP(A52,'2019_B5_Berechnung'!$B$71:$M$122,6,FALSE)</f>
        <v>31</v>
      </c>
      <c r="O52" s="38">
        <v>77</v>
      </c>
      <c r="P52" s="39">
        <v>20</v>
      </c>
      <c r="Q52" s="38">
        <v>68</v>
      </c>
      <c r="R52" s="39">
        <v>22</v>
      </c>
      <c r="S52" s="116">
        <v>70</v>
      </c>
      <c r="T52" s="44">
        <v>22</v>
      </c>
      <c r="U52" s="119">
        <f>VLOOKUP(A52,'2019_B5_Berechnung'!$B$279:$M$330,7,FALSE)</f>
        <v>72</v>
      </c>
      <c r="V52" s="119">
        <f>VLOOKUP(A52,'2019_B5_Berechnung'!$B$279:$M$330,6,FALSE)</f>
        <v>33</v>
      </c>
    </row>
    <row r="53" spans="1:22" ht="8.25" customHeight="1" x14ac:dyDescent="0.25">
      <c r="A53" s="45">
        <v>457</v>
      </c>
      <c r="B53" s="3">
        <v>0</v>
      </c>
      <c r="C53" s="37">
        <v>192</v>
      </c>
      <c r="D53" s="37">
        <v>23</v>
      </c>
      <c r="E53" s="4">
        <v>73</v>
      </c>
      <c r="F53" s="4">
        <v>16</v>
      </c>
      <c r="G53" s="4">
        <v>150</v>
      </c>
      <c r="H53" s="4">
        <v>19</v>
      </c>
      <c r="I53" s="38">
        <v>130</v>
      </c>
      <c r="J53" s="39">
        <v>10</v>
      </c>
      <c r="K53" s="37">
        <v>115</v>
      </c>
      <c r="L53" s="37">
        <v>12</v>
      </c>
      <c r="M53" s="37">
        <f>VLOOKUP(A53,'2019_B5_Berechnung'!$B$71:$M$122,7,FALSE)</f>
        <v>138</v>
      </c>
      <c r="N53" s="37">
        <f>VLOOKUP(A53,'2019_B5_Berechnung'!$B$71:$M$122,6,FALSE)</f>
        <v>17</v>
      </c>
      <c r="O53" s="38">
        <v>132</v>
      </c>
      <c r="P53" s="39">
        <v>18</v>
      </c>
      <c r="Q53" s="38">
        <v>136</v>
      </c>
      <c r="R53" s="39">
        <v>29</v>
      </c>
      <c r="S53" s="116">
        <v>77</v>
      </c>
      <c r="T53" s="44">
        <v>31</v>
      </c>
      <c r="U53" s="119">
        <f>VLOOKUP(A53,'2019_B5_Berechnung'!$B$279:$M$330,7,FALSE)</f>
        <v>98</v>
      </c>
      <c r="V53" s="119">
        <f>VLOOKUP(A53,'2019_B5_Berechnung'!$B$279:$M$330,6,FALSE)</f>
        <v>34</v>
      </c>
    </row>
    <row r="54" spans="1:22" ht="8.25" customHeight="1" x14ac:dyDescent="0.25">
      <c r="A54" s="45">
        <v>458</v>
      </c>
      <c r="B54" s="3" t="s">
        <v>57</v>
      </c>
      <c r="C54" s="37">
        <v>78</v>
      </c>
      <c r="D54" s="37">
        <v>15</v>
      </c>
      <c r="E54" s="4">
        <v>28</v>
      </c>
      <c r="F54" s="4">
        <v>8</v>
      </c>
      <c r="G54" s="4">
        <v>63</v>
      </c>
      <c r="H54" s="4">
        <v>4</v>
      </c>
      <c r="I54" s="38">
        <v>44</v>
      </c>
      <c r="J54" s="39">
        <v>7</v>
      </c>
      <c r="K54" s="37">
        <v>54</v>
      </c>
      <c r="L54" s="37">
        <v>5</v>
      </c>
      <c r="M54" s="37">
        <f>VLOOKUP(A54,'2019_B5_Berechnung'!$B$71:$M$122,7,FALSE)</f>
        <v>41</v>
      </c>
      <c r="N54" s="37">
        <f>VLOOKUP(A54,'2019_B5_Berechnung'!$B$71:$M$122,6,FALSE)</f>
        <v>8</v>
      </c>
      <c r="O54" s="38">
        <v>64</v>
      </c>
      <c r="P54" s="39">
        <v>10</v>
      </c>
      <c r="Q54" s="38">
        <v>57</v>
      </c>
      <c r="R54" s="39">
        <v>41</v>
      </c>
      <c r="S54" s="116">
        <v>53</v>
      </c>
      <c r="T54" s="44">
        <v>23</v>
      </c>
      <c r="U54" s="119">
        <f>VLOOKUP(A54,'2019_B5_Berechnung'!$B$279:$M$330,7,FALSE)</f>
        <v>46</v>
      </c>
      <c r="V54" s="119">
        <f>VLOOKUP(A54,'2019_B5_Berechnung'!$B$279:$M$330,6,FALSE)</f>
        <v>15</v>
      </c>
    </row>
    <row r="55" spans="1:22" ht="8.25" customHeight="1" x14ac:dyDescent="0.25">
      <c r="A55" s="45">
        <v>459</v>
      </c>
      <c r="B55" s="3" t="s">
        <v>58</v>
      </c>
      <c r="C55" s="37">
        <v>273</v>
      </c>
      <c r="D55" s="37">
        <v>68</v>
      </c>
      <c r="E55" s="4">
        <v>71</v>
      </c>
      <c r="F55" s="4">
        <v>42</v>
      </c>
      <c r="G55" s="4">
        <v>176</v>
      </c>
      <c r="H55" s="4">
        <v>30</v>
      </c>
      <c r="I55" s="38">
        <v>105</v>
      </c>
      <c r="J55" s="39">
        <v>38</v>
      </c>
      <c r="K55" s="37">
        <v>151</v>
      </c>
      <c r="L55" s="37">
        <v>29</v>
      </c>
      <c r="M55" s="37">
        <f>VLOOKUP(A55,'2019_B5_Berechnung'!$B$71:$M$122,7,FALSE)</f>
        <v>160</v>
      </c>
      <c r="N55" s="37">
        <f>VLOOKUP(A55,'2019_B5_Berechnung'!$B$71:$M$122,6,FALSE)</f>
        <v>52</v>
      </c>
      <c r="O55" s="38">
        <v>133</v>
      </c>
      <c r="P55" s="39">
        <v>34</v>
      </c>
      <c r="Q55" s="38">
        <v>157</v>
      </c>
      <c r="R55" s="39">
        <v>69</v>
      </c>
      <c r="S55" s="116">
        <v>146</v>
      </c>
      <c r="T55" s="44">
        <v>78</v>
      </c>
      <c r="U55" s="119">
        <f>VLOOKUP(A55,'2019_B5_Berechnung'!$B$279:$M$330,7,FALSE)</f>
        <v>150</v>
      </c>
      <c r="V55" s="119">
        <f>VLOOKUP(A55,'2019_B5_Berechnung'!$B$279:$M$330,6,FALSE)</f>
        <v>51</v>
      </c>
    </row>
    <row r="56" spans="1:22" ht="8.25" customHeight="1" x14ac:dyDescent="0.25">
      <c r="A56" s="45">
        <v>460</v>
      </c>
      <c r="B56" s="3" t="s">
        <v>59</v>
      </c>
      <c r="C56" s="37">
        <v>142</v>
      </c>
      <c r="D56" s="37">
        <v>30</v>
      </c>
      <c r="E56" s="4">
        <v>45</v>
      </c>
      <c r="F56" s="4">
        <v>28</v>
      </c>
      <c r="G56" s="4">
        <v>106</v>
      </c>
      <c r="H56" s="4">
        <v>38</v>
      </c>
      <c r="I56" s="38">
        <v>55</v>
      </c>
      <c r="J56" s="39">
        <v>26</v>
      </c>
      <c r="K56" s="37">
        <v>75</v>
      </c>
      <c r="L56" s="37">
        <v>31</v>
      </c>
      <c r="M56" s="37">
        <f>VLOOKUP(A56,'2019_B5_Berechnung'!$B$71:$M$122,7,FALSE)</f>
        <v>88</v>
      </c>
      <c r="N56" s="37">
        <f>VLOOKUP(A56,'2019_B5_Berechnung'!$B$71:$M$122,6,FALSE)</f>
        <v>24</v>
      </c>
      <c r="O56" s="38">
        <v>77</v>
      </c>
      <c r="P56" s="39">
        <v>42</v>
      </c>
      <c r="Q56" s="38">
        <v>89</v>
      </c>
      <c r="R56" s="39">
        <v>73</v>
      </c>
      <c r="S56" s="116">
        <v>91</v>
      </c>
      <c r="T56" s="44">
        <v>66</v>
      </c>
      <c r="U56" s="119">
        <f>VLOOKUP(A56,'2019_B5_Berechnung'!$B$279:$M$330,7,FALSE)</f>
        <v>89</v>
      </c>
      <c r="V56" s="119">
        <f>VLOOKUP(A56,'2019_B5_Berechnung'!$B$279:$M$330,6,FALSE)</f>
        <v>40</v>
      </c>
    </row>
    <row r="57" spans="1:22" ht="8.25" customHeight="1" x14ac:dyDescent="0.25">
      <c r="A57" s="45">
        <v>461</v>
      </c>
      <c r="B57" s="3" t="s">
        <v>60</v>
      </c>
      <c r="C57" s="37">
        <v>91</v>
      </c>
      <c r="D57" s="37">
        <v>10</v>
      </c>
      <c r="E57" s="4">
        <v>12</v>
      </c>
      <c r="F57" s="4">
        <v>7</v>
      </c>
      <c r="G57" s="4">
        <v>34</v>
      </c>
      <c r="H57" s="4">
        <v>2</v>
      </c>
      <c r="I57" s="38">
        <v>38</v>
      </c>
      <c r="J57" s="39">
        <v>6</v>
      </c>
      <c r="K57" s="37">
        <v>45</v>
      </c>
      <c r="L57" s="37">
        <v>4</v>
      </c>
      <c r="M57" s="37">
        <f>VLOOKUP(A57,'2019_B5_Berechnung'!$B$71:$M$122,7,FALSE)</f>
        <v>52</v>
      </c>
      <c r="N57" s="37">
        <f>VLOOKUP(A57,'2019_B5_Berechnung'!$B$71:$M$122,6,FALSE)</f>
        <v>8</v>
      </c>
      <c r="O57" s="38">
        <v>36</v>
      </c>
      <c r="P57" s="39">
        <v>9</v>
      </c>
      <c r="Q57" s="38">
        <v>33</v>
      </c>
      <c r="R57" s="39">
        <v>10</v>
      </c>
      <c r="S57" s="116">
        <v>40</v>
      </c>
      <c r="T57" s="44">
        <v>23</v>
      </c>
      <c r="U57" s="119">
        <f>VLOOKUP(A57,'2019_B5_Berechnung'!$B$279:$M$330,7,FALSE)</f>
        <v>36</v>
      </c>
      <c r="V57" s="119">
        <f>VLOOKUP(A57,'2019_B5_Berechnung'!$B$279:$M$330,6,FALSE)</f>
        <v>11</v>
      </c>
    </row>
    <row r="58" spans="1:22" ht="8.25" customHeight="1" x14ac:dyDescent="0.25">
      <c r="A58" s="45">
        <v>462</v>
      </c>
      <c r="B58" s="3" t="s">
        <v>61</v>
      </c>
      <c r="C58" s="37">
        <v>67</v>
      </c>
      <c r="D58" s="37">
        <v>7</v>
      </c>
      <c r="E58" s="4">
        <v>19</v>
      </c>
      <c r="F58" s="4">
        <v>2</v>
      </c>
      <c r="G58" s="4">
        <v>30</v>
      </c>
      <c r="H58" s="4">
        <v>2</v>
      </c>
      <c r="I58" s="38" t="s">
        <v>84</v>
      </c>
      <c r="J58" s="39" t="s">
        <v>84</v>
      </c>
      <c r="K58" s="37">
        <v>26</v>
      </c>
      <c r="L58" s="37">
        <v>1</v>
      </c>
      <c r="M58" s="37">
        <f>VLOOKUP(A58,'2019_B5_Berechnung'!$B$71:$M$122,7,FALSE)</f>
        <v>34</v>
      </c>
      <c r="N58" s="37">
        <f>VLOOKUP(A58,'2019_B5_Berechnung'!$B$71:$M$122,6,FALSE)</f>
        <v>6</v>
      </c>
      <c r="O58" s="38">
        <v>36</v>
      </c>
      <c r="P58" s="39">
        <v>1</v>
      </c>
      <c r="Q58" s="38">
        <v>39</v>
      </c>
      <c r="R58" s="39">
        <v>3</v>
      </c>
      <c r="S58" s="116">
        <v>32</v>
      </c>
      <c r="T58" s="44">
        <v>1</v>
      </c>
      <c r="U58" s="119">
        <f>VLOOKUP(A58,'2019_B5_Berechnung'!$B$279:$M$330,7,FALSE)</f>
        <v>27</v>
      </c>
      <c r="V58" s="119">
        <f>VLOOKUP(A58,'2019_B5_Berechnung'!$B$279:$M$330,6,FALSE)</f>
        <v>11</v>
      </c>
    </row>
    <row r="59" spans="1:22" s="36" customFormat="1" ht="16.5" customHeight="1" x14ac:dyDescent="0.25">
      <c r="A59" s="46">
        <v>4</v>
      </c>
      <c r="B59" s="5" t="s">
        <v>62</v>
      </c>
      <c r="C59" s="40">
        <v>2405</v>
      </c>
      <c r="D59" s="40">
        <v>429</v>
      </c>
      <c r="E59" s="41">
        <v>684</v>
      </c>
      <c r="F59" s="41">
        <v>258</v>
      </c>
      <c r="G59" s="41">
        <v>1490</v>
      </c>
      <c r="H59" s="41">
        <v>256</v>
      </c>
      <c r="I59" s="42">
        <v>1314</v>
      </c>
      <c r="J59" s="43">
        <v>230</v>
      </c>
      <c r="K59" s="40">
        <v>1344</v>
      </c>
      <c r="L59" s="40">
        <v>211</v>
      </c>
      <c r="M59" s="40">
        <f>VLOOKUP(A59,'2019_B5_Berechnung'!$B$71:$M$122,7,FALSE)</f>
        <v>1406</v>
      </c>
      <c r="N59" s="40">
        <f>VLOOKUP(A59,'2019_B5_Berechnung'!$B$71:$M$122,6,FALSE)</f>
        <v>282</v>
      </c>
      <c r="O59" s="42">
        <v>1346</v>
      </c>
      <c r="P59" s="43">
        <v>289</v>
      </c>
      <c r="Q59" s="42">
        <v>1414</v>
      </c>
      <c r="R59" s="43">
        <v>516</v>
      </c>
      <c r="S59" s="117">
        <v>1298</v>
      </c>
      <c r="T59" s="118">
        <v>490</v>
      </c>
      <c r="U59" s="119">
        <f>VLOOKUP(A59,'2019_B5_Berechnung'!$B$279:$M$330,7,FALSE)</f>
        <v>1412</v>
      </c>
      <c r="V59" s="119">
        <f>VLOOKUP(A59,'2019_B5_Berechnung'!$B$279:$M$330,6,FALSE)</f>
        <v>560</v>
      </c>
    </row>
    <row r="60" spans="1:22" s="36" customFormat="1" ht="16.5" customHeight="1" x14ac:dyDescent="0.25">
      <c r="A60" s="46">
        <v>0</v>
      </c>
      <c r="B60" s="5" t="s">
        <v>63</v>
      </c>
      <c r="C60" s="40">
        <v>6738</v>
      </c>
      <c r="D60" s="40">
        <v>1607</v>
      </c>
      <c r="E60" s="41">
        <v>1995</v>
      </c>
      <c r="F60" s="41">
        <v>797</v>
      </c>
      <c r="G60" s="41">
        <v>4082</v>
      </c>
      <c r="H60" s="41">
        <v>691</v>
      </c>
      <c r="I60" s="40">
        <v>3723</v>
      </c>
      <c r="J60" s="43">
        <v>649</v>
      </c>
      <c r="K60" s="40">
        <v>3586</v>
      </c>
      <c r="L60" s="40">
        <v>659</v>
      </c>
      <c r="M60" s="40">
        <f>VLOOKUP(A60,'2019_B5_Berechnung'!$B$71:$M$122,7,FALSE)</f>
        <v>3536</v>
      </c>
      <c r="N60" s="40">
        <f>VLOOKUP(A60,'2019_B5_Berechnung'!$B$71:$M$122,6,FALSE)</f>
        <v>803</v>
      </c>
      <c r="O60" s="42">
        <v>3431</v>
      </c>
      <c r="P60" s="43">
        <v>860</v>
      </c>
      <c r="Q60" s="42">
        <v>3520</v>
      </c>
      <c r="R60" s="43">
        <v>1310</v>
      </c>
      <c r="S60" s="117">
        <v>3666</v>
      </c>
      <c r="T60" s="118">
        <v>1427</v>
      </c>
      <c r="U60" s="119">
        <f>VLOOKUP(A60,'2019_B5_Berechnung'!$B$279:$M$330,7,FALSE)</f>
        <v>3908</v>
      </c>
      <c r="V60" s="119">
        <f>VLOOKUP(A60,'2019_B5_Berechnung'!$B$279:$M$330,6,FALSE)</f>
        <v>1516</v>
      </c>
    </row>
    <row r="61" spans="1:22" x14ac:dyDescent="0.25">
      <c r="B61" s="6"/>
    </row>
    <row r="62" spans="1:22" ht="8.25" customHeight="1" x14ac:dyDescent="0.25">
      <c r="A62" s="7" t="s">
        <v>64</v>
      </c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</row>
    <row r="63" spans="1:22" ht="8.25" customHeight="1" x14ac:dyDescent="0.25">
      <c r="A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</row>
    <row r="64" spans="1:22" ht="8.25" customHeight="1" x14ac:dyDescent="0.25">
      <c r="A64" s="9" t="s">
        <v>65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</row>
    <row r="66" spans="1:22" ht="8.25" customHeight="1" x14ac:dyDescent="0.25">
      <c r="A66" s="195" t="s">
        <v>168</v>
      </c>
      <c r="B66" s="198" t="s">
        <v>0</v>
      </c>
      <c r="C66" s="192" t="s">
        <v>1</v>
      </c>
      <c r="D66" s="193"/>
      <c r="E66" s="193"/>
      <c r="F66" s="193"/>
      <c r="G66" s="193"/>
      <c r="H66" s="193"/>
      <c r="I66" s="193"/>
      <c r="J66" s="193"/>
      <c r="K66" s="193"/>
      <c r="L66" s="193"/>
      <c r="M66" s="193"/>
      <c r="N66" s="193"/>
      <c r="O66" s="193"/>
      <c r="P66" s="193"/>
      <c r="Q66" s="193"/>
      <c r="R66" s="193"/>
      <c r="S66" s="193"/>
      <c r="T66" s="193"/>
      <c r="U66" s="193"/>
      <c r="V66" s="193"/>
    </row>
    <row r="67" spans="1:22" ht="8.25" customHeight="1" x14ac:dyDescent="0.25">
      <c r="A67" s="196"/>
      <c r="B67" s="199"/>
      <c r="C67" s="200">
        <v>2005</v>
      </c>
      <c r="D67" s="201"/>
      <c r="E67" s="201">
        <v>2011</v>
      </c>
      <c r="F67" s="201"/>
      <c r="G67" s="201">
        <v>2012</v>
      </c>
      <c r="H67" s="201"/>
      <c r="I67" s="205">
        <v>2013</v>
      </c>
      <c r="J67" s="200"/>
      <c r="K67" s="201">
        <v>2014</v>
      </c>
      <c r="L67" s="201"/>
      <c r="M67" s="205">
        <v>2015</v>
      </c>
      <c r="N67" s="200"/>
      <c r="O67" s="205">
        <v>2016</v>
      </c>
      <c r="P67" s="200"/>
      <c r="Q67" s="205">
        <v>2017</v>
      </c>
      <c r="R67" s="200"/>
      <c r="S67" s="201">
        <v>2018</v>
      </c>
      <c r="T67" s="205"/>
      <c r="U67" s="201">
        <v>2019</v>
      </c>
      <c r="V67" s="205"/>
    </row>
    <row r="68" spans="1:22" ht="8.25" customHeight="1" x14ac:dyDescent="0.25">
      <c r="A68" s="196"/>
      <c r="B68" s="199"/>
      <c r="C68" s="57" t="s">
        <v>2</v>
      </c>
      <c r="D68" s="58" t="s">
        <v>3</v>
      </c>
      <c r="E68" s="58" t="s">
        <v>2</v>
      </c>
      <c r="F68" s="58" t="s">
        <v>3</v>
      </c>
      <c r="G68" s="58" t="s">
        <v>2</v>
      </c>
      <c r="H68" s="58" t="s">
        <v>3</v>
      </c>
      <c r="I68" s="58" t="s">
        <v>2</v>
      </c>
      <c r="J68" s="58" t="s">
        <v>3</v>
      </c>
      <c r="K68" s="58" t="s">
        <v>2</v>
      </c>
      <c r="L68" s="58" t="s">
        <v>3</v>
      </c>
      <c r="M68" s="58" t="s">
        <v>2</v>
      </c>
      <c r="N68" s="58" t="s">
        <v>3</v>
      </c>
      <c r="O68" s="58" t="s">
        <v>2</v>
      </c>
      <c r="P68" s="58" t="s">
        <v>3</v>
      </c>
      <c r="Q68" s="58" t="s">
        <v>2</v>
      </c>
      <c r="R68" s="58" t="s">
        <v>3</v>
      </c>
      <c r="S68" s="58" t="s">
        <v>2</v>
      </c>
      <c r="T68" s="59" t="s">
        <v>3</v>
      </c>
      <c r="U68" s="58" t="s">
        <v>2</v>
      </c>
      <c r="V68" s="59" t="s">
        <v>3</v>
      </c>
    </row>
    <row r="69" spans="1:22" ht="8.25" customHeight="1" x14ac:dyDescent="0.25">
      <c r="A69" s="197"/>
      <c r="B69" s="200"/>
      <c r="C69" s="202" t="s">
        <v>162</v>
      </c>
      <c r="D69" s="203"/>
      <c r="E69" s="203"/>
      <c r="F69" s="203"/>
      <c r="G69" s="203"/>
      <c r="H69" s="203"/>
      <c r="I69" s="203"/>
      <c r="J69" s="203"/>
      <c r="K69" s="203"/>
      <c r="L69" s="203"/>
      <c r="M69" s="203"/>
      <c r="N69" s="203"/>
      <c r="O69" s="203"/>
      <c r="P69" s="203"/>
      <c r="Q69" s="203"/>
      <c r="R69" s="203"/>
      <c r="S69" s="203"/>
      <c r="T69" s="203"/>
      <c r="U69" s="203"/>
      <c r="V69" s="203"/>
    </row>
    <row r="70" spans="1:22" ht="8.25" customHeight="1" x14ac:dyDescent="0.25">
      <c r="A70" s="1" t="s">
        <v>5</v>
      </c>
      <c r="B70" s="2" t="s">
        <v>6</v>
      </c>
      <c r="C70" s="2" t="s">
        <v>7</v>
      </c>
      <c r="D70" s="2" t="s">
        <v>8</v>
      </c>
      <c r="E70" s="2" t="s">
        <v>9</v>
      </c>
      <c r="F70" s="2" t="s">
        <v>10</v>
      </c>
      <c r="G70" s="2" t="s">
        <v>11</v>
      </c>
      <c r="H70" s="2">
        <v>8</v>
      </c>
      <c r="I70" s="2">
        <v>9</v>
      </c>
      <c r="J70" s="2">
        <v>10</v>
      </c>
      <c r="K70" s="2">
        <v>11</v>
      </c>
      <c r="L70" s="2">
        <v>12</v>
      </c>
      <c r="M70" s="2">
        <v>13</v>
      </c>
      <c r="N70" s="2">
        <v>14</v>
      </c>
      <c r="O70" s="2">
        <v>15</v>
      </c>
      <c r="P70" s="2">
        <v>16</v>
      </c>
      <c r="Q70" s="2">
        <v>17</v>
      </c>
      <c r="R70" s="1">
        <v>18</v>
      </c>
      <c r="S70" s="1">
        <v>19</v>
      </c>
      <c r="T70" s="1">
        <v>20</v>
      </c>
      <c r="U70" s="1">
        <v>21</v>
      </c>
      <c r="V70" s="1">
        <v>22</v>
      </c>
    </row>
    <row r="71" spans="1:22" ht="8.25" customHeight="1" x14ac:dyDescent="0.25">
      <c r="A71" s="45">
        <v>101</v>
      </c>
      <c r="B71" s="3" t="s">
        <v>12</v>
      </c>
      <c r="C71" s="31">
        <v>7.2246065808297564</v>
      </c>
      <c r="D71" s="31">
        <v>20.465116279069768</v>
      </c>
      <c r="E71" s="31">
        <v>3.918022905364678</v>
      </c>
      <c r="F71" s="31">
        <v>7.8703703703703702</v>
      </c>
      <c r="G71" s="31">
        <v>5.8299595141700404</v>
      </c>
      <c r="H71" s="31">
        <v>10.344827586206897</v>
      </c>
      <c r="I71" s="32">
        <v>5.1915945611866503</v>
      </c>
      <c r="J71" s="32">
        <v>16.556291390728479</v>
      </c>
      <c r="K71" s="31">
        <v>4.885301614273577</v>
      </c>
      <c r="L71" s="31">
        <v>15.723270440251572</v>
      </c>
      <c r="M71" s="32">
        <v>4.4093178036605662</v>
      </c>
      <c r="N71" s="32">
        <v>11.538461538461538</v>
      </c>
      <c r="O71" s="32">
        <v>4.9403046521202141</v>
      </c>
      <c r="P71" s="32">
        <v>10.1010101010101</v>
      </c>
      <c r="Q71" s="32">
        <v>5.2269043760129659</v>
      </c>
      <c r="R71" s="32">
        <v>20.3125</v>
      </c>
      <c r="S71" s="32">
        <v>4.6396396396396398</v>
      </c>
      <c r="T71" s="32">
        <v>17.297297297297298</v>
      </c>
      <c r="U71" s="123">
        <f>VLOOKUP(A71,'2019_B5_Berechnung'!$B$279:$M$330,12,FALSE)</f>
        <v>5.3563523683045595</v>
      </c>
      <c r="V71" s="123">
        <f>VLOOKUP(A71,'2019_B5_Berechnung'!$B$279:$M$330,11,FALSE)</f>
        <v>17.419354838709676</v>
      </c>
    </row>
    <row r="72" spans="1:22" ht="8.25" customHeight="1" x14ac:dyDescent="0.25">
      <c r="A72" s="45">
        <v>102</v>
      </c>
      <c r="B72" s="3" t="s">
        <v>13</v>
      </c>
      <c r="C72" s="31">
        <v>5.5656934306569346</v>
      </c>
      <c r="D72" s="31">
        <v>16.483516483516482</v>
      </c>
      <c r="E72" s="31">
        <v>2.763157894736842</v>
      </c>
      <c r="F72" s="31">
        <v>4.5161290322580641</v>
      </c>
      <c r="G72" s="26">
        <v>3.3367037411526792</v>
      </c>
      <c r="H72" s="26">
        <v>0.625</v>
      </c>
      <c r="I72" s="32">
        <v>2.9015544041450778</v>
      </c>
      <c r="J72" s="32">
        <v>6.0402684563758395</v>
      </c>
      <c r="K72" s="31">
        <v>3.0303030303030303</v>
      </c>
      <c r="L72" s="31">
        <v>6.25</v>
      </c>
      <c r="M72" s="32">
        <v>3.5587188612099649</v>
      </c>
      <c r="N72" s="32">
        <v>10.919540229885058</v>
      </c>
      <c r="O72" s="32">
        <v>4.0048543689320395</v>
      </c>
      <c r="P72" s="32">
        <v>11.351351351351353</v>
      </c>
      <c r="Q72" s="32">
        <v>5.9718969555035128</v>
      </c>
      <c r="R72" s="32">
        <v>22.727272727272727</v>
      </c>
      <c r="S72" s="32">
        <v>8.0473372781065091</v>
      </c>
      <c r="T72" s="32">
        <v>32.044198895027627</v>
      </c>
      <c r="U72" s="123">
        <f>VLOOKUP(A72,'2019_B5_Berechnung'!$B$279:$M$330,12,FALSE)</f>
        <v>6.5853658536585371</v>
      </c>
      <c r="V72" s="123">
        <f>VLOOKUP(A72,'2019_B5_Berechnung'!$B$279:$M$330,11,FALSE)</f>
        <v>14.414414414414415</v>
      </c>
    </row>
    <row r="73" spans="1:22" ht="8.25" customHeight="1" x14ac:dyDescent="0.25">
      <c r="A73" s="45">
        <v>103</v>
      </c>
      <c r="B73" s="3" t="s">
        <v>14</v>
      </c>
      <c r="C73" s="26">
        <v>5.9589041095890405</v>
      </c>
      <c r="D73" s="26">
        <v>18.367346938775512</v>
      </c>
      <c r="E73" s="26">
        <v>5.2154195011337867</v>
      </c>
      <c r="F73" s="26">
        <v>5.1094890510948909</v>
      </c>
      <c r="G73" s="26">
        <v>3.4702549575070822</v>
      </c>
      <c r="H73" s="26">
        <v>6.7669172932330826</v>
      </c>
      <c r="I73" s="32">
        <v>3.6585365853658534</v>
      </c>
      <c r="J73" s="32">
        <v>8</v>
      </c>
      <c r="K73" s="31">
        <v>3.5552193645990924</v>
      </c>
      <c r="L73" s="31">
        <v>5.2910052910052912</v>
      </c>
      <c r="M73" s="32">
        <v>2.6217228464419478</v>
      </c>
      <c r="N73" s="32">
        <v>5.3571428571428568</v>
      </c>
      <c r="O73" s="32">
        <v>2.890625</v>
      </c>
      <c r="P73" s="32">
        <v>9.4827586206896548</v>
      </c>
      <c r="Q73" s="32">
        <v>2.8000000000000003</v>
      </c>
      <c r="R73" s="32">
        <v>16.546762589928058</v>
      </c>
      <c r="S73" s="32">
        <v>2.8803545051698669</v>
      </c>
      <c r="T73" s="32">
        <v>10.695187165775401</v>
      </c>
      <c r="U73" s="123">
        <f>VLOOKUP(A73,'2019_B5_Berechnung'!$B$279:$M$330,12,FALSE)</f>
        <v>4.0476190476190474</v>
      </c>
      <c r="V73" s="123">
        <f>VLOOKUP(A73,'2019_B5_Berechnung'!$B$279:$M$330,11,FALSE)</f>
        <v>15.508021390374333</v>
      </c>
    </row>
    <row r="74" spans="1:22" ht="8.25" customHeight="1" x14ac:dyDescent="0.25">
      <c r="A74" s="45">
        <v>151</v>
      </c>
      <c r="B74" s="3" t="s">
        <v>15</v>
      </c>
      <c r="C74" s="26">
        <v>5.8913153885220924</v>
      </c>
      <c r="D74" s="26">
        <v>38.202247191011232</v>
      </c>
      <c r="E74" s="26">
        <v>4.5808966861598437</v>
      </c>
      <c r="F74" s="26">
        <v>27.777777777777779</v>
      </c>
      <c r="G74" s="26">
        <v>4.2864610559330893</v>
      </c>
      <c r="H74" s="26">
        <v>9.0909090909090917</v>
      </c>
      <c r="I74" s="32">
        <v>4.5265038713519949</v>
      </c>
      <c r="J74" s="32">
        <v>11.627906976744185</v>
      </c>
      <c r="K74" s="31">
        <v>3.3169533169533167</v>
      </c>
      <c r="L74" s="31">
        <v>6.8965517241379306</v>
      </c>
      <c r="M74" s="32">
        <v>3.722397476340694</v>
      </c>
      <c r="N74" s="32">
        <v>8.8607594936708853</v>
      </c>
      <c r="O74" s="32">
        <v>4.6437659033078882</v>
      </c>
      <c r="P74" s="32">
        <v>8.6206896551724146</v>
      </c>
      <c r="Q74" s="32">
        <v>4.5841519318925998</v>
      </c>
      <c r="R74" s="32">
        <v>17.777777777777779</v>
      </c>
      <c r="S74" s="32">
        <v>5.4945054945054945</v>
      </c>
      <c r="T74" s="32">
        <v>21.495327102803738</v>
      </c>
      <c r="U74" s="123">
        <f>VLOOKUP(A74,'2019_B5_Berechnung'!$B$279:$M$330,12,FALSE)</f>
        <v>3.1064111037673494</v>
      </c>
      <c r="V74" s="123">
        <f>VLOOKUP(A74,'2019_B5_Berechnung'!$B$279:$M$330,11,FALSE)</f>
        <v>10.526315789473683</v>
      </c>
    </row>
    <row r="75" spans="1:22" ht="8.25" customHeight="1" x14ac:dyDescent="0.25">
      <c r="A75" s="45">
        <v>153</v>
      </c>
      <c r="B75" s="3" t="s">
        <v>17</v>
      </c>
      <c r="C75" s="26">
        <v>10.68289384719405</v>
      </c>
      <c r="D75" s="26">
        <v>34.736842105263158</v>
      </c>
      <c r="E75" s="26">
        <v>4.9689440993788816</v>
      </c>
      <c r="F75" s="26">
        <v>15.11627906976744</v>
      </c>
      <c r="G75" s="26">
        <v>6.0443764345830147</v>
      </c>
      <c r="H75" s="26">
        <v>13.888888888888889</v>
      </c>
      <c r="I75" s="32">
        <v>5.8602554470323067</v>
      </c>
      <c r="J75" s="32">
        <v>4.4444444444444446</v>
      </c>
      <c r="K75" s="31">
        <v>7.2555205047318623</v>
      </c>
      <c r="L75" s="31">
        <v>18.30985915492958</v>
      </c>
      <c r="M75" s="32">
        <v>3.90625</v>
      </c>
      <c r="N75" s="32">
        <v>18.75</v>
      </c>
      <c r="O75" s="32">
        <v>4.9331103678929766</v>
      </c>
      <c r="P75" s="32">
        <v>17.142857142857142</v>
      </c>
      <c r="Q75" s="32">
        <v>4.7660311958405543</v>
      </c>
      <c r="R75" s="32">
        <v>10.989010989010989</v>
      </c>
      <c r="S75" s="32">
        <v>5.6350626118067977</v>
      </c>
      <c r="T75" s="32">
        <v>14.772727272727273</v>
      </c>
      <c r="U75" s="123">
        <f>VLOOKUP(A75,'2019_B5_Berechnung'!$B$279:$M$330,12,FALSE)</f>
        <v>6.6539923954372622</v>
      </c>
      <c r="V75" s="123">
        <f>VLOOKUP(A75,'2019_B5_Berechnung'!$B$279:$M$330,11,FALSE)</f>
        <v>18.367346938775512</v>
      </c>
    </row>
    <row r="76" spans="1:22" ht="8.25" customHeight="1" x14ac:dyDescent="0.25">
      <c r="A76" s="45">
        <v>154</v>
      </c>
      <c r="B76" s="3" t="s">
        <v>18</v>
      </c>
      <c r="C76" s="26">
        <v>7.0873786407766994</v>
      </c>
      <c r="D76" s="26">
        <v>12.76595744680851</v>
      </c>
      <c r="E76" s="26">
        <v>4.0254237288135588</v>
      </c>
      <c r="F76" s="26">
        <v>13.043478260869565</v>
      </c>
      <c r="G76" s="26">
        <v>5.9538274605103281</v>
      </c>
      <c r="H76" s="26">
        <v>4.5454545454545459</v>
      </c>
      <c r="I76" s="32">
        <v>5.6882821387940838</v>
      </c>
      <c r="J76" s="32">
        <v>18.181818181818183</v>
      </c>
      <c r="K76" s="31">
        <v>4.5614035087719298</v>
      </c>
      <c r="L76" s="31">
        <v>13.953488372093023</v>
      </c>
      <c r="M76" s="32">
        <v>7.8848560700876096</v>
      </c>
      <c r="N76" s="32">
        <v>31.25</v>
      </c>
      <c r="O76" s="32">
        <v>5.082592121982211</v>
      </c>
      <c r="P76" s="32">
        <v>5</v>
      </c>
      <c r="Q76" s="32">
        <v>6.25</v>
      </c>
      <c r="R76" s="32">
        <v>20.512820512820511</v>
      </c>
      <c r="S76" s="32">
        <v>7.3342736248236946</v>
      </c>
      <c r="T76" s="32">
        <v>20.454545454545457</v>
      </c>
      <c r="U76" s="123">
        <f>VLOOKUP(A76,'2019_B5_Berechnung'!$B$279:$M$330,12,FALSE)</f>
        <v>7.4249605055292252</v>
      </c>
      <c r="V76" s="123">
        <f>VLOOKUP(A76,'2019_B5_Berechnung'!$B$279:$M$330,11,FALSE)</f>
        <v>20.37037037037037</v>
      </c>
    </row>
    <row r="77" spans="1:22" ht="8.25" customHeight="1" x14ac:dyDescent="0.25">
      <c r="A77" s="45">
        <v>155</v>
      </c>
      <c r="B77" s="3" t="s">
        <v>19</v>
      </c>
      <c r="C77" s="26">
        <v>8.596713021491782</v>
      </c>
      <c r="D77" s="26">
        <v>28.39506172839506</v>
      </c>
      <c r="E77" s="26">
        <v>2.8344671201814062</v>
      </c>
      <c r="F77" s="26">
        <v>17.105263157894736</v>
      </c>
      <c r="G77" s="26">
        <v>5.2701801200800533</v>
      </c>
      <c r="H77" s="26">
        <v>18.478260869565215</v>
      </c>
      <c r="I77" s="32">
        <v>3.8515406162464987</v>
      </c>
      <c r="J77" s="32">
        <v>16.666666666666664</v>
      </c>
      <c r="K77" s="31">
        <v>4.5674740484429064</v>
      </c>
      <c r="L77" s="31">
        <v>32.786885245901637</v>
      </c>
      <c r="M77" s="32">
        <v>3.5333333333333337</v>
      </c>
      <c r="N77" s="32">
        <v>25.352112676056336</v>
      </c>
      <c r="O77" s="32">
        <v>3.1869688385269122</v>
      </c>
      <c r="P77" s="32">
        <v>24.637681159420293</v>
      </c>
      <c r="Q77" s="32">
        <v>3.522205206738132</v>
      </c>
      <c r="R77" s="32">
        <v>21.875</v>
      </c>
      <c r="S77" s="32">
        <v>3.2526475037821481</v>
      </c>
      <c r="T77" s="32">
        <v>18.823529411764707</v>
      </c>
      <c r="U77" s="123">
        <f>VLOOKUP(A77,'2019_B5_Berechnung'!$B$279:$M$330,12,FALSE)</f>
        <v>4.308943089430894</v>
      </c>
      <c r="V77" s="123">
        <f>VLOOKUP(A77,'2019_B5_Berechnung'!$B$279:$M$330,11,FALSE)</f>
        <v>20.253164556962027</v>
      </c>
    </row>
    <row r="78" spans="1:22" ht="8.25" customHeight="1" x14ac:dyDescent="0.25">
      <c r="A78" s="45">
        <v>157</v>
      </c>
      <c r="B78" s="3" t="s">
        <v>20</v>
      </c>
      <c r="C78" s="26">
        <v>8.5450346420323324</v>
      </c>
      <c r="D78" s="26">
        <v>22.76422764227642</v>
      </c>
      <c r="E78" s="26">
        <v>2.6345933562428407</v>
      </c>
      <c r="F78" s="26">
        <v>8.9552238805970141</v>
      </c>
      <c r="G78" s="26">
        <v>3.7037037037037033</v>
      </c>
      <c r="H78" s="26">
        <v>7.7844311377245514</v>
      </c>
      <c r="I78" s="32">
        <v>3.877221324717286</v>
      </c>
      <c r="J78" s="32">
        <v>6.962025316455696</v>
      </c>
      <c r="K78" s="31">
        <v>2.958152958152958</v>
      </c>
      <c r="L78" s="31">
        <v>6.8750000000000009</v>
      </c>
      <c r="M78" s="32">
        <v>3.5610465116279069</v>
      </c>
      <c r="N78" s="32">
        <v>15.827338129496402</v>
      </c>
      <c r="O78" s="32">
        <v>3.0211480362537766</v>
      </c>
      <c r="P78" s="32">
        <v>10.833333333333334</v>
      </c>
      <c r="Q78" s="32">
        <v>2.6902382782475018</v>
      </c>
      <c r="R78" s="32">
        <v>16.19047619047619</v>
      </c>
      <c r="S78" s="32">
        <v>3.9664378337147213</v>
      </c>
      <c r="T78" s="32">
        <v>18.939393939393938</v>
      </c>
      <c r="U78" s="123">
        <f>VLOOKUP(A78,'2019_B5_Berechnung'!$B$279:$M$330,12,FALSE)</f>
        <v>2.9482071713147411</v>
      </c>
      <c r="V78" s="123">
        <f>VLOOKUP(A78,'2019_B5_Berechnung'!$B$279:$M$330,11,FALSE)</f>
        <v>17.82178217821782</v>
      </c>
    </row>
    <row r="79" spans="1:22" ht="8.25" customHeight="1" x14ac:dyDescent="0.25">
      <c r="A79" s="45">
        <v>158</v>
      </c>
      <c r="B79" s="3" t="s">
        <v>21</v>
      </c>
      <c r="C79" s="26">
        <v>6.487488415199258</v>
      </c>
      <c r="D79" s="26">
        <v>16.393442622950818</v>
      </c>
      <c r="E79" s="26">
        <v>4.2016806722689077</v>
      </c>
      <c r="F79" s="26">
        <v>15.384615384615385</v>
      </c>
      <c r="G79" s="26">
        <v>3.8394415357766145</v>
      </c>
      <c r="H79" s="26">
        <v>16.129032258064516</v>
      </c>
      <c r="I79" s="32">
        <v>3.8246268656716418</v>
      </c>
      <c r="J79" s="32">
        <v>7.4074074074074066</v>
      </c>
      <c r="K79" s="31">
        <v>3.0115146147032772</v>
      </c>
      <c r="L79" s="31">
        <v>20.37037037037037</v>
      </c>
      <c r="M79" s="32">
        <v>5.192479856759177</v>
      </c>
      <c r="N79" s="32">
        <v>13.725490196078432</v>
      </c>
      <c r="O79" s="32">
        <v>3.4274193548387095</v>
      </c>
      <c r="P79" s="32">
        <v>15.714285714285714</v>
      </c>
      <c r="Q79" s="32">
        <v>4.1836734693877551</v>
      </c>
      <c r="R79" s="32">
        <v>30.188679245283019</v>
      </c>
      <c r="S79" s="32">
        <v>4.844290657439446</v>
      </c>
      <c r="T79" s="32">
        <v>43.18181818181818</v>
      </c>
      <c r="U79" s="123">
        <f>VLOOKUP(A79,'2019_B5_Berechnung'!$B$279:$M$330,12,FALSE)</f>
        <v>4.5406546990496306</v>
      </c>
      <c r="V79" s="123">
        <f>VLOOKUP(A79,'2019_B5_Berechnung'!$B$279:$M$330,11,FALSE)</f>
        <v>27.419354838709676</v>
      </c>
    </row>
    <row r="80" spans="1:22" ht="8.25" customHeight="1" x14ac:dyDescent="0.25">
      <c r="A80" s="45">
        <v>159</v>
      </c>
      <c r="B80" s="3" t="s">
        <v>16</v>
      </c>
      <c r="C80" s="26">
        <f>'2019_B5 Ergänzung_Gö_Osterode'!AA19</f>
        <v>7.8176795580110499</v>
      </c>
      <c r="D80" s="26">
        <f>'2019_B5 Ergänzung_Gö_Osterode'!AB19</f>
        <v>28.01556420233463</v>
      </c>
      <c r="E80" s="26">
        <f>'2019_B5 Ergänzung_Gö_Osterode'!AC19</f>
        <v>4.0409079570965334</v>
      </c>
      <c r="F80" s="26">
        <f>'2019_B5 Ergänzung_Gö_Osterode'!AD19</f>
        <v>20.555555555555554</v>
      </c>
      <c r="G80" s="26">
        <f>'2019_B5 Ergänzung_Gö_Osterode'!AE19</f>
        <v>4.0211970074812964</v>
      </c>
      <c r="H80" s="26">
        <f>'2019_B5 Ergänzung_Gö_Osterode'!AF19</f>
        <v>12.154696132596685</v>
      </c>
      <c r="I80" s="32">
        <v>3.373015873015873</v>
      </c>
      <c r="J80" s="32">
        <v>18.902439024390244</v>
      </c>
      <c r="K80" s="31">
        <v>3.4427542033626897</v>
      </c>
      <c r="L80" s="31">
        <v>14.093959731543624</v>
      </c>
      <c r="M80" s="32">
        <v>3.047945205479452</v>
      </c>
      <c r="N80" s="32">
        <v>16.216216216216218</v>
      </c>
      <c r="O80" s="32">
        <v>3.4106412005457027</v>
      </c>
      <c r="P80" s="32">
        <v>21.782178217821784</v>
      </c>
      <c r="Q80" s="32">
        <v>3.1016042780748663</v>
      </c>
      <c r="R80" s="32">
        <v>22.699386503067483</v>
      </c>
      <c r="S80" s="32">
        <v>4.4095665171898357</v>
      </c>
      <c r="T80" s="32">
        <v>29.383886255924168</v>
      </c>
      <c r="U80" s="123">
        <f>VLOOKUP(A80,'2019_B5_Berechnung'!$B$279:$M$330,12,FALSE)</f>
        <v>5.4992764109985526</v>
      </c>
      <c r="V80" s="123">
        <f>VLOOKUP(A80,'2019_B5_Berechnung'!$B$279:$M$330,11,FALSE)</f>
        <v>25.957446808510635</v>
      </c>
    </row>
    <row r="81" spans="1:22" s="36" customFormat="1" ht="16.5" customHeight="1" x14ac:dyDescent="0.25">
      <c r="A81" s="46">
        <v>1</v>
      </c>
      <c r="B81" s="5" t="s">
        <v>22</v>
      </c>
      <c r="C81" s="33">
        <v>7.4497415278575536</v>
      </c>
      <c r="D81" s="33">
        <v>23.476968796433876</v>
      </c>
      <c r="E81" s="33">
        <v>3.8253515586586682</v>
      </c>
      <c r="F81" s="33">
        <v>12.323943661971832</v>
      </c>
      <c r="G81" s="33">
        <v>4.5775520317145695</v>
      </c>
      <c r="H81" s="33">
        <v>9.2575618698441797</v>
      </c>
      <c r="I81" s="35">
        <v>4.2430524065556776</v>
      </c>
      <c r="J81" s="35">
        <v>11.398963730569948</v>
      </c>
      <c r="K81" s="34">
        <v>4.1545706728598155</v>
      </c>
      <c r="L81" s="34">
        <v>11.155378486055776</v>
      </c>
      <c r="M81" s="35">
        <v>3.9052624575876522</v>
      </c>
      <c r="N81" s="35">
        <v>13.908450704225354</v>
      </c>
      <c r="O81" s="35">
        <v>3.9395172226742612</v>
      </c>
      <c r="P81" s="35">
        <v>13.566936208445643</v>
      </c>
      <c r="Q81" s="35">
        <v>4.1303286122933089</v>
      </c>
      <c r="R81" s="35">
        <v>19.662921348314608</v>
      </c>
      <c r="S81" s="35">
        <v>4.7557284911370514</v>
      </c>
      <c r="T81" s="35">
        <v>21.914556962025316</v>
      </c>
      <c r="U81" s="123">
        <f>VLOOKUP(A81,'2019_B5_Berechnung'!$B$279:$M$330,12,FALSE)</f>
        <v>4.915167843879706</v>
      </c>
      <c r="V81" s="123">
        <f>VLOOKUP(A81,'2019_B5_Berechnung'!$B$279:$M$330,11,FALSE)</f>
        <v>18.67612293144208</v>
      </c>
    </row>
    <row r="82" spans="1:22" ht="8.25" customHeight="1" x14ac:dyDescent="0.25">
      <c r="A82" s="45">
        <v>241</v>
      </c>
      <c r="B82" s="3" t="s">
        <v>23</v>
      </c>
      <c r="C82" s="26">
        <v>6.6007247086475376</v>
      </c>
      <c r="D82" s="26">
        <v>19.961489088575096</v>
      </c>
      <c r="E82" s="26">
        <v>3.8193391936950594</v>
      </c>
      <c r="F82" s="26">
        <v>15.365653245686115</v>
      </c>
      <c r="G82" s="26">
        <v>4.4068790306820409</v>
      </c>
      <c r="H82" s="26">
        <v>12.209737827715356</v>
      </c>
      <c r="I82" s="32">
        <v>3.9844606036457813</v>
      </c>
      <c r="J82" s="32">
        <v>12.381771281169389</v>
      </c>
      <c r="K82" s="31">
        <v>3.8707741548309658</v>
      </c>
      <c r="L82" s="31">
        <v>9.8793363499245856</v>
      </c>
      <c r="M82" s="32">
        <v>3.9907519099316446</v>
      </c>
      <c r="N82" s="32">
        <v>10.458991723100075</v>
      </c>
      <c r="O82" s="32">
        <v>3.8327526132404177</v>
      </c>
      <c r="P82" s="32">
        <v>13.817891373801917</v>
      </c>
      <c r="Q82" s="32">
        <v>3.8006756756756759</v>
      </c>
      <c r="R82" s="32">
        <v>15.060670949321914</v>
      </c>
      <c r="S82" s="32">
        <v>4.1975810549852621</v>
      </c>
      <c r="T82" s="32">
        <v>17.278617710583152</v>
      </c>
      <c r="U82" s="123">
        <f>VLOOKUP(A82,'2019_B5_Berechnung'!$B$279:$M$330,12,FALSE)</f>
        <v>4.05706191825172</v>
      </c>
      <c r="V82" s="123">
        <f>VLOOKUP(A82,'2019_B5_Berechnung'!$B$279:$M$330,11,FALSE)</f>
        <v>19.755911517925249</v>
      </c>
    </row>
    <row r="83" spans="1:22" ht="8.25" customHeight="1" x14ac:dyDescent="0.25">
      <c r="A83" s="45">
        <v>241001</v>
      </c>
      <c r="B83" s="3" t="s">
        <v>24</v>
      </c>
      <c r="C83" s="26">
        <v>7.3026801081878538</v>
      </c>
      <c r="D83" s="26">
        <v>17.948717948717949</v>
      </c>
      <c r="E83" s="26">
        <v>4.4288224956063269</v>
      </c>
      <c r="F83" s="26">
        <v>15.316455696202533</v>
      </c>
      <c r="G83" s="26">
        <v>5.47808764940239</v>
      </c>
      <c r="H83" s="26">
        <v>12.20715166461159</v>
      </c>
      <c r="I83" s="32">
        <v>4.8562933597621409</v>
      </c>
      <c r="J83" s="32">
        <v>10.042432814710041</v>
      </c>
      <c r="K83" s="31">
        <v>4.89766081871345</v>
      </c>
      <c r="L83" s="31">
        <v>9.3081761006289305</v>
      </c>
      <c r="M83" s="32">
        <v>5.1134946370665997</v>
      </c>
      <c r="N83" s="32">
        <v>9.8495212038303688</v>
      </c>
      <c r="O83" s="32">
        <v>4.2703694000523971</v>
      </c>
      <c r="P83" s="32">
        <v>14.872521246458922</v>
      </c>
      <c r="Q83" s="32">
        <v>4.3101312856081249</v>
      </c>
      <c r="R83" s="32">
        <v>15.674362089914945</v>
      </c>
      <c r="S83" s="32">
        <v>5.4146341463414638</v>
      </c>
      <c r="T83" s="32">
        <v>17.427385892116181</v>
      </c>
      <c r="U83" s="123">
        <f>VLOOKUP(A83,'2019_B5_Berechnung'!$B$279:$M$330,12,FALSE)</f>
        <v>4.4396448284137264</v>
      </c>
      <c r="V83" s="123">
        <f>VLOOKUP(A83,'2019_B5_Berechnung'!$B$279:$M$330,11,FALSE)</f>
        <v>21.159874608150471</v>
      </c>
    </row>
    <row r="84" spans="1:22" ht="8.25" customHeight="1" x14ac:dyDescent="0.25">
      <c r="A84" s="45">
        <v>241999</v>
      </c>
      <c r="B84" s="3" t="s">
        <v>25</v>
      </c>
      <c r="C84" s="26">
        <v>6.1360677083333339</v>
      </c>
      <c r="D84" s="26">
        <v>23.713235294117645</v>
      </c>
      <c r="E84" s="26">
        <v>3.3573141486810552</v>
      </c>
      <c r="F84" s="26">
        <v>15.456674473067917</v>
      </c>
      <c r="G84" s="26">
        <v>3.7150209070440656</v>
      </c>
      <c r="H84" s="26">
        <v>12.213740458015266</v>
      </c>
      <c r="I84" s="32">
        <v>3.3983008495752123</v>
      </c>
      <c r="J84" s="32">
        <v>16.008771929824562</v>
      </c>
      <c r="K84" s="31">
        <v>3.1557516118086189</v>
      </c>
      <c r="L84" s="31">
        <v>10.734463276836157</v>
      </c>
      <c r="M84" s="32">
        <v>3.2328674861087725</v>
      </c>
      <c r="N84" s="32">
        <v>11.204013377926421</v>
      </c>
      <c r="O84" s="32">
        <v>3.5515906413061771</v>
      </c>
      <c r="P84" s="32">
        <v>12.454212454212454</v>
      </c>
      <c r="Q84" s="32">
        <v>3.4222631094756215</v>
      </c>
      <c r="R84" s="32">
        <v>14.186851211072666</v>
      </c>
      <c r="S84" s="32">
        <v>3.3281059418017076</v>
      </c>
      <c r="T84" s="32">
        <v>17.117117117117118</v>
      </c>
      <c r="U84" s="123">
        <f>VLOOKUP(A84,'2019_B5_Berechnung'!$B$279:$M$330,12,FALSE)</f>
        <v>3.7782053524575825</v>
      </c>
      <c r="V84" s="123">
        <f>VLOOKUP(A84,'2019_B5_Berechnung'!$B$279:$M$330,11,FALSE)</f>
        <v>18.424962852897476</v>
      </c>
    </row>
    <row r="85" spans="1:22" ht="8.25" customHeight="1" x14ac:dyDescent="0.25">
      <c r="A85" s="45">
        <v>251</v>
      </c>
      <c r="B85" s="3" t="s">
        <v>26</v>
      </c>
      <c r="C85" s="26">
        <v>5.3489343919765986</v>
      </c>
      <c r="D85" s="26">
        <v>23.809523809523807</v>
      </c>
      <c r="E85" s="26">
        <v>3.7267080745341614</v>
      </c>
      <c r="F85" s="26">
        <v>9.7087378640776691</v>
      </c>
      <c r="G85" s="26">
        <v>3.7885874649204863</v>
      </c>
      <c r="H85" s="26">
        <v>4.8128342245989302</v>
      </c>
      <c r="I85" s="32">
        <v>3.0666666666666664</v>
      </c>
      <c r="J85" s="32">
        <v>12.612612612612612</v>
      </c>
      <c r="K85" s="31">
        <v>2.3033463711429811</v>
      </c>
      <c r="L85" s="31">
        <v>6.25</v>
      </c>
      <c r="M85" s="32">
        <v>2.6420079260237781</v>
      </c>
      <c r="N85" s="32">
        <v>7.6923076923076925</v>
      </c>
      <c r="O85" s="32">
        <v>2.9172029172029172</v>
      </c>
      <c r="P85" s="32">
        <v>9.4202898550724647</v>
      </c>
      <c r="Q85" s="32">
        <v>2.9438001784121322</v>
      </c>
      <c r="R85" s="32">
        <v>22.794117647058822</v>
      </c>
      <c r="S85" s="32">
        <v>3.0032848427968091</v>
      </c>
      <c r="T85" s="32">
        <v>28.27586206896552</v>
      </c>
      <c r="U85" s="123">
        <f>VLOOKUP(A85,'2019_B5_Berechnung'!$B$279:$M$330,12,FALSE)</f>
        <v>3.8040893961008084</v>
      </c>
      <c r="V85" s="123">
        <f>VLOOKUP(A85,'2019_B5_Berechnung'!$B$279:$M$330,11,FALSE)</f>
        <v>28.666666666666668</v>
      </c>
    </row>
    <row r="86" spans="1:22" ht="8.25" customHeight="1" x14ac:dyDescent="0.25">
      <c r="A86" s="45">
        <v>252</v>
      </c>
      <c r="B86" s="3" t="s">
        <v>27</v>
      </c>
      <c r="C86" s="26">
        <v>9.8307291666666679</v>
      </c>
      <c r="D86" s="26">
        <v>30.519480519480517</v>
      </c>
      <c r="E86" s="26">
        <v>6.072477962781587</v>
      </c>
      <c r="F86" s="26">
        <v>12.5</v>
      </c>
      <c r="G86" s="31">
        <v>5.7254391672088483</v>
      </c>
      <c r="H86" s="31">
        <v>9.8901098901098905</v>
      </c>
      <c r="I86" s="32">
        <v>6.88949522510232</v>
      </c>
      <c r="J86" s="32">
        <v>10.784313725490197</v>
      </c>
      <c r="K86" s="31">
        <v>5.5437100213219619</v>
      </c>
      <c r="L86" s="31">
        <v>8</v>
      </c>
      <c r="M86" s="32">
        <v>4.6527777777777777</v>
      </c>
      <c r="N86" s="32">
        <v>12</v>
      </c>
      <c r="O86" s="32">
        <v>3.1757233592095977</v>
      </c>
      <c r="P86" s="32">
        <v>11.363636363636363</v>
      </c>
      <c r="Q86" s="32">
        <v>4.0830945558739256</v>
      </c>
      <c r="R86" s="32">
        <v>15.384615384615385</v>
      </c>
      <c r="S86" s="32">
        <v>5.4662379421221869</v>
      </c>
      <c r="T86" s="32">
        <v>23.404255319148938</v>
      </c>
      <c r="U86" s="123">
        <f>VLOOKUP(A86,'2019_B5_Berechnung'!$B$279:$M$330,12,FALSE)</f>
        <v>7.6167076167076173</v>
      </c>
      <c r="V86" s="123">
        <f>VLOOKUP(A86,'2019_B5_Berechnung'!$B$279:$M$330,11,FALSE)</f>
        <v>31.578947368421051</v>
      </c>
    </row>
    <row r="87" spans="1:22" ht="8.25" customHeight="1" x14ac:dyDescent="0.25">
      <c r="A87" s="45">
        <v>254</v>
      </c>
      <c r="B87" s="3" t="s">
        <v>28</v>
      </c>
      <c r="C87" s="26">
        <v>8.3077970718420158</v>
      </c>
      <c r="D87" s="26">
        <v>28.87323943661972</v>
      </c>
      <c r="E87" s="26">
        <v>4.2381974248927046</v>
      </c>
      <c r="F87" s="26">
        <v>16.666666666666664</v>
      </c>
      <c r="G87" s="26">
        <v>5.1363797378675171</v>
      </c>
      <c r="H87" s="26">
        <v>14.792899408284024</v>
      </c>
      <c r="I87" s="32">
        <v>5.0478389970306825</v>
      </c>
      <c r="J87" s="32">
        <v>17.5</v>
      </c>
      <c r="K87" s="31">
        <v>5.4684778822709852</v>
      </c>
      <c r="L87" s="31">
        <v>14.285714285714285</v>
      </c>
      <c r="M87" s="32">
        <v>6.4137004701141711</v>
      </c>
      <c r="N87" s="32">
        <v>16.129032258064516</v>
      </c>
      <c r="O87" s="32">
        <v>5.3068592057761732</v>
      </c>
      <c r="P87" s="32">
        <v>23.357664233576642</v>
      </c>
      <c r="Q87" s="32">
        <v>5.1065393093313736</v>
      </c>
      <c r="R87" s="32">
        <v>25.69832402234637</v>
      </c>
      <c r="S87" s="32">
        <v>4.6789989118607185</v>
      </c>
      <c r="T87" s="32">
        <v>27.692307692307693</v>
      </c>
      <c r="U87" s="123">
        <f>VLOOKUP(A87,'2019_B5_Berechnung'!$B$279:$M$330,12,FALSE)</f>
        <v>5.2314640572073765</v>
      </c>
      <c r="V87" s="123">
        <f>VLOOKUP(A87,'2019_B5_Berechnung'!$B$279:$M$330,11,FALSE)</f>
        <v>27.480916030534353</v>
      </c>
    </row>
    <row r="88" spans="1:22" ht="8.25" customHeight="1" x14ac:dyDescent="0.25">
      <c r="A88" s="45">
        <v>255</v>
      </c>
      <c r="B88" s="3" t="s">
        <v>29</v>
      </c>
      <c r="C88" s="26">
        <v>7.7355836849507735</v>
      </c>
      <c r="D88" s="26">
        <v>14.634146341463413</v>
      </c>
      <c r="E88" s="26">
        <v>2.9891304347826089</v>
      </c>
      <c r="F88" s="26">
        <v>4.0816326530612246</v>
      </c>
      <c r="G88" s="26">
        <v>6.5255731922398583</v>
      </c>
      <c r="H88" s="26">
        <v>10.204081632653061</v>
      </c>
      <c r="I88" s="32">
        <v>7.2213500784929359</v>
      </c>
      <c r="J88" s="32">
        <v>7.2727272727272725</v>
      </c>
      <c r="K88" s="31">
        <v>7.7046548956661312</v>
      </c>
      <c r="L88" s="31">
        <v>7.8947368421052628</v>
      </c>
      <c r="M88" s="32">
        <v>8.3606557377049189</v>
      </c>
      <c r="N88" s="32">
        <v>10.344827586206897</v>
      </c>
      <c r="O88" s="32">
        <v>4.0307101727447217</v>
      </c>
      <c r="P88" s="32">
        <v>4</v>
      </c>
      <c r="Q88" s="32">
        <v>5.2301255230125516</v>
      </c>
      <c r="R88" s="32">
        <v>5.1282051282051277</v>
      </c>
      <c r="S88" s="32">
        <v>9.8619329388560164</v>
      </c>
      <c r="T88" s="32">
        <v>19.35483870967742</v>
      </c>
      <c r="U88" s="123">
        <f>VLOOKUP(A88,'2019_B5_Berechnung'!$B$279:$M$330,12,FALSE)</f>
        <v>11.642411642411643</v>
      </c>
      <c r="V88" s="123">
        <f>VLOOKUP(A88,'2019_B5_Berechnung'!$B$279:$M$330,11,FALSE)</f>
        <v>20.588235294117645</v>
      </c>
    </row>
    <row r="89" spans="1:22" ht="8.25" customHeight="1" x14ac:dyDescent="0.25">
      <c r="A89" s="45">
        <v>256</v>
      </c>
      <c r="B89" s="3" t="s">
        <v>30</v>
      </c>
      <c r="C89" s="26">
        <v>7.7039274924471295</v>
      </c>
      <c r="D89" s="26">
        <v>29.82456140350877</v>
      </c>
      <c r="E89" s="26">
        <v>2.715466351829988</v>
      </c>
      <c r="F89" s="26">
        <v>22.972972972972975</v>
      </c>
      <c r="G89" s="26">
        <v>4.7582501918649278</v>
      </c>
      <c r="H89" s="26">
        <v>20.8955223880597</v>
      </c>
      <c r="I89" s="32">
        <v>4.3859649122807012</v>
      </c>
      <c r="J89" s="32">
        <v>14.772727272727273</v>
      </c>
      <c r="K89" s="31">
        <v>7.6860841423948223</v>
      </c>
      <c r="L89" s="31">
        <v>30</v>
      </c>
      <c r="M89" s="32">
        <v>4.3258832011535686</v>
      </c>
      <c r="N89" s="32">
        <v>22.891566265060241</v>
      </c>
      <c r="O89" s="32">
        <v>3.6450079239302693</v>
      </c>
      <c r="P89" s="32">
        <v>21.621621621621621</v>
      </c>
      <c r="Q89" s="32">
        <v>4.7454702329594483</v>
      </c>
      <c r="R89" s="32">
        <v>27.536231884057973</v>
      </c>
      <c r="S89" s="32">
        <v>6.7226890756302522</v>
      </c>
      <c r="T89" s="32">
        <v>43.846153846153847</v>
      </c>
      <c r="U89" s="123">
        <f>VLOOKUP(A89,'2019_B5_Berechnung'!$B$279:$M$330,12,FALSE)</f>
        <v>5.2493438320209975</v>
      </c>
      <c r="V89" s="123">
        <f>VLOOKUP(A89,'2019_B5_Berechnung'!$B$279:$M$330,11,FALSE)</f>
        <v>20.161290322580644</v>
      </c>
    </row>
    <row r="90" spans="1:22" ht="8.25" customHeight="1" x14ac:dyDescent="0.25">
      <c r="A90" s="45">
        <v>257</v>
      </c>
      <c r="B90" s="3" t="s">
        <v>31</v>
      </c>
      <c r="C90" s="26">
        <v>9.1617933723196874</v>
      </c>
      <c r="D90" s="26">
        <v>13.450292397660817</v>
      </c>
      <c r="E90" s="26">
        <v>3.6398467432950192</v>
      </c>
      <c r="F90" s="26">
        <v>11.627906976744185</v>
      </c>
      <c r="G90" s="26">
        <v>3.7580739870816204</v>
      </c>
      <c r="H90" s="26">
        <v>11.926605504587156</v>
      </c>
      <c r="I90" s="32">
        <v>3.0927835051546393</v>
      </c>
      <c r="J90" s="32">
        <v>11.38211382113821</v>
      </c>
      <c r="K90" s="31">
        <v>2.0129870129870131</v>
      </c>
      <c r="L90" s="31">
        <v>1.1494252873563218</v>
      </c>
      <c r="M90" s="32">
        <v>2.3032629558541267</v>
      </c>
      <c r="N90" s="32">
        <v>16.363636363636363</v>
      </c>
      <c r="O90" s="32">
        <v>3.7748344370860929</v>
      </c>
      <c r="P90" s="32">
        <v>6.140350877192982</v>
      </c>
      <c r="Q90" s="32">
        <v>2.5221540558963871</v>
      </c>
      <c r="R90" s="32">
        <v>27.152317880794701</v>
      </c>
      <c r="S90" s="32">
        <v>3.9173789173789171</v>
      </c>
      <c r="T90" s="32">
        <v>15.527950310559005</v>
      </c>
      <c r="U90" s="123">
        <f>VLOOKUP(A90,'2019_B5_Berechnung'!$B$279:$M$330,12,FALSE)</f>
        <v>6.7547723935389135</v>
      </c>
      <c r="V90" s="123">
        <f>VLOOKUP(A90,'2019_B5_Berechnung'!$B$279:$M$330,11,FALSE)</f>
        <v>22.900763358778626</v>
      </c>
    </row>
    <row r="91" spans="1:22" s="36" customFormat="1" ht="16.5" customHeight="1" x14ac:dyDescent="0.25">
      <c r="A91" s="46">
        <v>2</v>
      </c>
      <c r="B91" s="5" t="s">
        <v>32</v>
      </c>
      <c r="C91" s="33">
        <v>7.2393588688199113</v>
      </c>
      <c r="D91" s="33">
        <v>21.772875816993466</v>
      </c>
      <c r="E91" s="33">
        <v>3.9345007959972707</v>
      </c>
      <c r="F91" s="33">
        <v>14.718162839248434</v>
      </c>
      <c r="G91" s="33">
        <v>4.5703028810637774</v>
      </c>
      <c r="H91" s="33">
        <v>11.858495266567015</v>
      </c>
      <c r="I91" s="35">
        <v>4.3114826220853502</v>
      </c>
      <c r="J91" s="35">
        <v>12.652608213096558</v>
      </c>
      <c r="K91" s="34">
        <v>4.2501001201441726</v>
      </c>
      <c r="L91" s="34">
        <v>10.249872514023457</v>
      </c>
      <c r="M91" s="35">
        <v>4.2679605882061686</v>
      </c>
      <c r="N91" s="35">
        <v>11.64150024354603</v>
      </c>
      <c r="O91" s="35">
        <v>3.8734733507077519</v>
      </c>
      <c r="P91" s="35">
        <v>13.600421718502901</v>
      </c>
      <c r="Q91" s="35">
        <v>3.9026193493874102</v>
      </c>
      <c r="R91" s="35">
        <v>17.590822179732314</v>
      </c>
      <c r="S91" s="35">
        <v>4.5039848993288594</v>
      </c>
      <c r="T91" s="35">
        <v>20.78272604588394</v>
      </c>
      <c r="U91" s="123">
        <f>VLOOKUP(A91,'2019_B5_Berechnung'!$B$279:$M$330,12,FALSE)</f>
        <v>4.8856824571640765</v>
      </c>
      <c r="V91" s="123">
        <f>VLOOKUP(A91,'2019_B5_Berechnung'!$B$279:$M$330,11,FALSE)</f>
        <v>22.44617498854787</v>
      </c>
    </row>
    <row r="92" spans="1:22" ht="8.25" customHeight="1" x14ac:dyDescent="0.25">
      <c r="A92" s="45">
        <v>351</v>
      </c>
      <c r="B92" s="3" t="s">
        <v>33</v>
      </c>
      <c r="C92" s="26">
        <v>8.8163662932294198</v>
      </c>
      <c r="D92" s="26">
        <v>27.027027027027028</v>
      </c>
      <c r="E92" s="26">
        <v>4.5335658238884049</v>
      </c>
      <c r="F92" s="26">
        <v>28.571428571428569</v>
      </c>
      <c r="G92" s="26">
        <v>6.3031515757878935</v>
      </c>
      <c r="H92" s="26">
        <v>8.3333333333333321</v>
      </c>
      <c r="I92" s="32">
        <v>5.7291666666666661</v>
      </c>
      <c r="J92" s="32">
        <v>6.25</v>
      </c>
      <c r="K92" s="31">
        <v>4.4238121245221187</v>
      </c>
      <c r="L92" s="31">
        <v>16.417910447761194</v>
      </c>
      <c r="M92" s="32">
        <v>4.6536796536796539</v>
      </c>
      <c r="N92" s="32">
        <v>10.344827586206897</v>
      </c>
      <c r="O92" s="32">
        <v>4.7344849648112604</v>
      </c>
      <c r="P92" s="32">
        <v>4.6153846153846159</v>
      </c>
      <c r="Q92" s="32">
        <v>6.7834934991520628</v>
      </c>
      <c r="R92" s="32">
        <v>33.333333333333329</v>
      </c>
      <c r="S92" s="32">
        <v>6.9575471698113205</v>
      </c>
      <c r="T92" s="32">
        <v>30.476190476190478</v>
      </c>
      <c r="U92" s="123">
        <f>VLOOKUP(A92,'2019_B5_Berechnung'!$B$279:$M$330,12,FALSE)</f>
        <v>5.8088694565896315</v>
      </c>
      <c r="V92" s="123">
        <f>VLOOKUP(A92,'2019_B5_Berechnung'!$B$279:$M$330,11,FALSE)</f>
        <v>24.793388429752067</v>
      </c>
    </row>
    <row r="93" spans="1:22" ht="8.25" customHeight="1" x14ac:dyDescent="0.25">
      <c r="A93" s="45">
        <v>352</v>
      </c>
      <c r="B93" s="3" t="s">
        <v>34</v>
      </c>
      <c r="C93" s="26">
        <v>9.0771558245083206</v>
      </c>
      <c r="D93" s="26">
        <v>35</v>
      </c>
      <c r="E93" s="26">
        <v>4.0234702430846605</v>
      </c>
      <c r="F93" s="26">
        <v>16.842105263157894</v>
      </c>
      <c r="G93" s="26">
        <v>7.9228034535297098</v>
      </c>
      <c r="H93" s="26">
        <v>22</v>
      </c>
      <c r="I93" s="32">
        <v>6.9146149816657942</v>
      </c>
      <c r="J93" s="32">
        <v>12.5</v>
      </c>
      <c r="K93" s="31">
        <v>6.3114330056906365</v>
      </c>
      <c r="L93" s="31">
        <v>17.582417582417584</v>
      </c>
      <c r="M93" s="32">
        <v>3.4536891679748818</v>
      </c>
      <c r="N93" s="32">
        <v>16.666666666666664</v>
      </c>
      <c r="O93" s="32">
        <v>5.6650246305418719</v>
      </c>
      <c r="P93" s="32">
        <v>29.670329670329672</v>
      </c>
      <c r="Q93" s="32">
        <v>5.4024255788313127</v>
      </c>
      <c r="R93" s="32">
        <v>37.037037037037038</v>
      </c>
      <c r="S93" s="32">
        <v>7.0279928528886249</v>
      </c>
      <c r="T93" s="32">
        <v>19.166666666666668</v>
      </c>
      <c r="U93" s="123">
        <f>VLOOKUP(A93,'2019_B5_Berechnung'!$B$279:$M$330,12,FALSE)</f>
        <v>6.9586082783443315</v>
      </c>
      <c r="V93" s="123">
        <f>VLOOKUP(A93,'2019_B5_Berechnung'!$B$279:$M$330,11,FALSE)</f>
        <v>27.34375</v>
      </c>
    </row>
    <row r="94" spans="1:22" ht="8.25" customHeight="1" x14ac:dyDescent="0.25">
      <c r="A94" s="45">
        <v>353</v>
      </c>
      <c r="B94" s="3" t="s">
        <v>35</v>
      </c>
      <c r="C94" s="26">
        <v>6.8475452196382429</v>
      </c>
      <c r="D94" s="26">
        <v>37.962962962962962</v>
      </c>
      <c r="E94" s="26">
        <v>3.1003039513677813</v>
      </c>
      <c r="F94" s="26">
        <v>20.202020202020201</v>
      </c>
      <c r="G94" s="26">
        <v>3.3771106941838651</v>
      </c>
      <c r="H94" s="26">
        <v>14.634146341463413</v>
      </c>
      <c r="I94" s="32">
        <v>2.6677445432497979</v>
      </c>
      <c r="J94" s="32">
        <v>10.144927536231885</v>
      </c>
      <c r="K94" s="31">
        <v>2.4158415841584158</v>
      </c>
      <c r="L94" s="31">
        <v>11.111111111111111</v>
      </c>
      <c r="M94" s="32">
        <v>2.107355864811133</v>
      </c>
      <c r="N94" s="32">
        <v>6.6037735849056602</v>
      </c>
      <c r="O94" s="32">
        <v>2.445984508764778</v>
      </c>
      <c r="P94" s="32">
        <v>10.638297872340425</v>
      </c>
      <c r="Q94" s="32">
        <v>3.0788177339901477</v>
      </c>
      <c r="R94" s="32">
        <v>17.424242424242426</v>
      </c>
      <c r="S94" s="32">
        <v>2.734375</v>
      </c>
      <c r="T94" s="32">
        <v>21.176470588235293</v>
      </c>
      <c r="U94" s="123">
        <f>VLOOKUP(A94,'2019_B5_Berechnung'!$B$279:$M$330,12,FALSE)</f>
        <v>4.3882978723404253</v>
      </c>
      <c r="V94" s="123">
        <f>VLOOKUP(A94,'2019_B5_Berechnung'!$B$279:$M$330,11,FALSE)</f>
        <v>18.103448275862068</v>
      </c>
    </row>
    <row r="95" spans="1:22" ht="8.25" customHeight="1" x14ac:dyDescent="0.25">
      <c r="A95" s="45">
        <v>354</v>
      </c>
      <c r="B95" s="3" t="s">
        <v>36</v>
      </c>
      <c r="C95" s="26">
        <v>9.5599393019726868</v>
      </c>
      <c r="D95" s="26">
        <v>57.142857142857139</v>
      </c>
      <c r="E95" s="26">
        <v>3.4129692832764507</v>
      </c>
      <c r="F95" s="26">
        <v>28.571428571428569</v>
      </c>
      <c r="G95" s="26">
        <v>5.6201550387596901</v>
      </c>
      <c r="H95" s="26">
        <v>20</v>
      </c>
      <c r="I95" s="32">
        <v>5.3045186640471513</v>
      </c>
      <c r="J95" s="32">
        <v>5.2631578947368416</v>
      </c>
      <c r="K95" s="31">
        <v>6.8686868686868685</v>
      </c>
      <c r="L95" s="31">
        <v>40</v>
      </c>
      <c r="M95" s="32">
        <v>6.8359375</v>
      </c>
      <c r="N95" s="32">
        <v>18.181818181818183</v>
      </c>
      <c r="O95" s="32">
        <v>4.8732943469785575</v>
      </c>
      <c r="P95" s="32">
        <v>40.909090909090914</v>
      </c>
      <c r="Q95" s="32">
        <v>7.0247933884297522</v>
      </c>
      <c r="R95" s="32">
        <v>44.444444444444443</v>
      </c>
      <c r="S95" s="32">
        <v>6.0903732809430258</v>
      </c>
      <c r="T95" s="32">
        <v>28.000000000000004</v>
      </c>
      <c r="U95" s="123">
        <f>VLOOKUP(A95,'2019_B5_Berechnung'!$B$279:$M$330,12,FALSE)</f>
        <v>7.4906367041198507</v>
      </c>
      <c r="V95" s="123">
        <f>VLOOKUP(A95,'2019_B5_Berechnung'!$B$279:$M$330,11,FALSE)</f>
        <v>16.666666666666664</v>
      </c>
    </row>
    <row r="96" spans="1:22" ht="8.25" customHeight="1" x14ac:dyDescent="0.25">
      <c r="A96" s="45">
        <v>355</v>
      </c>
      <c r="B96" s="3" t="s">
        <v>37</v>
      </c>
      <c r="C96" s="26">
        <v>5.8430717863105182</v>
      </c>
      <c r="D96" s="26">
        <v>26.506024096385545</v>
      </c>
      <c r="E96" s="26">
        <v>2.9387069689336691</v>
      </c>
      <c r="F96" s="26">
        <v>8.695652173913043</v>
      </c>
      <c r="G96" s="26">
        <v>4.4467972472207515</v>
      </c>
      <c r="H96" s="26">
        <v>7.0175438596491224</v>
      </c>
      <c r="I96" s="32">
        <v>3.6896364622897448</v>
      </c>
      <c r="J96" s="32">
        <v>11.940298507462686</v>
      </c>
      <c r="K96" s="31">
        <v>3.5619351408825093</v>
      </c>
      <c r="L96" s="31">
        <v>7.9365079365079358</v>
      </c>
      <c r="M96" s="32">
        <v>2.9411764705882351</v>
      </c>
      <c r="N96" s="32">
        <v>9.7222222222222232</v>
      </c>
      <c r="O96" s="32">
        <v>3.397027600849257</v>
      </c>
      <c r="P96" s="32">
        <v>11.111111111111111</v>
      </c>
      <c r="Q96" s="32">
        <v>4.5336112558624286</v>
      </c>
      <c r="R96" s="32">
        <v>12.76595744680851</v>
      </c>
      <c r="S96" s="32">
        <v>4.7430830039525684</v>
      </c>
      <c r="T96" s="32">
        <v>12.096774193548388</v>
      </c>
      <c r="U96" s="123">
        <f>VLOOKUP(A96,'2019_B5_Berechnung'!$B$279:$M$330,12,FALSE)</f>
        <v>4.6171171171171173</v>
      </c>
      <c r="V96" s="123">
        <f>VLOOKUP(A96,'2019_B5_Berechnung'!$B$279:$M$330,11,FALSE)</f>
        <v>20.300751879699249</v>
      </c>
    </row>
    <row r="97" spans="1:22" ht="8.25" customHeight="1" x14ac:dyDescent="0.25">
      <c r="A97" s="45">
        <v>356</v>
      </c>
      <c r="B97" s="3" t="s">
        <v>38</v>
      </c>
      <c r="C97" s="26">
        <v>5.5360281195079093</v>
      </c>
      <c r="D97" s="26">
        <v>37.5</v>
      </c>
      <c r="E97" s="26">
        <v>3.5820895522388061</v>
      </c>
      <c r="F97" s="26">
        <v>18.604651162790699</v>
      </c>
      <c r="G97" s="26">
        <v>3.6303630363036308</v>
      </c>
      <c r="H97" s="26">
        <v>30</v>
      </c>
      <c r="I97" s="32">
        <v>5.9161873459326211</v>
      </c>
      <c r="J97" s="32">
        <v>8.3333333333333321</v>
      </c>
      <c r="K97" s="31">
        <v>4.5950155763239877</v>
      </c>
      <c r="L97" s="31">
        <v>16.666666666666664</v>
      </c>
      <c r="M97" s="32">
        <v>2.9610829103214891</v>
      </c>
      <c r="N97" s="32">
        <v>9.0909090909090917</v>
      </c>
      <c r="O97" s="32">
        <v>2.3558082859463854</v>
      </c>
      <c r="P97" s="32">
        <v>23.684210526315788</v>
      </c>
      <c r="Q97" s="32">
        <v>3.1362007168458779</v>
      </c>
      <c r="R97" s="32">
        <v>14.583333333333334</v>
      </c>
      <c r="S97" s="32">
        <v>2.8100775193798451</v>
      </c>
      <c r="T97" s="32">
        <v>16.666666666666664</v>
      </c>
      <c r="U97" s="123">
        <f>VLOOKUP(A97,'2019_B5_Berechnung'!$B$279:$M$330,12,FALSE)</f>
        <v>3.5641547861507124</v>
      </c>
      <c r="V97" s="123">
        <f>VLOOKUP(A97,'2019_B5_Berechnung'!$B$279:$M$330,11,FALSE)</f>
        <v>28.888888888888886</v>
      </c>
    </row>
    <row r="98" spans="1:22" ht="8.25" customHeight="1" x14ac:dyDescent="0.25">
      <c r="A98" s="45">
        <v>357</v>
      </c>
      <c r="B98" s="3" t="s">
        <v>39</v>
      </c>
      <c r="C98" s="26">
        <v>11.266149870801033</v>
      </c>
      <c r="D98" s="26">
        <v>20.224719101123593</v>
      </c>
      <c r="E98" s="26">
        <v>3.6915504511894994</v>
      </c>
      <c r="F98" s="26">
        <v>16.666666666666664</v>
      </c>
      <c r="G98" s="26">
        <v>4.4711014176663033</v>
      </c>
      <c r="H98" s="26">
        <v>17.391304347826086</v>
      </c>
      <c r="I98" s="32">
        <v>4.7077082255561304</v>
      </c>
      <c r="J98" s="32">
        <v>5.7971014492753623</v>
      </c>
      <c r="K98" s="31">
        <v>4.7174701918092277</v>
      </c>
      <c r="L98" s="31">
        <v>7.0588235294117645</v>
      </c>
      <c r="M98" s="32">
        <v>5.0593701600413006</v>
      </c>
      <c r="N98" s="32">
        <v>10.714285714285714</v>
      </c>
      <c r="O98" s="32">
        <v>4.7365620010643958</v>
      </c>
      <c r="P98" s="32">
        <v>24.691358024691358</v>
      </c>
      <c r="Q98" s="32">
        <v>4.9137480397281754</v>
      </c>
      <c r="R98" s="32">
        <v>24.285714285714285</v>
      </c>
      <c r="S98" s="32">
        <v>5.7355284121083381</v>
      </c>
      <c r="T98" s="32">
        <v>21.839080459770116</v>
      </c>
      <c r="U98" s="123">
        <f>VLOOKUP(A98,'2019_B5_Berechnung'!$B$279:$M$330,12,FALSE)</f>
        <v>7.3844419391206308</v>
      </c>
      <c r="V98" s="123">
        <f>VLOOKUP(A98,'2019_B5_Berechnung'!$B$279:$M$330,11,FALSE)</f>
        <v>30.76923076923077</v>
      </c>
    </row>
    <row r="99" spans="1:22" ht="8.25" customHeight="1" x14ac:dyDescent="0.25">
      <c r="A99" s="45">
        <v>358</v>
      </c>
      <c r="B99" s="3" t="s">
        <v>40</v>
      </c>
      <c r="C99" s="26">
        <v>9.1666666666666661</v>
      </c>
      <c r="D99" s="26">
        <v>28.695652173913043</v>
      </c>
      <c r="E99" s="26">
        <v>4.4421487603305785</v>
      </c>
      <c r="F99" s="26">
        <v>17.543859649122805</v>
      </c>
      <c r="G99" s="26">
        <v>6.5940713853599524</v>
      </c>
      <c r="H99" s="26">
        <v>18.055555555555554</v>
      </c>
      <c r="I99" s="32">
        <v>6.5675340768277568</v>
      </c>
      <c r="J99" s="32">
        <v>29.333333333333332</v>
      </c>
      <c r="K99" s="31">
        <v>4.8463356973995273</v>
      </c>
      <c r="L99" s="31">
        <v>17.391304347826086</v>
      </c>
      <c r="M99" s="32">
        <v>6.109324758842444</v>
      </c>
      <c r="N99" s="32">
        <v>20.833333333333336</v>
      </c>
      <c r="O99" s="32">
        <v>6.5551839464882935</v>
      </c>
      <c r="P99" s="32">
        <v>24.528301886792452</v>
      </c>
      <c r="Q99" s="32">
        <v>5.376344086021505</v>
      </c>
      <c r="R99" s="32">
        <v>28.333333333333332</v>
      </c>
      <c r="S99" s="32">
        <v>6.197183098591549</v>
      </c>
      <c r="T99" s="32">
        <v>25</v>
      </c>
      <c r="U99" s="123">
        <f>VLOOKUP(A99,'2019_B5_Berechnung'!$B$279:$M$330,12,FALSE)</f>
        <v>5.3136531365313653</v>
      </c>
      <c r="V99" s="123">
        <f>VLOOKUP(A99,'2019_B5_Berechnung'!$B$279:$M$330,11,FALSE)</f>
        <v>19.696969696969695</v>
      </c>
    </row>
    <row r="100" spans="1:22" ht="8.25" customHeight="1" x14ac:dyDescent="0.25">
      <c r="A100" s="45">
        <v>359</v>
      </c>
      <c r="B100" s="3" t="s">
        <v>41</v>
      </c>
      <c r="C100" s="26">
        <v>9.2036242250834519</v>
      </c>
      <c r="D100" s="26">
        <v>25.688073394495415</v>
      </c>
      <c r="E100" s="26">
        <v>3.8961038961038961</v>
      </c>
      <c r="F100" s="26">
        <v>19.736842105263158</v>
      </c>
      <c r="G100" s="26">
        <v>5.045045045045045</v>
      </c>
      <c r="H100" s="26">
        <v>7.042253521126761</v>
      </c>
      <c r="I100" s="32">
        <v>4.838709677419355</v>
      </c>
      <c r="J100" s="32">
        <v>10.204081632653061</v>
      </c>
      <c r="K100" s="31">
        <v>3.3656062701705856</v>
      </c>
      <c r="L100" s="31">
        <v>13.461538461538462</v>
      </c>
      <c r="M100" s="32">
        <v>3.2932799287939476</v>
      </c>
      <c r="N100" s="32">
        <v>20.588235294117645</v>
      </c>
      <c r="O100" s="32">
        <v>5.0023820867079563</v>
      </c>
      <c r="P100" s="32">
        <v>36.752136752136757</v>
      </c>
      <c r="Q100" s="32">
        <v>3.7365716954694066</v>
      </c>
      <c r="R100" s="32">
        <v>26.851851851851855</v>
      </c>
      <c r="S100" s="32">
        <v>6.4399793920659452</v>
      </c>
      <c r="T100" s="32">
        <v>30.081300813008134</v>
      </c>
      <c r="U100" s="123">
        <f>VLOOKUP(A100,'2019_B5_Berechnung'!$B$279:$M$330,12,FALSE)</f>
        <v>5.22128294380905</v>
      </c>
      <c r="V100" s="123">
        <f>VLOOKUP(A100,'2019_B5_Berechnung'!$B$279:$M$330,11,FALSE)</f>
        <v>26.865671641791046</v>
      </c>
    </row>
    <row r="101" spans="1:22" ht="8.25" customHeight="1" x14ac:dyDescent="0.25">
      <c r="A101" s="45">
        <v>360</v>
      </c>
      <c r="B101" s="3" t="s">
        <v>42</v>
      </c>
      <c r="C101" s="26">
        <v>9.9195710455764079</v>
      </c>
      <c r="D101" s="26">
        <v>45.238095238095241</v>
      </c>
      <c r="E101" s="26">
        <v>2.8963414634146343</v>
      </c>
      <c r="F101" s="26">
        <v>7.1428571428571423</v>
      </c>
      <c r="G101" s="26">
        <v>4.3562439496611809</v>
      </c>
      <c r="H101" s="26">
        <v>3.7037037037037033</v>
      </c>
      <c r="I101" s="32">
        <v>3.1219512195121952</v>
      </c>
      <c r="J101" s="32">
        <v>12</v>
      </c>
      <c r="K101" s="31">
        <v>3.8210624417520966</v>
      </c>
      <c r="L101" s="31">
        <v>15</v>
      </c>
      <c r="M101" s="32">
        <v>2.9000000000000004</v>
      </c>
      <c r="N101" s="32">
        <v>21.739130434782609</v>
      </c>
      <c r="O101" s="32">
        <v>3.8883349950149553</v>
      </c>
      <c r="P101" s="32">
        <v>37.5</v>
      </c>
      <c r="Q101" s="32">
        <v>4.2269187986651833</v>
      </c>
      <c r="R101" s="32">
        <v>43.589743589743591</v>
      </c>
      <c r="S101" s="32">
        <v>5.5023923444976077</v>
      </c>
      <c r="T101" s="32">
        <v>26.666666666666668</v>
      </c>
      <c r="U101" s="123">
        <f>VLOOKUP(A101,'2019_B5_Berechnung'!$B$279:$M$330,12,FALSE)</f>
        <v>8.6538461538461533</v>
      </c>
      <c r="V101" s="123">
        <f>VLOOKUP(A101,'2019_B5_Berechnung'!$B$279:$M$330,11,FALSE)</f>
        <v>25.714285714285712</v>
      </c>
    </row>
    <row r="102" spans="1:22" ht="8.25" customHeight="1" x14ac:dyDescent="0.25">
      <c r="A102" s="45">
        <v>361</v>
      </c>
      <c r="B102" s="3" t="s">
        <v>43</v>
      </c>
      <c r="C102" s="26">
        <v>8.1645983017635544</v>
      </c>
      <c r="D102" s="26">
        <v>35.606060606060609</v>
      </c>
      <c r="E102" s="26">
        <v>2.9655990510083039</v>
      </c>
      <c r="F102" s="26">
        <v>12.76595744680851</v>
      </c>
      <c r="G102" s="26">
        <v>3.5901271503365741</v>
      </c>
      <c r="H102" s="26">
        <v>8.5470085470085468</v>
      </c>
      <c r="I102" s="32">
        <v>4.647887323943662</v>
      </c>
      <c r="J102" s="32">
        <v>6.8376068376068382</v>
      </c>
      <c r="K102" s="31">
        <v>2.6722925457102673</v>
      </c>
      <c r="L102" s="31">
        <v>12.8</v>
      </c>
      <c r="M102" s="32">
        <v>3.9940828402366866</v>
      </c>
      <c r="N102" s="32">
        <v>22.105263157894736</v>
      </c>
      <c r="O102" s="32">
        <v>3.6199095022624439</v>
      </c>
      <c r="P102" s="32">
        <v>10.294117647058822</v>
      </c>
      <c r="Q102" s="32">
        <v>2.4944974321349962</v>
      </c>
      <c r="R102" s="32">
        <v>34.285714285714285</v>
      </c>
      <c r="S102" s="32">
        <v>3.181076672104405</v>
      </c>
      <c r="T102" s="32">
        <v>17.948717948717949</v>
      </c>
      <c r="U102" s="123">
        <f>VLOOKUP(A102,'2019_B5_Berechnung'!$B$279:$M$330,12,FALSE)</f>
        <v>4.1888804265041886</v>
      </c>
      <c r="V102" s="123">
        <f>VLOOKUP(A102,'2019_B5_Berechnung'!$B$279:$M$330,11,FALSE)</f>
        <v>26.923076923076923</v>
      </c>
    </row>
    <row r="103" spans="1:22" s="36" customFormat="1" ht="16.5" customHeight="1" x14ac:dyDescent="0.25">
      <c r="A103" s="46">
        <v>3</v>
      </c>
      <c r="B103" s="5" t="s">
        <v>44</v>
      </c>
      <c r="C103" s="33">
        <v>8.4698252171045407</v>
      </c>
      <c r="D103" s="33">
        <v>31.244064577397911</v>
      </c>
      <c r="E103" s="33">
        <v>3.619543739895815</v>
      </c>
      <c r="F103" s="33">
        <v>16.931982633863964</v>
      </c>
      <c r="G103" s="33">
        <v>5.0471981229879415</v>
      </c>
      <c r="H103" s="33">
        <v>13.714285714285715</v>
      </c>
      <c r="I103" s="35">
        <v>4.8519919875361674</v>
      </c>
      <c r="J103" s="35">
        <v>11.141678129298487</v>
      </c>
      <c r="K103" s="34">
        <v>4.1077108698036637</v>
      </c>
      <c r="L103" s="34">
        <v>13.717948717948719</v>
      </c>
      <c r="M103" s="35">
        <v>3.791126203863497</v>
      </c>
      <c r="N103" s="35">
        <v>14.903846153846153</v>
      </c>
      <c r="O103" s="35">
        <v>4.2687113756008239</v>
      </c>
      <c r="P103" s="35">
        <v>20.636942675159236</v>
      </c>
      <c r="Q103" s="35">
        <v>4.468919386460616</v>
      </c>
      <c r="R103" s="35">
        <v>26.568265682656829</v>
      </c>
      <c r="S103" s="35">
        <v>5.2095477695281343</v>
      </c>
      <c r="T103" s="35">
        <v>22.122905027932958</v>
      </c>
      <c r="U103" s="123">
        <f>VLOOKUP(A103,'2019_B5_Berechnung'!$B$279:$M$330,12,FALSE)</f>
        <v>5.5897149245388489</v>
      </c>
      <c r="V103" s="123">
        <f>VLOOKUP(A103,'2019_B5_Berechnung'!$B$279:$M$330,11,FALSE)</f>
        <v>24.387646432374869</v>
      </c>
    </row>
    <row r="104" spans="1:22" ht="8.25" customHeight="1" x14ac:dyDescent="0.25">
      <c r="A104" s="45">
        <v>401</v>
      </c>
      <c r="B104" s="3" t="s">
        <v>45</v>
      </c>
      <c r="C104" s="26">
        <v>10.131578947368421</v>
      </c>
      <c r="D104" s="26">
        <v>25.563909774436087</v>
      </c>
      <c r="E104" s="26">
        <v>5.6925996204933584</v>
      </c>
      <c r="F104" s="26">
        <v>20</v>
      </c>
      <c r="G104" s="26">
        <v>4.9932523616734139</v>
      </c>
      <c r="H104" s="26">
        <v>16.101694915254235</v>
      </c>
      <c r="I104" s="32">
        <v>5.89041095890411</v>
      </c>
      <c r="J104" s="32">
        <v>11.594202898550725</v>
      </c>
      <c r="K104" s="31">
        <v>5.1655629139072845</v>
      </c>
      <c r="L104" s="31">
        <v>17.80821917808219</v>
      </c>
      <c r="M104" s="32">
        <v>4.1782729805013927</v>
      </c>
      <c r="N104" s="32">
        <v>16.374269005847953</v>
      </c>
      <c r="O104" s="32">
        <v>4.8846675712347354</v>
      </c>
      <c r="P104" s="32">
        <v>8.4507042253521121</v>
      </c>
      <c r="Q104" s="32">
        <v>6.1884669479606194</v>
      </c>
      <c r="R104" s="32">
        <v>29.411764705882355</v>
      </c>
      <c r="S104" s="32">
        <v>5.3097345132743365</v>
      </c>
      <c r="T104" s="32">
        <v>24.025974025974026</v>
      </c>
      <c r="U104" s="123">
        <f>VLOOKUP(A104,'2019_B5_Berechnung'!$B$279:$M$330,12,FALSE)</f>
        <v>6.2780269058295968</v>
      </c>
      <c r="V104" s="123">
        <f>VLOOKUP(A104,'2019_B5_Berechnung'!$B$279:$M$330,11,FALSE)</f>
        <v>41.212121212121211</v>
      </c>
    </row>
    <row r="105" spans="1:22" ht="8.25" customHeight="1" x14ac:dyDescent="0.25">
      <c r="A105" s="45">
        <v>402</v>
      </c>
      <c r="B105" s="3" t="s">
        <v>46</v>
      </c>
      <c r="C105" s="26">
        <v>9.9485420240137223</v>
      </c>
      <c r="D105" s="26">
        <v>45.454545454545453</v>
      </c>
      <c r="E105" s="26">
        <v>3.7135278514588856</v>
      </c>
      <c r="F105" s="26">
        <v>21.052631578947366</v>
      </c>
      <c r="G105" s="26">
        <v>8.9416058394160594</v>
      </c>
      <c r="H105" s="26">
        <v>20</v>
      </c>
      <c r="I105" s="32">
        <v>9.0090090090090094</v>
      </c>
      <c r="J105" s="32">
        <v>25</v>
      </c>
      <c r="K105" s="31">
        <v>10.256410256410255</v>
      </c>
      <c r="L105" s="31">
        <v>28.571428571428569</v>
      </c>
      <c r="M105" s="32">
        <v>8.695652173913043</v>
      </c>
      <c r="N105" s="32">
        <v>60</v>
      </c>
      <c r="O105" s="32">
        <v>6.3314711359404097</v>
      </c>
      <c r="P105" s="32">
        <v>69.230769230769226</v>
      </c>
      <c r="Q105" s="32">
        <v>6.6317626527050617</v>
      </c>
      <c r="R105" s="32">
        <v>58.333333333333336</v>
      </c>
      <c r="S105" s="32">
        <v>9.8557692307692299</v>
      </c>
      <c r="T105" s="32">
        <v>20</v>
      </c>
      <c r="U105" s="123">
        <f>VLOOKUP(A105,'2019_B5_Berechnung'!$B$279:$M$330,12,FALSE)</f>
        <v>6.9915254237288131</v>
      </c>
      <c r="V105" s="123">
        <f>VLOOKUP(A105,'2019_B5_Berechnung'!$B$279:$M$330,11,FALSE)</f>
        <v>26.923076923076923</v>
      </c>
    </row>
    <row r="106" spans="1:22" ht="8.25" customHeight="1" x14ac:dyDescent="0.25">
      <c r="A106" s="45">
        <v>403</v>
      </c>
      <c r="B106" s="3" t="s">
        <v>47</v>
      </c>
      <c r="C106" s="26">
        <v>6.7894131185270421</v>
      </c>
      <c r="D106" s="26">
        <v>29.545454545454547</v>
      </c>
      <c r="E106" s="26">
        <v>3.9401103230890469</v>
      </c>
      <c r="F106" s="26">
        <v>11.428571428571429</v>
      </c>
      <c r="G106" s="26">
        <v>4.2530568846358321</v>
      </c>
      <c r="H106" s="26">
        <v>13.20754716981132</v>
      </c>
      <c r="I106" s="32">
        <v>5.3185595567867034</v>
      </c>
      <c r="J106" s="32">
        <v>17.82178217821782</v>
      </c>
      <c r="K106" s="31">
        <v>4.2871900826446288</v>
      </c>
      <c r="L106" s="31">
        <v>9.375</v>
      </c>
      <c r="M106" s="32">
        <v>5.6561085972850682</v>
      </c>
      <c r="N106" s="32">
        <v>12.931034482758621</v>
      </c>
      <c r="O106" s="32">
        <v>4.7907488986784141</v>
      </c>
      <c r="P106" s="32">
        <v>12.621359223300971</v>
      </c>
      <c r="Q106" s="32">
        <v>4.7441364605543708</v>
      </c>
      <c r="R106" s="32">
        <v>16.19047619047619</v>
      </c>
      <c r="S106" s="32">
        <v>4.2818428184281849</v>
      </c>
      <c r="T106" s="32">
        <v>25.263157894736842</v>
      </c>
      <c r="U106" s="123">
        <f>VLOOKUP(A106,'2019_B5_Berechnung'!$B$279:$M$330,12,FALSE)</f>
        <v>3.4427966101694913</v>
      </c>
      <c r="V106" s="123">
        <f>VLOOKUP(A106,'2019_B5_Berechnung'!$B$279:$M$330,11,FALSE)</f>
        <v>19.25925925925926</v>
      </c>
    </row>
    <row r="107" spans="1:22" ht="8.25" customHeight="1" x14ac:dyDescent="0.25">
      <c r="A107" s="45">
        <v>404</v>
      </c>
      <c r="B107" s="3" t="s">
        <v>48</v>
      </c>
      <c r="C107" s="26">
        <v>3.9707419017763845</v>
      </c>
      <c r="D107" s="26">
        <v>16.513761467889911</v>
      </c>
      <c r="E107" s="26">
        <v>4.0143369175627237</v>
      </c>
      <c r="F107" s="26">
        <v>17.391304347826086</v>
      </c>
      <c r="G107" s="26">
        <v>4.5745204131824888</v>
      </c>
      <c r="H107" s="26">
        <v>15.384615384615385</v>
      </c>
      <c r="I107" s="32">
        <v>4.0342914775592531</v>
      </c>
      <c r="J107" s="32">
        <v>13.740458015267176</v>
      </c>
      <c r="K107" s="31">
        <v>3.6381043561512687</v>
      </c>
      <c r="L107" s="31">
        <v>10.734463276836157</v>
      </c>
      <c r="M107" s="32">
        <v>5.6564608199273483</v>
      </c>
      <c r="N107" s="32">
        <v>16.8</v>
      </c>
      <c r="O107" s="32">
        <v>4.2926829268292686</v>
      </c>
      <c r="P107" s="32">
        <v>13.529411764705882</v>
      </c>
      <c r="Q107" s="32">
        <v>4.056795131845842</v>
      </c>
      <c r="R107" s="32">
        <v>13.043478260869565</v>
      </c>
      <c r="S107" s="32">
        <v>3.3701948393891521</v>
      </c>
      <c r="T107" s="32">
        <v>20.437956204379564</v>
      </c>
      <c r="U107" s="123">
        <f>VLOOKUP(A107,'2019_B5_Berechnung'!$B$279:$M$330,12,FALSE)</f>
        <v>3.5468501852832186</v>
      </c>
      <c r="V107" s="123">
        <f>VLOOKUP(A107,'2019_B5_Berechnung'!$B$279:$M$330,11,FALSE)</f>
        <v>19.834710743801654</v>
      </c>
    </row>
    <row r="108" spans="1:22" ht="8.25" customHeight="1" x14ac:dyDescent="0.25">
      <c r="A108" s="45">
        <v>405</v>
      </c>
      <c r="B108" s="3" t="s">
        <v>49</v>
      </c>
      <c r="C108" s="26">
        <v>8.0402010050251249</v>
      </c>
      <c r="D108" s="26">
        <v>27.027027027027028</v>
      </c>
      <c r="E108" s="26">
        <v>2.5</v>
      </c>
      <c r="F108" s="26">
        <v>13.559322033898304</v>
      </c>
      <c r="G108" s="26">
        <v>3.8461538461538463</v>
      </c>
      <c r="H108" s="26">
        <v>32.432432432432435</v>
      </c>
      <c r="I108" s="32">
        <v>4.8284625158830998</v>
      </c>
      <c r="J108" s="32">
        <v>22.5</v>
      </c>
      <c r="K108" s="31">
        <v>3.5326086956521738</v>
      </c>
      <c r="L108" s="31">
        <v>17.241379310344829</v>
      </c>
      <c r="M108" s="32">
        <v>3.5919540229885056</v>
      </c>
      <c r="N108" s="32">
        <v>4.1666666666666661</v>
      </c>
      <c r="O108" s="32" t="s">
        <v>84</v>
      </c>
      <c r="P108" s="32" t="s">
        <v>84</v>
      </c>
      <c r="Q108" s="32">
        <v>3.8051750380517504</v>
      </c>
      <c r="R108" s="32">
        <v>5.7971014492753623</v>
      </c>
      <c r="S108" s="32">
        <v>5.774647887323944</v>
      </c>
      <c r="T108" s="32">
        <v>7.8947368421052628</v>
      </c>
      <c r="U108" s="123">
        <f>VLOOKUP(A108,'2019_B5_Berechnung'!$B$279:$M$330,12,FALSE)</f>
        <v>5.8407079646017701</v>
      </c>
      <c r="V108" s="123">
        <f>VLOOKUP(A108,'2019_B5_Berechnung'!$B$279:$M$330,11,FALSE)</f>
        <v>27.941176470588236</v>
      </c>
    </row>
    <row r="109" spans="1:22" ht="8.25" customHeight="1" x14ac:dyDescent="0.25">
      <c r="A109" s="45">
        <v>451</v>
      </c>
      <c r="B109" s="3" t="s">
        <v>50</v>
      </c>
      <c r="C109" s="26">
        <v>9.0347490347490336</v>
      </c>
      <c r="D109" s="26">
        <v>30.612244897959183</v>
      </c>
      <c r="E109" s="26">
        <v>3.1377899045020468</v>
      </c>
      <c r="F109" s="26">
        <v>37.5</v>
      </c>
      <c r="G109" s="26">
        <v>3.2738095238095242</v>
      </c>
      <c r="H109" s="26">
        <v>10</v>
      </c>
      <c r="I109" s="32">
        <v>2.6455026455026456</v>
      </c>
      <c r="J109" s="32">
        <v>3.5714285714285712</v>
      </c>
      <c r="K109" s="31">
        <v>3.3507073715562177</v>
      </c>
      <c r="L109" s="31">
        <v>5.3571428571428568</v>
      </c>
      <c r="M109" s="32">
        <v>3.9463886820551006</v>
      </c>
      <c r="N109" s="32">
        <v>6.25</v>
      </c>
      <c r="O109" s="32">
        <v>3.5686578743211794</v>
      </c>
      <c r="P109" s="32">
        <v>15.384615384615385</v>
      </c>
      <c r="Q109" s="32">
        <v>5.1571313456889607</v>
      </c>
      <c r="R109" s="32">
        <v>15.909090909090908</v>
      </c>
      <c r="S109" s="32">
        <v>3.2203389830508473</v>
      </c>
      <c r="T109" s="32">
        <v>3.0769230769230771</v>
      </c>
      <c r="U109" s="123">
        <f>VLOOKUP(A109,'2019_B5_Berechnung'!$B$279:$M$330,12,FALSE)</f>
        <v>7.4373484236054974</v>
      </c>
      <c r="V109" s="123">
        <f>VLOOKUP(A109,'2019_B5_Berechnung'!$B$279:$M$330,11,FALSE)</f>
        <v>4.0540540540540544</v>
      </c>
    </row>
    <row r="110" spans="1:22" ht="8.25" customHeight="1" x14ac:dyDescent="0.25">
      <c r="A110" s="45">
        <v>452</v>
      </c>
      <c r="B110" s="3" t="s">
        <v>51</v>
      </c>
      <c r="C110" s="26">
        <v>11.683417085427136</v>
      </c>
      <c r="D110" s="26">
        <v>30</v>
      </c>
      <c r="E110" s="26">
        <v>5.9904153354632586</v>
      </c>
      <c r="F110" s="26">
        <v>35.714285714285715</v>
      </c>
      <c r="G110" s="26">
        <v>8.1818181818181817</v>
      </c>
      <c r="H110" s="26">
        <v>37.974683544303801</v>
      </c>
      <c r="I110" s="32">
        <v>7.7856843867727079</v>
      </c>
      <c r="J110" s="32">
        <v>29.787234042553191</v>
      </c>
      <c r="K110" s="31">
        <v>8.0812445980985306</v>
      </c>
      <c r="L110" s="31">
        <v>20.833333333333336</v>
      </c>
      <c r="M110" s="32">
        <v>6.8253255500673555</v>
      </c>
      <c r="N110" s="32">
        <v>13.461538461538462</v>
      </c>
      <c r="O110" s="32">
        <v>7.6199435559736601</v>
      </c>
      <c r="P110" s="32">
        <v>24.390243902439025</v>
      </c>
      <c r="Q110" s="32">
        <v>7.6064908722109541</v>
      </c>
      <c r="R110" s="32">
        <v>26.415094339622641</v>
      </c>
      <c r="S110" s="32">
        <v>8.6054950751684824</v>
      </c>
      <c r="T110" s="32">
        <v>21.686746987951807</v>
      </c>
      <c r="U110" s="123">
        <f>VLOOKUP(A110,'2019_B5_Berechnung'!$B$279:$M$330,12,FALSE)</f>
        <v>8.2133333333333329</v>
      </c>
      <c r="V110" s="123">
        <f>VLOOKUP(A110,'2019_B5_Berechnung'!$B$279:$M$330,11,FALSE)</f>
        <v>23.076923076923077</v>
      </c>
    </row>
    <row r="111" spans="1:22" ht="8.25" customHeight="1" x14ac:dyDescent="0.25">
      <c r="A111" s="45">
        <v>453</v>
      </c>
      <c r="B111" s="3" t="s">
        <v>52</v>
      </c>
      <c r="C111" s="26">
        <v>8.4983099951714145</v>
      </c>
      <c r="D111" s="26">
        <v>36.363636363636367</v>
      </c>
      <c r="E111" s="26">
        <v>4.8739495798319332</v>
      </c>
      <c r="F111" s="26">
        <v>20.588235294117645</v>
      </c>
      <c r="G111" s="26">
        <v>5.620723362658846</v>
      </c>
      <c r="H111" s="26">
        <v>22.058823529411764</v>
      </c>
      <c r="I111" s="32">
        <v>4.4360547428032087</v>
      </c>
      <c r="J111" s="32">
        <v>15.151515151515152</v>
      </c>
      <c r="K111" s="31">
        <v>3.7445991358617379</v>
      </c>
      <c r="L111" s="31">
        <v>17.391304347826086</v>
      </c>
      <c r="M111" s="32">
        <v>3.8593063019052272</v>
      </c>
      <c r="N111" s="32">
        <v>10.606060606060606</v>
      </c>
      <c r="O111" s="32">
        <v>3.6290322580645165</v>
      </c>
      <c r="P111" s="32">
        <v>18.666666666666668</v>
      </c>
      <c r="Q111" s="32">
        <v>5</v>
      </c>
      <c r="R111" s="32">
        <v>30.927835051546392</v>
      </c>
      <c r="S111" s="32">
        <v>4.6858908341915546</v>
      </c>
      <c r="T111" s="32">
        <v>29.702970297029701</v>
      </c>
      <c r="U111" s="123">
        <f>VLOOKUP(A111,'2019_B5_Berechnung'!$B$279:$M$330,12,FALSE)</f>
        <v>7.5038284839203673</v>
      </c>
      <c r="V111" s="123">
        <f>VLOOKUP(A111,'2019_B5_Berechnung'!$B$279:$M$330,11,FALSE)</f>
        <v>34.857142857142861</v>
      </c>
    </row>
    <row r="112" spans="1:22" ht="8.25" customHeight="1" x14ac:dyDescent="0.25">
      <c r="A112" s="45">
        <v>454</v>
      </c>
      <c r="B112" s="3" t="s">
        <v>53</v>
      </c>
      <c r="C112" s="26">
        <v>7.3468447719944718</v>
      </c>
      <c r="D112" s="26">
        <v>37.623762376237622</v>
      </c>
      <c r="E112" s="26">
        <v>2.6934587430525863</v>
      </c>
      <c r="F112" s="26">
        <v>16.101694915254235</v>
      </c>
      <c r="G112" s="26">
        <v>4.3317485472794504</v>
      </c>
      <c r="H112" s="26">
        <v>19.540229885057471</v>
      </c>
      <c r="I112" s="32">
        <v>4.2213642213642206</v>
      </c>
      <c r="J112" s="32">
        <v>22.916666666666664</v>
      </c>
      <c r="K112" s="31">
        <v>4.784313725490196</v>
      </c>
      <c r="L112" s="31">
        <v>20.325203252032519</v>
      </c>
      <c r="M112" s="32">
        <v>4.7516198704103676</v>
      </c>
      <c r="N112" s="32">
        <v>23.972602739726025</v>
      </c>
      <c r="O112" s="32">
        <v>5.588714053174173</v>
      </c>
      <c r="P112" s="32">
        <v>37.569060773480665</v>
      </c>
      <c r="Q112" s="32">
        <v>5.3396701146211907</v>
      </c>
      <c r="R112" s="32">
        <v>42.410714285714285</v>
      </c>
      <c r="S112" s="32">
        <v>4.2420646692376147</v>
      </c>
      <c r="T112" s="32">
        <v>36.752136752136757</v>
      </c>
      <c r="U112" s="123">
        <f>VLOOKUP(A112,'2019_B5_Berechnung'!$B$279:$M$330,12,FALSE)</f>
        <v>5.8577405857740583</v>
      </c>
      <c r="V112" s="123">
        <f>VLOOKUP(A112,'2019_B5_Berechnung'!$B$279:$M$330,11,FALSE)</f>
        <v>36.213991769547327</v>
      </c>
    </row>
    <row r="113" spans="1:22" ht="8.25" customHeight="1" x14ac:dyDescent="0.25">
      <c r="A113" s="45">
        <v>455</v>
      </c>
      <c r="B113" s="3" t="s">
        <v>54</v>
      </c>
      <c r="C113" s="26">
        <v>10.269192422731804</v>
      </c>
      <c r="D113" s="26">
        <v>32.352941176470587</v>
      </c>
      <c r="E113" s="26">
        <v>2.6119402985074625</v>
      </c>
      <c r="F113" s="26">
        <v>12.195121951219512</v>
      </c>
      <c r="G113" s="26">
        <v>5.6807051909892259</v>
      </c>
      <c r="H113" s="26">
        <v>6.25</v>
      </c>
      <c r="I113" s="32">
        <v>3.2755298651252409</v>
      </c>
      <c r="J113" s="32">
        <v>12.5</v>
      </c>
      <c r="K113" s="31">
        <v>3.5381750465549344</v>
      </c>
      <c r="L113" s="31">
        <v>2.3809523809523809</v>
      </c>
      <c r="M113" s="32">
        <v>3.730569948186528</v>
      </c>
      <c r="N113" s="32">
        <v>23.255813953488371</v>
      </c>
      <c r="O113" s="32">
        <v>3.9634146341463414</v>
      </c>
      <c r="P113" s="32">
        <v>11.111111111111111</v>
      </c>
      <c r="Q113" s="32">
        <v>6.5375302663438255</v>
      </c>
      <c r="R113" s="32">
        <v>57.446808510638306</v>
      </c>
      <c r="S113" s="32">
        <v>9.4438614900314803</v>
      </c>
      <c r="T113" s="32">
        <v>25.641025641025639</v>
      </c>
      <c r="U113" s="123">
        <f>VLOOKUP(A113,'2019_B5_Berechnung'!$B$279:$M$330,12,FALSE)</f>
        <v>7.7658303464755081</v>
      </c>
      <c r="V113" s="123">
        <f>VLOOKUP(A113,'2019_B5_Berechnung'!$B$279:$M$330,11,FALSE)</f>
        <v>25</v>
      </c>
    </row>
    <row r="114" spans="1:22" ht="8.25" customHeight="1" x14ac:dyDescent="0.25">
      <c r="A114" s="45">
        <v>456</v>
      </c>
      <c r="B114" s="3" t="s">
        <v>55</v>
      </c>
      <c r="C114" s="26">
        <v>10.291262135922331</v>
      </c>
      <c r="D114" s="26">
        <v>27.450980392156865</v>
      </c>
      <c r="E114" s="26">
        <v>4.0553907022749751</v>
      </c>
      <c r="F114" s="26">
        <v>16.8</v>
      </c>
      <c r="G114" s="26">
        <v>5.828421741977734</v>
      </c>
      <c r="H114" s="26">
        <v>28.787878787878789</v>
      </c>
      <c r="I114" s="32">
        <v>5.552089831565814</v>
      </c>
      <c r="J114" s="32">
        <v>27.450980392156865</v>
      </c>
      <c r="K114" s="31">
        <v>4.539295392953929</v>
      </c>
      <c r="L114" s="31">
        <v>20.183486238532112</v>
      </c>
      <c r="M114" s="32">
        <v>6.2371487320082251</v>
      </c>
      <c r="N114" s="32">
        <v>20.52980132450331</v>
      </c>
      <c r="O114" s="32">
        <v>5.0858652575957732</v>
      </c>
      <c r="P114" s="32">
        <v>14.814814814814813</v>
      </c>
      <c r="Q114" s="32">
        <v>4.8920863309352516</v>
      </c>
      <c r="R114" s="32">
        <v>16.793893129770993</v>
      </c>
      <c r="S114" s="32">
        <v>5.0179211469534053</v>
      </c>
      <c r="T114" s="32">
        <v>15.714285714285714</v>
      </c>
      <c r="U114" s="123">
        <f>VLOOKUP(A114,'2019_B5_Berechnung'!$B$279:$M$330,12,FALSE)</f>
        <v>5.3019145802650955</v>
      </c>
      <c r="V114" s="123">
        <f>VLOOKUP(A114,'2019_B5_Berechnung'!$B$279:$M$330,11,FALSE)</f>
        <v>18.539325842696631</v>
      </c>
    </row>
    <row r="115" spans="1:22" ht="8.25" customHeight="1" x14ac:dyDescent="0.25">
      <c r="A115" s="45">
        <v>457</v>
      </c>
      <c r="B115" s="3" t="s">
        <v>56</v>
      </c>
      <c r="C115" s="26">
        <v>9.8613251155624049</v>
      </c>
      <c r="D115" s="26">
        <v>34.848484848484851</v>
      </c>
      <c r="E115" s="26">
        <v>7.5335397316821471</v>
      </c>
      <c r="F115" s="26">
        <v>34.782608695652172</v>
      </c>
      <c r="G115" s="26">
        <v>8.5861476817401261</v>
      </c>
      <c r="H115" s="26">
        <v>29.230769230769234</v>
      </c>
      <c r="I115" s="32">
        <v>7.2747621712367092</v>
      </c>
      <c r="J115" s="32">
        <v>12.048192771084338</v>
      </c>
      <c r="K115" s="31">
        <v>6.4935064935064926</v>
      </c>
      <c r="L115" s="31">
        <v>15.584415584415584</v>
      </c>
      <c r="M115" s="32">
        <v>7.8902229845626071</v>
      </c>
      <c r="N115" s="32">
        <v>17.525773195876287</v>
      </c>
      <c r="O115" s="32">
        <v>7.625649913344887</v>
      </c>
      <c r="P115" s="32">
        <v>27.27272727272727</v>
      </c>
      <c r="Q115" s="32">
        <v>8.0952380952380949</v>
      </c>
      <c r="R115" s="32">
        <v>27.884615384615387</v>
      </c>
      <c r="S115" s="32">
        <v>4.9741602067183459</v>
      </c>
      <c r="T115" s="32">
        <v>33.695652173913047</v>
      </c>
      <c r="U115" s="123">
        <f>VLOOKUP(A115,'2019_B5_Berechnung'!$B$279:$M$330,12,FALSE)</f>
        <v>6.102117061021171</v>
      </c>
      <c r="V115" s="123">
        <f>VLOOKUP(A115,'2019_B5_Berechnung'!$B$279:$M$330,11,FALSE)</f>
        <v>28.8135593220339</v>
      </c>
    </row>
    <row r="116" spans="1:22" ht="8.25" customHeight="1" x14ac:dyDescent="0.25">
      <c r="A116" s="45">
        <v>458</v>
      </c>
      <c r="B116" s="3" t="s">
        <v>57</v>
      </c>
      <c r="C116" s="26">
        <v>6.30048465266559</v>
      </c>
      <c r="D116" s="26">
        <v>27.777777777777779</v>
      </c>
      <c r="E116" s="26">
        <v>4.281345565749235</v>
      </c>
      <c r="F116" s="26">
        <v>20</v>
      </c>
      <c r="G116" s="26">
        <v>5.064308681672026</v>
      </c>
      <c r="H116" s="26">
        <v>10.810810810810811</v>
      </c>
      <c r="I116" s="32">
        <v>3.7833190025795354</v>
      </c>
      <c r="J116" s="32">
        <v>19.444444444444446</v>
      </c>
      <c r="K116" s="31">
        <v>4.365400161681487</v>
      </c>
      <c r="L116" s="31">
        <v>10</v>
      </c>
      <c r="M116" s="32">
        <v>3.5714285714285712</v>
      </c>
      <c r="N116" s="32">
        <v>11.428571428571429</v>
      </c>
      <c r="O116" s="32">
        <v>4.934464148033924</v>
      </c>
      <c r="P116" s="32">
        <v>14.492753623188406</v>
      </c>
      <c r="Q116" s="32">
        <v>4.8264182895850976</v>
      </c>
      <c r="R116" s="32">
        <v>44.565217391304344</v>
      </c>
      <c r="S116" s="32">
        <v>4.1085271317829459</v>
      </c>
      <c r="T116" s="32">
        <v>25</v>
      </c>
      <c r="U116" s="123">
        <f>VLOOKUP(A116,'2019_B5_Berechnung'!$B$279:$M$330,12,FALSE)</f>
        <v>4.0350877192982457</v>
      </c>
      <c r="V116" s="123">
        <f>VLOOKUP(A116,'2019_B5_Berechnung'!$B$279:$M$330,11,FALSE)</f>
        <v>14.85148514851485</v>
      </c>
    </row>
    <row r="117" spans="1:22" ht="8.25" customHeight="1" x14ac:dyDescent="0.25">
      <c r="A117" s="45">
        <v>459</v>
      </c>
      <c r="B117" s="3" t="s">
        <v>58</v>
      </c>
      <c r="C117" s="26">
        <v>7.1447265113844542</v>
      </c>
      <c r="D117" s="26">
        <v>27.983539094650205</v>
      </c>
      <c r="E117" s="26">
        <v>3.6863966770508827</v>
      </c>
      <c r="F117" s="26">
        <v>21.761658031088082</v>
      </c>
      <c r="G117" s="26">
        <v>5.3044002411091018</v>
      </c>
      <c r="H117" s="26">
        <v>17.964071856287426</v>
      </c>
      <c r="I117" s="32">
        <v>3.1760435571687839</v>
      </c>
      <c r="J117" s="32">
        <v>23.75</v>
      </c>
      <c r="K117" s="31">
        <v>4.3229315774405954</v>
      </c>
      <c r="L117" s="31">
        <v>16.86046511627907</v>
      </c>
      <c r="M117" s="32">
        <v>4.6783625730994149</v>
      </c>
      <c r="N117" s="32">
        <v>23.636363636363637</v>
      </c>
      <c r="O117" s="32">
        <v>4.231625835189309</v>
      </c>
      <c r="P117" s="32">
        <v>18.784530386740332</v>
      </c>
      <c r="Q117" s="32">
        <v>5.048231511254019</v>
      </c>
      <c r="R117" s="32">
        <v>35.204081632653065</v>
      </c>
      <c r="S117" s="32">
        <v>4.6437659033078882</v>
      </c>
      <c r="T117" s="32">
        <v>31.578947368421051</v>
      </c>
      <c r="U117" s="123">
        <f>VLOOKUP(A117,'2019_B5_Berechnung'!$B$279:$M$330,12,FALSE)</f>
        <v>5.0217609641781049</v>
      </c>
      <c r="V117" s="123">
        <f>VLOOKUP(A117,'2019_B5_Berechnung'!$B$279:$M$330,11,FALSE)</f>
        <v>26.288659793814436</v>
      </c>
    </row>
    <row r="118" spans="1:22" ht="8.25" customHeight="1" x14ac:dyDescent="0.25">
      <c r="A118" s="45">
        <v>460</v>
      </c>
      <c r="B118" s="3" t="s">
        <v>59</v>
      </c>
      <c r="C118" s="26">
        <v>7.8626799557032108</v>
      </c>
      <c r="D118" s="26">
        <v>23.622047244094489</v>
      </c>
      <c r="E118" s="26">
        <v>3.8994800693240896</v>
      </c>
      <c r="F118" s="26">
        <v>20.437956204379564</v>
      </c>
      <c r="G118" s="26">
        <v>6.4673581452104942</v>
      </c>
      <c r="H118" s="26">
        <v>30.64516129032258</v>
      </c>
      <c r="I118" s="32">
        <v>3.2582938388625595</v>
      </c>
      <c r="J118" s="32">
        <v>27.368421052631582</v>
      </c>
      <c r="K118" s="31">
        <v>4.4273907910271548</v>
      </c>
      <c r="L118" s="31">
        <v>21.527777777777779</v>
      </c>
      <c r="M118" s="32">
        <v>5.3658536585365857</v>
      </c>
      <c r="N118" s="32">
        <v>19.672131147540984</v>
      </c>
      <c r="O118" s="32">
        <v>4.3380281690140849</v>
      </c>
      <c r="P118" s="32">
        <v>28.378378378378379</v>
      </c>
      <c r="Q118" s="32">
        <v>5.4004854368932032</v>
      </c>
      <c r="R118" s="32">
        <v>38.829787234042549</v>
      </c>
      <c r="S118" s="32">
        <v>5.4654654654654653</v>
      </c>
      <c r="T118" s="32">
        <v>37.714285714285715</v>
      </c>
      <c r="U118" s="123">
        <f>VLOOKUP(A118,'2019_B5_Berechnung'!$B$279:$M$330,12,FALSE)</f>
        <v>5.5764411027568919</v>
      </c>
      <c r="V118" s="123">
        <f>VLOOKUP(A118,'2019_B5_Berechnung'!$B$279:$M$330,11,FALSE)</f>
        <v>29.850746268656714</v>
      </c>
    </row>
    <row r="119" spans="1:22" ht="8.25" customHeight="1" x14ac:dyDescent="0.25">
      <c r="A119" s="45">
        <v>461</v>
      </c>
      <c r="B119" s="3" t="s">
        <v>60</v>
      </c>
      <c r="C119" s="26">
        <v>7.3327961321514907</v>
      </c>
      <c r="D119" s="26">
        <v>14.492753623188406</v>
      </c>
      <c r="E119" s="26">
        <v>1.8461538461538463</v>
      </c>
      <c r="F119" s="26">
        <v>14.893617021276595</v>
      </c>
      <c r="G119" s="26">
        <v>3.1164069660861595</v>
      </c>
      <c r="H119" s="26">
        <v>4.1666666666666661</v>
      </c>
      <c r="I119" s="32">
        <v>3.8</v>
      </c>
      <c r="J119" s="32">
        <v>8.8235294117647065</v>
      </c>
      <c r="K119" s="31">
        <v>4.213483146067416</v>
      </c>
      <c r="L119" s="31">
        <v>5.8823529411764701</v>
      </c>
      <c r="M119" s="32">
        <v>5</v>
      </c>
      <c r="N119" s="32">
        <v>16</v>
      </c>
      <c r="O119" s="32">
        <v>3.4188034188034191</v>
      </c>
      <c r="P119" s="32">
        <v>14.516129032258066</v>
      </c>
      <c r="Q119" s="32">
        <v>3.3000000000000003</v>
      </c>
      <c r="R119" s="32">
        <v>22.222222222222221</v>
      </c>
      <c r="S119" s="32">
        <v>4.1972717733473237</v>
      </c>
      <c r="T119" s="32">
        <v>23</v>
      </c>
      <c r="U119" s="123">
        <f>VLOOKUP(A119,'2019_B5_Berechnung'!$B$279:$M$330,12,FALSE)</f>
        <v>4.2105263157894735</v>
      </c>
      <c r="V119" s="123">
        <f>VLOOKUP(A119,'2019_B5_Berechnung'!$B$279:$M$330,11,FALSE)</f>
        <v>11.827956989247312</v>
      </c>
    </row>
    <row r="120" spans="1:22" ht="8.25" customHeight="1" x14ac:dyDescent="0.25">
      <c r="A120" s="45">
        <v>462</v>
      </c>
      <c r="B120" s="3" t="s">
        <v>61</v>
      </c>
      <c r="C120" s="26">
        <v>9.7810218978102181</v>
      </c>
      <c r="D120" s="26">
        <v>25.925925925925924</v>
      </c>
      <c r="E120" s="26">
        <v>4.5023696682464456</v>
      </c>
      <c r="F120" s="26">
        <v>16.666666666666664</v>
      </c>
      <c r="G120" s="26">
        <v>4.2313117066290546</v>
      </c>
      <c r="H120" s="26">
        <v>13.333333333333334</v>
      </c>
      <c r="I120" s="32" t="s">
        <v>84</v>
      </c>
      <c r="J120" s="32" t="s">
        <v>84</v>
      </c>
      <c r="K120" s="31">
        <v>3.5087719298245612</v>
      </c>
      <c r="L120" s="31">
        <v>5.2631578947368416</v>
      </c>
      <c r="M120" s="32">
        <v>4.8920863309352516</v>
      </c>
      <c r="N120" s="32">
        <v>25</v>
      </c>
      <c r="O120" s="32">
        <v>5.2173913043478262</v>
      </c>
      <c r="P120" s="32">
        <v>4</v>
      </c>
      <c r="Q120" s="32">
        <v>5.6277056277056277</v>
      </c>
      <c r="R120" s="32">
        <v>11.538461538461538</v>
      </c>
      <c r="S120" s="32">
        <v>4.885496183206107</v>
      </c>
      <c r="T120" s="32">
        <v>3.3333333333333335</v>
      </c>
      <c r="U120" s="123">
        <f>VLOOKUP(A120,'2019_B5_Berechnung'!$B$279:$M$330,12,FALSE)</f>
        <v>4.134762633996937</v>
      </c>
      <c r="V120" s="123">
        <f>VLOOKUP(A120,'2019_B5_Berechnung'!$B$279:$M$330,11,FALSE)</f>
        <v>34.375</v>
      </c>
    </row>
    <row r="121" spans="1:22" s="36" customFormat="1" ht="16.5" customHeight="1" x14ac:dyDescent="0.25">
      <c r="A121" s="46">
        <v>4</v>
      </c>
      <c r="B121" s="5" t="s">
        <v>62</v>
      </c>
      <c r="C121" s="33">
        <v>8.1880702710064011</v>
      </c>
      <c r="D121" s="33">
        <v>27.238095238095241</v>
      </c>
      <c r="E121" s="33">
        <v>4.0511727078891262</v>
      </c>
      <c r="F121" s="33">
        <v>19.21072226358898</v>
      </c>
      <c r="G121" s="33">
        <v>5.4042290812810565</v>
      </c>
      <c r="H121" s="33">
        <v>20.141620771046419</v>
      </c>
      <c r="I121" s="35">
        <v>4.7174553026495296</v>
      </c>
      <c r="J121" s="35">
        <v>18.459069020866771</v>
      </c>
      <c r="K121" s="34">
        <v>4.7691707178595504</v>
      </c>
      <c r="L121" s="34">
        <v>15.114613180515759</v>
      </c>
      <c r="M121" s="35">
        <v>5.2018202671205005</v>
      </c>
      <c r="N121" s="35">
        <v>18.217054263565892</v>
      </c>
      <c r="O121" s="35">
        <v>4.9699073219362697</v>
      </c>
      <c r="P121" s="35">
        <v>19.474393530997304</v>
      </c>
      <c r="Q121" s="35">
        <v>5.4161719079174171</v>
      </c>
      <c r="R121" s="35">
        <v>29.621125143513204</v>
      </c>
      <c r="S121" s="35">
        <v>5.0756657412114343</v>
      </c>
      <c r="T121" s="35">
        <v>26.315789473684209</v>
      </c>
      <c r="U121" s="123">
        <f>VLOOKUP(A121,'2019_B5_Berechnung'!$B$279:$M$330,12,FALSE)</f>
        <v>5.6634044601315576</v>
      </c>
      <c r="V121" s="123">
        <f>VLOOKUP(A121,'2019_B5_Berechnung'!$B$279:$M$330,11,FALSE)</f>
        <v>25.878003696857672</v>
      </c>
    </row>
    <row r="122" spans="1:22" s="36" customFormat="1" ht="16.5" customHeight="1" x14ac:dyDescent="0.25">
      <c r="A122" s="46">
        <v>0</v>
      </c>
      <c r="B122" s="5" t="s">
        <v>63</v>
      </c>
      <c r="C122" s="33">
        <v>7.8690132785219618</v>
      </c>
      <c r="D122" s="33">
        <v>25.023357209592028</v>
      </c>
      <c r="E122" s="33">
        <v>3.8829849351862662</v>
      </c>
      <c r="F122" s="33">
        <v>15.670467951238695</v>
      </c>
      <c r="G122" s="33">
        <v>4.9570719030444339</v>
      </c>
      <c r="H122" s="33">
        <v>13.631880055237719</v>
      </c>
      <c r="I122" s="35">
        <v>4.5558002936857562</v>
      </c>
      <c r="J122" s="35">
        <v>13.691983122362869</v>
      </c>
      <c r="K122" s="34">
        <v>4.3789381136130512</v>
      </c>
      <c r="L122" s="34">
        <v>12.221810089020771</v>
      </c>
      <c r="M122" s="35">
        <v>4.4078783345799053</v>
      </c>
      <c r="N122" s="35">
        <v>14.419105764050997</v>
      </c>
      <c r="O122" s="35">
        <v>4.3498656118464423</v>
      </c>
      <c r="P122" s="35">
        <v>16.29096419776473</v>
      </c>
      <c r="Q122" s="35">
        <v>4.5882322271174951</v>
      </c>
      <c r="R122" s="35">
        <v>22.922134733158355</v>
      </c>
      <c r="S122" s="35">
        <v>4.8997594226142738</v>
      </c>
      <c r="T122" s="35">
        <v>22.853939782190906</v>
      </c>
      <c r="U122" s="123">
        <f>VLOOKUP(A122,'2019_B5_Berechnung'!$B$279:$M$330,12,FALSE)</f>
        <v>5.3085564475596669</v>
      </c>
      <c r="V122" s="123">
        <f>VLOOKUP(A122,'2019_B5_Berechnung'!$B$279:$M$330,11,FALSE)</f>
        <v>23.12738367658276</v>
      </c>
    </row>
  </sheetData>
  <mergeCells count="28">
    <mergeCell ref="U5:V5"/>
    <mergeCell ref="C4:V4"/>
    <mergeCell ref="C7:V7"/>
    <mergeCell ref="U67:V67"/>
    <mergeCell ref="C66:V66"/>
    <mergeCell ref="Q5:R5"/>
    <mergeCell ref="S5:T5"/>
    <mergeCell ref="I5:J5"/>
    <mergeCell ref="K5:L5"/>
    <mergeCell ref="M5:N5"/>
    <mergeCell ref="O5:P5"/>
    <mergeCell ref="A66:A69"/>
    <mergeCell ref="B66:B69"/>
    <mergeCell ref="C67:D67"/>
    <mergeCell ref="E67:F67"/>
    <mergeCell ref="G67:H67"/>
    <mergeCell ref="C69:V69"/>
    <mergeCell ref="K67:L67"/>
    <mergeCell ref="M67:N67"/>
    <mergeCell ref="O67:P67"/>
    <mergeCell ref="Q67:R67"/>
    <mergeCell ref="S67:T67"/>
    <mergeCell ref="I67:J67"/>
    <mergeCell ref="A4:A7"/>
    <mergeCell ref="B4:B7"/>
    <mergeCell ref="C5:D5"/>
    <mergeCell ref="E5:F5"/>
    <mergeCell ref="G5:H5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0FDF5-0422-40C7-A442-CECA07A18C0A}">
  <sheetPr codeName="Tabelle2"/>
  <dimension ref="A1:M544"/>
  <sheetViews>
    <sheetView topLeftCell="A403" workbookViewId="0">
      <selection activeCell="D419" sqref="D419"/>
    </sheetView>
  </sheetViews>
  <sheetFormatPr baseColWidth="10" defaultRowHeight="15" x14ac:dyDescent="0.25"/>
  <sheetData>
    <row r="1" spans="1:13" x14ac:dyDescent="0.25">
      <c r="A1" s="19" t="s">
        <v>147</v>
      </c>
    </row>
    <row r="3" spans="1:13" x14ac:dyDescent="0.25">
      <c r="A3" s="20" t="s">
        <v>171</v>
      </c>
    </row>
    <row r="4" spans="1:13" x14ac:dyDescent="0.25">
      <c r="A4" s="20" t="s">
        <v>149</v>
      </c>
    </row>
    <row r="6" spans="1:13" x14ac:dyDescent="0.25">
      <c r="A6" s="10" t="s">
        <v>66</v>
      </c>
    </row>
    <row r="8" spans="1:13" x14ac:dyDescent="0.25">
      <c r="A8" t="s">
        <v>67</v>
      </c>
    </row>
    <row r="9" spans="1:13" x14ac:dyDescent="0.25">
      <c r="A9" t="s">
        <v>172</v>
      </c>
    </row>
    <row r="10" spans="1:13" x14ac:dyDescent="0.25">
      <c r="A10" t="s">
        <v>69</v>
      </c>
    </row>
    <row r="12" spans="1:13" x14ac:dyDescent="0.25">
      <c r="A12" t="s">
        <v>150</v>
      </c>
    </row>
    <row r="13" spans="1:13" x14ac:dyDescent="0.25">
      <c r="A13" t="s">
        <v>173</v>
      </c>
    </row>
    <row r="15" spans="1:13" ht="30" x14ac:dyDescent="0.25">
      <c r="A15" s="53" t="s">
        <v>63</v>
      </c>
      <c r="B15" s="213" t="s">
        <v>174</v>
      </c>
      <c r="C15" s="214"/>
      <c r="D15" s="214"/>
      <c r="E15" s="214"/>
      <c r="F15" s="214"/>
      <c r="G15" s="214"/>
      <c r="H15" s="214"/>
      <c r="I15" s="214"/>
      <c r="J15" s="214"/>
      <c r="K15" s="214"/>
      <c r="L15" s="214"/>
      <c r="M15" s="215"/>
    </row>
    <row r="16" spans="1:13" ht="30" x14ac:dyDescent="0.25">
      <c r="A16" s="48" t="s">
        <v>70</v>
      </c>
      <c r="B16" s="216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8"/>
    </row>
    <row r="17" spans="1:13" ht="15" customHeight="1" x14ac:dyDescent="0.25">
      <c r="A17" s="48" t="s">
        <v>71</v>
      </c>
      <c r="B17" s="219" t="s">
        <v>75</v>
      </c>
      <c r="C17" s="220"/>
      <c r="D17" s="220"/>
      <c r="E17" s="221"/>
      <c r="F17" s="219" t="s">
        <v>76</v>
      </c>
      <c r="G17" s="220"/>
      <c r="H17" s="220"/>
      <c r="I17" s="221"/>
      <c r="J17" s="219" t="s">
        <v>77</v>
      </c>
      <c r="K17" s="220"/>
      <c r="L17" s="220"/>
      <c r="M17" s="221"/>
    </row>
    <row r="18" spans="1:13" x14ac:dyDescent="0.25">
      <c r="A18" s="48" t="s">
        <v>72</v>
      </c>
      <c r="B18" s="210" t="s">
        <v>78</v>
      </c>
      <c r="C18" s="210" t="s">
        <v>79</v>
      </c>
      <c r="D18" s="210" t="s">
        <v>80</v>
      </c>
      <c r="E18" s="53" t="s">
        <v>80</v>
      </c>
      <c r="F18" s="210" t="s">
        <v>78</v>
      </c>
      <c r="G18" s="210" t="s">
        <v>79</v>
      </c>
      <c r="H18" s="210" t="s">
        <v>80</v>
      </c>
      <c r="I18" s="53" t="s">
        <v>80</v>
      </c>
      <c r="J18" s="210" t="s">
        <v>78</v>
      </c>
      <c r="K18" s="210" t="s">
        <v>79</v>
      </c>
      <c r="L18" s="210" t="s">
        <v>80</v>
      </c>
      <c r="M18" s="53" t="s">
        <v>80</v>
      </c>
    </row>
    <row r="19" spans="1:13" ht="45" x14ac:dyDescent="0.25">
      <c r="A19" s="48" t="s">
        <v>73</v>
      </c>
      <c r="B19" s="211"/>
      <c r="C19" s="211"/>
      <c r="D19" s="211"/>
      <c r="E19" s="48" t="s">
        <v>79</v>
      </c>
      <c r="F19" s="211"/>
      <c r="G19" s="211"/>
      <c r="H19" s="211"/>
      <c r="I19" s="48" t="s">
        <v>79</v>
      </c>
      <c r="J19" s="211"/>
      <c r="K19" s="211"/>
      <c r="L19" s="211"/>
      <c r="M19" s="48" t="s">
        <v>79</v>
      </c>
    </row>
    <row r="20" spans="1:13" x14ac:dyDescent="0.25">
      <c r="A20" s="48"/>
      <c r="B20" s="212"/>
      <c r="C20" s="212"/>
      <c r="D20" s="212"/>
      <c r="E20" s="49" t="s">
        <v>81</v>
      </c>
      <c r="F20" s="212"/>
      <c r="G20" s="212"/>
      <c r="H20" s="212"/>
      <c r="I20" s="49" t="s">
        <v>81</v>
      </c>
      <c r="J20" s="212"/>
      <c r="K20" s="212"/>
      <c r="L20" s="212"/>
      <c r="M20" s="49" t="s">
        <v>81</v>
      </c>
    </row>
    <row r="21" spans="1:13" x14ac:dyDescent="0.25">
      <c r="A21" s="49"/>
      <c r="B21" s="14">
        <v>1</v>
      </c>
      <c r="C21" s="14">
        <v>2</v>
      </c>
      <c r="D21" s="14">
        <v>3</v>
      </c>
      <c r="E21" s="14">
        <v>4</v>
      </c>
      <c r="F21" s="14">
        <v>5</v>
      </c>
      <c r="G21" s="14">
        <v>6</v>
      </c>
      <c r="H21" s="14">
        <v>7</v>
      </c>
      <c r="I21" s="14">
        <v>8</v>
      </c>
      <c r="J21" s="14">
        <v>9</v>
      </c>
      <c r="K21" s="14">
        <v>10</v>
      </c>
      <c r="L21" s="14">
        <v>11</v>
      </c>
      <c r="M21" s="14">
        <v>12</v>
      </c>
    </row>
    <row r="22" spans="1:13" x14ac:dyDescent="0.25">
      <c r="A22" s="16"/>
      <c r="M22" s="17"/>
    </row>
    <row r="23" spans="1:13" ht="15" customHeight="1" x14ac:dyDescent="0.25">
      <c r="A23" s="207" t="s">
        <v>82</v>
      </c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9"/>
    </row>
    <row r="24" spans="1:13" x14ac:dyDescent="0.25">
      <c r="A24" s="207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9"/>
    </row>
    <row r="25" spans="1:13" x14ac:dyDescent="0.25">
      <c r="A25" s="15" t="s">
        <v>83</v>
      </c>
      <c r="B25" s="15">
        <v>80172</v>
      </c>
      <c r="C25" s="15">
        <v>38717</v>
      </c>
      <c r="D25" s="15">
        <v>6555</v>
      </c>
      <c r="E25" s="15">
        <v>2969</v>
      </c>
      <c r="F25" s="15">
        <v>73499</v>
      </c>
      <c r="G25" s="15">
        <v>35451</v>
      </c>
      <c r="H25" s="15">
        <v>6267</v>
      </c>
      <c r="I25" s="15">
        <v>2836</v>
      </c>
      <c r="J25" s="15">
        <v>6673</v>
      </c>
      <c r="K25" s="15">
        <v>3266</v>
      </c>
      <c r="L25" s="15">
        <v>288</v>
      </c>
      <c r="M25" s="15">
        <v>133</v>
      </c>
    </row>
    <row r="26" spans="1:13" ht="30" x14ac:dyDescent="0.25">
      <c r="A26" s="15" t="s">
        <v>151</v>
      </c>
      <c r="B26" s="15">
        <v>27080</v>
      </c>
      <c r="C26" s="15">
        <v>14978</v>
      </c>
      <c r="D26" s="15">
        <v>654</v>
      </c>
      <c r="E26" s="15">
        <v>376</v>
      </c>
      <c r="F26" s="15">
        <v>23864</v>
      </c>
      <c r="G26" s="15">
        <v>13165</v>
      </c>
      <c r="H26" s="15">
        <v>590</v>
      </c>
      <c r="I26" s="15">
        <v>345</v>
      </c>
      <c r="J26" s="15">
        <v>3216</v>
      </c>
      <c r="K26" s="15">
        <v>1813</v>
      </c>
      <c r="L26" s="15">
        <v>64</v>
      </c>
      <c r="M26" s="15">
        <v>31</v>
      </c>
    </row>
    <row r="27" spans="1:13" ht="60" x14ac:dyDescent="0.25">
      <c r="A27" s="15" t="s">
        <v>152</v>
      </c>
      <c r="B27" s="15">
        <v>2350</v>
      </c>
      <c r="C27" s="15">
        <v>1091</v>
      </c>
      <c r="D27" s="15">
        <v>145</v>
      </c>
      <c r="E27" s="15">
        <v>62</v>
      </c>
      <c r="F27" s="15">
        <v>2147</v>
      </c>
      <c r="G27" s="15">
        <v>1004</v>
      </c>
      <c r="H27" s="15">
        <v>134</v>
      </c>
      <c r="I27" s="15">
        <v>58</v>
      </c>
      <c r="J27" s="15">
        <v>203</v>
      </c>
      <c r="K27" s="15">
        <v>87</v>
      </c>
      <c r="L27" s="15">
        <v>11</v>
      </c>
      <c r="M27" s="15">
        <v>4</v>
      </c>
    </row>
    <row r="28" spans="1:13" ht="30" x14ac:dyDescent="0.25">
      <c r="A28" s="15" t="s">
        <v>85</v>
      </c>
      <c r="B28" s="15">
        <v>34113</v>
      </c>
      <c r="C28" s="15">
        <v>16325</v>
      </c>
      <c r="D28" s="15">
        <v>2664</v>
      </c>
      <c r="E28" s="15">
        <v>1276</v>
      </c>
      <c r="F28" s="15">
        <v>31927</v>
      </c>
      <c r="G28" s="15">
        <v>15286</v>
      </c>
      <c r="H28" s="15">
        <v>2525</v>
      </c>
      <c r="I28" s="15">
        <v>1210</v>
      </c>
      <c r="J28" s="15">
        <v>2186</v>
      </c>
      <c r="K28" s="15">
        <v>1039</v>
      </c>
      <c r="L28" s="15">
        <v>139</v>
      </c>
      <c r="M28" s="15">
        <v>66</v>
      </c>
    </row>
    <row r="29" spans="1:13" ht="30" x14ac:dyDescent="0.25">
      <c r="A29" s="15" t="s">
        <v>86</v>
      </c>
      <c r="B29" s="15">
        <v>11205</v>
      </c>
      <c r="C29" s="15">
        <v>4312</v>
      </c>
      <c r="D29" s="15">
        <v>1576</v>
      </c>
      <c r="E29" s="15">
        <v>675</v>
      </c>
      <c r="F29" s="15">
        <v>10564</v>
      </c>
      <c r="G29" s="15">
        <v>4108</v>
      </c>
      <c r="H29" s="15">
        <v>1548</v>
      </c>
      <c r="I29" s="15">
        <v>661</v>
      </c>
      <c r="J29" s="15">
        <v>641</v>
      </c>
      <c r="K29" s="15">
        <v>204</v>
      </c>
      <c r="L29" s="15">
        <v>28</v>
      </c>
      <c r="M29" s="15">
        <v>14</v>
      </c>
    </row>
    <row r="30" spans="1:13" ht="45" x14ac:dyDescent="0.25">
      <c r="A30" s="15" t="s">
        <v>87</v>
      </c>
      <c r="B30" s="15">
        <v>5424</v>
      </c>
      <c r="C30" s="15">
        <v>2011</v>
      </c>
      <c r="D30" s="15">
        <v>1516</v>
      </c>
      <c r="E30" s="15">
        <v>580</v>
      </c>
      <c r="F30" s="15">
        <v>4997</v>
      </c>
      <c r="G30" s="15">
        <v>1888</v>
      </c>
      <c r="H30" s="15">
        <v>1470</v>
      </c>
      <c r="I30" s="15">
        <v>562</v>
      </c>
      <c r="J30" s="15">
        <v>427</v>
      </c>
      <c r="K30" s="15">
        <v>123</v>
      </c>
      <c r="L30" s="15">
        <v>46</v>
      </c>
      <c r="M30" s="15">
        <v>18</v>
      </c>
    </row>
    <row r="31" spans="1:13" ht="45" x14ac:dyDescent="0.25">
      <c r="A31" s="15" t="s">
        <v>153</v>
      </c>
      <c r="B31" s="15">
        <v>1327</v>
      </c>
      <c r="C31" s="15">
        <v>539</v>
      </c>
      <c r="D31" s="15">
        <v>142</v>
      </c>
      <c r="E31" s="15">
        <v>59</v>
      </c>
      <c r="F31" s="15">
        <v>1215</v>
      </c>
      <c r="G31" s="15">
        <v>511</v>
      </c>
      <c r="H31" s="15">
        <v>137</v>
      </c>
      <c r="I31" s="15">
        <v>58</v>
      </c>
      <c r="J31" s="15">
        <v>112</v>
      </c>
      <c r="K31" s="15">
        <v>28</v>
      </c>
      <c r="L31" s="15">
        <v>5</v>
      </c>
      <c r="M31" s="15">
        <v>1</v>
      </c>
    </row>
    <row r="32" spans="1:13" ht="60" x14ac:dyDescent="0.25">
      <c r="A32" s="15" t="s">
        <v>154</v>
      </c>
      <c r="B32" s="15">
        <v>740</v>
      </c>
      <c r="C32" s="15">
        <v>280</v>
      </c>
      <c r="D32" s="15">
        <v>93</v>
      </c>
      <c r="E32" s="15">
        <v>34</v>
      </c>
      <c r="F32" s="15">
        <v>648</v>
      </c>
      <c r="G32" s="15">
        <v>245</v>
      </c>
      <c r="H32" s="15">
        <v>89</v>
      </c>
      <c r="I32" s="15">
        <v>32</v>
      </c>
      <c r="J32" s="15">
        <v>92</v>
      </c>
      <c r="K32" s="15">
        <v>35</v>
      </c>
      <c r="L32" s="15">
        <v>4</v>
      </c>
      <c r="M32" s="15">
        <v>2</v>
      </c>
    </row>
    <row r="33" spans="1:13" ht="15" customHeight="1" x14ac:dyDescent="0.25">
      <c r="A33" s="207" t="s">
        <v>88</v>
      </c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9"/>
    </row>
    <row r="34" spans="1:13" x14ac:dyDescent="0.25">
      <c r="A34" s="207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9"/>
    </row>
    <row r="35" spans="1:13" x14ac:dyDescent="0.25">
      <c r="A35" s="15" t="s">
        <v>83</v>
      </c>
      <c r="B35" s="15">
        <v>15002</v>
      </c>
      <c r="C35" s="15">
        <v>7176</v>
      </c>
      <c r="D35" s="15">
        <v>1269</v>
      </c>
      <c r="E35" s="15">
        <v>570</v>
      </c>
      <c r="F35" s="15">
        <v>13971</v>
      </c>
      <c r="G35" s="15">
        <v>6728</v>
      </c>
      <c r="H35" s="15">
        <v>1194</v>
      </c>
      <c r="I35" s="15">
        <v>536</v>
      </c>
      <c r="J35" s="15">
        <v>1031</v>
      </c>
      <c r="K35" s="15">
        <v>448</v>
      </c>
      <c r="L35" s="15">
        <v>75</v>
      </c>
      <c r="M35" s="15">
        <v>34</v>
      </c>
    </row>
    <row r="36" spans="1:13" ht="30" x14ac:dyDescent="0.25">
      <c r="A36" s="15" t="s">
        <v>151</v>
      </c>
      <c r="B36" s="15">
        <v>5845</v>
      </c>
      <c r="C36" s="15">
        <v>3190</v>
      </c>
      <c r="D36" s="15">
        <v>196</v>
      </c>
      <c r="E36" s="15">
        <v>116</v>
      </c>
      <c r="F36" s="15">
        <v>5304</v>
      </c>
      <c r="G36" s="15">
        <v>2913</v>
      </c>
      <c r="H36" s="15">
        <v>173</v>
      </c>
      <c r="I36" s="15">
        <v>105</v>
      </c>
      <c r="J36" s="15">
        <v>541</v>
      </c>
      <c r="K36" s="15">
        <v>277</v>
      </c>
      <c r="L36" s="15">
        <v>23</v>
      </c>
      <c r="M36" s="15">
        <v>11</v>
      </c>
    </row>
    <row r="37" spans="1:13" ht="60" x14ac:dyDescent="0.25">
      <c r="A37" s="15" t="s">
        <v>152</v>
      </c>
      <c r="B37" s="15">
        <v>479</v>
      </c>
      <c r="C37" s="15">
        <v>218</v>
      </c>
      <c r="D37" s="15">
        <v>25</v>
      </c>
      <c r="E37" s="15">
        <v>12</v>
      </c>
      <c r="F37" s="15">
        <v>436</v>
      </c>
      <c r="G37" s="15">
        <v>203</v>
      </c>
      <c r="H37" s="15">
        <v>21</v>
      </c>
      <c r="I37" s="15">
        <v>11</v>
      </c>
      <c r="J37" s="15">
        <v>43</v>
      </c>
      <c r="K37" s="15">
        <v>15</v>
      </c>
      <c r="L37" s="15">
        <v>4</v>
      </c>
      <c r="M37" s="15">
        <v>1</v>
      </c>
    </row>
    <row r="38" spans="1:13" ht="30" x14ac:dyDescent="0.25">
      <c r="A38" s="15" t="s">
        <v>85</v>
      </c>
      <c r="B38" s="15">
        <v>5919</v>
      </c>
      <c r="C38" s="15">
        <v>2736</v>
      </c>
      <c r="D38" s="15">
        <v>538</v>
      </c>
      <c r="E38" s="15">
        <v>254</v>
      </c>
      <c r="F38" s="15">
        <v>5643</v>
      </c>
      <c r="G38" s="15">
        <v>2626</v>
      </c>
      <c r="H38" s="15">
        <v>508</v>
      </c>
      <c r="I38" s="15">
        <v>240</v>
      </c>
      <c r="J38" s="15">
        <v>276</v>
      </c>
      <c r="K38" s="15">
        <v>110</v>
      </c>
      <c r="L38" s="15">
        <v>30</v>
      </c>
      <c r="M38" s="15">
        <v>14</v>
      </c>
    </row>
    <row r="39" spans="1:13" ht="30" x14ac:dyDescent="0.25">
      <c r="A39" s="15" t="s">
        <v>86</v>
      </c>
      <c r="B39" s="15">
        <v>1847</v>
      </c>
      <c r="C39" s="15">
        <v>731</v>
      </c>
      <c r="D39" s="15">
        <v>273</v>
      </c>
      <c r="E39" s="15">
        <v>110</v>
      </c>
      <c r="F39" s="15">
        <v>1744</v>
      </c>
      <c r="G39" s="15">
        <v>702</v>
      </c>
      <c r="H39" s="15">
        <v>267</v>
      </c>
      <c r="I39" s="15">
        <v>108</v>
      </c>
      <c r="J39" s="15">
        <v>103</v>
      </c>
      <c r="K39" s="15">
        <v>29</v>
      </c>
      <c r="L39" s="15">
        <v>6</v>
      </c>
      <c r="M39" s="15">
        <v>2</v>
      </c>
    </row>
    <row r="40" spans="1:13" ht="45" x14ac:dyDescent="0.25">
      <c r="A40" s="15" t="s">
        <v>87</v>
      </c>
      <c r="B40" s="15">
        <v>912</v>
      </c>
      <c r="C40" s="15">
        <v>301</v>
      </c>
      <c r="D40" s="15">
        <v>237</v>
      </c>
      <c r="E40" s="15">
        <v>78</v>
      </c>
      <c r="F40" s="15">
        <v>844</v>
      </c>
      <c r="G40" s="15">
        <v>284</v>
      </c>
      <c r="H40" s="15">
        <v>225</v>
      </c>
      <c r="I40" s="15">
        <v>72</v>
      </c>
      <c r="J40" s="15">
        <v>68</v>
      </c>
      <c r="K40" s="15">
        <v>17</v>
      </c>
      <c r="L40" s="15">
        <v>12</v>
      </c>
      <c r="M40" s="15">
        <v>6</v>
      </c>
    </row>
    <row r="41" spans="1:13" ht="45" x14ac:dyDescent="0.25">
      <c r="A41" s="15" t="s">
        <v>153</v>
      </c>
      <c r="B41" s="15">
        <v>236</v>
      </c>
      <c r="C41" s="15">
        <v>93</v>
      </c>
      <c r="D41" s="15">
        <v>15</v>
      </c>
      <c r="E41" s="15">
        <v>7</v>
      </c>
      <c r="F41" s="15">
        <v>216</v>
      </c>
      <c r="G41" s="15">
        <v>88</v>
      </c>
      <c r="H41" s="15">
        <v>15</v>
      </c>
      <c r="I41" s="15">
        <v>7</v>
      </c>
      <c r="J41" s="15">
        <v>20</v>
      </c>
      <c r="K41" s="15">
        <v>5</v>
      </c>
      <c r="L41" s="15" t="s">
        <v>84</v>
      </c>
      <c r="M41" s="15" t="s">
        <v>84</v>
      </c>
    </row>
    <row r="42" spans="1:13" ht="60" x14ac:dyDescent="0.25">
      <c r="A42" s="15" t="s">
        <v>154</v>
      </c>
      <c r="B42" s="15">
        <v>133</v>
      </c>
      <c r="C42" s="15">
        <v>47</v>
      </c>
      <c r="D42" s="15">
        <v>26</v>
      </c>
      <c r="E42" s="15">
        <v>10</v>
      </c>
      <c r="F42" s="15">
        <v>133</v>
      </c>
      <c r="G42" s="15">
        <v>47</v>
      </c>
      <c r="H42" s="15">
        <v>26</v>
      </c>
      <c r="I42" s="15">
        <v>10</v>
      </c>
      <c r="J42" s="15" t="s">
        <v>84</v>
      </c>
      <c r="K42" s="15" t="s">
        <v>84</v>
      </c>
      <c r="L42" s="15" t="s">
        <v>84</v>
      </c>
      <c r="M42" s="15" t="s">
        <v>84</v>
      </c>
    </row>
    <row r="43" spans="1:13" ht="15" customHeight="1" x14ac:dyDescent="0.25">
      <c r="A43" s="207" t="s">
        <v>89</v>
      </c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9"/>
    </row>
    <row r="44" spans="1:13" x14ac:dyDescent="0.25">
      <c r="A44" s="207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9"/>
    </row>
    <row r="45" spans="1:13" x14ac:dyDescent="0.25">
      <c r="A45" s="15" t="s">
        <v>83</v>
      </c>
      <c r="B45" s="15">
        <v>2414</v>
      </c>
      <c r="C45" s="15">
        <v>1177</v>
      </c>
      <c r="D45" s="15">
        <v>155</v>
      </c>
      <c r="E45" s="15">
        <v>68</v>
      </c>
      <c r="F45" s="15">
        <v>2225</v>
      </c>
      <c r="G45" s="15">
        <v>1104</v>
      </c>
      <c r="H45" s="15">
        <v>150</v>
      </c>
      <c r="I45" s="15">
        <v>66</v>
      </c>
      <c r="J45" s="15">
        <v>189</v>
      </c>
      <c r="K45" s="15">
        <v>73</v>
      </c>
      <c r="L45" s="15">
        <v>5</v>
      </c>
      <c r="M45" s="15">
        <v>2</v>
      </c>
    </row>
    <row r="46" spans="1:13" ht="30" x14ac:dyDescent="0.25">
      <c r="A46" s="15" t="s">
        <v>151</v>
      </c>
      <c r="B46" s="15">
        <v>1236</v>
      </c>
      <c r="C46" s="15">
        <v>670</v>
      </c>
      <c r="D46" s="15">
        <v>27</v>
      </c>
      <c r="E46" s="15">
        <v>15</v>
      </c>
      <c r="F46" s="15">
        <v>1107</v>
      </c>
      <c r="G46" s="15">
        <v>614</v>
      </c>
      <c r="H46" s="15">
        <v>24</v>
      </c>
      <c r="I46" s="15">
        <v>13</v>
      </c>
      <c r="J46" s="15">
        <v>129</v>
      </c>
      <c r="K46" s="15">
        <v>56</v>
      </c>
      <c r="L46" s="15">
        <v>3</v>
      </c>
      <c r="M46" s="15">
        <v>2</v>
      </c>
    </row>
    <row r="47" spans="1:13" ht="60" x14ac:dyDescent="0.25">
      <c r="A47" s="15" t="s">
        <v>152</v>
      </c>
      <c r="B47" s="15">
        <v>105</v>
      </c>
      <c r="C47" s="15">
        <v>50</v>
      </c>
      <c r="D47" s="15">
        <v>6</v>
      </c>
      <c r="E47" s="15">
        <v>2</v>
      </c>
      <c r="F47" s="15">
        <v>95</v>
      </c>
      <c r="G47" s="15">
        <v>49</v>
      </c>
      <c r="H47" s="15">
        <v>6</v>
      </c>
      <c r="I47" s="15">
        <v>2</v>
      </c>
      <c r="J47" s="15">
        <v>10</v>
      </c>
      <c r="K47" s="15">
        <v>1</v>
      </c>
      <c r="L47" s="15" t="s">
        <v>84</v>
      </c>
      <c r="M47" s="15" t="s">
        <v>84</v>
      </c>
    </row>
    <row r="48" spans="1:13" ht="30" x14ac:dyDescent="0.25">
      <c r="A48" s="15" t="s">
        <v>85</v>
      </c>
      <c r="B48" s="15">
        <v>700</v>
      </c>
      <c r="C48" s="15">
        <v>335</v>
      </c>
      <c r="D48" s="15">
        <v>68</v>
      </c>
      <c r="E48" s="15">
        <v>33</v>
      </c>
      <c r="F48" s="15">
        <v>664</v>
      </c>
      <c r="G48" s="15">
        <v>319</v>
      </c>
      <c r="H48" s="15">
        <v>67</v>
      </c>
      <c r="I48" s="15">
        <v>33</v>
      </c>
      <c r="J48" s="15">
        <v>36</v>
      </c>
      <c r="K48" s="15">
        <v>16</v>
      </c>
      <c r="L48" s="15">
        <v>1</v>
      </c>
      <c r="M48" s="15" t="s">
        <v>84</v>
      </c>
    </row>
    <row r="49" spans="1:13" ht="30" x14ac:dyDescent="0.25">
      <c r="A49" s="15" t="s">
        <v>86</v>
      </c>
      <c r="B49" s="15">
        <v>225</v>
      </c>
      <c r="C49" s="15">
        <v>85</v>
      </c>
      <c r="D49" s="15">
        <v>27</v>
      </c>
      <c r="E49" s="15">
        <v>10</v>
      </c>
      <c r="F49" s="15">
        <v>217</v>
      </c>
      <c r="G49" s="15">
        <v>85</v>
      </c>
      <c r="H49" s="15">
        <v>27</v>
      </c>
      <c r="I49" s="15">
        <v>10</v>
      </c>
      <c r="J49" s="15">
        <v>8</v>
      </c>
      <c r="K49" s="15" t="s">
        <v>84</v>
      </c>
      <c r="L49" s="15" t="s">
        <v>84</v>
      </c>
      <c r="M49" s="15" t="s">
        <v>84</v>
      </c>
    </row>
    <row r="50" spans="1:13" ht="45" x14ac:dyDescent="0.25">
      <c r="A50" s="15" t="s">
        <v>87</v>
      </c>
      <c r="B50" s="15">
        <v>148</v>
      </c>
      <c r="C50" s="15">
        <v>37</v>
      </c>
      <c r="D50" s="15">
        <v>27</v>
      </c>
      <c r="E50" s="15">
        <v>8</v>
      </c>
      <c r="F50" s="15">
        <v>142</v>
      </c>
      <c r="G50" s="15">
        <v>37</v>
      </c>
      <c r="H50" s="15">
        <v>26</v>
      </c>
      <c r="I50" s="15">
        <v>8</v>
      </c>
      <c r="J50" s="15">
        <v>6</v>
      </c>
      <c r="K50" s="15" t="s">
        <v>84</v>
      </c>
      <c r="L50" s="15">
        <v>1</v>
      </c>
      <c r="M50" s="15" t="s">
        <v>84</v>
      </c>
    </row>
    <row r="51" spans="1:13" ht="45" x14ac:dyDescent="0.25">
      <c r="A51" s="15" t="s">
        <v>153</v>
      </c>
      <c r="B51" s="15">
        <v>49</v>
      </c>
      <c r="C51" s="15">
        <v>15</v>
      </c>
      <c r="D51" s="15" t="s">
        <v>84</v>
      </c>
      <c r="E51" s="15" t="s">
        <v>84</v>
      </c>
      <c r="F51" s="15">
        <v>48</v>
      </c>
      <c r="G51" s="15">
        <v>15</v>
      </c>
      <c r="H51" s="15" t="s">
        <v>84</v>
      </c>
      <c r="I51" s="15" t="s">
        <v>84</v>
      </c>
      <c r="J51" s="15">
        <v>1</v>
      </c>
      <c r="K51" s="15" t="s">
        <v>84</v>
      </c>
      <c r="L51" s="15" t="s">
        <v>84</v>
      </c>
      <c r="M51" s="15" t="s">
        <v>84</v>
      </c>
    </row>
    <row r="52" spans="1:13" ht="60" x14ac:dyDescent="0.25">
      <c r="A52" s="15" t="s">
        <v>154</v>
      </c>
      <c r="B52" s="15">
        <v>24</v>
      </c>
      <c r="C52" s="15">
        <v>7</v>
      </c>
      <c r="D52" s="15">
        <v>5</v>
      </c>
      <c r="E52" s="15">
        <v>2</v>
      </c>
      <c r="F52" s="15">
        <v>24</v>
      </c>
      <c r="G52" s="15">
        <v>7</v>
      </c>
      <c r="H52" s="15">
        <v>5</v>
      </c>
      <c r="I52" s="15">
        <v>2</v>
      </c>
      <c r="J52" s="15" t="s">
        <v>84</v>
      </c>
      <c r="K52" s="15" t="s">
        <v>84</v>
      </c>
      <c r="L52" s="15" t="s">
        <v>84</v>
      </c>
      <c r="M52" s="15" t="s">
        <v>84</v>
      </c>
    </row>
    <row r="53" spans="1:13" ht="15" customHeight="1" x14ac:dyDescent="0.25">
      <c r="A53" s="207" t="s">
        <v>90</v>
      </c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9"/>
    </row>
    <row r="54" spans="1:13" x14ac:dyDescent="0.25">
      <c r="A54" s="207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9"/>
    </row>
    <row r="55" spans="1:13" x14ac:dyDescent="0.25">
      <c r="A55" s="15" t="s">
        <v>83</v>
      </c>
      <c r="B55" s="15">
        <v>1042</v>
      </c>
      <c r="C55" s="15">
        <v>507</v>
      </c>
      <c r="D55" s="15">
        <v>222</v>
      </c>
      <c r="E55" s="15">
        <v>111</v>
      </c>
      <c r="F55" s="15">
        <v>1042</v>
      </c>
      <c r="G55" s="15">
        <v>507</v>
      </c>
      <c r="H55" s="15">
        <v>222</v>
      </c>
      <c r="I55" s="15">
        <v>111</v>
      </c>
      <c r="J55" s="15" t="s">
        <v>84</v>
      </c>
      <c r="K55" s="15" t="s">
        <v>84</v>
      </c>
      <c r="L55" s="15" t="s">
        <v>84</v>
      </c>
      <c r="M55" s="15" t="s">
        <v>84</v>
      </c>
    </row>
    <row r="56" spans="1:13" ht="30" x14ac:dyDescent="0.25">
      <c r="A56" s="15" t="s">
        <v>151</v>
      </c>
      <c r="B56" s="15">
        <v>250</v>
      </c>
      <c r="C56" s="15">
        <v>155</v>
      </c>
      <c r="D56" s="15">
        <v>32</v>
      </c>
      <c r="E56" s="15">
        <v>21</v>
      </c>
      <c r="F56" s="15">
        <v>250</v>
      </c>
      <c r="G56" s="15">
        <v>155</v>
      </c>
      <c r="H56" s="15">
        <v>32</v>
      </c>
      <c r="I56" s="15">
        <v>21</v>
      </c>
      <c r="J56" s="15" t="s">
        <v>84</v>
      </c>
      <c r="K56" s="15" t="s">
        <v>84</v>
      </c>
      <c r="L56" s="15" t="s">
        <v>84</v>
      </c>
      <c r="M56" s="15" t="s">
        <v>84</v>
      </c>
    </row>
    <row r="57" spans="1:13" ht="60" x14ac:dyDescent="0.25">
      <c r="A57" s="15" t="s">
        <v>152</v>
      </c>
      <c r="B57" s="15">
        <v>19</v>
      </c>
      <c r="C57" s="15">
        <v>11</v>
      </c>
      <c r="D57" s="15">
        <v>4</v>
      </c>
      <c r="E57" s="15">
        <v>3</v>
      </c>
      <c r="F57" s="15">
        <v>19</v>
      </c>
      <c r="G57" s="15">
        <v>11</v>
      </c>
      <c r="H57" s="15">
        <v>4</v>
      </c>
      <c r="I57" s="15">
        <v>3</v>
      </c>
      <c r="J57" s="15" t="s">
        <v>84</v>
      </c>
      <c r="K57" s="15" t="s">
        <v>84</v>
      </c>
      <c r="L57" s="15" t="s">
        <v>84</v>
      </c>
      <c r="M57" s="15" t="s">
        <v>84</v>
      </c>
    </row>
    <row r="58" spans="1:13" ht="30" x14ac:dyDescent="0.25">
      <c r="A58" s="15" t="s">
        <v>85</v>
      </c>
      <c r="B58" s="15">
        <v>514</v>
      </c>
      <c r="C58" s="15">
        <v>240</v>
      </c>
      <c r="D58" s="15">
        <v>99</v>
      </c>
      <c r="E58" s="15">
        <v>47</v>
      </c>
      <c r="F58" s="15">
        <v>514</v>
      </c>
      <c r="G58" s="15">
        <v>240</v>
      </c>
      <c r="H58" s="15">
        <v>99</v>
      </c>
      <c r="I58" s="15">
        <v>47</v>
      </c>
      <c r="J58" s="15" t="s">
        <v>84</v>
      </c>
      <c r="K58" s="15" t="s">
        <v>84</v>
      </c>
      <c r="L58" s="15" t="s">
        <v>84</v>
      </c>
      <c r="M58" s="15" t="s">
        <v>84</v>
      </c>
    </row>
    <row r="59" spans="1:13" ht="30" x14ac:dyDescent="0.25">
      <c r="A59" s="15" t="s">
        <v>86</v>
      </c>
      <c r="B59" s="15">
        <v>173</v>
      </c>
      <c r="C59" s="15">
        <v>68</v>
      </c>
      <c r="D59" s="15">
        <v>55</v>
      </c>
      <c r="E59" s="15">
        <v>26</v>
      </c>
      <c r="F59" s="15">
        <v>173</v>
      </c>
      <c r="G59" s="15">
        <v>68</v>
      </c>
      <c r="H59" s="15">
        <v>55</v>
      </c>
      <c r="I59" s="15">
        <v>26</v>
      </c>
      <c r="J59" s="15" t="s">
        <v>84</v>
      </c>
      <c r="K59" s="15" t="s">
        <v>84</v>
      </c>
      <c r="L59" s="15" t="s">
        <v>84</v>
      </c>
      <c r="M59" s="15" t="s">
        <v>84</v>
      </c>
    </row>
    <row r="60" spans="1:13" ht="45" x14ac:dyDescent="0.25">
      <c r="A60" s="15" t="s">
        <v>87</v>
      </c>
      <c r="B60" s="15">
        <v>86</v>
      </c>
      <c r="C60" s="15">
        <v>33</v>
      </c>
      <c r="D60" s="15">
        <v>32</v>
      </c>
      <c r="E60" s="15">
        <v>14</v>
      </c>
      <c r="F60" s="15">
        <v>86</v>
      </c>
      <c r="G60" s="15">
        <v>33</v>
      </c>
      <c r="H60" s="15">
        <v>32</v>
      </c>
      <c r="I60" s="15">
        <v>14</v>
      </c>
      <c r="J60" s="15" t="s">
        <v>84</v>
      </c>
      <c r="K60" s="15" t="s">
        <v>84</v>
      </c>
      <c r="L60" s="15" t="s">
        <v>84</v>
      </c>
      <c r="M60" s="15" t="s">
        <v>84</v>
      </c>
    </row>
    <row r="61" spans="1:13" ht="45" x14ac:dyDescent="0.25">
      <c r="A61" s="15" t="s">
        <v>153</v>
      </c>
      <c r="B61" s="15">
        <v>38</v>
      </c>
      <c r="C61" s="15">
        <v>13</v>
      </c>
      <c r="D61" s="15">
        <v>3</v>
      </c>
      <c r="E61" s="15">
        <v>2</v>
      </c>
      <c r="F61" s="15">
        <v>38</v>
      </c>
      <c r="G61" s="15">
        <v>13</v>
      </c>
      <c r="H61" s="15">
        <v>3</v>
      </c>
      <c r="I61" s="15">
        <v>2</v>
      </c>
      <c r="J61" s="15" t="s">
        <v>84</v>
      </c>
      <c r="K61" s="15" t="s">
        <v>84</v>
      </c>
      <c r="L61" s="15" t="s">
        <v>84</v>
      </c>
      <c r="M61" s="15" t="s">
        <v>84</v>
      </c>
    </row>
    <row r="62" spans="1:13" ht="60" x14ac:dyDescent="0.25">
      <c r="A62" s="15" t="s">
        <v>154</v>
      </c>
      <c r="B62" s="15">
        <v>9</v>
      </c>
      <c r="C62" s="15">
        <v>5</v>
      </c>
      <c r="D62" s="15">
        <v>3</v>
      </c>
      <c r="E62" s="15" t="s">
        <v>84</v>
      </c>
      <c r="F62" s="15">
        <v>9</v>
      </c>
      <c r="G62" s="15">
        <v>5</v>
      </c>
      <c r="H62" s="15">
        <v>3</v>
      </c>
      <c r="I62" s="15" t="s">
        <v>84</v>
      </c>
      <c r="J62" s="15" t="s">
        <v>84</v>
      </c>
      <c r="K62" s="15" t="s">
        <v>84</v>
      </c>
      <c r="L62" s="15" t="s">
        <v>84</v>
      </c>
      <c r="M62" s="15" t="s">
        <v>84</v>
      </c>
    </row>
    <row r="63" spans="1:13" ht="15" customHeight="1" x14ac:dyDescent="0.25">
      <c r="A63" s="207" t="s">
        <v>91</v>
      </c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9"/>
    </row>
    <row r="64" spans="1:13" x14ac:dyDescent="0.25">
      <c r="A64" s="207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9"/>
    </row>
    <row r="65" spans="1:13" x14ac:dyDescent="0.25">
      <c r="A65" s="15" t="s">
        <v>83</v>
      </c>
      <c r="B65" s="15">
        <v>1447</v>
      </c>
      <c r="C65" s="15">
        <v>681</v>
      </c>
      <c r="D65" s="15">
        <v>187</v>
      </c>
      <c r="E65" s="15">
        <v>78</v>
      </c>
      <c r="F65" s="15">
        <v>1153</v>
      </c>
      <c r="G65" s="15">
        <v>550</v>
      </c>
      <c r="H65" s="15">
        <v>169</v>
      </c>
      <c r="I65" s="15">
        <v>70</v>
      </c>
      <c r="J65" s="15">
        <v>294</v>
      </c>
      <c r="K65" s="15">
        <v>131</v>
      </c>
      <c r="L65" s="15">
        <v>18</v>
      </c>
      <c r="M65" s="15">
        <v>8</v>
      </c>
    </row>
    <row r="66" spans="1:13" ht="30" x14ac:dyDescent="0.25">
      <c r="A66" s="15" t="s">
        <v>151</v>
      </c>
      <c r="B66" s="15">
        <v>630</v>
      </c>
      <c r="C66" s="15">
        <v>329</v>
      </c>
      <c r="D66" s="15">
        <v>23</v>
      </c>
      <c r="E66" s="15">
        <v>14</v>
      </c>
      <c r="F66" s="15">
        <v>466</v>
      </c>
      <c r="G66" s="15">
        <v>242</v>
      </c>
      <c r="H66" s="15">
        <v>21</v>
      </c>
      <c r="I66" s="15">
        <v>13</v>
      </c>
      <c r="J66" s="15">
        <v>164</v>
      </c>
      <c r="K66" s="15">
        <v>87</v>
      </c>
      <c r="L66" s="15">
        <v>2</v>
      </c>
      <c r="M66" s="15">
        <v>1</v>
      </c>
    </row>
    <row r="67" spans="1:13" ht="60" x14ac:dyDescent="0.25">
      <c r="A67" s="15" t="s">
        <v>152</v>
      </c>
      <c r="B67" s="15">
        <v>57</v>
      </c>
      <c r="C67" s="15">
        <v>26</v>
      </c>
      <c r="D67" s="15">
        <v>9</v>
      </c>
      <c r="E67" s="15">
        <v>4</v>
      </c>
      <c r="F67" s="15">
        <v>44</v>
      </c>
      <c r="G67" s="15">
        <v>22</v>
      </c>
      <c r="H67" s="15">
        <v>6</v>
      </c>
      <c r="I67" s="15">
        <v>3</v>
      </c>
      <c r="J67" s="15">
        <v>13</v>
      </c>
      <c r="K67" s="15">
        <v>4</v>
      </c>
      <c r="L67" s="15">
        <v>3</v>
      </c>
      <c r="M67" s="15">
        <v>1</v>
      </c>
    </row>
    <row r="68" spans="1:13" ht="30" x14ac:dyDescent="0.25">
      <c r="A68" s="15" t="s">
        <v>85</v>
      </c>
      <c r="B68" s="15">
        <v>544</v>
      </c>
      <c r="C68" s="15">
        <v>254</v>
      </c>
      <c r="D68" s="15">
        <v>99</v>
      </c>
      <c r="E68" s="15">
        <v>45</v>
      </c>
      <c r="F68" s="15">
        <v>443</v>
      </c>
      <c r="G68" s="15">
        <v>217</v>
      </c>
      <c r="H68" s="15">
        <v>87</v>
      </c>
      <c r="I68" s="15">
        <v>40</v>
      </c>
      <c r="J68" s="15">
        <v>101</v>
      </c>
      <c r="K68" s="15">
        <v>37</v>
      </c>
      <c r="L68" s="15">
        <v>12</v>
      </c>
      <c r="M68" s="15">
        <v>5</v>
      </c>
    </row>
    <row r="69" spans="1:13" ht="30" x14ac:dyDescent="0.25">
      <c r="A69" s="15" t="s">
        <v>86</v>
      </c>
      <c r="B69" s="15">
        <v>136</v>
      </c>
      <c r="C69" s="15">
        <v>51</v>
      </c>
      <c r="D69" s="15">
        <v>27</v>
      </c>
      <c r="E69" s="15">
        <v>8</v>
      </c>
      <c r="F69" s="15">
        <v>123</v>
      </c>
      <c r="G69" s="15">
        <v>49</v>
      </c>
      <c r="H69" s="15">
        <v>26</v>
      </c>
      <c r="I69" s="15">
        <v>8</v>
      </c>
      <c r="J69" s="15">
        <v>13</v>
      </c>
      <c r="K69" s="15">
        <v>2</v>
      </c>
      <c r="L69" s="15">
        <v>1</v>
      </c>
      <c r="M69" s="15" t="s">
        <v>84</v>
      </c>
    </row>
    <row r="70" spans="1:13" ht="45" x14ac:dyDescent="0.25">
      <c r="A70" s="15" t="s">
        <v>87</v>
      </c>
      <c r="B70" s="15">
        <v>80</v>
      </c>
      <c r="C70" s="15">
        <v>21</v>
      </c>
      <c r="D70" s="15">
        <v>29</v>
      </c>
      <c r="E70" s="15">
        <v>7</v>
      </c>
      <c r="F70" s="15">
        <v>77</v>
      </c>
      <c r="G70" s="15">
        <v>20</v>
      </c>
      <c r="H70" s="15">
        <v>29</v>
      </c>
      <c r="I70" s="15">
        <v>6</v>
      </c>
      <c r="J70" s="15">
        <v>3</v>
      </c>
      <c r="K70" s="15">
        <v>1</v>
      </c>
      <c r="L70" s="15" t="s">
        <v>84</v>
      </c>
      <c r="M70" s="15">
        <v>1</v>
      </c>
    </row>
    <row r="71" spans="1:13" ht="45" x14ac:dyDescent="0.25">
      <c r="A71" s="15" t="s">
        <v>153</v>
      </c>
      <c r="B71" s="15">
        <v>15</v>
      </c>
      <c r="C71" s="15">
        <v>4</v>
      </c>
      <c r="D71" s="15">
        <v>1</v>
      </c>
      <c r="E71" s="15" t="s">
        <v>84</v>
      </c>
      <c r="F71" s="15">
        <v>15</v>
      </c>
      <c r="G71" s="15">
        <v>4</v>
      </c>
      <c r="H71" s="15">
        <v>1</v>
      </c>
      <c r="I71" s="15" t="s">
        <v>84</v>
      </c>
      <c r="J71" s="15" t="s">
        <v>84</v>
      </c>
      <c r="K71" s="15" t="s">
        <v>84</v>
      </c>
      <c r="L71" s="15" t="s">
        <v>84</v>
      </c>
      <c r="M71" s="15" t="s">
        <v>84</v>
      </c>
    </row>
    <row r="72" spans="1:13" ht="60" x14ac:dyDescent="0.25">
      <c r="A72" s="15" t="s">
        <v>154</v>
      </c>
      <c r="B72" s="15">
        <v>11</v>
      </c>
      <c r="C72" s="15">
        <v>4</v>
      </c>
      <c r="D72" s="15" t="s">
        <v>84</v>
      </c>
      <c r="E72" s="15" t="s">
        <v>84</v>
      </c>
      <c r="F72" s="15">
        <v>11</v>
      </c>
      <c r="G72" s="15">
        <v>4</v>
      </c>
      <c r="H72" s="15" t="s">
        <v>84</v>
      </c>
      <c r="I72" s="15" t="s">
        <v>84</v>
      </c>
      <c r="J72" s="15" t="s">
        <v>84</v>
      </c>
      <c r="K72" s="15" t="s">
        <v>84</v>
      </c>
      <c r="L72" s="15" t="s">
        <v>84</v>
      </c>
      <c r="M72" s="15" t="s">
        <v>84</v>
      </c>
    </row>
    <row r="73" spans="1:13" ht="15" customHeight="1" x14ac:dyDescent="0.25">
      <c r="A73" s="207" t="s">
        <v>92</v>
      </c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9"/>
    </row>
    <row r="74" spans="1:13" x14ac:dyDescent="0.25">
      <c r="A74" s="207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9"/>
    </row>
    <row r="75" spans="1:13" x14ac:dyDescent="0.25">
      <c r="A75" s="15" t="s">
        <v>83</v>
      </c>
      <c r="B75" s="15">
        <v>1589</v>
      </c>
      <c r="C75" s="15">
        <v>793</v>
      </c>
      <c r="D75" s="15">
        <v>76</v>
      </c>
      <c r="E75" s="15">
        <v>42</v>
      </c>
      <c r="F75" s="15">
        <v>1488</v>
      </c>
      <c r="G75" s="15">
        <v>737</v>
      </c>
      <c r="H75" s="15">
        <v>76</v>
      </c>
      <c r="I75" s="15">
        <v>42</v>
      </c>
      <c r="J75" s="15">
        <v>101</v>
      </c>
      <c r="K75" s="15">
        <v>56</v>
      </c>
      <c r="L75" s="15" t="s">
        <v>84</v>
      </c>
      <c r="M75" s="15" t="s">
        <v>84</v>
      </c>
    </row>
    <row r="76" spans="1:13" ht="30" x14ac:dyDescent="0.25">
      <c r="A76" s="15" t="s">
        <v>151</v>
      </c>
      <c r="B76" s="15">
        <v>592</v>
      </c>
      <c r="C76" s="15">
        <v>338</v>
      </c>
      <c r="D76" s="15">
        <v>9</v>
      </c>
      <c r="E76" s="15">
        <v>8</v>
      </c>
      <c r="F76" s="15">
        <v>512</v>
      </c>
      <c r="G76" s="15">
        <v>291</v>
      </c>
      <c r="H76" s="15">
        <v>9</v>
      </c>
      <c r="I76" s="15">
        <v>8</v>
      </c>
      <c r="J76" s="15">
        <v>80</v>
      </c>
      <c r="K76" s="15">
        <v>47</v>
      </c>
      <c r="L76" s="15" t="s">
        <v>84</v>
      </c>
      <c r="M76" s="15" t="s">
        <v>84</v>
      </c>
    </row>
    <row r="77" spans="1:13" ht="60" x14ac:dyDescent="0.25">
      <c r="A77" s="15" t="s">
        <v>152</v>
      </c>
      <c r="B77" s="15">
        <v>38</v>
      </c>
      <c r="C77" s="15">
        <v>14</v>
      </c>
      <c r="D77" s="15" t="s">
        <v>84</v>
      </c>
      <c r="E77" s="15" t="s">
        <v>84</v>
      </c>
      <c r="F77" s="15">
        <v>33</v>
      </c>
      <c r="G77" s="15">
        <v>10</v>
      </c>
      <c r="H77" s="15" t="s">
        <v>84</v>
      </c>
      <c r="I77" s="15" t="s">
        <v>84</v>
      </c>
      <c r="J77" s="15">
        <v>5</v>
      </c>
      <c r="K77" s="15">
        <v>4</v>
      </c>
      <c r="L77" s="15" t="s">
        <v>84</v>
      </c>
      <c r="M77" s="15" t="s">
        <v>84</v>
      </c>
    </row>
    <row r="78" spans="1:13" ht="30" x14ac:dyDescent="0.25">
      <c r="A78" s="15" t="s">
        <v>85</v>
      </c>
      <c r="B78" s="15">
        <v>693</v>
      </c>
      <c r="C78" s="15">
        <v>334</v>
      </c>
      <c r="D78" s="15">
        <v>41</v>
      </c>
      <c r="E78" s="15">
        <v>23</v>
      </c>
      <c r="F78" s="15">
        <v>685</v>
      </c>
      <c r="G78" s="15">
        <v>331</v>
      </c>
      <c r="H78" s="15">
        <v>41</v>
      </c>
      <c r="I78" s="15">
        <v>23</v>
      </c>
      <c r="J78" s="15">
        <v>8</v>
      </c>
      <c r="K78" s="15">
        <v>3</v>
      </c>
      <c r="L78" s="15" t="s">
        <v>84</v>
      </c>
      <c r="M78" s="15" t="s">
        <v>84</v>
      </c>
    </row>
    <row r="79" spans="1:13" ht="30" x14ac:dyDescent="0.25">
      <c r="A79" s="15" t="s">
        <v>86</v>
      </c>
      <c r="B79" s="15">
        <v>211</v>
      </c>
      <c r="C79" s="15">
        <v>89</v>
      </c>
      <c r="D79" s="15">
        <v>18</v>
      </c>
      <c r="E79" s="15">
        <v>8</v>
      </c>
      <c r="F79" s="15">
        <v>206</v>
      </c>
      <c r="G79" s="15">
        <v>88</v>
      </c>
      <c r="H79" s="15">
        <v>18</v>
      </c>
      <c r="I79" s="15">
        <v>8</v>
      </c>
      <c r="J79" s="15">
        <v>5</v>
      </c>
      <c r="K79" s="15">
        <v>1</v>
      </c>
      <c r="L79" s="15" t="s">
        <v>84</v>
      </c>
      <c r="M79" s="15" t="s">
        <v>84</v>
      </c>
    </row>
    <row r="80" spans="1:13" ht="45" x14ac:dyDescent="0.25">
      <c r="A80" s="15" t="s">
        <v>87</v>
      </c>
      <c r="B80" s="15">
        <v>55</v>
      </c>
      <c r="C80" s="15">
        <v>18</v>
      </c>
      <c r="D80" s="15">
        <v>8</v>
      </c>
      <c r="E80" s="15">
        <v>3</v>
      </c>
      <c r="F80" s="15">
        <v>52</v>
      </c>
      <c r="G80" s="15">
        <v>17</v>
      </c>
      <c r="H80" s="15">
        <v>8</v>
      </c>
      <c r="I80" s="15">
        <v>3</v>
      </c>
      <c r="J80" s="15">
        <v>3</v>
      </c>
      <c r="K80" s="15">
        <v>1</v>
      </c>
      <c r="L80" s="15" t="s">
        <v>84</v>
      </c>
      <c r="M80" s="15" t="s">
        <v>84</v>
      </c>
    </row>
    <row r="81" spans="1:13" ht="45" x14ac:dyDescent="0.25">
      <c r="A81" s="15" t="s">
        <v>153</v>
      </c>
      <c r="B81" s="15">
        <v>19</v>
      </c>
      <c r="C81" s="15">
        <v>7</v>
      </c>
      <c r="D81" s="15">
        <v>2</v>
      </c>
      <c r="E81" s="15">
        <v>1</v>
      </c>
      <c r="F81" s="15">
        <v>18</v>
      </c>
      <c r="G81" s="15">
        <v>7</v>
      </c>
      <c r="H81" s="15">
        <v>2</v>
      </c>
      <c r="I81" s="15">
        <v>1</v>
      </c>
      <c r="J81" s="15">
        <v>1</v>
      </c>
      <c r="K81" s="15" t="s">
        <v>84</v>
      </c>
      <c r="L81" s="15" t="s">
        <v>84</v>
      </c>
      <c r="M81" s="15" t="s">
        <v>84</v>
      </c>
    </row>
    <row r="82" spans="1:13" ht="60" x14ac:dyDescent="0.25">
      <c r="A82" s="15" t="s">
        <v>154</v>
      </c>
      <c r="B82" s="15">
        <v>4</v>
      </c>
      <c r="C82" s="15">
        <v>2</v>
      </c>
      <c r="D82" s="15">
        <v>2</v>
      </c>
      <c r="E82" s="15">
        <v>1</v>
      </c>
      <c r="F82" s="15">
        <v>4</v>
      </c>
      <c r="G82" s="15">
        <v>2</v>
      </c>
      <c r="H82" s="15">
        <v>2</v>
      </c>
      <c r="I82" s="15">
        <v>1</v>
      </c>
      <c r="J82" s="15" t="s">
        <v>84</v>
      </c>
      <c r="K82" s="15" t="s">
        <v>84</v>
      </c>
      <c r="L82" s="15" t="s">
        <v>84</v>
      </c>
      <c r="M82" s="15" t="s">
        <v>84</v>
      </c>
    </row>
    <row r="83" spans="1:13" ht="15" customHeight="1" x14ac:dyDescent="0.25">
      <c r="A83" s="207" t="s">
        <v>93</v>
      </c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9"/>
    </row>
    <row r="84" spans="1:13" x14ac:dyDescent="0.25">
      <c r="A84" s="207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9"/>
    </row>
    <row r="85" spans="1:13" x14ac:dyDescent="0.25">
      <c r="A85" s="15" t="s">
        <v>83</v>
      </c>
      <c r="B85" s="15">
        <v>1150</v>
      </c>
      <c r="C85" s="15">
        <v>521</v>
      </c>
      <c r="D85" s="15">
        <v>98</v>
      </c>
      <c r="E85" s="15">
        <v>41</v>
      </c>
      <c r="F85" s="15">
        <v>1095</v>
      </c>
      <c r="G85" s="15">
        <v>513</v>
      </c>
      <c r="H85" s="15">
        <v>92</v>
      </c>
      <c r="I85" s="15">
        <v>40</v>
      </c>
      <c r="J85" s="15">
        <v>55</v>
      </c>
      <c r="K85" s="15">
        <v>8</v>
      </c>
      <c r="L85" s="15">
        <v>6</v>
      </c>
      <c r="M85" s="15">
        <v>1</v>
      </c>
    </row>
    <row r="86" spans="1:13" ht="30" x14ac:dyDescent="0.25">
      <c r="A86" s="15" t="s">
        <v>151</v>
      </c>
      <c r="B86" s="15">
        <v>328</v>
      </c>
      <c r="C86" s="15">
        <v>173</v>
      </c>
      <c r="D86" s="15">
        <v>10</v>
      </c>
      <c r="E86" s="15">
        <v>3</v>
      </c>
      <c r="F86" s="15">
        <v>313</v>
      </c>
      <c r="G86" s="15">
        <v>170</v>
      </c>
      <c r="H86" s="15">
        <v>6</v>
      </c>
      <c r="I86" s="15">
        <v>2</v>
      </c>
      <c r="J86" s="15">
        <v>15</v>
      </c>
      <c r="K86" s="15">
        <v>3</v>
      </c>
      <c r="L86" s="15">
        <v>4</v>
      </c>
      <c r="M86" s="15">
        <v>1</v>
      </c>
    </row>
    <row r="87" spans="1:13" ht="60" x14ac:dyDescent="0.25">
      <c r="A87" s="15" t="s">
        <v>152</v>
      </c>
      <c r="B87" s="15">
        <v>25</v>
      </c>
      <c r="C87" s="15">
        <v>12</v>
      </c>
      <c r="D87" s="15">
        <v>2</v>
      </c>
      <c r="E87" s="15">
        <v>1</v>
      </c>
      <c r="F87" s="15">
        <v>25</v>
      </c>
      <c r="G87" s="15">
        <v>12</v>
      </c>
      <c r="H87" s="15">
        <v>2</v>
      </c>
      <c r="I87" s="15">
        <v>1</v>
      </c>
      <c r="J87" s="15" t="s">
        <v>84</v>
      </c>
      <c r="K87" s="15" t="s">
        <v>84</v>
      </c>
      <c r="L87" s="15" t="s">
        <v>84</v>
      </c>
      <c r="M87" s="15" t="s">
        <v>84</v>
      </c>
    </row>
    <row r="88" spans="1:13" ht="30" x14ac:dyDescent="0.25">
      <c r="A88" s="15" t="s">
        <v>85</v>
      </c>
      <c r="B88" s="15">
        <v>519</v>
      </c>
      <c r="C88" s="15">
        <v>235</v>
      </c>
      <c r="D88" s="15">
        <v>43</v>
      </c>
      <c r="E88" s="15">
        <v>22</v>
      </c>
      <c r="F88" s="15">
        <v>500</v>
      </c>
      <c r="G88" s="15">
        <v>234</v>
      </c>
      <c r="H88" s="15">
        <v>42</v>
      </c>
      <c r="I88" s="15">
        <v>22</v>
      </c>
      <c r="J88" s="15">
        <v>19</v>
      </c>
      <c r="K88" s="15">
        <v>1</v>
      </c>
      <c r="L88" s="15">
        <v>1</v>
      </c>
      <c r="M88" s="15" t="s">
        <v>84</v>
      </c>
    </row>
    <row r="89" spans="1:13" ht="30" x14ac:dyDescent="0.25">
      <c r="A89" s="15" t="s">
        <v>86</v>
      </c>
      <c r="B89" s="15">
        <v>190</v>
      </c>
      <c r="C89" s="15">
        <v>72</v>
      </c>
      <c r="D89" s="15">
        <v>25</v>
      </c>
      <c r="E89" s="15">
        <v>9</v>
      </c>
      <c r="F89" s="15">
        <v>177</v>
      </c>
      <c r="G89" s="15">
        <v>69</v>
      </c>
      <c r="H89" s="15">
        <v>24</v>
      </c>
      <c r="I89" s="15">
        <v>9</v>
      </c>
      <c r="J89" s="15">
        <v>13</v>
      </c>
      <c r="K89" s="15">
        <v>3</v>
      </c>
      <c r="L89" s="15">
        <v>1</v>
      </c>
      <c r="M89" s="15" t="s">
        <v>84</v>
      </c>
    </row>
    <row r="90" spans="1:13" ht="45" x14ac:dyDescent="0.25">
      <c r="A90" s="15" t="s">
        <v>87</v>
      </c>
      <c r="B90" s="15">
        <v>88</v>
      </c>
      <c r="C90" s="15">
        <v>29</v>
      </c>
      <c r="D90" s="15">
        <v>18</v>
      </c>
      <c r="E90" s="15">
        <v>6</v>
      </c>
      <c r="F90" s="15">
        <v>80</v>
      </c>
      <c r="G90" s="15">
        <v>28</v>
      </c>
      <c r="H90" s="15">
        <v>18</v>
      </c>
      <c r="I90" s="15">
        <v>6</v>
      </c>
      <c r="J90" s="15">
        <v>8</v>
      </c>
      <c r="K90" s="15">
        <v>1</v>
      </c>
      <c r="L90" s="15" t="s">
        <v>84</v>
      </c>
      <c r="M90" s="15" t="s">
        <v>84</v>
      </c>
    </row>
    <row r="91" spans="1:13" ht="45" x14ac:dyDescent="0.25">
      <c r="A91" s="15" t="s">
        <v>153</v>
      </c>
      <c r="B91" s="15">
        <v>14</v>
      </c>
      <c r="C91" s="15">
        <v>7</v>
      </c>
      <c r="D91" s="15">
        <v>1</v>
      </c>
      <c r="E91" s="15">
        <v>1</v>
      </c>
      <c r="F91" s="15">
        <v>12</v>
      </c>
      <c r="G91" s="15">
        <v>6</v>
      </c>
      <c r="H91" s="15">
        <v>1</v>
      </c>
      <c r="I91" s="15">
        <v>1</v>
      </c>
      <c r="J91" s="15">
        <v>2</v>
      </c>
      <c r="K91" s="15">
        <v>1</v>
      </c>
      <c r="L91" s="15" t="s">
        <v>84</v>
      </c>
      <c r="M91" s="15" t="s">
        <v>84</v>
      </c>
    </row>
    <row r="92" spans="1:13" ht="60" x14ac:dyDescent="0.25">
      <c r="A92" s="15" t="s">
        <v>154</v>
      </c>
      <c r="B92" s="15">
        <v>12</v>
      </c>
      <c r="C92" s="15">
        <v>5</v>
      </c>
      <c r="D92" s="15">
        <v>4</v>
      </c>
      <c r="E92" s="15">
        <v>2</v>
      </c>
      <c r="F92" s="15">
        <v>12</v>
      </c>
      <c r="G92" s="15">
        <v>5</v>
      </c>
      <c r="H92" s="15">
        <v>4</v>
      </c>
      <c r="I92" s="15">
        <v>2</v>
      </c>
      <c r="J92" s="15" t="s">
        <v>84</v>
      </c>
      <c r="K92" s="15" t="s">
        <v>84</v>
      </c>
      <c r="L92" s="15" t="s">
        <v>84</v>
      </c>
      <c r="M92" s="15" t="s">
        <v>84</v>
      </c>
    </row>
    <row r="93" spans="1:13" ht="15" customHeight="1" x14ac:dyDescent="0.25">
      <c r="A93" s="207" t="s">
        <v>94</v>
      </c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9"/>
    </row>
    <row r="94" spans="1:13" x14ac:dyDescent="0.25">
      <c r="A94" s="207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9"/>
    </row>
    <row r="95" spans="1:13" x14ac:dyDescent="0.25">
      <c r="A95" s="15" t="s">
        <v>83</v>
      </c>
      <c r="B95" s="15">
        <v>687</v>
      </c>
      <c r="C95" s="15">
        <v>316</v>
      </c>
      <c r="D95" s="15">
        <v>54</v>
      </c>
      <c r="E95" s="15">
        <v>19</v>
      </c>
      <c r="F95" s="15">
        <v>687</v>
      </c>
      <c r="G95" s="15">
        <v>316</v>
      </c>
      <c r="H95" s="15">
        <v>54</v>
      </c>
      <c r="I95" s="15">
        <v>19</v>
      </c>
      <c r="J95" s="15" t="s">
        <v>84</v>
      </c>
      <c r="K95" s="15" t="s">
        <v>84</v>
      </c>
      <c r="L95" s="15" t="s">
        <v>84</v>
      </c>
      <c r="M95" s="15" t="s">
        <v>84</v>
      </c>
    </row>
    <row r="96" spans="1:13" ht="30" x14ac:dyDescent="0.25">
      <c r="A96" s="15" t="s">
        <v>151</v>
      </c>
      <c r="B96" s="15">
        <v>248</v>
      </c>
      <c r="C96" s="15">
        <v>122</v>
      </c>
      <c r="D96" s="15">
        <v>8</v>
      </c>
      <c r="E96" s="15">
        <v>3</v>
      </c>
      <c r="F96" s="15">
        <v>248</v>
      </c>
      <c r="G96" s="15">
        <v>122</v>
      </c>
      <c r="H96" s="15">
        <v>8</v>
      </c>
      <c r="I96" s="15">
        <v>3</v>
      </c>
      <c r="J96" s="15" t="s">
        <v>84</v>
      </c>
      <c r="K96" s="15" t="s">
        <v>84</v>
      </c>
      <c r="L96" s="15" t="s">
        <v>84</v>
      </c>
      <c r="M96" s="15" t="s">
        <v>84</v>
      </c>
    </row>
    <row r="97" spans="1:13" ht="60" x14ac:dyDescent="0.25">
      <c r="A97" s="15" t="s">
        <v>152</v>
      </c>
      <c r="B97" s="15">
        <v>18</v>
      </c>
      <c r="C97" s="15">
        <v>8</v>
      </c>
      <c r="D97" s="15" t="s">
        <v>84</v>
      </c>
      <c r="E97" s="15" t="s">
        <v>84</v>
      </c>
      <c r="F97" s="15">
        <v>18</v>
      </c>
      <c r="G97" s="15">
        <v>8</v>
      </c>
      <c r="H97" s="15" t="s">
        <v>84</v>
      </c>
      <c r="I97" s="15" t="s">
        <v>84</v>
      </c>
      <c r="J97" s="15" t="s">
        <v>84</v>
      </c>
      <c r="K97" s="15" t="s">
        <v>84</v>
      </c>
      <c r="L97" s="15" t="s">
        <v>84</v>
      </c>
      <c r="M97" s="15" t="s">
        <v>84</v>
      </c>
    </row>
    <row r="98" spans="1:13" ht="30" x14ac:dyDescent="0.25">
      <c r="A98" s="15" t="s">
        <v>85</v>
      </c>
      <c r="B98" s="15">
        <v>273</v>
      </c>
      <c r="C98" s="15">
        <v>127</v>
      </c>
      <c r="D98" s="15">
        <v>19</v>
      </c>
      <c r="E98" s="15">
        <v>7</v>
      </c>
      <c r="F98" s="15">
        <v>273</v>
      </c>
      <c r="G98" s="15">
        <v>127</v>
      </c>
      <c r="H98" s="15">
        <v>19</v>
      </c>
      <c r="I98" s="15">
        <v>7</v>
      </c>
      <c r="J98" s="15" t="s">
        <v>84</v>
      </c>
      <c r="K98" s="15" t="s">
        <v>84</v>
      </c>
      <c r="L98" s="15" t="s">
        <v>84</v>
      </c>
      <c r="M98" s="15" t="s">
        <v>84</v>
      </c>
    </row>
    <row r="99" spans="1:13" ht="30" x14ac:dyDescent="0.25">
      <c r="A99" s="15" t="s">
        <v>86</v>
      </c>
      <c r="B99" s="15">
        <v>90</v>
      </c>
      <c r="C99" s="15">
        <v>38</v>
      </c>
      <c r="D99" s="15">
        <v>16</v>
      </c>
      <c r="E99" s="15">
        <v>3</v>
      </c>
      <c r="F99" s="15">
        <v>90</v>
      </c>
      <c r="G99" s="15">
        <v>38</v>
      </c>
      <c r="H99" s="15">
        <v>16</v>
      </c>
      <c r="I99" s="15">
        <v>3</v>
      </c>
      <c r="J99" s="15" t="s">
        <v>84</v>
      </c>
      <c r="K99" s="15" t="s">
        <v>84</v>
      </c>
      <c r="L99" s="15" t="s">
        <v>84</v>
      </c>
      <c r="M99" s="15" t="s">
        <v>84</v>
      </c>
    </row>
    <row r="100" spans="1:13" ht="45" x14ac:dyDescent="0.25">
      <c r="A100" s="15" t="s">
        <v>87</v>
      </c>
      <c r="B100" s="15">
        <v>58</v>
      </c>
      <c r="C100" s="15">
        <v>21</v>
      </c>
      <c r="D100" s="15">
        <v>11</v>
      </c>
      <c r="E100" s="15">
        <v>6</v>
      </c>
      <c r="F100" s="15">
        <v>58</v>
      </c>
      <c r="G100" s="15">
        <v>21</v>
      </c>
      <c r="H100" s="15">
        <v>11</v>
      </c>
      <c r="I100" s="15">
        <v>6</v>
      </c>
      <c r="J100" s="15" t="s">
        <v>84</v>
      </c>
      <c r="K100" s="15" t="s">
        <v>84</v>
      </c>
      <c r="L100" s="15" t="s">
        <v>84</v>
      </c>
      <c r="M100" s="15" t="s">
        <v>84</v>
      </c>
    </row>
    <row r="101" spans="1:13" ht="45" x14ac:dyDescent="0.25">
      <c r="A101" s="15" t="s">
        <v>153</v>
      </c>
      <c r="B101" s="15">
        <v>6</v>
      </c>
      <c r="C101" s="15">
        <v>3</v>
      </c>
      <c r="D101" s="15" t="s">
        <v>84</v>
      </c>
      <c r="E101" s="15" t="s">
        <v>84</v>
      </c>
      <c r="F101" s="15">
        <v>6</v>
      </c>
      <c r="G101" s="15">
        <v>3</v>
      </c>
      <c r="H101" s="15" t="s">
        <v>84</v>
      </c>
      <c r="I101" s="15" t="s">
        <v>84</v>
      </c>
      <c r="J101" s="15" t="s">
        <v>84</v>
      </c>
      <c r="K101" s="15" t="s">
        <v>84</v>
      </c>
      <c r="L101" s="15" t="s">
        <v>84</v>
      </c>
      <c r="M101" s="15" t="s">
        <v>84</v>
      </c>
    </row>
    <row r="102" spans="1:13" ht="60" x14ac:dyDescent="0.25">
      <c r="A102" s="15" t="s">
        <v>154</v>
      </c>
      <c r="B102" s="15">
        <v>11</v>
      </c>
      <c r="C102" s="15">
        <v>3</v>
      </c>
      <c r="D102" s="15">
        <v>2</v>
      </c>
      <c r="E102" s="15">
        <v>1</v>
      </c>
      <c r="F102" s="15">
        <v>11</v>
      </c>
      <c r="G102" s="15">
        <v>3</v>
      </c>
      <c r="H102" s="15">
        <v>2</v>
      </c>
      <c r="I102" s="15">
        <v>1</v>
      </c>
      <c r="J102" s="15" t="s">
        <v>84</v>
      </c>
      <c r="K102" s="15" t="s">
        <v>84</v>
      </c>
      <c r="L102" s="15" t="s">
        <v>84</v>
      </c>
      <c r="M102" s="15" t="s">
        <v>84</v>
      </c>
    </row>
    <row r="103" spans="1:13" ht="15" customHeight="1" x14ac:dyDescent="0.25">
      <c r="A103" s="207" t="s">
        <v>95</v>
      </c>
      <c r="B103" s="208"/>
      <c r="C103" s="208"/>
      <c r="D103" s="208"/>
      <c r="E103" s="208"/>
      <c r="F103" s="208"/>
      <c r="G103" s="208"/>
      <c r="H103" s="208"/>
      <c r="I103" s="208"/>
      <c r="J103" s="208"/>
      <c r="K103" s="208"/>
      <c r="L103" s="208"/>
      <c r="M103" s="209"/>
    </row>
    <row r="104" spans="1:13" x14ac:dyDescent="0.25">
      <c r="A104" s="207"/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9"/>
    </row>
    <row r="105" spans="1:13" x14ac:dyDescent="0.25">
      <c r="A105" s="15" t="s">
        <v>83</v>
      </c>
      <c r="B105" s="15">
        <v>1309</v>
      </c>
      <c r="C105" s="15">
        <v>590</v>
      </c>
      <c r="D105" s="15">
        <v>79</v>
      </c>
      <c r="E105" s="15">
        <v>32</v>
      </c>
      <c r="F105" s="15">
        <v>1178</v>
      </c>
      <c r="G105" s="15">
        <v>535</v>
      </c>
      <c r="H105" s="15">
        <v>75</v>
      </c>
      <c r="I105" s="15">
        <v>30</v>
      </c>
      <c r="J105" s="15">
        <v>131</v>
      </c>
      <c r="K105" s="15">
        <v>55</v>
      </c>
      <c r="L105" s="15">
        <v>4</v>
      </c>
      <c r="M105" s="15">
        <v>2</v>
      </c>
    </row>
    <row r="106" spans="1:13" ht="30" x14ac:dyDescent="0.25">
      <c r="A106" s="15" t="s">
        <v>151</v>
      </c>
      <c r="B106" s="15">
        <v>481</v>
      </c>
      <c r="C106" s="15">
        <v>248</v>
      </c>
      <c r="D106" s="15">
        <v>5</v>
      </c>
      <c r="E106" s="15">
        <v>2</v>
      </c>
      <c r="F106" s="15">
        <v>388</v>
      </c>
      <c r="G106" s="15">
        <v>204</v>
      </c>
      <c r="H106" s="15">
        <v>3</v>
      </c>
      <c r="I106" s="15">
        <v>1</v>
      </c>
      <c r="J106" s="15">
        <v>93</v>
      </c>
      <c r="K106" s="15">
        <v>44</v>
      </c>
      <c r="L106" s="15">
        <v>2</v>
      </c>
      <c r="M106" s="15">
        <v>1</v>
      </c>
    </row>
    <row r="107" spans="1:13" ht="60" x14ac:dyDescent="0.25">
      <c r="A107" s="15" t="s">
        <v>152</v>
      </c>
      <c r="B107" s="15">
        <v>49</v>
      </c>
      <c r="C107" s="15">
        <v>24</v>
      </c>
      <c r="D107" s="15" t="s">
        <v>84</v>
      </c>
      <c r="E107" s="15" t="s">
        <v>84</v>
      </c>
      <c r="F107" s="15">
        <v>35</v>
      </c>
      <c r="G107" s="15">
        <v>18</v>
      </c>
      <c r="H107" s="15" t="s">
        <v>84</v>
      </c>
      <c r="I107" s="15" t="s">
        <v>84</v>
      </c>
      <c r="J107" s="15">
        <v>14</v>
      </c>
      <c r="K107" s="15">
        <v>6</v>
      </c>
      <c r="L107" s="15" t="s">
        <v>84</v>
      </c>
      <c r="M107" s="15" t="s">
        <v>84</v>
      </c>
    </row>
    <row r="108" spans="1:13" ht="30" x14ac:dyDescent="0.25">
      <c r="A108" s="15" t="s">
        <v>85</v>
      </c>
      <c r="B108" s="15">
        <v>546</v>
      </c>
      <c r="C108" s="15">
        <v>245</v>
      </c>
      <c r="D108" s="15">
        <v>37</v>
      </c>
      <c r="E108" s="15">
        <v>19</v>
      </c>
      <c r="F108" s="15">
        <v>535</v>
      </c>
      <c r="G108" s="15">
        <v>241</v>
      </c>
      <c r="H108" s="15">
        <v>37</v>
      </c>
      <c r="I108" s="15">
        <v>19</v>
      </c>
      <c r="J108" s="15">
        <v>11</v>
      </c>
      <c r="K108" s="15">
        <v>4</v>
      </c>
      <c r="L108" s="15" t="s">
        <v>84</v>
      </c>
      <c r="M108" s="15" t="s">
        <v>84</v>
      </c>
    </row>
    <row r="109" spans="1:13" ht="30" x14ac:dyDescent="0.25">
      <c r="A109" s="15" t="s">
        <v>86</v>
      </c>
      <c r="B109" s="15">
        <v>164</v>
      </c>
      <c r="C109" s="15">
        <v>51</v>
      </c>
      <c r="D109" s="15">
        <v>21</v>
      </c>
      <c r="E109" s="15">
        <v>6</v>
      </c>
      <c r="F109" s="15">
        <v>163</v>
      </c>
      <c r="G109" s="15">
        <v>51</v>
      </c>
      <c r="H109" s="15">
        <v>21</v>
      </c>
      <c r="I109" s="15">
        <v>6</v>
      </c>
      <c r="J109" s="15">
        <v>1</v>
      </c>
      <c r="K109" s="15" t="s">
        <v>84</v>
      </c>
      <c r="L109" s="15" t="s">
        <v>84</v>
      </c>
      <c r="M109" s="15" t="s">
        <v>84</v>
      </c>
    </row>
    <row r="110" spans="1:13" ht="45" x14ac:dyDescent="0.25">
      <c r="A110" s="15" t="s">
        <v>87</v>
      </c>
      <c r="B110" s="15">
        <v>69</v>
      </c>
      <c r="C110" s="15">
        <v>22</v>
      </c>
      <c r="D110" s="15">
        <v>16</v>
      </c>
      <c r="E110" s="15">
        <v>5</v>
      </c>
      <c r="F110" s="15">
        <v>57</v>
      </c>
      <c r="G110" s="15">
        <v>21</v>
      </c>
      <c r="H110" s="15">
        <v>14</v>
      </c>
      <c r="I110" s="15">
        <v>4</v>
      </c>
      <c r="J110" s="15">
        <v>12</v>
      </c>
      <c r="K110" s="15">
        <v>1</v>
      </c>
      <c r="L110" s="15">
        <v>2</v>
      </c>
      <c r="M110" s="15">
        <v>1</v>
      </c>
    </row>
    <row r="111" spans="1:13" ht="45" x14ac:dyDescent="0.25">
      <c r="A111" s="15" t="s">
        <v>153</v>
      </c>
      <c r="B111" s="15">
        <v>22</v>
      </c>
      <c r="C111" s="15">
        <v>7</v>
      </c>
      <c r="D111" s="15">
        <v>3</v>
      </c>
      <c r="E111" s="15" t="s">
        <v>84</v>
      </c>
      <c r="F111" s="15">
        <v>19</v>
      </c>
      <c r="G111" s="15">
        <v>7</v>
      </c>
      <c r="H111" s="15">
        <v>3</v>
      </c>
      <c r="I111" s="15" t="s">
        <v>84</v>
      </c>
      <c r="J111" s="15">
        <v>3</v>
      </c>
      <c r="K111" s="15" t="s">
        <v>84</v>
      </c>
      <c r="L111" s="15" t="s">
        <v>84</v>
      </c>
      <c r="M111" s="15" t="s">
        <v>84</v>
      </c>
    </row>
    <row r="112" spans="1:13" ht="60" x14ac:dyDescent="0.25">
      <c r="A112" s="15" t="s">
        <v>154</v>
      </c>
      <c r="B112" s="15">
        <v>6</v>
      </c>
      <c r="C112" s="15">
        <v>3</v>
      </c>
      <c r="D112" s="15" t="s">
        <v>84</v>
      </c>
      <c r="E112" s="15" t="s">
        <v>84</v>
      </c>
      <c r="F112" s="15">
        <v>6</v>
      </c>
      <c r="G112" s="15">
        <v>3</v>
      </c>
      <c r="H112" s="15" t="s">
        <v>84</v>
      </c>
      <c r="I112" s="15" t="s">
        <v>84</v>
      </c>
      <c r="J112" s="15" t="s">
        <v>84</v>
      </c>
      <c r="K112" s="15" t="s">
        <v>84</v>
      </c>
      <c r="L112" s="15" t="s">
        <v>84</v>
      </c>
      <c r="M112" s="15" t="s">
        <v>84</v>
      </c>
    </row>
    <row r="113" spans="1:13" ht="15" customHeight="1" x14ac:dyDescent="0.25">
      <c r="A113" s="207" t="s">
        <v>96</v>
      </c>
      <c r="B113" s="208"/>
      <c r="C113" s="208"/>
      <c r="D113" s="208"/>
      <c r="E113" s="208"/>
      <c r="F113" s="208"/>
      <c r="G113" s="208"/>
      <c r="H113" s="208"/>
      <c r="I113" s="208"/>
      <c r="J113" s="208"/>
      <c r="K113" s="208"/>
      <c r="L113" s="208"/>
      <c r="M113" s="209"/>
    </row>
    <row r="114" spans="1:13" x14ac:dyDescent="0.25">
      <c r="A114" s="207"/>
      <c r="B114" s="208"/>
      <c r="C114" s="208"/>
      <c r="D114" s="208"/>
      <c r="E114" s="208"/>
      <c r="F114" s="208"/>
      <c r="G114" s="208"/>
      <c r="H114" s="208"/>
      <c r="I114" s="208"/>
      <c r="J114" s="208"/>
      <c r="K114" s="208"/>
      <c r="L114" s="208"/>
      <c r="M114" s="209"/>
    </row>
    <row r="115" spans="1:13" x14ac:dyDescent="0.25">
      <c r="A115" s="15" t="s">
        <v>83</v>
      </c>
      <c r="B115" s="15">
        <v>1356</v>
      </c>
      <c r="C115" s="15">
        <v>662</v>
      </c>
      <c r="D115" s="15">
        <v>101</v>
      </c>
      <c r="E115" s="15">
        <v>38</v>
      </c>
      <c r="F115" s="15">
        <v>1356</v>
      </c>
      <c r="G115" s="15">
        <v>662</v>
      </c>
      <c r="H115" s="15">
        <v>101</v>
      </c>
      <c r="I115" s="15">
        <v>38</v>
      </c>
      <c r="J115" s="15" t="s">
        <v>84</v>
      </c>
      <c r="K115" s="15" t="s">
        <v>84</v>
      </c>
      <c r="L115" s="15" t="s">
        <v>84</v>
      </c>
      <c r="M115" s="15" t="s">
        <v>84</v>
      </c>
    </row>
    <row r="116" spans="1:13" ht="30" x14ac:dyDescent="0.25">
      <c r="A116" s="15" t="s">
        <v>151</v>
      </c>
      <c r="B116" s="15">
        <v>494</v>
      </c>
      <c r="C116" s="15">
        <v>283</v>
      </c>
      <c r="D116" s="15">
        <v>24</v>
      </c>
      <c r="E116" s="15">
        <v>14</v>
      </c>
      <c r="F116" s="15">
        <v>494</v>
      </c>
      <c r="G116" s="15">
        <v>283</v>
      </c>
      <c r="H116" s="15">
        <v>24</v>
      </c>
      <c r="I116" s="15">
        <v>14</v>
      </c>
      <c r="J116" s="15" t="s">
        <v>84</v>
      </c>
      <c r="K116" s="15" t="s">
        <v>84</v>
      </c>
      <c r="L116" s="15" t="s">
        <v>84</v>
      </c>
      <c r="M116" s="15" t="s">
        <v>84</v>
      </c>
    </row>
    <row r="117" spans="1:13" ht="60" x14ac:dyDescent="0.25">
      <c r="A117" s="15" t="s">
        <v>152</v>
      </c>
      <c r="B117" s="15">
        <v>58</v>
      </c>
      <c r="C117" s="15">
        <v>23</v>
      </c>
      <c r="D117" s="15">
        <v>1</v>
      </c>
      <c r="E117" s="15" t="s">
        <v>84</v>
      </c>
      <c r="F117" s="15">
        <v>58</v>
      </c>
      <c r="G117" s="15">
        <v>23</v>
      </c>
      <c r="H117" s="15">
        <v>1</v>
      </c>
      <c r="I117" s="15" t="s">
        <v>84</v>
      </c>
      <c r="J117" s="15" t="s">
        <v>84</v>
      </c>
      <c r="K117" s="15" t="s">
        <v>84</v>
      </c>
      <c r="L117" s="15" t="s">
        <v>84</v>
      </c>
      <c r="M117" s="15" t="s">
        <v>84</v>
      </c>
    </row>
    <row r="118" spans="1:13" ht="30" x14ac:dyDescent="0.25">
      <c r="A118" s="15" t="s">
        <v>85</v>
      </c>
      <c r="B118" s="15">
        <v>580</v>
      </c>
      <c r="C118" s="15">
        <v>278</v>
      </c>
      <c r="D118" s="15">
        <v>34</v>
      </c>
      <c r="E118" s="15">
        <v>13</v>
      </c>
      <c r="F118" s="15">
        <v>580</v>
      </c>
      <c r="G118" s="15">
        <v>278</v>
      </c>
      <c r="H118" s="15">
        <v>34</v>
      </c>
      <c r="I118" s="15">
        <v>13</v>
      </c>
      <c r="J118" s="15" t="s">
        <v>84</v>
      </c>
      <c r="K118" s="15" t="s">
        <v>84</v>
      </c>
      <c r="L118" s="15" t="s">
        <v>84</v>
      </c>
      <c r="M118" s="15" t="s">
        <v>84</v>
      </c>
    </row>
    <row r="119" spans="1:13" ht="30" x14ac:dyDescent="0.25">
      <c r="A119" s="15" t="s">
        <v>86</v>
      </c>
      <c r="B119" s="15">
        <v>169</v>
      </c>
      <c r="C119" s="15">
        <v>62</v>
      </c>
      <c r="D119" s="15">
        <v>24</v>
      </c>
      <c r="E119" s="15">
        <v>8</v>
      </c>
      <c r="F119" s="15">
        <v>169</v>
      </c>
      <c r="G119" s="15">
        <v>62</v>
      </c>
      <c r="H119" s="15">
        <v>24</v>
      </c>
      <c r="I119" s="15">
        <v>8</v>
      </c>
      <c r="J119" s="15" t="s">
        <v>84</v>
      </c>
      <c r="K119" s="15" t="s">
        <v>84</v>
      </c>
      <c r="L119" s="15" t="s">
        <v>84</v>
      </c>
      <c r="M119" s="15" t="s">
        <v>84</v>
      </c>
    </row>
    <row r="120" spans="1:13" ht="45" x14ac:dyDescent="0.25">
      <c r="A120" s="15" t="s">
        <v>87</v>
      </c>
      <c r="B120" s="15">
        <v>55</v>
      </c>
      <c r="C120" s="15">
        <v>16</v>
      </c>
      <c r="D120" s="15">
        <v>18</v>
      </c>
      <c r="E120" s="15">
        <v>3</v>
      </c>
      <c r="F120" s="15">
        <v>55</v>
      </c>
      <c r="G120" s="15">
        <v>16</v>
      </c>
      <c r="H120" s="15">
        <v>18</v>
      </c>
      <c r="I120" s="15">
        <v>3</v>
      </c>
      <c r="J120" s="15" t="s">
        <v>84</v>
      </c>
      <c r="K120" s="15" t="s">
        <v>84</v>
      </c>
      <c r="L120" s="15" t="s">
        <v>84</v>
      </c>
      <c r="M120" s="15" t="s">
        <v>84</v>
      </c>
    </row>
    <row r="121" spans="1:13" ht="45" x14ac:dyDescent="0.25">
      <c r="A121" s="15" t="s">
        <v>153</v>
      </c>
      <c r="B121" s="15">
        <v>9</v>
      </c>
      <c r="C121" s="15">
        <v>7</v>
      </c>
      <c r="D121" s="15" t="s">
        <v>84</v>
      </c>
      <c r="E121" s="15" t="s">
        <v>84</v>
      </c>
      <c r="F121" s="15">
        <v>9</v>
      </c>
      <c r="G121" s="15">
        <v>7</v>
      </c>
      <c r="H121" s="15" t="s">
        <v>84</v>
      </c>
      <c r="I121" s="15" t="s">
        <v>84</v>
      </c>
      <c r="J121" s="15" t="s">
        <v>84</v>
      </c>
      <c r="K121" s="15" t="s">
        <v>84</v>
      </c>
      <c r="L121" s="15" t="s">
        <v>84</v>
      </c>
      <c r="M121" s="15" t="s">
        <v>84</v>
      </c>
    </row>
    <row r="122" spans="1:13" ht="60" x14ac:dyDescent="0.25">
      <c r="A122" s="15" t="s">
        <v>154</v>
      </c>
      <c r="B122" s="15">
        <v>11</v>
      </c>
      <c r="C122" s="15">
        <v>2</v>
      </c>
      <c r="D122" s="15">
        <v>1</v>
      </c>
      <c r="E122" s="15" t="s">
        <v>84</v>
      </c>
      <c r="F122" s="15">
        <v>11</v>
      </c>
      <c r="G122" s="15">
        <v>2</v>
      </c>
      <c r="H122" s="15">
        <v>1</v>
      </c>
      <c r="I122" s="15" t="s">
        <v>84</v>
      </c>
      <c r="J122" s="15" t="s">
        <v>84</v>
      </c>
      <c r="K122" s="15" t="s">
        <v>84</v>
      </c>
      <c r="L122" s="15" t="s">
        <v>84</v>
      </c>
      <c r="M122" s="15" t="s">
        <v>84</v>
      </c>
    </row>
    <row r="123" spans="1:13" ht="15" customHeight="1" x14ac:dyDescent="0.25">
      <c r="A123" s="207" t="s">
        <v>97</v>
      </c>
      <c r="B123" s="208"/>
      <c r="C123" s="208"/>
      <c r="D123" s="208"/>
      <c r="E123" s="208"/>
      <c r="F123" s="208"/>
      <c r="G123" s="208"/>
      <c r="H123" s="208"/>
      <c r="I123" s="208"/>
      <c r="J123" s="208"/>
      <c r="K123" s="208"/>
      <c r="L123" s="208"/>
      <c r="M123" s="209"/>
    </row>
    <row r="124" spans="1:13" x14ac:dyDescent="0.25">
      <c r="A124" s="207"/>
      <c r="B124" s="208"/>
      <c r="C124" s="208"/>
      <c r="D124" s="208"/>
      <c r="E124" s="208"/>
      <c r="F124" s="208"/>
      <c r="G124" s="208"/>
      <c r="H124" s="208"/>
      <c r="I124" s="208"/>
      <c r="J124" s="208"/>
      <c r="K124" s="208"/>
      <c r="L124" s="208"/>
      <c r="M124" s="209"/>
    </row>
    <row r="125" spans="1:13" x14ac:dyDescent="0.25">
      <c r="A125" s="15" t="s">
        <v>83</v>
      </c>
      <c r="B125" s="15">
        <v>1009</v>
      </c>
      <c r="C125" s="15">
        <v>477</v>
      </c>
      <c r="D125" s="15">
        <v>62</v>
      </c>
      <c r="E125" s="15">
        <v>21</v>
      </c>
      <c r="F125" s="15">
        <v>996</v>
      </c>
      <c r="G125" s="15">
        <v>472</v>
      </c>
      <c r="H125" s="15">
        <v>62</v>
      </c>
      <c r="I125" s="15">
        <v>21</v>
      </c>
      <c r="J125" s="15">
        <v>13</v>
      </c>
      <c r="K125" s="15">
        <v>5</v>
      </c>
      <c r="L125" s="15" t="s">
        <v>84</v>
      </c>
      <c r="M125" s="15" t="s">
        <v>84</v>
      </c>
    </row>
    <row r="126" spans="1:13" ht="30" x14ac:dyDescent="0.25">
      <c r="A126" s="15" t="s">
        <v>151</v>
      </c>
      <c r="B126" s="15">
        <v>370</v>
      </c>
      <c r="C126" s="15">
        <v>197</v>
      </c>
      <c r="D126" s="15">
        <v>1</v>
      </c>
      <c r="E126" s="15">
        <v>1</v>
      </c>
      <c r="F126" s="15">
        <v>370</v>
      </c>
      <c r="G126" s="15">
        <v>197</v>
      </c>
      <c r="H126" s="15">
        <v>1</v>
      </c>
      <c r="I126" s="15">
        <v>1</v>
      </c>
      <c r="J126" s="15" t="s">
        <v>84</v>
      </c>
      <c r="K126" s="15" t="s">
        <v>84</v>
      </c>
      <c r="L126" s="15" t="s">
        <v>84</v>
      </c>
      <c r="M126" s="15" t="s">
        <v>84</v>
      </c>
    </row>
    <row r="127" spans="1:13" ht="60" x14ac:dyDescent="0.25">
      <c r="A127" s="15" t="s">
        <v>152</v>
      </c>
      <c r="B127" s="15">
        <v>29</v>
      </c>
      <c r="C127" s="15">
        <v>17</v>
      </c>
      <c r="D127" s="15" t="s">
        <v>84</v>
      </c>
      <c r="E127" s="15" t="s">
        <v>84</v>
      </c>
      <c r="F127" s="15">
        <v>29</v>
      </c>
      <c r="G127" s="15">
        <v>17</v>
      </c>
      <c r="H127" s="15" t="s">
        <v>84</v>
      </c>
      <c r="I127" s="15" t="s">
        <v>84</v>
      </c>
      <c r="J127" s="15" t="s">
        <v>84</v>
      </c>
      <c r="K127" s="15" t="s">
        <v>84</v>
      </c>
      <c r="L127" s="15" t="s">
        <v>84</v>
      </c>
      <c r="M127" s="15" t="s">
        <v>84</v>
      </c>
    </row>
    <row r="128" spans="1:13" ht="30" x14ac:dyDescent="0.25">
      <c r="A128" s="15" t="s">
        <v>85</v>
      </c>
      <c r="B128" s="15">
        <v>431</v>
      </c>
      <c r="C128" s="15">
        <v>190</v>
      </c>
      <c r="D128" s="15">
        <v>30</v>
      </c>
      <c r="E128" s="15">
        <v>11</v>
      </c>
      <c r="F128" s="15">
        <v>426</v>
      </c>
      <c r="G128" s="15">
        <v>188</v>
      </c>
      <c r="H128" s="15">
        <v>30</v>
      </c>
      <c r="I128" s="15">
        <v>11</v>
      </c>
      <c r="J128" s="15">
        <v>5</v>
      </c>
      <c r="K128" s="15">
        <v>2</v>
      </c>
      <c r="L128" s="15" t="s">
        <v>84</v>
      </c>
      <c r="M128" s="15" t="s">
        <v>84</v>
      </c>
    </row>
    <row r="129" spans="1:13" ht="30" x14ac:dyDescent="0.25">
      <c r="A129" s="15" t="s">
        <v>86</v>
      </c>
      <c r="B129" s="15">
        <v>119</v>
      </c>
      <c r="C129" s="15">
        <v>51</v>
      </c>
      <c r="D129" s="15">
        <v>14</v>
      </c>
      <c r="E129" s="15">
        <v>7</v>
      </c>
      <c r="F129" s="15">
        <v>116</v>
      </c>
      <c r="G129" s="15">
        <v>50</v>
      </c>
      <c r="H129" s="15">
        <v>14</v>
      </c>
      <c r="I129" s="15">
        <v>7</v>
      </c>
      <c r="J129" s="15">
        <v>3</v>
      </c>
      <c r="K129" s="15">
        <v>1</v>
      </c>
      <c r="L129" s="15" t="s">
        <v>84</v>
      </c>
      <c r="M129" s="15" t="s">
        <v>84</v>
      </c>
    </row>
    <row r="130" spans="1:13" ht="45" x14ac:dyDescent="0.25">
      <c r="A130" s="15" t="s">
        <v>87</v>
      </c>
      <c r="B130" s="15">
        <v>60</v>
      </c>
      <c r="C130" s="15">
        <v>22</v>
      </c>
      <c r="D130" s="15">
        <v>17</v>
      </c>
      <c r="E130" s="15">
        <v>2</v>
      </c>
      <c r="F130" s="15">
        <v>55</v>
      </c>
      <c r="G130" s="15">
        <v>20</v>
      </c>
      <c r="H130" s="15">
        <v>17</v>
      </c>
      <c r="I130" s="15">
        <v>2</v>
      </c>
      <c r="J130" s="15">
        <v>5</v>
      </c>
      <c r="K130" s="15">
        <v>2</v>
      </c>
      <c r="L130" s="15" t="s">
        <v>84</v>
      </c>
      <c r="M130" s="15" t="s">
        <v>84</v>
      </c>
    </row>
    <row r="131" spans="1:13" ht="45" x14ac:dyDescent="0.25">
      <c r="A131" s="15" t="s">
        <v>153</v>
      </c>
      <c r="B131" s="15">
        <v>13</v>
      </c>
      <c r="C131" s="15">
        <v>7</v>
      </c>
      <c r="D131" s="15" t="s">
        <v>84</v>
      </c>
      <c r="E131" s="15" t="s">
        <v>84</v>
      </c>
      <c r="F131" s="15">
        <v>11</v>
      </c>
      <c r="G131" s="15">
        <v>6</v>
      </c>
      <c r="H131" s="15" t="s">
        <v>84</v>
      </c>
      <c r="I131" s="15" t="s">
        <v>84</v>
      </c>
      <c r="J131" s="15">
        <v>2</v>
      </c>
      <c r="K131" s="15">
        <v>1</v>
      </c>
      <c r="L131" s="15" t="s">
        <v>84</v>
      </c>
      <c r="M131" s="15" t="s">
        <v>84</v>
      </c>
    </row>
    <row r="132" spans="1:13" ht="60" x14ac:dyDescent="0.25">
      <c r="A132" s="15" t="s">
        <v>154</v>
      </c>
      <c r="B132" s="15">
        <v>8</v>
      </c>
      <c r="C132" s="15">
        <v>4</v>
      </c>
      <c r="D132" s="15" t="s">
        <v>84</v>
      </c>
      <c r="E132" s="15" t="s">
        <v>84</v>
      </c>
      <c r="F132" s="15">
        <v>8</v>
      </c>
      <c r="G132" s="15">
        <v>4</v>
      </c>
      <c r="H132" s="15" t="s">
        <v>84</v>
      </c>
      <c r="I132" s="15" t="s">
        <v>84</v>
      </c>
      <c r="J132" s="15" t="s">
        <v>84</v>
      </c>
      <c r="K132" s="15" t="s">
        <v>84</v>
      </c>
      <c r="L132" s="15" t="s">
        <v>84</v>
      </c>
      <c r="M132" s="15" t="s">
        <v>84</v>
      </c>
    </row>
    <row r="133" spans="1:13" ht="15" customHeight="1" x14ac:dyDescent="0.25">
      <c r="A133" s="207" t="s">
        <v>98</v>
      </c>
      <c r="B133" s="208"/>
      <c r="C133" s="208"/>
      <c r="D133" s="208"/>
      <c r="E133" s="208"/>
      <c r="F133" s="208"/>
      <c r="G133" s="208"/>
      <c r="H133" s="208"/>
      <c r="I133" s="208"/>
      <c r="J133" s="208"/>
      <c r="K133" s="208"/>
      <c r="L133" s="208"/>
      <c r="M133" s="209"/>
    </row>
    <row r="134" spans="1:13" x14ac:dyDescent="0.25">
      <c r="A134" s="207"/>
      <c r="B134" s="208"/>
      <c r="C134" s="208"/>
      <c r="D134" s="208"/>
      <c r="E134" s="208"/>
      <c r="F134" s="208"/>
      <c r="G134" s="208"/>
      <c r="H134" s="208"/>
      <c r="I134" s="208"/>
      <c r="J134" s="208"/>
      <c r="K134" s="208"/>
      <c r="L134" s="208"/>
      <c r="M134" s="209"/>
    </row>
    <row r="135" spans="1:13" x14ac:dyDescent="0.25">
      <c r="A135" s="15" t="s">
        <v>83</v>
      </c>
      <c r="B135" s="15">
        <v>2999</v>
      </c>
      <c r="C135" s="15">
        <v>1452</v>
      </c>
      <c r="D135" s="15">
        <v>235</v>
      </c>
      <c r="E135" s="15">
        <v>120</v>
      </c>
      <c r="F135" s="15">
        <v>2751</v>
      </c>
      <c r="G135" s="15">
        <v>1332</v>
      </c>
      <c r="H135" s="15">
        <v>193</v>
      </c>
      <c r="I135" s="15">
        <v>99</v>
      </c>
      <c r="J135" s="15">
        <v>248</v>
      </c>
      <c r="K135" s="15">
        <v>120</v>
      </c>
      <c r="L135" s="15">
        <v>42</v>
      </c>
      <c r="M135" s="15">
        <v>21</v>
      </c>
    </row>
    <row r="136" spans="1:13" ht="30" x14ac:dyDescent="0.25">
      <c r="A136" s="15" t="s">
        <v>151</v>
      </c>
      <c r="B136" s="15">
        <v>1216</v>
      </c>
      <c r="C136" s="15">
        <v>675</v>
      </c>
      <c r="D136" s="15">
        <v>57</v>
      </c>
      <c r="E136" s="15">
        <v>35</v>
      </c>
      <c r="F136" s="15">
        <v>1156</v>
      </c>
      <c r="G136" s="15">
        <v>635</v>
      </c>
      <c r="H136" s="15">
        <v>45</v>
      </c>
      <c r="I136" s="15">
        <v>29</v>
      </c>
      <c r="J136" s="15">
        <v>60</v>
      </c>
      <c r="K136" s="15">
        <v>40</v>
      </c>
      <c r="L136" s="15">
        <v>12</v>
      </c>
      <c r="M136" s="15">
        <v>6</v>
      </c>
    </row>
    <row r="137" spans="1:13" ht="60" x14ac:dyDescent="0.25">
      <c r="A137" s="15" t="s">
        <v>152</v>
      </c>
      <c r="B137" s="15">
        <v>81</v>
      </c>
      <c r="C137" s="15">
        <v>33</v>
      </c>
      <c r="D137" s="15">
        <v>3</v>
      </c>
      <c r="E137" s="15">
        <v>2</v>
      </c>
      <c r="F137" s="15">
        <v>80</v>
      </c>
      <c r="G137" s="15">
        <v>33</v>
      </c>
      <c r="H137" s="15">
        <v>2</v>
      </c>
      <c r="I137" s="15">
        <v>2</v>
      </c>
      <c r="J137" s="15">
        <v>1</v>
      </c>
      <c r="K137" s="15" t="s">
        <v>84</v>
      </c>
      <c r="L137" s="15">
        <v>1</v>
      </c>
      <c r="M137" s="15" t="s">
        <v>84</v>
      </c>
    </row>
    <row r="138" spans="1:13" ht="30" x14ac:dyDescent="0.25">
      <c r="A138" s="15" t="s">
        <v>85</v>
      </c>
      <c r="B138" s="15">
        <v>1119</v>
      </c>
      <c r="C138" s="15">
        <v>498</v>
      </c>
      <c r="D138" s="15">
        <v>68</v>
      </c>
      <c r="E138" s="15">
        <v>34</v>
      </c>
      <c r="F138" s="15">
        <v>1023</v>
      </c>
      <c r="G138" s="15">
        <v>451</v>
      </c>
      <c r="H138" s="15">
        <v>52</v>
      </c>
      <c r="I138" s="15">
        <v>25</v>
      </c>
      <c r="J138" s="15">
        <v>96</v>
      </c>
      <c r="K138" s="15">
        <v>47</v>
      </c>
      <c r="L138" s="15">
        <v>16</v>
      </c>
      <c r="M138" s="15">
        <v>9</v>
      </c>
    </row>
    <row r="139" spans="1:13" ht="30" x14ac:dyDescent="0.25">
      <c r="A139" s="15" t="s">
        <v>86</v>
      </c>
      <c r="B139" s="15">
        <v>370</v>
      </c>
      <c r="C139" s="15">
        <v>164</v>
      </c>
      <c r="D139" s="15">
        <v>46</v>
      </c>
      <c r="E139" s="15">
        <v>25</v>
      </c>
      <c r="F139" s="15">
        <v>310</v>
      </c>
      <c r="G139" s="15">
        <v>142</v>
      </c>
      <c r="H139" s="15">
        <v>42</v>
      </c>
      <c r="I139" s="15">
        <v>23</v>
      </c>
      <c r="J139" s="15">
        <v>60</v>
      </c>
      <c r="K139" s="15">
        <v>22</v>
      </c>
      <c r="L139" s="15">
        <v>4</v>
      </c>
      <c r="M139" s="15">
        <v>2</v>
      </c>
    </row>
    <row r="140" spans="1:13" ht="45" x14ac:dyDescent="0.25">
      <c r="A140" s="15" t="s">
        <v>87</v>
      </c>
      <c r="B140" s="15">
        <v>213</v>
      </c>
      <c r="C140" s="15">
        <v>82</v>
      </c>
      <c r="D140" s="15">
        <v>61</v>
      </c>
      <c r="E140" s="15">
        <v>24</v>
      </c>
      <c r="F140" s="15">
        <v>182</v>
      </c>
      <c r="G140" s="15">
        <v>71</v>
      </c>
      <c r="H140" s="15">
        <v>52</v>
      </c>
      <c r="I140" s="15">
        <v>20</v>
      </c>
      <c r="J140" s="15">
        <v>31</v>
      </c>
      <c r="K140" s="15">
        <v>11</v>
      </c>
      <c r="L140" s="15">
        <v>9</v>
      </c>
      <c r="M140" s="15">
        <v>4</v>
      </c>
    </row>
    <row r="141" spans="1:13" ht="45" x14ac:dyDescent="0.25">
      <c r="A141" s="15" t="s">
        <v>153</v>
      </c>
      <c r="B141" s="15">
        <v>51</v>
      </c>
      <c r="C141" s="15">
        <v>23</v>
      </c>
      <c r="D141" s="15">
        <v>5</v>
      </c>
      <c r="E141" s="15">
        <v>3</v>
      </c>
      <c r="F141" s="15">
        <v>40</v>
      </c>
      <c r="G141" s="15">
        <v>20</v>
      </c>
      <c r="H141" s="15">
        <v>5</v>
      </c>
      <c r="I141" s="15">
        <v>3</v>
      </c>
      <c r="J141" s="15">
        <v>11</v>
      </c>
      <c r="K141" s="15">
        <v>3</v>
      </c>
      <c r="L141" s="15" t="s">
        <v>84</v>
      </c>
      <c r="M141" s="15" t="s">
        <v>84</v>
      </c>
    </row>
    <row r="142" spans="1:13" ht="60" x14ac:dyDescent="0.25">
      <c r="A142" s="15" t="s">
        <v>154</v>
      </c>
      <c r="B142" s="15">
        <v>37</v>
      </c>
      <c r="C142" s="15">
        <v>12</v>
      </c>
      <c r="D142" s="15">
        <v>9</v>
      </c>
      <c r="E142" s="15">
        <v>4</v>
      </c>
      <c r="F142" s="15">
        <v>37</v>
      </c>
      <c r="G142" s="15">
        <v>12</v>
      </c>
      <c r="H142" s="15">
        <v>9</v>
      </c>
      <c r="I142" s="15">
        <v>4</v>
      </c>
      <c r="J142" s="15" t="s">
        <v>84</v>
      </c>
      <c r="K142" s="15" t="s">
        <v>84</v>
      </c>
      <c r="L142" s="15" t="s">
        <v>84</v>
      </c>
      <c r="M142" s="15" t="s">
        <v>84</v>
      </c>
    </row>
    <row r="143" spans="1:13" ht="15" customHeight="1" x14ac:dyDescent="0.25">
      <c r="A143" s="207" t="s">
        <v>99</v>
      </c>
      <c r="B143" s="208"/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M143" s="209"/>
    </row>
    <row r="144" spans="1:13" x14ac:dyDescent="0.25">
      <c r="A144" s="207"/>
      <c r="B144" s="208"/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M144" s="209"/>
    </row>
    <row r="145" spans="1:13" x14ac:dyDescent="0.25">
      <c r="A145" s="15" t="s">
        <v>83</v>
      </c>
      <c r="B145" s="15">
        <v>21034</v>
      </c>
      <c r="C145" s="15">
        <v>10165</v>
      </c>
      <c r="D145" s="15">
        <v>2183</v>
      </c>
      <c r="E145" s="15">
        <v>1002</v>
      </c>
      <c r="F145" s="15">
        <v>19377</v>
      </c>
      <c r="G145" s="15">
        <v>9356</v>
      </c>
      <c r="H145" s="15">
        <v>2099</v>
      </c>
      <c r="I145" s="15">
        <v>957</v>
      </c>
      <c r="J145" s="15">
        <v>1657</v>
      </c>
      <c r="K145" s="15">
        <v>809</v>
      </c>
      <c r="L145" s="15">
        <v>84</v>
      </c>
      <c r="M145" s="15">
        <v>45</v>
      </c>
    </row>
    <row r="146" spans="1:13" ht="30" x14ac:dyDescent="0.25">
      <c r="A146" s="15" t="s">
        <v>151</v>
      </c>
      <c r="B146" s="15">
        <v>7812</v>
      </c>
      <c r="C146" s="15">
        <v>4314</v>
      </c>
      <c r="D146" s="15">
        <v>251</v>
      </c>
      <c r="E146" s="15">
        <v>154</v>
      </c>
      <c r="F146" s="15">
        <v>7016</v>
      </c>
      <c r="G146" s="15">
        <v>3874</v>
      </c>
      <c r="H146" s="15">
        <v>233</v>
      </c>
      <c r="I146" s="15">
        <v>145</v>
      </c>
      <c r="J146" s="15">
        <v>796</v>
      </c>
      <c r="K146" s="15">
        <v>440</v>
      </c>
      <c r="L146" s="15">
        <v>18</v>
      </c>
      <c r="M146" s="15">
        <v>9</v>
      </c>
    </row>
    <row r="147" spans="1:13" ht="60" x14ac:dyDescent="0.25">
      <c r="A147" s="15" t="s">
        <v>152</v>
      </c>
      <c r="B147" s="15">
        <v>752</v>
      </c>
      <c r="C147" s="15">
        <v>357</v>
      </c>
      <c r="D147" s="15">
        <v>50</v>
      </c>
      <c r="E147" s="15">
        <v>22</v>
      </c>
      <c r="F147" s="15">
        <v>689</v>
      </c>
      <c r="G147" s="15">
        <v>330</v>
      </c>
      <c r="H147" s="15">
        <v>49</v>
      </c>
      <c r="I147" s="15">
        <v>21</v>
      </c>
      <c r="J147" s="15">
        <v>63</v>
      </c>
      <c r="K147" s="15">
        <v>27</v>
      </c>
      <c r="L147" s="15">
        <v>1</v>
      </c>
      <c r="M147" s="15">
        <v>1</v>
      </c>
    </row>
    <row r="148" spans="1:13" ht="30" x14ac:dyDescent="0.25">
      <c r="A148" s="15" t="s">
        <v>85</v>
      </c>
      <c r="B148" s="15">
        <v>8422</v>
      </c>
      <c r="C148" s="15">
        <v>3976</v>
      </c>
      <c r="D148" s="15">
        <v>926</v>
      </c>
      <c r="E148" s="15">
        <v>436</v>
      </c>
      <c r="F148" s="15">
        <v>7878</v>
      </c>
      <c r="G148" s="15">
        <v>3719</v>
      </c>
      <c r="H148" s="15">
        <v>879</v>
      </c>
      <c r="I148" s="15">
        <v>409</v>
      </c>
      <c r="J148" s="15">
        <v>544</v>
      </c>
      <c r="K148" s="15">
        <v>257</v>
      </c>
      <c r="L148" s="15">
        <v>47</v>
      </c>
      <c r="M148" s="15">
        <v>27</v>
      </c>
    </row>
    <row r="149" spans="1:13" ht="30" x14ac:dyDescent="0.25">
      <c r="A149" s="15" t="s">
        <v>86</v>
      </c>
      <c r="B149" s="15">
        <v>2637</v>
      </c>
      <c r="C149" s="15">
        <v>1002</v>
      </c>
      <c r="D149" s="15">
        <v>466</v>
      </c>
      <c r="E149" s="15">
        <v>202</v>
      </c>
      <c r="F149" s="15">
        <v>2481</v>
      </c>
      <c r="G149" s="15">
        <v>947</v>
      </c>
      <c r="H149" s="15">
        <v>458</v>
      </c>
      <c r="I149" s="15">
        <v>199</v>
      </c>
      <c r="J149" s="15">
        <v>156</v>
      </c>
      <c r="K149" s="15">
        <v>55</v>
      </c>
      <c r="L149" s="15">
        <v>8</v>
      </c>
      <c r="M149" s="15">
        <v>3</v>
      </c>
    </row>
    <row r="150" spans="1:13" ht="45" x14ac:dyDescent="0.25">
      <c r="A150" s="15" t="s">
        <v>87</v>
      </c>
      <c r="B150" s="15">
        <v>1411</v>
      </c>
      <c r="C150" s="15">
        <v>516</v>
      </c>
      <c r="D150" s="15">
        <v>490</v>
      </c>
      <c r="E150" s="15">
        <v>188</v>
      </c>
      <c r="F150" s="15">
        <v>1313</v>
      </c>
      <c r="G150" s="15">
        <v>486</v>
      </c>
      <c r="H150" s="15">
        <v>480</v>
      </c>
      <c r="I150" s="15">
        <v>183</v>
      </c>
      <c r="J150" s="15">
        <v>98</v>
      </c>
      <c r="K150" s="15">
        <v>30</v>
      </c>
      <c r="L150" s="15">
        <v>10</v>
      </c>
      <c r="M150" s="15">
        <v>5</v>
      </c>
    </row>
    <row r="151" spans="1:13" ht="45" x14ac:dyDescent="0.25">
      <c r="A151" s="15" t="s">
        <v>153</v>
      </c>
      <c r="B151" s="15">
        <v>253</v>
      </c>
      <c r="C151" s="15">
        <v>112</v>
      </c>
      <c r="D151" s="15">
        <v>54</v>
      </c>
      <c r="E151" s="15">
        <v>26</v>
      </c>
      <c r="F151" s="15">
        <v>230</v>
      </c>
      <c r="G151" s="15">
        <v>105</v>
      </c>
      <c r="H151" s="15">
        <v>51</v>
      </c>
      <c r="I151" s="15">
        <v>25</v>
      </c>
      <c r="J151" s="15">
        <v>23</v>
      </c>
      <c r="K151" s="15">
        <v>7</v>
      </c>
      <c r="L151" s="15">
        <v>3</v>
      </c>
      <c r="M151" s="15">
        <v>1</v>
      </c>
    </row>
    <row r="152" spans="1:13" ht="60" x14ac:dyDescent="0.25">
      <c r="A152" s="15" t="s">
        <v>154</v>
      </c>
      <c r="B152" s="15">
        <v>201</v>
      </c>
      <c r="C152" s="15">
        <v>67</v>
      </c>
      <c r="D152" s="15">
        <v>33</v>
      </c>
      <c r="E152" s="15">
        <v>11</v>
      </c>
      <c r="F152" s="15">
        <v>183</v>
      </c>
      <c r="G152" s="15">
        <v>59</v>
      </c>
      <c r="H152" s="15">
        <v>31</v>
      </c>
      <c r="I152" s="15">
        <v>9</v>
      </c>
      <c r="J152" s="15">
        <v>18</v>
      </c>
      <c r="K152" s="15">
        <v>8</v>
      </c>
      <c r="L152" s="15">
        <v>2</v>
      </c>
      <c r="M152" s="15">
        <v>2</v>
      </c>
    </row>
    <row r="153" spans="1:13" ht="15" customHeight="1" x14ac:dyDescent="0.25">
      <c r="A153" s="207" t="s">
        <v>100</v>
      </c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M153" s="209"/>
    </row>
    <row r="154" spans="1:13" x14ac:dyDescent="0.25">
      <c r="A154" s="207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M154" s="209"/>
    </row>
    <row r="155" spans="1:13" x14ac:dyDescent="0.25">
      <c r="A155" s="15" t="s">
        <v>83</v>
      </c>
      <c r="B155" s="15">
        <v>11195</v>
      </c>
      <c r="C155" s="15">
        <v>5375</v>
      </c>
      <c r="D155" s="15">
        <v>1311</v>
      </c>
      <c r="E155" s="15">
        <v>587</v>
      </c>
      <c r="F155" s="15">
        <v>10480</v>
      </c>
      <c r="G155" s="15">
        <v>5025</v>
      </c>
      <c r="H155" s="15">
        <v>1263</v>
      </c>
      <c r="I155" s="15">
        <v>557</v>
      </c>
      <c r="J155" s="15">
        <v>715</v>
      </c>
      <c r="K155" s="15">
        <v>350</v>
      </c>
      <c r="L155" s="15">
        <v>48</v>
      </c>
      <c r="M155" s="15">
        <v>30</v>
      </c>
    </row>
    <row r="156" spans="1:13" ht="30" x14ac:dyDescent="0.25">
      <c r="A156" s="15" t="s">
        <v>151</v>
      </c>
      <c r="B156" s="15">
        <v>4582</v>
      </c>
      <c r="C156" s="15">
        <v>2485</v>
      </c>
      <c r="D156" s="15">
        <v>165</v>
      </c>
      <c r="E156" s="15">
        <v>97</v>
      </c>
      <c r="F156" s="15">
        <v>4297</v>
      </c>
      <c r="G156" s="15">
        <v>2319</v>
      </c>
      <c r="H156" s="15">
        <v>163</v>
      </c>
      <c r="I156" s="15">
        <v>95</v>
      </c>
      <c r="J156" s="15">
        <v>285</v>
      </c>
      <c r="K156" s="15">
        <v>166</v>
      </c>
      <c r="L156" s="15">
        <v>2</v>
      </c>
      <c r="M156" s="15">
        <v>2</v>
      </c>
    </row>
    <row r="157" spans="1:13" ht="60" x14ac:dyDescent="0.25">
      <c r="A157" s="15" t="s">
        <v>152</v>
      </c>
      <c r="B157" s="15">
        <v>484</v>
      </c>
      <c r="C157" s="15">
        <v>230</v>
      </c>
      <c r="D157" s="15">
        <v>33</v>
      </c>
      <c r="E157" s="15">
        <v>14</v>
      </c>
      <c r="F157" s="15">
        <v>451</v>
      </c>
      <c r="G157" s="15">
        <v>213</v>
      </c>
      <c r="H157" s="15">
        <v>33</v>
      </c>
      <c r="I157" s="15">
        <v>14</v>
      </c>
      <c r="J157" s="15">
        <v>33</v>
      </c>
      <c r="K157" s="15">
        <v>17</v>
      </c>
      <c r="L157" s="15" t="s">
        <v>84</v>
      </c>
      <c r="M157" s="15" t="s">
        <v>84</v>
      </c>
    </row>
    <row r="158" spans="1:13" ht="30" x14ac:dyDescent="0.25">
      <c r="A158" s="15" t="s">
        <v>85</v>
      </c>
      <c r="B158" s="15">
        <v>4157</v>
      </c>
      <c r="C158" s="15">
        <v>1921</v>
      </c>
      <c r="D158" s="15">
        <v>579</v>
      </c>
      <c r="E158" s="15">
        <v>264</v>
      </c>
      <c r="F158" s="15">
        <v>3882</v>
      </c>
      <c r="G158" s="15">
        <v>1795</v>
      </c>
      <c r="H158" s="15">
        <v>546</v>
      </c>
      <c r="I158" s="15">
        <v>243</v>
      </c>
      <c r="J158" s="15">
        <v>275</v>
      </c>
      <c r="K158" s="15">
        <v>126</v>
      </c>
      <c r="L158" s="15">
        <v>33</v>
      </c>
      <c r="M158" s="15">
        <v>21</v>
      </c>
    </row>
    <row r="159" spans="1:13" ht="30" x14ac:dyDescent="0.25">
      <c r="A159" s="15" t="s">
        <v>86</v>
      </c>
      <c r="B159" s="15">
        <v>1312</v>
      </c>
      <c r="C159" s="15">
        <v>510</v>
      </c>
      <c r="D159" s="15">
        <v>275</v>
      </c>
      <c r="E159" s="15">
        <v>119</v>
      </c>
      <c r="F159" s="15">
        <v>1239</v>
      </c>
      <c r="G159" s="15">
        <v>483</v>
      </c>
      <c r="H159" s="15">
        <v>270</v>
      </c>
      <c r="I159" s="15">
        <v>117</v>
      </c>
      <c r="J159" s="15">
        <v>73</v>
      </c>
      <c r="K159" s="15">
        <v>27</v>
      </c>
      <c r="L159" s="15">
        <v>5</v>
      </c>
      <c r="M159" s="15">
        <v>2</v>
      </c>
    </row>
    <row r="160" spans="1:13" ht="45" x14ac:dyDescent="0.25">
      <c r="A160" s="15" t="s">
        <v>87</v>
      </c>
      <c r="B160" s="15">
        <v>660</v>
      </c>
      <c r="C160" s="15">
        <v>229</v>
      </c>
      <c r="D160" s="15">
        <v>259</v>
      </c>
      <c r="E160" s="15">
        <v>93</v>
      </c>
      <c r="F160" s="15">
        <v>611</v>
      </c>
      <c r="G160" s="15">
        <v>215</v>
      </c>
      <c r="H160" s="15">
        <v>251</v>
      </c>
      <c r="I160" s="15">
        <v>88</v>
      </c>
      <c r="J160" s="15">
        <v>49</v>
      </c>
      <c r="K160" s="15">
        <v>14</v>
      </c>
      <c r="L160" s="15">
        <v>8</v>
      </c>
      <c r="M160" s="15">
        <v>5</v>
      </c>
    </row>
    <row r="161" spans="1:13" ht="45" x14ac:dyDescent="0.25">
      <c r="A161" s="15" t="s">
        <v>153</v>
      </c>
      <c r="B161" s="15">
        <v>106</v>
      </c>
      <c r="C161" s="15">
        <v>41</v>
      </c>
      <c r="D161" s="15">
        <v>30</v>
      </c>
      <c r="E161" s="15">
        <v>14</v>
      </c>
      <c r="F161" s="15">
        <v>92</v>
      </c>
      <c r="G161" s="15">
        <v>36</v>
      </c>
      <c r="H161" s="15">
        <v>27</v>
      </c>
      <c r="I161" s="15">
        <v>13</v>
      </c>
      <c r="J161" s="15">
        <v>14</v>
      </c>
      <c r="K161" s="15">
        <v>5</v>
      </c>
      <c r="L161" s="15">
        <v>3</v>
      </c>
      <c r="M161" s="15">
        <v>1</v>
      </c>
    </row>
    <row r="162" spans="1:13" ht="60" x14ac:dyDescent="0.25">
      <c r="A162" s="15" t="s">
        <v>154</v>
      </c>
      <c r="B162" s="15">
        <v>102</v>
      </c>
      <c r="C162" s="15">
        <v>31</v>
      </c>
      <c r="D162" s="15">
        <v>24</v>
      </c>
      <c r="E162" s="15">
        <v>9</v>
      </c>
      <c r="F162" s="15">
        <v>96</v>
      </c>
      <c r="G162" s="15">
        <v>29</v>
      </c>
      <c r="H162" s="15">
        <v>22</v>
      </c>
      <c r="I162" s="15">
        <v>7</v>
      </c>
      <c r="J162" s="15">
        <v>6</v>
      </c>
      <c r="K162" s="15">
        <v>2</v>
      </c>
      <c r="L162" s="15">
        <v>2</v>
      </c>
      <c r="M162" s="15">
        <v>2</v>
      </c>
    </row>
    <row r="163" spans="1:13" ht="15" customHeight="1" x14ac:dyDescent="0.25">
      <c r="A163" s="207" t="s">
        <v>101</v>
      </c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M163" s="209"/>
    </row>
    <row r="164" spans="1:13" x14ac:dyDescent="0.25">
      <c r="A164" s="207"/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M164" s="209"/>
    </row>
    <row r="165" spans="1:13" x14ac:dyDescent="0.25">
      <c r="A165" s="15" t="s">
        <v>83</v>
      </c>
      <c r="B165" s="15">
        <v>4805</v>
      </c>
      <c r="C165" s="15">
        <v>2313</v>
      </c>
      <c r="D165" s="15">
        <v>638</v>
      </c>
      <c r="E165" s="15">
        <v>308</v>
      </c>
      <c r="F165" s="15">
        <v>4245</v>
      </c>
      <c r="G165" s="15">
        <v>2042</v>
      </c>
      <c r="H165" s="15">
        <v>595</v>
      </c>
      <c r="I165" s="15">
        <v>282</v>
      </c>
      <c r="J165" s="15">
        <v>560</v>
      </c>
      <c r="K165" s="15">
        <v>271</v>
      </c>
      <c r="L165" s="15">
        <v>43</v>
      </c>
      <c r="M165" s="15">
        <v>26</v>
      </c>
    </row>
    <row r="166" spans="1:13" ht="30" x14ac:dyDescent="0.25">
      <c r="A166" s="15" t="s">
        <v>151</v>
      </c>
      <c r="B166" s="15">
        <v>2150</v>
      </c>
      <c r="C166" s="15">
        <v>1179</v>
      </c>
      <c r="D166" s="15">
        <v>102</v>
      </c>
      <c r="E166" s="15">
        <v>63</v>
      </c>
      <c r="F166" s="15">
        <v>1907</v>
      </c>
      <c r="G166" s="15">
        <v>1040</v>
      </c>
      <c r="H166" s="15">
        <v>100</v>
      </c>
      <c r="I166" s="15">
        <v>61</v>
      </c>
      <c r="J166" s="15">
        <v>243</v>
      </c>
      <c r="K166" s="15">
        <v>139</v>
      </c>
      <c r="L166" s="15">
        <v>2</v>
      </c>
      <c r="M166" s="15">
        <v>2</v>
      </c>
    </row>
    <row r="167" spans="1:13" ht="60" x14ac:dyDescent="0.25">
      <c r="A167" s="15" t="s">
        <v>152</v>
      </c>
      <c r="B167" s="15">
        <v>248</v>
      </c>
      <c r="C167" s="15">
        <v>109</v>
      </c>
      <c r="D167" s="15">
        <v>25</v>
      </c>
      <c r="E167" s="15">
        <v>8</v>
      </c>
      <c r="F167" s="15">
        <v>224</v>
      </c>
      <c r="G167" s="15">
        <v>98</v>
      </c>
      <c r="H167" s="15">
        <v>25</v>
      </c>
      <c r="I167" s="15">
        <v>8</v>
      </c>
      <c r="J167" s="15">
        <v>24</v>
      </c>
      <c r="K167" s="15">
        <v>11</v>
      </c>
      <c r="L167" s="15" t="s">
        <v>84</v>
      </c>
      <c r="M167" s="15" t="s">
        <v>84</v>
      </c>
    </row>
    <row r="168" spans="1:13" ht="30" x14ac:dyDescent="0.25">
      <c r="A168" s="15" t="s">
        <v>85</v>
      </c>
      <c r="B168" s="15">
        <v>1480</v>
      </c>
      <c r="C168" s="15">
        <v>673</v>
      </c>
      <c r="D168" s="15">
        <v>251</v>
      </c>
      <c r="E168" s="15">
        <v>125</v>
      </c>
      <c r="F168" s="15">
        <v>1277</v>
      </c>
      <c r="G168" s="15">
        <v>578</v>
      </c>
      <c r="H168" s="15">
        <v>219</v>
      </c>
      <c r="I168" s="15">
        <v>105</v>
      </c>
      <c r="J168" s="15">
        <v>203</v>
      </c>
      <c r="K168" s="15">
        <v>95</v>
      </c>
      <c r="L168" s="15">
        <v>32</v>
      </c>
      <c r="M168" s="15">
        <v>20</v>
      </c>
    </row>
    <row r="169" spans="1:13" ht="30" x14ac:dyDescent="0.25">
      <c r="A169" s="15" t="s">
        <v>86</v>
      </c>
      <c r="B169" s="15">
        <v>607</v>
      </c>
      <c r="C169" s="15">
        <v>235</v>
      </c>
      <c r="D169" s="15">
        <v>125</v>
      </c>
      <c r="E169" s="15">
        <v>57</v>
      </c>
      <c r="F169" s="15">
        <v>555</v>
      </c>
      <c r="G169" s="15">
        <v>219</v>
      </c>
      <c r="H169" s="15">
        <v>122</v>
      </c>
      <c r="I169" s="15">
        <v>56</v>
      </c>
      <c r="J169" s="15">
        <v>52</v>
      </c>
      <c r="K169" s="15">
        <v>16</v>
      </c>
      <c r="L169" s="15">
        <v>3</v>
      </c>
      <c r="M169" s="15">
        <v>1</v>
      </c>
    </row>
    <row r="170" spans="1:13" ht="45" x14ac:dyDescent="0.25">
      <c r="A170" s="15" t="s">
        <v>87</v>
      </c>
      <c r="B170" s="15">
        <v>320</v>
      </c>
      <c r="C170" s="15">
        <v>117</v>
      </c>
      <c r="D170" s="15">
        <v>135</v>
      </c>
      <c r="E170" s="15">
        <v>55</v>
      </c>
      <c r="F170" s="15">
        <v>282</v>
      </c>
      <c r="G170" s="15">
        <v>107</v>
      </c>
      <c r="H170" s="15">
        <v>129</v>
      </c>
      <c r="I170" s="15">
        <v>52</v>
      </c>
      <c r="J170" s="15">
        <v>38</v>
      </c>
      <c r="K170" s="15">
        <v>10</v>
      </c>
      <c r="L170" s="15">
        <v>6</v>
      </c>
      <c r="M170" s="15">
        <v>3</v>
      </c>
    </row>
    <row r="171" spans="1:13" ht="45" x14ac:dyDescent="0.25">
      <c r="A171" s="15" t="s">
        <v>153</v>
      </c>
      <c r="B171" s="15">
        <v>44</v>
      </c>
      <c r="C171" s="15">
        <v>19</v>
      </c>
      <c r="D171" s="15">
        <v>17</v>
      </c>
      <c r="E171" s="15">
        <v>9</v>
      </c>
      <c r="F171" s="15">
        <v>33</v>
      </c>
      <c r="G171" s="15">
        <v>15</v>
      </c>
      <c r="H171" s="15">
        <v>14</v>
      </c>
      <c r="I171" s="15">
        <v>8</v>
      </c>
      <c r="J171" s="15">
        <v>11</v>
      </c>
      <c r="K171" s="15">
        <v>4</v>
      </c>
      <c r="L171" s="15">
        <v>3</v>
      </c>
      <c r="M171" s="15">
        <v>1</v>
      </c>
    </row>
    <row r="172" spans="1:13" ht="60" x14ac:dyDescent="0.25">
      <c r="A172" s="15" t="s">
        <v>154</v>
      </c>
      <c r="B172" s="15">
        <v>34</v>
      </c>
      <c r="C172" s="15">
        <v>9</v>
      </c>
      <c r="D172" s="15">
        <v>13</v>
      </c>
      <c r="E172" s="15">
        <v>5</v>
      </c>
      <c r="F172" s="15">
        <v>33</v>
      </c>
      <c r="G172" s="15">
        <v>9</v>
      </c>
      <c r="H172" s="15">
        <v>13</v>
      </c>
      <c r="I172" s="15">
        <v>5</v>
      </c>
      <c r="J172" s="15">
        <v>1</v>
      </c>
      <c r="K172" s="15" t="s">
        <v>84</v>
      </c>
      <c r="L172" s="15" t="s">
        <v>84</v>
      </c>
      <c r="M172" s="15" t="s">
        <v>84</v>
      </c>
    </row>
    <row r="173" spans="1:13" ht="15" customHeight="1" x14ac:dyDescent="0.25">
      <c r="A173" s="207" t="s">
        <v>102</v>
      </c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M173" s="209"/>
    </row>
    <row r="174" spans="1:13" x14ac:dyDescent="0.25">
      <c r="A174" s="207"/>
      <c r="B174" s="208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M174" s="209"/>
    </row>
    <row r="175" spans="1:13" x14ac:dyDescent="0.25">
      <c r="A175" s="15" t="s">
        <v>83</v>
      </c>
      <c r="B175" s="15">
        <v>2253</v>
      </c>
      <c r="C175" s="15">
        <v>1044</v>
      </c>
      <c r="D175" s="15">
        <v>150</v>
      </c>
      <c r="E175" s="15">
        <v>62</v>
      </c>
      <c r="F175" s="15">
        <v>2080</v>
      </c>
      <c r="G175" s="15">
        <v>977</v>
      </c>
      <c r="H175" s="15">
        <v>147</v>
      </c>
      <c r="I175" s="15">
        <v>60</v>
      </c>
      <c r="J175" s="15">
        <v>173</v>
      </c>
      <c r="K175" s="15">
        <v>67</v>
      </c>
      <c r="L175" s="15">
        <v>3</v>
      </c>
      <c r="M175" s="15">
        <v>2</v>
      </c>
    </row>
    <row r="176" spans="1:13" ht="30" x14ac:dyDescent="0.25">
      <c r="A176" s="15" t="s">
        <v>151</v>
      </c>
      <c r="B176" s="15">
        <v>660</v>
      </c>
      <c r="C176" s="15">
        <v>374</v>
      </c>
      <c r="D176" s="15">
        <v>19</v>
      </c>
      <c r="E176" s="15">
        <v>14</v>
      </c>
      <c r="F176" s="15">
        <v>574</v>
      </c>
      <c r="G176" s="15">
        <v>333</v>
      </c>
      <c r="H176" s="15">
        <v>19</v>
      </c>
      <c r="I176" s="15">
        <v>14</v>
      </c>
      <c r="J176" s="15">
        <v>86</v>
      </c>
      <c r="K176" s="15">
        <v>41</v>
      </c>
      <c r="L176" s="15" t="s">
        <v>84</v>
      </c>
      <c r="M176" s="15" t="s">
        <v>84</v>
      </c>
    </row>
    <row r="177" spans="1:13" ht="60" x14ac:dyDescent="0.25">
      <c r="A177" s="15" t="s">
        <v>152</v>
      </c>
      <c r="B177" s="15">
        <v>49</v>
      </c>
      <c r="C177" s="15">
        <v>20</v>
      </c>
      <c r="D177" s="15">
        <v>1</v>
      </c>
      <c r="E177" s="15">
        <v>1</v>
      </c>
      <c r="F177" s="15">
        <v>40</v>
      </c>
      <c r="G177" s="15">
        <v>16</v>
      </c>
      <c r="H177" s="15">
        <v>1</v>
      </c>
      <c r="I177" s="15">
        <v>1</v>
      </c>
      <c r="J177" s="15">
        <v>9</v>
      </c>
      <c r="K177" s="15">
        <v>4</v>
      </c>
      <c r="L177" s="15" t="s">
        <v>84</v>
      </c>
      <c r="M177" s="15" t="s">
        <v>84</v>
      </c>
    </row>
    <row r="178" spans="1:13" ht="30" x14ac:dyDescent="0.25">
      <c r="A178" s="15" t="s">
        <v>85</v>
      </c>
      <c r="B178" s="15">
        <v>1129</v>
      </c>
      <c r="C178" s="15">
        <v>526</v>
      </c>
      <c r="D178" s="15">
        <v>54</v>
      </c>
      <c r="E178" s="15">
        <v>26</v>
      </c>
      <c r="F178" s="15">
        <v>1073</v>
      </c>
      <c r="G178" s="15">
        <v>507</v>
      </c>
      <c r="H178" s="15">
        <v>51</v>
      </c>
      <c r="I178" s="15">
        <v>24</v>
      </c>
      <c r="J178" s="15">
        <v>56</v>
      </c>
      <c r="K178" s="15">
        <v>19</v>
      </c>
      <c r="L178" s="15">
        <v>3</v>
      </c>
      <c r="M178" s="15">
        <v>2</v>
      </c>
    </row>
    <row r="179" spans="1:13" ht="30" x14ac:dyDescent="0.25">
      <c r="A179" s="15" t="s">
        <v>86</v>
      </c>
      <c r="B179" s="15">
        <v>292</v>
      </c>
      <c r="C179" s="15">
        <v>84</v>
      </c>
      <c r="D179" s="15">
        <v>33</v>
      </c>
      <c r="E179" s="15">
        <v>8</v>
      </c>
      <c r="F179" s="15">
        <v>281</v>
      </c>
      <c r="G179" s="15">
        <v>84</v>
      </c>
      <c r="H179" s="15">
        <v>33</v>
      </c>
      <c r="I179" s="15">
        <v>8</v>
      </c>
      <c r="J179" s="15">
        <v>11</v>
      </c>
      <c r="K179" s="15" t="s">
        <v>84</v>
      </c>
      <c r="L179" s="15" t="s">
        <v>84</v>
      </c>
      <c r="M179" s="15" t="s">
        <v>84</v>
      </c>
    </row>
    <row r="180" spans="1:13" ht="45" x14ac:dyDescent="0.25">
      <c r="A180" s="15" t="s">
        <v>87</v>
      </c>
      <c r="B180" s="15">
        <v>123</v>
      </c>
      <c r="C180" s="15">
        <v>40</v>
      </c>
      <c r="D180" s="15">
        <v>43</v>
      </c>
      <c r="E180" s="15">
        <v>13</v>
      </c>
      <c r="F180" s="15">
        <v>112</v>
      </c>
      <c r="G180" s="15">
        <v>37</v>
      </c>
      <c r="H180" s="15">
        <v>43</v>
      </c>
      <c r="I180" s="15">
        <v>13</v>
      </c>
      <c r="J180" s="15">
        <v>11</v>
      </c>
      <c r="K180" s="15">
        <v>3</v>
      </c>
      <c r="L180" s="15" t="s">
        <v>84</v>
      </c>
      <c r="M180" s="15" t="s">
        <v>84</v>
      </c>
    </row>
    <row r="181" spans="1:13" ht="45" x14ac:dyDescent="0.25">
      <c r="A181" s="15" t="s">
        <v>153</v>
      </c>
      <c r="B181" s="15">
        <v>36</v>
      </c>
      <c r="C181" s="15">
        <v>16</v>
      </c>
      <c r="D181" s="15">
        <v>4</v>
      </c>
      <c r="E181" s="15">
        <v>1</v>
      </c>
      <c r="F181" s="15">
        <v>34</v>
      </c>
      <c r="G181" s="15">
        <v>16</v>
      </c>
      <c r="H181" s="15">
        <v>4</v>
      </c>
      <c r="I181" s="15">
        <v>1</v>
      </c>
      <c r="J181" s="15">
        <v>2</v>
      </c>
      <c r="K181" s="15" t="s">
        <v>84</v>
      </c>
      <c r="L181" s="15" t="s">
        <v>84</v>
      </c>
      <c r="M181" s="15" t="s">
        <v>84</v>
      </c>
    </row>
    <row r="182" spans="1:13" ht="60" x14ac:dyDescent="0.25">
      <c r="A182" s="15" t="s">
        <v>154</v>
      </c>
      <c r="B182" s="15">
        <v>3</v>
      </c>
      <c r="C182" s="15" t="s">
        <v>84</v>
      </c>
      <c r="D182" s="15">
        <v>1</v>
      </c>
      <c r="E182" s="15" t="s">
        <v>84</v>
      </c>
      <c r="F182" s="15">
        <v>3</v>
      </c>
      <c r="G182" s="15" t="s">
        <v>84</v>
      </c>
      <c r="H182" s="15">
        <v>1</v>
      </c>
      <c r="I182" s="15" t="s">
        <v>84</v>
      </c>
      <c r="J182" s="15" t="s">
        <v>84</v>
      </c>
      <c r="K182" s="15" t="s">
        <v>84</v>
      </c>
      <c r="L182" s="15" t="s">
        <v>84</v>
      </c>
      <c r="M182" s="15" t="s">
        <v>84</v>
      </c>
    </row>
    <row r="183" spans="1:13" ht="15" customHeight="1" x14ac:dyDescent="0.25">
      <c r="A183" s="207" t="s">
        <v>103</v>
      </c>
      <c r="B183" s="208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M183" s="209"/>
    </row>
    <row r="184" spans="1:13" x14ac:dyDescent="0.25">
      <c r="A184" s="207"/>
      <c r="B184" s="208"/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M184" s="209"/>
    </row>
    <row r="185" spans="1:13" x14ac:dyDescent="0.25">
      <c r="A185" s="15" t="s">
        <v>83</v>
      </c>
      <c r="B185" s="15">
        <v>1392</v>
      </c>
      <c r="C185" s="15">
        <v>701</v>
      </c>
      <c r="D185" s="15">
        <v>171</v>
      </c>
      <c r="E185" s="15">
        <v>88</v>
      </c>
      <c r="F185" s="15">
        <v>1392</v>
      </c>
      <c r="G185" s="15">
        <v>701</v>
      </c>
      <c r="H185" s="15">
        <v>171</v>
      </c>
      <c r="I185" s="15">
        <v>88</v>
      </c>
      <c r="J185" s="15" t="s">
        <v>84</v>
      </c>
      <c r="K185" s="15" t="s">
        <v>84</v>
      </c>
      <c r="L185" s="15" t="s">
        <v>84</v>
      </c>
      <c r="M185" s="15" t="s">
        <v>84</v>
      </c>
    </row>
    <row r="186" spans="1:13" ht="30" x14ac:dyDescent="0.25">
      <c r="A186" s="15" t="s">
        <v>151</v>
      </c>
      <c r="B186" s="15">
        <v>413</v>
      </c>
      <c r="C186" s="15">
        <v>233</v>
      </c>
      <c r="D186" s="15">
        <v>13</v>
      </c>
      <c r="E186" s="15">
        <v>7</v>
      </c>
      <c r="F186" s="15">
        <v>413</v>
      </c>
      <c r="G186" s="15">
        <v>233</v>
      </c>
      <c r="H186" s="15">
        <v>13</v>
      </c>
      <c r="I186" s="15">
        <v>7</v>
      </c>
      <c r="J186" s="15" t="s">
        <v>84</v>
      </c>
      <c r="K186" s="15" t="s">
        <v>84</v>
      </c>
      <c r="L186" s="15" t="s">
        <v>84</v>
      </c>
      <c r="M186" s="15" t="s">
        <v>84</v>
      </c>
    </row>
    <row r="187" spans="1:13" ht="60" x14ac:dyDescent="0.25">
      <c r="A187" s="15" t="s">
        <v>152</v>
      </c>
      <c r="B187" s="15">
        <v>30</v>
      </c>
      <c r="C187" s="15">
        <v>18</v>
      </c>
      <c r="D187" s="15">
        <v>3</v>
      </c>
      <c r="E187" s="15">
        <v>1</v>
      </c>
      <c r="F187" s="15">
        <v>30</v>
      </c>
      <c r="G187" s="15">
        <v>18</v>
      </c>
      <c r="H187" s="15">
        <v>3</v>
      </c>
      <c r="I187" s="15">
        <v>1</v>
      </c>
      <c r="J187" s="15" t="s">
        <v>84</v>
      </c>
      <c r="K187" s="15" t="s">
        <v>84</v>
      </c>
      <c r="L187" s="15" t="s">
        <v>84</v>
      </c>
      <c r="M187" s="15" t="s">
        <v>84</v>
      </c>
    </row>
    <row r="188" spans="1:13" ht="30" x14ac:dyDescent="0.25">
      <c r="A188" s="15" t="s">
        <v>85</v>
      </c>
      <c r="B188" s="15">
        <v>616</v>
      </c>
      <c r="C188" s="15">
        <v>308</v>
      </c>
      <c r="D188" s="15">
        <v>75</v>
      </c>
      <c r="E188" s="15">
        <v>36</v>
      </c>
      <c r="F188" s="15">
        <v>616</v>
      </c>
      <c r="G188" s="15">
        <v>308</v>
      </c>
      <c r="H188" s="15">
        <v>75</v>
      </c>
      <c r="I188" s="15">
        <v>36</v>
      </c>
      <c r="J188" s="15" t="s">
        <v>84</v>
      </c>
      <c r="K188" s="15" t="s">
        <v>84</v>
      </c>
      <c r="L188" s="15" t="s">
        <v>84</v>
      </c>
      <c r="M188" s="15" t="s">
        <v>84</v>
      </c>
    </row>
    <row r="189" spans="1:13" ht="30" x14ac:dyDescent="0.25">
      <c r="A189" s="15" t="s">
        <v>86</v>
      </c>
      <c r="B189" s="15">
        <v>186</v>
      </c>
      <c r="C189" s="15">
        <v>81</v>
      </c>
      <c r="D189" s="15">
        <v>26</v>
      </c>
      <c r="E189" s="15">
        <v>15</v>
      </c>
      <c r="F189" s="15">
        <v>186</v>
      </c>
      <c r="G189" s="15">
        <v>81</v>
      </c>
      <c r="H189" s="15">
        <v>26</v>
      </c>
      <c r="I189" s="15">
        <v>15</v>
      </c>
      <c r="J189" s="15" t="s">
        <v>84</v>
      </c>
      <c r="K189" s="15" t="s">
        <v>84</v>
      </c>
      <c r="L189" s="15" t="s">
        <v>84</v>
      </c>
      <c r="M189" s="15" t="s">
        <v>84</v>
      </c>
    </row>
    <row r="190" spans="1:13" ht="45" x14ac:dyDescent="0.25">
      <c r="A190" s="15" t="s">
        <v>87</v>
      </c>
      <c r="B190" s="15">
        <v>147</v>
      </c>
      <c r="C190" s="15">
        <v>61</v>
      </c>
      <c r="D190" s="15">
        <v>54</v>
      </c>
      <c r="E190" s="15">
        <v>29</v>
      </c>
      <c r="F190" s="15">
        <v>147</v>
      </c>
      <c r="G190" s="15">
        <v>61</v>
      </c>
      <c r="H190" s="15">
        <v>54</v>
      </c>
      <c r="I190" s="15">
        <v>29</v>
      </c>
      <c r="J190" s="15" t="s">
        <v>84</v>
      </c>
      <c r="K190" s="15" t="s">
        <v>84</v>
      </c>
      <c r="L190" s="15" t="s">
        <v>84</v>
      </c>
      <c r="M190" s="15" t="s">
        <v>84</v>
      </c>
    </row>
    <row r="191" spans="1:13" ht="45" x14ac:dyDescent="0.25">
      <c r="A191" s="15" t="s">
        <v>153</v>
      </c>
      <c r="B191" s="15">
        <v>20</v>
      </c>
      <c r="C191" s="15">
        <v>8</v>
      </c>
      <c r="D191" s="15">
        <v>7</v>
      </c>
      <c r="E191" s="15">
        <v>2</v>
      </c>
      <c r="F191" s="15">
        <v>20</v>
      </c>
      <c r="G191" s="15">
        <v>8</v>
      </c>
      <c r="H191" s="15">
        <v>7</v>
      </c>
      <c r="I191" s="15">
        <v>2</v>
      </c>
      <c r="J191" s="15" t="s">
        <v>84</v>
      </c>
      <c r="K191" s="15" t="s">
        <v>84</v>
      </c>
      <c r="L191" s="15" t="s">
        <v>84</v>
      </c>
      <c r="M191" s="15" t="s">
        <v>84</v>
      </c>
    </row>
    <row r="192" spans="1:13" ht="60" x14ac:dyDescent="0.25">
      <c r="A192" s="15" t="s">
        <v>154</v>
      </c>
      <c r="B192" s="15">
        <v>17</v>
      </c>
      <c r="C192" s="15">
        <v>6</v>
      </c>
      <c r="D192" s="15">
        <v>2</v>
      </c>
      <c r="E192" s="15">
        <v>1</v>
      </c>
      <c r="F192" s="15">
        <v>17</v>
      </c>
      <c r="G192" s="15">
        <v>6</v>
      </c>
      <c r="H192" s="15">
        <v>2</v>
      </c>
      <c r="I192" s="15">
        <v>1</v>
      </c>
      <c r="J192" s="15" t="s">
        <v>84</v>
      </c>
      <c r="K192" s="15" t="s">
        <v>84</v>
      </c>
      <c r="L192" s="15" t="s">
        <v>84</v>
      </c>
      <c r="M192" s="15" t="s">
        <v>84</v>
      </c>
    </row>
    <row r="193" spans="1:13" ht="15" customHeight="1" x14ac:dyDescent="0.25">
      <c r="A193" s="207" t="s">
        <v>104</v>
      </c>
      <c r="B193" s="208"/>
      <c r="C193" s="208"/>
      <c r="D193" s="208"/>
      <c r="E193" s="208"/>
      <c r="F193" s="208"/>
      <c r="G193" s="208"/>
      <c r="H193" s="208"/>
      <c r="I193" s="208"/>
      <c r="J193" s="208"/>
      <c r="K193" s="208"/>
      <c r="L193" s="208"/>
      <c r="M193" s="209"/>
    </row>
    <row r="194" spans="1:13" x14ac:dyDescent="0.25">
      <c r="A194" s="207"/>
      <c r="B194" s="208"/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9"/>
    </row>
    <row r="195" spans="1:13" x14ac:dyDescent="0.25">
      <c r="A195" s="15" t="s">
        <v>83</v>
      </c>
      <c r="B195" s="15">
        <v>2919</v>
      </c>
      <c r="C195" s="15">
        <v>1427</v>
      </c>
      <c r="D195" s="15">
        <v>262</v>
      </c>
      <c r="E195" s="15">
        <v>128</v>
      </c>
      <c r="F195" s="15">
        <v>2226</v>
      </c>
      <c r="G195" s="15">
        <v>1071</v>
      </c>
      <c r="H195" s="15">
        <v>240</v>
      </c>
      <c r="I195" s="15">
        <v>119</v>
      </c>
      <c r="J195" s="15">
        <v>693</v>
      </c>
      <c r="K195" s="15">
        <v>356</v>
      </c>
      <c r="L195" s="15">
        <v>22</v>
      </c>
      <c r="M195" s="15">
        <v>9</v>
      </c>
    </row>
    <row r="196" spans="1:13" ht="30" x14ac:dyDescent="0.25">
      <c r="A196" s="15" t="s">
        <v>151</v>
      </c>
      <c r="B196" s="15">
        <v>1042</v>
      </c>
      <c r="C196" s="15">
        <v>588</v>
      </c>
      <c r="D196" s="15">
        <v>29</v>
      </c>
      <c r="E196" s="15">
        <v>19</v>
      </c>
      <c r="F196" s="15">
        <v>661</v>
      </c>
      <c r="G196" s="15">
        <v>378</v>
      </c>
      <c r="H196" s="15">
        <v>21</v>
      </c>
      <c r="I196" s="15">
        <v>15</v>
      </c>
      <c r="J196" s="15">
        <v>381</v>
      </c>
      <c r="K196" s="15">
        <v>210</v>
      </c>
      <c r="L196" s="15">
        <v>8</v>
      </c>
      <c r="M196" s="15">
        <v>4</v>
      </c>
    </row>
    <row r="197" spans="1:13" ht="60" x14ac:dyDescent="0.25">
      <c r="A197" s="15" t="s">
        <v>152</v>
      </c>
      <c r="B197" s="15">
        <v>88</v>
      </c>
      <c r="C197" s="15">
        <v>32</v>
      </c>
      <c r="D197" s="15">
        <v>2</v>
      </c>
      <c r="E197" s="15">
        <v>1</v>
      </c>
      <c r="F197" s="15">
        <v>73</v>
      </c>
      <c r="G197" s="15">
        <v>29</v>
      </c>
      <c r="H197" s="15">
        <v>2</v>
      </c>
      <c r="I197" s="15">
        <v>1</v>
      </c>
      <c r="J197" s="15">
        <v>15</v>
      </c>
      <c r="K197" s="15">
        <v>3</v>
      </c>
      <c r="L197" s="15" t="s">
        <v>84</v>
      </c>
      <c r="M197" s="15" t="s">
        <v>84</v>
      </c>
    </row>
    <row r="198" spans="1:13" ht="30" x14ac:dyDescent="0.25">
      <c r="A198" s="15" t="s">
        <v>85</v>
      </c>
      <c r="B198" s="15">
        <v>1205</v>
      </c>
      <c r="C198" s="15">
        <v>570</v>
      </c>
      <c r="D198" s="15">
        <v>95</v>
      </c>
      <c r="E198" s="15">
        <v>48</v>
      </c>
      <c r="F198" s="15">
        <v>1011</v>
      </c>
      <c r="G198" s="15">
        <v>467</v>
      </c>
      <c r="H198" s="15">
        <v>86</v>
      </c>
      <c r="I198" s="15">
        <v>44</v>
      </c>
      <c r="J198" s="15">
        <v>194</v>
      </c>
      <c r="K198" s="15">
        <v>103</v>
      </c>
      <c r="L198" s="15">
        <v>9</v>
      </c>
      <c r="M198" s="15">
        <v>4</v>
      </c>
    </row>
    <row r="199" spans="1:13" ht="30" x14ac:dyDescent="0.25">
      <c r="A199" s="15" t="s">
        <v>86</v>
      </c>
      <c r="B199" s="15">
        <v>373</v>
      </c>
      <c r="C199" s="15">
        <v>147</v>
      </c>
      <c r="D199" s="15">
        <v>64</v>
      </c>
      <c r="E199" s="15">
        <v>28</v>
      </c>
      <c r="F199" s="15">
        <v>307</v>
      </c>
      <c r="G199" s="15">
        <v>120</v>
      </c>
      <c r="H199" s="15">
        <v>61</v>
      </c>
      <c r="I199" s="15">
        <v>27</v>
      </c>
      <c r="J199" s="15">
        <v>66</v>
      </c>
      <c r="K199" s="15">
        <v>27</v>
      </c>
      <c r="L199" s="15">
        <v>3</v>
      </c>
      <c r="M199" s="15">
        <v>1</v>
      </c>
    </row>
    <row r="200" spans="1:13" ht="45" x14ac:dyDescent="0.25">
      <c r="A200" s="15" t="s">
        <v>87</v>
      </c>
      <c r="B200" s="15">
        <v>211</v>
      </c>
      <c r="C200" s="15">
        <v>90</v>
      </c>
      <c r="D200" s="15">
        <v>72</v>
      </c>
      <c r="E200" s="15">
        <v>32</v>
      </c>
      <c r="F200" s="15">
        <v>174</v>
      </c>
      <c r="G200" s="15">
        <v>77</v>
      </c>
      <c r="H200" s="15">
        <v>70</v>
      </c>
      <c r="I200" s="15">
        <v>32</v>
      </c>
      <c r="J200" s="15">
        <v>37</v>
      </c>
      <c r="K200" s="15">
        <v>13</v>
      </c>
      <c r="L200" s="15">
        <v>2</v>
      </c>
      <c r="M200" s="15" t="s">
        <v>84</v>
      </c>
    </row>
    <row r="201" spans="1:13" ht="45" x14ac:dyDescent="0.25">
      <c r="A201" s="15" t="s">
        <v>153</v>
      </c>
      <c r="B201" s="15">
        <v>34</v>
      </c>
      <c r="C201" s="15">
        <v>19</v>
      </c>
      <c r="D201" s="15">
        <v>8</v>
      </c>
      <c r="E201" s="15">
        <v>5</v>
      </c>
      <c r="F201" s="15">
        <v>28</v>
      </c>
      <c r="G201" s="15">
        <v>17</v>
      </c>
      <c r="H201" s="15">
        <v>8</v>
      </c>
      <c r="I201" s="15">
        <v>5</v>
      </c>
      <c r="J201" s="15">
        <v>6</v>
      </c>
      <c r="K201" s="15">
        <v>2</v>
      </c>
      <c r="L201" s="15" t="s">
        <v>84</v>
      </c>
      <c r="M201" s="15" t="s">
        <v>84</v>
      </c>
    </row>
    <row r="202" spans="1:13" ht="60" x14ac:dyDescent="0.25">
      <c r="A202" s="15" t="s">
        <v>154</v>
      </c>
      <c r="B202" s="15">
        <v>51</v>
      </c>
      <c r="C202" s="15">
        <v>21</v>
      </c>
      <c r="D202" s="15">
        <v>4</v>
      </c>
      <c r="E202" s="15">
        <v>1</v>
      </c>
      <c r="F202" s="15">
        <v>39</v>
      </c>
      <c r="G202" s="15">
        <v>15</v>
      </c>
      <c r="H202" s="15">
        <v>4</v>
      </c>
      <c r="I202" s="15">
        <v>1</v>
      </c>
      <c r="J202" s="15">
        <v>12</v>
      </c>
      <c r="K202" s="15">
        <v>6</v>
      </c>
      <c r="L202" s="15" t="s">
        <v>84</v>
      </c>
      <c r="M202" s="15" t="s">
        <v>84</v>
      </c>
    </row>
    <row r="203" spans="1:13" ht="15" customHeight="1" x14ac:dyDescent="0.25">
      <c r="A203" s="207" t="s">
        <v>105</v>
      </c>
      <c r="B203" s="208"/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M203" s="209"/>
    </row>
    <row r="204" spans="1:13" x14ac:dyDescent="0.25">
      <c r="A204" s="207"/>
      <c r="B204" s="208"/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M204" s="209"/>
    </row>
    <row r="205" spans="1:13" x14ac:dyDescent="0.25">
      <c r="A205" s="15" t="s">
        <v>83</v>
      </c>
      <c r="B205" s="15">
        <v>515</v>
      </c>
      <c r="C205" s="15">
        <v>236</v>
      </c>
      <c r="D205" s="15">
        <v>34</v>
      </c>
      <c r="E205" s="15">
        <v>15</v>
      </c>
      <c r="F205" s="15">
        <v>463</v>
      </c>
      <c r="G205" s="15">
        <v>209</v>
      </c>
      <c r="H205" s="15">
        <v>24</v>
      </c>
      <c r="I205" s="15">
        <v>11</v>
      </c>
      <c r="J205" s="15">
        <v>52</v>
      </c>
      <c r="K205" s="15">
        <v>27</v>
      </c>
      <c r="L205" s="15">
        <v>10</v>
      </c>
      <c r="M205" s="15">
        <v>4</v>
      </c>
    </row>
    <row r="206" spans="1:13" ht="30" x14ac:dyDescent="0.25">
      <c r="A206" s="15" t="s">
        <v>151</v>
      </c>
      <c r="B206" s="15">
        <v>131</v>
      </c>
      <c r="C206" s="15">
        <v>67</v>
      </c>
      <c r="D206" s="15">
        <v>8</v>
      </c>
      <c r="E206" s="15">
        <v>3</v>
      </c>
      <c r="F206" s="15">
        <v>87</v>
      </c>
      <c r="G206" s="15">
        <v>44</v>
      </c>
      <c r="H206" s="15" t="s">
        <v>84</v>
      </c>
      <c r="I206" s="15" t="s">
        <v>84</v>
      </c>
      <c r="J206" s="15">
        <v>44</v>
      </c>
      <c r="K206" s="15">
        <v>23</v>
      </c>
      <c r="L206" s="15">
        <v>8</v>
      </c>
      <c r="M206" s="15">
        <v>3</v>
      </c>
    </row>
    <row r="207" spans="1:13" ht="60" x14ac:dyDescent="0.25">
      <c r="A207" s="15" t="s">
        <v>152</v>
      </c>
      <c r="B207" s="15">
        <v>12</v>
      </c>
      <c r="C207" s="15">
        <v>6</v>
      </c>
      <c r="D207" s="15">
        <v>1</v>
      </c>
      <c r="E207" s="15">
        <v>1</v>
      </c>
      <c r="F207" s="15">
        <v>6</v>
      </c>
      <c r="G207" s="15">
        <v>3</v>
      </c>
      <c r="H207" s="15" t="s">
        <v>84</v>
      </c>
      <c r="I207" s="15" t="s">
        <v>84</v>
      </c>
      <c r="J207" s="15">
        <v>6</v>
      </c>
      <c r="K207" s="15">
        <v>3</v>
      </c>
      <c r="L207" s="15">
        <v>1</v>
      </c>
      <c r="M207" s="15">
        <v>1</v>
      </c>
    </row>
    <row r="208" spans="1:13" ht="30" x14ac:dyDescent="0.25">
      <c r="A208" s="15" t="s">
        <v>85</v>
      </c>
      <c r="B208" s="15">
        <v>224</v>
      </c>
      <c r="C208" s="15">
        <v>113</v>
      </c>
      <c r="D208" s="15">
        <v>12</v>
      </c>
      <c r="E208" s="15">
        <v>6</v>
      </c>
      <c r="F208" s="15">
        <v>222</v>
      </c>
      <c r="G208" s="15">
        <v>112</v>
      </c>
      <c r="H208" s="15">
        <v>11</v>
      </c>
      <c r="I208" s="15">
        <v>6</v>
      </c>
      <c r="J208" s="15">
        <v>2</v>
      </c>
      <c r="K208" s="15">
        <v>1</v>
      </c>
      <c r="L208" s="15">
        <v>1</v>
      </c>
      <c r="M208" s="15" t="s">
        <v>84</v>
      </c>
    </row>
    <row r="209" spans="1:13" ht="30" x14ac:dyDescent="0.25">
      <c r="A209" s="15" t="s">
        <v>86</v>
      </c>
      <c r="B209" s="15">
        <v>85</v>
      </c>
      <c r="C209" s="15">
        <v>31</v>
      </c>
      <c r="D209" s="15">
        <v>6</v>
      </c>
      <c r="E209" s="15">
        <v>5</v>
      </c>
      <c r="F209" s="15">
        <v>85</v>
      </c>
      <c r="G209" s="15">
        <v>31</v>
      </c>
      <c r="H209" s="15">
        <v>6</v>
      </c>
      <c r="I209" s="15">
        <v>5</v>
      </c>
      <c r="J209" s="15" t="s">
        <v>84</v>
      </c>
      <c r="K209" s="15" t="s">
        <v>84</v>
      </c>
      <c r="L209" s="15" t="s">
        <v>84</v>
      </c>
      <c r="M209" s="15" t="s">
        <v>84</v>
      </c>
    </row>
    <row r="210" spans="1:13" ht="45" x14ac:dyDescent="0.25">
      <c r="A210" s="15" t="s">
        <v>87</v>
      </c>
      <c r="B210" s="15">
        <v>63</v>
      </c>
      <c r="C210" s="15">
        <v>19</v>
      </c>
      <c r="D210" s="15">
        <v>7</v>
      </c>
      <c r="E210" s="15" t="s">
        <v>84</v>
      </c>
      <c r="F210" s="15">
        <v>63</v>
      </c>
      <c r="G210" s="15">
        <v>19</v>
      </c>
      <c r="H210" s="15">
        <v>7</v>
      </c>
      <c r="I210" s="15" t="s">
        <v>84</v>
      </c>
      <c r="J210" s="15" t="s">
        <v>84</v>
      </c>
      <c r="K210" s="15" t="s">
        <v>84</v>
      </c>
      <c r="L210" s="15" t="s">
        <v>84</v>
      </c>
      <c r="M210" s="15" t="s">
        <v>84</v>
      </c>
    </row>
    <row r="211" spans="1:13" ht="45" x14ac:dyDescent="0.25">
      <c r="A211" s="15" t="s">
        <v>153</v>
      </c>
      <c r="B211" s="15">
        <v>17</v>
      </c>
      <c r="C211" s="15">
        <v>6</v>
      </c>
      <c r="D211" s="15" t="s">
        <v>84</v>
      </c>
      <c r="E211" s="15" t="s">
        <v>84</v>
      </c>
      <c r="F211" s="15">
        <v>17</v>
      </c>
      <c r="G211" s="15">
        <v>6</v>
      </c>
      <c r="H211" s="15" t="s">
        <v>84</v>
      </c>
      <c r="I211" s="15" t="s">
        <v>84</v>
      </c>
      <c r="J211" s="15" t="s">
        <v>84</v>
      </c>
      <c r="K211" s="15" t="s">
        <v>84</v>
      </c>
      <c r="L211" s="15" t="s">
        <v>84</v>
      </c>
      <c r="M211" s="15" t="s">
        <v>84</v>
      </c>
    </row>
    <row r="212" spans="1:13" ht="60" x14ac:dyDescent="0.25">
      <c r="A212" s="15" t="s">
        <v>154</v>
      </c>
      <c r="B212" s="15">
        <v>7</v>
      </c>
      <c r="C212" s="15">
        <v>1</v>
      </c>
      <c r="D212" s="15">
        <v>1</v>
      </c>
      <c r="E212" s="15" t="s">
        <v>84</v>
      </c>
      <c r="F212" s="15">
        <v>7</v>
      </c>
      <c r="G212" s="15">
        <v>1</v>
      </c>
      <c r="H212" s="15">
        <v>1</v>
      </c>
      <c r="I212" s="15" t="s">
        <v>84</v>
      </c>
      <c r="J212" s="15" t="s">
        <v>84</v>
      </c>
      <c r="K212" s="15" t="s">
        <v>84</v>
      </c>
      <c r="L212" s="15" t="s">
        <v>84</v>
      </c>
      <c r="M212" s="15" t="s">
        <v>84</v>
      </c>
    </row>
    <row r="213" spans="1:13" ht="15" customHeight="1" x14ac:dyDescent="0.25">
      <c r="A213" s="207" t="s">
        <v>106</v>
      </c>
      <c r="B213" s="208"/>
      <c r="C213" s="208"/>
      <c r="D213" s="208"/>
      <c r="E213" s="208"/>
      <c r="F213" s="208"/>
      <c r="G213" s="208"/>
      <c r="H213" s="208"/>
      <c r="I213" s="208"/>
      <c r="J213" s="208"/>
      <c r="K213" s="208"/>
      <c r="L213" s="208"/>
      <c r="M213" s="209"/>
    </row>
    <row r="214" spans="1:13" x14ac:dyDescent="0.25">
      <c r="A214" s="207"/>
      <c r="B214" s="208"/>
      <c r="C214" s="208"/>
      <c r="D214" s="208"/>
      <c r="E214" s="208"/>
      <c r="F214" s="208"/>
      <c r="G214" s="208"/>
      <c r="H214" s="208"/>
      <c r="I214" s="208"/>
      <c r="J214" s="208"/>
      <c r="K214" s="208"/>
      <c r="L214" s="208"/>
      <c r="M214" s="209"/>
    </row>
    <row r="215" spans="1:13" x14ac:dyDescent="0.25">
      <c r="A215" s="15" t="s">
        <v>83</v>
      </c>
      <c r="B215" s="15">
        <v>1267</v>
      </c>
      <c r="C215" s="15">
        <v>612</v>
      </c>
      <c r="D215" s="15">
        <v>124</v>
      </c>
      <c r="E215" s="15">
        <v>54</v>
      </c>
      <c r="F215" s="15">
        <v>1259</v>
      </c>
      <c r="G215" s="15">
        <v>609</v>
      </c>
      <c r="H215" s="15">
        <v>124</v>
      </c>
      <c r="I215" s="15">
        <v>54</v>
      </c>
      <c r="J215" s="15">
        <v>8</v>
      </c>
      <c r="K215" s="15">
        <v>3</v>
      </c>
      <c r="L215" s="15" t="s">
        <v>84</v>
      </c>
      <c r="M215" s="15" t="s">
        <v>84</v>
      </c>
    </row>
    <row r="216" spans="1:13" ht="30" x14ac:dyDescent="0.25">
      <c r="A216" s="15" t="s">
        <v>151</v>
      </c>
      <c r="B216" s="15">
        <v>360</v>
      </c>
      <c r="C216" s="15">
        <v>190</v>
      </c>
      <c r="D216" s="15">
        <v>1</v>
      </c>
      <c r="E216" s="15" t="s">
        <v>84</v>
      </c>
      <c r="F216" s="15">
        <v>360</v>
      </c>
      <c r="G216" s="15">
        <v>190</v>
      </c>
      <c r="H216" s="15">
        <v>1</v>
      </c>
      <c r="I216" s="15" t="s">
        <v>84</v>
      </c>
      <c r="J216" s="15" t="s">
        <v>84</v>
      </c>
      <c r="K216" s="15" t="s">
        <v>84</v>
      </c>
      <c r="L216" s="15" t="s">
        <v>84</v>
      </c>
      <c r="M216" s="15" t="s">
        <v>84</v>
      </c>
    </row>
    <row r="217" spans="1:13" ht="60" x14ac:dyDescent="0.25">
      <c r="A217" s="15" t="s">
        <v>152</v>
      </c>
      <c r="B217" s="15">
        <v>28</v>
      </c>
      <c r="C217" s="15">
        <v>19</v>
      </c>
      <c r="D217" s="15">
        <v>2</v>
      </c>
      <c r="E217" s="15">
        <v>1</v>
      </c>
      <c r="F217" s="15">
        <v>28</v>
      </c>
      <c r="G217" s="15">
        <v>19</v>
      </c>
      <c r="H217" s="15">
        <v>2</v>
      </c>
      <c r="I217" s="15">
        <v>1</v>
      </c>
      <c r="J217" s="15" t="s">
        <v>84</v>
      </c>
      <c r="K217" s="15" t="s">
        <v>84</v>
      </c>
      <c r="L217" s="15" t="s">
        <v>84</v>
      </c>
      <c r="M217" s="15" t="s">
        <v>84</v>
      </c>
    </row>
    <row r="218" spans="1:13" ht="30" x14ac:dyDescent="0.25">
      <c r="A218" s="15" t="s">
        <v>85</v>
      </c>
      <c r="B218" s="15">
        <v>600</v>
      </c>
      <c r="C218" s="15">
        <v>299</v>
      </c>
      <c r="D218" s="15">
        <v>56</v>
      </c>
      <c r="E218" s="15">
        <v>29</v>
      </c>
      <c r="F218" s="15">
        <v>597</v>
      </c>
      <c r="G218" s="15">
        <v>297</v>
      </c>
      <c r="H218" s="15">
        <v>56</v>
      </c>
      <c r="I218" s="15">
        <v>29</v>
      </c>
      <c r="J218" s="15">
        <v>3</v>
      </c>
      <c r="K218" s="15">
        <v>2</v>
      </c>
      <c r="L218" s="15" t="s">
        <v>84</v>
      </c>
      <c r="M218" s="15" t="s">
        <v>84</v>
      </c>
    </row>
    <row r="219" spans="1:13" ht="30" x14ac:dyDescent="0.25">
      <c r="A219" s="15" t="s">
        <v>86</v>
      </c>
      <c r="B219" s="15">
        <v>194</v>
      </c>
      <c r="C219" s="15">
        <v>73</v>
      </c>
      <c r="D219" s="15">
        <v>40</v>
      </c>
      <c r="E219" s="15">
        <v>15</v>
      </c>
      <c r="F219" s="15">
        <v>190</v>
      </c>
      <c r="G219" s="15">
        <v>72</v>
      </c>
      <c r="H219" s="15">
        <v>40</v>
      </c>
      <c r="I219" s="15">
        <v>15</v>
      </c>
      <c r="J219" s="15">
        <v>4</v>
      </c>
      <c r="K219" s="15">
        <v>1</v>
      </c>
      <c r="L219" s="15" t="s">
        <v>84</v>
      </c>
      <c r="M219" s="15" t="s">
        <v>84</v>
      </c>
    </row>
    <row r="220" spans="1:13" ht="45" x14ac:dyDescent="0.25">
      <c r="A220" s="15" t="s">
        <v>87</v>
      </c>
      <c r="B220" s="15">
        <v>85</v>
      </c>
      <c r="C220" s="15">
        <v>31</v>
      </c>
      <c r="D220" s="15">
        <v>25</v>
      </c>
      <c r="E220" s="15">
        <v>9</v>
      </c>
      <c r="F220" s="15">
        <v>84</v>
      </c>
      <c r="G220" s="15">
        <v>31</v>
      </c>
      <c r="H220" s="15">
        <v>25</v>
      </c>
      <c r="I220" s="15">
        <v>9</v>
      </c>
      <c r="J220" s="15">
        <v>1</v>
      </c>
      <c r="K220" s="15" t="s">
        <v>84</v>
      </c>
      <c r="L220" s="15" t="s">
        <v>84</v>
      </c>
      <c r="M220" s="15" t="s">
        <v>84</v>
      </c>
    </row>
    <row r="221" spans="1:13" ht="45" x14ac:dyDescent="0.25">
      <c r="A221" s="15" t="s">
        <v>153</v>
      </c>
      <c r="B221" s="15">
        <v>18</v>
      </c>
      <c r="C221" s="15">
        <v>8</v>
      </c>
      <c r="D221" s="15">
        <v>2</v>
      </c>
      <c r="E221" s="15">
        <v>1</v>
      </c>
      <c r="F221" s="15">
        <v>17</v>
      </c>
      <c r="G221" s="15">
        <v>8</v>
      </c>
      <c r="H221" s="15">
        <v>2</v>
      </c>
      <c r="I221" s="15">
        <v>1</v>
      </c>
      <c r="J221" s="15">
        <v>1</v>
      </c>
      <c r="K221" s="15" t="s">
        <v>84</v>
      </c>
      <c r="L221" s="15" t="s">
        <v>84</v>
      </c>
      <c r="M221" s="15" t="s">
        <v>84</v>
      </c>
    </row>
    <row r="222" spans="1:13" ht="60" x14ac:dyDescent="0.25">
      <c r="A222" s="15" t="s">
        <v>154</v>
      </c>
      <c r="B222" s="15">
        <v>12</v>
      </c>
      <c r="C222" s="15">
        <v>4</v>
      </c>
      <c r="D222" s="15" t="s">
        <v>84</v>
      </c>
      <c r="E222" s="15" t="s">
        <v>84</v>
      </c>
      <c r="F222" s="15">
        <v>12</v>
      </c>
      <c r="G222" s="15">
        <v>4</v>
      </c>
      <c r="H222" s="15" t="s">
        <v>84</v>
      </c>
      <c r="I222" s="15" t="s">
        <v>84</v>
      </c>
      <c r="J222" s="15" t="s">
        <v>84</v>
      </c>
      <c r="K222" s="15" t="s">
        <v>84</v>
      </c>
      <c r="L222" s="15" t="s">
        <v>84</v>
      </c>
      <c r="M222" s="15" t="s">
        <v>84</v>
      </c>
    </row>
    <row r="223" spans="1:13" ht="15" customHeight="1" x14ac:dyDescent="0.25">
      <c r="A223" s="207" t="s">
        <v>107</v>
      </c>
      <c r="B223" s="208"/>
      <c r="C223" s="208"/>
      <c r="D223" s="208"/>
      <c r="E223" s="208"/>
      <c r="F223" s="208"/>
      <c r="G223" s="208"/>
      <c r="H223" s="208"/>
      <c r="I223" s="208"/>
      <c r="J223" s="208"/>
      <c r="K223" s="208"/>
      <c r="L223" s="208"/>
      <c r="M223" s="209"/>
    </row>
    <row r="224" spans="1:13" x14ac:dyDescent="0.25">
      <c r="A224" s="207"/>
      <c r="B224" s="208"/>
      <c r="C224" s="208"/>
      <c r="D224" s="208"/>
      <c r="E224" s="208"/>
      <c r="F224" s="208"/>
      <c r="G224" s="208"/>
      <c r="H224" s="208"/>
      <c r="I224" s="208"/>
      <c r="J224" s="208"/>
      <c r="K224" s="208"/>
      <c r="L224" s="208"/>
      <c r="M224" s="209"/>
    </row>
    <row r="225" spans="1:13" x14ac:dyDescent="0.25">
      <c r="A225" s="15" t="s">
        <v>83</v>
      </c>
      <c r="B225" s="15">
        <v>1493</v>
      </c>
      <c r="C225" s="15">
        <v>770</v>
      </c>
      <c r="D225" s="15">
        <v>131</v>
      </c>
      <c r="E225" s="15">
        <v>68</v>
      </c>
      <c r="F225" s="15">
        <v>1477</v>
      </c>
      <c r="G225" s="15">
        <v>764</v>
      </c>
      <c r="H225" s="15">
        <v>130</v>
      </c>
      <c r="I225" s="15">
        <v>68</v>
      </c>
      <c r="J225" s="15">
        <v>16</v>
      </c>
      <c r="K225" s="15">
        <v>6</v>
      </c>
      <c r="L225" s="15">
        <v>1</v>
      </c>
      <c r="M225" s="15" t="s">
        <v>84</v>
      </c>
    </row>
    <row r="226" spans="1:13" ht="30" x14ac:dyDescent="0.25">
      <c r="A226" s="15" t="s">
        <v>151</v>
      </c>
      <c r="B226" s="15">
        <v>624</v>
      </c>
      <c r="C226" s="15">
        <v>377</v>
      </c>
      <c r="D226" s="15">
        <v>16</v>
      </c>
      <c r="E226" s="15">
        <v>14</v>
      </c>
      <c r="F226" s="15">
        <v>624</v>
      </c>
      <c r="G226" s="15">
        <v>377</v>
      </c>
      <c r="H226" s="15">
        <v>16</v>
      </c>
      <c r="I226" s="15">
        <v>14</v>
      </c>
      <c r="J226" s="15" t="s">
        <v>84</v>
      </c>
      <c r="K226" s="15" t="s">
        <v>84</v>
      </c>
      <c r="L226" s="15" t="s">
        <v>84</v>
      </c>
      <c r="M226" s="15" t="s">
        <v>84</v>
      </c>
    </row>
    <row r="227" spans="1:13" ht="60" x14ac:dyDescent="0.25">
      <c r="A227" s="15" t="s">
        <v>152</v>
      </c>
      <c r="B227" s="15">
        <v>61</v>
      </c>
      <c r="C227" s="15">
        <v>32</v>
      </c>
      <c r="D227" s="15">
        <v>8</v>
      </c>
      <c r="E227" s="15">
        <v>3</v>
      </c>
      <c r="F227" s="15">
        <v>61</v>
      </c>
      <c r="G227" s="15">
        <v>32</v>
      </c>
      <c r="H227" s="15">
        <v>8</v>
      </c>
      <c r="I227" s="15">
        <v>3</v>
      </c>
      <c r="J227" s="15" t="s">
        <v>84</v>
      </c>
      <c r="K227" s="15" t="s">
        <v>84</v>
      </c>
      <c r="L227" s="15" t="s">
        <v>84</v>
      </c>
      <c r="M227" s="15" t="s">
        <v>84</v>
      </c>
    </row>
    <row r="228" spans="1:13" ht="30" x14ac:dyDescent="0.25">
      <c r="A228" s="15" t="s">
        <v>85</v>
      </c>
      <c r="B228" s="15">
        <v>491</v>
      </c>
      <c r="C228" s="15">
        <v>239</v>
      </c>
      <c r="D228" s="15">
        <v>55</v>
      </c>
      <c r="E228" s="15">
        <v>27</v>
      </c>
      <c r="F228" s="15">
        <v>477</v>
      </c>
      <c r="G228" s="15">
        <v>233</v>
      </c>
      <c r="H228" s="15">
        <v>54</v>
      </c>
      <c r="I228" s="15">
        <v>27</v>
      </c>
      <c r="J228" s="15">
        <v>14</v>
      </c>
      <c r="K228" s="15">
        <v>6</v>
      </c>
      <c r="L228" s="15">
        <v>1</v>
      </c>
      <c r="M228" s="15" t="s">
        <v>84</v>
      </c>
    </row>
    <row r="229" spans="1:13" ht="30" x14ac:dyDescent="0.25">
      <c r="A229" s="15" t="s">
        <v>86</v>
      </c>
      <c r="B229" s="15">
        <v>195</v>
      </c>
      <c r="C229" s="15">
        <v>76</v>
      </c>
      <c r="D229" s="15">
        <v>22</v>
      </c>
      <c r="E229" s="15">
        <v>12</v>
      </c>
      <c r="F229" s="15">
        <v>193</v>
      </c>
      <c r="G229" s="15">
        <v>76</v>
      </c>
      <c r="H229" s="15">
        <v>22</v>
      </c>
      <c r="I229" s="15">
        <v>12</v>
      </c>
      <c r="J229" s="15">
        <v>2</v>
      </c>
      <c r="K229" s="15" t="s">
        <v>84</v>
      </c>
      <c r="L229" s="15" t="s">
        <v>84</v>
      </c>
      <c r="M229" s="15" t="s">
        <v>84</v>
      </c>
    </row>
    <row r="230" spans="1:13" ht="45" x14ac:dyDescent="0.25">
      <c r="A230" s="15" t="s">
        <v>87</v>
      </c>
      <c r="B230" s="15">
        <v>122</v>
      </c>
      <c r="C230" s="15">
        <v>46</v>
      </c>
      <c r="D230" s="15">
        <v>30</v>
      </c>
      <c r="E230" s="15">
        <v>12</v>
      </c>
      <c r="F230" s="15">
        <v>122</v>
      </c>
      <c r="G230" s="15">
        <v>46</v>
      </c>
      <c r="H230" s="15">
        <v>30</v>
      </c>
      <c r="I230" s="15">
        <v>12</v>
      </c>
      <c r="J230" s="15" t="s">
        <v>84</v>
      </c>
      <c r="K230" s="15" t="s">
        <v>84</v>
      </c>
      <c r="L230" s="15" t="s">
        <v>84</v>
      </c>
      <c r="M230" s="15" t="s">
        <v>84</v>
      </c>
    </row>
    <row r="231" spans="1:13" ht="45" x14ac:dyDescent="0.25">
      <c r="A231" s="15" t="s">
        <v>153</v>
      </c>
      <c r="B231" s="15">
        <v>22</v>
      </c>
      <c r="C231" s="15">
        <v>14</v>
      </c>
      <c r="D231" s="15">
        <v>3</v>
      </c>
      <c r="E231" s="15">
        <v>3</v>
      </c>
      <c r="F231" s="15">
        <v>22</v>
      </c>
      <c r="G231" s="15">
        <v>14</v>
      </c>
      <c r="H231" s="15">
        <v>3</v>
      </c>
      <c r="I231" s="15">
        <v>3</v>
      </c>
      <c r="J231" s="15" t="s">
        <v>84</v>
      </c>
      <c r="K231" s="15" t="s">
        <v>84</v>
      </c>
      <c r="L231" s="15" t="s">
        <v>84</v>
      </c>
      <c r="M231" s="15" t="s">
        <v>84</v>
      </c>
    </row>
    <row r="232" spans="1:13" ht="60" x14ac:dyDescent="0.25">
      <c r="A232" s="15" t="s">
        <v>154</v>
      </c>
      <c r="B232" s="15">
        <v>9</v>
      </c>
      <c r="C232" s="15">
        <v>4</v>
      </c>
      <c r="D232" s="15">
        <v>1</v>
      </c>
      <c r="E232" s="15" t="s">
        <v>84</v>
      </c>
      <c r="F232" s="15">
        <v>9</v>
      </c>
      <c r="G232" s="15">
        <v>4</v>
      </c>
      <c r="H232" s="15">
        <v>1</v>
      </c>
      <c r="I232" s="15" t="s">
        <v>84</v>
      </c>
      <c r="J232" s="15" t="s">
        <v>84</v>
      </c>
      <c r="K232" s="15" t="s">
        <v>84</v>
      </c>
      <c r="L232" s="15" t="s">
        <v>84</v>
      </c>
      <c r="M232" s="15" t="s">
        <v>84</v>
      </c>
    </row>
    <row r="233" spans="1:13" ht="15" customHeight="1" x14ac:dyDescent="0.25">
      <c r="A233" s="207" t="s">
        <v>108</v>
      </c>
      <c r="B233" s="208"/>
      <c r="C233" s="208"/>
      <c r="D233" s="208"/>
      <c r="E233" s="208"/>
      <c r="F233" s="208"/>
      <c r="G233" s="208"/>
      <c r="H233" s="208"/>
      <c r="I233" s="208"/>
      <c r="J233" s="208"/>
      <c r="K233" s="208"/>
      <c r="L233" s="208"/>
      <c r="M233" s="209"/>
    </row>
    <row r="234" spans="1:13" x14ac:dyDescent="0.25">
      <c r="A234" s="207"/>
      <c r="B234" s="208"/>
      <c r="C234" s="208"/>
      <c r="D234" s="208"/>
      <c r="E234" s="208"/>
      <c r="F234" s="208"/>
      <c r="G234" s="208"/>
      <c r="H234" s="208"/>
      <c r="I234" s="208"/>
      <c r="J234" s="208"/>
      <c r="K234" s="208"/>
      <c r="L234" s="208"/>
      <c r="M234" s="209"/>
    </row>
    <row r="235" spans="1:13" x14ac:dyDescent="0.25">
      <c r="A235" s="15" t="s">
        <v>83</v>
      </c>
      <c r="B235" s="15">
        <v>17040</v>
      </c>
      <c r="C235" s="15">
        <v>8347</v>
      </c>
      <c r="D235" s="15">
        <v>939</v>
      </c>
      <c r="E235" s="15">
        <v>445</v>
      </c>
      <c r="F235" s="15">
        <v>16395</v>
      </c>
      <c r="G235" s="15">
        <v>8040</v>
      </c>
      <c r="H235" s="15">
        <v>927</v>
      </c>
      <c r="I235" s="15">
        <v>442</v>
      </c>
      <c r="J235" s="15">
        <v>645</v>
      </c>
      <c r="K235" s="15">
        <v>307</v>
      </c>
      <c r="L235" s="15">
        <v>12</v>
      </c>
      <c r="M235" s="15">
        <v>3</v>
      </c>
    </row>
    <row r="236" spans="1:13" ht="30" x14ac:dyDescent="0.25">
      <c r="A236" s="15" t="s">
        <v>151</v>
      </c>
      <c r="B236" s="15">
        <v>5480</v>
      </c>
      <c r="C236" s="15">
        <v>3060</v>
      </c>
      <c r="D236" s="15">
        <v>74</v>
      </c>
      <c r="E236" s="15">
        <v>42</v>
      </c>
      <c r="F236" s="15">
        <v>5127</v>
      </c>
      <c r="G236" s="15">
        <v>2868</v>
      </c>
      <c r="H236" s="15">
        <v>67</v>
      </c>
      <c r="I236" s="15">
        <v>39</v>
      </c>
      <c r="J236" s="15">
        <v>353</v>
      </c>
      <c r="K236" s="15">
        <v>192</v>
      </c>
      <c r="L236" s="15">
        <v>7</v>
      </c>
      <c r="M236" s="15">
        <v>3</v>
      </c>
    </row>
    <row r="237" spans="1:13" ht="60" x14ac:dyDescent="0.25">
      <c r="A237" s="15" t="s">
        <v>152</v>
      </c>
      <c r="B237" s="15">
        <v>448</v>
      </c>
      <c r="C237" s="15">
        <v>198</v>
      </c>
      <c r="D237" s="15">
        <v>18</v>
      </c>
      <c r="E237" s="15">
        <v>7</v>
      </c>
      <c r="F237" s="15">
        <v>423</v>
      </c>
      <c r="G237" s="15">
        <v>188</v>
      </c>
      <c r="H237" s="15">
        <v>17</v>
      </c>
      <c r="I237" s="15">
        <v>7</v>
      </c>
      <c r="J237" s="15">
        <v>25</v>
      </c>
      <c r="K237" s="15">
        <v>10</v>
      </c>
      <c r="L237" s="15">
        <v>1</v>
      </c>
      <c r="M237" s="15" t="s">
        <v>84</v>
      </c>
    </row>
    <row r="238" spans="1:13" ht="30" x14ac:dyDescent="0.25">
      <c r="A238" s="15" t="s">
        <v>85</v>
      </c>
      <c r="B238" s="15">
        <v>7473</v>
      </c>
      <c r="C238" s="15">
        <v>3634</v>
      </c>
      <c r="D238" s="15">
        <v>348</v>
      </c>
      <c r="E238" s="15">
        <v>170</v>
      </c>
      <c r="F238" s="15">
        <v>7353</v>
      </c>
      <c r="G238" s="15">
        <v>3572</v>
      </c>
      <c r="H238" s="15">
        <v>348</v>
      </c>
      <c r="I238" s="15">
        <v>170</v>
      </c>
      <c r="J238" s="15">
        <v>120</v>
      </c>
      <c r="K238" s="15">
        <v>62</v>
      </c>
      <c r="L238" s="15" t="s">
        <v>84</v>
      </c>
      <c r="M238" s="15" t="s">
        <v>84</v>
      </c>
    </row>
    <row r="239" spans="1:13" ht="30" x14ac:dyDescent="0.25">
      <c r="A239" s="15" t="s">
        <v>86</v>
      </c>
      <c r="B239" s="15">
        <v>2510</v>
      </c>
      <c r="C239" s="15">
        <v>1020</v>
      </c>
      <c r="D239" s="15">
        <v>270</v>
      </c>
      <c r="E239" s="15">
        <v>131</v>
      </c>
      <c r="F239" s="15">
        <v>2444</v>
      </c>
      <c r="G239" s="15">
        <v>999</v>
      </c>
      <c r="H239" s="15">
        <v>270</v>
      </c>
      <c r="I239" s="15">
        <v>131</v>
      </c>
      <c r="J239" s="15">
        <v>66</v>
      </c>
      <c r="K239" s="15">
        <v>21</v>
      </c>
      <c r="L239" s="15" t="s">
        <v>84</v>
      </c>
      <c r="M239" s="15" t="s">
        <v>84</v>
      </c>
    </row>
    <row r="240" spans="1:13" ht="45" x14ac:dyDescent="0.25">
      <c r="A240" s="15" t="s">
        <v>87</v>
      </c>
      <c r="B240" s="15">
        <v>1129</v>
      </c>
      <c r="C240" s="15">
        <v>435</v>
      </c>
      <c r="D240" s="15">
        <v>229</v>
      </c>
      <c r="E240" s="15">
        <v>95</v>
      </c>
      <c r="F240" s="15">
        <v>1048</v>
      </c>
      <c r="G240" s="15">
        <v>413</v>
      </c>
      <c r="H240" s="15">
        <v>225</v>
      </c>
      <c r="I240" s="15">
        <v>95</v>
      </c>
      <c r="J240" s="15">
        <v>81</v>
      </c>
      <c r="K240" s="15">
        <v>22</v>
      </c>
      <c r="L240" s="15">
        <v>4</v>
      </c>
      <c r="M240" s="15" t="s">
        <v>84</v>
      </c>
    </row>
    <row r="241" spans="1:13" ht="45" x14ac:dyDescent="0.25">
      <c r="A241" s="15" t="s">
        <v>153</v>
      </c>
      <c r="B241" s="15">
        <v>276</v>
      </c>
      <c r="C241" s="15">
        <v>111</v>
      </c>
      <c r="D241" s="15">
        <v>17</v>
      </c>
      <c r="E241" s="15">
        <v>7</v>
      </c>
      <c r="F241" s="15">
        <v>263</v>
      </c>
      <c r="G241" s="15">
        <v>110</v>
      </c>
      <c r="H241" s="15">
        <v>17</v>
      </c>
      <c r="I241" s="15">
        <v>7</v>
      </c>
      <c r="J241" s="15">
        <v>13</v>
      </c>
      <c r="K241" s="15">
        <v>1</v>
      </c>
      <c r="L241" s="15" t="s">
        <v>84</v>
      </c>
      <c r="M241" s="15" t="s">
        <v>84</v>
      </c>
    </row>
    <row r="242" spans="1:13" ht="60" x14ac:dyDescent="0.25">
      <c r="A242" s="15" t="s">
        <v>154</v>
      </c>
      <c r="B242" s="15">
        <v>178</v>
      </c>
      <c r="C242" s="15">
        <v>75</v>
      </c>
      <c r="D242" s="15">
        <v>13</v>
      </c>
      <c r="E242" s="15">
        <v>6</v>
      </c>
      <c r="F242" s="15">
        <v>126</v>
      </c>
      <c r="G242" s="15">
        <v>56</v>
      </c>
      <c r="H242" s="15">
        <v>11</v>
      </c>
      <c r="I242" s="15">
        <v>6</v>
      </c>
      <c r="J242" s="15">
        <v>52</v>
      </c>
      <c r="K242" s="15">
        <v>19</v>
      </c>
      <c r="L242" s="15">
        <v>2</v>
      </c>
      <c r="M242" s="15" t="s">
        <v>84</v>
      </c>
    </row>
    <row r="243" spans="1:13" ht="15" customHeight="1" x14ac:dyDescent="0.25">
      <c r="A243" s="207" t="s">
        <v>109</v>
      </c>
      <c r="B243" s="208"/>
      <c r="C243" s="208"/>
      <c r="D243" s="208"/>
      <c r="E243" s="208"/>
      <c r="F243" s="208"/>
      <c r="G243" s="208"/>
      <c r="H243" s="208"/>
      <c r="I243" s="208"/>
      <c r="J243" s="208"/>
      <c r="K243" s="208"/>
      <c r="L243" s="208"/>
      <c r="M243" s="209"/>
    </row>
    <row r="244" spans="1:13" x14ac:dyDescent="0.25">
      <c r="A244" s="207"/>
      <c r="B244" s="208"/>
      <c r="C244" s="208"/>
      <c r="D244" s="208"/>
      <c r="E244" s="208"/>
      <c r="F244" s="208"/>
      <c r="G244" s="208"/>
      <c r="H244" s="208"/>
      <c r="I244" s="208"/>
      <c r="J244" s="208"/>
      <c r="K244" s="208"/>
      <c r="L244" s="208"/>
      <c r="M244" s="209"/>
    </row>
    <row r="245" spans="1:13" x14ac:dyDescent="0.25">
      <c r="A245" s="15" t="s">
        <v>83</v>
      </c>
      <c r="B245" s="15">
        <v>1722</v>
      </c>
      <c r="C245" s="15">
        <v>872</v>
      </c>
      <c r="D245" s="15">
        <v>121</v>
      </c>
      <c r="E245" s="15">
        <v>60</v>
      </c>
      <c r="F245" s="15">
        <v>1711</v>
      </c>
      <c r="G245" s="15">
        <v>868</v>
      </c>
      <c r="H245" s="15">
        <v>121</v>
      </c>
      <c r="I245" s="15">
        <v>60</v>
      </c>
      <c r="J245" s="15">
        <v>11</v>
      </c>
      <c r="K245" s="15">
        <v>4</v>
      </c>
      <c r="L245" s="15" t="s">
        <v>84</v>
      </c>
      <c r="M245" s="15" t="s">
        <v>84</v>
      </c>
    </row>
    <row r="246" spans="1:13" ht="30" x14ac:dyDescent="0.25">
      <c r="A246" s="15" t="s">
        <v>151</v>
      </c>
      <c r="B246" s="15">
        <v>462</v>
      </c>
      <c r="C246" s="15">
        <v>261</v>
      </c>
      <c r="D246" s="15">
        <v>12</v>
      </c>
      <c r="E246" s="15">
        <v>7</v>
      </c>
      <c r="F246" s="15">
        <v>462</v>
      </c>
      <c r="G246" s="15">
        <v>261</v>
      </c>
      <c r="H246" s="15">
        <v>12</v>
      </c>
      <c r="I246" s="15">
        <v>7</v>
      </c>
      <c r="J246" s="15" t="s">
        <v>84</v>
      </c>
      <c r="K246" s="15" t="s">
        <v>84</v>
      </c>
      <c r="L246" s="15" t="s">
        <v>84</v>
      </c>
      <c r="M246" s="15" t="s">
        <v>84</v>
      </c>
    </row>
    <row r="247" spans="1:13" ht="60" x14ac:dyDescent="0.25">
      <c r="A247" s="15" t="s">
        <v>152</v>
      </c>
      <c r="B247" s="15">
        <v>50</v>
      </c>
      <c r="C247" s="15">
        <v>28</v>
      </c>
      <c r="D247" s="15" t="s">
        <v>84</v>
      </c>
      <c r="E247" s="15" t="s">
        <v>84</v>
      </c>
      <c r="F247" s="15">
        <v>50</v>
      </c>
      <c r="G247" s="15">
        <v>28</v>
      </c>
      <c r="H247" s="15" t="s">
        <v>84</v>
      </c>
      <c r="I247" s="15" t="s">
        <v>84</v>
      </c>
      <c r="J247" s="15" t="s">
        <v>84</v>
      </c>
      <c r="K247" s="15" t="s">
        <v>84</v>
      </c>
      <c r="L247" s="15" t="s">
        <v>84</v>
      </c>
      <c r="M247" s="15" t="s">
        <v>84</v>
      </c>
    </row>
    <row r="248" spans="1:13" ht="30" x14ac:dyDescent="0.25">
      <c r="A248" s="15" t="s">
        <v>85</v>
      </c>
      <c r="B248" s="15">
        <v>774</v>
      </c>
      <c r="C248" s="15">
        <v>385</v>
      </c>
      <c r="D248" s="15">
        <v>41</v>
      </c>
      <c r="E248" s="15">
        <v>22</v>
      </c>
      <c r="F248" s="15">
        <v>767</v>
      </c>
      <c r="G248" s="15">
        <v>382</v>
      </c>
      <c r="H248" s="15">
        <v>41</v>
      </c>
      <c r="I248" s="15">
        <v>22</v>
      </c>
      <c r="J248" s="15">
        <v>7</v>
      </c>
      <c r="K248" s="15">
        <v>3</v>
      </c>
      <c r="L248" s="15" t="s">
        <v>84</v>
      </c>
      <c r="M248" s="15" t="s">
        <v>84</v>
      </c>
    </row>
    <row r="249" spans="1:13" ht="30" x14ac:dyDescent="0.25">
      <c r="A249" s="15" t="s">
        <v>86</v>
      </c>
      <c r="B249" s="15">
        <v>313</v>
      </c>
      <c r="C249" s="15">
        <v>144</v>
      </c>
      <c r="D249" s="15">
        <v>38</v>
      </c>
      <c r="E249" s="15">
        <v>20</v>
      </c>
      <c r="F249" s="15">
        <v>312</v>
      </c>
      <c r="G249" s="15">
        <v>144</v>
      </c>
      <c r="H249" s="15">
        <v>38</v>
      </c>
      <c r="I249" s="15">
        <v>20</v>
      </c>
      <c r="J249" s="15">
        <v>1</v>
      </c>
      <c r="K249" s="15" t="s">
        <v>84</v>
      </c>
      <c r="L249" s="15" t="s">
        <v>84</v>
      </c>
      <c r="M249" s="15" t="s">
        <v>84</v>
      </c>
    </row>
    <row r="250" spans="1:13" ht="45" x14ac:dyDescent="0.25">
      <c r="A250" s="15" t="s">
        <v>87</v>
      </c>
      <c r="B250" s="15">
        <v>123</v>
      </c>
      <c r="C250" s="15">
        <v>54</v>
      </c>
      <c r="D250" s="15">
        <v>30</v>
      </c>
      <c r="E250" s="15">
        <v>11</v>
      </c>
      <c r="F250" s="15">
        <v>120</v>
      </c>
      <c r="G250" s="15">
        <v>53</v>
      </c>
      <c r="H250" s="15">
        <v>30</v>
      </c>
      <c r="I250" s="15">
        <v>11</v>
      </c>
      <c r="J250" s="15">
        <v>3</v>
      </c>
      <c r="K250" s="15">
        <v>1</v>
      </c>
      <c r="L250" s="15" t="s">
        <v>84</v>
      </c>
      <c r="M250" s="15" t="s">
        <v>84</v>
      </c>
    </row>
    <row r="251" spans="1:13" ht="45" x14ac:dyDescent="0.25">
      <c r="A251" s="15" t="s">
        <v>153</v>
      </c>
      <c r="B251" s="15">
        <v>30</v>
      </c>
      <c r="C251" s="15">
        <v>13</v>
      </c>
      <c r="D251" s="15" t="s">
        <v>84</v>
      </c>
      <c r="E251" s="15" t="s">
        <v>84</v>
      </c>
      <c r="F251" s="15">
        <v>29</v>
      </c>
      <c r="G251" s="15">
        <v>12</v>
      </c>
      <c r="H251" s="15" t="s">
        <v>84</v>
      </c>
      <c r="I251" s="15" t="s">
        <v>84</v>
      </c>
      <c r="J251" s="15">
        <v>1</v>
      </c>
      <c r="K251" s="15">
        <v>1</v>
      </c>
      <c r="L251" s="15" t="s">
        <v>84</v>
      </c>
      <c r="M251" s="15" t="s">
        <v>84</v>
      </c>
    </row>
    <row r="252" spans="1:13" ht="60" x14ac:dyDescent="0.25">
      <c r="A252" s="15" t="s">
        <v>154</v>
      </c>
      <c r="B252" s="15">
        <v>17</v>
      </c>
      <c r="C252" s="15">
        <v>11</v>
      </c>
      <c r="D252" s="15">
        <v>2</v>
      </c>
      <c r="E252" s="15">
        <v>1</v>
      </c>
      <c r="F252" s="15">
        <v>17</v>
      </c>
      <c r="G252" s="15">
        <v>11</v>
      </c>
      <c r="H252" s="15">
        <v>2</v>
      </c>
      <c r="I252" s="15">
        <v>1</v>
      </c>
      <c r="J252" s="15" t="s">
        <v>84</v>
      </c>
      <c r="K252" s="15" t="s">
        <v>84</v>
      </c>
      <c r="L252" s="15" t="s">
        <v>84</v>
      </c>
      <c r="M252" s="15" t="s">
        <v>84</v>
      </c>
    </row>
    <row r="253" spans="1:13" ht="15" customHeight="1" x14ac:dyDescent="0.25">
      <c r="A253" s="207" t="s">
        <v>110</v>
      </c>
      <c r="B253" s="208"/>
      <c r="C253" s="208"/>
      <c r="D253" s="208"/>
      <c r="E253" s="208"/>
      <c r="F253" s="208"/>
      <c r="G253" s="208"/>
      <c r="H253" s="208"/>
      <c r="I253" s="208"/>
      <c r="J253" s="208"/>
      <c r="K253" s="208"/>
      <c r="L253" s="208"/>
      <c r="M253" s="209"/>
    </row>
    <row r="254" spans="1:13" x14ac:dyDescent="0.25">
      <c r="A254" s="207"/>
      <c r="B254" s="208"/>
      <c r="C254" s="208"/>
      <c r="D254" s="208"/>
      <c r="E254" s="208"/>
      <c r="F254" s="208"/>
      <c r="G254" s="208"/>
      <c r="H254" s="208"/>
      <c r="I254" s="208"/>
      <c r="J254" s="208"/>
      <c r="K254" s="208"/>
      <c r="L254" s="208"/>
      <c r="M254" s="209"/>
    </row>
    <row r="255" spans="1:13" x14ac:dyDescent="0.25">
      <c r="A255" s="15" t="s">
        <v>83</v>
      </c>
      <c r="B255" s="15">
        <v>1795</v>
      </c>
      <c r="C255" s="15">
        <v>859</v>
      </c>
      <c r="D255" s="15">
        <v>128</v>
      </c>
      <c r="E255" s="15">
        <v>55</v>
      </c>
      <c r="F255" s="15">
        <v>1695</v>
      </c>
      <c r="G255" s="15">
        <v>816</v>
      </c>
      <c r="H255" s="15">
        <v>126</v>
      </c>
      <c r="I255" s="15">
        <v>55</v>
      </c>
      <c r="J255" s="15">
        <v>100</v>
      </c>
      <c r="K255" s="15">
        <v>43</v>
      </c>
      <c r="L255" s="15">
        <v>2</v>
      </c>
      <c r="M255" s="15" t="s">
        <v>84</v>
      </c>
    </row>
    <row r="256" spans="1:13" ht="30" x14ac:dyDescent="0.25">
      <c r="A256" s="15" t="s">
        <v>151</v>
      </c>
      <c r="B256" s="15">
        <v>423</v>
      </c>
      <c r="C256" s="15">
        <v>231</v>
      </c>
      <c r="D256" s="15">
        <v>5</v>
      </c>
      <c r="E256" s="15">
        <v>1</v>
      </c>
      <c r="F256" s="15">
        <v>354</v>
      </c>
      <c r="G256" s="15">
        <v>200</v>
      </c>
      <c r="H256" s="15">
        <v>4</v>
      </c>
      <c r="I256" s="15">
        <v>1</v>
      </c>
      <c r="J256" s="15">
        <v>69</v>
      </c>
      <c r="K256" s="15">
        <v>31</v>
      </c>
      <c r="L256" s="15">
        <v>1</v>
      </c>
      <c r="M256" s="15" t="s">
        <v>84</v>
      </c>
    </row>
    <row r="257" spans="1:13" ht="60" x14ac:dyDescent="0.25">
      <c r="A257" s="15" t="s">
        <v>152</v>
      </c>
      <c r="B257" s="15">
        <v>42</v>
      </c>
      <c r="C257" s="15">
        <v>16</v>
      </c>
      <c r="D257" s="15">
        <v>2</v>
      </c>
      <c r="E257" s="15">
        <v>1</v>
      </c>
      <c r="F257" s="15">
        <v>33</v>
      </c>
      <c r="G257" s="15">
        <v>14</v>
      </c>
      <c r="H257" s="15">
        <v>1</v>
      </c>
      <c r="I257" s="15">
        <v>1</v>
      </c>
      <c r="J257" s="15">
        <v>9</v>
      </c>
      <c r="K257" s="15">
        <v>2</v>
      </c>
      <c r="L257" s="15">
        <v>1</v>
      </c>
      <c r="M257" s="15" t="s">
        <v>84</v>
      </c>
    </row>
    <row r="258" spans="1:13" ht="30" x14ac:dyDescent="0.25">
      <c r="A258" s="15" t="s">
        <v>85</v>
      </c>
      <c r="B258" s="15">
        <v>877</v>
      </c>
      <c r="C258" s="15">
        <v>443</v>
      </c>
      <c r="D258" s="15">
        <v>43</v>
      </c>
      <c r="E258" s="15">
        <v>22</v>
      </c>
      <c r="F258" s="15">
        <v>861</v>
      </c>
      <c r="G258" s="15">
        <v>435</v>
      </c>
      <c r="H258" s="15">
        <v>43</v>
      </c>
      <c r="I258" s="15">
        <v>22</v>
      </c>
      <c r="J258" s="15">
        <v>16</v>
      </c>
      <c r="K258" s="15">
        <v>8</v>
      </c>
      <c r="L258" s="15" t="s">
        <v>84</v>
      </c>
      <c r="M258" s="15" t="s">
        <v>84</v>
      </c>
    </row>
    <row r="259" spans="1:13" ht="30" x14ac:dyDescent="0.25">
      <c r="A259" s="15" t="s">
        <v>86</v>
      </c>
      <c r="B259" s="15">
        <v>302</v>
      </c>
      <c r="C259" s="15">
        <v>115</v>
      </c>
      <c r="D259" s="15">
        <v>43</v>
      </c>
      <c r="E259" s="15">
        <v>16</v>
      </c>
      <c r="F259" s="15">
        <v>296</v>
      </c>
      <c r="G259" s="15">
        <v>113</v>
      </c>
      <c r="H259" s="15">
        <v>43</v>
      </c>
      <c r="I259" s="15">
        <v>16</v>
      </c>
      <c r="J259" s="15">
        <v>6</v>
      </c>
      <c r="K259" s="15">
        <v>2</v>
      </c>
      <c r="L259" s="15" t="s">
        <v>84</v>
      </c>
      <c r="M259" s="15" t="s">
        <v>84</v>
      </c>
    </row>
    <row r="260" spans="1:13" ht="45" x14ac:dyDescent="0.25">
      <c r="A260" s="15" t="s">
        <v>87</v>
      </c>
      <c r="B260" s="15">
        <v>151</v>
      </c>
      <c r="C260" s="15">
        <v>54</v>
      </c>
      <c r="D260" s="15">
        <v>35</v>
      </c>
      <c r="E260" s="15">
        <v>15</v>
      </c>
      <c r="F260" s="15">
        <v>151</v>
      </c>
      <c r="G260" s="15">
        <v>54</v>
      </c>
      <c r="H260" s="15">
        <v>35</v>
      </c>
      <c r="I260" s="15">
        <v>15</v>
      </c>
      <c r="J260" s="15" t="s">
        <v>84</v>
      </c>
      <c r="K260" s="15" t="s">
        <v>84</v>
      </c>
      <c r="L260" s="15" t="s">
        <v>84</v>
      </c>
      <c r="M260" s="15" t="s">
        <v>84</v>
      </c>
    </row>
    <row r="261" spans="1:13" ht="45" x14ac:dyDescent="0.25">
      <c r="A261" s="15" t="s">
        <v>153</v>
      </c>
      <c r="B261" s="15">
        <v>24</v>
      </c>
      <c r="C261" s="15">
        <v>7</v>
      </c>
      <c r="D261" s="15" t="s">
        <v>84</v>
      </c>
      <c r="E261" s="15" t="s">
        <v>84</v>
      </c>
      <c r="F261" s="15">
        <v>24</v>
      </c>
      <c r="G261" s="15">
        <v>7</v>
      </c>
      <c r="H261" s="15" t="s">
        <v>84</v>
      </c>
      <c r="I261" s="15" t="s">
        <v>84</v>
      </c>
      <c r="J261" s="15" t="s">
        <v>84</v>
      </c>
      <c r="K261" s="15" t="s">
        <v>84</v>
      </c>
      <c r="L261" s="15" t="s">
        <v>84</v>
      </c>
      <c r="M261" s="15" t="s">
        <v>84</v>
      </c>
    </row>
    <row r="262" spans="1:13" ht="60" x14ac:dyDescent="0.25">
      <c r="A262" s="15" t="s">
        <v>154</v>
      </c>
      <c r="B262" s="15">
        <v>31</v>
      </c>
      <c r="C262" s="15">
        <v>10</v>
      </c>
      <c r="D262" s="15" t="s">
        <v>84</v>
      </c>
      <c r="E262" s="15" t="s">
        <v>84</v>
      </c>
      <c r="F262" s="15">
        <v>31</v>
      </c>
      <c r="G262" s="15">
        <v>10</v>
      </c>
      <c r="H262" s="15" t="s">
        <v>84</v>
      </c>
      <c r="I262" s="15" t="s">
        <v>84</v>
      </c>
      <c r="J262" s="15" t="s">
        <v>84</v>
      </c>
      <c r="K262" s="15" t="s">
        <v>84</v>
      </c>
      <c r="L262" s="15" t="s">
        <v>84</v>
      </c>
      <c r="M262" s="15" t="s">
        <v>84</v>
      </c>
    </row>
    <row r="263" spans="1:13" ht="15" customHeight="1" x14ac:dyDescent="0.25">
      <c r="A263" s="207" t="s">
        <v>111</v>
      </c>
      <c r="B263" s="208"/>
      <c r="C263" s="208"/>
      <c r="D263" s="208"/>
      <c r="E263" s="208"/>
      <c r="F263" s="208"/>
      <c r="G263" s="208"/>
      <c r="H263" s="208"/>
      <c r="I263" s="208"/>
      <c r="J263" s="208"/>
      <c r="K263" s="208"/>
      <c r="L263" s="208"/>
      <c r="M263" s="209"/>
    </row>
    <row r="264" spans="1:13" x14ac:dyDescent="0.25">
      <c r="A264" s="207"/>
      <c r="B264" s="208"/>
      <c r="C264" s="208"/>
      <c r="D264" s="208"/>
      <c r="E264" s="208"/>
      <c r="F264" s="208"/>
      <c r="G264" s="208"/>
      <c r="H264" s="208"/>
      <c r="I264" s="208"/>
      <c r="J264" s="208"/>
      <c r="K264" s="208"/>
      <c r="L264" s="208"/>
      <c r="M264" s="209"/>
    </row>
    <row r="265" spans="1:13" x14ac:dyDescent="0.25">
      <c r="A265" s="15" t="s">
        <v>83</v>
      </c>
      <c r="B265" s="15">
        <v>2372</v>
      </c>
      <c r="C265" s="15">
        <v>1132</v>
      </c>
      <c r="D265" s="15">
        <v>116</v>
      </c>
      <c r="E265" s="15">
        <v>56</v>
      </c>
      <c r="F265" s="15">
        <v>2326</v>
      </c>
      <c r="G265" s="15">
        <v>1106</v>
      </c>
      <c r="H265" s="15">
        <v>116</v>
      </c>
      <c r="I265" s="15">
        <v>56</v>
      </c>
      <c r="J265" s="15">
        <v>46</v>
      </c>
      <c r="K265" s="15">
        <v>26</v>
      </c>
      <c r="L265" s="15" t="s">
        <v>84</v>
      </c>
      <c r="M265" s="15" t="s">
        <v>84</v>
      </c>
    </row>
    <row r="266" spans="1:13" ht="30" x14ac:dyDescent="0.25">
      <c r="A266" s="15" t="s">
        <v>151</v>
      </c>
      <c r="B266" s="15">
        <v>944</v>
      </c>
      <c r="C266" s="15">
        <v>489</v>
      </c>
      <c r="D266" s="15">
        <v>11</v>
      </c>
      <c r="E266" s="15">
        <v>6</v>
      </c>
      <c r="F266" s="15">
        <v>929</v>
      </c>
      <c r="G266" s="15">
        <v>481</v>
      </c>
      <c r="H266" s="15">
        <v>11</v>
      </c>
      <c r="I266" s="15">
        <v>6</v>
      </c>
      <c r="J266" s="15">
        <v>15</v>
      </c>
      <c r="K266" s="15">
        <v>8</v>
      </c>
      <c r="L266" s="15" t="s">
        <v>84</v>
      </c>
      <c r="M266" s="15" t="s">
        <v>84</v>
      </c>
    </row>
    <row r="267" spans="1:13" ht="60" x14ac:dyDescent="0.25">
      <c r="A267" s="15" t="s">
        <v>152</v>
      </c>
      <c r="B267" s="15">
        <v>89</v>
      </c>
      <c r="C267" s="15">
        <v>32</v>
      </c>
      <c r="D267" s="15">
        <v>8</v>
      </c>
      <c r="E267" s="15">
        <v>1</v>
      </c>
      <c r="F267" s="15">
        <v>87</v>
      </c>
      <c r="G267" s="15">
        <v>31</v>
      </c>
      <c r="H267" s="15">
        <v>8</v>
      </c>
      <c r="I267" s="15">
        <v>1</v>
      </c>
      <c r="J267" s="15">
        <v>2</v>
      </c>
      <c r="K267" s="15">
        <v>1</v>
      </c>
      <c r="L267" s="15" t="s">
        <v>84</v>
      </c>
      <c r="M267" s="15" t="s">
        <v>84</v>
      </c>
    </row>
    <row r="268" spans="1:13" ht="30" x14ac:dyDescent="0.25">
      <c r="A268" s="15" t="s">
        <v>85</v>
      </c>
      <c r="B268" s="15">
        <v>975</v>
      </c>
      <c r="C268" s="15">
        <v>452</v>
      </c>
      <c r="D268" s="15">
        <v>49</v>
      </c>
      <c r="E268" s="15">
        <v>20</v>
      </c>
      <c r="F268" s="15">
        <v>957</v>
      </c>
      <c r="G268" s="15">
        <v>441</v>
      </c>
      <c r="H268" s="15">
        <v>49</v>
      </c>
      <c r="I268" s="15">
        <v>20</v>
      </c>
      <c r="J268" s="15">
        <v>18</v>
      </c>
      <c r="K268" s="15">
        <v>11</v>
      </c>
      <c r="L268" s="15" t="s">
        <v>84</v>
      </c>
      <c r="M268" s="15" t="s">
        <v>84</v>
      </c>
    </row>
    <row r="269" spans="1:13" ht="30" x14ac:dyDescent="0.25">
      <c r="A269" s="15" t="s">
        <v>86</v>
      </c>
      <c r="B269" s="15">
        <v>244</v>
      </c>
      <c r="C269" s="15">
        <v>110</v>
      </c>
      <c r="D269" s="15">
        <v>27</v>
      </c>
      <c r="E269" s="15">
        <v>20</v>
      </c>
      <c r="F269" s="15">
        <v>240</v>
      </c>
      <c r="G269" s="15">
        <v>107</v>
      </c>
      <c r="H269" s="15">
        <v>27</v>
      </c>
      <c r="I269" s="15">
        <v>20</v>
      </c>
      <c r="J269" s="15">
        <v>4</v>
      </c>
      <c r="K269" s="15">
        <v>3</v>
      </c>
      <c r="L269" s="15" t="s">
        <v>84</v>
      </c>
      <c r="M269" s="15" t="s">
        <v>84</v>
      </c>
    </row>
    <row r="270" spans="1:13" ht="45" x14ac:dyDescent="0.25">
      <c r="A270" s="15" t="s">
        <v>87</v>
      </c>
      <c r="B270" s="15">
        <v>120</v>
      </c>
      <c r="C270" s="15">
        <v>49</v>
      </c>
      <c r="D270" s="15">
        <v>21</v>
      </c>
      <c r="E270" s="15">
        <v>9</v>
      </c>
      <c r="F270" s="15">
        <v>113</v>
      </c>
      <c r="G270" s="15">
        <v>46</v>
      </c>
      <c r="H270" s="15">
        <v>21</v>
      </c>
      <c r="I270" s="15">
        <v>9</v>
      </c>
      <c r="J270" s="15">
        <v>7</v>
      </c>
      <c r="K270" s="15">
        <v>3</v>
      </c>
      <c r="L270" s="15" t="s">
        <v>84</v>
      </c>
      <c r="M270" s="15" t="s">
        <v>84</v>
      </c>
    </row>
    <row r="271" spans="1:13" ht="45" x14ac:dyDescent="0.25">
      <c r="A271" s="15" t="s">
        <v>153</v>
      </c>
      <c r="B271" s="15">
        <v>25</v>
      </c>
      <c r="C271" s="15">
        <v>9</v>
      </c>
      <c r="D271" s="15">
        <v>4</v>
      </c>
      <c r="E271" s="15">
        <v>1</v>
      </c>
      <c r="F271" s="15">
        <v>25</v>
      </c>
      <c r="G271" s="15">
        <v>9</v>
      </c>
      <c r="H271" s="15">
        <v>4</v>
      </c>
      <c r="I271" s="15">
        <v>1</v>
      </c>
      <c r="J271" s="15" t="s">
        <v>84</v>
      </c>
      <c r="K271" s="15" t="s">
        <v>84</v>
      </c>
      <c r="L271" s="15" t="s">
        <v>84</v>
      </c>
      <c r="M271" s="15" t="s">
        <v>84</v>
      </c>
    </row>
    <row r="272" spans="1:13" ht="60" x14ac:dyDescent="0.25">
      <c r="A272" s="15" t="s">
        <v>154</v>
      </c>
      <c r="B272" s="15">
        <v>39</v>
      </c>
      <c r="C272" s="15">
        <v>17</v>
      </c>
      <c r="D272" s="15">
        <v>5</v>
      </c>
      <c r="E272" s="15">
        <v>3</v>
      </c>
      <c r="F272" s="15">
        <v>32</v>
      </c>
      <c r="G272" s="15">
        <v>14</v>
      </c>
      <c r="H272" s="15">
        <v>5</v>
      </c>
      <c r="I272" s="15">
        <v>3</v>
      </c>
      <c r="J272" s="15">
        <v>7</v>
      </c>
      <c r="K272" s="15">
        <v>3</v>
      </c>
      <c r="L272" s="15" t="s">
        <v>84</v>
      </c>
      <c r="M272" s="15" t="s">
        <v>84</v>
      </c>
    </row>
    <row r="273" spans="1:13" ht="15" customHeight="1" x14ac:dyDescent="0.25">
      <c r="A273" s="207" t="s">
        <v>112</v>
      </c>
      <c r="B273" s="208"/>
      <c r="C273" s="208"/>
      <c r="D273" s="208"/>
      <c r="E273" s="208"/>
      <c r="F273" s="208"/>
      <c r="G273" s="208"/>
      <c r="H273" s="208"/>
      <c r="I273" s="208"/>
      <c r="J273" s="208"/>
      <c r="K273" s="208"/>
      <c r="L273" s="208"/>
      <c r="M273" s="209"/>
    </row>
    <row r="274" spans="1:13" x14ac:dyDescent="0.25">
      <c r="A274" s="207"/>
      <c r="B274" s="208"/>
      <c r="C274" s="208"/>
      <c r="D274" s="208"/>
      <c r="E274" s="208"/>
      <c r="F274" s="208"/>
      <c r="G274" s="208"/>
      <c r="H274" s="208"/>
      <c r="I274" s="208"/>
      <c r="J274" s="208"/>
      <c r="K274" s="208"/>
      <c r="L274" s="208"/>
      <c r="M274" s="209"/>
    </row>
    <row r="275" spans="1:13" x14ac:dyDescent="0.25">
      <c r="A275" s="15" t="s">
        <v>83</v>
      </c>
      <c r="B275" s="15">
        <v>552</v>
      </c>
      <c r="C275" s="15">
        <v>275</v>
      </c>
      <c r="D275" s="15">
        <v>18</v>
      </c>
      <c r="E275" s="15">
        <v>6</v>
      </c>
      <c r="F275" s="15">
        <v>483</v>
      </c>
      <c r="G275" s="15">
        <v>244</v>
      </c>
      <c r="H275" s="15">
        <v>16</v>
      </c>
      <c r="I275" s="15">
        <v>6</v>
      </c>
      <c r="J275" s="15">
        <v>69</v>
      </c>
      <c r="K275" s="15">
        <v>31</v>
      </c>
      <c r="L275" s="15">
        <v>2</v>
      </c>
      <c r="M275" s="15" t="s">
        <v>84</v>
      </c>
    </row>
    <row r="276" spans="1:13" ht="30" x14ac:dyDescent="0.25">
      <c r="A276" s="15" t="s">
        <v>151</v>
      </c>
      <c r="B276" s="15">
        <v>159</v>
      </c>
      <c r="C276" s="15">
        <v>98</v>
      </c>
      <c r="D276" s="15">
        <v>2</v>
      </c>
      <c r="E276" s="15">
        <v>2</v>
      </c>
      <c r="F276" s="15">
        <v>145</v>
      </c>
      <c r="G276" s="15">
        <v>86</v>
      </c>
      <c r="H276" s="15">
        <v>2</v>
      </c>
      <c r="I276" s="15">
        <v>2</v>
      </c>
      <c r="J276" s="15">
        <v>14</v>
      </c>
      <c r="K276" s="15">
        <v>12</v>
      </c>
      <c r="L276" s="15" t="s">
        <v>84</v>
      </c>
      <c r="M276" s="15" t="s">
        <v>84</v>
      </c>
    </row>
    <row r="277" spans="1:13" ht="60" x14ac:dyDescent="0.25">
      <c r="A277" s="15" t="s">
        <v>152</v>
      </c>
      <c r="B277" s="15">
        <v>9</v>
      </c>
      <c r="C277" s="15">
        <v>2</v>
      </c>
      <c r="D277" s="15">
        <v>2</v>
      </c>
      <c r="E277" s="15" t="s">
        <v>84</v>
      </c>
      <c r="F277" s="15">
        <v>9</v>
      </c>
      <c r="G277" s="15">
        <v>2</v>
      </c>
      <c r="H277" s="15">
        <v>2</v>
      </c>
      <c r="I277" s="15" t="s">
        <v>84</v>
      </c>
      <c r="J277" s="15" t="s">
        <v>84</v>
      </c>
      <c r="K277" s="15" t="s">
        <v>84</v>
      </c>
      <c r="L277" s="15" t="s">
        <v>84</v>
      </c>
      <c r="M277" s="15" t="s">
        <v>84</v>
      </c>
    </row>
    <row r="278" spans="1:13" ht="30" x14ac:dyDescent="0.25">
      <c r="A278" s="15" t="s">
        <v>85</v>
      </c>
      <c r="B278" s="15">
        <v>248</v>
      </c>
      <c r="C278" s="15">
        <v>131</v>
      </c>
      <c r="D278" s="15">
        <v>9</v>
      </c>
      <c r="E278" s="15">
        <v>4</v>
      </c>
      <c r="F278" s="15">
        <v>240</v>
      </c>
      <c r="G278" s="15">
        <v>128</v>
      </c>
      <c r="H278" s="15">
        <v>9</v>
      </c>
      <c r="I278" s="15">
        <v>4</v>
      </c>
      <c r="J278" s="15">
        <v>8</v>
      </c>
      <c r="K278" s="15">
        <v>3</v>
      </c>
      <c r="L278" s="15" t="s">
        <v>84</v>
      </c>
      <c r="M278" s="15" t="s">
        <v>84</v>
      </c>
    </row>
    <row r="279" spans="1:13" ht="30" x14ac:dyDescent="0.25">
      <c r="A279" s="15" t="s">
        <v>86</v>
      </c>
      <c r="B279" s="15">
        <v>93</v>
      </c>
      <c r="C279" s="15">
        <v>36</v>
      </c>
      <c r="D279" s="15">
        <v>2</v>
      </c>
      <c r="E279" s="15" t="s">
        <v>84</v>
      </c>
      <c r="F279" s="15">
        <v>67</v>
      </c>
      <c r="G279" s="15">
        <v>24</v>
      </c>
      <c r="H279" s="15">
        <v>2</v>
      </c>
      <c r="I279" s="15" t="s">
        <v>84</v>
      </c>
      <c r="J279" s="15">
        <v>26</v>
      </c>
      <c r="K279" s="15">
        <v>12</v>
      </c>
      <c r="L279" s="15" t="s">
        <v>84</v>
      </c>
      <c r="M279" s="15" t="s">
        <v>84</v>
      </c>
    </row>
    <row r="280" spans="1:13" ht="45" x14ac:dyDescent="0.25">
      <c r="A280" s="15" t="s">
        <v>87</v>
      </c>
      <c r="B280" s="15">
        <v>43</v>
      </c>
      <c r="C280" s="15">
        <v>8</v>
      </c>
      <c r="D280" s="15">
        <v>3</v>
      </c>
      <c r="E280" s="15" t="s">
        <v>84</v>
      </c>
      <c r="F280" s="15">
        <v>22</v>
      </c>
      <c r="G280" s="15">
        <v>4</v>
      </c>
      <c r="H280" s="15">
        <v>1</v>
      </c>
      <c r="I280" s="15" t="s">
        <v>84</v>
      </c>
      <c r="J280" s="15">
        <v>21</v>
      </c>
      <c r="K280" s="15">
        <v>4</v>
      </c>
      <c r="L280" s="15">
        <v>2</v>
      </c>
      <c r="M280" s="15" t="s">
        <v>84</v>
      </c>
    </row>
    <row r="281" spans="1:13" ht="45" x14ac:dyDescent="0.25">
      <c r="A281" s="15" t="s">
        <v>153</v>
      </c>
      <c r="B281" s="15">
        <v>15</v>
      </c>
      <c r="C281" s="15">
        <v>1</v>
      </c>
      <c r="D281" s="15" t="s">
        <v>84</v>
      </c>
      <c r="E281" s="15" t="s">
        <v>84</v>
      </c>
      <c r="F281" s="15">
        <v>10</v>
      </c>
      <c r="G281" s="15">
        <v>1</v>
      </c>
      <c r="H281" s="15" t="s">
        <v>84</v>
      </c>
      <c r="I281" s="15" t="s">
        <v>84</v>
      </c>
      <c r="J281" s="15">
        <v>5</v>
      </c>
      <c r="K281" s="15" t="s">
        <v>84</v>
      </c>
      <c r="L281" s="15" t="s">
        <v>84</v>
      </c>
      <c r="M281" s="15" t="s">
        <v>84</v>
      </c>
    </row>
    <row r="282" spans="1:13" ht="60" x14ac:dyDescent="0.25">
      <c r="A282" s="15" t="s">
        <v>154</v>
      </c>
      <c r="B282" s="15">
        <v>13</v>
      </c>
      <c r="C282" s="15">
        <v>5</v>
      </c>
      <c r="D282" s="15" t="s">
        <v>84</v>
      </c>
      <c r="E282" s="15" t="s">
        <v>84</v>
      </c>
      <c r="F282" s="15">
        <v>1</v>
      </c>
      <c r="G282" s="15">
        <v>1</v>
      </c>
      <c r="H282" s="15" t="s">
        <v>84</v>
      </c>
      <c r="I282" s="15" t="s">
        <v>84</v>
      </c>
      <c r="J282" s="15">
        <v>12</v>
      </c>
      <c r="K282" s="15">
        <v>4</v>
      </c>
      <c r="L282" s="15" t="s">
        <v>84</v>
      </c>
      <c r="M282" s="15" t="s">
        <v>84</v>
      </c>
    </row>
    <row r="283" spans="1:13" ht="15" customHeight="1" x14ac:dyDescent="0.25">
      <c r="A283" s="207" t="s">
        <v>113</v>
      </c>
      <c r="B283" s="208"/>
      <c r="C283" s="208"/>
      <c r="D283" s="208"/>
      <c r="E283" s="208"/>
      <c r="F283" s="208"/>
      <c r="G283" s="208"/>
      <c r="H283" s="208"/>
      <c r="I283" s="208"/>
      <c r="J283" s="208"/>
      <c r="K283" s="208"/>
      <c r="L283" s="208"/>
      <c r="M283" s="209"/>
    </row>
    <row r="284" spans="1:13" x14ac:dyDescent="0.25">
      <c r="A284" s="207"/>
      <c r="B284" s="208"/>
      <c r="C284" s="208"/>
      <c r="D284" s="208"/>
      <c r="E284" s="208"/>
      <c r="F284" s="208"/>
      <c r="G284" s="208"/>
      <c r="H284" s="208"/>
      <c r="I284" s="208"/>
      <c r="J284" s="208"/>
      <c r="K284" s="208"/>
      <c r="L284" s="208"/>
      <c r="M284" s="209"/>
    </row>
    <row r="285" spans="1:13" x14ac:dyDescent="0.25">
      <c r="A285" s="15" t="s">
        <v>83</v>
      </c>
      <c r="B285" s="15">
        <v>1909</v>
      </c>
      <c r="C285" s="15">
        <v>911</v>
      </c>
      <c r="D285" s="15">
        <v>133</v>
      </c>
      <c r="E285" s="15">
        <v>58</v>
      </c>
      <c r="F285" s="15">
        <v>1797</v>
      </c>
      <c r="G285" s="15">
        <v>858</v>
      </c>
      <c r="H285" s="15">
        <v>128</v>
      </c>
      <c r="I285" s="15">
        <v>55</v>
      </c>
      <c r="J285" s="15">
        <v>112</v>
      </c>
      <c r="K285" s="15">
        <v>53</v>
      </c>
      <c r="L285" s="15">
        <v>5</v>
      </c>
      <c r="M285" s="15">
        <v>3</v>
      </c>
    </row>
    <row r="286" spans="1:13" ht="30" x14ac:dyDescent="0.25">
      <c r="A286" s="15" t="s">
        <v>151</v>
      </c>
      <c r="B286" s="15">
        <v>747</v>
      </c>
      <c r="C286" s="15">
        <v>409</v>
      </c>
      <c r="D286" s="15">
        <v>9</v>
      </c>
      <c r="E286" s="15">
        <v>5</v>
      </c>
      <c r="F286" s="15">
        <v>658</v>
      </c>
      <c r="G286" s="15">
        <v>367</v>
      </c>
      <c r="H286" s="15">
        <v>4</v>
      </c>
      <c r="I286" s="15">
        <v>2</v>
      </c>
      <c r="J286" s="15">
        <v>89</v>
      </c>
      <c r="K286" s="15">
        <v>42</v>
      </c>
      <c r="L286" s="15">
        <v>5</v>
      </c>
      <c r="M286" s="15">
        <v>3</v>
      </c>
    </row>
    <row r="287" spans="1:13" ht="60" x14ac:dyDescent="0.25">
      <c r="A287" s="15" t="s">
        <v>152</v>
      </c>
      <c r="B287" s="15">
        <v>42</v>
      </c>
      <c r="C287" s="15">
        <v>17</v>
      </c>
      <c r="D287" s="15" t="s">
        <v>84</v>
      </c>
      <c r="E287" s="15" t="s">
        <v>84</v>
      </c>
      <c r="F287" s="15">
        <v>40</v>
      </c>
      <c r="G287" s="15">
        <v>16</v>
      </c>
      <c r="H287" s="15" t="s">
        <v>84</v>
      </c>
      <c r="I287" s="15" t="s">
        <v>84</v>
      </c>
      <c r="J287" s="15">
        <v>2</v>
      </c>
      <c r="K287" s="15">
        <v>1</v>
      </c>
      <c r="L287" s="15" t="s">
        <v>84</v>
      </c>
      <c r="M287" s="15" t="s">
        <v>84</v>
      </c>
    </row>
    <row r="288" spans="1:13" ht="30" x14ac:dyDescent="0.25">
      <c r="A288" s="15" t="s">
        <v>85</v>
      </c>
      <c r="B288" s="15">
        <v>735</v>
      </c>
      <c r="C288" s="15">
        <v>336</v>
      </c>
      <c r="D288" s="15">
        <v>41</v>
      </c>
      <c r="E288" s="15">
        <v>23</v>
      </c>
      <c r="F288" s="15">
        <v>715</v>
      </c>
      <c r="G288" s="15">
        <v>326</v>
      </c>
      <c r="H288" s="15">
        <v>41</v>
      </c>
      <c r="I288" s="15">
        <v>23</v>
      </c>
      <c r="J288" s="15">
        <v>20</v>
      </c>
      <c r="K288" s="15">
        <v>10</v>
      </c>
      <c r="L288" s="15" t="s">
        <v>84</v>
      </c>
      <c r="M288" s="15" t="s">
        <v>84</v>
      </c>
    </row>
    <row r="289" spans="1:13" ht="30" x14ac:dyDescent="0.25">
      <c r="A289" s="15" t="s">
        <v>86</v>
      </c>
      <c r="B289" s="15">
        <v>276</v>
      </c>
      <c r="C289" s="15">
        <v>103</v>
      </c>
      <c r="D289" s="15">
        <v>56</v>
      </c>
      <c r="E289" s="15">
        <v>17</v>
      </c>
      <c r="F289" s="15">
        <v>276</v>
      </c>
      <c r="G289" s="15">
        <v>103</v>
      </c>
      <c r="H289" s="15">
        <v>56</v>
      </c>
      <c r="I289" s="15">
        <v>17</v>
      </c>
      <c r="J289" s="15" t="s">
        <v>84</v>
      </c>
      <c r="K289" s="15" t="s">
        <v>84</v>
      </c>
      <c r="L289" s="15" t="s">
        <v>84</v>
      </c>
      <c r="M289" s="15" t="s">
        <v>84</v>
      </c>
    </row>
    <row r="290" spans="1:13" ht="45" x14ac:dyDescent="0.25">
      <c r="A290" s="15" t="s">
        <v>87</v>
      </c>
      <c r="B290" s="15">
        <v>109</v>
      </c>
      <c r="C290" s="15">
        <v>46</v>
      </c>
      <c r="D290" s="15">
        <v>27</v>
      </c>
      <c r="E290" s="15">
        <v>13</v>
      </c>
      <c r="F290" s="15">
        <v>108</v>
      </c>
      <c r="G290" s="15">
        <v>46</v>
      </c>
      <c r="H290" s="15">
        <v>27</v>
      </c>
      <c r="I290" s="15">
        <v>13</v>
      </c>
      <c r="J290" s="15">
        <v>1</v>
      </c>
      <c r="K290" s="15" t="s">
        <v>84</v>
      </c>
      <c r="L290" s="15" t="s">
        <v>84</v>
      </c>
      <c r="M290" s="15" t="s">
        <v>84</v>
      </c>
    </row>
    <row r="291" spans="1:13" ht="45" x14ac:dyDescent="0.25">
      <c r="A291" s="15" t="s">
        <v>153</v>
      </c>
      <c r="B291" s="15">
        <v>19</v>
      </c>
      <c r="C291" s="15">
        <v>7</v>
      </c>
      <c r="D291" s="15" t="s">
        <v>84</v>
      </c>
      <c r="E291" s="15" t="s">
        <v>84</v>
      </c>
      <c r="F291" s="15">
        <v>18</v>
      </c>
      <c r="G291" s="15">
        <v>7</v>
      </c>
      <c r="H291" s="15" t="s">
        <v>84</v>
      </c>
      <c r="I291" s="15" t="s">
        <v>84</v>
      </c>
      <c r="J291" s="15">
        <v>1</v>
      </c>
      <c r="K291" s="15" t="s">
        <v>84</v>
      </c>
      <c r="L291" s="15" t="s">
        <v>84</v>
      </c>
      <c r="M291" s="15" t="s">
        <v>84</v>
      </c>
    </row>
    <row r="292" spans="1:13" ht="60" x14ac:dyDescent="0.25">
      <c r="A292" s="15" t="s">
        <v>154</v>
      </c>
      <c r="B292" s="15">
        <v>17</v>
      </c>
      <c r="C292" s="15">
        <v>5</v>
      </c>
      <c r="D292" s="15">
        <v>1</v>
      </c>
      <c r="E292" s="15" t="s">
        <v>84</v>
      </c>
      <c r="F292" s="15">
        <v>17</v>
      </c>
      <c r="G292" s="15">
        <v>5</v>
      </c>
      <c r="H292" s="15">
        <v>1</v>
      </c>
      <c r="I292" s="15" t="s">
        <v>84</v>
      </c>
      <c r="J292" s="15" t="s">
        <v>84</v>
      </c>
      <c r="K292" s="15" t="s">
        <v>84</v>
      </c>
      <c r="L292" s="15" t="s">
        <v>84</v>
      </c>
      <c r="M292" s="15" t="s">
        <v>84</v>
      </c>
    </row>
    <row r="293" spans="1:13" ht="15" customHeight="1" x14ac:dyDescent="0.25">
      <c r="A293" s="207" t="s">
        <v>114</v>
      </c>
      <c r="B293" s="208"/>
      <c r="C293" s="208"/>
      <c r="D293" s="208"/>
      <c r="E293" s="208"/>
      <c r="F293" s="208"/>
      <c r="G293" s="208"/>
      <c r="H293" s="208"/>
      <c r="I293" s="208"/>
      <c r="J293" s="208"/>
      <c r="K293" s="208"/>
      <c r="L293" s="208"/>
      <c r="M293" s="209"/>
    </row>
    <row r="294" spans="1:13" x14ac:dyDescent="0.25">
      <c r="A294" s="207"/>
      <c r="B294" s="208"/>
      <c r="C294" s="208"/>
      <c r="D294" s="208"/>
      <c r="E294" s="208"/>
      <c r="F294" s="208"/>
      <c r="G294" s="208"/>
      <c r="H294" s="208"/>
      <c r="I294" s="208"/>
      <c r="J294" s="208"/>
      <c r="K294" s="208"/>
      <c r="L294" s="208"/>
      <c r="M294" s="209"/>
    </row>
    <row r="295" spans="1:13" x14ac:dyDescent="0.25">
      <c r="A295" s="15" t="s">
        <v>83</v>
      </c>
      <c r="B295" s="15">
        <v>1027</v>
      </c>
      <c r="C295" s="15">
        <v>516</v>
      </c>
      <c r="D295" s="15">
        <v>45</v>
      </c>
      <c r="E295" s="15">
        <v>18</v>
      </c>
      <c r="F295" s="15">
        <v>1027</v>
      </c>
      <c r="G295" s="15">
        <v>516</v>
      </c>
      <c r="H295" s="15">
        <v>45</v>
      </c>
      <c r="I295" s="15">
        <v>18</v>
      </c>
      <c r="J295" s="15" t="s">
        <v>84</v>
      </c>
      <c r="K295" s="15" t="s">
        <v>84</v>
      </c>
      <c r="L295" s="15" t="s">
        <v>84</v>
      </c>
      <c r="M295" s="15" t="s">
        <v>84</v>
      </c>
    </row>
    <row r="296" spans="1:13" ht="30" x14ac:dyDescent="0.25">
      <c r="A296" s="15" t="s">
        <v>151</v>
      </c>
      <c r="B296" s="15">
        <v>367</v>
      </c>
      <c r="C296" s="15">
        <v>221</v>
      </c>
      <c r="D296" s="15">
        <v>5</v>
      </c>
      <c r="E296" s="15">
        <v>3</v>
      </c>
      <c r="F296" s="15">
        <v>367</v>
      </c>
      <c r="G296" s="15">
        <v>221</v>
      </c>
      <c r="H296" s="15">
        <v>5</v>
      </c>
      <c r="I296" s="15">
        <v>3</v>
      </c>
      <c r="J296" s="15" t="s">
        <v>84</v>
      </c>
      <c r="K296" s="15" t="s">
        <v>84</v>
      </c>
      <c r="L296" s="15" t="s">
        <v>84</v>
      </c>
      <c r="M296" s="15" t="s">
        <v>84</v>
      </c>
    </row>
    <row r="297" spans="1:13" ht="60" x14ac:dyDescent="0.25">
      <c r="A297" s="15" t="s">
        <v>152</v>
      </c>
      <c r="B297" s="15">
        <v>30</v>
      </c>
      <c r="C297" s="15">
        <v>16</v>
      </c>
      <c r="D297" s="15">
        <v>1</v>
      </c>
      <c r="E297" s="15" t="s">
        <v>84</v>
      </c>
      <c r="F297" s="15">
        <v>30</v>
      </c>
      <c r="G297" s="15">
        <v>16</v>
      </c>
      <c r="H297" s="15">
        <v>1</v>
      </c>
      <c r="I297" s="15" t="s">
        <v>84</v>
      </c>
      <c r="J297" s="15" t="s">
        <v>84</v>
      </c>
      <c r="K297" s="15" t="s">
        <v>84</v>
      </c>
      <c r="L297" s="15" t="s">
        <v>84</v>
      </c>
      <c r="M297" s="15" t="s">
        <v>84</v>
      </c>
    </row>
    <row r="298" spans="1:13" ht="30" x14ac:dyDescent="0.25">
      <c r="A298" s="15" t="s">
        <v>85</v>
      </c>
      <c r="B298" s="15">
        <v>444</v>
      </c>
      <c r="C298" s="15">
        <v>212</v>
      </c>
      <c r="D298" s="15">
        <v>19</v>
      </c>
      <c r="E298" s="15">
        <v>9</v>
      </c>
      <c r="F298" s="15">
        <v>444</v>
      </c>
      <c r="G298" s="15">
        <v>212</v>
      </c>
      <c r="H298" s="15">
        <v>19</v>
      </c>
      <c r="I298" s="15">
        <v>9</v>
      </c>
      <c r="J298" s="15" t="s">
        <v>84</v>
      </c>
      <c r="K298" s="15" t="s">
        <v>84</v>
      </c>
      <c r="L298" s="15" t="s">
        <v>84</v>
      </c>
      <c r="M298" s="15" t="s">
        <v>84</v>
      </c>
    </row>
    <row r="299" spans="1:13" ht="30" x14ac:dyDescent="0.25">
      <c r="A299" s="15" t="s">
        <v>86</v>
      </c>
      <c r="B299" s="15">
        <v>138</v>
      </c>
      <c r="C299" s="15">
        <v>48</v>
      </c>
      <c r="D299" s="15">
        <v>7</v>
      </c>
      <c r="E299" s="15">
        <v>2</v>
      </c>
      <c r="F299" s="15">
        <v>138</v>
      </c>
      <c r="G299" s="15">
        <v>48</v>
      </c>
      <c r="H299" s="15">
        <v>7</v>
      </c>
      <c r="I299" s="15">
        <v>2</v>
      </c>
      <c r="J299" s="15" t="s">
        <v>84</v>
      </c>
      <c r="K299" s="15" t="s">
        <v>84</v>
      </c>
      <c r="L299" s="15" t="s">
        <v>84</v>
      </c>
      <c r="M299" s="15" t="s">
        <v>84</v>
      </c>
    </row>
    <row r="300" spans="1:13" ht="45" x14ac:dyDescent="0.25">
      <c r="A300" s="15" t="s">
        <v>87</v>
      </c>
      <c r="B300" s="15">
        <v>48</v>
      </c>
      <c r="C300" s="15">
        <v>19</v>
      </c>
      <c r="D300" s="15">
        <v>13</v>
      </c>
      <c r="E300" s="15">
        <v>4</v>
      </c>
      <c r="F300" s="15">
        <v>48</v>
      </c>
      <c r="G300" s="15">
        <v>19</v>
      </c>
      <c r="H300" s="15">
        <v>13</v>
      </c>
      <c r="I300" s="15">
        <v>4</v>
      </c>
      <c r="J300" s="15" t="s">
        <v>84</v>
      </c>
      <c r="K300" s="15" t="s">
        <v>84</v>
      </c>
      <c r="L300" s="15" t="s">
        <v>84</v>
      </c>
      <c r="M300" s="15" t="s">
        <v>84</v>
      </c>
    </row>
    <row r="301" spans="1:13" ht="45" x14ac:dyDescent="0.25">
      <c r="A301" s="15" t="s">
        <v>153</v>
      </c>
      <c r="B301" s="15">
        <v>11</v>
      </c>
      <c r="C301" s="15">
        <v>7</v>
      </c>
      <c r="D301" s="15">
        <v>1</v>
      </c>
      <c r="E301" s="15" t="s">
        <v>84</v>
      </c>
      <c r="F301" s="15">
        <v>11</v>
      </c>
      <c r="G301" s="15">
        <v>7</v>
      </c>
      <c r="H301" s="15">
        <v>1</v>
      </c>
      <c r="I301" s="15" t="s">
        <v>84</v>
      </c>
      <c r="J301" s="15" t="s">
        <v>84</v>
      </c>
      <c r="K301" s="15" t="s">
        <v>84</v>
      </c>
      <c r="L301" s="15" t="s">
        <v>84</v>
      </c>
      <c r="M301" s="15" t="s">
        <v>84</v>
      </c>
    </row>
    <row r="302" spans="1:13" ht="60" x14ac:dyDescent="0.25">
      <c r="A302" s="15" t="s">
        <v>154</v>
      </c>
      <c r="B302" s="15">
        <v>9</v>
      </c>
      <c r="C302" s="15">
        <v>4</v>
      </c>
      <c r="D302" s="15">
        <v>1</v>
      </c>
      <c r="E302" s="15">
        <v>1</v>
      </c>
      <c r="F302" s="15">
        <v>9</v>
      </c>
      <c r="G302" s="15">
        <v>4</v>
      </c>
      <c r="H302" s="15">
        <v>1</v>
      </c>
      <c r="I302" s="15">
        <v>1</v>
      </c>
      <c r="J302" s="15" t="s">
        <v>84</v>
      </c>
      <c r="K302" s="15" t="s">
        <v>84</v>
      </c>
      <c r="L302" s="15" t="s">
        <v>84</v>
      </c>
      <c r="M302" s="15" t="s">
        <v>84</v>
      </c>
    </row>
    <row r="303" spans="1:13" ht="15" customHeight="1" x14ac:dyDescent="0.25">
      <c r="A303" s="207" t="s">
        <v>115</v>
      </c>
      <c r="B303" s="208"/>
      <c r="C303" s="208"/>
      <c r="D303" s="208"/>
      <c r="E303" s="208"/>
      <c r="F303" s="208"/>
      <c r="G303" s="208"/>
      <c r="H303" s="208"/>
      <c r="I303" s="208"/>
      <c r="J303" s="208"/>
      <c r="K303" s="208"/>
      <c r="L303" s="208"/>
      <c r="M303" s="209"/>
    </row>
    <row r="304" spans="1:13" x14ac:dyDescent="0.25">
      <c r="A304" s="207"/>
      <c r="B304" s="208"/>
      <c r="C304" s="208"/>
      <c r="D304" s="208"/>
      <c r="E304" s="208"/>
      <c r="F304" s="208"/>
      <c r="G304" s="208"/>
      <c r="H304" s="208"/>
      <c r="I304" s="208"/>
      <c r="J304" s="208"/>
      <c r="K304" s="208"/>
      <c r="L304" s="208"/>
      <c r="M304" s="209"/>
    </row>
    <row r="305" spans="1:13" x14ac:dyDescent="0.25">
      <c r="A305" s="15" t="s">
        <v>83</v>
      </c>
      <c r="B305" s="15">
        <v>1865</v>
      </c>
      <c r="C305" s="15">
        <v>896</v>
      </c>
      <c r="D305" s="15">
        <v>91</v>
      </c>
      <c r="E305" s="15">
        <v>41</v>
      </c>
      <c r="F305" s="15">
        <v>1701</v>
      </c>
      <c r="G305" s="15">
        <v>806</v>
      </c>
      <c r="H305" s="15">
        <v>88</v>
      </c>
      <c r="I305" s="15">
        <v>41</v>
      </c>
      <c r="J305" s="15">
        <v>164</v>
      </c>
      <c r="K305" s="15">
        <v>90</v>
      </c>
      <c r="L305" s="15">
        <v>3</v>
      </c>
      <c r="M305" s="15" t="s">
        <v>84</v>
      </c>
    </row>
    <row r="306" spans="1:13" ht="30" x14ac:dyDescent="0.25">
      <c r="A306" s="15" t="s">
        <v>151</v>
      </c>
      <c r="B306" s="15">
        <v>567</v>
      </c>
      <c r="C306" s="15">
        <v>322</v>
      </c>
      <c r="D306" s="15">
        <v>10</v>
      </c>
      <c r="E306" s="15">
        <v>6</v>
      </c>
      <c r="F306" s="15">
        <v>449</v>
      </c>
      <c r="G306" s="15">
        <v>250</v>
      </c>
      <c r="H306" s="15">
        <v>9</v>
      </c>
      <c r="I306" s="15">
        <v>6</v>
      </c>
      <c r="J306" s="15">
        <v>118</v>
      </c>
      <c r="K306" s="15">
        <v>72</v>
      </c>
      <c r="L306" s="15">
        <v>1</v>
      </c>
      <c r="M306" s="15" t="s">
        <v>84</v>
      </c>
    </row>
    <row r="307" spans="1:13" ht="60" x14ac:dyDescent="0.25">
      <c r="A307" s="15" t="s">
        <v>152</v>
      </c>
      <c r="B307" s="15">
        <v>52</v>
      </c>
      <c r="C307" s="15">
        <v>20</v>
      </c>
      <c r="D307" s="15">
        <v>1</v>
      </c>
      <c r="E307" s="15">
        <v>1</v>
      </c>
      <c r="F307" s="15">
        <v>43</v>
      </c>
      <c r="G307" s="15">
        <v>16</v>
      </c>
      <c r="H307" s="15">
        <v>1</v>
      </c>
      <c r="I307" s="15">
        <v>1</v>
      </c>
      <c r="J307" s="15">
        <v>9</v>
      </c>
      <c r="K307" s="15">
        <v>4</v>
      </c>
      <c r="L307" s="15" t="s">
        <v>84</v>
      </c>
      <c r="M307" s="15" t="s">
        <v>84</v>
      </c>
    </row>
    <row r="308" spans="1:13" ht="30" x14ac:dyDescent="0.25">
      <c r="A308" s="15" t="s">
        <v>85</v>
      </c>
      <c r="B308" s="15">
        <v>850</v>
      </c>
      <c r="C308" s="15">
        <v>423</v>
      </c>
      <c r="D308" s="15">
        <v>36</v>
      </c>
      <c r="E308" s="15">
        <v>17</v>
      </c>
      <c r="F308" s="15">
        <v>838</v>
      </c>
      <c r="G308" s="15">
        <v>415</v>
      </c>
      <c r="H308" s="15">
        <v>36</v>
      </c>
      <c r="I308" s="15">
        <v>17</v>
      </c>
      <c r="J308" s="15">
        <v>12</v>
      </c>
      <c r="K308" s="15">
        <v>8</v>
      </c>
      <c r="L308" s="15" t="s">
        <v>84</v>
      </c>
      <c r="M308" s="15" t="s">
        <v>84</v>
      </c>
    </row>
    <row r="309" spans="1:13" ht="30" x14ac:dyDescent="0.25">
      <c r="A309" s="15" t="s">
        <v>86</v>
      </c>
      <c r="B309" s="15">
        <v>237</v>
      </c>
      <c r="C309" s="15">
        <v>79</v>
      </c>
      <c r="D309" s="15">
        <v>16</v>
      </c>
      <c r="E309" s="15">
        <v>7</v>
      </c>
      <c r="F309" s="15">
        <v>231</v>
      </c>
      <c r="G309" s="15">
        <v>79</v>
      </c>
      <c r="H309" s="15">
        <v>16</v>
      </c>
      <c r="I309" s="15">
        <v>7</v>
      </c>
      <c r="J309" s="15">
        <v>6</v>
      </c>
      <c r="K309" s="15" t="s">
        <v>84</v>
      </c>
      <c r="L309" s="15" t="s">
        <v>84</v>
      </c>
      <c r="M309" s="15" t="s">
        <v>84</v>
      </c>
    </row>
    <row r="310" spans="1:13" ht="45" x14ac:dyDescent="0.25">
      <c r="A310" s="15" t="s">
        <v>87</v>
      </c>
      <c r="B310" s="15">
        <v>159</v>
      </c>
      <c r="C310" s="15">
        <v>52</v>
      </c>
      <c r="D310" s="15">
        <v>28</v>
      </c>
      <c r="E310" s="15">
        <v>10</v>
      </c>
      <c r="F310" s="15">
        <v>140</v>
      </c>
      <c r="G310" s="15">
        <v>46</v>
      </c>
      <c r="H310" s="15">
        <v>26</v>
      </c>
      <c r="I310" s="15">
        <v>10</v>
      </c>
      <c r="J310" s="15">
        <v>19</v>
      </c>
      <c r="K310" s="15">
        <v>6</v>
      </c>
      <c r="L310" s="15">
        <v>2</v>
      </c>
      <c r="M310" s="15" t="s">
        <v>84</v>
      </c>
    </row>
    <row r="311" spans="1:13" ht="45" x14ac:dyDescent="0.25">
      <c r="A311" s="15" t="s">
        <v>153</v>
      </c>
      <c r="B311" s="15">
        <v>40</v>
      </c>
      <c r="C311" s="15">
        <v>14</v>
      </c>
      <c r="D311" s="15">
        <v>2</v>
      </c>
      <c r="E311" s="15">
        <v>1</v>
      </c>
      <c r="F311" s="15">
        <v>39</v>
      </c>
      <c r="G311" s="15">
        <v>14</v>
      </c>
      <c r="H311" s="15">
        <v>2</v>
      </c>
      <c r="I311" s="15">
        <v>1</v>
      </c>
      <c r="J311" s="15">
        <v>1</v>
      </c>
      <c r="K311" s="15" t="s">
        <v>84</v>
      </c>
      <c r="L311" s="15" t="s">
        <v>84</v>
      </c>
      <c r="M311" s="15" t="s">
        <v>84</v>
      </c>
    </row>
    <row r="312" spans="1:13" ht="60" x14ac:dyDescent="0.25">
      <c r="A312" s="15" t="s">
        <v>154</v>
      </c>
      <c r="B312" s="15">
        <v>24</v>
      </c>
      <c r="C312" s="15">
        <v>10</v>
      </c>
      <c r="D312" s="15">
        <v>4</v>
      </c>
      <c r="E312" s="15">
        <v>1</v>
      </c>
      <c r="F312" s="15">
        <v>7</v>
      </c>
      <c r="G312" s="15">
        <v>4</v>
      </c>
      <c r="H312" s="15">
        <v>2</v>
      </c>
      <c r="I312" s="15">
        <v>1</v>
      </c>
      <c r="J312" s="15">
        <v>17</v>
      </c>
      <c r="K312" s="15">
        <v>6</v>
      </c>
      <c r="L312" s="15">
        <v>2</v>
      </c>
      <c r="M312" s="15" t="s">
        <v>84</v>
      </c>
    </row>
    <row r="313" spans="1:13" ht="15" customHeight="1" x14ac:dyDescent="0.25">
      <c r="A313" s="207" t="s">
        <v>116</v>
      </c>
      <c r="B313" s="208"/>
      <c r="C313" s="208"/>
      <c r="D313" s="208"/>
      <c r="E313" s="208"/>
      <c r="F313" s="208"/>
      <c r="G313" s="208"/>
      <c r="H313" s="208"/>
      <c r="I313" s="208"/>
      <c r="J313" s="208"/>
      <c r="K313" s="208"/>
      <c r="L313" s="208"/>
      <c r="M313" s="209"/>
    </row>
    <row r="314" spans="1:13" x14ac:dyDescent="0.25">
      <c r="A314" s="207"/>
      <c r="B314" s="208"/>
      <c r="C314" s="208"/>
      <c r="D314" s="208"/>
      <c r="E314" s="208"/>
      <c r="F314" s="208"/>
      <c r="G314" s="208"/>
      <c r="H314" s="208"/>
      <c r="I314" s="208"/>
      <c r="J314" s="208"/>
      <c r="K314" s="208"/>
      <c r="L314" s="208"/>
      <c r="M314" s="209"/>
    </row>
    <row r="315" spans="1:13" x14ac:dyDescent="0.25">
      <c r="A315" s="15" t="s">
        <v>83</v>
      </c>
      <c r="B315" s="15">
        <v>1421</v>
      </c>
      <c r="C315" s="15">
        <v>699</v>
      </c>
      <c r="D315" s="15">
        <v>66</v>
      </c>
      <c r="E315" s="15">
        <v>33</v>
      </c>
      <c r="F315" s="15">
        <v>1375</v>
      </c>
      <c r="G315" s="15">
        <v>680</v>
      </c>
      <c r="H315" s="15">
        <v>66</v>
      </c>
      <c r="I315" s="15">
        <v>33</v>
      </c>
      <c r="J315" s="15">
        <v>46</v>
      </c>
      <c r="K315" s="15">
        <v>19</v>
      </c>
      <c r="L315" s="15" t="s">
        <v>84</v>
      </c>
      <c r="M315" s="15" t="s">
        <v>84</v>
      </c>
    </row>
    <row r="316" spans="1:13" ht="30" x14ac:dyDescent="0.25">
      <c r="A316" s="15" t="s">
        <v>151</v>
      </c>
      <c r="B316" s="15">
        <v>423</v>
      </c>
      <c r="C316" s="15">
        <v>242</v>
      </c>
      <c r="D316" s="15">
        <v>4</v>
      </c>
      <c r="E316" s="15">
        <v>3</v>
      </c>
      <c r="F316" s="15">
        <v>414</v>
      </c>
      <c r="G316" s="15">
        <v>238</v>
      </c>
      <c r="H316" s="15">
        <v>4</v>
      </c>
      <c r="I316" s="15">
        <v>3</v>
      </c>
      <c r="J316" s="15">
        <v>9</v>
      </c>
      <c r="K316" s="15">
        <v>4</v>
      </c>
      <c r="L316" s="15" t="s">
        <v>84</v>
      </c>
      <c r="M316" s="15" t="s">
        <v>84</v>
      </c>
    </row>
    <row r="317" spans="1:13" ht="60" x14ac:dyDescent="0.25">
      <c r="A317" s="15" t="s">
        <v>152</v>
      </c>
      <c r="B317" s="15">
        <v>31</v>
      </c>
      <c r="C317" s="15">
        <v>14</v>
      </c>
      <c r="D317" s="15">
        <v>1</v>
      </c>
      <c r="E317" s="15">
        <v>1</v>
      </c>
      <c r="F317" s="15">
        <v>31</v>
      </c>
      <c r="G317" s="15">
        <v>14</v>
      </c>
      <c r="H317" s="15">
        <v>1</v>
      </c>
      <c r="I317" s="15">
        <v>1</v>
      </c>
      <c r="J317" s="15" t="s">
        <v>84</v>
      </c>
      <c r="K317" s="15" t="s">
        <v>84</v>
      </c>
      <c r="L317" s="15" t="s">
        <v>84</v>
      </c>
      <c r="M317" s="15" t="s">
        <v>84</v>
      </c>
    </row>
    <row r="318" spans="1:13" ht="30" x14ac:dyDescent="0.25">
      <c r="A318" s="15" t="s">
        <v>85</v>
      </c>
      <c r="B318" s="15">
        <v>684</v>
      </c>
      <c r="C318" s="15">
        <v>331</v>
      </c>
      <c r="D318" s="15">
        <v>26</v>
      </c>
      <c r="E318" s="15">
        <v>10</v>
      </c>
      <c r="F318" s="15">
        <v>668</v>
      </c>
      <c r="G318" s="15">
        <v>323</v>
      </c>
      <c r="H318" s="15">
        <v>26</v>
      </c>
      <c r="I318" s="15">
        <v>10</v>
      </c>
      <c r="J318" s="15">
        <v>16</v>
      </c>
      <c r="K318" s="15">
        <v>8</v>
      </c>
      <c r="L318" s="15" t="s">
        <v>84</v>
      </c>
      <c r="M318" s="15" t="s">
        <v>84</v>
      </c>
    </row>
    <row r="319" spans="1:13" ht="30" x14ac:dyDescent="0.25">
      <c r="A319" s="15" t="s">
        <v>86</v>
      </c>
      <c r="B319" s="15">
        <v>198</v>
      </c>
      <c r="C319" s="15">
        <v>77</v>
      </c>
      <c r="D319" s="15">
        <v>22</v>
      </c>
      <c r="E319" s="15">
        <v>13</v>
      </c>
      <c r="F319" s="15">
        <v>189</v>
      </c>
      <c r="G319" s="15">
        <v>75</v>
      </c>
      <c r="H319" s="15">
        <v>22</v>
      </c>
      <c r="I319" s="15">
        <v>13</v>
      </c>
      <c r="J319" s="15">
        <v>9</v>
      </c>
      <c r="K319" s="15">
        <v>2</v>
      </c>
      <c r="L319" s="15" t="s">
        <v>84</v>
      </c>
      <c r="M319" s="15" t="s">
        <v>84</v>
      </c>
    </row>
    <row r="320" spans="1:13" ht="45" x14ac:dyDescent="0.25">
      <c r="A320" s="15" t="s">
        <v>87</v>
      </c>
      <c r="B320" s="15">
        <v>85</v>
      </c>
      <c r="C320" s="15">
        <v>35</v>
      </c>
      <c r="D320" s="15">
        <v>13</v>
      </c>
      <c r="E320" s="15">
        <v>6</v>
      </c>
      <c r="F320" s="15">
        <v>73</v>
      </c>
      <c r="G320" s="15">
        <v>30</v>
      </c>
      <c r="H320" s="15">
        <v>13</v>
      </c>
      <c r="I320" s="15">
        <v>6</v>
      </c>
      <c r="J320" s="15">
        <v>12</v>
      </c>
      <c r="K320" s="15">
        <v>5</v>
      </c>
      <c r="L320" s="15" t="s">
        <v>84</v>
      </c>
      <c r="M320" s="15" t="s">
        <v>84</v>
      </c>
    </row>
    <row r="321" spans="1:13" ht="45" x14ac:dyDescent="0.25">
      <c r="A321" s="15" t="s">
        <v>153</v>
      </c>
      <c r="B321" s="15">
        <v>26</v>
      </c>
      <c r="C321" s="15">
        <v>13</v>
      </c>
      <c r="D321" s="15" t="s">
        <v>84</v>
      </c>
      <c r="E321" s="15" t="s">
        <v>84</v>
      </c>
      <c r="F321" s="15">
        <v>26</v>
      </c>
      <c r="G321" s="15">
        <v>13</v>
      </c>
      <c r="H321" s="15" t="s">
        <v>84</v>
      </c>
      <c r="I321" s="15" t="s">
        <v>84</v>
      </c>
      <c r="J321" s="15" t="s">
        <v>84</v>
      </c>
      <c r="K321" s="15" t="s">
        <v>84</v>
      </c>
      <c r="L321" s="15" t="s">
        <v>84</v>
      </c>
      <c r="M321" s="15" t="s">
        <v>84</v>
      </c>
    </row>
    <row r="322" spans="1:13" ht="60" x14ac:dyDescent="0.25">
      <c r="A322" s="15" t="s">
        <v>154</v>
      </c>
      <c r="B322" s="15">
        <v>9</v>
      </c>
      <c r="C322" s="15">
        <v>3</v>
      </c>
      <c r="D322" s="15" t="s">
        <v>84</v>
      </c>
      <c r="E322" s="15" t="s">
        <v>84</v>
      </c>
      <c r="F322" s="15" t="s">
        <v>84</v>
      </c>
      <c r="G322" s="15" t="s">
        <v>84</v>
      </c>
      <c r="H322" s="15" t="s">
        <v>84</v>
      </c>
      <c r="I322" s="15" t="s">
        <v>84</v>
      </c>
      <c r="J322" s="15">
        <v>9</v>
      </c>
      <c r="K322" s="15">
        <v>3</v>
      </c>
      <c r="L322" s="15" t="s">
        <v>84</v>
      </c>
      <c r="M322" s="15" t="s">
        <v>84</v>
      </c>
    </row>
    <row r="323" spans="1:13" ht="15" customHeight="1" x14ac:dyDescent="0.25">
      <c r="A323" s="207" t="s">
        <v>117</v>
      </c>
      <c r="B323" s="208"/>
      <c r="C323" s="208"/>
      <c r="D323" s="208"/>
      <c r="E323" s="208"/>
      <c r="F323" s="208"/>
      <c r="G323" s="208"/>
      <c r="H323" s="208"/>
      <c r="I323" s="208"/>
      <c r="J323" s="208"/>
      <c r="K323" s="208"/>
      <c r="L323" s="208"/>
      <c r="M323" s="209"/>
    </row>
    <row r="324" spans="1:13" x14ac:dyDescent="0.25">
      <c r="A324" s="207"/>
      <c r="B324" s="208"/>
      <c r="C324" s="208"/>
      <c r="D324" s="208"/>
      <c r="E324" s="208"/>
      <c r="F324" s="208"/>
      <c r="G324" s="208"/>
      <c r="H324" s="208"/>
      <c r="I324" s="208"/>
      <c r="J324" s="208"/>
      <c r="K324" s="208"/>
      <c r="L324" s="208"/>
      <c r="M324" s="209"/>
    </row>
    <row r="325" spans="1:13" x14ac:dyDescent="0.25">
      <c r="A325" s="15" t="s">
        <v>83</v>
      </c>
      <c r="B325" s="15">
        <v>2145</v>
      </c>
      <c r="C325" s="15">
        <v>1053</v>
      </c>
      <c r="D325" s="15">
        <v>134</v>
      </c>
      <c r="E325" s="15">
        <v>68</v>
      </c>
      <c r="F325" s="15">
        <v>2106</v>
      </c>
      <c r="G325" s="15">
        <v>1035</v>
      </c>
      <c r="H325" s="15">
        <v>134</v>
      </c>
      <c r="I325" s="15">
        <v>68</v>
      </c>
      <c r="J325" s="15">
        <v>39</v>
      </c>
      <c r="K325" s="15">
        <v>18</v>
      </c>
      <c r="L325" s="15" t="s">
        <v>84</v>
      </c>
      <c r="M325" s="15" t="s">
        <v>84</v>
      </c>
    </row>
    <row r="326" spans="1:13" ht="30" x14ac:dyDescent="0.25">
      <c r="A326" s="15" t="s">
        <v>151</v>
      </c>
      <c r="B326" s="15">
        <v>647</v>
      </c>
      <c r="C326" s="15">
        <v>362</v>
      </c>
      <c r="D326" s="15">
        <v>14</v>
      </c>
      <c r="E326" s="15">
        <v>8</v>
      </c>
      <c r="F326" s="15">
        <v>628</v>
      </c>
      <c r="G326" s="15">
        <v>352</v>
      </c>
      <c r="H326" s="15">
        <v>14</v>
      </c>
      <c r="I326" s="15">
        <v>8</v>
      </c>
      <c r="J326" s="15">
        <v>19</v>
      </c>
      <c r="K326" s="15">
        <v>10</v>
      </c>
      <c r="L326" s="15" t="s">
        <v>84</v>
      </c>
      <c r="M326" s="15" t="s">
        <v>84</v>
      </c>
    </row>
    <row r="327" spans="1:13" ht="60" x14ac:dyDescent="0.25">
      <c r="A327" s="15" t="s">
        <v>152</v>
      </c>
      <c r="B327" s="15">
        <v>61</v>
      </c>
      <c r="C327" s="15">
        <v>32</v>
      </c>
      <c r="D327" s="15">
        <v>2</v>
      </c>
      <c r="E327" s="15">
        <v>2</v>
      </c>
      <c r="F327" s="15">
        <v>58</v>
      </c>
      <c r="G327" s="15">
        <v>30</v>
      </c>
      <c r="H327" s="15">
        <v>2</v>
      </c>
      <c r="I327" s="15">
        <v>2</v>
      </c>
      <c r="J327" s="15">
        <v>3</v>
      </c>
      <c r="K327" s="15">
        <v>2</v>
      </c>
      <c r="L327" s="15" t="s">
        <v>84</v>
      </c>
      <c r="M327" s="15" t="s">
        <v>84</v>
      </c>
    </row>
    <row r="328" spans="1:13" ht="30" x14ac:dyDescent="0.25">
      <c r="A328" s="15" t="s">
        <v>85</v>
      </c>
      <c r="B328" s="15">
        <v>931</v>
      </c>
      <c r="C328" s="15">
        <v>438</v>
      </c>
      <c r="D328" s="15">
        <v>42</v>
      </c>
      <c r="E328" s="15">
        <v>21</v>
      </c>
      <c r="F328" s="15">
        <v>918</v>
      </c>
      <c r="G328" s="15">
        <v>433</v>
      </c>
      <c r="H328" s="15">
        <v>42</v>
      </c>
      <c r="I328" s="15">
        <v>21</v>
      </c>
      <c r="J328" s="15">
        <v>13</v>
      </c>
      <c r="K328" s="15">
        <v>5</v>
      </c>
      <c r="L328" s="15" t="s">
        <v>84</v>
      </c>
      <c r="M328" s="15" t="s">
        <v>84</v>
      </c>
    </row>
    <row r="329" spans="1:13" ht="30" x14ac:dyDescent="0.25">
      <c r="A329" s="15" t="s">
        <v>86</v>
      </c>
      <c r="B329" s="15">
        <v>365</v>
      </c>
      <c r="C329" s="15">
        <v>160</v>
      </c>
      <c r="D329" s="15">
        <v>40</v>
      </c>
      <c r="E329" s="15">
        <v>23</v>
      </c>
      <c r="F329" s="15">
        <v>361</v>
      </c>
      <c r="G329" s="15">
        <v>159</v>
      </c>
      <c r="H329" s="15">
        <v>40</v>
      </c>
      <c r="I329" s="15">
        <v>23</v>
      </c>
      <c r="J329" s="15">
        <v>4</v>
      </c>
      <c r="K329" s="15">
        <v>1</v>
      </c>
      <c r="L329" s="15" t="s">
        <v>84</v>
      </c>
      <c r="M329" s="15" t="s">
        <v>84</v>
      </c>
    </row>
    <row r="330" spans="1:13" ht="45" x14ac:dyDescent="0.25">
      <c r="A330" s="15" t="s">
        <v>87</v>
      </c>
      <c r="B330" s="15">
        <v>141</v>
      </c>
      <c r="C330" s="15">
        <v>61</v>
      </c>
      <c r="D330" s="15">
        <v>36</v>
      </c>
      <c r="E330" s="15">
        <v>14</v>
      </c>
      <c r="F330" s="15">
        <v>141</v>
      </c>
      <c r="G330" s="15">
        <v>61</v>
      </c>
      <c r="H330" s="15">
        <v>36</v>
      </c>
      <c r="I330" s="15">
        <v>14</v>
      </c>
      <c r="J330" s="15" t="s">
        <v>84</v>
      </c>
      <c r="K330" s="15" t="s">
        <v>84</v>
      </c>
      <c r="L330" s="15" t="s">
        <v>84</v>
      </c>
      <c r="M330" s="15" t="s">
        <v>84</v>
      </c>
    </row>
    <row r="331" spans="1:13" ht="45" x14ac:dyDescent="0.25">
      <c r="A331" s="15" t="s">
        <v>153</v>
      </c>
      <c r="B331" s="15">
        <v>38</v>
      </c>
      <c r="C331" s="15">
        <v>20</v>
      </c>
      <c r="D331" s="15">
        <v>3</v>
      </c>
      <c r="E331" s="15">
        <v>1</v>
      </c>
      <c r="F331" s="15">
        <v>38</v>
      </c>
      <c r="G331" s="15">
        <v>20</v>
      </c>
      <c r="H331" s="15">
        <v>3</v>
      </c>
      <c r="I331" s="15">
        <v>1</v>
      </c>
      <c r="J331" s="15" t="s">
        <v>84</v>
      </c>
      <c r="K331" s="15" t="s">
        <v>84</v>
      </c>
      <c r="L331" s="15" t="s">
        <v>84</v>
      </c>
      <c r="M331" s="15" t="s">
        <v>84</v>
      </c>
    </row>
    <row r="332" spans="1:13" ht="60" x14ac:dyDescent="0.25">
      <c r="A332" s="15" t="s">
        <v>154</v>
      </c>
      <c r="B332" s="15">
        <v>10</v>
      </c>
      <c r="C332" s="15">
        <v>5</v>
      </c>
      <c r="D332" s="15" t="s">
        <v>84</v>
      </c>
      <c r="E332" s="15" t="s">
        <v>84</v>
      </c>
      <c r="F332" s="15">
        <v>10</v>
      </c>
      <c r="G332" s="15">
        <v>5</v>
      </c>
      <c r="H332" s="15" t="s">
        <v>84</v>
      </c>
      <c r="I332" s="15" t="s">
        <v>84</v>
      </c>
      <c r="J332" s="15" t="s">
        <v>84</v>
      </c>
      <c r="K332" s="15" t="s">
        <v>84</v>
      </c>
      <c r="L332" s="15" t="s">
        <v>84</v>
      </c>
      <c r="M332" s="15" t="s">
        <v>84</v>
      </c>
    </row>
    <row r="333" spans="1:13" ht="15" customHeight="1" x14ac:dyDescent="0.25">
      <c r="A333" s="207" t="s">
        <v>118</v>
      </c>
      <c r="B333" s="208"/>
      <c r="C333" s="208"/>
      <c r="D333" s="208"/>
      <c r="E333" s="208"/>
      <c r="F333" s="208"/>
      <c r="G333" s="208"/>
      <c r="H333" s="208"/>
      <c r="I333" s="208"/>
      <c r="J333" s="208"/>
      <c r="K333" s="208"/>
      <c r="L333" s="208"/>
      <c r="M333" s="209"/>
    </row>
    <row r="334" spans="1:13" x14ac:dyDescent="0.25">
      <c r="A334" s="207"/>
      <c r="B334" s="208"/>
      <c r="C334" s="208"/>
      <c r="D334" s="208"/>
      <c r="E334" s="208"/>
      <c r="F334" s="208"/>
      <c r="G334" s="208"/>
      <c r="H334" s="208"/>
      <c r="I334" s="208"/>
      <c r="J334" s="208"/>
      <c r="K334" s="208"/>
      <c r="L334" s="208"/>
      <c r="M334" s="209"/>
    </row>
    <row r="335" spans="1:13" x14ac:dyDescent="0.25">
      <c r="A335" s="15" t="s">
        <v>83</v>
      </c>
      <c r="B335" s="15">
        <v>867</v>
      </c>
      <c r="C335" s="15">
        <v>415</v>
      </c>
      <c r="D335" s="15">
        <v>35</v>
      </c>
      <c r="E335" s="15">
        <v>17</v>
      </c>
      <c r="F335" s="15">
        <v>856</v>
      </c>
      <c r="G335" s="15">
        <v>414</v>
      </c>
      <c r="H335" s="15">
        <v>35</v>
      </c>
      <c r="I335" s="15">
        <v>17</v>
      </c>
      <c r="J335" s="15">
        <v>11</v>
      </c>
      <c r="K335" s="15">
        <v>1</v>
      </c>
      <c r="L335" s="15" t="s">
        <v>84</v>
      </c>
      <c r="M335" s="15" t="s">
        <v>84</v>
      </c>
    </row>
    <row r="336" spans="1:13" ht="30" x14ac:dyDescent="0.25">
      <c r="A336" s="15" t="s">
        <v>151</v>
      </c>
      <c r="B336" s="15">
        <v>252</v>
      </c>
      <c r="C336" s="15">
        <v>141</v>
      </c>
      <c r="D336" s="15" t="s">
        <v>84</v>
      </c>
      <c r="E336" s="15" t="s">
        <v>84</v>
      </c>
      <c r="F336" s="15">
        <v>252</v>
      </c>
      <c r="G336" s="15">
        <v>141</v>
      </c>
      <c r="H336" s="15" t="s">
        <v>84</v>
      </c>
      <c r="I336" s="15" t="s">
        <v>84</v>
      </c>
      <c r="J336" s="15" t="s">
        <v>84</v>
      </c>
      <c r="K336" s="15" t="s">
        <v>84</v>
      </c>
      <c r="L336" s="15" t="s">
        <v>84</v>
      </c>
      <c r="M336" s="15" t="s">
        <v>84</v>
      </c>
    </row>
    <row r="337" spans="1:13" ht="60" x14ac:dyDescent="0.25">
      <c r="A337" s="15" t="s">
        <v>152</v>
      </c>
      <c r="B337" s="15">
        <v>24</v>
      </c>
      <c r="C337" s="15">
        <v>16</v>
      </c>
      <c r="D337" s="15">
        <v>1</v>
      </c>
      <c r="E337" s="15">
        <v>1</v>
      </c>
      <c r="F337" s="15">
        <v>24</v>
      </c>
      <c r="G337" s="15">
        <v>16</v>
      </c>
      <c r="H337" s="15">
        <v>1</v>
      </c>
      <c r="I337" s="15">
        <v>1</v>
      </c>
      <c r="J337" s="15" t="s">
        <v>84</v>
      </c>
      <c r="K337" s="15" t="s">
        <v>84</v>
      </c>
      <c r="L337" s="15" t="s">
        <v>84</v>
      </c>
      <c r="M337" s="15" t="s">
        <v>84</v>
      </c>
    </row>
    <row r="338" spans="1:13" ht="30" x14ac:dyDescent="0.25">
      <c r="A338" s="15" t="s">
        <v>85</v>
      </c>
      <c r="B338" s="15">
        <v>353</v>
      </c>
      <c r="C338" s="15">
        <v>157</v>
      </c>
      <c r="D338" s="15">
        <v>18</v>
      </c>
      <c r="E338" s="15">
        <v>8</v>
      </c>
      <c r="F338" s="15">
        <v>353</v>
      </c>
      <c r="G338" s="15">
        <v>157</v>
      </c>
      <c r="H338" s="15">
        <v>18</v>
      </c>
      <c r="I338" s="15">
        <v>8</v>
      </c>
      <c r="J338" s="15" t="s">
        <v>84</v>
      </c>
      <c r="K338" s="15" t="s">
        <v>84</v>
      </c>
      <c r="L338" s="15" t="s">
        <v>84</v>
      </c>
      <c r="M338" s="15" t="s">
        <v>84</v>
      </c>
    </row>
    <row r="339" spans="1:13" ht="30" x14ac:dyDescent="0.25">
      <c r="A339" s="15" t="s">
        <v>86</v>
      </c>
      <c r="B339" s="15">
        <v>157</v>
      </c>
      <c r="C339" s="15">
        <v>70</v>
      </c>
      <c r="D339" s="15">
        <v>7</v>
      </c>
      <c r="E339" s="15">
        <v>3</v>
      </c>
      <c r="F339" s="15">
        <v>154</v>
      </c>
      <c r="G339" s="15">
        <v>69</v>
      </c>
      <c r="H339" s="15">
        <v>7</v>
      </c>
      <c r="I339" s="15">
        <v>3</v>
      </c>
      <c r="J339" s="15">
        <v>3</v>
      </c>
      <c r="K339" s="15">
        <v>1</v>
      </c>
      <c r="L339" s="15" t="s">
        <v>84</v>
      </c>
      <c r="M339" s="15" t="s">
        <v>84</v>
      </c>
    </row>
    <row r="340" spans="1:13" ht="45" x14ac:dyDescent="0.25">
      <c r="A340" s="15" t="s">
        <v>87</v>
      </c>
      <c r="B340" s="15">
        <v>81</v>
      </c>
      <c r="C340" s="15">
        <v>31</v>
      </c>
      <c r="D340" s="15">
        <v>9</v>
      </c>
      <c r="E340" s="15">
        <v>5</v>
      </c>
      <c r="F340" s="15">
        <v>73</v>
      </c>
      <c r="G340" s="15">
        <v>31</v>
      </c>
      <c r="H340" s="15">
        <v>9</v>
      </c>
      <c r="I340" s="15">
        <v>5</v>
      </c>
      <c r="J340" s="15">
        <v>8</v>
      </c>
      <c r="K340" s="15" t="s">
        <v>84</v>
      </c>
      <c r="L340" s="15" t="s">
        <v>84</v>
      </c>
      <c r="M340" s="15" t="s">
        <v>84</v>
      </c>
    </row>
    <row r="341" spans="1:13" ht="45" x14ac:dyDescent="0.25">
      <c r="A341" s="15" t="s">
        <v>153</v>
      </c>
      <c r="B341" s="15">
        <v>22</v>
      </c>
      <c r="C341" s="15">
        <v>8</v>
      </c>
      <c r="D341" s="15" t="s">
        <v>84</v>
      </c>
      <c r="E341" s="15" t="s">
        <v>84</v>
      </c>
      <c r="F341" s="15">
        <v>19</v>
      </c>
      <c r="G341" s="15">
        <v>8</v>
      </c>
      <c r="H341" s="15" t="s">
        <v>84</v>
      </c>
      <c r="I341" s="15" t="s">
        <v>84</v>
      </c>
      <c r="J341" s="15">
        <v>3</v>
      </c>
      <c r="K341" s="15" t="s">
        <v>84</v>
      </c>
      <c r="L341" s="15" t="s">
        <v>84</v>
      </c>
      <c r="M341" s="15" t="s">
        <v>84</v>
      </c>
    </row>
    <row r="342" spans="1:13" ht="60" x14ac:dyDescent="0.25">
      <c r="A342" s="15" t="s">
        <v>154</v>
      </c>
      <c r="B342" s="15">
        <v>2</v>
      </c>
      <c r="C342" s="15">
        <v>2</v>
      </c>
      <c r="D342" s="15" t="s">
        <v>84</v>
      </c>
      <c r="E342" s="15" t="s">
        <v>84</v>
      </c>
      <c r="F342" s="15">
        <v>2</v>
      </c>
      <c r="G342" s="15">
        <v>2</v>
      </c>
      <c r="H342" s="15" t="s">
        <v>84</v>
      </c>
      <c r="I342" s="15" t="s">
        <v>84</v>
      </c>
      <c r="J342" s="15" t="s">
        <v>84</v>
      </c>
      <c r="K342" s="15" t="s">
        <v>84</v>
      </c>
      <c r="L342" s="15" t="s">
        <v>84</v>
      </c>
      <c r="M342" s="15" t="s">
        <v>84</v>
      </c>
    </row>
    <row r="343" spans="1:13" ht="15" customHeight="1" x14ac:dyDescent="0.25">
      <c r="A343" s="207" t="s">
        <v>119</v>
      </c>
      <c r="B343" s="208"/>
      <c r="C343" s="208"/>
      <c r="D343" s="208"/>
      <c r="E343" s="208"/>
      <c r="F343" s="208"/>
      <c r="G343" s="208"/>
      <c r="H343" s="208"/>
      <c r="I343" s="208"/>
      <c r="J343" s="208"/>
      <c r="K343" s="208"/>
      <c r="L343" s="208"/>
      <c r="M343" s="209"/>
    </row>
    <row r="344" spans="1:13" x14ac:dyDescent="0.25">
      <c r="A344" s="207"/>
      <c r="B344" s="208"/>
      <c r="C344" s="208"/>
      <c r="D344" s="208"/>
      <c r="E344" s="208"/>
      <c r="F344" s="208"/>
      <c r="G344" s="208"/>
      <c r="H344" s="208"/>
      <c r="I344" s="208"/>
      <c r="J344" s="208"/>
      <c r="K344" s="208"/>
      <c r="L344" s="208"/>
      <c r="M344" s="209"/>
    </row>
    <row r="345" spans="1:13" x14ac:dyDescent="0.25">
      <c r="A345" s="15" t="s">
        <v>83</v>
      </c>
      <c r="B345" s="15">
        <v>1365</v>
      </c>
      <c r="C345" s="15">
        <v>719</v>
      </c>
      <c r="D345" s="15">
        <v>52</v>
      </c>
      <c r="E345" s="15">
        <v>33</v>
      </c>
      <c r="F345" s="15">
        <v>1318</v>
      </c>
      <c r="G345" s="15">
        <v>697</v>
      </c>
      <c r="H345" s="15">
        <v>52</v>
      </c>
      <c r="I345" s="15">
        <v>33</v>
      </c>
      <c r="J345" s="15">
        <v>47</v>
      </c>
      <c r="K345" s="15">
        <v>22</v>
      </c>
      <c r="L345" s="15" t="s">
        <v>84</v>
      </c>
      <c r="M345" s="15" t="s">
        <v>84</v>
      </c>
    </row>
    <row r="346" spans="1:13" ht="30" x14ac:dyDescent="0.25">
      <c r="A346" s="15" t="s">
        <v>151</v>
      </c>
      <c r="B346" s="15">
        <v>489</v>
      </c>
      <c r="C346" s="15">
        <v>284</v>
      </c>
      <c r="D346" s="15">
        <v>2</v>
      </c>
      <c r="E346" s="15">
        <v>1</v>
      </c>
      <c r="F346" s="15">
        <v>469</v>
      </c>
      <c r="G346" s="15">
        <v>271</v>
      </c>
      <c r="H346" s="15">
        <v>2</v>
      </c>
      <c r="I346" s="15">
        <v>1</v>
      </c>
      <c r="J346" s="15">
        <v>20</v>
      </c>
      <c r="K346" s="15">
        <v>13</v>
      </c>
      <c r="L346" s="15" t="s">
        <v>84</v>
      </c>
      <c r="M346" s="15" t="s">
        <v>84</v>
      </c>
    </row>
    <row r="347" spans="1:13" ht="60" x14ac:dyDescent="0.25">
      <c r="A347" s="15" t="s">
        <v>152</v>
      </c>
      <c r="B347" s="15">
        <v>18</v>
      </c>
      <c r="C347" s="15">
        <v>5</v>
      </c>
      <c r="D347" s="15" t="s">
        <v>84</v>
      </c>
      <c r="E347" s="15" t="s">
        <v>84</v>
      </c>
      <c r="F347" s="15">
        <v>18</v>
      </c>
      <c r="G347" s="15">
        <v>5</v>
      </c>
      <c r="H347" s="15" t="s">
        <v>84</v>
      </c>
      <c r="I347" s="15" t="s">
        <v>84</v>
      </c>
      <c r="J347" s="15" t="s">
        <v>84</v>
      </c>
      <c r="K347" s="15" t="s">
        <v>84</v>
      </c>
      <c r="L347" s="15" t="s">
        <v>84</v>
      </c>
      <c r="M347" s="15" t="s">
        <v>84</v>
      </c>
    </row>
    <row r="348" spans="1:13" ht="30" x14ac:dyDescent="0.25">
      <c r="A348" s="15" t="s">
        <v>85</v>
      </c>
      <c r="B348" s="15">
        <v>602</v>
      </c>
      <c r="C348" s="15">
        <v>326</v>
      </c>
      <c r="D348" s="15">
        <v>24</v>
      </c>
      <c r="E348" s="15">
        <v>14</v>
      </c>
      <c r="F348" s="15">
        <v>592</v>
      </c>
      <c r="G348" s="15">
        <v>320</v>
      </c>
      <c r="H348" s="15">
        <v>24</v>
      </c>
      <c r="I348" s="15">
        <v>14</v>
      </c>
      <c r="J348" s="15">
        <v>10</v>
      </c>
      <c r="K348" s="15">
        <v>6</v>
      </c>
      <c r="L348" s="15" t="s">
        <v>84</v>
      </c>
      <c r="M348" s="15" t="s">
        <v>84</v>
      </c>
    </row>
    <row r="349" spans="1:13" ht="30" x14ac:dyDescent="0.25">
      <c r="A349" s="15" t="s">
        <v>86</v>
      </c>
      <c r="B349" s="15">
        <v>187</v>
      </c>
      <c r="C349" s="15">
        <v>78</v>
      </c>
      <c r="D349" s="15">
        <v>12</v>
      </c>
      <c r="E349" s="15">
        <v>10</v>
      </c>
      <c r="F349" s="15">
        <v>180</v>
      </c>
      <c r="G349" s="15">
        <v>78</v>
      </c>
      <c r="H349" s="15">
        <v>12</v>
      </c>
      <c r="I349" s="15">
        <v>10</v>
      </c>
      <c r="J349" s="15">
        <v>7</v>
      </c>
      <c r="K349" s="15" t="s">
        <v>84</v>
      </c>
      <c r="L349" s="15" t="s">
        <v>84</v>
      </c>
      <c r="M349" s="15" t="s">
        <v>84</v>
      </c>
    </row>
    <row r="350" spans="1:13" ht="45" x14ac:dyDescent="0.25">
      <c r="A350" s="15" t="s">
        <v>87</v>
      </c>
      <c r="B350" s="15">
        <v>69</v>
      </c>
      <c r="C350" s="15">
        <v>26</v>
      </c>
      <c r="D350" s="15">
        <v>14</v>
      </c>
      <c r="E350" s="15">
        <v>8</v>
      </c>
      <c r="F350" s="15">
        <v>59</v>
      </c>
      <c r="G350" s="15">
        <v>23</v>
      </c>
      <c r="H350" s="15">
        <v>14</v>
      </c>
      <c r="I350" s="15">
        <v>8</v>
      </c>
      <c r="J350" s="15">
        <v>10</v>
      </c>
      <c r="K350" s="15">
        <v>3</v>
      </c>
      <c r="L350" s="15" t="s">
        <v>84</v>
      </c>
      <c r="M350" s="15" t="s">
        <v>84</v>
      </c>
    </row>
    <row r="351" spans="1:13" ht="45" x14ac:dyDescent="0.25">
      <c r="A351" s="15" t="s">
        <v>153</v>
      </c>
      <c r="B351" s="15">
        <v>26</v>
      </c>
      <c r="C351" s="15">
        <v>12</v>
      </c>
      <c r="D351" s="15">
        <v>7</v>
      </c>
      <c r="E351" s="15">
        <v>4</v>
      </c>
      <c r="F351" s="15">
        <v>24</v>
      </c>
      <c r="G351" s="15">
        <v>12</v>
      </c>
      <c r="H351" s="15">
        <v>7</v>
      </c>
      <c r="I351" s="15">
        <v>4</v>
      </c>
      <c r="J351" s="15">
        <v>2</v>
      </c>
      <c r="K351" s="15" t="s">
        <v>84</v>
      </c>
      <c r="L351" s="15" t="s">
        <v>84</v>
      </c>
      <c r="M351" s="15" t="s">
        <v>84</v>
      </c>
    </row>
    <row r="352" spans="1:13" ht="60" x14ac:dyDescent="0.25">
      <c r="A352" s="15" t="s">
        <v>154</v>
      </c>
      <c r="B352" s="15">
        <v>7</v>
      </c>
      <c r="C352" s="15">
        <v>3</v>
      </c>
      <c r="D352" s="15" t="s">
        <v>84</v>
      </c>
      <c r="E352" s="15" t="s">
        <v>84</v>
      </c>
      <c r="F352" s="15" t="s">
        <v>84</v>
      </c>
      <c r="G352" s="15" t="s">
        <v>84</v>
      </c>
      <c r="H352" s="15" t="s">
        <v>84</v>
      </c>
      <c r="I352" s="15" t="s">
        <v>84</v>
      </c>
      <c r="J352" s="15">
        <v>7</v>
      </c>
      <c r="K352" s="15">
        <v>3</v>
      </c>
      <c r="L352" s="15" t="s">
        <v>84</v>
      </c>
      <c r="M352" s="15" t="s">
        <v>84</v>
      </c>
    </row>
    <row r="353" spans="1:13" ht="15" customHeight="1" x14ac:dyDescent="0.25">
      <c r="A353" s="207" t="s">
        <v>120</v>
      </c>
      <c r="B353" s="208"/>
      <c r="C353" s="208"/>
      <c r="D353" s="208"/>
      <c r="E353" s="208"/>
      <c r="F353" s="208"/>
      <c r="G353" s="208"/>
      <c r="H353" s="208"/>
      <c r="I353" s="208"/>
      <c r="J353" s="208"/>
      <c r="K353" s="208"/>
      <c r="L353" s="208"/>
      <c r="M353" s="209"/>
    </row>
    <row r="354" spans="1:13" x14ac:dyDescent="0.25">
      <c r="A354" s="207"/>
      <c r="B354" s="208"/>
      <c r="C354" s="208"/>
      <c r="D354" s="208"/>
      <c r="E354" s="208"/>
      <c r="F354" s="208"/>
      <c r="G354" s="208"/>
      <c r="H354" s="208"/>
      <c r="I354" s="208"/>
      <c r="J354" s="208"/>
      <c r="K354" s="208"/>
      <c r="L354" s="208"/>
      <c r="M354" s="209"/>
    </row>
    <row r="355" spans="1:13" x14ac:dyDescent="0.25">
      <c r="A355" s="15" t="s">
        <v>83</v>
      </c>
      <c r="B355" s="15">
        <v>27096</v>
      </c>
      <c r="C355" s="15">
        <v>13029</v>
      </c>
      <c r="D355" s="15">
        <v>2164</v>
      </c>
      <c r="E355" s="15">
        <v>952</v>
      </c>
      <c r="F355" s="15">
        <v>23756</v>
      </c>
      <c r="G355" s="15">
        <v>11327</v>
      </c>
      <c r="H355" s="15">
        <v>2047</v>
      </c>
      <c r="I355" s="15">
        <v>901</v>
      </c>
      <c r="J355" s="15">
        <v>3340</v>
      </c>
      <c r="K355" s="15">
        <v>1702</v>
      </c>
      <c r="L355" s="15">
        <v>117</v>
      </c>
      <c r="M355" s="15">
        <v>51</v>
      </c>
    </row>
    <row r="356" spans="1:13" ht="30" x14ac:dyDescent="0.25">
      <c r="A356" s="15" t="s">
        <v>151</v>
      </c>
      <c r="B356" s="15">
        <v>7943</v>
      </c>
      <c r="C356" s="15">
        <v>4414</v>
      </c>
      <c r="D356" s="15">
        <v>133</v>
      </c>
      <c r="E356" s="15">
        <v>64</v>
      </c>
      <c r="F356" s="15">
        <v>6417</v>
      </c>
      <c r="G356" s="15">
        <v>3510</v>
      </c>
      <c r="H356" s="15">
        <v>117</v>
      </c>
      <c r="I356" s="15">
        <v>56</v>
      </c>
      <c r="J356" s="15">
        <v>1526</v>
      </c>
      <c r="K356" s="15">
        <v>904</v>
      </c>
      <c r="L356" s="15">
        <v>16</v>
      </c>
      <c r="M356" s="15">
        <v>8</v>
      </c>
    </row>
    <row r="357" spans="1:13" ht="60" x14ac:dyDescent="0.25">
      <c r="A357" s="15" t="s">
        <v>152</v>
      </c>
      <c r="B357" s="15">
        <v>671</v>
      </c>
      <c r="C357" s="15">
        <v>318</v>
      </c>
      <c r="D357" s="15">
        <v>52</v>
      </c>
      <c r="E357" s="15">
        <v>21</v>
      </c>
      <c r="F357" s="15">
        <v>599</v>
      </c>
      <c r="G357" s="15">
        <v>283</v>
      </c>
      <c r="H357" s="15">
        <v>47</v>
      </c>
      <c r="I357" s="15">
        <v>19</v>
      </c>
      <c r="J357" s="15">
        <v>72</v>
      </c>
      <c r="K357" s="15">
        <v>35</v>
      </c>
      <c r="L357" s="15">
        <v>5</v>
      </c>
      <c r="M357" s="15">
        <v>2</v>
      </c>
    </row>
    <row r="358" spans="1:13" ht="30" x14ac:dyDescent="0.25">
      <c r="A358" s="15" t="s">
        <v>85</v>
      </c>
      <c r="B358" s="15">
        <v>12299</v>
      </c>
      <c r="C358" s="15">
        <v>5979</v>
      </c>
      <c r="D358" s="15">
        <v>852</v>
      </c>
      <c r="E358" s="15">
        <v>416</v>
      </c>
      <c r="F358" s="15">
        <v>11053</v>
      </c>
      <c r="G358" s="15">
        <v>5369</v>
      </c>
      <c r="H358" s="15">
        <v>790</v>
      </c>
      <c r="I358" s="15">
        <v>391</v>
      </c>
      <c r="J358" s="15">
        <v>1246</v>
      </c>
      <c r="K358" s="15">
        <v>610</v>
      </c>
      <c r="L358" s="15">
        <v>62</v>
      </c>
      <c r="M358" s="15">
        <v>25</v>
      </c>
    </row>
    <row r="359" spans="1:13" ht="30" x14ac:dyDescent="0.25">
      <c r="A359" s="15" t="s">
        <v>86</v>
      </c>
      <c r="B359" s="15">
        <v>4211</v>
      </c>
      <c r="C359" s="15">
        <v>1559</v>
      </c>
      <c r="D359" s="15">
        <v>567</v>
      </c>
      <c r="E359" s="15">
        <v>232</v>
      </c>
      <c r="F359" s="15">
        <v>3895</v>
      </c>
      <c r="G359" s="15">
        <v>1460</v>
      </c>
      <c r="H359" s="15">
        <v>553</v>
      </c>
      <c r="I359" s="15">
        <v>223</v>
      </c>
      <c r="J359" s="15">
        <v>316</v>
      </c>
      <c r="K359" s="15">
        <v>99</v>
      </c>
      <c r="L359" s="15">
        <v>14</v>
      </c>
      <c r="M359" s="15">
        <v>9</v>
      </c>
    </row>
    <row r="360" spans="1:13" ht="45" x14ac:dyDescent="0.25">
      <c r="A360" s="15" t="s">
        <v>87</v>
      </c>
      <c r="B360" s="15">
        <v>1972</v>
      </c>
      <c r="C360" s="15">
        <v>759</v>
      </c>
      <c r="D360" s="15">
        <v>560</v>
      </c>
      <c r="E360" s="15">
        <v>219</v>
      </c>
      <c r="F360" s="15">
        <v>1792</v>
      </c>
      <c r="G360" s="15">
        <v>705</v>
      </c>
      <c r="H360" s="15">
        <v>540</v>
      </c>
      <c r="I360" s="15">
        <v>212</v>
      </c>
      <c r="J360" s="15">
        <v>180</v>
      </c>
      <c r="K360" s="15">
        <v>54</v>
      </c>
      <c r="L360" s="15">
        <v>20</v>
      </c>
      <c r="M360" s="15">
        <v>7</v>
      </c>
    </row>
    <row r="361" spans="1:13" ht="45" x14ac:dyDescent="0.25">
      <c r="A361" s="15" t="s">
        <v>153</v>
      </c>
      <c r="B361" s="15">
        <v>562</v>
      </c>
      <c r="C361" s="15">
        <v>223</v>
      </c>
      <c r="D361" s="15">
        <v>56</v>
      </c>
      <c r="E361" s="15">
        <v>19</v>
      </c>
      <c r="F361" s="15">
        <v>506</v>
      </c>
      <c r="G361" s="15">
        <v>208</v>
      </c>
      <c r="H361" s="15">
        <v>54</v>
      </c>
      <c r="I361" s="15">
        <v>19</v>
      </c>
      <c r="J361" s="15">
        <v>56</v>
      </c>
      <c r="K361" s="15">
        <v>15</v>
      </c>
      <c r="L361" s="15">
        <v>2</v>
      </c>
      <c r="M361" s="15" t="s">
        <v>84</v>
      </c>
    </row>
    <row r="362" spans="1:13" ht="60" x14ac:dyDescent="0.25">
      <c r="A362" s="15" t="s">
        <v>154</v>
      </c>
      <c r="B362" s="15">
        <v>228</v>
      </c>
      <c r="C362" s="15">
        <v>91</v>
      </c>
      <c r="D362" s="15">
        <v>21</v>
      </c>
      <c r="E362" s="15">
        <v>7</v>
      </c>
      <c r="F362" s="15">
        <v>206</v>
      </c>
      <c r="G362" s="15">
        <v>83</v>
      </c>
      <c r="H362" s="15">
        <v>21</v>
      </c>
      <c r="I362" s="15">
        <v>7</v>
      </c>
      <c r="J362" s="15">
        <v>22</v>
      </c>
      <c r="K362" s="15">
        <v>8</v>
      </c>
      <c r="L362" s="15" t="s">
        <v>84</v>
      </c>
      <c r="M362" s="15" t="s">
        <v>84</v>
      </c>
    </row>
    <row r="363" spans="1:13" ht="15" customHeight="1" x14ac:dyDescent="0.25">
      <c r="A363" s="207" t="s">
        <v>121</v>
      </c>
      <c r="B363" s="208"/>
      <c r="C363" s="208"/>
      <c r="D363" s="208"/>
      <c r="E363" s="208"/>
      <c r="F363" s="208"/>
      <c r="G363" s="208"/>
      <c r="H363" s="208"/>
      <c r="I363" s="208"/>
      <c r="J363" s="208"/>
      <c r="K363" s="208"/>
      <c r="L363" s="208"/>
      <c r="M363" s="209"/>
    </row>
    <row r="364" spans="1:13" x14ac:dyDescent="0.25">
      <c r="A364" s="207"/>
      <c r="B364" s="208"/>
      <c r="C364" s="208"/>
      <c r="D364" s="208"/>
      <c r="E364" s="208"/>
      <c r="F364" s="208"/>
      <c r="G364" s="208"/>
      <c r="H364" s="208"/>
      <c r="I364" s="208"/>
      <c r="J364" s="208"/>
      <c r="K364" s="208"/>
      <c r="L364" s="208"/>
      <c r="M364" s="209"/>
    </row>
    <row r="365" spans="1:13" x14ac:dyDescent="0.25">
      <c r="A365" s="15" t="s">
        <v>83</v>
      </c>
      <c r="B365" s="15">
        <v>834</v>
      </c>
      <c r="C365" s="15">
        <v>395</v>
      </c>
      <c r="D365" s="15">
        <v>165</v>
      </c>
      <c r="E365" s="15">
        <v>68</v>
      </c>
      <c r="F365" s="15">
        <v>834</v>
      </c>
      <c r="G365" s="15">
        <v>395</v>
      </c>
      <c r="H365" s="15">
        <v>165</v>
      </c>
      <c r="I365" s="15">
        <v>68</v>
      </c>
      <c r="J365" s="15" t="s">
        <v>84</v>
      </c>
      <c r="K365" s="15" t="s">
        <v>84</v>
      </c>
      <c r="L365" s="15" t="s">
        <v>84</v>
      </c>
      <c r="M365" s="15" t="s">
        <v>84</v>
      </c>
    </row>
    <row r="366" spans="1:13" ht="30" x14ac:dyDescent="0.25">
      <c r="A366" s="15" t="s">
        <v>151</v>
      </c>
      <c r="B366" s="15">
        <v>263</v>
      </c>
      <c r="C366" s="15">
        <v>143</v>
      </c>
      <c r="D366" s="15">
        <v>8</v>
      </c>
      <c r="E366" s="15">
        <v>3</v>
      </c>
      <c r="F366" s="15">
        <v>263</v>
      </c>
      <c r="G366" s="15">
        <v>143</v>
      </c>
      <c r="H366" s="15">
        <v>8</v>
      </c>
      <c r="I366" s="15">
        <v>3</v>
      </c>
      <c r="J366" s="15" t="s">
        <v>84</v>
      </c>
      <c r="K366" s="15" t="s">
        <v>84</v>
      </c>
      <c r="L366" s="15" t="s">
        <v>84</v>
      </c>
      <c r="M366" s="15" t="s">
        <v>84</v>
      </c>
    </row>
    <row r="367" spans="1:13" ht="60" x14ac:dyDescent="0.25">
      <c r="A367" s="15" t="s">
        <v>152</v>
      </c>
      <c r="B367" s="15">
        <v>22</v>
      </c>
      <c r="C367" s="15">
        <v>12</v>
      </c>
      <c r="D367" s="15">
        <v>3</v>
      </c>
      <c r="E367" s="15">
        <v>2</v>
      </c>
      <c r="F367" s="15">
        <v>22</v>
      </c>
      <c r="G367" s="15">
        <v>12</v>
      </c>
      <c r="H367" s="15">
        <v>3</v>
      </c>
      <c r="I367" s="15">
        <v>2</v>
      </c>
      <c r="J367" s="15" t="s">
        <v>84</v>
      </c>
      <c r="K367" s="15" t="s">
        <v>84</v>
      </c>
      <c r="L367" s="15" t="s">
        <v>84</v>
      </c>
      <c r="M367" s="15" t="s">
        <v>84</v>
      </c>
    </row>
    <row r="368" spans="1:13" ht="30" x14ac:dyDescent="0.25">
      <c r="A368" s="15" t="s">
        <v>85</v>
      </c>
      <c r="B368" s="15">
        <v>355</v>
      </c>
      <c r="C368" s="15">
        <v>171</v>
      </c>
      <c r="D368" s="15">
        <v>60</v>
      </c>
      <c r="E368" s="15">
        <v>29</v>
      </c>
      <c r="F368" s="15">
        <v>355</v>
      </c>
      <c r="G368" s="15">
        <v>171</v>
      </c>
      <c r="H368" s="15">
        <v>60</v>
      </c>
      <c r="I368" s="15">
        <v>29</v>
      </c>
      <c r="J368" s="15" t="s">
        <v>84</v>
      </c>
      <c r="K368" s="15" t="s">
        <v>84</v>
      </c>
      <c r="L368" s="15" t="s">
        <v>84</v>
      </c>
      <c r="M368" s="15" t="s">
        <v>84</v>
      </c>
    </row>
    <row r="369" spans="1:13" ht="30" x14ac:dyDescent="0.25">
      <c r="A369" s="15" t="s">
        <v>86</v>
      </c>
      <c r="B369" s="15">
        <v>84</v>
      </c>
      <c r="C369" s="15">
        <v>30</v>
      </c>
      <c r="D369" s="15">
        <v>26</v>
      </c>
      <c r="E369" s="15">
        <v>8</v>
      </c>
      <c r="F369" s="15">
        <v>84</v>
      </c>
      <c r="G369" s="15">
        <v>30</v>
      </c>
      <c r="H369" s="15">
        <v>26</v>
      </c>
      <c r="I369" s="15">
        <v>8</v>
      </c>
      <c r="J369" s="15" t="s">
        <v>84</v>
      </c>
      <c r="K369" s="15" t="s">
        <v>84</v>
      </c>
      <c r="L369" s="15" t="s">
        <v>84</v>
      </c>
      <c r="M369" s="15" t="s">
        <v>84</v>
      </c>
    </row>
    <row r="370" spans="1:13" ht="45" x14ac:dyDescent="0.25">
      <c r="A370" s="15" t="s">
        <v>87</v>
      </c>
      <c r="B370" s="15">
        <v>110</v>
      </c>
      <c r="C370" s="15">
        <v>39</v>
      </c>
      <c r="D370" s="15">
        <v>68</v>
      </c>
      <c r="E370" s="15">
        <v>26</v>
      </c>
      <c r="F370" s="15">
        <v>110</v>
      </c>
      <c r="G370" s="15">
        <v>39</v>
      </c>
      <c r="H370" s="15">
        <v>68</v>
      </c>
      <c r="I370" s="15">
        <v>26</v>
      </c>
      <c r="J370" s="15" t="s">
        <v>84</v>
      </c>
      <c r="K370" s="15" t="s">
        <v>84</v>
      </c>
      <c r="L370" s="15" t="s">
        <v>84</v>
      </c>
      <c r="M370" s="15" t="s">
        <v>84</v>
      </c>
    </row>
    <row r="371" spans="1:13" ht="45" x14ac:dyDescent="0.25">
      <c r="A371" s="15" t="s">
        <v>153</v>
      </c>
      <c r="B371" s="15">
        <v>11</v>
      </c>
      <c r="C371" s="15">
        <v>5</v>
      </c>
      <c r="D371" s="15">
        <v>3</v>
      </c>
      <c r="E371" s="15">
        <v>2</v>
      </c>
      <c r="F371" s="15">
        <v>11</v>
      </c>
      <c r="G371" s="15">
        <v>5</v>
      </c>
      <c r="H371" s="15">
        <v>3</v>
      </c>
      <c r="I371" s="15">
        <v>2</v>
      </c>
      <c r="J371" s="15" t="s">
        <v>84</v>
      </c>
      <c r="K371" s="15" t="s">
        <v>84</v>
      </c>
      <c r="L371" s="15" t="s">
        <v>84</v>
      </c>
      <c r="M371" s="15" t="s">
        <v>84</v>
      </c>
    </row>
    <row r="372" spans="1:13" ht="60" x14ac:dyDescent="0.25">
      <c r="A372" s="15" t="s">
        <v>154</v>
      </c>
      <c r="B372" s="15">
        <v>13</v>
      </c>
      <c r="C372" s="15">
        <v>4</v>
      </c>
      <c r="D372" s="15">
        <v>4</v>
      </c>
      <c r="E372" s="15">
        <v>2</v>
      </c>
      <c r="F372" s="15">
        <v>13</v>
      </c>
      <c r="G372" s="15">
        <v>4</v>
      </c>
      <c r="H372" s="15">
        <v>4</v>
      </c>
      <c r="I372" s="15">
        <v>2</v>
      </c>
      <c r="J372" s="15" t="s">
        <v>84</v>
      </c>
      <c r="K372" s="15" t="s">
        <v>84</v>
      </c>
      <c r="L372" s="15" t="s">
        <v>84</v>
      </c>
      <c r="M372" s="15" t="s">
        <v>84</v>
      </c>
    </row>
    <row r="373" spans="1:13" ht="15" customHeight="1" x14ac:dyDescent="0.25">
      <c r="A373" s="207" t="s">
        <v>122</v>
      </c>
      <c r="B373" s="208"/>
      <c r="C373" s="208"/>
      <c r="D373" s="208"/>
      <c r="E373" s="208"/>
      <c r="F373" s="208"/>
      <c r="G373" s="208"/>
      <c r="H373" s="208"/>
      <c r="I373" s="208"/>
      <c r="J373" s="208"/>
      <c r="K373" s="208"/>
      <c r="L373" s="208"/>
      <c r="M373" s="209"/>
    </row>
    <row r="374" spans="1:13" x14ac:dyDescent="0.25">
      <c r="A374" s="207"/>
      <c r="B374" s="208"/>
      <c r="C374" s="208"/>
      <c r="D374" s="208"/>
      <c r="E374" s="208"/>
      <c r="F374" s="208"/>
      <c r="G374" s="208"/>
      <c r="H374" s="208"/>
      <c r="I374" s="208"/>
      <c r="J374" s="208"/>
      <c r="K374" s="208"/>
      <c r="L374" s="208"/>
      <c r="M374" s="209"/>
    </row>
    <row r="375" spans="1:13" x14ac:dyDescent="0.25">
      <c r="A375" s="15" t="s">
        <v>83</v>
      </c>
      <c r="B375" s="15">
        <v>524</v>
      </c>
      <c r="C375" s="15">
        <v>266</v>
      </c>
      <c r="D375" s="15">
        <v>52</v>
      </c>
      <c r="E375" s="15">
        <v>19</v>
      </c>
      <c r="F375" s="15">
        <v>524</v>
      </c>
      <c r="G375" s="15">
        <v>266</v>
      </c>
      <c r="H375" s="15">
        <v>52</v>
      </c>
      <c r="I375" s="15">
        <v>19</v>
      </c>
      <c r="J375" s="15" t="s">
        <v>84</v>
      </c>
      <c r="K375" s="15" t="s">
        <v>84</v>
      </c>
      <c r="L375" s="15" t="s">
        <v>84</v>
      </c>
      <c r="M375" s="15" t="s">
        <v>84</v>
      </c>
    </row>
    <row r="376" spans="1:13" ht="30" x14ac:dyDescent="0.25">
      <c r="A376" s="15" t="s">
        <v>151</v>
      </c>
      <c r="B376" s="15">
        <v>204</v>
      </c>
      <c r="C376" s="15">
        <v>109</v>
      </c>
      <c r="D376" s="15">
        <v>5</v>
      </c>
      <c r="E376" s="15">
        <v>2</v>
      </c>
      <c r="F376" s="15">
        <v>204</v>
      </c>
      <c r="G376" s="15">
        <v>109</v>
      </c>
      <c r="H376" s="15">
        <v>5</v>
      </c>
      <c r="I376" s="15">
        <v>2</v>
      </c>
      <c r="J376" s="15" t="s">
        <v>84</v>
      </c>
      <c r="K376" s="15" t="s">
        <v>84</v>
      </c>
      <c r="L376" s="15" t="s">
        <v>84</v>
      </c>
      <c r="M376" s="15" t="s">
        <v>84</v>
      </c>
    </row>
    <row r="377" spans="1:13" ht="60" x14ac:dyDescent="0.25">
      <c r="A377" s="15" t="s">
        <v>152</v>
      </c>
      <c r="B377" s="15">
        <v>22</v>
      </c>
      <c r="C377" s="15">
        <v>13</v>
      </c>
      <c r="D377" s="15">
        <v>2</v>
      </c>
      <c r="E377" s="15">
        <v>2</v>
      </c>
      <c r="F377" s="15">
        <v>22</v>
      </c>
      <c r="G377" s="15">
        <v>13</v>
      </c>
      <c r="H377" s="15">
        <v>2</v>
      </c>
      <c r="I377" s="15">
        <v>2</v>
      </c>
      <c r="J377" s="15" t="s">
        <v>84</v>
      </c>
      <c r="K377" s="15" t="s">
        <v>84</v>
      </c>
      <c r="L377" s="15" t="s">
        <v>84</v>
      </c>
      <c r="M377" s="15" t="s">
        <v>84</v>
      </c>
    </row>
    <row r="378" spans="1:13" ht="30" x14ac:dyDescent="0.25">
      <c r="A378" s="15" t="s">
        <v>85</v>
      </c>
      <c r="B378" s="15">
        <v>192</v>
      </c>
      <c r="C378" s="15">
        <v>105</v>
      </c>
      <c r="D378" s="15">
        <v>15</v>
      </c>
      <c r="E378" s="15">
        <v>6</v>
      </c>
      <c r="F378" s="15">
        <v>192</v>
      </c>
      <c r="G378" s="15">
        <v>105</v>
      </c>
      <c r="H378" s="15">
        <v>15</v>
      </c>
      <c r="I378" s="15">
        <v>6</v>
      </c>
      <c r="J378" s="15" t="s">
        <v>84</v>
      </c>
      <c r="K378" s="15" t="s">
        <v>84</v>
      </c>
      <c r="L378" s="15" t="s">
        <v>84</v>
      </c>
      <c r="M378" s="15" t="s">
        <v>84</v>
      </c>
    </row>
    <row r="379" spans="1:13" ht="30" x14ac:dyDescent="0.25">
      <c r="A379" s="15" t="s">
        <v>86</v>
      </c>
      <c r="B379" s="15">
        <v>59</v>
      </c>
      <c r="C379" s="15">
        <v>20</v>
      </c>
      <c r="D379" s="15">
        <v>16</v>
      </c>
      <c r="E379" s="15">
        <v>6</v>
      </c>
      <c r="F379" s="15">
        <v>59</v>
      </c>
      <c r="G379" s="15">
        <v>20</v>
      </c>
      <c r="H379" s="15">
        <v>16</v>
      </c>
      <c r="I379" s="15">
        <v>6</v>
      </c>
      <c r="J379" s="15" t="s">
        <v>84</v>
      </c>
      <c r="K379" s="15" t="s">
        <v>84</v>
      </c>
      <c r="L379" s="15" t="s">
        <v>84</v>
      </c>
      <c r="M379" s="15" t="s">
        <v>84</v>
      </c>
    </row>
    <row r="380" spans="1:13" ht="45" x14ac:dyDescent="0.25">
      <c r="A380" s="15" t="s">
        <v>87</v>
      </c>
      <c r="B380" s="15">
        <v>47</v>
      </c>
      <c r="C380" s="15">
        <v>19</v>
      </c>
      <c r="D380" s="15">
        <v>14</v>
      </c>
      <c r="E380" s="15">
        <v>3</v>
      </c>
      <c r="F380" s="15">
        <v>47</v>
      </c>
      <c r="G380" s="15">
        <v>19</v>
      </c>
      <c r="H380" s="15">
        <v>14</v>
      </c>
      <c r="I380" s="15">
        <v>3</v>
      </c>
      <c r="J380" s="15" t="s">
        <v>84</v>
      </c>
      <c r="K380" s="15" t="s">
        <v>84</v>
      </c>
      <c r="L380" s="15" t="s">
        <v>84</v>
      </c>
      <c r="M380" s="15" t="s">
        <v>84</v>
      </c>
    </row>
    <row r="381" spans="1:13" ht="45" x14ac:dyDescent="0.25">
      <c r="A381" s="15" t="s">
        <v>153</v>
      </c>
      <c r="B381" s="15">
        <v>9</v>
      </c>
      <c r="C381" s="15">
        <v>4</v>
      </c>
      <c r="D381" s="15" t="s">
        <v>84</v>
      </c>
      <c r="E381" s="15" t="s">
        <v>84</v>
      </c>
      <c r="F381" s="15">
        <v>9</v>
      </c>
      <c r="G381" s="15">
        <v>4</v>
      </c>
      <c r="H381" s="15" t="s">
        <v>84</v>
      </c>
      <c r="I381" s="15" t="s">
        <v>84</v>
      </c>
      <c r="J381" s="15" t="s">
        <v>84</v>
      </c>
      <c r="K381" s="15" t="s">
        <v>84</v>
      </c>
      <c r="L381" s="15" t="s">
        <v>84</v>
      </c>
      <c r="M381" s="15" t="s">
        <v>84</v>
      </c>
    </row>
    <row r="382" spans="1:13" ht="60" x14ac:dyDescent="0.25">
      <c r="A382" s="15" t="s">
        <v>154</v>
      </c>
      <c r="B382" s="15">
        <v>5</v>
      </c>
      <c r="C382" s="15">
        <v>4</v>
      </c>
      <c r="D382" s="15">
        <v>1</v>
      </c>
      <c r="E382" s="15" t="s">
        <v>84</v>
      </c>
      <c r="F382" s="15">
        <v>5</v>
      </c>
      <c r="G382" s="15">
        <v>4</v>
      </c>
      <c r="H382" s="15">
        <v>1</v>
      </c>
      <c r="I382" s="15" t="s">
        <v>84</v>
      </c>
      <c r="J382" s="15" t="s">
        <v>84</v>
      </c>
      <c r="K382" s="15" t="s">
        <v>84</v>
      </c>
      <c r="L382" s="15" t="s">
        <v>84</v>
      </c>
      <c r="M382" s="15" t="s">
        <v>84</v>
      </c>
    </row>
    <row r="383" spans="1:13" ht="15" customHeight="1" x14ac:dyDescent="0.25">
      <c r="A383" s="207" t="s">
        <v>123</v>
      </c>
      <c r="B383" s="208"/>
      <c r="C383" s="208"/>
      <c r="D383" s="208"/>
      <c r="E383" s="208"/>
      <c r="F383" s="208"/>
      <c r="G383" s="208"/>
      <c r="H383" s="208"/>
      <c r="I383" s="208"/>
      <c r="J383" s="208"/>
      <c r="K383" s="208"/>
      <c r="L383" s="208"/>
      <c r="M383" s="209"/>
    </row>
    <row r="384" spans="1:13" x14ac:dyDescent="0.25">
      <c r="A384" s="207"/>
      <c r="B384" s="208"/>
      <c r="C384" s="208"/>
      <c r="D384" s="208"/>
      <c r="E384" s="208"/>
      <c r="F384" s="208"/>
      <c r="G384" s="208"/>
      <c r="H384" s="208"/>
      <c r="I384" s="208"/>
      <c r="J384" s="208"/>
      <c r="K384" s="208"/>
      <c r="L384" s="208"/>
      <c r="M384" s="209"/>
    </row>
    <row r="385" spans="1:13" x14ac:dyDescent="0.25">
      <c r="A385" s="15" t="s">
        <v>83</v>
      </c>
      <c r="B385" s="15">
        <v>2023</v>
      </c>
      <c r="C385" s="15">
        <v>1008</v>
      </c>
      <c r="D385" s="15">
        <v>135</v>
      </c>
      <c r="E385" s="15">
        <v>56</v>
      </c>
      <c r="F385" s="15">
        <v>1752</v>
      </c>
      <c r="G385" s="15">
        <v>856</v>
      </c>
      <c r="H385" s="15">
        <v>115</v>
      </c>
      <c r="I385" s="15">
        <v>48</v>
      </c>
      <c r="J385" s="15">
        <v>271</v>
      </c>
      <c r="K385" s="15">
        <v>152</v>
      </c>
      <c r="L385" s="15">
        <v>20</v>
      </c>
      <c r="M385" s="15">
        <v>8</v>
      </c>
    </row>
    <row r="386" spans="1:13" ht="30" x14ac:dyDescent="0.25">
      <c r="A386" s="15" t="s">
        <v>151</v>
      </c>
      <c r="B386" s="15">
        <v>1056</v>
      </c>
      <c r="C386" s="15">
        <v>593</v>
      </c>
      <c r="D386" s="15">
        <v>22</v>
      </c>
      <c r="E386" s="15">
        <v>12</v>
      </c>
      <c r="F386" s="15">
        <v>874</v>
      </c>
      <c r="G386" s="15">
        <v>487</v>
      </c>
      <c r="H386" s="15">
        <v>21</v>
      </c>
      <c r="I386" s="15">
        <v>11</v>
      </c>
      <c r="J386" s="15">
        <v>182</v>
      </c>
      <c r="K386" s="15">
        <v>106</v>
      </c>
      <c r="L386" s="15">
        <v>1</v>
      </c>
      <c r="M386" s="15">
        <v>1</v>
      </c>
    </row>
    <row r="387" spans="1:13" ht="60" x14ac:dyDescent="0.25">
      <c r="A387" s="15" t="s">
        <v>152</v>
      </c>
      <c r="B387" s="15">
        <v>115</v>
      </c>
      <c r="C387" s="15">
        <v>60</v>
      </c>
      <c r="D387" s="15">
        <v>13</v>
      </c>
      <c r="E387" s="15">
        <v>5</v>
      </c>
      <c r="F387" s="15">
        <v>114</v>
      </c>
      <c r="G387" s="15">
        <v>59</v>
      </c>
      <c r="H387" s="15">
        <v>13</v>
      </c>
      <c r="I387" s="15">
        <v>5</v>
      </c>
      <c r="J387" s="15">
        <v>1</v>
      </c>
      <c r="K387" s="15">
        <v>1</v>
      </c>
      <c r="L387" s="15" t="s">
        <v>84</v>
      </c>
      <c r="M387" s="15" t="s">
        <v>84</v>
      </c>
    </row>
    <row r="388" spans="1:13" ht="30" x14ac:dyDescent="0.25">
      <c r="A388" s="15" t="s">
        <v>85</v>
      </c>
      <c r="B388" s="15">
        <v>563</v>
      </c>
      <c r="C388" s="15">
        <v>247</v>
      </c>
      <c r="D388" s="15">
        <v>43</v>
      </c>
      <c r="E388" s="15">
        <v>15</v>
      </c>
      <c r="F388" s="15">
        <v>492</v>
      </c>
      <c r="G388" s="15">
        <v>207</v>
      </c>
      <c r="H388" s="15">
        <v>29</v>
      </c>
      <c r="I388" s="15">
        <v>10</v>
      </c>
      <c r="J388" s="15">
        <v>71</v>
      </c>
      <c r="K388" s="15">
        <v>40</v>
      </c>
      <c r="L388" s="15">
        <v>14</v>
      </c>
      <c r="M388" s="15">
        <v>5</v>
      </c>
    </row>
    <row r="389" spans="1:13" ht="30" x14ac:dyDescent="0.25">
      <c r="A389" s="15" t="s">
        <v>86</v>
      </c>
      <c r="B389" s="15">
        <v>198</v>
      </c>
      <c r="C389" s="15">
        <v>76</v>
      </c>
      <c r="D389" s="15">
        <v>31</v>
      </c>
      <c r="E389" s="15">
        <v>12</v>
      </c>
      <c r="F389" s="15">
        <v>183</v>
      </c>
      <c r="G389" s="15">
        <v>73</v>
      </c>
      <c r="H389" s="15">
        <v>27</v>
      </c>
      <c r="I389" s="15">
        <v>11</v>
      </c>
      <c r="J389" s="15">
        <v>15</v>
      </c>
      <c r="K389" s="15">
        <v>3</v>
      </c>
      <c r="L389" s="15">
        <v>4</v>
      </c>
      <c r="M389" s="15">
        <v>1</v>
      </c>
    </row>
    <row r="390" spans="1:13" ht="45" x14ac:dyDescent="0.25">
      <c r="A390" s="15" t="s">
        <v>87</v>
      </c>
      <c r="B390" s="15">
        <v>91</v>
      </c>
      <c r="C390" s="15">
        <v>32</v>
      </c>
      <c r="D390" s="15">
        <v>26</v>
      </c>
      <c r="E390" s="15">
        <v>12</v>
      </c>
      <c r="F390" s="15">
        <v>89</v>
      </c>
      <c r="G390" s="15">
        <v>30</v>
      </c>
      <c r="H390" s="15">
        <v>25</v>
      </c>
      <c r="I390" s="15">
        <v>11</v>
      </c>
      <c r="J390" s="15">
        <v>2</v>
      </c>
      <c r="K390" s="15">
        <v>2</v>
      </c>
      <c r="L390" s="15">
        <v>1</v>
      </c>
      <c r="M390" s="15">
        <v>1</v>
      </c>
    </row>
    <row r="391" spans="1:13" ht="45" x14ac:dyDescent="0.25">
      <c r="A391" s="15" t="s">
        <v>153</v>
      </c>
      <c r="B391" s="15">
        <v>33</v>
      </c>
      <c r="C391" s="15">
        <v>10</v>
      </c>
      <c r="D391" s="15" t="s">
        <v>84</v>
      </c>
      <c r="E391" s="15" t="s">
        <v>84</v>
      </c>
      <c r="F391" s="15">
        <v>33</v>
      </c>
      <c r="G391" s="15">
        <v>10</v>
      </c>
      <c r="H391" s="15" t="s">
        <v>84</v>
      </c>
      <c r="I391" s="15" t="s">
        <v>84</v>
      </c>
      <c r="J391" s="15" t="s">
        <v>84</v>
      </c>
      <c r="K391" s="15" t="s">
        <v>84</v>
      </c>
      <c r="L391" s="15" t="s">
        <v>84</v>
      </c>
      <c r="M391" s="15" t="s">
        <v>84</v>
      </c>
    </row>
    <row r="392" spans="1:13" ht="60" x14ac:dyDescent="0.25">
      <c r="A392" s="15" t="s">
        <v>154</v>
      </c>
      <c r="B392" s="15">
        <v>2</v>
      </c>
      <c r="C392" s="15">
        <v>1</v>
      </c>
      <c r="D392" s="15">
        <v>1</v>
      </c>
      <c r="E392" s="15" t="s">
        <v>84</v>
      </c>
      <c r="F392" s="15">
        <v>2</v>
      </c>
      <c r="G392" s="15">
        <v>1</v>
      </c>
      <c r="H392" s="15">
        <v>1</v>
      </c>
      <c r="I392" s="15" t="s">
        <v>84</v>
      </c>
      <c r="J392" s="15" t="s">
        <v>84</v>
      </c>
      <c r="K392" s="15" t="s">
        <v>84</v>
      </c>
      <c r="L392" s="15" t="s">
        <v>84</v>
      </c>
      <c r="M392" s="15" t="s">
        <v>84</v>
      </c>
    </row>
    <row r="393" spans="1:13" ht="15" customHeight="1" x14ac:dyDescent="0.25">
      <c r="A393" s="207" t="s">
        <v>124</v>
      </c>
      <c r="B393" s="208"/>
      <c r="C393" s="208"/>
      <c r="D393" s="208"/>
      <c r="E393" s="208"/>
      <c r="F393" s="208"/>
      <c r="G393" s="208"/>
      <c r="H393" s="208"/>
      <c r="I393" s="208"/>
      <c r="J393" s="208"/>
      <c r="K393" s="208"/>
      <c r="L393" s="208"/>
      <c r="M393" s="209"/>
    </row>
    <row r="394" spans="1:13" x14ac:dyDescent="0.25">
      <c r="A394" s="207"/>
      <c r="B394" s="208"/>
      <c r="C394" s="208"/>
      <c r="D394" s="208"/>
      <c r="E394" s="208"/>
      <c r="F394" s="208"/>
      <c r="G394" s="208"/>
      <c r="H394" s="208"/>
      <c r="I394" s="208"/>
      <c r="J394" s="208"/>
      <c r="K394" s="208"/>
      <c r="L394" s="208"/>
      <c r="M394" s="209"/>
    </row>
    <row r="395" spans="1:13" x14ac:dyDescent="0.25">
      <c r="A395" s="15" t="s">
        <v>83</v>
      </c>
      <c r="B395" s="15">
        <v>2131</v>
      </c>
      <c r="C395" s="15">
        <v>1081</v>
      </c>
      <c r="D395" s="15">
        <v>242</v>
      </c>
      <c r="E395" s="15">
        <v>111</v>
      </c>
      <c r="F395" s="15">
        <v>1552</v>
      </c>
      <c r="G395" s="15">
        <v>786</v>
      </c>
      <c r="H395" s="15">
        <v>220</v>
      </c>
      <c r="I395" s="15">
        <v>99</v>
      </c>
      <c r="J395" s="15">
        <v>579</v>
      </c>
      <c r="K395" s="15">
        <v>295</v>
      </c>
      <c r="L395" s="15">
        <v>22</v>
      </c>
      <c r="M395" s="15">
        <v>12</v>
      </c>
    </row>
    <row r="396" spans="1:13" ht="30" x14ac:dyDescent="0.25">
      <c r="A396" s="15" t="s">
        <v>151</v>
      </c>
      <c r="B396" s="15">
        <v>931</v>
      </c>
      <c r="C396" s="15">
        <v>527</v>
      </c>
      <c r="D396" s="15">
        <v>21</v>
      </c>
      <c r="E396" s="15">
        <v>10</v>
      </c>
      <c r="F396" s="15">
        <v>677</v>
      </c>
      <c r="G396" s="15">
        <v>392</v>
      </c>
      <c r="H396" s="15">
        <v>21</v>
      </c>
      <c r="I396" s="15">
        <v>10</v>
      </c>
      <c r="J396" s="15">
        <v>254</v>
      </c>
      <c r="K396" s="15">
        <v>135</v>
      </c>
      <c r="L396" s="15" t="s">
        <v>84</v>
      </c>
      <c r="M396" s="15" t="s">
        <v>84</v>
      </c>
    </row>
    <row r="397" spans="1:13" ht="60" x14ac:dyDescent="0.25">
      <c r="A397" s="15" t="s">
        <v>152</v>
      </c>
      <c r="B397" s="15">
        <v>89</v>
      </c>
      <c r="C397" s="15">
        <v>40</v>
      </c>
      <c r="D397" s="15">
        <v>8</v>
      </c>
      <c r="E397" s="15">
        <v>3</v>
      </c>
      <c r="F397" s="15">
        <v>86</v>
      </c>
      <c r="G397" s="15">
        <v>39</v>
      </c>
      <c r="H397" s="15">
        <v>8</v>
      </c>
      <c r="I397" s="15">
        <v>3</v>
      </c>
      <c r="J397" s="15">
        <v>3</v>
      </c>
      <c r="K397" s="15">
        <v>1</v>
      </c>
      <c r="L397" s="15" t="s">
        <v>84</v>
      </c>
      <c r="M397" s="15" t="s">
        <v>84</v>
      </c>
    </row>
    <row r="398" spans="1:13" ht="30" x14ac:dyDescent="0.25">
      <c r="A398" s="15" t="s">
        <v>85</v>
      </c>
      <c r="B398" s="15">
        <v>828</v>
      </c>
      <c r="C398" s="15">
        <v>413</v>
      </c>
      <c r="D398" s="15">
        <v>128</v>
      </c>
      <c r="E398" s="15">
        <v>66</v>
      </c>
      <c r="F398" s="15">
        <v>549</v>
      </c>
      <c r="G398" s="15">
        <v>273</v>
      </c>
      <c r="H398" s="15">
        <v>115</v>
      </c>
      <c r="I398" s="15">
        <v>60</v>
      </c>
      <c r="J398" s="15">
        <v>279</v>
      </c>
      <c r="K398" s="15">
        <v>140</v>
      </c>
      <c r="L398" s="15">
        <v>13</v>
      </c>
      <c r="M398" s="15">
        <v>6</v>
      </c>
    </row>
    <row r="399" spans="1:13" ht="30" x14ac:dyDescent="0.25">
      <c r="A399" s="15" t="s">
        <v>86</v>
      </c>
      <c r="B399" s="15">
        <v>168</v>
      </c>
      <c r="C399" s="15">
        <v>56</v>
      </c>
      <c r="D399" s="15">
        <v>37</v>
      </c>
      <c r="E399" s="15">
        <v>15</v>
      </c>
      <c r="F399" s="15">
        <v>141</v>
      </c>
      <c r="G399" s="15">
        <v>45</v>
      </c>
      <c r="H399" s="15">
        <v>34</v>
      </c>
      <c r="I399" s="15">
        <v>13</v>
      </c>
      <c r="J399" s="15">
        <v>27</v>
      </c>
      <c r="K399" s="15">
        <v>11</v>
      </c>
      <c r="L399" s="15">
        <v>3</v>
      </c>
      <c r="M399" s="15">
        <v>2</v>
      </c>
    </row>
    <row r="400" spans="1:13" ht="45" x14ac:dyDescent="0.25">
      <c r="A400" s="15" t="s">
        <v>87</v>
      </c>
      <c r="B400" s="15">
        <v>115</v>
      </c>
      <c r="C400" s="15">
        <v>45</v>
      </c>
      <c r="D400" s="15">
        <v>48</v>
      </c>
      <c r="E400" s="15">
        <v>17</v>
      </c>
      <c r="F400" s="15">
        <v>99</v>
      </c>
      <c r="G400" s="15">
        <v>37</v>
      </c>
      <c r="H400" s="15">
        <v>42</v>
      </c>
      <c r="I400" s="15">
        <v>13</v>
      </c>
      <c r="J400" s="15">
        <v>16</v>
      </c>
      <c r="K400" s="15">
        <v>8</v>
      </c>
      <c r="L400" s="15">
        <v>6</v>
      </c>
      <c r="M400" s="15">
        <v>4</v>
      </c>
    </row>
    <row r="401" spans="1:13" ht="45" x14ac:dyDescent="0.25">
      <c r="A401" s="15" t="s">
        <v>153</v>
      </c>
      <c r="B401" s="15">
        <v>27</v>
      </c>
      <c r="C401" s="15">
        <v>11</v>
      </c>
      <c r="D401" s="15">
        <v>11</v>
      </c>
      <c r="E401" s="15">
        <v>4</v>
      </c>
      <c r="F401" s="15">
        <v>27</v>
      </c>
      <c r="G401" s="15">
        <v>11</v>
      </c>
      <c r="H401" s="15">
        <v>11</v>
      </c>
      <c r="I401" s="15">
        <v>4</v>
      </c>
      <c r="J401" s="15" t="s">
        <v>84</v>
      </c>
      <c r="K401" s="15" t="s">
        <v>84</v>
      </c>
      <c r="L401" s="15" t="s">
        <v>84</v>
      </c>
      <c r="M401" s="15" t="s">
        <v>84</v>
      </c>
    </row>
    <row r="402" spans="1:13" ht="60" x14ac:dyDescent="0.25">
      <c r="A402" s="15" t="s">
        <v>154</v>
      </c>
      <c r="B402" s="15">
        <v>24</v>
      </c>
      <c r="C402" s="15">
        <v>11</v>
      </c>
      <c r="D402" s="15">
        <v>7</v>
      </c>
      <c r="E402" s="15">
        <v>2</v>
      </c>
      <c r="F402" s="15">
        <v>24</v>
      </c>
      <c r="G402" s="15">
        <v>11</v>
      </c>
      <c r="H402" s="15">
        <v>7</v>
      </c>
      <c r="I402" s="15">
        <v>2</v>
      </c>
      <c r="J402" s="15" t="s">
        <v>84</v>
      </c>
      <c r="K402" s="15" t="s">
        <v>84</v>
      </c>
      <c r="L402" s="15" t="s">
        <v>84</v>
      </c>
      <c r="M402" s="15" t="s">
        <v>84</v>
      </c>
    </row>
    <row r="403" spans="1:13" ht="15" customHeight="1" x14ac:dyDescent="0.25">
      <c r="A403" s="207" t="s">
        <v>125</v>
      </c>
      <c r="B403" s="208"/>
      <c r="C403" s="208"/>
      <c r="D403" s="208"/>
      <c r="E403" s="208"/>
      <c r="F403" s="208"/>
      <c r="G403" s="208"/>
      <c r="H403" s="208"/>
      <c r="I403" s="208"/>
      <c r="J403" s="208"/>
      <c r="K403" s="208"/>
      <c r="L403" s="208"/>
      <c r="M403" s="209"/>
    </row>
    <row r="404" spans="1:13" x14ac:dyDescent="0.25">
      <c r="A404" s="207"/>
      <c r="B404" s="208"/>
      <c r="C404" s="208"/>
      <c r="D404" s="208"/>
      <c r="E404" s="208"/>
      <c r="F404" s="208"/>
      <c r="G404" s="208"/>
      <c r="H404" s="208"/>
      <c r="I404" s="208"/>
      <c r="J404" s="208"/>
      <c r="K404" s="208"/>
      <c r="L404" s="208"/>
      <c r="M404" s="209"/>
    </row>
    <row r="405" spans="1:13" x14ac:dyDescent="0.25">
      <c r="A405" s="15" t="s">
        <v>83</v>
      </c>
      <c r="B405" s="15">
        <v>633</v>
      </c>
      <c r="C405" s="15">
        <v>273</v>
      </c>
      <c r="D405" s="15">
        <v>68</v>
      </c>
      <c r="E405" s="15">
        <v>28</v>
      </c>
      <c r="F405" s="15">
        <v>495</v>
      </c>
      <c r="G405" s="15">
        <v>195</v>
      </c>
      <c r="H405" s="15">
        <v>60</v>
      </c>
      <c r="I405" s="15">
        <v>24</v>
      </c>
      <c r="J405" s="15">
        <v>138</v>
      </c>
      <c r="K405" s="15">
        <v>78</v>
      </c>
      <c r="L405" s="15">
        <v>8</v>
      </c>
      <c r="M405" s="15">
        <v>4</v>
      </c>
    </row>
    <row r="406" spans="1:13" ht="30" x14ac:dyDescent="0.25">
      <c r="A406" s="15" t="s">
        <v>151</v>
      </c>
      <c r="B406" s="15">
        <v>223</v>
      </c>
      <c r="C406" s="15">
        <v>122</v>
      </c>
      <c r="D406" s="15">
        <v>1</v>
      </c>
      <c r="E406" s="15">
        <v>1</v>
      </c>
      <c r="F406" s="15">
        <v>156</v>
      </c>
      <c r="G406" s="15">
        <v>80</v>
      </c>
      <c r="H406" s="15">
        <v>1</v>
      </c>
      <c r="I406" s="15">
        <v>1</v>
      </c>
      <c r="J406" s="15">
        <v>67</v>
      </c>
      <c r="K406" s="15">
        <v>42</v>
      </c>
      <c r="L406" s="15" t="s">
        <v>84</v>
      </c>
      <c r="M406" s="15" t="s">
        <v>84</v>
      </c>
    </row>
    <row r="407" spans="1:13" ht="60" x14ac:dyDescent="0.25">
      <c r="A407" s="15" t="s">
        <v>152</v>
      </c>
      <c r="B407" s="15">
        <v>9</v>
      </c>
      <c r="C407" s="15">
        <v>5</v>
      </c>
      <c r="D407" s="15">
        <v>1</v>
      </c>
      <c r="E407" s="15" t="s">
        <v>84</v>
      </c>
      <c r="F407" s="15">
        <v>3</v>
      </c>
      <c r="G407" s="15">
        <v>2</v>
      </c>
      <c r="H407" s="15">
        <v>1</v>
      </c>
      <c r="I407" s="15" t="s">
        <v>84</v>
      </c>
      <c r="J407" s="15">
        <v>6</v>
      </c>
      <c r="K407" s="15">
        <v>3</v>
      </c>
      <c r="L407" s="15" t="s">
        <v>84</v>
      </c>
      <c r="M407" s="15" t="s">
        <v>84</v>
      </c>
    </row>
    <row r="408" spans="1:13" ht="30" x14ac:dyDescent="0.25">
      <c r="A408" s="15" t="s">
        <v>85</v>
      </c>
      <c r="B408" s="15">
        <v>230</v>
      </c>
      <c r="C408" s="15">
        <v>87</v>
      </c>
      <c r="D408" s="15">
        <v>28</v>
      </c>
      <c r="E408" s="15">
        <v>13</v>
      </c>
      <c r="F408" s="15">
        <v>182</v>
      </c>
      <c r="G408" s="15">
        <v>64</v>
      </c>
      <c r="H408" s="15">
        <v>24</v>
      </c>
      <c r="I408" s="15">
        <v>10</v>
      </c>
      <c r="J408" s="15">
        <v>48</v>
      </c>
      <c r="K408" s="15">
        <v>23</v>
      </c>
      <c r="L408" s="15">
        <v>4</v>
      </c>
      <c r="M408" s="15">
        <v>3</v>
      </c>
    </row>
    <row r="409" spans="1:13" ht="30" x14ac:dyDescent="0.25">
      <c r="A409" s="15" t="s">
        <v>86</v>
      </c>
      <c r="B409" s="15">
        <v>119</v>
      </c>
      <c r="C409" s="15">
        <v>38</v>
      </c>
      <c r="D409" s="15">
        <v>19</v>
      </c>
      <c r="E409" s="15">
        <v>6</v>
      </c>
      <c r="F409" s="15">
        <v>108</v>
      </c>
      <c r="G409" s="15">
        <v>31</v>
      </c>
      <c r="H409" s="15">
        <v>17</v>
      </c>
      <c r="I409" s="15">
        <v>5</v>
      </c>
      <c r="J409" s="15">
        <v>11</v>
      </c>
      <c r="K409" s="15">
        <v>7</v>
      </c>
      <c r="L409" s="15">
        <v>2</v>
      </c>
      <c r="M409" s="15">
        <v>1</v>
      </c>
    </row>
    <row r="410" spans="1:13" ht="45" x14ac:dyDescent="0.25">
      <c r="A410" s="15" t="s">
        <v>87</v>
      </c>
      <c r="B410" s="15">
        <v>52</v>
      </c>
      <c r="C410" s="15">
        <v>21</v>
      </c>
      <c r="D410" s="15">
        <v>19</v>
      </c>
      <c r="E410" s="15">
        <v>8</v>
      </c>
      <c r="F410" s="15">
        <v>46</v>
      </c>
      <c r="G410" s="15">
        <v>18</v>
      </c>
      <c r="H410" s="15">
        <v>17</v>
      </c>
      <c r="I410" s="15">
        <v>8</v>
      </c>
      <c r="J410" s="15">
        <v>6</v>
      </c>
      <c r="K410" s="15">
        <v>3</v>
      </c>
      <c r="L410" s="15">
        <v>2</v>
      </c>
      <c r="M410" s="15" t="s">
        <v>84</v>
      </c>
    </row>
    <row r="411" spans="1:13" ht="45" x14ac:dyDescent="0.25">
      <c r="A411" s="15" t="s">
        <v>153</v>
      </c>
      <c r="B411" s="15">
        <v>13</v>
      </c>
      <c r="C411" s="15">
        <v>5</v>
      </c>
      <c r="D411" s="15" t="s">
        <v>84</v>
      </c>
      <c r="E411" s="15" t="s">
        <v>84</v>
      </c>
      <c r="F411" s="15">
        <v>12</v>
      </c>
      <c r="G411" s="15">
        <v>4</v>
      </c>
      <c r="H411" s="15" t="s">
        <v>84</v>
      </c>
      <c r="I411" s="15" t="s">
        <v>84</v>
      </c>
      <c r="J411" s="15">
        <v>1</v>
      </c>
      <c r="K411" s="15">
        <v>1</v>
      </c>
      <c r="L411" s="15" t="s">
        <v>84</v>
      </c>
      <c r="M411" s="15" t="s">
        <v>84</v>
      </c>
    </row>
    <row r="412" spans="1:13" ht="15" customHeight="1" x14ac:dyDescent="0.25">
      <c r="A412" s="207" t="s">
        <v>126</v>
      </c>
      <c r="B412" s="208"/>
      <c r="C412" s="208"/>
      <c r="D412" s="208"/>
      <c r="E412" s="208"/>
      <c r="F412" s="208"/>
      <c r="G412" s="208"/>
      <c r="H412" s="208"/>
      <c r="I412" s="208"/>
      <c r="J412" s="208"/>
      <c r="K412" s="208"/>
      <c r="L412" s="208"/>
      <c r="M412" s="209"/>
    </row>
    <row r="413" spans="1:13" x14ac:dyDescent="0.25">
      <c r="A413" s="207"/>
      <c r="B413" s="208"/>
      <c r="C413" s="208"/>
      <c r="D413" s="208"/>
      <c r="E413" s="208"/>
      <c r="F413" s="208"/>
      <c r="G413" s="208"/>
      <c r="H413" s="208"/>
      <c r="I413" s="208"/>
      <c r="J413" s="208"/>
      <c r="K413" s="208"/>
      <c r="L413" s="208"/>
      <c r="M413" s="209"/>
    </row>
    <row r="414" spans="1:13" x14ac:dyDescent="0.25">
      <c r="A414" s="15" t="s">
        <v>83</v>
      </c>
      <c r="B414" s="15">
        <v>1311</v>
      </c>
      <c r="C414" s="15">
        <v>606</v>
      </c>
      <c r="D414" s="15">
        <v>74</v>
      </c>
      <c r="E414" s="15">
        <v>29</v>
      </c>
      <c r="F414" s="15">
        <v>1275</v>
      </c>
      <c r="G414" s="15">
        <v>593</v>
      </c>
      <c r="H414" s="15">
        <v>74</v>
      </c>
      <c r="I414" s="15">
        <v>29</v>
      </c>
      <c r="J414" s="15">
        <v>36</v>
      </c>
      <c r="K414" s="15">
        <v>13</v>
      </c>
      <c r="L414" s="15" t="s">
        <v>84</v>
      </c>
      <c r="M414" s="15" t="s">
        <v>84</v>
      </c>
    </row>
    <row r="415" spans="1:13" ht="30" x14ac:dyDescent="0.25">
      <c r="A415" s="15" t="s">
        <v>151</v>
      </c>
      <c r="B415" s="15">
        <v>330</v>
      </c>
      <c r="C415" s="15">
        <v>178</v>
      </c>
      <c r="D415" s="15">
        <v>3</v>
      </c>
      <c r="E415" s="15">
        <v>2</v>
      </c>
      <c r="F415" s="15">
        <v>330</v>
      </c>
      <c r="G415" s="15">
        <v>178</v>
      </c>
      <c r="H415" s="15">
        <v>3</v>
      </c>
      <c r="I415" s="15">
        <v>2</v>
      </c>
      <c r="J415" s="15" t="s">
        <v>84</v>
      </c>
      <c r="K415" s="15" t="s">
        <v>84</v>
      </c>
      <c r="L415" s="15" t="s">
        <v>84</v>
      </c>
      <c r="M415" s="15" t="s">
        <v>84</v>
      </c>
    </row>
    <row r="416" spans="1:13" ht="60" x14ac:dyDescent="0.25">
      <c r="A416" s="15" t="s">
        <v>152</v>
      </c>
      <c r="B416" s="15">
        <v>36</v>
      </c>
      <c r="C416" s="15">
        <v>10</v>
      </c>
      <c r="D416" s="15">
        <v>4</v>
      </c>
      <c r="E416" s="15" t="s">
        <v>84</v>
      </c>
      <c r="F416" s="15">
        <v>36</v>
      </c>
      <c r="G416" s="15">
        <v>10</v>
      </c>
      <c r="H416" s="15">
        <v>4</v>
      </c>
      <c r="I416" s="15" t="s">
        <v>84</v>
      </c>
      <c r="J416" s="15" t="s">
        <v>84</v>
      </c>
      <c r="K416" s="15" t="s">
        <v>84</v>
      </c>
      <c r="L416" s="15" t="s">
        <v>84</v>
      </c>
      <c r="M416" s="15" t="s">
        <v>84</v>
      </c>
    </row>
    <row r="417" spans="1:13" ht="30" x14ac:dyDescent="0.25">
      <c r="A417" s="15" t="s">
        <v>85</v>
      </c>
      <c r="B417" s="15">
        <v>590</v>
      </c>
      <c r="C417" s="15">
        <v>280</v>
      </c>
      <c r="D417" s="15">
        <v>33</v>
      </c>
      <c r="E417" s="15">
        <v>9</v>
      </c>
      <c r="F417" s="15">
        <v>581</v>
      </c>
      <c r="G417" s="15">
        <v>275</v>
      </c>
      <c r="H417" s="15">
        <v>33</v>
      </c>
      <c r="I417" s="15">
        <v>9</v>
      </c>
      <c r="J417" s="15">
        <v>9</v>
      </c>
      <c r="K417" s="15">
        <v>5</v>
      </c>
      <c r="L417" s="15" t="s">
        <v>84</v>
      </c>
      <c r="M417" s="15" t="s">
        <v>84</v>
      </c>
    </row>
    <row r="418" spans="1:13" ht="30" x14ac:dyDescent="0.25">
      <c r="A418" s="15" t="s">
        <v>86</v>
      </c>
      <c r="B418" s="15">
        <v>260</v>
      </c>
      <c r="C418" s="15">
        <v>98</v>
      </c>
      <c r="D418" s="15">
        <v>31</v>
      </c>
      <c r="E418" s="15">
        <v>15</v>
      </c>
      <c r="F418" s="15">
        <v>245</v>
      </c>
      <c r="G418" s="15">
        <v>94</v>
      </c>
      <c r="H418" s="15">
        <v>31</v>
      </c>
      <c r="I418" s="15">
        <v>15</v>
      </c>
      <c r="J418" s="15">
        <v>15</v>
      </c>
      <c r="K418" s="15">
        <v>4</v>
      </c>
      <c r="L418" s="15" t="s">
        <v>84</v>
      </c>
      <c r="M418" s="15" t="s">
        <v>84</v>
      </c>
    </row>
    <row r="419" spans="1:13" ht="45" x14ac:dyDescent="0.25">
      <c r="A419" s="15" t="s">
        <v>87</v>
      </c>
      <c r="B419" s="15">
        <v>95</v>
      </c>
      <c r="C419" s="15">
        <v>40</v>
      </c>
      <c r="D419" s="15">
        <v>3</v>
      </c>
      <c r="E419" s="15">
        <v>3</v>
      </c>
      <c r="F419" s="15">
        <v>83</v>
      </c>
      <c r="G419" s="15">
        <v>36</v>
      </c>
      <c r="H419" s="15">
        <v>3</v>
      </c>
      <c r="I419" s="15">
        <v>3</v>
      </c>
      <c r="J419" s="15">
        <v>12</v>
      </c>
      <c r="K419" s="15">
        <v>4</v>
      </c>
      <c r="L419" s="15" t="s">
        <v>84</v>
      </c>
      <c r="M419" s="15" t="s">
        <v>84</v>
      </c>
    </row>
    <row r="420" spans="1:13" ht="45" x14ac:dyDescent="0.25">
      <c r="A420" s="15" t="s">
        <v>153</v>
      </c>
      <c r="B420" s="15">
        <v>49</v>
      </c>
      <c r="C420" s="15">
        <v>24</v>
      </c>
      <c r="D420" s="15">
        <v>3</v>
      </c>
      <c r="E420" s="15">
        <v>1</v>
      </c>
      <c r="F420" s="15">
        <v>44</v>
      </c>
      <c r="G420" s="15">
        <v>23</v>
      </c>
      <c r="H420" s="15">
        <v>3</v>
      </c>
      <c r="I420" s="15">
        <v>1</v>
      </c>
      <c r="J420" s="15">
        <v>5</v>
      </c>
      <c r="K420" s="15">
        <v>1</v>
      </c>
      <c r="L420" s="15" t="s">
        <v>84</v>
      </c>
      <c r="M420" s="15" t="s">
        <v>84</v>
      </c>
    </row>
    <row r="421" spans="1:13" ht="60" x14ac:dyDescent="0.25">
      <c r="A421" s="15" t="s">
        <v>154</v>
      </c>
      <c r="B421" s="15">
        <v>14</v>
      </c>
      <c r="C421" s="15">
        <v>5</v>
      </c>
      <c r="D421" s="15" t="s">
        <v>84</v>
      </c>
      <c r="E421" s="15" t="s">
        <v>84</v>
      </c>
      <c r="F421" s="15">
        <v>14</v>
      </c>
      <c r="G421" s="15">
        <v>5</v>
      </c>
      <c r="H421" s="15" t="s">
        <v>84</v>
      </c>
      <c r="I421" s="15" t="s">
        <v>84</v>
      </c>
      <c r="J421" s="15" t="s">
        <v>84</v>
      </c>
      <c r="K421" s="15" t="s">
        <v>84</v>
      </c>
      <c r="L421" s="15" t="s">
        <v>84</v>
      </c>
      <c r="M421" s="15" t="s">
        <v>84</v>
      </c>
    </row>
    <row r="422" spans="1:13" ht="15" customHeight="1" x14ac:dyDescent="0.25">
      <c r="A422" s="207" t="s">
        <v>127</v>
      </c>
      <c r="B422" s="208"/>
      <c r="C422" s="208"/>
      <c r="D422" s="208"/>
      <c r="E422" s="208"/>
      <c r="F422" s="208"/>
      <c r="G422" s="208"/>
      <c r="H422" s="208"/>
      <c r="I422" s="208"/>
      <c r="J422" s="208"/>
      <c r="K422" s="208"/>
      <c r="L422" s="208"/>
      <c r="M422" s="209"/>
    </row>
    <row r="423" spans="1:13" x14ac:dyDescent="0.25">
      <c r="A423" s="207"/>
      <c r="B423" s="208"/>
      <c r="C423" s="208"/>
      <c r="D423" s="208"/>
      <c r="E423" s="208"/>
      <c r="F423" s="208"/>
      <c r="G423" s="208"/>
      <c r="H423" s="208"/>
      <c r="I423" s="208"/>
      <c r="J423" s="208"/>
      <c r="K423" s="208"/>
      <c r="L423" s="208"/>
      <c r="M423" s="209"/>
    </row>
    <row r="424" spans="1:13" x14ac:dyDescent="0.25">
      <c r="A424" s="15" t="s">
        <v>83</v>
      </c>
      <c r="B424" s="15">
        <v>1979</v>
      </c>
      <c r="C424" s="15">
        <v>988</v>
      </c>
      <c r="D424" s="15">
        <v>104</v>
      </c>
      <c r="E424" s="15">
        <v>44</v>
      </c>
      <c r="F424" s="15">
        <v>1948</v>
      </c>
      <c r="G424" s="15">
        <v>983</v>
      </c>
      <c r="H424" s="15">
        <v>104</v>
      </c>
      <c r="I424" s="15">
        <v>44</v>
      </c>
      <c r="J424" s="15">
        <v>31</v>
      </c>
      <c r="K424" s="15">
        <v>5</v>
      </c>
      <c r="L424" s="15" t="s">
        <v>84</v>
      </c>
      <c r="M424" s="15" t="s">
        <v>84</v>
      </c>
    </row>
    <row r="425" spans="1:13" ht="30" x14ac:dyDescent="0.25">
      <c r="A425" s="15" t="s">
        <v>151</v>
      </c>
      <c r="B425" s="15">
        <v>570</v>
      </c>
      <c r="C425" s="15">
        <v>358</v>
      </c>
      <c r="D425" s="15">
        <v>10</v>
      </c>
      <c r="E425" s="15">
        <v>7</v>
      </c>
      <c r="F425" s="15">
        <v>570</v>
      </c>
      <c r="G425" s="15">
        <v>358</v>
      </c>
      <c r="H425" s="15">
        <v>10</v>
      </c>
      <c r="I425" s="15">
        <v>7</v>
      </c>
      <c r="J425" s="15" t="s">
        <v>84</v>
      </c>
      <c r="K425" s="15" t="s">
        <v>84</v>
      </c>
      <c r="L425" s="15" t="s">
        <v>84</v>
      </c>
      <c r="M425" s="15" t="s">
        <v>84</v>
      </c>
    </row>
    <row r="426" spans="1:13" ht="60" x14ac:dyDescent="0.25">
      <c r="A426" s="15" t="s">
        <v>152</v>
      </c>
      <c r="B426" s="15">
        <v>55</v>
      </c>
      <c r="C426" s="15">
        <v>34</v>
      </c>
      <c r="D426" s="15">
        <v>1</v>
      </c>
      <c r="E426" s="15" t="s">
        <v>84</v>
      </c>
      <c r="F426" s="15">
        <v>55</v>
      </c>
      <c r="G426" s="15">
        <v>34</v>
      </c>
      <c r="H426" s="15">
        <v>1</v>
      </c>
      <c r="I426" s="15" t="s">
        <v>84</v>
      </c>
      <c r="J426" s="15" t="s">
        <v>84</v>
      </c>
      <c r="K426" s="15" t="s">
        <v>84</v>
      </c>
      <c r="L426" s="15" t="s">
        <v>84</v>
      </c>
      <c r="M426" s="15" t="s">
        <v>84</v>
      </c>
    </row>
    <row r="427" spans="1:13" ht="30" x14ac:dyDescent="0.25">
      <c r="A427" s="15" t="s">
        <v>85</v>
      </c>
      <c r="B427" s="15">
        <v>783</v>
      </c>
      <c r="C427" s="15">
        <v>380</v>
      </c>
      <c r="D427" s="15">
        <v>25</v>
      </c>
      <c r="E427" s="15">
        <v>11</v>
      </c>
      <c r="F427" s="15">
        <v>780</v>
      </c>
      <c r="G427" s="15">
        <v>378</v>
      </c>
      <c r="H427" s="15">
        <v>25</v>
      </c>
      <c r="I427" s="15">
        <v>11</v>
      </c>
      <c r="J427" s="15">
        <v>3</v>
      </c>
      <c r="K427" s="15">
        <v>2</v>
      </c>
      <c r="L427" s="15" t="s">
        <v>84</v>
      </c>
      <c r="M427" s="15" t="s">
        <v>84</v>
      </c>
    </row>
    <row r="428" spans="1:13" ht="30" x14ac:dyDescent="0.25">
      <c r="A428" s="15" t="s">
        <v>86</v>
      </c>
      <c r="B428" s="15">
        <v>393</v>
      </c>
      <c r="C428" s="15">
        <v>148</v>
      </c>
      <c r="D428" s="15">
        <v>44</v>
      </c>
      <c r="E428" s="15">
        <v>14</v>
      </c>
      <c r="F428" s="15">
        <v>373</v>
      </c>
      <c r="G428" s="15">
        <v>145</v>
      </c>
      <c r="H428" s="15">
        <v>44</v>
      </c>
      <c r="I428" s="15">
        <v>14</v>
      </c>
      <c r="J428" s="15">
        <v>20</v>
      </c>
      <c r="K428" s="15">
        <v>3</v>
      </c>
      <c r="L428" s="15" t="s">
        <v>84</v>
      </c>
      <c r="M428" s="15" t="s">
        <v>84</v>
      </c>
    </row>
    <row r="429" spans="1:13" ht="45" x14ac:dyDescent="0.25">
      <c r="A429" s="15" t="s">
        <v>87</v>
      </c>
      <c r="B429" s="15">
        <v>178</v>
      </c>
      <c r="C429" s="15">
        <v>68</v>
      </c>
      <c r="D429" s="15">
        <v>24</v>
      </c>
      <c r="E429" s="15">
        <v>12</v>
      </c>
      <c r="F429" s="15">
        <v>170</v>
      </c>
      <c r="G429" s="15">
        <v>68</v>
      </c>
      <c r="H429" s="15">
        <v>24</v>
      </c>
      <c r="I429" s="15">
        <v>12</v>
      </c>
      <c r="J429" s="15">
        <v>8</v>
      </c>
      <c r="K429" s="15" t="s">
        <v>84</v>
      </c>
      <c r="L429" s="15" t="s">
        <v>84</v>
      </c>
      <c r="M429" s="15" t="s">
        <v>84</v>
      </c>
    </row>
    <row r="430" spans="1:13" ht="45" x14ac:dyDescent="0.25">
      <c r="A430" s="15" t="s">
        <v>153</v>
      </c>
      <c r="B430" s="15">
        <v>58</v>
      </c>
      <c r="C430" s="15">
        <v>23</v>
      </c>
      <c r="D430" s="15" t="s">
        <v>84</v>
      </c>
      <c r="E430" s="15" t="s">
        <v>84</v>
      </c>
      <c r="F430" s="15">
        <v>57</v>
      </c>
      <c r="G430" s="15">
        <v>23</v>
      </c>
      <c r="H430" s="15" t="s">
        <v>84</v>
      </c>
      <c r="I430" s="15" t="s">
        <v>84</v>
      </c>
      <c r="J430" s="15">
        <v>1</v>
      </c>
      <c r="K430" s="15" t="s">
        <v>84</v>
      </c>
      <c r="L430" s="15" t="s">
        <v>84</v>
      </c>
      <c r="M430" s="15" t="s">
        <v>84</v>
      </c>
    </row>
    <row r="431" spans="1:13" ht="60" x14ac:dyDescent="0.25">
      <c r="A431" s="15" t="s">
        <v>154</v>
      </c>
      <c r="B431" s="15">
        <v>19</v>
      </c>
      <c r="C431" s="15">
        <v>5</v>
      </c>
      <c r="D431" s="15">
        <v>1</v>
      </c>
      <c r="E431" s="15">
        <v>1</v>
      </c>
      <c r="F431" s="15">
        <v>19</v>
      </c>
      <c r="G431" s="15">
        <v>5</v>
      </c>
      <c r="H431" s="15">
        <v>1</v>
      </c>
      <c r="I431" s="15">
        <v>1</v>
      </c>
      <c r="J431" s="15" t="s">
        <v>84</v>
      </c>
      <c r="K431" s="15" t="s">
        <v>84</v>
      </c>
      <c r="L431" s="15" t="s">
        <v>84</v>
      </c>
      <c r="M431" s="15" t="s">
        <v>84</v>
      </c>
    </row>
    <row r="432" spans="1:13" ht="15" customHeight="1" x14ac:dyDescent="0.25">
      <c r="A432" s="207" t="s">
        <v>128</v>
      </c>
      <c r="B432" s="208"/>
      <c r="C432" s="208"/>
      <c r="D432" s="208"/>
      <c r="E432" s="208"/>
      <c r="F432" s="208"/>
      <c r="G432" s="208"/>
      <c r="H432" s="208"/>
      <c r="I432" s="208"/>
      <c r="J432" s="208"/>
      <c r="K432" s="208"/>
      <c r="L432" s="208"/>
      <c r="M432" s="209"/>
    </row>
    <row r="433" spans="1:13" x14ac:dyDescent="0.25">
      <c r="A433" s="207"/>
      <c r="B433" s="208"/>
      <c r="C433" s="208"/>
      <c r="D433" s="208"/>
      <c r="E433" s="208"/>
      <c r="F433" s="208"/>
      <c r="G433" s="208"/>
      <c r="H433" s="208"/>
      <c r="I433" s="208"/>
      <c r="J433" s="208"/>
      <c r="K433" s="208"/>
      <c r="L433" s="208"/>
      <c r="M433" s="209"/>
    </row>
    <row r="434" spans="1:13" x14ac:dyDescent="0.25">
      <c r="A434" s="15" t="s">
        <v>83</v>
      </c>
      <c r="B434" s="15">
        <v>2134</v>
      </c>
      <c r="C434" s="15">
        <v>993</v>
      </c>
      <c r="D434" s="15">
        <v>175</v>
      </c>
      <c r="E434" s="15">
        <v>79</v>
      </c>
      <c r="F434" s="15">
        <v>1892</v>
      </c>
      <c r="G434" s="15">
        <v>880</v>
      </c>
      <c r="H434" s="15">
        <v>171</v>
      </c>
      <c r="I434" s="15">
        <v>76</v>
      </c>
      <c r="J434" s="15">
        <v>242</v>
      </c>
      <c r="K434" s="15">
        <v>113</v>
      </c>
      <c r="L434" s="15">
        <v>4</v>
      </c>
      <c r="M434" s="15">
        <v>3</v>
      </c>
    </row>
    <row r="435" spans="1:13" ht="30" x14ac:dyDescent="0.25">
      <c r="A435" s="15" t="s">
        <v>151</v>
      </c>
      <c r="B435" s="15">
        <v>389</v>
      </c>
      <c r="C435" s="15">
        <v>217</v>
      </c>
      <c r="D435" s="15">
        <v>7</v>
      </c>
      <c r="E435" s="15">
        <v>5</v>
      </c>
      <c r="F435" s="15">
        <v>303</v>
      </c>
      <c r="G435" s="15">
        <v>169</v>
      </c>
      <c r="H435" s="15">
        <v>7</v>
      </c>
      <c r="I435" s="15">
        <v>5</v>
      </c>
      <c r="J435" s="15">
        <v>86</v>
      </c>
      <c r="K435" s="15">
        <v>48</v>
      </c>
      <c r="L435" s="15" t="s">
        <v>84</v>
      </c>
      <c r="M435" s="15" t="s">
        <v>84</v>
      </c>
    </row>
    <row r="436" spans="1:13" ht="60" x14ac:dyDescent="0.25">
      <c r="A436" s="15" t="s">
        <v>152</v>
      </c>
      <c r="B436" s="15">
        <v>16</v>
      </c>
      <c r="C436" s="15">
        <v>6</v>
      </c>
      <c r="D436" s="15">
        <v>1</v>
      </c>
      <c r="E436" s="15" t="s">
        <v>84</v>
      </c>
      <c r="F436" s="15">
        <v>16</v>
      </c>
      <c r="G436" s="15">
        <v>6</v>
      </c>
      <c r="H436" s="15">
        <v>1</v>
      </c>
      <c r="I436" s="15" t="s">
        <v>84</v>
      </c>
      <c r="J436" s="15" t="s">
        <v>84</v>
      </c>
      <c r="K436" s="15" t="s">
        <v>84</v>
      </c>
      <c r="L436" s="15" t="s">
        <v>84</v>
      </c>
      <c r="M436" s="15" t="s">
        <v>84</v>
      </c>
    </row>
    <row r="437" spans="1:13" ht="30" x14ac:dyDescent="0.25">
      <c r="A437" s="15" t="s">
        <v>85</v>
      </c>
      <c r="B437" s="15">
        <v>1121</v>
      </c>
      <c r="C437" s="15">
        <v>544</v>
      </c>
      <c r="D437" s="15">
        <v>55</v>
      </c>
      <c r="E437" s="15">
        <v>26</v>
      </c>
      <c r="F437" s="15">
        <v>992</v>
      </c>
      <c r="G437" s="15">
        <v>487</v>
      </c>
      <c r="H437" s="15">
        <v>52</v>
      </c>
      <c r="I437" s="15">
        <v>24</v>
      </c>
      <c r="J437" s="15">
        <v>129</v>
      </c>
      <c r="K437" s="15">
        <v>57</v>
      </c>
      <c r="L437" s="15">
        <v>3</v>
      </c>
      <c r="M437" s="15">
        <v>2</v>
      </c>
    </row>
    <row r="438" spans="1:13" ht="30" x14ac:dyDescent="0.25">
      <c r="A438" s="15" t="s">
        <v>86</v>
      </c>
      <c r="B438" s="15">
        <v>400</v>
      </c>
      <c r="C438" s="15">
        <v>152</v>
      </c>
      <c r="D438" s="15">
        <v>51</v>
      </c>
      <c r="E438" s="15">
        <v>23</v>
      </c>
      <c r="F438" s="15">
        <v>392</v>
      </c>
      <c r="G438" s="15">
        <v>149</v>
      </c>
      <c r="H438" s="15">
        <v>50</v>
      </c>
      <c r="I438" s="15">
        <v>22</v>
      </c>
      <c r="J438" s="15">
        <v>8</v>
      </c>
      <c r="K438" s="15">
        <v>3</v>
      </c>
      <c r="L438" s="15">
        <v>1</v>
      </c>
      <c r="M438" s="15">
        <v>1</v>
      </c>
    </row>
    <row r="439" spans="1:13" ht="45" x14ac:dyDescent="0.25">
      <c r="A439" s="15" t="s">
        <v>87</v>
      </c>
      <c r="B439" s="15">
        <v>208</v>
      </c>
      <c r="C439" s="15">
        <v>74</v>
      </c>
      <c r="D439" s="15">
        <v>61</v>
      </c>
      <c r="E439" s="15">
        <v>25</v>
      </c>
      <c r="F439" s="15">
        <v>189</v>
      </c>
      <c r="G439" s="15">
        <v>69</v>
      </c>
      <c r="H439" s="15">
        <v>61</v>
      </c>
      <c r="I439" s="15">
        <v>25</v>
      </c>
      <c r="J439" s="15">
        <v>19</v>
      </c>
      <c r="K439" s="15">
        <v>5</v>
      </c>
      <c r="L439" s="15" t="s">
        <v>84</v>
      </c>
      <c r="M439" s="15" t="s">
        <v>84</v>
      </c>
    </row>
    <row r="440" spans="1:13" ht="45" x14ac:dyDescent="0.25">
      <c r="A440" s="15" t="s">
        <v>153</v>
      </c>
      <c r="B440" s="15">
        <v>54</v>
      </c>
      <c r="C440" s="15">
        <v>17</v>
      </c>
      <c r="D440" s="15">
        <v>8</v>
      </c>
      <c r="E440" s="15" t="s">
        <v>84</v>
      </c>
      <c r="F440" s="15">
        <v>53</v>
      </c>
      <c r="G440" s="15">
        <v>17</v>
      </c>
      <c r="H440" s="15">
        <v>8</v>
      </c>
      <c r="I440" s="15" t="s">
        <v>84</v>
      </c>
      <c r="J440" s="15">
        <v>1</v>
      </c>
      <c r="K440" s="15" t="s">
        <v>84</v>
      </c>
      <c r="L440" s="15" t="s">
        <v>84</v>
      </c>
      <c r="M440" s="15" t="s">
        <v>84</v>
      </c>
    </row>
    <row r="441" spans="1:13" ht="60" x14ac:dyDescent="0.25">
      <c r="A441" s="15" t="s">
        <v>154</v>
      </c>
      <c r="B441" s="15">
        <v>32</v>
      </c>
      <c r="C441" s="15">
        <v>10</v>
      </c>
      <c r="D441" s="15">
        <v>2</v>
      </c>
      <c r="E441" s="15">
        <v>1</v>
      </c>
      <c r="F441" s="15">
        <v>14</v>
      </c>
      <c r="G441" s="15">
        <v>5</v>
      </c>
      <c r="H441" s="15">
        <v>2</v>
      </c>
      <c r="I441" s="15">
        <v>1</v>
      </c>
      <c r="J441" s="15">
        <v>18</v>
      </c>
      <c r="K441" s="15">
        <v>5</v>
      </c>
      <c r="L441" s="15" t="s">
        <v>84</v>
      </c>
      <c r="M441" s="15" t="s">
        <v>84</v>
      </c>
    </row>
    <row r="442" spans="1:13" ht="15" customHeight="1" x14ac:dyDescent="0.25">
      <c r="A442" s="207" t="s">
        <v>129</v>
      </c>
      <c r="B442" s="208"/>
      <c r="C442" s="208"/>
      <c r="D442" s="208"/>
      <c r="E442" s="208"/>
      <c r="F442" s="208"/>
      <c r="G442" s="208"/>
      <c r="H442" s="208"/>
      <c r="I442" s="208"/>
      <c r="J442" s="208"/>
      <c r="K442" s="208"/>
      <c r="L442" s="208"/>
      <c r="M442" s="209"/>
    </row>
    <row r="443" spans="1:13" x14ac:dyDescent="0.25">
      <c r="A443" s="207"/>
      <c r="B443" s="208"/>
      <c r="C443" s="208"/>
      <c r="D443" s="208"/>
      <c r="E443" s="208"/>
      <c r="F443" s="208"/>
      <c r="G443" s="208"/>
      <c r="H443" s="208"/>
      <c r="I443" s="208"/>
      <c r="J443" s="208"/>
      <c r="K443" s="208"/>
      <c r="L443" s="208"/>
      <c r="M443" s="209"/>
    </row>
    <row r="444" spans="1:13" x14ac:dyDescent="0.25">
      <c r="A444" s="15" t="s">
        <v>83</v>
      </c>
      <c r="B444" s="15">
        <v>3589</v>
      </c>
      <c r="C444" s="15">
        <v>1747</v>
      </c>
      <c r="D444" s="15">
        <v>243</v>
      </c>
      <c r="E444" s="15">
        <v>104</v>
      </c>
      <c r="F444" s="15">
        <v>2634</v>
      </c>
      <c r="G444" s="15">
        <v>1222</v>
      </c>
      <c r="H444" s="15">
        <v>222</v>
      </c>
      <c r="I444" s="15">
        <v>94</v>
      </c>
      <c r="J444" s="15">
        <v>955</v>
      </c>
      <c r="K444" s="15">
        <v>525</v>
      </c>
      <c r="L444" s="15">
        <v>21</v>
      </c>
      <c r="M444" s="15">
        <v>10</v>
      </c>
    </row>
    <row r="445" spans="1:13" ht="30" x14ac:dyDescent="0.25">
      <c r="A445" s="15" t="s">
        <v>151</v>
      </c>
      <c r="B445" s="15">
        <v>1022</v>
      </c>
      <c r="C445" s="15">
        <v>588</v>
      </c>
      <c r="D445" s="15">
        <v>11</v>
      </c>
      <c r="E445" s="15">
        <v>5</v>
      </c>
      <c r="F445" s="15">
        <v>557</v>
      </c>
      <c r="G445" s="15">
        <v>285</v>
      </c>
      <c r="H445" s="15">
        <v>10</v>
      </c>
      <c r="I445" s="15">
        <v>4</v>
      </c>
      <c r="J445" s="15">
        <v>465</v>
      </c>
      <c r="K445" s="15">
        <v>303</v>
      </c>
      <c r="L445" s="15">
        <v>1</v>
      </c>
      <c r="M445" s="15">
        <v>1</v>
      </c>
    </row>
    <row r="446" spans="1:13" ht="60" x14ac:dyDescent="0.25">
      <c r="A446" s="15" t="s">
        <v>152</v>
      </c>
      <c r="B446" s="15">
        <v>24</v>
      </c>
      <c r="C446" s="15">
        <v>9</v>
      </c>
      <c r="D446" s="15" t="s">
        <v>84</v>
      </c>
      <c r="E446" s="15" t="s">
        <v>84</v>
      </c>
      <c r="F446" s="15">
        <v>20</v>
      </c>
      <c r="G446" s="15">
        <v>6</v>
      </c>
      <c r="H446" s="15" t="s">
        <v>84</v>
      </c>
      <c r="I446" s="15" t="s">
        <v>84</v>
      </c>
      <c r="J446" s="15">
        <v>4</v>
      </c>
      <c r="K446" s="15">
        <v>3</v>
      </c>
      <c r="L446" s="15" t="s">
        <v>84</v>
      </c>
      <c r="M446" s="15" t="s">
        <v>84</v>
      </c>
    </row>
    <row r="447" spans="1:13" ht="30" x14ac:dyDescent="0.25">
      <c r="A447" s="15" t="s">
        <v>85</v>
      </c>
      <c r="B447" s="15">
        <v>1768</v>
      </c>
      <c r="C447" s="15">
        <v>853</v>
      </c>
      <c r="D447" s="15">
        <v>83</v>
      </c>
      <c r="E447" s="15">
        <v>40</v>
      </c>
      <c r="F447" s="15">
        <v>1428</v>
      </c>
      <c r="G447" s="15">
        <v>679</v>
      </c>
      <c r="H447" s="15">
        <v>71</v>
      </c>
      <c r="I447" s="15">
        <v>35</v>
      </c>
      <c r="J447" s="15">
        <v>340</v>
      </c>
      <c r="K447" s="15">
        <v>174</v>
      </c>
      <c r="L447" s="15">
        <v>12</v>
      </c>
      <c r="M447" s="15">
        <v>5</v>
      </c>
    </row>
    <row r="448" spans="1:13" ht="30" x14ac:dyDescent="0.25">
      <c r="A448" s="15" t="s">
        <v>86</v>
      </c>
      <c r="B448" s="15">
        <v>491</v>
      </c>
      <c r="C448" s="15">
        <v>200</v>
      </c>
      <c r="D448" s="15">
        <v>61</v>
      </c>
      <c r="E448" s="15">
        <v>24</v>
      </c>
      <c r="F448" s="15">
        <v>389</v>
      </c>
      <c r="G448" s="15">
        <v>163</v>
      </c>
      <c r="H448" s="15">
        <v>59</v>
      </c>
      <c r="I448" s="15">
        <v>22</v>
      </c>
      <c r="J448" s="15">
        <v>102</v>
      </c>
      <c r="K448" s="15">
        <v>37</v>
      </c>
      <c r="L448" s="15">
        <v>2</v>
      </c>
      <c r="M448" s="15">
        <v>2</v>
      </c>
    </row>
    <row r="449" spans="1:13" ht="45" x14ac:dyDescent="0.25">
      <c r="A449" s="15" t="s">
        <v>87</v>
      </c>
      <c r="B449" s="15">
        <v>284</v>
      </c>
      <c r="C449" s="15">
        <v>97</v>
      </c>
      <c r="D449" s="15">
        <v>88</v>
      </c>
      <c r="E449" s="15">
        <v>35</v>
      </c>
      <c r="F449" s="15">
        <v>240</v>
      </c>
      <c r="G449" s="15">
        <v>89</v>
      </c>
      <c r="H449" s="15">
        <v>82</v>
      </c>
      <c r="I449" s="15">
        <v>33</v>
      </c>
      <c r="J449" s="15">
        <v>44</v>
      </c>
      <c r="K449" s="15">
        <v>8</v>
      </c>
      <c r="L449" s="15">
        <v>6</v>
      </c>
      <c r="M449" s="15">
        <v>2</v>
      </c>
    </row>
    <row r="450" spans="1:13" ht="45" x14ac:dyDescent="0.25">
      <c r="A450" s="15" t="s">
        <v>153</v>
      </c>
      <c r="B450" s="15">
        <v>106</v>
      </c>
      <c r="C450" s="15">
        <v>43</v>
      </c>
      <c r="D450" s="15">
        <v>9</v>
      </c>
      <c r="E450" s="15">
        <v>8</v>
      </c>
      <c r="F450" s="15">
        <v>88</v>
      </c>
      <c r="G450" s="15">
        <v>39</v>
      </c>
      <c r="H450" s="15">
        <v>9</v>
      </c>
      <c r="I450" s="15">
        <v>8</v>
      </c>
      <c r="J450" s="15">
        <v>18</v>
      </c>
      <c r="K450" s="15">
        <v>4</v>
      </c>
      <c r="L450" s="15" t="s">
        <v>84</v>
      </c>
      <c r="M450" s="15" t="s">
        <v>84</v>
      </c>
    </row>
    <row r="451" spans="1:13" ht="15" customHeight="1" x14ac:dyDescent="0.25">
      <c r="A451" s="207" t="s">
        <v>130</v>
      </c>
      <c r="B451" s="208"/>
      <c r="C451" s="208"/>
      <c r="D451" s="208"/>
      <c r="E451" s="208"/>
      <c r="F451" s="208"/>
      <c r="G451" s="208"/>
      <c r="H451" s="208"/>
      <c r="I451" s="208"/>
      <c r="J451" s="208"/>
      <c r="K451" s="208"/>
      <c r="L451" s="208"/>
      <c r="M451" s="209"/>
    </row>
    <row r="452" spans="1:13" x14ac:dyDescent="0.25">
      <c r="A452" s="207"/>
      <c r="B452" s="208"/>
      <c r="C452" s="208"/>
      <c r="D452" s="208"/>
      <c r="E452" s="208"/>
      <c r="F452" s="208"/>
      <c r="G452" s="208"/>
      <c r="H452" s="208"/>
      <c r="I452" s="208"/>
      <c r="J452" s="208"/>
      <c r="K452" s="208"/>
      <c r="L452" s="208"/>
      <c r="M452" s="209"/>
    </row>
    <row r="453" spans="1:13" x14ac:dyDescent="0.25">
      <c r="A453" s="15" t="s">
        <v>83</v>
      </c>
      <c r="B453" s="15">
        <v>893</v>
      </c>
      <c r="C453" s="15">
        <v>442</v>
      </c>
      <c r="D453" s="15">
        <v>56</v>
      </c>
      <c r="E453" s="15">
        <v>26</v>
      </c>
      <c r="F453" s="15">
        <v>883</v>
      </c>
      <c r="G453" s="15">
        <v>439</v>
      </c>
      <c r="H453" s="15">
        <v>56</v>
      </c>
      <c r="I453" s="15">
        <v>26</v>
      </c>
      <c r="J453" s="15">
        <v>10</v>
      </c>
      <c r="K453" s="15">
        <v>3</v>
      </c>
      <c r="L453" s="15" t="s">
        <v>84</v>
      </c>
      <c r="M453" s="15" t="s">
        <v>84</v>
      </c>
    </row>
    <row r="454" spans="1:13" ht="30" x14ac:dyDescent="0.25">
      <c r="A454" s="15" t="s">
        <v>151</v>
      </c>
      <c r="B454" s="15">
        <v>247</v>
      </c>
      <c r="C454" s="15">
        <v>144</v>
      </c>
      <c r="D454" s="15">
        <v>2</v>
      </c>
      <c r="E454" s="15">
        <v>1</v>
      </c>
      <c r="F454" s="15">
        <v>247</v>
      </c>
      <c r="G454" s="15">
        <v>144</v>
      </c>
      <c r="H454" s="15">
        <v>2</v>
      </c>
      <c r="I454" s="15">
        <v>1</v>
      </c>
      <c r="J454" s="15" t="s">
        <v>84</v>
      </c>
      <c r="K454" s="15" t="s">
        <v>84</v>
      </c>
      <c r="L454" s="15" t="s">
        <v>84</v>
      </c>
      <c r="M454" s="15" t="s">
        <v>84</v>
      </c>
    </row>
    <row r="455" spans="1:13" ht="60" x14ac:dyDescent="0.25">
      <c r="A455" s="15" t="s">
        <v>152</v>
      </c>
      <c r="B455" s="15">
        <v>21</v>
      </c>
      <c r="C455" s="15">
        <v>9</v>
      </c>
      <c r="D455" s="15" t="s">
        <v>84</v>
      </c>
      <c r="E455" s="15" t="s">
        <v>84</v>
      </c>
      <c r="F455" s="15">
        <v>21</v>
      </c>
      <c r="G455" s="15">
        <v>9</v>
      </c>
      <c r="H455" s="15" t="s">
        <v>84</v>
      </c>
      <c r="I455" s="15" t="s">
        <v>84</v>
      </c>
      <c r="J455" s="15" t="s">
        <v>84</v>
      </c>
      <c r="K455" s="15" t="s">
        <v>84</v>
      </c>
      <c r="L455" s="15" t="s">
        <v>84</v>
      </c>
      <c r="M455" s="15" t="s">
        <v>84</v>
      </c>
    </row>
    <row r="456" spans="1:13" ht="30" x14ac:dyDescent="0.25">
      <c r="A456" s="15" t="s">
        <v>85</v>
      </c>
      <c r="B456" s="15">
        <v>373</v>
      </c>
      <c r="C456" s="15">
        <v>179</v>
      </c>
      <c r="D456" s="15">
        <v>22</v>
      </c>
      <c r="E456" s="15">
        <v>10</v>
      </c>
      <c r="F456" s="15">
        <v>373</v>
      </c>
      <c r="G456" s="15">
        <v>179</v>
      </c>
      <c r="H456" s="15">
        <v>22</v>
      </c>
      <c r="I456" s="15">
        <v>10</v>
      </c>
      <c r="J456" s="15" t="s">
        <v>84</v>
      </c>
      <c r="K456" s="15" t="s">
        <v>84</v>
      </c>
      <c r="L456" s="15" t="s">
        <v>84</v>
      </c>
      <c r="M456" s="15" t="s">
        <v>84</v>
      </c>
    </row>
    <row r="457" spans="1:13" ht="30" x14ac:dyDescent="0.25">
      <c r="A457" s="15" t="s">
        <v>86</v>
      </c>
      <c r="B457" s="15">
        <v>173</v>
      </c>
      <c r="C457" s="15">
        <v>85</v>
      </c>
      <c r="D457" s="15">
        <v>18</v>
      </c>
      <c r="E457" s="15">
        <v>10</v>
      </c>
      <c r="F457" s="15">
        <v>167</v>
      </c>
      <c r="G457" s="15">
        <v>83</v>
      </c>
      <c r="H457" s="15">
        <v>18</v>
      </c>
      <c r="I457" s="15">
        <v>10</v>
      </c>
      <c r="J457" s="15">
        <v>6</v>
      </c>
      <c r="K457" s="15">
        <v>2</v>
      </c>
      <c r="L457" s="15" t="s">
        <v>84</v>
      </c>
      <c r="M457" s="15" t="s">
        <v>84</v>
      </c>
    </row>
    <row r="458" spans="1:13" ht="45" x14ac:dyDescent="0.25">
      <c r="A458" s="15" t="s">
        <v>87</v>
      </c>
      <c r="B458" s="15">
        <v>79</v>
      </c>
      <c r="C458" s="15">
        <v>25</v>
      </c>
      <c r="D458" s="15">
        <v>14</v>
      </c>
      <c r="E458" s="15">
        <v>5</v>
      </c>
      <c r="F458" s="15">
        <v>75</v>
      </c>
      <c r="G458" s="15">
        <v>24</v>
      </c>
      <c r="H458" s="15">
        <v>14</v>
      </c>
      <c r="I458" s="15">
        <v>5</v>
      </c>
      <c r="J458" s="15">
        <v>4</v>
      </c>
      <c r="K458" s="15">
        <v>1</v>
      </c>
      <c r="L458" s="15" t="s">
        <v>84</v>
      </c>
      <c r="M458" s="15" t="s">
        <v>84</v>
      </c>
    </row>
    <row r="459" spans="1:13" ht="45" x14ac:dyDescent="0.25">
      <c r="A459" s="15" t="s">
        <v>153</v>
      </c>
      <c r="B459" s="15">
        <v>25</v>
      </c>
      <c r="C459" s="15">
        <v>13</v>
      </c>
      <c r="D459" s="15">
        <v>1</v>
      </c>
      <c r="E459" s="15" t="s">
        <v>84</v>
      </c>
      <c r="F459" s="15">
        <v>22</v>
      </c>
      <c r="G459" s="15">
        <v>12</v>
      </c>
      <c r="H459" s="15">
        <v>1</v>
      </c>
      <c r="I459" s="15" t="s">
        <v>84</v>
      </c>
      <c r="J459" s="15">
        <v>3</v>
      </c>
      <c r="K459" s="15">
        <v>1</v>
      </c>
      <c r="L459" s="15" t="s">
        <v>84</v>
      </c>
      <c r="M459" s="15" t="s">
        <v>84</v>
      </c>
    </row>
    <row r="460" spans="1:13" ht="60" x14ac:dyDescent="0.25">
      <c r="A460" s="15" t="s">
        <v>154</v>
      </c>
      <c r="B460" s="15">
        <v>10</v>
      </c>
      <c r="C460" s="15">
        <v>1</v>
      </c>
      <c r="D460" s="15">
        <v>2</v>
      </c>
      <c r="E460" s="15" t="s">
        <v>84</v>
      </c>
      <c r="F460" s="15">
        <v>10</v>
      </c>
      <c r="G460" s="15">
        <v>1</v>
      </c>
      <c r="H460" s="15">
        <v>2</v>
      </c>
      <c r="I460" s="15" t="s">
        <v>84</v>
      </c>
      <c r="J460" s="15" t="s">
        <v>84</v>
      </c>
      <c r="K460" s="15" t="s">
        <v>84</v>
      </c>
      <c r="L460" s="15" t="s">
        <v>84</v>
      </c>
      <c r="M460" s="15" t="s">
        <v>84</v>
      </c>
    </row>
    <row r="461" spans="1:13" ht="15" customHeight="1" x14ac:dyDescent="0.25">
      <c r="A461" s="207" t="s">
        <v>131</v>
      </c>
      <c r="B461" s="208"/>
      <c r="C461" s="208"/>
      <c r="D461" s="208"/>
      <c r="E461" s="208"/>
      <c r="F461" s="208"/>
      <c r="G461" s="208"/>
      <c r="H461" s="208"/>
      <c r="I461" s="208"/>
      <c r="J461" s="208"/>
      <c r="K461" s="208"/>
      <c r="L461" s="208"/>
      <c r="M461" s="209"/>
    </row>
    <row r="462" spans="1:13" x14ac:dyDescent="0.25">
      <c r="A462" s="207"/>
      <c r="B462" s="208"/>
      <c r="C462" s="208"/>
      <c r="D462" s="208"/>
      <c r="E462" s="208"/>
      <c r="F462" s="208"/>
      <c r="G462" s="208"/>
      <c r="H462" s="208"/>
      <c r="I462" s="208"/>
      <c r="J462" s="208"/>
      <c r="K462" s="208"/>
      <c r="L462" s="208"/>
      <c r="M462" s="209"/>
    </row>
    <row r="463" spans="1:13" x14ac:dyDescent="0.25">
      <c r="A463" s="15" t="s">
        <v>83</v>
      </c>
      <c r="B463" s="15">
        <v>1536</v>
      </c>
      <c r="C463" s="15">
        <v>731</v>
      </c>
      <c r="D463" s="15">
        <v>178</v>
      </c>
      <c r="E463" s="15">
        <v>80</v>
      </c>
      <c r="F463" s="15">
        <v>1340</v>
      </c>
      <c r="G463" s="15">
        <v>644</v>
      </c>
      <c r="H463" s="15">
        <v>151</v>
      </c>
      <c r="I463" s="15">
        <v>69</v>
      </c>
      <c r="J463" s="15">
        <v>196</v>
      </c>
      <c r="K463" s="15">
        <v>87</v>
      </c>
      <c r="L463" s="15">
        <v>27</v>
      </c>
      <c r="M463" s="15">
        <v>11</v>
      </c>
    </row>
    <row r="464" spans="1:13" ht="30" x14ac:dyDescent="0.25">
      <c r="A464" s="15" t="s">
        <v>151</v>
      </c>
      <c r="B464" s="15">
        <v>391</v>
      </c>
      <c r="C464" s="15">
        <v>204</v>
      </c>
      <c r="D464" s="15">
        <v>20</v>
      </c>
      <c r="E464" s="15">
        <v>7</v>
      </c>
      <c r="F464" s="15">
        <v>261</v>
      </c>
      <c r="G464" s="15">
        <v>140</v>
      </c>
      <c r="H464" s="15">
        <v>8</v>
      </c>
      <c r="I464" s="15">
        <v>2</v>
      </c>
      <c r="J464" s="15">
        <v>130</v>
      </c>
      <c r="K464" s="15">
        <v>64</v>
      </c>
      <c r="L464" s="15">
        <v>12</v>
      </c>
      <c r="M464" s="15">
        <v>5</v>
      </c>
    </row>
    <row r="465" spans="1:13" ht="60" x14ac:dyDescent="0.25">
      <c r="A465" s="15" t="s">
        <v>152</v>
      </c>
      <c r="B465" s="15">
        <v>25</v>
      </c>
      <c r="C465" s="15">
        <v>12</v>
      </c>
      <c r="D465" s="15">
        <v>5</v>
      </c>
      <c r="E465" s="15">
        <v>3</v>
      </c>
      <c r="F465" s="15">
        <v>14</v>
      </c>
      <c r="G465" s="15">
        <v>7</v>
      </c>
      <c r="H465" s="15">
        <v>3</v>
      </c>
      <c r="I465" s="15">
        <v>2</v>
      </c>
      <c r="J465" s="15">
        <v>11</v>
      </c>
      <c r="K465" s="15">
        <v>5</v>
      </c>
      <c r="L465" s="15">
        <v>2</v>
      </c>
      <c r="M465" s="15">
        <v>1</v>
      </c>
    </row>
    <row r="466" spans="1:13" ht="30" x14ac:dyDescent="0.25">
      <c r="A466" s="15" t="s">
        <v>85</v>
      </c>
      <c r="B466" s="15">
        <v>736</v>
      </c>
      <c r="C466" s="15">
        <v>367</v>
      </c>
      <c r="D466" s="15">
        <v>68</v>
      </c>
      <c r="E466" s="15">
        <v>35</v>
      </c>
      <c r="F466" s="15">
        <v>707</v>
      </c>
      <c r="G466" s="15">
        <v>356</v>
      </c>
      <c r="H466" s="15">
        <v>59</v>
      </c>
      <c r="I466" s="15">
        <v>31</v>
      </c>
      <c r="J466" s="15">
        <v>29</v>
      </c>
      <c r="K466" s="15">
        <v>11</v>
      </c>
      <c r="L466" s="15">
        <v>9</v>
      </c>
      <c r="M466" s="15">
        <v>4</v>
      </c>
    </row>
    <row r="467" spans="1:13" ht="30" x14ac:dyDescent="0.25">
      <c r="A467" s="15" t="s">
        <v>86</v>
      </c>
      <c r="B467" s="15">
        <v>279</v>
      </c>
      <c r="C467" s="15">
        <v>106</v>
      </c>
      <c r="D467" s="15">
        <v>52</v>
      </c>
      <c r="E467" s="15">
        <v>21</v>
      </c>
      <c r="F467" s="15">
        <v>271</v>
      </c>
      <c r="G467" s="15">
        <v>104</v>
      </c>
      <c r="H467" s="15">
        <v>51</v>
      </c>
      <c r="I467" s="15">
        <v>20</v>
      </c>
      <c r="J467" s="15">
        <v>8</v>
      </c>
      <c r="K467" s="15">
        <v>2</v>
      </c>
      <c r="L467" s="15">
        <v>1</v>
      </c>
      <c r="M467" s="15">
        <v>1</v>
      </c>
    </row>
    <row r="468" spans="1:13" ht="45" x14ac:dyDescent="0.25">
      <c r="A468" s="15" t="s">
        <v>87</v>
      </c>
      <c r="B468" s="15">
        <v>105</v>
      </c>
      <c r="C468" s="15">
        <v>42</v>
      </c>
      <c r="D468" s="15">
        <v>33</v>
      </c>
      <c r="E468" s="15">
        <v>14</v>
      </c>
      <c r="F468" s="15">
        <v>87</v>
      </c>
      <c r="G468" s="15">
        <v>37</v>
      </c>
      <c r="H468" s="15">
        <v>30</v>
      </c>
      <c r="I468" s="15">
        <v>14</v>
      </c>
      <c r="J468" s="15">
        <v>18</v>
      </c>
      <c r="K468" s="15">
        <v>5</v>
      </c>
      <c r="L468" s="15">
        <v>3</v>
      </c>
      <c r="M468" s="15" t="s">
        <v>84</v>
      </c>
    </row>
    <row r="469" spans="1:13" ht="45" x14ac:dyDescent="0.25">
      <c r="A469" s="15" t="s">
        <v>153</v>
      </c>
      <c r="B469" s="15">
        <v>23</v>
      </c>
      <c r="C469" s="15">
        <v>7</v>
      </c>
      <c r="D469" s="15">
        <v>2</v>
      </c>
      <c r="E469" s="15" t="s">
        <v>84</v>
      </c>
      <c r="F469" s="15">
        <v>16</v>
      </c>
      <c r="G469" s="15">
        <v>5</v>
      </c>
      <c r="H469" s="15">
        <v>1</v>
      </c>
      <c r="I469" s="15" t="s">
        <v>84</v>
      </c>
      <c r="J469" s="15">
        <v>7</v>
      </c>
      <c r="K469" s="15">
        <v>2</v>
      </c>
      <c r="L469" s="15">
        <v>1</v>
      </c>
      <c r="M469" s="15" t="s">
        <v>84</v>
      </c>
    </row>
    <row r="470" spans="1:13" ht="60" x14ac:dyDescent="0.25">
      <c r="A470" s="15" t="s">
        <v>154</v>
      </c>
      <c r="B470" s="15">
        <v>16</v>
      </c>
      <c r="C470" s="15">
        <v>7</v>
      </c>
      <c r="D470" s="15">
        <v>2</v>
      </c>
      <c r="E470" s="15">
        <v>1</v>
      </c>
      <c r="F470" s="15">
        <v>16</v>
      </c>
      <c r="G470" s="15">
        <v>7</v>
      </c>
      <c r="H470" s="15">
        <v>2</v>
      </c>
      <c r="I470" s="15">
        <v>1</v>
      </c>
      <c r="J470" s="15" t="s">
        <v>84</v>
      </c>
      <c r="K470" s="15" t="s">
        <v>84</v>
      </c>
      <c r="L470" s="15" t="s">
        <v>84</v>
      </c>
      <c r="M470" s="15" t="s">
        <v>84</v>
      </c>
    </row>
    <row r="471" spans="1:13" ht="15" customHeight="1" x14ac:dyDescent="0.25">
      <c r="A471" s="207" t="s">
        <v>132</v>
      </c>
      <c r="B471" s="208"/>
      <c r="C471" s="208"/>
      <c r="D471" s="208"/>
      <c r="E471" s="208"/>
      <c r="F471" s="208"/>
      <c r="G471" s="208"/>
      <c r="H471" s="208"/>
      <c r="I471" s="208"/>
      <c r="J471" s="208"/>
      <c r="K471" s="208"/>
      <c r="L471" s="208"/>
      <c r="M471" s="209"/>
    </row>
    <row r="472" spans="1:13" x14ac:dyDescent="0.25">
      <c r="A472" s="207"/>
      <c r="B472" s="208"/>
      <c r="C472" s="208"/>
      <c r="D472" s="208"/>
      <c r="E472" s="208"/>
      <c r="F472" s="208"/>
      <c r="G472" s="208"/>
      <c r="H472" s="208"/>
      <c r="I472" s="208"/>
      <c r="J472" s="208"/>
      <c r="K472" s="208"/>
      <c r="L472" s="208"/>
      <c r="M472" s="209"/>
    </row>
    <row r="473" spans="1:13" x14ac:dyDescent="0.25">
      <c r="A473" s="15" t="s">
        <v>83</v>
      </c>
      <c r="B473" s="15">
        <v>1724</v>
      </c>
      <c r="C473" s="15">
        <v>741</v>
      </c>
      <c r="D473" s="15">
        <v>118</v>
      </c>
      <c r="E473" s="15">
        <v>47</v>
      </c>
      <c r="F473" s="15">
        <v>1564</v>
      </c>
      <c r="G473" s="15">
        <v>662</v>
      </c>
      <c r="H473" s="15">
        <v>115</v>
      </c>
      <c r="I473" s="15">
        <v>47</v>
      </c>
      <c r="J473" s="15">
        <v>160</v>
      </c>
      <c r="K473" s="15">
        <v>79</v>
      </c>
      <c r="L473" s="15">
        <v>3</v>
      </c>
      <c r="M473" s="15" t="s">
        <v>84</v>
      </c>
    </row>
    <row r="474" spans="1:13" ht="30" x14ac:dyDescent="0.25">
      <c r="A474" s="15" t="s">
        <v>151</v>
      </c>
      <c r="B474" s="15">
        <v>387</v>
      </c>
      <c r="C474" s="15">
        <v>137</v>
      </c>
      <c r="D474" s="15">
        <v>6</v>
      </c>
      <c r="E474" s="15">
        <v>1</v>
      </c>
      <c r="F474" s="15">
        <v>339</v>
      </c>
      <c r="G474" s="15">
        <v>104</v>
      </c>
      <c r="H474" s="15">
        <v>6</v>
      </c>
      <c r="I474" s="15">
        <v>1</v>
      </c>
      <c r="J474" s="15">
        <v>48</v>
      </c>
      <c r="K474" s="15">
        <v>33</v>
      </c>
      <c r="L474" s="15" t="s">
        <v>84</v>
      </c>
      <c r="M474" s="15" t="s">
        <v>84</v>
      </c>
    </row>
    <row r="475" spans="1:13" ht="60" x14ac:dyDescent="0.25">
      <c r="A475" s="15" t="s">
        <v>152</v>
      </c>
      <c r="B475" s="15">
        <v>41</v>
      </c>
      <c r="C475" s="15">
        <v>20</v>
      </c>
      <c r="D475" s="15">
        <v>1</v>
      </c>
      <c r="E475" s="15" t="s">
        <v>84</v>
      </c>
      <c r="F475" s="15">
        <v>34</v>
      </c>
      <c r="G475" s="15">
        <v>17</v>
      </c>
      <c r="H475" s="15" t="s">
        <v>84</v>
      </c>
      <c r="I475" s="15" t="s">
        <v>84</v>
      </c>
      <c r="J475" s="15">
        <v>7</v>
      </c>
      <c r="K475" s="15">
        <v>3</v>
      </c>
      <c r="L475" s="15">
        <v>1</v>
      </c>
      <c r="M475" s="15" t="s">
        <v>84</v>
      </c>
    </row>
    <row r="476" spans="1:13" ht="30" x14ac:dyDescent="0.25">
      <c r="A476" s="15" t="s">
        <v>85</v>
      </c>
      <c r="B476" s="15">
        <v>853</v>
      </c>
      <c r="C476" s="15">
        <v>413</v>
      </c>
      <c r="D476" s="15">
        <v>44</v>
      </c>
      <c r="E476" s="15">
        <v>23</v>
      </c>
      <c r="F476" s="15">
        <v>772</v>
      </c>
      <c r="G476" s="15">
        <v>378</v>
      </c>
      <c r="H476" s="15">
        <v>42</v>
      </c>
      <c r="I476" s="15">
        <v>23</v>
      </c>
      <c r="J476" s="15">
        <v>81</v>
      </c>
      <c r="K476" s="15">
        <v>35</v>
      </c>
      <c r="L476" s="15">
        <v>2</v>
      </c>
      <c r="M476" s="15" t="s">
        <v>84</v>
      </c>
    </row>
    <row r="477" spans="1:13" ht="30" x14ac:dyDescent="0.25">
      <c r="A477" s="15" t="s">
        <v>86</v>
      </c>
      <c r="B477" s="15">
        <v>311</v>
      </c>
      <c r="C477" s="15">
        <v>118</v>
      </c>
      <c r="D477" s="15">
        <v>33</v>
      </c>
      <c r="E477" s="15">
        <v>12</v>
      </c>
      <c r="F477" s="15">
        <v>294</v>
      </c>
      <c r="G477" s="15">
        <v>114</v>
      </c>
      <c r="H477" s="15">
        <v>33</v>
      </c>
      <c r="I477" s="15">
        <v>12</v>
      </c>
      <c r="J477" s="15">
        <v>17</v>
      </c>
      <c r="K477" s="15">
        <v>4</v>
      </c>
      <c r="L477" s="15" t="s">
        <v>84</v>
      </c>
      <c r="M477" s="15" t="s">
        <v>84</v>
      </c>
    </row>
    <row r="478" spans="1:13" ht="45" x14ac:dyDescent="0.25">
      <c r="A478" s="15" t="s">
        <v>87</v>
      </c>
      <c r="B478" s="15">
        <v>132</v>
      </c>
      <c r="C478" s="15">
        <v>53</v>
      </c>
      <c r="D478" s="15">
        <v>34</v>
      </c>
      <c r="E478" s="15">
        <v>11</v>
      </c>
      <c r="F478" s="15">
        <v>125</v>
      </c>
      <c r="G478" s="15">
        <v>49</v>
      </c>
      <c r="H478" s="15">
        <v>34</v>
      </c>
      <c r="I478" s="15">
        <v>11</v>
      </c>
      <c r="J478" s="15">
        <v>7</v>
      </c>
      <c r="K478" s="15">
        <v>4</v>
      </c>
      <c r="L478" s="15" t="s">
        <v>84</v>
      </c>
      <c r="M478" s="15" t="s">
        <v>84</v>
      </c>
    </row>
    <row r="479" spans="1:13" ht="45" x14ac:dyDescent="0.25">
      <c r="A479" s="15" t="s">
        <v>153</v>
      </c>
      <c r="B479" s="15">
        <v>36</v>
      </c>
      <c r="C479" s="15">
        <v>13</v>
      </c>
      <c r="D479" s="15">
        <v>4</v>
      </c>
      <c r="E479" s="15" t="s">
        <v>84</v>
      </c>
      <c r="F479" s="15">
        <v>33</v>
      </c>
      <c r="G479" s="15">
        <v>12</v>
      </c>
      <c r="H479" s="15">
        <v>4</v>
      </c>
      <c r="I479" s="15" t="s">
        <v>84</v>
      </c>
      <c r="J479" s="15">
        <v>3</v>
      </c>
      <c r="K479" s="15">
        <v>1</v>
      </c>
      <c r="L479" s="15" t="s">
        <v>84</v>
      </c>
      <c r="M479" s="15" t="s">
        <v>84</v>
      </c>
    </row>
    <row r="480" spans="1:13" ht="60" x14ac:dyDescent="0.25">
      <c r="A480" s="15" t="s">
        <v>154</v>
      </c>
      <c r="B480" s="15">
        <v>29</v>
      </c>
      <c r="C480" s="15">
        <v>15</v>
      </c>
      <c r="D480" s="15">
        <v>1</v>
      </c>
      <c r="E480" s="15" t="s">
        <v>84</v>
      </c>
      <c r="F480" s="15">
        <v>25</v>
      </c>
      <c r="G480" s="15">
        <v>12</v>
      </c>
      <c r="H480" s="15">
        <v>1</v>
      </c>
      <c r="I480" s="15" t="s">
        <v>84</v>
      </c>
      <c r="J480" s="15">
        <v>4</v>
      </c>
      <c r="K480" s="15">
        <v>3</v>
      </c>
      <c r="L480" s="15" t="s">
        <v>84</v>
      </c>
      <c r="M480" s="15" t="s">
        <v>84</v>
      </c>
    </row>
    <row r="481" spans="1:13" ht="15" customHeight="1" x14ac:dyDescent="0.25">
      <c r="A481" s="207" t="s">
        <v>133</v>
      </c>
      <c r="B481" s="208"/>
      <c r="C481" s="208"/>
      <c r="D481" s="208"/>
      <c r="E481" s="208"/>
      <c r="F481" s="208"/>
      <c r="G481" s="208"/>
      <c r="H481" s="208"/>
      <c r="I481" s="208"/>
      <c r="J481" s="208"/>
      <c r="K481" s="208"/>
      <c r="L481" s="208"/>
      <c r="M481" s="209"/>
    </row>
    <row r="482" spans="1:13" x14ac:dyDescent="0.25">
      <c r="A482" s="207"/>
      <c r="B482" s="208"/>
      <c r="C482" s="208"/>
      <c r="D482" s="208"/>
      <c r="E482" s="208"/>
      <c r="F482" s="208"/>
      <c r="G482" s="208"/>
      <c r="H482" s="208"/>
      <c r="I482" s="208"/>
      <c r="J482" s="208"/>
      <c r="K482" s="208"/>
      <c r="L482" s="208"/>
      <c r="M482" s="209"/>
    </row>
    <row r="483" spans="1:13" x14ac:dyDescent="0.25">
      <c r="A483" s="15" t="s">
        <v>83</v>
      </c>
      <c r="B483" s="15">
        <v>1241</v>
      </c>
      <c r="C483" s="15">
        <v>587</v>
      </c>
      <c r="D483" s="15">
        <v>101</v>
      </c>
      <c r="E483" s="15">
        <v>46</v>
      </c>
      <c r="F483" s="15">
        <v>1165</v>
      </c>
      <c r="G483" s="15">
        <v>564</v>
      </c>
      <c r="H483" s="15">
        <v>101</v>
      </c>
      <c r="I483" s="15">
        <v>46</v>
      </c>
      <c r="J483" s="15">
        <v>76</v>
      </c>
      <c r="K483" s="15">
        <v>23</v>
      </c>
      <c r="L483" s="15" t="s">
        <v>84</v>
      </c>
      <c r="M483" s="15" t="s">
        <v>84</v>
      </c>
    </row>
    <row r="484" spans="1:13" ht="30" x14ac:dyDescent="0.25">
      <c r="A484" s="15" t="s">
        <v>151</v>
      </c>
      <c r="B484" s="15">
        <v>219</v>
      </c>
      <c r="C484" s="15">
        <v>115</v>
      </c>
      <c r="D484" s="15">
        <v>1</v>
      </c>
      <c r="E484" s="15">
        <v>1</v>
      </c>
      <c r="F484" s="15">
        <v>206</v>
      </c>
      <c r="G484" s="15">
        <v>109</v>
      </c>
      <c r="H484" s="15">
        <v>1</v>
      </c>
      <c r="I484" s="15">
        <v>1</v>
      </c>
      <c r="J484" s="15">
        <v>13</v>
      </c>
      <c r="K484" s="15">
        <v>6</v>
      </c>
      <c r="L484" s="15" t="s">
        <v>84</v>
      </c>
      <c r="M484" s="15" t="s">
        <v>84</v>
      </c>
    </row>
    <row r="485" spans="1:13" ht="60" x14ac:dyDescent="0.25">
      <c r="A485" s="15" t="s">
        <v>152</v>
      </c>
      <c r="B485" s="15">
        <v>30</v>
      </c>
      <c r="C485" s="15">
        <v>9</v>
      </c>
      <c r="D485" s="15">
        <v>2</v>
      </c>
      <c r="E485" s="15">
        <v>1</v>
      </c>
      <c r="F485" s="15">
        <v>25</v>
      </c>
      <c r="G485" s="15">
        <v>7</v>
      </c>
      <c r="H485" s="15">
        <v>2</v>
      </c>
      <c r="I485" s="15">
        <v>1</v>
      </c>
      <c r="J485" s="15">
        <v>5</v>
      </c>
      <c r="K485" s="15">
        <v>2</v>
      </c>
      <c r="L485" s="15" t="s">
        <v>84</v>
      </c>
      <c r="M485" s="15" t="s">
        <v>84</v>
      </c>
    </row>
    <row r="486" spans="1:13" ht="30" x14ac:dyDescent="0.25">
      <c r="A486" s="15" t="s">
        <v>85</v>
      </c>
      <c r="B486" s="15">
        <v>729</v>
      </c>
      <c r="C486" s="15">
        <v>361</v>
      </c>
      <c r="D486" s="15">
        <v>53</v>
      </c>
      <c r="E486" s="15">
        <v>22</v>
      </c>
      <c r="F486" s="15">
        <v>702</v>
      </c>
      <c r="G486" s="15">
        <v>353</v>
      </c>
      <c r="H486" s="15">
        <v>53</v>
      </c>
      <c r="I486" s="15">
        <v>22</v>
      </c>
      <c r="J486" s="15">
        <v>27</v>
      </c>
      <c r="K486" s="15">
        <v>8</v>
      </c>
      <c r="L486" s="15" t="s">
        <v>84</v>
      </c>
      <c r="M486" s="15" t="s">
        <v>84</v>
      </c>
    </row>
    <row r="487" spans="1:13" ht="30" x14ac:dyDescent="0.25">
      <c r="A487" s="15" t="s">
        <v>86</v>
      </c>
      <c r="B487" s="15">
        <v>202</v>
      </c>
      <c r="C487" s="15">
        <v>72</v>
      </c>
      <c r="D487" s="15">
        <v>30</v>
      </c>
      <c r="E487" s="15">
        <v>12</v>
      </c>
      <c r="F487" s="15">
        <v>174</v>
      </c>
      <c r="G487" s="15">
        <v>66</v>
      </c>
      <c r="H487" s="15">
        <v>30</v>
      </c>
      <c r="I487" s="15">
        <v>12</v>
      </c>
      <c r="J487" s="15">
        <v>28</v>
      </c>
      <c r="K487" s="15">
        <v>6</v>
      </c>
      <c r="L487" s="15" t="s">
        <v>84</v>
      </c>
      <c r="M487" s="15" t="s">
        <v>84</v>
      </c>
    </row>
    <row r="488" spans="1:13" ht="45" x14ac:dyDescent="0.25">
      <c r="A488" s="15" t="s">
        <v>87</v>
      </c>
      <c r="B488" s="15">
        <v>61</v>
      </c>
      <c r="C488" s="15">
        <v>30</v>
      </c>
      <c r="D488" s="15">
        <v>15</v>
      </c>
      <c r="E488" s="15">
        <v>10</v>
      </c>
      <c r="F488" s="15">
        <v>58</v>
      </c>
      <c r="G488" s="15">
        <v>29</v>
      </c>
      <c r="H488" s="15">
        <v>15</v>
      </c>
      <c r="I488" s="15">
        <v>10</v>
      </c>
      <c r="J488" s="15">
        <v>3</v>
      </c>
      <c r="K488" s="15">
        <v>1</v>
      </c>
      <c r="L488" s="15" t="s">
        <v>84</v>
      </c>
      <c r="M488" s="15" t="s">
        <v>84</v>
      </c>
    </row>
    <row r="489" spans="1:13" ht="45" x14ac:dyDescent="0.25">
      <c r="A489" s="15" t="s">
        <v>153</v>
      </c>
      <c r="B489" s="15">
        <v>13</v>
      </c>
      <c r="C489" s="15">
        <v>6</v>
      </c>
      <c r="D489" s="15">
        <v>1</v>
      </c>
      <c r="E489" s="15" t="s">
        <v>84</v>
      </c>
      <c r="F489" s="15">
        <v>10</v>
      </c>
      <c r="G489" s="15">
        <v>5</v>
      </c>
      <c r="H489" s="15">
        <v>1</v>
      </c>
      <c r="I489" s="15" t="s">
        <v>84</v>
      </c>
      <c r="J489" s="15">
        <v>3</v>
      </c>
      <c r="K489" s="15">
        <v>1</v>
      </c>
      <c r="L489" s="15" t="s">
        <v>84</v>
      </c>
      <c r="M489" s="15" t="s">
        <v>84</v>
      </c>
    </row>
    <row r="490" spans="1:13" ht="60" x14ac:dyDescent="0.25">
      <c r="A490" s="15" t="s">
        <v>154</v>
      </c>
      <c r="B490" s="15">
        <v>11</v>
      </c>
      <c r="C490" s="15">
        <v>1</v>
      </c>
      <c r="D490" s="15" t="s">
        <v>84</v>
      </c>
      <c r="E490" s="15" t="s">
        <v>84</v>
      </c>
      <c r="F490" s="15">
        <v>11</v>
      </c>
      <c r="G490" s="15">
        <v>1</v>
      </c>
      <c r="H490" s="15" t="s">
        <v>84</v>
      </c>
      <c r="I490" s="15" t="s">
        <v>84</v>
      </c>
      <c r="J490" s="15" t="s">
        <v>84</v>
      </c>
      <c r="K490" s="15" t="s">
        <v>84</v>
      </c>
      <c r="L490" s="15" t="s">
        <v>84</v>
      </c>
      <c r="M490" s="15" t="s">
        <v>84</v>
      </c>
    </row>
    <row r="491" spans="1:13" ht="15" customHeight="1" x14ac:dyDescent="0.25">
      <c r="A491" s="207" t="s">
        <v>134</v>
      </c>
      <c r="B491" s="208"/>
      <c r="C491" s="208"/>
      <c r="D491" s="208"/>
      <c r="E491" s="208"/>
      <c r="F491" s="208"/>
      <c r="G491" s="208"/>
      <c r="H491" s="208"/>
      <c r="I491" s="208"/>
      <c r="J491" s="208"/>
      <c r="K491" s="208"/>
      <c r="L491" s="208"/>
      <c r="M491" s="209"/>
    </row>
    <row r="492" spans="1:13" x14ac:dyDescent="0.25">
      <c r="A492" s="207"/>
      <c r="B492" s="208"/>
      <c r="C492" s="208"/>
      <c r="D492" s="208"/>
      <c r="E492" s="208"/>
      <c r="F492" s="208"/>
      <c r="G492" s="208"/>
      <c r="H492" s="208"/>
      <c r="I492" s="208"/>
      <c r="J492" s="208"/>
      <c r="K492" s="208"/>
      <c r="L492" s="208"/>
      <c r="M492" s="209"/>
    </row>
    <row r="493" spans="1:13" x14ac:dyDescent="0.25">
      <c r="A493" s="15" t="s">
        <v>83</v>
      </c>
      <c r="B493" s="15">
        <v>3181</v>
      </c>
      <c r="C493" s="15">
        <v>1531</v>
      </c>
      <c r="D493" s="15">
        <v>194</v>
      </c>
      <c r="E493" s="15">
        <v>89</v>
      </c>
      <c r="F493" s="15">
        <v>3071</v>
      </c>
      <c r="G493" s="15">
        <v>1476</v>
      </c>
      <c r="H493" s="15">
        <v>194</v>
      </c>
      <c r="I493" s="15">
        <v>89</v>
      </c>
      <c r="J493" s="15">
        <v>110</v>
      </c>
      <c r="K493" s="15">
        <v>55</v>
      </c>
      <c r="L493" s="15" t="s">
        <v>84</v>
      </c>
      <c r="M493" s="15" t="s">
        <v>84</v>
      </c>
    </row>
    <row r="494" spans="1:13" ht="30" x14ac:dyDescent="0.25">
      <c r="A494" s="15" t="s">
        <v>151</v>
      </c>
      <c r="B494" s="15">
        <v>763</v>
      </c>
      <c r="C494" s="15">
        <v>436</v>
      </c>
      <c r="D494" s="15">
        <v>5</v>
      </c>
      <c r="E494" s="15">
        <v>2</v>
      </c>
      <c r="F494" s="15">
        <v>763</v>
      </c>
      <c r="G494" s="15">
        <v>436</v>
      </c>
      <c r="H494" s="15">
        <v>5</v>
      </c>
      <c r="I494" s="15">
        <v>2</v>
      </c>
      <c r="J494" s="15" t="s">
        <v>84</v>
      </c>
      <c r="K494" s="15" t="s">
        <v>84</v>
      </c>
      <c r="L494" s="15" t="s">
        <v>84</v>
      </c>
      <c r="M494" s="15" t="s">
        <v>84</v>
      </c>
    </row>
    <row r="495" spans="1:13" ht="60" x14ac:dyDescent="0.25">
      <c r="A495" s="15" t="s">
        <v>152</v>
      </c>
      <c r="B495" s="15">
        <v>63</v>
      </c>
      <c r="C495" s="15">
        <v>32</v>
      </c>
      <c r="D495" s="15" t="s">
        <v>84</v>
      </c>
      <c r="E495" s="15" t="s">
        <v>84</v>
      </c>
      <c r="F495" s="15">
        <v>59</v>
      </c>
      <c r="G495" s="15">
        <v>29</v>
      </c>
      <c r="H495" s="15" t="s">
        <v>84</v>
      </c>
      <c r="I495" s="15" t="s">
        <v>84</v>
      </c>
      <c r="J495" s="15">
        <v>4</v>
      </c>
      <c r="K495" s="15">
        <v>3</v>
      </c>
      <c r="L495" s="15" t="s">
        <v>84</v>
      </c>
      <c r="M495" s="15" t="s">
        <v>84</v>
      </c>
    </row>
    <row r="496" spans="1:13" ht="30" x14ac:dyDescent="0.25">
      <c r="A496" s="15" t="s">
        <v>85</v>
      </c>
      <c r="B496" s="15">
        <v>1631</v>
      </c>
      <c r="C496" s="15">
        <v>795</v>
      </c>
      <c r="D496" s="15">
        <v>85</v>
      </c>
      <c r="E496" s="15">
        <v>51</v>
      </c>
      <c r="F496" s="15">
        <v>1544</v>
      </c>
      <c r="G496" s="15">
        <v>747</v>
      </c>
      <c r="H496" s="15">
        <v>85</v>
      </c>
      <c r="I496" s="15">
        <v>51</v>
      </c>
      <c r="J496" s="15">
        <v>87</v>
      </c>
      <c r="K496" s="15">
        <v>48</v>
      </c>
      <c r="L496" s="15" t="s">
        <v>84</v>
      </c>
      <c r="M496" s="15" t="s">
        <v>84</v>
      </c>
    </row>
    <row r="497" spans="1:13" ht="30" x14ac:dyDescent="0.25">
      <c r="A497" s="15" t="s">
        <v>86</v>
      </c>
      <c r="B497" s="15">
        <v>523</v>
      </c>
      <c r="C497" s="15">
        <v>190</v>
      </c>
      <c r="D497" s="15">
        <v>53</v>
      </c>
      <c r="E497" s="15">
        <v>22</v>
      </c>
      <c r="F497" s="15">
        <v>508</v>
      </c>
      <c r="G497" s="15">
        <v>187</v>
      </c>
      <c r="H497" s="15">
        <v>53</v>
      </c>
      <c r="I497" s="15">
        <v>22</v>
      </c>
      <c r="J497" s="15">
        <v>15</v>
      </c>
      <c r="K497" s="15">
        <v>3</v>
      </c>
      <c r="L497" s="15" t="s">
        <v>84</v>
      </c>
      <c r="M497" s="15" t="s">
        <v>84</v>
      </c>
    </row>
    <row r="498" spans="1:13" ht="45" x14ac:dyDescent="0.25">
      <c r="A498" s="15" t="s">
        <v>87</v>
      </c>
      <c r="B498" s="15">
        <v>201</v>
      </c>
      <c r="C498" s="15">
        <v>78</v>
      </c>
      <c r="D498" s="15">
        <v>51</v>
      </c>
      <c r="E498" s="15">
        <v>14</v>
      </c>
      <c r="F498" s="15">
        <v>197</v>
      </c>
      <c r="G498" s="15">
        <v>77</v>
      </c>
      <c r="H498" s="15">
        <v>51</v>
      </c>
      <c r="I498" s="15">
        <v>14</v>
      </c>
      <c r="J498" s="15">
        <v>4</v>
      </c>
      <c r="K498" s="15">
        <v>1</v>
      </c>
      <c r="L498" s="15" t="s">
        <v>84</v>
      </c>
      <c r="M498" s="15" t="s">
        <v>84</v>
      </c>
    </row>
    <row r="499" spans="1:13" ht="45" x14ac:dyDescent="0.25">
      <c r="A499" s="15" t="s">
        <v>153</v>
      </c>
      <c r="B499" s="15">
        <v>59</v>
      </c>
      <c r="C499" s="15">
        <v>20</v>
      </c>
      <c r="D499" s="15">
        <v>5</v>
      </c>
      <c r="E499" s="15">
        <v>1</v>
      </c>
      <c r="F499" s="15">
        <v>59</v>
      </c>
      <c r="G499" s="15">
        <v>20</v>
      </c>
      <c r="H499" s="15">
        <v>5</v>
      </c>
      <c r="I499" s="15">
        <v>1</v>
      </c>
      <c r="J499" s="15" t="s">
        <v>84</v>
      </c>
      <c r="K499" s="15" t="s">
        <v>84</v>
      </c>
      <c r="L499" s="15" t="s">
        <v>84</v>
      </c>
      <c r="M499" s="15" t="s">
        <v>84</v>
      </c>
    </row>
    <row r="500" spans="1:13" ht="60" x14ac:dyDescent="0.25">
      <c r="A500" s="15" t="s">
        <v>154</v>
      </c>
      <c r="B500" s="15">
        <v>14</v>
      </c>
      <c r="C500" s="15">
        <v>7</v>
      </c>
      <c r="D500" s="15" t="s">
        <v>84</v>
      </c>
      <c r="E500" s="15" t="s">
        <v>84</v>
      </c>
      <c r="F500" s="15">
        <v>14</v>
      </c>
      <c r="G500" s="15">
        <v>7</v>
      </c>
      <c r="H500" s="15" t="s">
        <v>84</v>
      </c>
      <c r="I500" s="15" t="s">
        <v>84</v>
      </c>
      <c r="J500" s="15" t="s">
        <v>84</v>
      </c>
      <c r="K500" s="15" t="s">
        <v>84</v>
      </c>
      <c r="L500" s="15" t="s">
        <v>84</v>
      </c>
      <c r="M500" s="15" t="s">
        <v>84</v>
      </c>
    </row>
    <row r="501" spans="1:13" ht="15" customHeight="1" x14ac:dyDescent="0.25">
      <c r="A501" s="207" t="s">
        <v>135</v>
      </c>
      <c r="B501" s="208"/>
      <c r="C501" s="208"/>
      <c r="D501" s="208"/>
      <c r="E501" s="208"/>
      <c r="F501" s="208"/>
      <c r="G501" s="208"/>
      <c r="H501" s="208"/>
      <c r="I501" s="208"/>
      <c r="J501" s="208"/>
      <c r="K501" s="208"/>
      <c r="L501" s="208"/>
      <c r="M501" s="209"/>
    </row>
    <row r="502" spans="1:13" x14ac:dyDescent="0.25">
      <c r="A502" s="207"/>
      <c r="B502" s="208"/>
      <c r="C502" s="208"/>
      <c r="D502" s="208"/>
      <c r="E502" s="208"/>
      <c r="F502" s="208"/>
      <c r="G502" s="208"/>
      <c r="H502" s="208"/>
      <c r="I502" s="208"/>
      <c r="J502" s="208"/>
      <c r="K502" s="208"/>
      <c r="L502" s="208"/>
      <c r="M502" s="209"/>
    </row>
    <row r="503" spans="1:13" x14ac:dyDescent="0.25">
      <c r="A503" s="15" t="s">
        <v>83</v>
      </c>
      <c r="B503" s="15">
        <v>1730</v>
      </c>
      <c r="C503" s="15">
        <v>847</v>
      </c>
      <c r="D503" s="15">
        <v>134</v>
      </c>
      <c r="E503" s="15">
        <v>69</v>
      </c>
      <c r="F503" s="15">
        <v>1409</v>
      </c>
      <c r="G503" s="15">
        <v>674</v>
      </c>
      <c r="H503" s="15">
        <v>130</v>
      </c>
      <c r="I503" s="15">
        <v>68</v>
      </c>
      <c r="J503" s="15">
        <v>321</v>
      </c>
      <c r="K503" s="15">
        <v>173</v>
      </c>
      <c r="L503" s="15">
        <v>4</v>
      </c>
      <c r="M503" s="15">
        <v>1</v>
      </c>
    </row>
    <row r="504" spans="1:13" ht="30" x14ac:dyDescent="0.25">
      <c r="A504" s="15" t="s">
        <v>151</v>
      </c>
      <c r="B504" s="15">
        <v>510</v>
      </c>
      <c r="C504" s="15">
        <v>285</v>
      </c>
      <c r="D504" s="15" t="s">
        <v>84</v>
      </c>
      <c r="E504" s="15" t="s">
        <v>84</v>
      </c>
      <c r="F504" s="15">
        <v>346</v>
      </c>
      <c r="G504" s="15">
        <v>184</v>
      </c>
      <c r="H504" s="15" t="s">
        <v>84</v>
      </c>
      <c r="I504" s="15" t="s">
        <v>84</v>
      </c>
      <c r="J504" s="15">
        <v>164</v>
      </c>
      <c r="K504" s="15">
        <v>101</v>
      </c>
      <c r="L504" s="15" t="s">
        <v>84</v>
      </c>
      <c r="M504" s="15" t="s">
        <v>84</v>
      </c>
    </row>
    <row r="505" spans="1:13" ht="60" x14ac:dyDescent="0.25">
      <c r="A505" s="15" t="s">
        <v>152</v>
      </c>
      <c r="B505" s="15">
        <v>18</v>
      </c>
      <c r="C505" s="15">
        <v>7</v>
      </c>
      <c r="D505" s="15">
        <v>3</v>
      </c>
      <c r="E505" s="15">
        <v>1</v>
      </c>
      <c r="F505" s="15">
        <v>15</v>
      </c>
      <c r="G505" s="15">
        <v>4</v>
      </c>
      <c r="H505" s="15">
        <v>3</v>
      </c>
      <c r="I505" s="15">
        <v>1</v>
      </c>
      <c r="J505" s="15">
        <v>3</v>
      </c>
      <c r="K505" s="15">
        <v>3</v>
      </c>
      <c r="L505" s="15" t="s">
        <v>84</v>
      </c>
      <c r="M505" s="15" t="s">
        <v>84</v>
      </c>
    </row>
    <row r="506" spans="1:13" ht="30" x14ac:dyDescent="0.25">
      <c r="A506" s="15" t="s">
        <v>85</v>
      </c>
      <c r="B506" s="15">
        <v>822</v>
      </c>
      <c r="C506" s="15">
        <v>424</v>
      </c>
      <c r="D506" s="15">
        <v>63</v>
      </c>
      <c r="E506" s="15">
        <v>38</v>
      </c>
      <c r="F506" s="15">
        <v>732</v>
      </c>
      <c r="G506" s="15">
        <v>377</v>
      </c>
      <c r="H506" s="15">
        <v>62</v>
      </c>
      <c r="I506" s="15">
        <v>38</v>
      </c>
      <c r="J506" s="15">
        <v>90</v>
      </c>
      <c r="K506" s="15">
        <v>47</v>
      </c>
      <c r="L506" s="15">
        <v>1</v>
      </c>
      <c r="M506" s="15" t="s">
        <v>84</v>
      </c>
    </row>
    <row r="507" spans="1:13" ht="30" x14ac:dyDescent="0.25">
      <c r="A507" s="15" t="s">
        <v>86</v>
      </c>
      <c r="B507" s="15">
        <v>251</v>
      </c>
      <c r="C507" s="15">
        <v>72</v>
      </c>
      <c r="D507" s="15">
        <v>28</v>
      </c>
      <c r="E507" s="15">
        <v>13</v>
      </c>
      <c r="F507" s="15">
        <v>218</v>
      </c>
      <c r="G507" s="15">
        <v>61</v>
      </c>
      <c r="H507" s="15">
        <v>27</v>
      </c>
      <c r="I507" s="15">
        <v>12</v>
      </c>
      <c r="J507" s="15">
        <v>33</v>
      </c>
      <c r="K507" s="15">
        <v>11</v>
      </c>
      <c r="L507" s="15">
        <v>1</v>
      </c>
      <c r="M507" s="15">
        <v>1</v>
      </c>
    </row>
    <row r="508" spans="1:13" ht="45" x14ac:dyDescent="0.25">
      <c r="A508" s="15" t="s">
        <v>87</v>
      </c>
      <c r="B508" s="15">
        <v>129</v>
      </c>
      <c r="C508" s="15">
        <v>59</v>
      </c>
      <c r="D508" s="15">
        <v>40</v>
      </c>
      <c r="E508" s="15">
        <v>17</v>
      </c>
      <c r="F508" s="15">
        <v>98</v>
      </c>
      <c r="G508" s="15">
        <v>48</v>
      </c>
      <c r="H508" s="15">
        <v>38</v>
      </c>
      <c r="I508" s="15">
        <v>17</v>
      </c>
      <c r="J508" s="15">
        <v>31</v>
      </c>
      <c r="K508" s="15">
        <v>11</v>
      </c>
      <c r="L508" s="15">
        <v>2</v>
      </c>
      <c r="M508" s="15" t="s">
        <v>84</v>
      </c>
    </row>
    <row r="509" spans="1:13" ht="45" x14ac:dyDescent="0.25">
      <c r="A509" s="15" t="s">
        <v>153</v>
      </c>
      <c r="B509" s="15">
        <v>32</v>
      </c>
      <c r="C509" s="15">
        <v>14</v>
      </c>
      <c r="D509" s="15">
        <v>8</v>
      </c>
      <c r="E509" s="15">
        <v>2</v>
      </c>
      <c r="F509" s="15">
        <v>19</v>
      </c>
      <c r="G509" s="15">
        <v>11</v>
      </c>
      <c r="H509" s="15">
        <v>7</v>
      </c>
      <c r="I509" s="15">
        <v>2</v>
      </c>
      <c r="J509" s="15">
        <v>13</v>
      </c>
      <c r="K509" s="15">
        <v>3</v>
      </c>
      <c r="L509" s="15">
        <v>1</v>
      </c>
      <c r="M509" s="15" t="s">
        <v>84</v>
      </c>
    </row>
    <row r="510" spans="1:13" ht="60" x14ac:dyDescent="0.25">
      <c r="A510" s="15" t="s">
        <v>154</v>
      </c>
      <c r="B510" s="15">
        <v>14</v>
      </c>
      <c r="C510" s="15">
        <v>10</v>
      </c>
      <c r="D510" s="15" t="s">
        <v>84</v>
      </c>
      <c r="E510" s="15" t="s">
        <v>84</v>
      </c>
      <c r="F510" s="15">
        <v>14</v>
      </c>
      <c r="G510" s="15">
        <v>10</v>
      </c>
      <c r="H510" s="15" t="s">
        <v>84</v>
      </c>
      <c r="I510" s="15" t="s">
        <v>84</v>
      </c>
      <c r="J510" s="15" t="s">
        <v>84</v>
      </c>
      <c r="K510" s="15" t="s">
        <v>84</v>
      </c>
      <c r="L510" s="15" t="s">
        <v>84</v>
      </c>
      <c r="M510" s="15" t="s">
        <v>84</v>
      </c>
    </row>
    <row r="511" spans="1:13" ht="15" customHeight="1" x14ac:dyDescent="0.25">
      <c r="A511" s="207" t="s">
        <v>136</v>
      </c>
      <c r="B511" s="208"/>
      <c r="C511" s="208"/>
      <c r="D511" s="208"/>
      <c r="E511" s="208"/>
      <c r="F511" s="208"/>
      <c r="G511" s="208"/>
      <c r="H511" s="208"/>
      <c r="I511" s="208"/>
      <c r="J511" s="208"/>
      <c r="K511" s="208"/>
      <c r="L511" s="208"/>
      <c r="M511" s="209"/>
    </row>
    <row r="512" spans="1:13" x14ac:dyDescent="0.25">
      <c r="A512" s="207"/>
      <c r="B512" s="208"/>
      <c r="C512" s="208"/>
      <c r="D512" s="208"/>
      <c r="E512" s="208"/>
      <c r="F512" s="208"/>
      <c r="G512" s="208"/>
      <c r="H512" s="208"/>
      <c r="I512" s="208"/>
      <c r="J512" s="208"/>
      <c r="K512" s="208"/>
      <c r="L512" s="208"/>
      <c r="M512" s="209"/>
    </row>
    <row r="513" spans="1:13" x14ac:dyDescent="0.25">
      <c r="A513" s="15" t="s">
        <v>83</v>
      </c>
      <c r="B513" s="15">
        <v>948</v>
      </c>
      <c r="C513" s="15">
        <v>461</v>
      </c>
      <c r="D513" s="15">
        <v>93</v>
      </c>
      <c r="E513" s="15">
        <v>46</v>
      </c>
      <c r="F513" s="15">
        <v>763</v>
      </c>
      <c r="G513" s="15">
        <v>371</v>
      </c>
      <c r="H513" s="15">
        <v>87</v>
      </c>
      <c r="I513" s="15">
        <v>44</v>
      </c>
      <c r="J513" s="15">
        <v>185</v>
      </c>
      <c r="K513" s="15">
        <v>90</v>
      </c>
      <c r="L513" s="15">
        <v>6</v>
      </c>
      <c r="M513" s="15">
        <v>2</v>
      </c>
    </row>
    <row r="514" spans="1:13" ht="30" x14ac:dyDescent="0.25">
      <c r="A514" s="15" t="s">
        <v>151</v>
      </c>
      <c r="B514" s="15">
        <v>255</v>
      </c>
      <c r="C514" s="15">
        <v>154</v>
      </c>
      <c r="D514" s="15">
        <v>4</v>
      </c>
      <c r="E514" s="15">
        <v>1</v>
      </c>
      <c r="F514" s="15">
        <v>153</v>
      </c>
      <c r="G514" s="15">
        <v>94</v>
      </c>
      <c r="H514" s="15">
        <v>3</v>
      </c>
      <c r="I514" s="15" t="s">
        <v>84</v>
      </c>
      <c r="J514" s="15">
        <v>102</v>
      </c>
      <c r="K514" s="15">
        <v>60</v>
      </c>
      <c r="L514" s="15">
        <v>1</v>
      </c>
      <c r="M514" s="15">
        <v>1</v>
      </c>
    </row>
    <row r="515" spans="1:13" ht="60" x14ac:dyDescent="0.25">
      <c r="A515" s="15" t="s">
        <v>152</v>
      </c>
      <c r="B515" s="15">
        <v>41</v>
      </c>
      <c r="C515" s="15">
        <v>20</v>
      </c>
      <c r="D515" s="15">
        <v>6</v>
      </c>
      <c r="E515" s="15">
        <v>4</v>
      </c>
      <c r="F515" s="15">
        <v>28</v>
      </c>
      <c r="G515" s="15">
        <v>14</v>
      </c>
      <c r="H515" s="15">
        <v>5</v>
      </c>
      <c r="I515" s="15">
        <v>3</v>
      </c>
      <c r="J515" s="15">
        <v>13</v>
      </c>
      <c r="K515" s="15">
        <v>6</v>
      </c>
      <c r="L515" s="15">
        <v>1</v>
      </c>
      <c r="M515" s="15">
        <v>1</v>
      </c>
    </row>
    <row r="516" spans="1:13" ht="30" x14ac:dyDescent="0.25">
      <c r="A516" s="15" t="s">
        <v>85</v>
      </c>
      <c r="B516" s="15">
        <v>424</v>
      </c>
      <c r="C516" s="15">
        <v>198</v>
      </c>
      <c r="D516" s="15">
        <v>39</v>
      </c>
      <c r="E516" s="15">
        <v>17</v>
      </c>
      <c r="F516" s="15">
        <v>371</v>
      </c>
      <c r="G516" s="15">
        <v>178</v>
      </c>
      <c r="H516" s="15">
        <v>35</v>
      </c>
      <c r="I516" s="15">
        <v>17</v>
      </c>
      <c r="J516" s="15">
        <v>53</v>
      </c>
      <c r="K516" s="15">
        <v>20</v>
      </c>
      <c r="L516" s="15">
        <v>4</v>
      </c>
      <c r="M516" s="15" t="s">
        <v>84</v>
      </c>
    </row>
    <row r="517" spans="1:13" ht="30" x14ac:dyDescent="0.25">
      <c r="A517" s="15" t="s">
        <v>86</v>
      </c>
      <c r="B517" s="15">
        <v>181</v>
      </c>
      <c r="C517" s="15">
        <v>66</v>
      </c>
      <c r="D517" s="15">
        <v>33</v>
      </c>
      <c r="E517" s="15">
        <v>19</v>
      </c>
      <c r="F517" s="15">
        <v>170</v>
      </c>
      <c r="G517" s="15">
        <v>63</v>
      </c>
      <c r="H517" s="15">
        <v>33</v>
      </c>
      <c r="I517" s="15">
        <v>19</v>
      </c>
      <c r="J517" s="15">
        <v>11</v>
      </c>
      <c r="K517" s="15">
        <v>3</v>
      </c>
      <c r="L517" s="15" t="s">
        <v>84</v>
      </c>
      <c r="M517" s="15" t="s">
        <v>84</v>
      </c>
    </row>
    <row r="518" spans="1:13" ht="45" x14ac:dyDescent="0.25">
      <c r="A518" s="15" t="s">
        <v>87</v>
      </c>
      <c r="B518" s="15">
        <v>47</v>
      </c>
      <c r="C518" s="15">
        <v>23</v>
      </c>
      <c r="D518" s="15">
        <v>11</v>
      </c>
      <c r="E518" s="15">
        <v>5</v>
      </c>
      <c r="F518" s="15">
        <v>41</v>
      </c>
      <c r="G518" s="15">
        <v>22</v>
      </c>
      <c r="H518" s="15">
        <v>11</v>
      </c>
      <c r="I518" s="15">
        <v>5</v>
      </c>
      <c r="J518" s="15">
        <v>6</v>
      </c>
      <c r="K518" s="15">
        <v>1</v>
      </c>
      <c r="L518" s="15" t="s">
        <v>84</v>
      </c>
      <c r="M518" s="15" t="s">
        <v>84</v>
      </c>
    </row>
    <row r="519" spans="1:13" ht="45" x14ac:dyDescent="0.25">
      <c r="A519" s="15" t="s">
        <v>153</v>
      </c>
      <c r="B519" s="15">
        <v>10</v>
      </c>
      <c r="C519" s="15">
        <v>8</v>
      </c>
      <c r="D519" s="15">
        <v>1</v>
      </c>
      <c r="E519" s="15">
        <v>1</v>
      </c>
      <c r="F519" s="15">
        <v>9</v>
      </c>
      <c r="G519" s="15">
        <v>7</v>
      </c>
      <c r="H519" s="15">
        <v>1</v>
      </c>
      <c r="I519" s="15">
        <v>1</v>
      </c>
      <c r="J519" s="15">
        <v>1</v>
      </c>
      <c r="K519" s="15">
        <v>1</v>
      </c>
      <c r="L519" s="15" t="s">
        <v>84</v>
      </c>
      <c r="M519" s="15" t="s">
        <v>84</v>
      </c>
    </row>
    <row r="520" spans="1:13" ht="60" x14ac:dyDescent="0.25">
      <c r="A520" s="15" t="s">
        <v>154</v>
      </c>
      <c r="B520" s="15">
        <v>12</v>
      </c>
      <c r="C520" s="15">
        <v>4</v>
      </c>
      <c r="D520" s="15" t="s">
        <v>84</v>
      </c>
      <c r="E520" s="15" t="s">
        <v>84</v>
      </c>
      <c r="F520" s="15">
        <v>12</v>
      </c>
      <c r="G520" s="15">
        <v>4</v>
      </c>
      <c r="H520" s="15" t="s">
        <v>84</v>
      </c>
      <c r="I520" s="15" t="s">
        <v>84</v>
      </c>
      <c r="J520" s="15" t="s">
        <v>84</v>
      </c>
      <c r="K520" s="15" t="s">
        <v>84</v>
      </c>
      <c r="L520" s="15" t="s">
        <v>84</v>
      </c>
      <c r="M520" s="15" t="s">
        <v>84</v>
      </c>
    </row>
    <row r="521" spans="1:13" ht="15" customHeight="1" x14ac:dyDescent="0.25">
      <c r="A521" s="207" t="s">
        <v>137</v>
      </c>
      <c r="B521" s="208"/>
      <c r="C521" s="208"/>
      <c r="D521" s="208"/>
      <c r="E521" s="208"/>
      <c r="F521" s="208"/>
      <c r="G521" s="208"/>
      <c r="H521" s="208"/>
      <c r="I521" s="208"/>
      <c r="J521" s="208"/>
      <c r="K521" s="208"/>
      <c r="L521" s="208"/>
      <c r="M521" s="209"/>
    </row>
    <row r="522" spans="1:13" x14ac:dyDescent="0.25">
      <c r="A522" s="207"/>
      <c r="B522" s="208"/>
      <c r="C522" s="208"/>
      <c r="D522" s="208"/>
      <c r="E522" s="208"/>
      <c r="F522" s="208"/>
      <c r="G522" s="208"/>
      <c r="H522" s="208"/>
      <c r="I522" s="208"/>
      <c r="J522" s="208"/>
      <c r="K522" s="208"/>
      <c r="L522" s="208"/>
      <c r="M522" s="209"/>
    </row>
    <row r="523" spans="1:13" x14ac:dyDescent="0.25">
      <c r="A523" s="15" t="s">
        <v>83</v>
      </c>
      <c r="B523" s="15">
        <v>685</v>
      </c>
      <c r="C523" s="15">
        <v>332</v>
      </c>
      <c r="D523" s="15">
        <v>32</v>
      </c>
      <c r="E523" s="15">
        <v>11</v>
      </c>
      <c r="F523" s="15">
        <v>655</v>
      </c>
      <c r="G523" s="15">
        <v>321</v>
      </c>
      <c r="H523" s="15">
        <v>30</v>
      </c>
      <c r="I523" s="15">
        <v>11</v>
      </c>
      <c r="J523" s="15">
        <v>30</v>
      </c>
      <c r="K523" s="15">
        <v>11</v>
      </c>
      <c r="L523" s="15">
        <v>2</v>
      </c>
      <c r="M523" s="15" t="s">
        <v>84</v>
      </c>
    </row>
    <row r="524" spans="1:13" ht="30" x14ac:dyDescent="0.25">
      <c r="A524" s="15" t="s">
        <v>151</v>
      </c>
      <c r="B524" s="15">
        <v>183</v>
      </c>
      <c r="C524" s="15">
        <v>104</v>
      </c>
      <c r="D524" s="15">
        <v>7</v>
      </c>
      <c r="E524" s="15">
        <v>4</v>
      </c>
      <c r="F524" s="15">
        <v>168</v>
      </c>
      <c r="G524" s="15">
        <v>98</v>
      </c>
      <c r="H524" s="15">
        <v>6</v>
      </c>
      <c r="I524" s="15">
        <v>4</v>
      </c>
      <c r="J524" s="15">
        <v>15</v>
      </c>
      <c r="K524" s="15">
        <v>6</v>
      </c>
      <c r="L524" s="15">
        <v>1</v>
      </c>
      <c r="M524" s="15" t="s">
        <v>84</v>
      </c>
    </row>
    <row r="525" spans="1:13" ht="60" x14ac:dyDescent="0.25">
      <c r="A525" s="15" t="s">
        <v>152</v>
      </c>
      <c r="B525" s="15">
        <v>44</v>
      </c>
      <c r="C525" s="15">
        <v>20</v>
      </c>
      <c r="D525" s="15">
        <v>2</v>
      </c>
      <c r="E525" s="15" t="s">
        <v>84</v>
      </c>
      <c r="F525" s="15">
        <v>29</v>
      </c>
      <c r="G525" s="15">
        <v>15</v>
      </c>
      <c r="H525" s="15">
        <v>1</v>
      </c>
      <c r="I525" s="15" t="s">
        <v>84</v>
      </c>
      <c r="J525" s="15">
        <v>15</v>
      </c>
      <c r="K525" s="15">
        <v>5</v>
      </c>
      <c r="L525" s="15">
        <v>1</v>
      </c>
      <c r="M525" s="15" t="s">
        <v>84</v>
      </c>
    </row>
    <row r="526" spans="1:13" ht="30" x14ac:dyDescent="0.25">
      <c r="A526" s="15" t="s">
        <v>85</v>
      </c>
      <c r="B526" s="15">
        <v>301</v>
      </c>
      <c r="C526" s="15">
        <v>162</v>
      </c>
      <c r="D526" s="15">
        <v>8</v>
      </c>
      <c r="E526" s="15">
        <v>5</v>
      </c>
      <c r="F526" s="15">
        <v>301</v>
      </c>
      <c r="G526" s="15">
        <v>162</v>
      </c>
      <c r="H526" s="15">
        <v>8</v>
      </c>
      <c r="I526" s="15">
        <v>5</v>
      </c>
      <c r="J526" s="15" t="s">
        <v>84</v>
      </c>
      <c r="K526" s="15" t="s">
        <v>84</v>
      </c>
      <c r="L526" s="15" t="s">
        <v>84</v>
      </c>
      <c r="M526" s="15" t="s">
        <v>84</v>
      </c>
    </row>
    <row r="527" spans="1:13" ht="30" x14ac:dyDescent="0.25">
      <c r="A527" s="15" t="s">
        <v>86</v>
      </c>
      <c r="B527" s="15">
        <v>119</v>
      </c>
      <c r="C527" s="15">
        <v>32</v>
      </c>
      <c r="D527" s="15">
        <v>4</v>
      </c>
      <c r="E527" s="15" t="s">
        <v>84</v>
      </c>
      <c r="F527" s="15">
        <v>119</v>
      </c>
      <c r="G527" s="15">
        <v>32</v>
      </c>
      <c r="H527" s="15">
        <v>4</v>
      </c>
      <c r="I527" s="15" t="s">
        <v>84</v>
      </c>
      <c r="J527" s="15" t="s">
        <v>84</v>
      </c>
      <c r="K527" s="15" t="s">
        <v>84</v>
      </c>
      <c r="L527" s="15" t="s">
        <v>84</v>
      </c>
      <c r="M527" s="15" t="s">
        <v>84</v>
      </c>
    </row>
    <row r="528" spans="1:13" ht="45" x14ac:dyDescent="0.25">
      <c r="A528" s="15" t="s">
        <v>87</v>
      </c>
      <c r="B528" s="15">
        <v>38</v>
      </c>
      <c r="C528" s="15">
        <v>14</v>
      </c>
      <c r="D528" s="15">
        <v>11</v>
      </c>
      <c r="E528" s="15">
        <v>2</v>
      </c>
      <c r="F528" s="15">
        <v>38</v>
      </c>
      <c r="G528" s="15">
        <v>14</v>
      </c>
      <c r="H528" s="15">
        <v>11</v>
      </c>
      <c r="I528" s="15">
        <v>2</v>
      </c>
      <c r="J528" s="15" t="s">
        <v>84</v>
      </c>
      <c r="K528" s="15" t="s">
        <v>84</v>
      </c>
      <c r="L528" s="15" t="s">
        <v>84</v>
      </c>
      <c r="M528" s="15" t="s">
        <v>84</v>
      </c>
    </row>
    <row r="529" spans="1:13" ht="45" x14ac:dyDescent="0.25">
      <c r="A529" s="15" t="s">
        <v>153</v>
      </c>
      <c r="B529" s="15">
        <v>4</v>
      </c>
      <c r="C529" s="15" t="s">
        <v>84</v>
      </c>
      <c r="D529" s="15" t="s">
        <v>84</v>
      </c>
      <c r="E529" s="15" t="s">
        <v>84</v>
      </c>
      <c r="F529" s="15">
        <v>4</v>
      </c>
      <c r="G529" s="15" t="s">
        <v>84</v>
      </c>
      <c r="H529" s="15" t="s">
        <v>84</v>
      </c>
      <c r="I529" s="15" t="s">
        <v>84</v>
      </c>
      <c r="J529" s="15" t="s">
        <v>84</v>
      </c>
      <c r="K529" s="15" t="s">
        <v>84</v>
      </c>
      <c r="L529" s="15" t="s">
        <v>84</v>
      </c>
      <c r="M529" s="15" t="s">
        <v>84</v>
      </c>
    </row>
    <row r="530" spans="1:13" ht="60" x14ac:dyDescent="0.25">
      <c r="A530" s="15" t="s">
        <v>154</v>
      </c>
      <c r="B530" s="15">
        <v>13</v>
      </c>
      <c r="C530" s="15">
        <v>6</v>
      </c>
      <c r="D530" s="15" t="s">
        <v>84</v>
      </c>
      <c r="E530" s="15" t="s">
        <v>84</v>
      </c>
      <c r="F530" s="15">
        <v>13</v>
      </c>
      <c r="G530" s="15">
        <v>6</v>
      </c>
      <c r="H530" s="15" t="s">
        <v>84</v>
      </c>
      <c r="I530" s="15" t="s">
        <v>84</v>
      </c>
      <c r="J530" s="15" t="s">
        <v>84</v>
      </c>
      <c r="K530" s="15" t="s">
        <v>84</v>
      </c>
      <c r="L530" s="15" t="s">
        <v>84</v>
      </c>
      <c r="M530" s="15" t="s">
        <v>84</v>
      </c>
    </row>
    <row r="532" spans="1:13" x14ac:dyDescent="0.25">
      <c r="A532" t="s">
        <v>138</v>
      </c>
    </row>
    <row r="533" spans="1:13" x14ac:dyDescent="0.25">
      <c r="A533" t="s">
        <v>139</v>
      </c>
    </row>
    <row r="534" spans="1:13" x14ac:dyDescent="0.25">
      <c r="A534" t="s">
        <v>140</v>
      </c>
    </row>
    <row r="535" spans="1:13" x14ac:dyDescent="0.25">
      <c r="A535" t="s">
        <v>175</v>
      </c>
    </row>
    <row r="538" spans="1:13" x14ac:dyDescent="0.25">
      <c r="A538" t="s">
        <v>142</v>
      </c>
    </row>
    <row r="539" spans="1:13" x14ac:dyDescent="0.25">
      <c r="A539" t="s">
        <v>176</v>
      </c>
    </row>
    <row r="540" spans="1:13" x14ac:dyDescent="0.25">
      <c r="A540" t="s">
        <v>144</v>
      </c>
    </row>
    <row r="542" spans="1:13" x14ac:dyDescent="0.25">
      <c r="A542" t="s">
        <v>145</v>
      </c>
    </row>
    <row r="544" spans="1:13" x14ac:dyDescent="0.25">
      <c r="A544" t="s">
        <v>146</v>
      </c>
    </row>
  </sheetData>
  <mergeCells count="115">
    <mergeCell ref="B15:M16"/>
    <mergeCell ref="B17:E17"/>
    <mergeCell ref="F17:I17"/>
    <mergeCell ref="J17:M17"/>
    <mergeCell ref="B18:B20"/>
    <mergeCell ref="C18:C20"/>
    <mergeCell ref="D18:D20"/>
    <mergeCell ref="F18:F20"/>
    <mergeCell ref="G18:G20"/>
    <mergeCell ref="H18:H20"/>
    <mergeCell ref="A34:M34"/>
    <mergeCell ref="A43:M43"/>
    <mergeCell ref="A44:M44"/>
    <mergeCell ref="A53:M53"/>
    <mergeCell ref="A54:M54"/>
    <mergeCell ref="A63:M63"/>
    <mergeCell ref="J18:J20"/>
    <mergeCell ref="K18:K20"/>
    <mergeCell ref="L18:L20"/>
    <mergeCell ref="A23:M23"/>
    <mergeCell ref="A24:M24"/>
    <mergeCell ref="A33:M33"/>
    <mergeCell ref="A94:M94"/>
    <mergeCell ref="A103:M103"/>
    <mergeCell ref="A104:M104"/>
    <mergeCell ref="A113:M113"/>
    <mergeCell ref="A114:M114"/>
    <mergeCell ref="A123:M123"/>
    <mergeCell ref="A64:M64"/>
    <mergeCell ref="A73:M73"/>
    <mergeCell ref="A74:M74"/>
    <mergeCell ref="A83:M83"/>
    <mergeCell ref="A84:M84"/>
    <mergeCell ref="A93:M93"/>
    <mergeCell ref="A154:M154"/>
    <mergeCell ref="A163:M163"/>
    <mergeCell ref="A164:M164"/>
    <mergeCell ref="A173:M173"/>
    <mergeCell ref="A174:M174"/>
    <mergeCell ref="A183:M183"/>
    <mergeCell ref="A124:M124"/>
    <mergeCell ref="A133:M133"/>
    <mergeCell ref="A134:M134"/>
    <mergeCell ref="A143:M143"/>
    <mergeCell ref="A144:M144"/>
    <mergeCell ref="A153:M153"/>
    <mergeCell ref="A214:M214"/>
    <mergeCell ref="A223:M223"/>
    <mergeCell ref="A224:M224"/>
    <mergeCell ref="A233:M233"/>
    <mergeCell ref="A234:M234"/>
    <mergeCell ref="A243:M243"/>
    <mergeCell ref="A184:M184"/>
    <mergeCell ref="A193:M193"/>
    <mergeCell ref="A194:M194"/>
    <mergeCell ref="A203:M203"/>
    <mergeCell ref="A204:M204"/>
    <mergeCell ref="A213:M213"/>
    <mergeCell ref="A274:M274"/>
    <mergeCell ref="A283:M283"/>
    <mergeCell ref="A284:M284"/>
    <mergeCell ref="A293:M293"/>
    <mergeCell ref="A294:M294"/>
    <mergeCell ref="A303:M303"/>
    <mergeCell ref="A244:M244"/>
    <mergeCell ref="A253:M253"/>
    <mergeCell ref="A254:M254"/>
    <mergeCell ref="A263:M263"/>
    <mergeCell ref="A264:M264"/>
    <mergeCell ref="A273:M273"/>
    <mergeCell ref="A334:M334"/>
    <mergeCell ref="A343:M343"/>
    <mergeCell ref="A344:M344"/>
    <mergeCell ref="A353:M353"/>
    <mergeCell ref="A354:M354"/>
    <mergeCell ref="A363:M363"/>
    <mergeCell ref="A304:M304"/>
    <mergeCell ref="A313:M313"/>
    <mergeCell ref="A314:M314"/>
    <mergeCell ref="A323:M323"/>
    <mergeCell ref="A324:M324"/>
    <mergeCell ref="A333:M333"/>
    <mergeCell ref="A394:M394"/>
    <mergeCell ref="A403:M403"/>
    <mergeCell ref="A404:M404"/>
    <mergeCell ref="A412:M412"/>
    <mergeCell ref="A413:M413"/>
    <mergeCell ref="A422:M422"/>
    <mergeCell ref="A364:M364"/>
    <mergeCell ref="A373:M373"/>
    <mergeCell ref="A374:M374"/>
    <mergeCell ref="A383:M383"/>
    <mergeCell ref="A384:M384"/>
    <mergeCell ref="A393:M393"/>
    <mergeCell ref="A452:M452"/>
    <mergeCell ref="A461:M461"/>
    <mergeCell ref="A462:M462"/>
    <mergeCell ref="A471:M471"/>
    <mergeCell ref="A472:M472"/>
    <mergeCell ref="A481:M481"/>
    <mergeCell ref="A423:M423"/>
    <mergeCell ref="A432:M432"/>
    <mergeCell ref="A433:M433"/>
    <mergeCell ref="A442:M442"/>
    <mergeCell ref="A443:M443"/>
    <mergeCell ref="A451:M451"/>
    <mergeCell ref="A512:M512"/>
    <mergeCell ref="A521:M521"/>
    <mergeCell ref="A522:M522"/>
    <mergeCell ref="A482:M482"/>
    <mergeCell ref="A491:M491"/>
    <mergeCell ref="A492:M492"/>
    <mergeCell ref="A501:M501"/>
    <mergeCell ref="A502:M502"/>
    <mergeCell ref="A511:M511"/>
  </mergeCells>
  <hyperlinks>
    <hyperlink ref="A1" r:id="rId1" display="https://www1.nls.niedersachsen.de/Statistik/pool/K3002519/K3002519_00001735BD4E225FD31D668B2C2EEC6493AE0ADCEE342FD77566.zip" xr:uid="{543D15BD-3C3A-4949-AD2B-B026EBB8904F}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E684B-D092-42C3-BE87-98DF0F8656D5}">
  <sheetPr codeName="Tabelle12"/>
  <dimension ref="A1:M540"/>
  <sheetViews>
    <sheetView topLeftCell="A385" workbookViewId="0"/>
  </sheetViews>
  <sheetFormatPr baseColWidth="10" defaultRowHeight="15" x14ac:dyDescent="0.25"/>
  <cols>
    <col min="1" max="1" width="43.85546875" customWidth="1"/>
  </cols>
  <sheetData>
    <row r="1" spans="1:13" x14ac:dyDescent="0.25">
      <c r="A1" s="19" t="s">
        <v>147</v>
      </c>
    </row>
    <row r="3" spans="1:13" x14ac:dyDescent="0.25">
      <c r="A3" s="20" t="s">
        <v>214</v>
      </c>
    </row>
    <row r="4" spans="1:13" x14ac:dyDescent="0.25">
      <c r="A4" s="20" t="s">
        <v>149</v>
      </c>
    </row>
    <row r="6" spans="1:13" x14ac:dyDescent="0.25">
      <c r="A6" s="126" t="s">
        <v>66</v>
      </c>
    </row>
    <row r="7" spans="1:13" x14ac:dyDescent="0.25">
      <c r="A7" s="28"/>
    </row>
    <row r="8" spans="1:13" x14ac:dyDescent="0.25">
      <c r="A8" s="127" t="s">
        <v>67</v>
      </c>
    </row>
    <row r="9" spans="1:13" x14ac:dyDescent="0.25">
      <c r="A9" s="127" t="s">
        <v>172</v>
      </c>
    </row>
    <row r="10" spans="1:13" x14ac:dyDescent="0.25">
      <c r="A10" s="127" t="s">
        <v>215</v>
      </c>
    </row>
    <row r="11" spans="1:13" x14ac:dyDescent="0.25">
      <c r="A11" s="28"/>
    </row>
    <row r="12" spans="1:13" x14ac:dyDescent="0.25">
      <c r="A12" s="127" t="s">
        <v>150</v>
      </c>
    </row>
    <row r="13" spans="1:13" x14ac:dyDescent="0.25">
      <c r="A13" s="127" t="s">
        <v>216</v>
      </c>
    </row>
    <row r="14" spans="1:13" ht="15.75" thickBot="1" x14ac:dyDescent="0.3"/>
    <row r="15" spans="1:13" x14ac:dyDescent="0.25">
      <c r="A15" s="134" t="s">
        <v>63</v>
      </c>
      <c r="B15" s="231" t="s">
        <v>174</v>
      </c>
      <c r="C15" s="232"/>
      <c r="D15" s="232"/>
      <c r="E15" s="232"/>
      <c r="F15" s="232"/>
      <c r="G15" s="232"/>
      <c r="H15" s="232"/>
      <c r="I15" s="232"/>
      <c r="J15" s="232"/>
      <c r="K15" s="232"/>
      <c r="L15" s="232"/>
      <c r="M15" s="233"/>
    </row>
    <row r="16" spans="1:13" ht="15.75" thickBot="1" x14ac:dyDescent="0.3">
      <c r="A16" s="135" t="s">
        <v>70</v>
      </c>
      <c r="B16" s="234"/>
      <c r="C16" s="235"/>
      <c r="D16" s="235"/>
      <c r="E16" s="235"/>
      <c r="F16" s="235"/>
      <c r="G16" s="235"/>
      <c r="H16" s="235"/>
      <c r="I16" s="235"/>
      <c r="J16" s="235"/>
      <c r="K16" s="235"/>
      <c r="L16" s="235"/>
      <c r="M16" s="236"/>
    </row>
    <row r="17" spans="1:13" ht="15.75" thickBot="1" x14ac:dyDescent="0.3">
      <c r="A17" s="135" t="s">
        <v>71</v>
      </c>
      <c r="B17" s="237" t="s">
        <v>75</v>
      </c>
      <c r="C17" s="238"/>
      <c r="D17" s="238"/>
      <c r="E17" s="239"/>
      <c r="F17" s="237" t="s">
        <v>76</v>
      </c>
      <c r="G17" s="238"/>
      <c r="H17" s="238"/>
      <c r="I17" s="239"/>
      <c r="J17" s="237" t="s">
        <v>77</v>
      </c>
      <c r="K17" s="238"/>
      <c r="L17" s="238"/>
      <c r="M17" s="240"/>
    </row>
    <row r="18" spans="1:13" x14ac:dyDescent="0.25">
      <c r="A18" s="135" t="s">
        <v>72</v>
      </c>
      <c r="B18" s="228" t="s">
        <v>78</v>
      </c>
      <c r="C18" s="228" t="s">
        <v>79</v>
      </c>
      <c r="D18" s="228" t="s">
        <v>80</v>
      </c>
      <c r="E18" s="128" t="s">
        <v>80</v>
      </c>
      <c r="F18" s="228" t="s">
        <v>78</v>
      </c>
      <c r="G18" s="228" t="s">
        <v>79</v>
      </c>
      <c r="H18" s="228" t="s">
        <v>80</v>
      </c>
      <c r="I18" s="128" t="s">
        <v>80</v>
      </c>
      <c r="J18" s="228" t="s">
        <v>78</v>
      </c>
      <c r="K18" s="228" t="s">
        <v>79</v>
      </c>
      <c r="L18" s="228" t="s">
        <v>80</v>
      </c>
      <c r="M18" s="136" t="s">
        <v>80</v>
      </c>
    </row>
    <row r="19" spans="1:13" x14ac:dyDescent="0.25">
      <c r="A19" s="135" t="s">
        <v>73</v>
      </c>
      <c r="B19" s="229"/>
      <c r="C19" s="229"/>
      <c r="D19" s="229"/>
      <c r="E19" s="129" t="s">
        <v>79</v>
      </c>
      <c r="F19" s="229"/>
      <c r="G19" s="229"/>
      <c r="H19" s="229"/>
      <c r="I19" s="129" t="s">
        <v>79</v>
      </c>
      <c r="J19" s="229"/>
      <c r="K19" s="229"/>
      <c r="L19" s="229"/>
      <c r="M19" s="137" t="s">
        <v>79</v>
      </c>
    </row>
    <row r="20" spans="1:13" ht="15.75" thickBot="1" x14ac:dyDescent="0.3">
      <c r="A20" s="135"/>
      <c r="B20" s="230"/>
      <c r="C20" s="230"/>
      <c r="D20" s="230"/>
      <c r="E20" s="130" t="s">
        <v>81</v>
      </c>
      <c r="F20" s="230"/>
      <c r="G20" s="230"/>
      <c r="H20" s="230"/>
      <c r="I20" s="130" t="s">
        <v>81</v>
      </c>
      <c r="J20" s="230"/>
      <c r="K20" s="230"/>
      <c r="L20" s="230"/>
      <c r="M20" s="138" t="s">
        <v>81</v>
      </c>
    </row>
    <row r="21" spans="1:13" ht="15.75" thickBot="1" x14ac:dyDescent="0.3">
      <c r="A21" s="139"/>
      <c r="B21" s="131">
        <v>1</v>
      </c>
      <c r="C21" s="131">
        <v>2</v>
      </c>
      <c r="D21" s="131">
        <v>3</v>
      </c>
      <c r="E21" s="131">
        <v>4</v>
      </c>
      <c r="F21" s="131">
        <v>5</v>
      </c>
      <c r="G21" s="131">
        <v>6</v>
      </c>
      <c r="H21" s="131">
        <v>7</v>
      </c>
      <c r="I21" s="131">
        <v>8</v>
      </c>
      <c r="J21" s="131">
        <v>9</v>
      </c>
      <c r="K21" s="131">
        <v>10</v>
      </c>
      <c r="L21" s="131">
        <v>11</v>
      </c>
      <c r="M21" s="140">
        <v>12</v>
      </c>
    </row>
    <row r="22" spans="1:13" ht="15.75" thickBot="1" x14ac:dyDescent="0.3">
      <c r="A22" s="141"/>
      <c r="M22" s="142"/>
    </row>
    <row r="23" spans="1:13" ht="15.75" thickBot="1" x14ac:dyDescent="0.3">
      <c r="A23" s="222" t="s">
        <v>82</v>
      </c>
      <c r="B23" s="223"/>
      <c r="C23" s="223"/>
      <c r="D23" s="223"/>
      <c r="E23" s="223"/>
      <c r="F23" s="223"/>
      <c r="G23" s="223"/>
      <c r="H23" s="223"/>
      <c r="I23" s="223"/>
      <c r="J23" s="223"/>
      <c r="K23" s="223"/>
      <c r="L23" s="223"/>
      <c r="M23" s="224"/>
    </row>
    <row r="24" spans="1:13" ht="15.75" thickBot="1" x14ac:dyDescent="0.3">
      <c r="A24" s="225"/>
      <c r="B24" s="226"/>
      <c r="C24" s="226"/>
      <c r="D24" s="226"/>
      <c r="E24" s="226"/>
      <c r="F24" s="226"/>
      <c r="G24" s="226"/>
      <c r="H24" s="226"/>
      <c r="I24" s="226"/>
      <c r="J24" s="226"/>
      <c r="K24" s="226"/>
      <c r="L24" s="226"/>
      <c r="M24" s="227"/>
    </row>
    <row r="25" spans="1:13" ht="15.75" thickBot="1" x14ac:dyDescent="0.3">
      <c r="A25" s="143" t="s">
        <v>83</v>
      </c>
      <c r="B25" s="132">
        <v>57318</v>
      </c>
      <c r="C25" s="132">
        <v>26484</v>
      </c>
      <c r="D25" s="132">
        <v>5943</v>
      </c>
      <c r="E25" s="132">
        <v>2800</v>
      </c>
      <c r="F25" s="132">
        <v>53593</v>
      </c>
      <c r="G25" s="132">
        <v>24812</v>
      </c>
      <c r="H25" s="132">
        <v>5755</v>
      </c>
      <c r="I25" s="132">
        <v>2710</v>
      </c>
      <c r="J25" s="132">
        <v>3725</v>
      </c>
      <c r="K25" s="132">
        <v>1672</v>
      </c>
      <c r="L25" s="132">
        <v>188</v>
      </c>
      <c r="M25" s="144">
        <v>90</v>
      </c>
    </row>
    <row r="26" spans="1:13" ht="15.75" thickBot="1" x14ac:dyDescent="0.3">
      <c r="A26" s="145" t="s">
        <v>151</v>
      </c>
      <c r="B26" s="133">
        <v>5198</v>
      </c>
      <c r="C26" s="133">
        <v>2889</v>
      </c>
      <c r="D26" s="133">
        <v>159</v>
      </c>
      <c r="E26" s="133">
        <v>78</v>
      </c>
      <c r="F26" s="133">
        <v>4674</v>
      </c>
      <c r="G26" s="133">
        <v>2604</v>
      </c>
      <c r="H26" s="133">
        <v>155</v>
      </c>
      <c r="I26" s="133">
        <v>77</v>
      </c>
      <c r="J26" s="133">
        <v>524</v>
      </c>
      <c r="K26" s="133">
        <v>285</v>
      </c>
      <c r="L26" s="133">
        <v>4</v>
      </c>
      <c r="M26" s="146">
        <v>1</v>
      </c>
    </row>
    <row r="27" spans="1:13" ht="15.75" thickBot="1" x14ac:dyDescent="0.3">
      <c r="A27" s="143" t="s">
        <v>152</v>
      </c>
      <c r="B27" s="132">
        <v>1693</v>
      </c>
      <c r="C27" s="132">
        <v>894</v>
      </c>
      <c r="D27" s="132">
        <v>101</v>
      </c>
      <c r="E27" s="132">
        <v>55</v>
      </c>
      <c r="F27" s="132">
        <v>1588</v>
      </c>
      <c r="G27" s="132">
        <v>840</v>
      </c>
      <c r="H27" s="132">
        <v>97</v>
      </c>
      <c r="I27" s="132">
        <v>52</v>
      </c>
      <c r="J27" s="132">
        <v>105</v>
      </c>
      <c r="K27" s="132">
        <v>54</v>
      </c>
      <c r="L27" s="132">
        <v>4</v>
      </c>
      <c r="M27" s="144">
        <v>3</v>
      </c>
    </row>
    <row r="28" spans="1:13" ht="15.75" thickBot="1" x14ac:dyDescent="0.3">
      <c r="A28" s="145" t="s">
        <v>85</v>
      </c>
      <c r="B28" s="133">
        <v>35249</v>
      </c>
      <c r="C28" s="133">
        <v>16763</v>
      </c>
      <c r="D28" s="133">
        <v>2783</v>
      </c>
      <c r="E28" s="133">
        <v>1416</v>
      </c>
      <c r="F28" s="133">
        <v>33006</v>
      </c>
      <c r="G28" s="133">
        <v>15700</v>
      </c>
      <c r="H28" s="133">
        <v>2676</v>
      </c>
      <c r="I28" s="133">
        <v>1360</v>
      </c>
      <c r="J28" s="133">
        <v>2243</v>
      </c>
      <c r="K28" s="133">
        <v>1063</v>
      </c>
      <c r="L28" s="133">
        <v>107</v>
      </c>
      <c r="M28" s="146">
        <v>56</v>
      </c>
    </row>
    <row r="29" spans="1:13" ht="15.75" thickBot="1" x14ac:dyDescent="0.3">
      <c r="A29" s="143" t="s">
        <v>86</v>
      </c>
      <c r="B29" s="132">
        <v>10566</v>
      </c>
      <c r="C29" s="132">
        <v>4152</v>
      </c>
      <c r="D29" s="132">
        <v>1684</v>
      </c>
      <c r="E29" s="132">
        <v>751</v>
      </c>
      <c r="F29" s="132">
        <v>10052</v>
      </c>
      <c r="G29" s="132">
        <v>3991</v>
      </c>
      <c r="H29" s="132">
        <v>1637</v>
      </c>
      <c r="I29" s="132">
        <v>730</v>
      </c>
      <c r="J29" s="132">
        <v>514</v>
      </c>
      <c r="K29" s="132">
        <v>161</v>
      </c>
      <c r="L29" s="132">
        <v>47</v>
      </c>
      <c r="M29" s="144">
        <v>21</v>
      </c>
    </row>
    <row r="30" spans="1:13" ht="15.75" thickBot="1" x14ac:dyDescent="0.3">
      <c r="A30" s="145" t="s">
        <v>87</v>
      </c>
      <c r="B30" s="133">
        <v>4612</v>
      </c>
      <c r="C30" s="133">
        <v>1786</v>
      </c>
      <c r="D30" s="133">
        <v>1216</v>
      </c>
      <c r="E30" s="133">
        <v>500</v>
      </c>
      <c r="F30" s="133">
        <v>4273</v>
      </c>
      <c r="G30" s="133">
        <v>1677</v>
      </c>
      <c r="H30" s="133">
        <v>1190</v>
      </c>
      <c r="I30" s="133">
        <v>491</v>
      </c>
      <c r="J30" s="133">
        <v>339</v>
      </c>
      <c r="K30" s="133">
        <v>109</v>
      </c>
      <c r="L30" s="133">
        <v>26</v>
      </c>
      <c r="M30" s="146">
        <v>9</v>
      </c>
    </row>
    <row r="31" spans="1:13" ht="15.75" thickBot="1" x14ac:dyDescent="0.3">
      <c r="A31" s="143" t="s">
        <v>153</v>
      </c>
      <c r="B31" s="132">
        <v>1426</v>
      </c>
      <c r="C31" s="132">
        <v>583</v>
      </c>
      <c r="D31" s="132">
        <v>205</v>
      </c>
      <c r="E31" s="132">
        <v>90</v>
      </c>
      <c r="F31" s="132">
        <v>1344</v>
      </c>
      <c r="G31" s="132">
        <v>558</v>
      </c>
      <c r="H31" s="132">
        <v>198</v>
      </c>
      <c r="I31" s="132">
        <v>89</v>
      </c>
      <c r="J31" s="132">
        <v>82</v>
      </c>
      <c r="K31" s="132">
        <v>25</v>
      </c>
      <c r="L31" s="132">
        <v>7</v>
      </c>
      <c r="M31" s="144">
        <v>1</v>
      </c>
    </row>
    <row r="32" spans="1:13" ht="15.75" thickBot="1" x14ac:dyDescent="0.3">
      <c r="A32" s="145" t="s">
        <v>154</v>
      </c>
      <c r="B32" s="133">
        <v>731</v>
      </c>
      <c r="C32" s="133">
        <v>286</v>
      </c>
      <c r="D32" s="133">
        <v>99</v>
      </c>
      <c r="E32" s="133">
        <v>46</v>
      </c>
      <c r="F32" s="133">
        <v>643</v>
      </c>
      <c r="G32" s="133">
        <v>249</v>
      </c>
      <c r="H32" s="133">
        <v>97</v>
      </c>
      <c r="I32" s="133">
        <v>46</v>
      </c>
      <c r="J32" s="133">
        <v>88</v>
      </c>
      <c r="K32" s="133">
        <v>37</v>
      </c>
      <c r="L32" s="133">
        <v>2</v>
      </c>
      <c r="M32" s="146" t="s">
        <v>84</v>
      </c>
    </row>
    <row r="33" spans="1:13" ht="15.75" thickBot="1" x14ac:dyDescent="0.3">
      <c r="A33" s="222" t="s">
        <v>88</v>
      </c>
      <c r="B33" s="223"/>
      <c r="C33" s="223"/>
      <c r="D33" s="223"/>
      <c r="E33" s="223"/>
      <c r="F33" s="223"/>
      <c r="G33" s="223"/>
      <c r="H33" s="223"/>
      <c r="I33" s="223"/>
      <c r="J33" s="223"/>
      <c r="K33" s="223"/>
      <c r="L33" s="223"/>
      <c r="M33" s="224"/>
    </row>
    <row r="34" spans="1:13" ht="15.75" thickBot="1" x14ac:dyDescent="0.3">
      <c r="A34" s="225"/>
      <c r="B34" s="226"/>
      <c r="C34" s="226"/>
      <c r="D34" s="226"/>
      <c r="E34" s="226"/>
      <c r="F34" s="226"/>
      <c r="G34" s="226"/>
      <c r="H34" s="226"/>
      <c r="I34" s="226"/>
      <c r="J34" s="226"/>
      <c r="K34" s="226"/>
      <c r="L34" s="226"/>
      <c r="M34" s="227"/>
    </row>
    <row r="35" spans="1:13" ht="15.75" thickBot="1" x14ac:dyDescent="0.3">
      <c r="A35" s="143" t="s">
        <v>83</v>
      </c>
      <c r="B35" s="132">
        <v>10452</v>
      </c>
      <c r="C35" s="132">
        <v>4769</v>
      </c>
      <c r="D35" s="132">
        <v>1212</v>
      </c>
      <c r="E35" s="132">
        <v>551</v>
      </c>
      <c r="F35" s="132">
        <v>9902</v>
      </c>
      <c r="G35" s="132">
        <v>4548</v>
      </c>
      <c r="H35" s="132">
        <v>1177</v>
      </c>
      <c r="I35" s="132">
        <v>537</v>
      </c>
      <c r="J35" s="132">
        <v>550</v>
      </c>
      <c r="K35" s="132">
        <v>221</v>
      </c>
      <c r="L35" s="132">
        <v>35</v>
      </c>
      <c r="M35" s="144">
        <v>14</v>
      </c>
    </row>
    <row r="36" spans="1:13" ht="15.75" thickBot="1" x14ac:dyDescent="0.3">
      <c r="A36" s="145" t="s">
        <v>151</v>
      </c>
      <c r="B36" s="133">
        <v>1429</v>
      </c>
      <c r="C36" s="133">
        <v>760</v>
      </c>
      <c r="D36" s="133">
        <v>40</v>
      </c>
      <c r="E36" s="133">
        <v>21</v>
      </c>
      <c r="F36" s="133">
        <v>1310</v>
      </c>
      <c r="G36" s="133">
        <v>703</v>
      </c>
      <c r="H36" s="133">
        <v>39</v>
      </c>
      <c r="I36" s="133">
        <v>21</v>
      </c>
      <c r="J36" s="133">
        <v>119</v>
      </c>
      <c r="K36" s="133">
        <v>57</v>
      </c>
      <c r="L36" s="133">
        <v>1</v>
      </c>
      <c r="M36" s="146" t="s">
        <v>84</v>
      </c>
    </row>
    <row r="37" spans="1:13" ht="15.75" thickBot="1" x14ac:dyDescent="0.3">
      <c r="A37" s="143" t="s">
        <v>152</v>
      </c>
      <c r="B37" s="132">
        <v>376</v>
      </c>
      <c r="C37" s="132">
        <v>209</v>
      </c>
      <c r="D37" s="132">
        <v>31</v>
      </c>
      <c r="E37" s="132">
        <v>18</v>
      </c>
      <c r="F37" s="132">
        <v>358</v>
      </c>
      <c r="G37" s="132">
        <v>200</v>
      </c>
      <c r="H37" s="132">
        <v>29</v>
      </c>
      <c r="I37" s="132">
        <v>17</v>
      </c>
      <c r="J37" s="132">
        <v>18</v>
      </c>
      <c r="K37" s="132">
        <v>9</v>
      </c>
      <c r="L37" s="132">
        <v>2</v>
      </c>
      <c r="M37" s="144">
        <v>1</v>
      </c>
    </row>
    <row r="38" spans="1:13" ht="15.75" thickBot="1" x14ac:dyDescent="0.3">
      <c r="A38" s="145" t="s">
        <v>85</v>
      </c>
      <c r="B38" s="133">
        <v>6205</v>
      </c>
      <c r="C38" s="133">
        <v>2838</v>
      </c>
      <c r="D38" s="133">
        <v>607</v>
      </c>
      <c r="E38" s="133">
        <v>290</v>
      </c>
      <c r="F38" s="133">
        <v>5925</v>
      </c>
      <c r="G38" s="133">
        <v>2713</v>
      </c>
      <c r="H38" s="133">
        <v>586</v>
      </c>
      <c r="I38" s="133">
        <v>280</v>
      </c>
      <c r="J38" s="133">
        <v>280</v>
      </c>
      <c r="K38" s="133">
        <v>125</v>
      </c>
      <c r="L38" s="133">
        <v>21</v>
      </c>
      <c r="M38" s="146">
        <v>10</v>
      </c>
    </row>
    <row r="39" spans="1:13" ht="15.75" thickBot="1" x14ac:dyDescent="0.3">
      <c r="A39" s="143" t="s">
        <v>86</v>
      </c>
      <c r="B39" s="132">
        <v>1688</v>
      </c>
      <c r="C39" s="132">
        <v>689</v>
      </c>
      <c r="D39" s="132">
        <v>331</v>
      </c>
      <c r="E39" s="132">
        <v>151</v>
      </c>
      <c r="F39" s="132">
        <v>1616</v>
      </c>
      <c r="G39" s="132">
        <v>669</v>
      </c>
      <c r="H39" s="132">
        <v>324</v>
      </c>
      <c r="I39" s="132">
        <v>148</v>
      </c>
      <c r="J39" s="132">
        <v>72</v>
      </c>
      <c r="K39" s="132">
        <v>20</v>
      </c>
      <c r="L39" s="132">
        <v>7</v>
      </c>
      <c r="M39" s="144">
        <v>3</v>
      </c>
    </row>
    <row r="40" spans="1:13" ht="15.75" thickBot="1" x14ac:dyDescent="0.3">
      <c r="A40" s="145" t="s">
        <v>87</v>
      </c>
      <c r="B40" s="133">
        <v>754</v>
      </c>
      <c r="C40" s="133">
        <v>273</v>
      </c>
      <c r="D40" s="133">
        <v>203</v>
      </c>
      <c r="E40" s="133">
        <v>71</v>
      </c>
      <c r="F40" s="133">
        <v>693</v>
      </c>
      <c r="G40" s="133">
        <v>263</v>
      </c>
      <c r="H40" s="133">
        <v>199</v>
      </c>
      <c r="I40" s="133">
        <v>71</v>
      </c>
      <c r="J40" s="133">
        <v>61</v>
      </c>
      <c r="K40" s="133">
        <v>10</v>
      </c>
      <c r="L40" s="133">
        <v>4</v>
      </c>
      <c r="M40" s="146" t="s">
        <v>84</v>
      </c>
    </row>
    <row r="41" spans="1:13" ht="15.75" thickBot="1" x14ac:dyDescent="0.3">
      <c r="A41" s="143" t="s">
        <v>153</v>
      </c>
      <c r="B41" s="132">
        <v>199</v>
      </c>
      <c r="C41" s="132">
        <v>81</v>
      </c>
      <c r="D41" s="132">
        <v>35</v>
      </c>
      <c r="E41" s="132">
        <v>13</v>
      </c>
      <c r="F41" s="132">
        <v>179</v>
      </c>
      <c r="G41" s="132">
        <v>77</v>
      </c>
      <c r="H41" s="132">
        <v>33</v>
      </c>
      <c r="I41" s="132">
        <v>13</v>
      </c>
      <c r="J41" s="132">
        <v>20</v>
      </c>
      <c r="K41" s="132">
        <v>4</v>
      </c>
      <c r="L41" s="132">
        <v>2</v>
      </c>
      <c r="M41" s="144" t="s">
        <v>84</v>
      </c>
    </row>
    <row r="42" spans="1:13" ht="15.75" thickBot="1" x14ac:dyDescent="0.3">
      <c r="A42" s="145" t="s">
        <v>154</v>
      </c>
      <c r="B42" s="133">
        <v>141</v>
      </c>
      <c r="C42" s="133">
        <v>50</v>
      </c>
      <c r="D42" s="133">
        <v>18</v>
      </c>
      <c r="E42" s="133">
        <v>9</v>
      </c>
      <c r="F42" s="133">
        <v>140</v>
      </c>
      <c r="G42" s="133">
        <v>50</v>
      </c>
      <c r="H42" s="133">
        <v>18</v>
      </c>
      <c r="I42" s="133">
        <v>9</v>
      </c>
      <c r="J42" s="133">
        <v>1</v>
      </c>
      <c r="K42" s="133" t="s">
        <v>84</v>
      </c>
      <c r="L42" s="133" t="s">
        <v>84</v>
      </c>
      <c r="M42" s="146" t="s">
        <v>84</v>
      </c>
    </row>
    <row r="43" spans="1:13" ht="15.75" thickBot="1" x14ac:dyDescent="0.3">
      <c r="A43" s="222" t="s">
        <v>89</v>
      </c>
      <c r="B43" s="223"/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4"/>
    </row>
    <row r="44" spans="1:13" ht="15.75" thickBot="1" x14ac:dyDescent="0.3">
      <c r="A44" s="225"/>
      <c r="B44" s="226"/>
      <c r="C44" s="226"/>
      <c r="D44" s="226"/>
      <c r="E44" s="226"/>
      <c r="F44" s="226"/>
      <c r="G44" s="226"/>
      <c r="H44" s="226"/>
      <c r="I44" s="226"/>
      <c r="J44" s="226"/>
      <c r="K44" s="226"/>
      <c r="L44" s="226"/>
      <c r="M44" s="227"/>
    </row>
    <row r="45" spans="1:13" ht="15.75" thickBot="1" x14ac:dyDescent="0.3">
      <c r="A45" s="143" t="s">
        <v>83</v>
      </c>
      <c r="B45" s="132">
        <v>1620</v>
      </c>
      <c r="C45" s="132">
        <v>746</v>
      </c>
      <c r="D45" s="132">
        <v>185</v>
      </c>
      <c r="E45" s="132">
        <v>73</v>
      </c>
      <c r="F45" s="132">
        <v>1551</v>
      </c>
      <c r="G45" s="132">
        <v>722</v>
      </c>
      <c r="H45" s="132">
        <v>184</v>
      </c>
      <c r="I45" s="132">
        <v>73</v>
      </c>
      <c r="J45" s="132">
        <v>69</v>
      </c>
      <c r="K45" s="132">
        <v>24</v>
      </c>
      <c r="L45" s="132">
        <v>1</v>
      </c>
      <c r="M45" s="144" t="s">
        <v>84</v>
      </c>
    </row>
    <row r="46" spans="1:13" ht="15.75" thickBot="1" x14ac:dyDescent="0.3">
      <c r="A46" s="145" t="s">
        <v>151</v>
      </c>
      <c r="B46" s="133">
        <v>376</v>
      </c>
      <c r="C46" s="133">
        <v>207</v>
      </c>
      <c r="D46" s="133">
        <v>9</v>
      </c>
      <c r="E46" s="133">
        <v>3</v>
      </c>
      <c r="F46" s="133">
        <v>363</v>
      </c>
      <c r="G46" s="133">
        <v>200</v>
      </c>
      <c r="H46" s="133">
        <v>9</v>
      </c>
      <c r="I46" s="133">
        <v>3</v>
      </c>
      <c r="J46" s="133">
        <v>13</v>
      </c>
      <c r="K46" s="133">
        <v>7</v>
      </c>
      <c r="L46" s="133" t="s">
        <v>84</v>
      </c>
      <c r="M46" s="146" t="s">
        <v>84</v>
      </c>
    </row>
    <row r="47" spans="1:13" ht="15.75" thickBot="1" x14ac:dyDescent="0.3">
      <c r="A47" s="143" t="s">
        <v>152</v>
      </c>
      <c r="B47" s="132">
        <v>107</v>
      </c>
      <c r="C47" s="132">
        <v>61</v>
      </c>
      <c r="D47" s="132">
        <v>6</v>
      </c>
      <c r="E47" s="132">
        <v>3</v>
      </c>
      <c r="F47" s="132">
        <v>106</v>
      </c>
      <c r="G47" s="132">
        <v>60</v>
      </c>
      <c r="H47" s="132">
        <v>6</v>
      </c>
      <c r="I47" s="132">
        <v>3</v>
      </c>
      <c r="J47" s="132">
        <v>1</v>
      </c>
      <c r="K47" s="132">
        <v>1</v>
      </c>
      <c r="L47" s="132" t="s">
        <v>84</v>
      </c>
      <c r="M47" s="144" t="s">
        <v>84</v>
      </c>
    </row>
    <row r="48" spans="1:13" ht="15.75" thickBot="1" x14ac:dyDescent="0.3">
      <c r="A48" s="145" t="s">
        <v>85</v>
      </c>
      <c r="B48" s="133">
        <v>805</v>
      </c>
      <c r="C48" s="133">
        <v>356</v>
      </c>
      <c r="D48" s="133">
        <v>109</v>
      </c>
      <c r="E48" s="133">
        <v>47</v>
      </c>
      <c r="F48" s="133">
        <v>766</v>
      </c>
      <c r="G48" s="133">
        <v>344</v>
      </c>
      <c r="H48" s="133">
        <v>108</v>
      </c>
      <c r="I48" s="133">
        <v>47</v>
      </c>
      <c r="J48" s="133">
        <v>39</v>
      </c>
      <c r="K48" s="133">
        <v>12</v>
      </c>
      <c r="L48" s="133">
        <v>1</v>
      </c>
      <c r="M48" s="146" t="s">
        <v>84</v>
      </c>
    </row>
    <row r="49" spans="1:13" ht="15.75" thickBot="1" x14ac:dyDescent="0.3">
      <c r="A49" s="143" t="s">
        <v>86</v>
      </c>
      <c r="B49" s="132">
        <v>217</v>
      </c>
      <c r="C49" s="132">
        <v>83</v>
      </c>
      <c r="D49" s="132">
        <v>36</v>
      </c>
      <c r="E49" s="132">
        <v>13</v>
      </c>
      <c r="F49" s="132">
        <v>206</v>
      </c>
      <c r="G49" s="132">
        <v>81</v>
      </c>
      <c r="H49" s="132">
        <v>36</v>
      </c>
      <c r="I49" s="132">
        <v>13</v>
      </c>
      <c r="J49" s="132">
        <v>11</v>
      </c>
      <c r="K49" s="132">
        <v>2</v>
      </c>
      <c r="L49" s="132" t="s">
        <v>84</v>
      </c>
      <c r="M49" s="144" t="s">
        <v>84</v>
      </c>
    </row>
    <row r="50" spans="1:13" ht="15.75" thickBot="1" x14ac:dyDescent="0.3">
      <c r="A50" s="145" t="s">
        <v>87</v>
      </c>
      <c r="B50" s="133">
        <v>115</v>
      </c>
      <c r="C50" s="133">
        <v>39</v>
      </c>
      <c r="D50" s="133">
        <v>25</v>
      </c>
      <c r="E50" s="133">
        <v>7</v>
      </c>
      <c r="F50" s="133">
        <v>110</v>
      </c>
      <c r="G50" s="133">
        <v>37</v>
      </c>
      <c r="H50" s="133">
        <v>25</v>
      </c>
      <c r="I50" s="133">
        <v>7</v>
      </c>
      <c r="J50" s="133">
        <v>5</v>
      </c>
      <c r="K50" s="133">
        <v>2</v>
      </c>
      <c r="L50" s="133" t="s">
        <v>84</v>
      </c>
      <c r="M50" s="146" t="s">
        <v>84</v>
      </c>
    </row>
    <row r="51" spans="1:13" ht="15.75" thickBot="1" x14ac:dyDescent="0.3">
      <c r="A51" s="143" t="s">
        <v>153</v>
      </c>
      <c r="B51" s="132">
        <v>24</v>
      </c>
      <c r="C51" s="132">
        <v>12</v>
      </c>
      <c r="D51" s="132">
        <v>3</v>
      </c>
      <c r="E51" s="132">
        <v>2</v>
      </c>
      <c r="F51" s="132">
        <v>24</v>
      </c>
      <c r="G51" s="132">
        <v>12</v>
      </c>
      <c r="H51" s="132">
        <v>3</v>
      </c>
      <c r="I51" s="132">
        <v>2</v>
      </c>
      <c r="J51" s="132" t="s">
        <v>84</v>
      </c>
      <c r="K51" s="132" t="s">
        <v>84</v>
      </c>
      <c r="L51" s="132" t="s">
        <v>84</v>
      </c>
      <c r="M51" s="144" t="s">
        <v>84</v>
      </c>
    </row>
    <row r="52" spans="1:13" ht="15.75" thickBot="1" x14ac:dyDescent="0.3">
      <c r="A52" s="145" t="s">
        <v>154</v>
      </c>
      <c r="B52" s="133">
        <v>22</v>
      </c>
      <c r="C52" s="133">
        <v>8</v>
      </c>
      <c r="D52" s="133">
        <v>3</v>
      </c>
      <c r="E52" s="133">
        <v>2</v>
      </c>
      <c r="F52" s="133">
        <v>22</v>
      </c>
      <c r="G52" s="133">
        <v>8</v>
      </c>
      <c r="H52" s="133">
        <v>3</v>
      </c>
      <c r="I52" s="133">
        <v>2</v>
      </c>
      <c r="J52" s="133" t="s">
        <v>84</v>
      </c>
      <c r="K52" s="133" t="s">
        <v>84</v>
      </c>
      <c r="L52" s="133" t="s">
        <v>84</v>
      </c>
      <c r="M52" s="146" t="s">
        <v>84</v>
      </c>
    </row>
    <row r="53" spans="1:13" ht="15.75" thickBot="1" x14ac:dyDescent="0.3">
      <c r="A53" s="222" t="s">
        <v>90</v>
      </c>
      <c r="B53" s="223"/>
      <c r="C53" s="223"/>
      <c r="D53" s="223"/>
      <c r="E53" s="223"/>
      <c r="F53" s="223"/>
      <c r="G53" s="223"/>
      <c r="H53" s="223"/>
      <c r="I53" s="223"/>
      <c r="J53" s="223"/>
      <c r="K53" s="223"/>
      <c r="L53" s="223"/>
      <c r="M53" s="224"/>
    </row>
    <row r="54" spans="1:13" ht="15.75" thickBot="1" x14ac:dyDescent="0.3">
      <c r="A54" s="225"/>
      <c r="B54" s="226"/>
      <c r="C54" s="226"/>
      <c r="D54" s="226"/>
      <c r="E54" s="226"/>
      <c r="F54" s="226"/>
      <c r="G54" s="226"/>
      <c r="H54" s="226"/>
      <c r="I54" s="226"/>
      <c r="J54" s="226"/>
      <c r="K54" s="226"/>
      <c r="L54" s="226"/>
      <c r="M54" s="227"/>
    </row>
    <row r="55" spans="1:13" ht="15.75" thickBot="1" x14ac:dyDescent="0.3">
      <c r="A55" s="143" t="s">
        <v>83</v>
      </c>
      <c r="B55" s="132">
        <v>808</v>
      </c>
      <c r="C55" s="132">
        <v>369</v>
      </c>
      <c r="D55" s="132">
        <v>239</v>
      </c>
      <c r="E55" s="132">
        <v>108</v>
      </c>
      <c r="F55" s="132">
        <v>808</v>
      </c>
      <c r="G55" s="132">
        <v>369</v>
      </c>
      <c r="H55" s="132">
        <v>239</v>
      </c>
      <c r="I55" s="132">
        <v>108</v>
      </c>
      <c r="J55" s="132" t="s">
        <v>84</v>
      </c>
      <c r="K55" s="132" t="s">
        <v>84</v>
      </c>
      <c r="L55" s="132" t="s">
        <v>84</v>
      </c>
      <c r="M55" s="144" t="s">
        <v>84</v>
      </c>
    </row>
    <row r="56" spans="1:13" ht="15.75" thickBot="1" x14ac:dyDescent="0.3">
      <c r="A56" s="145" t="s">
        <v>151</v>
      </c>
      <c r="B56" s="133">
        <v>39</v>
      </c>
      <c r="C56" s="133">
        <v>20</v>
      </c>
      <c r="D56" s="133" t="s">
        <v>84</v>
      </c>
      <c r="E56" s="133" t="s">
        <v>84</v>
      </c>
      <c r="F56" s="133">
        <v>39</v>
      </c>
      <c r="G56" s="133">
        <v>20</v>
      </c>
      <c r="H56" s="133" t="s">
        <v>84</v>
      </c>
      <c r="I56" s="133" t="s">
        <v>84</v>
      </c>
      <c r="J56" s="133" t="s">
        <v>84</v>
      </c>
      <c r="K56" s="133" t="s">
        <v>84</v>
      </c>
      <c r="L56" s="133" t="s">
        <v>84</v>
      </c>
      <c r="M56" s="146" t="s">
        <v>84</v>
      </c>
    </row>
    <row r="57" spans="1:13" ht="15.75" thickBot="1" x14ac:dyDescent="0.3">
      <c r="A57" s="143" t="s">
        <v>152</v>
      </c>
      <c r="B57" s="132">
        <v>12</v>
      </c>
      <c r="C57" s="132">
        <v>4</v>
      </c>
      <c r="D57" s="132">
        <v>1</v>
      </c>
      <c r="E57" s="132">
        <v>1</v>
      </c>
      <c r="F57" s="132">
        <v>12</v>
      </c>
      <c r="G57" s="132">
        <v>4</v>
      </c>
      <c r="H57" s="132">
        <v>1</v>
      </c>
      <c r="I57" s="132">
        <v>1</v>
      </c>
      <c r="J57" s="132" t="s">
        <v>84</v>
      </c>
      <c r="K57" s="132" t="s">
        <v>84</v>
      </c>
      <c r="L57" s="132" t="s">
        <v>84</v>
      </c>
      <c r="M57" s="144" t="s">
        <v>84</v>
      </c>
    </row>
    <row r="58" spans="1:13" ht="15.75" thickBot="1" x14ac:dyDescent="0.3">
      <c r="A58" s="145" t="s">
        <v>85</v>
      </c>
      <c r="B58" s="133">
        <v>503</v>
      </c>
      <c r="C58" s="133">
        <v>239</v>
      </c>
      <c r="D58" s="133">
        <v>103</v>
      </c>
      <c r="E58" s="133">
        <v>55</v>
      </c>
      <c r="F58" s="133">
        <v>503</v>
      </c>
      <c r="G58" s="133">
        <v>239</v>
      </c>
      <c r="H58" s="133">
        <v>103</v>
      </c>
      <c r="I58" s="133">
        <v>55</v>
      </c>
      <c r="J58" s="133" t="s">
        <v>84</v>
      </c>
      <c r="K58" s="133" t="s">
        <v>84</v>
      </c>
      <c r="L58" s="133" t="s">
        <v>84</v>
      </c>
      <c r="M58" s="146" t="s">
        <v>84</v>
      </c>
    </row>
    <row r="59" spans="1:13" ht="15.75" thickBot="1" x14ac:dyDescent="0.3">
      <c r="A59" s="143" t="s">
        <v>86</v>
      </c>
      <c r="B59" s="132">
        <v>163</v>
      </c>
      <c r="C59" s="132">
        <v>76</v>
      </c>
      <c r="D59" s="132">
        <v>79</v>
      </c>
      <c r="E59" s="132">
        <v>38</v>
      </c>
      <c r="F59" s="132">
        <v>163</v>
      </c>
      <c r="G59" s="132">
        <v>76</v>
      </c>
      <c r="H59" s="132">
        <v>79</v>
      </c>
      <c r="I59" s="132">
        <v>38</v>
      </c>
      <c r="J59" s="132" t="s">
        <v>84</v>
      </c>
      <c r="K59" s="132" t="s">
        <v>84</v>
      </c>
      <c r="L59" s="132" t="s">
        <v>84</v>
      </c>
      <c r="M59" s="144" t="s">
        <v>84</v>
      </c>
    </row>
    <row r="60" spans="1:13" ht="15.75" thickBot="1" x14ac:dyDescent="0.3">
      <c r="A60" s="145" t="s">
        <v>87</v>
      </c>
      <c r="B60" s="133">
        <v>91</v>
      </c>
      <c r="C60" s="133">
        <v>30</v>
      </c>
      <c r="D60" s="133">
        <v>56</v>
      </c>
      <c r="E60" s="133">
        <v>14</v>
      </c>
      <c r="F60" s="133">
        <v>91</v>
      </c>
      <c r="G60" s="133">
        <v>30</v>
      </c>
      <c r="H60" s="133">
        <v>56</v>
      </c>
      <c r="I60" s="133">
        <v>14</v>
      </c>
      <c r="J60" s="133" t="s">
        <v>84</v>
      </c>
      <c r="K60" s="133" t="s">
        <v>84</v>
      </c>
      <c r="L60" s="133" t="s">
        <v>84</v>
      </c>
      <c r="M60" s="146" t="s">
        <v>84</v>
      </c>
    </row>
    <row r="61" spans="1:13" ht="15.75" thickBot="1" x14ac:dyDescent="0.3">
      <c r="A61" s="143" t="s">
        <v>153</v>
      </c>
      <c r="B61" s="132">
        <v>26</v>
      </c>
      <c r="C61" s="132">
        <v>13</v>
      </c>
      <c r="D61" s="132">
        <v>11</v>
      </c>
      <c r="E61" s="132">
        <v>3</v>
      </c>
      <c r="F61" s="132">
        <v>26</v>
      </c>
      <c r="G61" s="132">
        <v>13</v>
      </c>
      <c r="H61" s="132">
        <v>11</v>
      </c>
      <c r="I61" s="132">
        <v>3</v>
      </c>
      <c r="J61" s="132" t="s">
        <v>84</v>
      </c>
      <c r="K61" s="132" t="s">
        <v>84</v>
      </c>
      <c r="L61" s="132" t="s">
        <v>84</v>
      </c>
      <c r="M61" s="144" t="s">
        <v>84</v>
      </c>
    </row>
    <row r="62" spans="1:13" ht="15.75" thickBot="1" x14ac:dyDescent="0.3">
      <c r="A62" s="145" t="s">
        <v>154</v>
      </c>
      <c r="B62" s="133">
        <v>10</v>
      </c>
      <c r="C62" s="133">
        <v>3</v>
      </c>
      <c r="D62" s="133">
        <v>4</v>
      </c>
      <c r="E62" s="133">
        <v>1</v>
      </c>
      <c r="F62" s="133">
        <v>10</v>
      </c>
      <c r="G62" s="133">
        <v>3</v>
      </c>
      <c r="H62" s="133">
        <v>4</v>
      </c>
      <c r="I62" s="133">
        <v>1</v>
      </c>
      <c r="J62" s="133" t="s">
        <v>84</v>
      </c>
      <c r="K62" s="133" t="s">
        <v>84</v>
      </c>
      <c r="L62" s="133" t="s">
        <v>84</v>
      </c>
      <c r="M62" s="146" t="s">
        <v>84</v>
      </c>
    </row>
    <row r="63" spans="1:13" ht="15.75" thickBot="1" x14ac:dyDescent="0.3">
      <c r="A63" s="222" t="s">
        <v>91</v>
      </c>
      <c r="B63" s="223"/>
      <c r="C63" s="223"/>
      <c r="D63" s="223"/>
      <c r="E63" s="223"/>
      <c r="F63" s="223"/>
      <c r="G63" s="223"/>
      <c r="H63" s="223"/>
      <c r="I63" s="223"/>
      <c r="J63" s="223"/>
      <c r="K63" s="223"/>
      <c r="L63" s="223"/>
      <c r="M63" s="224"/>
    </row>
    <row r="64" spans="1:13" ht="15.75" thickBot="1" x14ac:dyDescent="0.3">
      <c r="A64" s="225"/>
      <c r="B64" s="226"/>
      <c r="C64" s="226"/>
      <c r="D64" s="226"/>
      <c r="E64" s="226"/>
      <c r="F64" s="226"/>
      <c r="G64" s="226"/>
      <c r="H64" s="226"/>
      <c r="I64" s="226"/>
      <c r="J64" s="226"/>
      <c r="K64" s="226"/>
      <c r="L64" s="226"/>
      <c r="M64" s="227"/>
    </row>
    <row r="65" spans="1:13" ht="15.75" thickBot="1" x14ac:dyDescent="0.3">
      <c r="A65" s="143" t="s">
        <v>83</v>
      </c>
      <c r="B65" s="132">
        <v>1055</v>
      </c>
      <c r="C65" s="132">
        <v>490</v>
      </c>
      <c r="D65" s="132">
        <v>141</v>
      </c>
      <c r="E65" s="132">
        <v>73</v>
      </c>
      <c r="F65" s="132">
        <v>850</v>
      </c>
      <c r="G65" s="132">
        <v>395</v>
      </c>
      <c r="H65" s="132">
        <v>129</v>
      </c>
      <c r="I65" s="132">
        <v>67</v>
      </c>
      <c r="J65" s="132">
        <v>205</v>
      </c>
      <c r="K65" s="132">
        <v>95</v>
      </c>
      <c r="L65" s="132">
        <v>12</v>
      </c>
      <c r="M65" s="144">
        <v>6</v>
      </c>
    </row>
    <row r="66" spans="1:13" ht="15.75" thickBot="1" x14ac:dyDescent="0.3">
      <c r="A66" s="145" t="s">
        <v>151</v>
      </c>
      <c r="B66" s="133">
        <v>251</v>
      </c>
      <c r="C66" s="133">
        <v>132</v>
      </c>
      <c r="D66" s="133">
        <v>11</v>
      </c>
      <c r="E66" s="133">
        <v>10</v>
      </c>
      <c r="F66" s="133">
        <v>159</v>
      </c>
      <c r="G66" s="133">
        <v>89</v>
      </c>
      <c r="H66" s="133">
        <v>11</v>
      </c>
      <c r="I66" s="133">
        <v>10</v>
      </c>
      <c r="J66" s="133">
        <v>92</v>
      </c>
      <c r="K66" s="133">
        <v>43</v>
      </c>
      <c r="L66" s="133" t="s">
        <v>84</v>
      </c>
      <c r="M66" s="146" t="s">
        <v>84</v>
      </c>
    </row>
    <row r="67" spans="1:13" ht="15.75" thickBot="1" x14ac:dyDescent="0.3">
      <c r="A67" s="143" t="s">
        <v>152</v>
      </c>
      <c r="B67" s="132">
        <v>63</v>
      </c>
      <c r="C67" s="132">
        <v>33</v>
      </c>
      <c r="D67" s="132">
        <v>10</v>
      </c>
      <c r="E67" s="132">
        <v>6</v>
      </c>
      <c r="F67" s="132">
        <v>53</v>
      </c>
      <c r="G67" s="132">
        <v>29</v>
      </c>
      <c r="H67" s="132">
        <v>10</v>
      </c>
      <c r="I67" s="132">
        <v>6</v>
      </c>
      <c r="J67" s="132">
        <v>10</v>
      </c>
      <c r="K67" s="132">
        <v>4</v>
      </c>
      <c r="L67" s="132" t="s">
        <v>84</v>
      </c>
      <c r="M67" s="144" t="s">
        <v>84</v>
      </c>
    </row>
    <row r="68" spans="1:13" ht="15.75" thickBot="1" x14ac:dyDescent="0.3">
      <c r="A68" s="145" t="s">
        <v>85</v>
      </c>
      <c r="B68" s="133">
        <v>549</v>
      </c>
      <c r="C68" s="133">
        <v>242</v>
      </c>
      <c r="D68" s="133">
        <v>68</v>
      </c>
      <c r="E68" s="133">
        <v>33</v>
      </c>
      <c r="F68" s="133">
        <v>463</v>
      </c>
      <c r="G68" s="133">
        <v>201</v>
      </c>
      <c r="H68" s="133">
        <v>60</v>
      </c>
      <c r="I68" s="133">
        <v>29</v>
      </c>
      <c r="J68" s="133">
        <v>86</v>
      </c>
      <c r="K68" s="133">
        <v>41</v>
      </c>
      <c r="L68" s="133">
        <v>8</v>
      </c>
      <c r="M68" s="146">
        <v>4</v>
      </c>
    </row>
    <row r="69" spans="1:13" ht="15.75" thickBot="1" x14ac:dyDescent="0.3">
      <c r="A69" s="143" t="s">
        <v>86</v>
      </c>
      <c r="B69" s="132">
        <v>143</v>
      </c>
      <c r="C69" s="132">
        <v>58</v>
      </c>
      <c r="D69" s="132">
        <v>41</v>
      </c>
      <c r="E69" s="132">
        <v>17</v>
      </c>
      <c r="F69" s="132">
        <v>127</v>
      </c>
      <c r="G69" s="132">
        <v>51</v>
      </c>
      <c r="H69" s="132">
        <v>38</v>
      </c>
      <c r="I69" s="132">
        <v>15</v>
      </c>
      <c r="J69" s="132">
        <v>16</v>
      </c>
      <c r="K69" s="132">
        <v>7</v>
      </c>
      <c r="L69" s="132">
        <v>3</v>
      </c>
      <c r="M69" s="144">
        <v>2</v>
      </c>
    </row>
    <row r="70" spans="1:13" ht="15.75" thickBot="1" x14ac:dyDescent="0.3">
      <c r="A70" s="145" t="s">
        <v>87</v>
      </c>
      <c r="B70" s="133">
        <v>49</v>
      </c>
      <c r="C70" s="133">
        <v>25</v>
      </c>
      <c r="D70" s="133">
        <v>11</v>
      </c>
      <c r="E70" s="133">
        <v>7</v>
      </c>
      <c r="F70" s="133">
        <v>48</v>
      </c>
      <c r="G70" s="133">
        <v>25</v>
      </c>
      <c r="H70" s="133">
        <v>10</v>
      </c>
      <c r="I70" s="133">
        <v>7</v>
      </c>
      <c r="J70" s="133">
        <v>1</v>
      </c>
      <c r="K70" s="133" t="s">
        <v>84</v>
      </c>
      <c r="L70" s="133">
        <v>1</v>
      </c>
      <c r="M70" s="146" t="s">
        <v>84</v>
      </c>
    </row>
    <row r="71" spans="1:13" ht="15.75" thickBot="1" x14ac:dyDescent="0.3">
      <c r="A71" s="143" t="s">
        <v>153</v>
      </c>
      <c r="B71" s="132">
        <v>10</v>
      </c>
      <c r="C71" s="132">
        <v>8</v>
      </c>
      <c r="D71" s="132">
        <v>2</v>
      </c>
      <c r="E71" s="132">
        <v>2</v>
      </c>
      <c r="F71" s="132">
        <v>10</v>
      </c>
      <c r="G71" s="132">
        <v>8</v>
      </c>
      <c r="H71" s="132">
        <v>2</v>
      </c>
      <c r="I71" s="132">
        <v>2</v>
      </c>
      <c r="J71" s="132" t="s">
        <v>84</v>
      </c>
      <c r="K71" s="132" t="s">
        <v>84</v>
      </c>
      <c r="L71" s="132" t="s">
        <v>84</v>
      </c>
      <c r="M71" s="144" t="s">
        <v>84</v>
      </c>
    </row>
    <row r="72" spans="1:13" ht="15.75" thickBot="1" x14ac:dyDescent="0.3">
      <c r="A72" s="145" t="s">
        <v>154</v>
      </c>
      <c r="B72" s="133">
        <v>13</v>
      </c>
      <c r="C72" s="133">
        <v>7</v>
      </c>
      <c r="D72" s="133">
        <v>2</v>
      </c>
      <c r="E72" s="133">
        <v>2</v>
      </c>
      <c r="F72" s="133">
        <v>13</v>
      </c>
      <c r="G72" s="133">
        <v>7</v>
      </c>
      <c r="H72" s="133">
        <v>2</v>
      </c>
      <c r="I72" s="133">
        <v>2</v>
      </c>
      <c r="J72" s="133" t="s">
        <v>84</v>
      </c>
      <c r="K72" s="133" t="s">
        <v>84</v>
      </c>
      <c r="L72" s="133" t="s">
        <v>84</v>
      </c>
      <c r="M72" s="146" t="s">
        <v>84</v>
      </c>
    </row>
    <row r="73" spans="1:13" ht="15.75" thickBot="1" x14ac:dyDescent="0.3">
      <c r="A73" s="222" t="s">
        <v>92</v>
      </c>
      <c r="B73" s="223"/>
      <c r="C73" s="223"/>
      <c r="D73" s="223"/>
      <c r="E73" s="223"/>
      <c r="F73" s="223"/>
      <c r="G73" s="223"/>
      <c r="H73" s="223"/>
      <c r="I73" s="223"/>
      <c r="J73" s="223"/>
      <c r="K73" s="223"/>
      <c r="L73" s="223"/>
      <c r="M73" s="224"/>
    </row>
    <row r="74" spans="1:13" ht="15.75" thickBot="1" x14ac:dyDescent="0.3">
      <c r="A74" s="225"/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7"/>
    </row>
    <row r="75" spans="1:13" ht="15.75" thickBot="1" x14ac:dyDescent="0.3">
      <c r="A75" s="143" t="s">
        <v>83</v>
      </c>
      <c r="B75" s="132">
        <v>1128</v>
      </c>
      <c r="C75" s="132">
        <v>497</v>
      </c>
      <c r="D75" s="132">
        <v>86</v>
      </c>
      <c r="E75" s="132">
        <v>46</v>
      </c>
      <c r="F75" s="132">
        <v>1110</v>
      </c>
      <c r="G75" s="132">
        <v>493</v>
      </c>
      <c r="H75" s="132">
        <v>85</v>
      </c>
      <c r="I75" s="132">
        <v>46</v>
      </c>
      <c r="J75" s="132">
        <v>18</v>
      </c>
      <c r="K75" s="132">
        <v>4</v>
      </c>
      <c r="L75" s="132">
        <v>1</v>
      </c>
      <c r="M75" s="144" t="s">
        <v>84</v>
      </c>
    </row>
    <row r="76" spans="1:13" ht="15.75" thickBot="1" x14ac:dyDescent="0.3">
      <c r="A76" s="145" t="s">
        <v>151</v>
      </c>
      <c r="B76" s="133">
        <v>72</v>
      </c>
      <c r="C76" s="133">
        <v>38</v>
      </c>
      <c r="D76" s="133" t="s">
        <v>84</v>
      </c>
      <c r="E76" s="133" t="s">
        <v>84</v>
      </c>
      <c r="F76" s="133">
        <v>72</v>
      </c>
      <c r="G76" s="133">
        <v>38</v>
      </c>
      <c r="H76" s="133" t="s">
        <v>84</v>
      </c>
      <c r="I76" s="133" t="s">
        <v>84</v>
      </c>
      <c r="J76" s="133" t="s">
        <v>84</v>
      </c>
      <c r="K76" s="133" t="s">
        <v>84</v>
      </c>
      <c r="L76" s="133" t="s">
        <v>84</v>
      </c>
      <c r="M76" s="146" t="s">
        <v>84</v>
      </c>
    </row>
    <row r="77" spans="1:13" ht="15.75" thickBot="1" x14ac:dyDescent="0.3">
      <c r="A77" s="143" t="s">
        <v>152</v>
      </c>
      <c r="B77" s="132">
        <v>37</v>
      </c>
      <c r="C77" s="132">
        <v>23</v>
      </c>
      <c r="D77" s="132">
        <v>3</v>
      </c>
      <c r="E77" s="132">
        <v>2</v>
      </c>
      <c r="F77" s="132">
        <v>37</v>
      </c>
      <c r="G77" s="132">
        <v>23</v>
      </c>
      <c r="H77" s="132">
        <v>3</v>
      </c>
      <c r="I77" s="132">
        <v>2</v>
      </c>
      <c r="J77" s="132" t="s">
        <v>84</v>
      </c>
      <c r="K77" s="132" t="s">
        <v>84</v>
      </c>
      <c r="L77" s="132" t="s">
        <v>84</v>
      </c>
      <c r="M77" s="144" t="s">
        <v>84</v>
      </c>
    </row>
    <row r="78" spans="1:13" ht="15.75" thickBot="1" x14ac:dyDescent="0.3">
      <c r="A78" s="145" t="s">
        <v>85</v>
      </c>
      <c r="B78" s="133">
        <v>774</v>
      </c>
      <c r="C78" s="133">
        <v>347</v>
      </c>
      <c r="D78" s="133">
        <v>43</v>
      </c>
      <c r="E78" s="133">
        <v>20</v>
      </c>
      <c r="F78" s="133">
        <v>763</v>
      </c>
      <c r="G78" s="133">
        <v>343</v>
      </c>
      <c r="H78" s="133">
        <v>42</v>
      </c>
      <c r="I78" s="133">
        <v>20</v>
      </c>
      <c r="J78" s="133">
        <v>11</v>
      </c>
      <c r="K78" s="133">
        <v>4</v>
      </c>
      <c r="L78" s="133">
        <v>1</v>
      </c>
      <c r="M78" s="146" t="s">
        <v>84</v>
      </c>
    </row>
    <row r="79" spans="1:13" ht="15.75" thickBot="1" x14ac:dyDescent="0.3">
      <c r="A79" s="143" t="s">
        <v>86</v>
      </c>
      <c r="B79" s="132">
        <v>187</v>
      </c>
      <c r="C79" s="132">
        <v>68</v>
      </c>
      <c r="D79" s="132">
        <v>26</v>
      </c>
      <c r="E79" s="132">
        <v>15</v>
      </c>
      <c r="F79" s="132">
        <v>187</v>
      </c>
      <c r="G79" s="132">
        <v>68</v>
      </c>
      <c r="H79" s="132">
        <v>26</v>
      </c>
      <c r="I79" s="132">
        <v>15</v>
      </c>
      <c r="J79" s="132" t="s">
        <v>84</v>
      </c>
      <c r="K79" s="132" t="s">
        <v>84</v>
      </c>
      <c r="L79" s="132" t="s">
        <v>84</v>
      </c>
      <c r="M79" s="144" t="s">
        <v>84</v>
      </c>
    </row>
    <row r="80" spans="1:13" ht="15.75" thickBot="1" x14ac:dyDescent="0.3">
      <c r="A80" s="145" t="s">
        <v>87</v>
      </c>
      <c r="B80" s="133">
        <v>58</v>
      </c>
      <c r="C80" s="133">
        <v>21</v>
      </c>
      <c r="D80" s="133">
        <v>14</v>
      </c>
      <c r="E80" s="133">
        <v>9</v>
      </c>
      <c r="F80" s="133">
        <v>51</v>
      </c>
      <c r="G80" s="133">
        <v>21</v>
      </c>
      <c r="H80" s="133">
        <v>14</v>
      </c>
      <c r="I80" s="133">
        <v>9</v>
      </c>
      <c r="J80" s="133">
        <v>7</v>
      </c>
      <c r="K80" s="133" t="s">
        <v>84</v>
      </c>
      <c r="L80" s="133" t="s">
        <v>84</v>
      </c>
      <c r="M80" s="146" t="s">
        <v>84</v>
      </c>
    </row>
    <row r="81" spans="1:13" ht="15.75" thickBot="1" x14ac:dyDescent="0.3">
      <c r="A81" s="143" t="s">
        <v>153</v>
      </c>
      <c r="B81" s="132">
        <v>22</v>
      </c>
      <c r="C81" s="132">
        <v>8</v>
      </c>
      <c r="D81" s="132">
        <v>2</v>
      </c>
      <c r="E81" s="132">
        <v>1</v>
      </c>
      <c r="F81" s="132">
        <v>22</v>
      </c>
      <c r="G81" s="132">
        <v>8</v>
      </c>
      <c r="H81" s="132">
        <v>2</v>
      </c>
      <c r="I81" s="132">
        <v>1</v>
      </c>
      <c r="J81" s="132" t="s">
        <v>84</v>
      </c>
      <c r="K81" s="132" t="s">
        <v>84</v>
      </c>
      <c r="L81" s="132" t="s">
        <v>84</v>
      </c>
      <c r="M81" s="144" t="s">
        <v>84</v>
      </c>
    </row>
    <row r="82" spans="1:13" ht="15.75" thickBot="1" x14ac:dyDescent="0.3">
      <c r="A82" s="225" t="s">
        <v>93</v>
      </c>
      <c r="B82" s="226"/>
      <c r="C82" s="226"/>
      <c r="D82" s="226"/>
      <c r="E82" s="226"/>
      <c r="F82" s="226"/>
      <c r="G82" s="226"/>
      <c r="H82" s="226"/>
      <c r="I82" s="226"/>
      <c r="J82" s="226"/>
      <c r="K82" s="226"/>
      <c r="L82" s="226"/>
      <c r="M82" s="227"/>
    </row>
    <row r="83" spans="1:13" ht="15.75" thickBot="1" x14ac:dyDescent="0.3">
      <c r="A83" s="222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4"/>
    </row>
    <row r="84" spans="1:13" ht="15.75" thickBot="1" x14ac:dyDescent="0.3">
      <c r="A84" s="145" t="s">
        <v>83</v>
      </c>
      <c r="B84" s="133">
        <v>831</v>
      </c>
      <c r="C84" s="133">
        <v>375</v>
      </c>
      <c r="D84" s="133">
        <v>115</v>
      </c>
      <c r="E84" s="133">
        <v>55</v>
      </c>
      <c r="F84" s="133">
        <v>792</v>
      </c>
      <c r="G84" s="133">
        <v>368</v>
      </c>
      <c r="H84" s="133">
        <v>114</v>
      </c>
      <c r="I84" s="133">
        <v>55</v>
      </c>
      <c r="J84" s="133">
        <v>39</v>
      </c>
      <c r="K84" s="133">
        <v>7</v>
      </c>
      <c r="L84" s="133">
        <v>1</v>
      </c>
      <c r="M84" s="146" t="s">
        <v>84</v>
      </c>
    </row>
    <row r="85" spans="1:13" ht="15.75" thickBot="1" x14ac:dyDescent="0.3">
      <c r="A85" s="143" t="s">
        <v>151</v>
      </c>
      <c r="B85" s="132">
        <v>23</v>
      </c>
      <c r="C85" s="132">
        <v>9</v>
      </c>
      <c r="D85" s="132" t="s">
        <v>84</v>
      </c>
      <c r="E85" s="132" t="s">
        <v>84</v>
      </c>
      <c r="F85" s="132">
        <v>23</v>
      </c>
      <c r="G85" s="132">
        <v>9</v>
      </c>
      <c r="H85" s="132" t="s">
        <v>84</v>
      </c>
      <c r="I85" s="132" t="s">
        <v>84</v>
      </c>
      <c r="J85" s="132" t="s">
        <v>84</v>
      </c>
      <c r="K85" s="132" t="s">
        <v>84</v>
      </c>
      <c r="L85" s="132" t="s">
        <v>84</v>
      </c>
      <c r="M85" s="144" t="s">
        <v>84</v>
      </c>
    </row>
    <row r="86" spans="1:13" ht="15.75" thickBot="1" x14ac:dyDescent="0.3">
      <c r="A86" s="145" t="s">
        <v>152</v>
      </c>
      <c r="B86" s="133">
        <v>16</v>
      </c>
      <c r="C86" s="133">
        <v>10</v>
      </c>
      <c r="D86" s="133" t="s">
        <v>84</v>
      </c>
      <c r="E86" s="133" t="s">
        <v>84</v>
      </c>
      <c r="F86" s="133">
        <v>15</v>
      </c>
      <c r="G86" s="133">
        <v>10</v>
      </c>
      <c r="H86" s="133" t="s">
        <v>84</v>
      </c>
      <c r="I86" s="133" t="s">
        <v>84</v>
      </c>
      <c r="J86" s="133">
        <v>1</v>
      </c>
      <c r="K86" s="133" t="s">
        <v>84</v>
      </c>
      <c r="L86" s="133" t="s">
        <v>84</v>
      </c>
      <c r="M86" s="146" t="s">
        <v>84</v>
      </c>
    </row>
    <row r="87" spans="1:13" ht="15.75" thickBot="1" x14ac:dyDescent="0.3">
      <c r="A87" s="143" t="s">
        <v>85</v>
      </c>
      <c r="B87" s="132">
        <v>501</v>
      </c>
      <c r="C87" s="132">
        <v>244</v>
      </c>
      <c r="D87" s="132">
        <v>41</v>
      </c>
      <c r="E87" s="132">
        <v>19</v>
      </c>
      <c r="F87" s="132">
        <v>481</v>
      </c>
      <c r="G87" s="132">
        <v>240</v>
      </c>
      <c r="H87" s="132">
        <v>41</v>
      </c>
      <c r="I87" s="132">
        <v>19</v>
      </c>
      <c r="J87" s="132">
        <v>20</v>
      </c>
      <c r="K87" s="132">
        <v>4</v>
      </c>
      <c r="L87" s="132" t="s">
        <v>84</v>
      </c>
      <c r="M87" s="144" t="s">
        <v>84</v>
      </c>
    </row>
    <row r="88" spans="1:13" ht="15.75" thickBot="1" x14ac:dyDescent="0.3">
      <c r="A88" s="145" t="s">
        <v>86</v>
      </c>
      <c r="B88" s="133">
        <v>207</v>
      </c>
      <c r="C88" s="133">
        <v>81</v>
      </c>
      <c r="D88" s="133">
        <v>49</v>
      </c>
      <c r="E88" s="133">
        <v>23</v>
      </c>
      <c r="F88" s="133">
        <v>198</v>
      </c>
      <c r="G88" s="133">
        <v>80</v>
      </c>
      <c r="H88" s="133">
        <v>48</v>
      </c>
      <c r="I88" s="133">
        <v>23</v>
      </c>
      <c r="J88" s="133">
        <v>9</v>
      </c>
      <c r="K88" s="133">
        <v>1</v>
      </c>
      <c r="L88" s="133">
        <v>1</v>
      </c>
      <c r="M88" s="146" t="s">
        <v>84</v>
      </c>
    </row>
    <row r="89" spans="1:13" ht="15.75" thickBot="1" x14ac:dyDescent="0.3">
      <c r="A89" s="143" t="s">
        <v>87</v>
      </c>
      <c r="B89" s="132">
        <v>84</v>
      </c>
      <c r="C89" s="132">
        <v>31</v>
      </c>
      <c r="D89" s="132">
        <v>25</v>
      </c>
      <c r="E89" s="132">
        <v>13</v>
      </c>
      <c r="F89" s="132">
        <v>75</v>
      </c>
      <c r="G89" s="132">
        <v>29</v>
      </c>
      <c r="H89" s="132">
        <v>25</v>
      </c>
      <c r="I89" s="132">
        <v>13</v>
      </c>
      <c r="J89" s="132">
        <v>9</v>
      </c>
      <c r="K89" s="132">
        <v>2</v>
      </c>
      <c r="L89" s="132" t="s">
        <v>84</v>
      </c>
      <c r="M89" s="144" t="s">
        <v>84</v>
      </c>
    </row>
    <row r="90" spans="1:13" ht="15.75" thickBot="1" x14ac:dyDescent="0.3">
      <c r="A90" s="145" t="s">
        <v>153</v>
      </c>
      <c r="B90" s="133">
        <v>22</v>
      </c>
      <c r="C90" s="133">
        <v>5</v>
      </c>
      <c r="D90" s="133">
        <v>3</v>
      </c>
      <c r="E90" s="133" t="s">
        <v>84</v>
      </c>
      <c r="F90" s="133">
        <v>16</v>
      </c>
      <c r="G90" s="133">
        <v>3</v>
      </c>
      <c r="H90" s="133">
        <v>3</v>
      </c>
      <c r="I90" s="133" t="s">
        <v>84</v>
      </c>
      <c r="J90" s="133">
        <v>6</v>
      </c>
      <c r="K90" s="133">
        <v>2</v>
      </c>
      <c r="L90" s="133" t="s">
        <v>84</v>
      </c>
      <c r="M90" s="146" t="s">
        <v>84</v>
      </c>
    </row>
    <row r="91" spans="1:13" ht="15.75" thickBot="1" x14ac:dyDescent="0.3">
      <c r="A91" s="143" t="s">
        <v>154</v>
      </c>
      <c r="B91" s="132">
        <v>19</v>
      </c>
      <c r="C91" s="132">
        <v>6</v>
      </c>
      <c r="D91" s="132">
        <v>3</v>
      </c>
      <c r="E91" s="132">
        <v>2</v>
      </c>
      <c r="F91" s="132">
        <v>19</v>
      </c>
      <c r="G91" s="132">
        <v>6</v>
      </c>
      <c r="H91" s="132">
        <v>3</v>
      </c>
      <c r="I91" s="132">
        <v>2</v>
      </c>
      <c r="J91" s="132" t="s">
        <v>84</v>
      </c>
      <c r="K91" s="132" t="s">
        <v>84</v>
      </c>
      <c r="L91" s="132" t="s">
        <v>84</v>
      </c>
      <c r="M91" s="144" t="s">
        <v>84</v>
      </c>
    </row>
    <row r="92" spans="1:13" ht="15.75" thickBot="1" x14ac:dyDescent="0.3">
      <c r="A92" s="225" t="s">
        <v>94</v>
      </c>
      <c r="B92" s="226"/>
      <c r="C92" s="226"/>
      <c r="D92" s="226"/>
      <c r="E92" s="226"/>
      <c r="F92" s="226"/>
      <c r="G92" s="226"/>
      <c r="H92" s="226"/>
      <c r="I92" s="226"/>
      <c r="J92" s="226"/>
      <c r="K92" s="226"/>
      <c r="L92" s="226"/>
      <c r="M92" s="227"/>
    </row>
    <row r="93" spans="1:13" ht="15.75" thickBot="1" x14ac:dyDescent="0.3">
      <c r="A93" s="222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4"/>
    </row>
    <row r="94" spans="1:13" ht="15.75" thickBot="1" x14ac:dyDescent="0.3">
      <c r="A94" s="145" t="s">
        <v>83</v>
      </c>
      <c r="B94" s="133">
        <v>454</v>
      </c>
      <c r="C94" s="133">
        <v>198</v>
      </c>
      <c r="D94" s="133">
        <v>26</v>
      </c>
      <c r="E94" s="133">
        <v>11</v>
      </c>
      <c r="F94" s="133">
        <v>454</v>
      </c>
      <c r="G94" s="133">
        <v>198</v>
      </c>
      <c r="H94" s="133">
        <v>26</v>
      </c>
      <c r="I94" s="133">
        <v>11</v>
      </c>
      <c r="J94" s="133" t="s">
        <v>84</v>
      </c>
      <c r="K94" s="133" t="s">
        <v>84</v>
      </c>
      <c r="L94" s="133" t="s">
        <v>84</v>
      </c>
      <c r="M94" s="146" t="s">
        <v>84</v>
      </c>
    </row>
    <row r="95" spans="1:13" ht="15.75" thickBot="1" x14ac:dyDescent="0.3">
      <c r="A95" s="143" t="s">
        <v>151</v>
      </c>
      <c r="B95" s="132">
        <v>36</v>
      </c>
      <c r="C95" s="132">
        <v>22</v>
      </c>
      <c r="D95" s="132">
        <v>2</v>
      </c>
      <c r="E95" s="132">
        <v>2</v>
      </c>
      <c r="F95" s="132">
        <v>36</v>
      </c>
      <c r="G95" s="132">
        <v>22</v>
      </c>
      <c r="H95" s="132">
        <v>2</v>
      </c>
      <c r="I95" s="132">
        <v>2</v>
      </c>
      <c r="J95" s="132" t="s">
        <v>84</v>
      </c>
      <c r="K95" s="132" t="s">
        <v>84</v>
      </c>
      <c r="L95" s="132" t="s">
        <v>84</v>
      </c>
      <c r="M95" s="144" t="s">
        <v>84</v>
      </c>
    </row>
    <row r="96" spans="1:13" ht="15.75" thickBot="1" x14ac:dyDescent="0.3">
      <c r="A96" s="145" t="s">
        <v>152</v>
      </c>
      <c r="B96" s="133">
        <v>13</v>
      </c>
      <c r="C96" s="133">
        <v>6</v>
      </c>
      <c r="D96" s="133">
        <v>2</v>
      </c>
      <c r="E96" s="133">
        <v>1</v>
      </c>
      <c r="F96" s="133">
        <v>13</v>
      </c>
      <c r="G96" s="133">
        <v>6</v>
      </c>
      <c r="H96" s="133">
        <v>2</v>
      </c>
      <c r="I96" s="133">
        <v>1</v>
      </c>
      <c r="J96" s="133" t="s">
        <v>84</v>
      </c>
      <c r="K96" s="133" t="s">
        <v>84</v>
      </c>
      <c r="L96" s="133" t="s">
        <v>84</v>
      </c>
      <c r="M96" s="146" t="s">
        <v>84</v>
      </c>
    </row>
    <row r="97" spans="1:13" ht="15.75" thickBot="1" x14ac:dyDescent="0.3">
      <c r="A97" s="143" t="s">
        <v>85</v>
      </c>
      <c r="B97" s="132">
        <v>269</v>
      </c>
      <c r="C97" s="132">
        <v>111</v>
      </c>
      <c r="D97" s="132">
        <v>10</v>
      </c>
      <c r="E97" s="132">
        <v>4</v>
      </c>
      <c r="F97" s="132">
        <v>269</v>
      </c>
      <c r="G97" s="132">
        <v>111</v>
      </c>
      <c r="H97" s="132">
        <v>10</v>
      </c>
      <c r="I97" s="132">
        <v>4</v>
      </c>
      <c r="J97" s="132" t="s">
        <v>84</v>
      </c>
      <c r="K97" s="132" t="s">
        <v>84</v>
      </c>
      <c r="L97" s="132" t="s">
        <v>84</v>
      </c>
      <c r="M97" s="144" t="s">
        <v>84</v>
      </c>
    </row>
    <row r="98" spans="1:13" ht="15.75" thickBot="1" x14ac:dyDescent="0.3">
      <c r="A98" s="145" t="s">
        <v>86</v>
      </c>
      <c r="B98" s="133">
        <v>88</v>
      </c>
      <c r="C98" s="133">
        <v>42</v>
      </c>
      <c r="D98" s="133">
        <v>5</v>
      </c>
      <c r="E98" s="133">
        <v>2</v>
      </c>
      <c r="F98" s="133">
        <v>88</v>
      </c>
      <c r="G98" s="133">
        <v>42</v>
      </c>
      <c r="H98" s="133">
        <v>5</v>
      </c>
      <c r="I98" s="133">
        <v>2</v>
      </c>
      <c r="J98" s="133" t="s">
        <v>84</v>
      </c>
      <c r="K98" s="133" t="s">
        <v>84</v>
      </c>
      <c r="L98" s="133" t="s">
        <v>84</v>
      </c>
      <c r="M98" s="146" t="s">
        <v>84</v>
      </c>
    </row>
    <row r="99" spans="1:13" ht="15.75" thickBot="1" x14ac:dyDescent="0.3">
      <c r="A99" s="143" t="s">
        <v>87</v>
      </c>
      <c r="B99" s="132">
        <v>48</v>
      </c>
      <c r="C99" s="132">
        <v>17</v>
      </c>
      <c r="D99" s="132">
        <v>7</v>
      </c>
      <c r="E99" s="132">
        <v>2</v>
      </c>
      <c r="F99" s="132">
        <v>48</v>
      </c>
      <c r="G99" s="132">
        <v>17</v>
      </c>
      <c r="H99" s="132">
        <v>7</v>
      </c>
      <c r="I99" s="132">
        <v>2</v>
      </c>
      <c r="J99" s="132" t="s">
        <v>84</v>
      </c>
      <c r="K99" s="132" t="s">
        <v>84</v>
      </c>
      <c r="L99" s="132" t="s">
        <v>84</v>
      </c>
      <c r="M99" s="144" t="s">
        <v>84</v>
      </c>
    </row>
    <row r="100" spans="1:13" ht="15.75" thickBot="1" x14ac:dyDescent="0.3">
      <c r="A100" s="145" t="s">
        <v>153</v>
      </c>
      <c r="B100" s="133">
        <v>7</v>
      </c>
      <c r="C100" s="133">
        <v>2</v>
      </c>
      <c r="D100" s="133" t="s">
        <v>84</v>
      </c>
      <c r="E100" s="133" t="s">
        <v>84</v>
      </c>
      <c r="F100" s="133">
        <v>7</v>
      </c>
      <c r="G100" s="133">
        <v>2</v>
      </c>
      <c r="H100" s="133" t="s">
        <v>84</v>
      </c>
      <c r="I100" s="133" t="s">
        <v>84</v>
      </c>
      <c r="J100" s="133" t="s">
        <v>84</v>
      </c>
      <c r="K100" s="133" t="s">
        <v>84</v>
      </c>
      <c r="L100" s="133" t="s">
        <v>84</v>
      </c>
      <c r="M100" s="146" t="s">
        <v>84</v>
      </c>
    </row>
    <row r="101" spans="1:13" ht="15.75" thickBot="1" x14ac:dyDescent="0.3">
      <c r="A101" s="143" t="s">
        <v>154</v>
      </c>
      <c r="B101" s="132">
        <v>14</v>
      </c>
      <c r="C101" s="132">
        <v>4</v>
      </c>
      <c r="D101" s="132">
        <v>2</v>
      </c>
      <c r="E101" s="132" t="s">
        <v>84</v>
      </c>
      <c r="F101" s="132">
        <v>14</v>
      </c>
      <c r="G101" s="132">
        <v>4</v>
      </c>
      <c r="H101" s="132">
        <v>2</v>
      </c>
      <c r="I101" s="132" t="s">
        <v>84</v>
      </c>
      <c r="J101" s="132" t="s">
        <v>84</v>
      </c>
      <c r="K101" s="132" t="s">
        <v>84</v>
      </c>
      <c r="L101" s="132" t="s">
        <v>84</v>
      </c>
      <c r="M101" s="144" t="s">
        <v>84</v>
      </c>
    </row>
    <row r="102" spans="1:13" ht="15.75" thickBot="1" x14ac:dyDescent="0.3">
      <c r="A102" s="225" t="s">
        <v>95</v>
      </c>
      <c r="B102" s="226"/>
      <c r="C102" s="226"/>
      <c r="D102" s="226"/>
      <c r="E102" s="226"/>
      <c r="F102" s="226"/>
      <c r="G102" s="226"/>
      <c r="H102" s="226"/>
      <c r="I102" s="226"/>
      <c r="J102" s="226"/>
      <c r="K102" s="226"/>
      <c r="L102" s="226"/>
      <c r="M102" s="227"/>
    </row>
    <row r="103" spans="1:13" ht="15.75" thickBot="1" x14ac:dyDescent="0.3">
      <c r="A103" s="222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4"/>
    </row>
    <row r="104" spans="1:13" ht="15.75" thickBot="1" x14ac:dyDescent="0.3">
      <c r="A104" s="145" t="s">
        <v>83</v>
      </c>
      <c r="B104" s="133">
        <v>1019</v>
      </c>
      <c r="C104" s="133">
        <v>450</v>
      </c>
      <c r="D104" s="133">
        <v>71</v>
      </c>
      <c r="E104" s="133">
        <v>30</v>
      </c>
      <c r="F104" s="133">
        <v>987</v>
      </c>
      <c r="G104" s="133">
        <v>437</v>
      </c>
      <c r="H104" s="133">
        <v>71</v>
      </c>
      <c r="I104" s="133">
        <v>30</v>
      </c>
      <c r="J104" s="133">
        <v>32</v>
      </c>
      <c r="K104" s="133">
        <v>13</v>
      </c>
      <c r="L104" s="133" t="s">
        <v>84</v>
      </c>
      <c r="M104" s="146" t="s">
        <v>84</v>
      </c>
    </row>
    <row r="105" spans="1:13" ht="15.75" thickBot="1" x14ac:dyDescent="0.3">
      <c r="A105" s="143" t="s">
        <v>151</v>
      </c>
      <c r="B105" s="132">
        <v>92</v>
      </c>
      <c r="C105" s="132">
        <v>41</v>
      </c>
      <c r="D105" s="132" t="s">
        <v>84</v>
      </c>
      <c r="E105" s="132" t="s">
        <v>84</v>
      </c>
      <c r="F105" s="132">
        <v>92</v>
      </c>
      <c r="G105" s="132">
        <v>41</v>
      </c>
      <c r="H105" s="132" t="s">
        <v>84</v>
      </c>
      <c r="I105" s="132" t="s">
        <v>84</v>
      </c>
      <c r="J105" s="132" t="s">
        <v>84</v>
      </c>
      <c r="K105" s="132" t="s">
        <v>84</v>
      </c>
      <c r="L105" s="132" t="s">
        <v>84</v>
      </c>
      <c r="M105" s="144" t="s">
        <v>84</v>
      </c>
    </row>
    <row r="106" spans="1:13" ht="15.75" thickBot="1" x14ac:dyDescent="0.3">
      <c r="A106" s="145" t="s">
        <v>152</v>
      </c>
      <c r="B106" s="133">
        <v>9</v>
      </c>
      <c r="C106" s="133">
        <v>6</v>
      </c>
      <c r="D106" s="133" t="s">
        <v>84</v>
      </c>
      <c r="E106" s="133" t="s">
        <v>84</v>
      </c>
      <c r="F106" s="133">
        <v>7</v>
      </c>
      <c r="G106" s="133">
        <v>5</v>
      </c>
      <c r="H106" s="133" t="s">
        <v>84</v>
      </c>
      <c r="I106" s="133" t="s">
        <v>84</v>
      </c>
      <c r="J106" s="133">
        <v>2</v>
      </c>
      <c r="K106" s="133">
        <v>1</v>
      </c>
      <c r="L106" s="133" t="s">
        <v>84</v>
      </c>
      <c r="M106" s="146" t="s">
        <v>84</v>
      </c>
    </row>
    <row r="107" spans="1:13" ht="15.75" thickBot="1" x14ac:dyDescent="0.3">
      <c r="A107" s="143" t="s">
        <v>85</v>
      </c>
      <c r="B107" s="132">
        <v>698</v>
      </c>
      <c r="C107" s="132">
        <v>315</v>
      </c>
      <c r="D107" s="132">
        <v>34</v>
      </c>
      <c r="E107" s="132">
        <v>16</v>
      </c>
      <c r="F107" s="132">
        <v>676</v>
      </c>
      <c r="G107" s="132">
        <v>305</v>
      </c>
      <c r="H107" s="132">
        <v>34</v>
      </c>
      <c r="I107" s="132">
        <v>16</v>
      </c>
      <c r="J107" s="132">
        <v>22</v>
      </c>
      <c r="K107" s="132">
        <v>10</v>
      </c>
      <c r="L107" s="132" t="s">
        <v>84</v>
      </c>
      <c r="M107" s="144" t="s">
        <v>84</v>
      </c>
    </row>
    <row r="108" spans="1:13" ht="15.75" thickBot="1" x14ac:dyDescent="0.3">
      <c r="A108" s="145" t="s">
        <v>86</v>
      </c>
      <c r="B108" s="133">
        <v>159</v>
      </c>
      <c r="C108" s="133">
        <v>64</v>
      </c>
      <c r="D108" s="133">
        <v>25</v>
      </c>
      <c r="E108" s="133">
        <v>11</v>
      </c>
      <c r="F108" s="133">
        <v>158</v>
      </c>
      <c r="G108" s="133">
        <v>64</v>
      </c>
      <c r="H108" s="133">
        <v>25</v>
      </c>
      <c r="I108" s="133">
        <v>11</v>
      </c>
      <c r="J108" s="133">
        <v>1</v>
      </c>
      <c r="K108" s="133" t="s">
        <v>84</v>
      </c>
      <c r="L108" s="133" t="s">
        <v>84</v>
      </c>
      <c r="M108" s="146" t="s">
        <v>84</v>
      </c>
    </row>
    <row r="109" spans="1:13" ht="15.75" thickBot="1" x14ac:dyDescent="0.3">
      <c r="A109" s="143" t="s">
        <v>87</v>
      </c>
      <c r="B109" s="132">
        <v>61</v>
      </c>
      <c r="C109" s="132">
        <v>24</v>
      </c>
      <c r="D109" s="132">
        <v>12</v>
      </c>
      <c r="E109" s="132">
        <v>3</v>
      </c>
      <c r="F109" s="132">
        <v>54</v>
      </c>
      <c r="G109" s="132">
        <v>22</v>
      </c>
      <c r="H109" s="132">
        <v>12</v>
      </c>
      <c r="I109" s="132">
        <v>3</v>
      </c>
      <c r="J109" s="132">
        <v>7</v>
      </c>
      <c r="K109" s="132">
        <v>2</v>
      </c>
      <c r="L109" s="132" t="s">
        <v>84</v>
      </c>
      <c r="M109" s="144" t="s">
        <v>84</v>
      </c>
    </row>
    <row r="110" spans="1:13" ht="15.75" thickBot="1" x14ac:dyDescent="0.3">
      <c r="A110" s="145" t="s">
        <v>153</v>
      </c>
      <c r="B110" s="133">
        <v>24</v>
      </c>
      <c r="C110" s="133">
        <v>8</v>
      </c>
      <c r="D110" s="133">
        <v>4</v>
      </c>
      <c r="E110" s="133">
        <v>1</v>
      </c>
      <c r="F110" s="133">
        <v>23</v>
      </c>
      <c r="G110" s="133">
        <v>8</v>
      </c>
      <c r="H110" s="133">
        <v>4</v>
      </c>
      <c r="I110" s="133">
        <v>1</v>
      </c>
      <c r="J110" s="133">
        <v>1</v>
      </c>
      <c r="K110" s="133" t="s">
        <v>84</v>
      </c>
      <c r="L110" s="133" t="s">
        <v>84</v>
      </c>
      <c r="M110" s="146" t="s">
        <v>84</v>
      </c>
    </row>
    <row r="111" spans="1:13" ht="15.75" thickBot="1" x14ac:dyDescent="0.3">
      <c r="A111" s="143" t="s">
        <v>154</v>
      </c>
      <c r="B111" s="132">
        <v>10</v>
      </c>
      <c r="C111" s="132">
        <v>5</v>
      </c>
      <c r="D111" s="132">
        <v>2</v>
      </c>
      <c r="E111" s="132">
        <v>1</v>
      </c>
      <c r="F111" s="132">
        <v>10</v>
      </c>
      <c r="G111" s="132">
        <v>5</v>
      </c>
      <c r="H111" s="132">
        <v>2</v>
      </c>
      <c r="I111" s="132">
        <v>1</v>
      </c>
      <c r="J111" s="132" t="s">
        <v>84</v>
      </c>
      <c r="K111" s="132" t="s">
        <v>84</v>
      </c>
      <c r="L111" s="132" t="s">
        <v>84</v>
      </c>
      <c r="M111" s="144" t="s">
        <v>84</v>
      </c>
    </row>
    <row r="112" spans="1:13" ht="15.75" thickBot="1" x14ac:dyDescent="0.3">
      <c r="A112" s="225" t="s">
        <v>96</v>
      </c>
      <c r="B112" s="226"/>
      <c r="C112" s="226"/>
      <c r="D112" s="226"/>
      <c r="E112" s="226"/>
      <c r="F112" s="226"/>
      <c r="G112" s="226"/>
      <c r="H112" s="226"/>
      <c r="I112" s="226"/>
      <c r="J112" s="226"/>
      <c r="K112" s="226"/>
      <c r="L112" s="226"/>
      <c r="M112" s="227"/>
    </row>
    <row r="113" spans="1:13" ht="15.75" thickBot="1" x14ac:dyDescent="0.3">
      <c r="A113" s="222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4"/>
    </row>
    <row r="114" spans="1:13" ht="15.75" thickBot="1" x14ac:dyDescent="0.3">
      <c r="A114" s="145" t="s">
        <v>83</v>
      </c>
      <c r="B114" s="133">
        <v>997</v>
      </c>
      <c r="C114" s="133">
        <v>477</v>
      </c>
      <c r="D114" s="133">
        <v>117</v>
      </c>
      <c r="E114" s="133">
        <v>63</v>
      </c>
      <c r="F114" s="133">
        <v>997</v>
      </c>
      <c r="G114" s="133">
        <v>477</v>
      </c>
      <c r="H114" s="133">
        <v>117</v>
      </c>
      <c r="I114" s="133">
        <v>63</v>
      </c>
      <c r="J114" s="133" t="s">
        <v>84</v>
      </c>
      <c r="K114" s="133" t="s">
        <v>84</v>
      </c>
      <c r="L114" s="133" t="s">
        <v>84</v>
      </c>
      <c r="M114" s="146" t="s">
        <v>84</v>
      </c>
    </row>
    <row r="115" spans="1:13" ht="15.75" thickBot="1" x14ac:dyDescent="0.3">
      <c r="A115" s="143" t="s">
        <v>151</v>
      </c>
      <c r="B115" s="132">
        <v>133</v>
      </c>
      <c r="C115" s="132">
        <v>76</v>
      </c>
      <c r="D115" s="132" t="s">
        <v>84</v>
      </c>
      <c r="E115" s="132" t="s">
        <v>84</v>
      </c>
      <c r="F115" s="132">
        <v>133</v>
      </c>
      <c r="G115" s="132">
        <v>76</v>
      </c>
      <c r="H115" s="132" t="s">
        <v>84</v>
      </c>
      <c r="I115" s="132" t="s">
        <v>84</v>
      </c>
      <c r="J115" s="132" t="s">
        <v>84</v>
      </c>
      <c r="K115" s="132" t="s">
        <v>84</v>
      </c>
      <c r="L115" s="132" t="s">
        <v>84</v>
      </c>
      <c r="M115" s="144" t="s">
        <v>84</v>
      </c>
    </row>
    <row r="116" spans="1:13" ht="15.75" thickBot="1" x14ac:dyDescent="0.3">
      <c r="A116" s="145" t="s">
        <v>152</v>
      </c>
      <c r="B116" s="133">
        <v>44</v>
      </c>
      <c r="C116" s="133">
        <v>22</v>
      </c>
      <c r="D116" s="133">
        <v>3</v>
      </c>
      <c r="E116" s="133">
        <v>3</v>
      </c>
      <c r="F116" s="133">
        <v>44</v>
      </c>
      <c r="G116" s="133">
        <v>22</v>
      </c>
      <c r="H116" s="133">
        <v>3</v>
      </c>
      <c r="I116" s="133">
        <v>3</v>
      </c>
      <c r="J116" s="133" t="s">
        <v>84</v>
      </c>
      <c r="K116" s="133" t="s">
        <v>84</v>
      </c>
      <c r="L116" s="133" t="s">
        <v>84</v>
      </c>
      <c r="M116" s="146" t="s">
        <v>84</v>
      </c>
    </row>
    <row r="117" spans="1:13" ht="15.75" thickBot="1" x14ac:dyDescent="0.3">
      <c r="A117" s="143" t="s">
        <v>85</v>
      </c>
      <c r="B117" s="132">
        <v>652</v>
      </c>
      <c r="C117" s="132">
        <v>307</v>
      </c>
      <c r="D117" s="132">
        <v>93</v>
      </c>
      <c r="E117" s="132">
        <v>49</v>
      </c>
      <c r="F117" s="132">
        <v>652</v>
      </c>
      <c r="G117" s="132">
        <v>307</v>
      </c>
      <c r="H117" s="132">
        <v>93</v>
      </c>
      <c r="I117" s="132">
        <v>49</v>
      </c>
      <c r="J117" s="132" t="s">
        <v>84</v>
      </c>
      <c r="K117" s="132" t="s">
        <v>84</v>
      </c>
      <c r="L117" s="132" t="s">
        <v>84</v>
      </c>
      <c r="M117" s="144" t="s">
        <v>84</v>
      </c>
    </row>
    <row r="118" spans="1:13" ht="15.75" thickBot="1" x14ac:dyDescent="0.3">
      <c r="A118" s="145" t="s">
        <v>86</v>
      </c>
      <c r="B118" s="133">
        <v>127</v>
      </c>
      <c r="C118" s="133">
        <v>60</v>
      </c>
      <c r="D118" s="133">
        <v>10</v>
      </c>
      <c r="E118" s="133">
        <v>7</v>
      </c>
      <c r="F118" s="133">
        <v>127</v>
      </c>
      <c r="G118" s="133">
        <v>60</v>
      </c>
      <c r="H118" s="133">
        <v>10</v>
      </c>
      <c r="I118" s="133">
        <v>7</v>
      </c>
      <c r="J118" s="133" t="s">
        <v>84</v>
      </c>
      <c r="K118" s="133" t="s">
        <v>84</v>
      </c>
      <c r="L118" s="133" t="s">
        <v>84</v>
      </c>
      <c r="M118" s="146" t="s">
        <v>84</v>
      </c>
    </row>
    <row r="119" spans="1:13" ht="15.75" thickBot="1" x14ac:dyDescent="0.3">
      <c r="A119" s="143" t="s">
        <v>87</v>
      </c>
      <c r="B119" s="132">
        <v>41</v>
      </c>
      <c r="C119" s="132">
        <v>12</v>
      </c>
      <c r="D119" s="132">
        <v>11</v>
      </c>
      <c r="E119" s="132">
        <v>4</v>
      </c>
      <c r="F119" s="132">
        <v>41</v>
      </c>
      <c r="G119" s="132">
        <v>12</v>
      </c>
      <c r="H119" s="132">
        <v>11</v>
      </c>
      <c r="I119" s="132">
        <v>4</v>
      </c>
      <c r="J119" s="132" t="s">
        <v>84</v>
      </c>
      <c r="K119" s="132" t="s">
        <v>84</v>
      </c>
      <c r="L119" s="132" t="s">
        <v>84</v>
      </c>
      <c r="M119" s="144" t="s">
        <v>84</v>
      </c>
    </row>
    <row r="120" spans="1:13" ht="15.75" thickBot="1" x14ac:dyDescent="0.3">
      <c r="A120" s="145" t="s">
        <v>153</v>
      </c>
      <c r="B120" s="133">
        <v>2</v>
      </c>
      <c r="C120" s="133">
        <v>1</v>
      </c>
      <c r="D120" s="133">
        <v>1</v>
      </c>
      <c r="E120" s="133">
        <v>1</v>
      </c>
      <c r="F120" s="133">
        <v>2</v>
      </c>
      <c r="G120" s="133">
        <v>1</v>
      </c>
      <c r="H120" s="133">
        <v>1</v>
      </c>
      <c r="I120" s="133">
        <v>1</v>
      </c>
      <c r="J120" s="133" t="s">
        <v>84</v>
      </c>
      <c r="K120" s="133" t="s">
        <v>84</v>
      </c>
      <c r="L120" s="133" t="s">
        <v>84</v>
      </c>
      <c r="M120" s="146" t="s">
        <v>84</v>
      </c>
    </row>
    <row r="121" spans="1:13" ht="15.75" thickBot="1" x14ac:dyDescent="0.3">
      <c r="A121" s="143" t="s">
        <v>154</v>
      </c>
      <c r="B121" s="132">
        <v>13</v>
      </c>
      <c r="C121" s="132">
        <v>1</v>
      </c>
      <c r="D121" s="132" t="s">
        <v>84</v>
      </c>
      <c r="E121" s="132" t="s">
        <v>84</v>
      </c>
      <c r="F121" s="132">
        <v>13</v>
      </c>
      <c r="G121" s="132">
        <v>1</v>
      </c>
      <c r="H121" s="132" t="s">
        <v>84</v>
      </c>
      <c r="I121" s="132" t="s">
        <v>84</v>
      </c>
      <c r="J121" s="132" t="s">
        <v>84</v>
      </c>
      <c r="K121" s="132" t="s">
        <v>84</v>
      </c>
      <c r="L121" s="132" t="s">
        <v>84</v>
      </c>
      <c r="M121" s="144" t="s">
        <v>84</v>
      </c>
    </row>
    <row r="122" spans="1:13" ht="15.75" thickBot="1" x14ac:dyDescent="0.3">
      <c r="A122" s="225" t="s">
        <v>97</v>
      </c>
      <c r="B122" s="226"/>
      <c r="C122" s="226"/>
      <c r="D122" s="226"/>
      <c r="E122" s="226"/>
      <c r="F122" s="226"/>
      <c r="G122" s="226"/>
      <c r="H122" s="226"/>
      <c r="I122" s="226"/>
      <c r="J122" s="226"/>
      <c r="K122" s="226"/>
      <c r="L122" s="226"/>
      <c r="M122" s="227"/>
    </row>
    <row r="123" spans="1:13" ht="15.75" thickBot="1" x14ac:dyDescent="0.3">
      <c r="A123" s="222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4"/>
    </row>
    <row r="124" spans="1:13" ht="15.75" thickBot="1" x14ac:dyDescent="0.3">
      <c r="A124" s="145" t="s">
        <v>83</v>
      </c>
      <c r="B124" s="133">
        <v>727</v>
      </c>
      <c r="C124" s="133">
        <v>334</v>
      </c>
      <c r="D124" s="133">
        <v>64</v>
      </c>
      <c r="E124" s="133">
        <v>26</v>
      </c>
      <c r="F124" s="133">
        <v>715</v>
      </c>
      <c r="G124" s="133">
        <v>327</v>
      </c>
      <c r="H124" s="133">
        <v>64</v>
      </c>
      <c r="I124" s="133">
        <v>26</v>
      </c>
      <c r="J124" s="133">
        <v>12</v>
      </c>
      <c r="K124" s="133">
        <v>7</v>
      </c>
      <c r="L124" s="133" t="s">
        <v>84</v>
      </c>
      <c r="M124" s="146" t="s">
        <v>84</v>
      </c>
    </row>
    <row r="125" spans="1:13" ht="15.75" thickBot="1" x14ac:dyDescent="0.3">
      <c r="A125" s="143" t="s">
        <v>151</v>
      </c>
      <c r="B125" s="132">
        <v>87</v>
      </c>
      <c r="C125" s="132">
        <v>47</v>
      </c>
      <c r="D125" s="132" t="s">
        <v>84</v>
      </c>
      <c r="E125" s="132" t="s">
        <v>84</v>
      </c>
      <c r="F125" s="132">
        <v>87</v>
      </c>
      <c r="G125" s="132">
        <v>47</v>
      </c>
      <c r="H125" s="132" t="s">
        <v>84</v>
      </c>
      <c r="I125" s="132" t="s">
        <v>84</v>
      </c>
      <c r="J125" s="132" t="s">
        <v>84</v>
      </c>
      <c r="K125" s="132" t="s">
        <v>84</v>
      </c>
      <c r="L125" s="132" t="s">
        <v>84</v>
      </c>
      <c r="M125" s="144" t="s">
        <v>84</v>
      </c>
    </row>
    <row r="126" spans="1:13" ht="15.75" thickBot="1" x14ac:dyDescent="0.3">
      <c r="A126" s="145" t="s">
        <v>152</v>
      </c>
      <c r="B126" s="133">
        <v>23</v>
      </c>
      <c r="C126" s="133">
        <v>15</v>
      </c>
      <c r="D126" s="133" t="s">
        <v>84</v>
      </c>
      <c r="E126" s="133" t="s">
        <v>84</v>
      </c>
      <c r="F126" s="133">
        <v>23</v>
      </c>
      <c r="G126" s="133">
        <v>15</v>
      </c>
      <c r="H126" s="133" t="s">
        <v>84</v>
      </c>
      <c r="I126" s="133" t="s">
        <v>84</v>
      </c>
      <c r="J126" s="133" t="s">
        <v>84</v>
      </c>
      <c r="K126" s="133" t="s">
        <v>84</v>
      </c>
      <c r="L126" s="133" t="s">
        <v>84</v>
      </c>
      <c r="M126" s="146" t="s">
        <v>84</v>
      </c>
    </row>
    <row r="127" spans="1:13" ht="15.75" thickBot="1" x14ac:dyDescent="0.3">
      <c r="A127" s="143" t="s">
        <v>85</v>
      </c>
      <c r="B127" s="132">
        <v>449</v>
      </c>
      <c r="C127" s="132">
        <v>205</v>
      </c>
      <c r="D127" s="132">
        <v>36</v>
      </c>
      <c r="E127" s="132">
        <v>17</v>
      </c>
      <c r="F127" s="132">
        <v>444</v>
      </c>
      <c r="G127" s="132">
        <v>202</v>
      </c>
      <c r="H127" s="132">
        <v>36</v>
      </c>
      <c r="I127" s="132">
        <v>17</v>
      </c>
      <c r="J127" s="132">
        <v>5</v>
      </c>
      <c r="K127" s="132">
        <v>3</v>
      </c>
      <c r="L127" s="132" t="s">
        <v>84</v>
      </c>
      <c r="M127" s="144" t="s">
        <v>84</v>
      </c>
    </row>
    <row r="128" spans="1:13" ht="15.75" thickBot="1" x14ac:dyDescent="0.3">
      <c r="A128" s="145" t="s">
        <v>86</v>
      </c>
      <c r="B128" s="133">
        <v>128</v>
      </c>
      <c r="C128" s="133">
        <v>53</v>
      </c>
      <c r="D128" s="133">
        <v>22</v>
      </c>
      <c r="E128" s="133">
        <v>8</v>
      </c>
      <c r="F128" s="133">
        <v>124</v>
      </c>
      <c r="G128" s="133">
        <v>50</v>
      </c>
      <c r="H128" s="133">
        <v>22</v>
      </c>
      <c r="I128" s="133">
        <v>8</v>
      </c>
      <c r="J128" s="133">
        <v>4</v>
      </c>
      <c r="K128" s="133">
        <v>3</v>
      </c>
      <c r="L128" s="133" t="s">
        <v>84</v>
      </c>
      <c r="M128" s="146" t="s">
        <v>84</v>
      </c>
    </row>
    <row r="129" spans="1:13" ht="15.75" thickBot="1" x14ac:dyDescent="0.3">
      <c r="A129" s="143" t="s">
        <v>87</v>
      </c>
      <c r="B129" s="132">
        <v>40</v>
      </c>
      <c r="C129" s="132">
        <v>14</v>
      </c>
      <c r="D129" s="132">
        <v>6</v>
      </c>
      <c r="E129" s="132">
        <v>1</v>
      </c>
      <c r="F129" s="132">
        <v>37</v>
      </c>
      <c r="G129" s="132">
        <v>13</v>
      </c>
      <c r="H129" s="132">
        <v>6</v>
      </c>
      <c r="I129" s="132">
        <v>1</v>
      </c>
      <c r="J129" s="132">
        <v>3</v>
      </c>
      <c r="K129" s="132">
        <v>1</v>
      </c>
      <c r="L129" s="132" t="s">
        <v>84</v>
      </c>
      <c r="M129" s="144" t="s">
        <v>84</v>
      </c>
    </row>
    <row r="130" spans="1:13" ht="15.75" thickBot="1" x14ac:dyDescent="0.3">
      <c r="A130" s="145" t="s">
        <v>153</v>
      </c>
      <c r="B130" s="133">
        <v>6</v>
      </c>
      <c r="C130" s="133">
        <v>1</v>
      </c>
      <c r="D130" s="133">
        <v>2</v>
      </c>
      <c r="E130" s="133">
        <v>1</v>
      </c>
      <c r="F130" s="133">
        <v>6</v>
      </c>
      <c r="G130" s="133">
        <v>1</v>
      </c>
      <c r="H130" s="133">
        <v>2</v>
      </c>
      <c r="I130" s="133">
        <v>1</v>
      </c>
      <c r="J130" s="133" t="s">
        <v>84</v>
      </c>
      <c r="K130" s="133" t="s">
        <v>84</v>
      </c>
      <c r="L130" s="133" t="s">
        <v>84</v>
      </c>
      <c r="M130" s="146" t="s">
        <v>84</v>
      </c>
    </row>
    <row r="131" spans="1:13" ht="15.75" thickBot="1" x14ac:dyDescent="0.3">
      <c r="A131" s="143" t="s">
        <v>154</v>
      </c>
      <c r="B131" s="132">
        <v>15</v>
      </c>
      <c r="C131" s="132">
        <v>7</v>
      </c>
      <c r="D131" s="132" t="s">
        <v>84</v>
      </c>
      <c r="E131" s="132" t="s">
        <v>84</v>
      </c>
      <c r="F131" s="132">
        <v>15</v>
      </c>
      <c r="G131" s="132">
        <v>7</v>
      </c>
      <c r="H131" s="132" t="s">
        <v>84</v>
      </c>
      <c r="I131" s="132" t="s">
        <v>84</v>
      </c>
      <c r="J131" s="132" t="s">
        <v>84</v>
      </c>
      <c r="K131" s="132" t="s">
        <v>84</v>
      </c>
      <c r="L131" s="132" t="s">
        <v>84</v>
      </c>
      <c r="M131" s="144" t="s">
        <v>84</v>
      </c>
    </row>
    <row r="132" spans="1:13" ht="15.75" thickBot="1" x14ac:dyDescent="0.3">
      <c r="A132" s="225" t="s">
        <v>98</v>
      </c>
      <c r="B132" s="226"/>
      <c r="C132" s="226"/>
      <c r="D132" s="226"/>
      <c r="E132" s="226"/>
      <c r="F132" s="226"/>
      <c r="G132" s="226"/>
      <c r="H132" s="226"/>
      <c r="I132" s="226"/>
      <c r="J132" s="226"/>
      <c r="K132" s="226"/>
      <c r="L132" s="226"/>
      <c r="M132" s="227"/>
    </row>
    <row r="133" spans="1:13" ht="15.75" thickBot="1" x14ac:dyDescent="0.3">
      <c r="A133" s="222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4"/>
    </row>
    <row r="134" spans="1:13" ht="15.75" thickBot="1" x14ac:dyDescent="0.3">
      <c r="A134" s="145" t="s">
        <v>83</v>
      </c>
      <c r="B134" s="133">
        <v>1813</v>
      </c>
      <c r="C134" s="133">
        <v>833</v>
      </c>
      <c r="D134" s="133">
        <v>168</v>
      </c>
      <c r="E134" s="133">
        <v>66</v>
      </c>
      <c r="F134" s="133">
        <v>1638</v>
      </c>
      <c r="G134" s="133">
        <v>762</v>
      </c>
      <c r="H134" s="133">
        <v>148</v>
      </c>
      <c r="I134" s="133">
        <v>58</v>
      </c>
      <c r="J134" s="133">
        <v>175</v>
      </c>
      <c r="K134" s="133">
        <v>71</v>
      </c>
      <c r="L134" s="133">
        <v>20</v>
      </c>
      <c r="M134" s="146">
        <v>8</v>
      </c>
    </row>
    <row r="135" spans="1:13" ht="15.75" thickBot="1" x14ac:dyDescent="0.3">
      <c r="A135" s="143" t="s">
        <v>151</v>
      </c>
      <c r="B135" s="132">
        <v>320</v>
      </c>
      <c r="C135" s="132">
        <v>168</v>
      </c>
      <c r="D135" s="132">
        <v>18</v>
      </c>
      <c r="E135" s="132">
        <v>6</v>
      </c>
      <c r="F135" s="132">
        <v>306</v>
      </c>
      <c r="G135" s="132">
        <v>161</v>
      </c>
      <c r="H135" s="132">
        <v>17</v>
      </c>
      <c r="I135" s="132">
        <v>6</v>
      </c>
      <c r="J135" s="132">
        <v>14</v>
      </c>
      <c r="K135" s="132">
        <v>7</v>
      </c>
      <c r="L135" s="132">
        <v>1</v>
      </c>
      <c r="M135" s="144" t="s">
        <v>84</v>
      </c>
    </row>
    <row r="136" spans="1:13" ht="15.75" thickBot="1" x14ac:dyDescent="0.3">
      <c r="A136" s="145" t="s">
        <v>152</v>
      </c>
      <c r="B136" s="133">
        <v>52</v>
      </c>
      <c r="C136" s="133">
        <v>29</v>
      </c>
      <c r="D136" s="133">
        <v>6</v>
      </c>
      <c r="E136" s="133">
        <v>2</v>
      </c>
      <c r="F136" s="133">
        <v>48</v>
      </c>
      <c r="G136" s="133">
        <v>26</v>
      </c>
      <c r="H136" s="133">
        <v>4</v>
      </c>
      <c r="I136" s="133">
        <v>1</v>
      </c>
      <c r="J136" s="133">
        <v>4</v>
      </c>
      <c r="K136" s="133">
        <v>3</v>
      </c>
      <c r="L136" s="133">
        <v>2</v>
      </c>
      <c r="M136" s="146">
        <v>1</v>
      </c>
    </row>
    <row r="137" spans="1:13" ht="15.75" thickBot="1" x14ac:dyDescent="0.3">
      <c r="A137" s="143" t="s">
        <v>85</v>
      </c>
      <c r="B137" s="132">
        <v>1005</v>
      </c>
      <c r="C137" s="132">
        <v>472</v>
      </c>
      <c r="D137" s="132">
        <v>70</v>
      </c>
      <c r="E137" s="132">
        <v>30</v>
      </c>
      <c r="F137" s="132">
        <v>908</v>
      </c>
      <c r="G137" s="132">
        <v>421</v>
      </c>
      <c r="H137" s="132">
        <v>59</v>
      </c>
      <c r="I137" s="132">
        <v>24</v>
      </c>
      <c r="J137" s="132">
        <v>97</v>
      </c>
      <c r="K137" s="132">
        <v>51</v>
      </c>
      <c r="L137" s="132">
        <v>11</v>
      </c>
      <c r="M137" s="144">
        <v>6</v>
      </c>
    </row>
    <row r="138" spans="1:13" ht="15.75" thickBot="1" x14ac:dyDescent="0.3">
      <c r="A138" s="145" t="s">
        <v>86</v>
      </c>
      <c r="B138" s="133">
        <v>269</v>
      </c>
      <c r="C138" s="133">
        <v>104</v>
      </c>
      <c r="D138" s="133">
        <v>38</v>
      </c>
      <c r="E138" s="133">
        <v>17</v>
      </c>
      <c r="F138" s="133">
        <v>238</v>
      </c>
      <c r="G138" s="133">
        <v>97</v>
      </c>
      <c r="H138" s="133">
        <v>35</v>
      </c>
      <c r="I138" s="133">
        <v>16</v>
      </c>
      <c r="J138" s="133">
        <v>31</v>
      </c>
      <c r="K138" s="133">
        <v>7</v>
      </c>
      <c r="L138" s="133">
        <v>3</v>
      </c>
      <c r="M138" s="146">
        <v>1</v>
      </c>
    </row>
    <row r="139" spans="1:13" ht="15.75" thickBot="1" x14ac:dyDescent="0.3">
      <c r="A139" s="143" t="s">
        <v>87</v>
      </c>
      <c r="B139" s="132">
        <v>167</v>
      </c>
      <c r="C139" s="132">
        <v>60</v>
      </c>
      <c r="D139" s="132">
        <v>36</v>
      </c>
      <c r="E139" s="132">
        <v>11</v>
      </c>
      <c r="F139" s="132">
        <v>138</v>
      </c>
      <c r="G139" s="132">
        <v>57</v>
      </c>
      <c r="H139" s="132">
        <v>33</v>
      </c>
      <c r="I139" s="132">
        <v>11</v>
      </c>
      <c r="J139" s="132">
        <v>29</v>
      </c>
      <c r="K139" s="132">
        <v>3</v>
      </c>
      <c r="L139" s="132">
        <v>3</v>
      </c>
      <c r="M139" s="144" t="s">
        <v>84</v>
      </c>
    </row>
    <row r="140" spans="1:13" ht="15.75" thickBot="1" x14ac:dyDescent="0.3">
      <c r="A140" s="145" t="s">
        <v>153</v>
      </c>
      <c r="B140" s="133">
        <v>56</v>
      </c>
      <c r="C140" s="133">
        <v>23</v>
      </c>
      <c r="D140" s="133">
        <v>7</v>
      </c>
      <c r="E140" s="133">
        <v>2</v>
      </c>
      <c r="F140" s="133">
        <v>43</v>
      </c>
      <c r="G140" s="133">
        <v>21</v>
      </c>
      <c r="H140" s="133">
        <v>5</v>
      </c>
      <c r="I140" s="133">
        <v>2</v>
      </c>
      <c r="J140" s="133">
        <v>13</v>
      </c>
      <c r="K140" s="133">
        <v>2</v>
      </c>
      <c r="L140" s="133">
        <v>2</v>
      </c>
      <c r="M140" s="146" t="s">
        <v>84</v>
      </c>
    </row>
    <row r="141" spans="1:13" ht="15.75" thickBot="1" x14ac:dyDescent="0.3">
      <c r="A141" s="143" t="s">
        <v>154</v>
      </c>
      <c r="B141" s="132">
        <v>25</v>
      </c>
      <c r="C141" s="132">
        <v>9</v>
      </c>
      <c r="D141" s="132">
        <v>2</v>
      </c>
      <c r="E141" s="132">
        <v>1</v>
      </c>
      <c r="F141" s="132">
        <v>24</v>
      </c>
      <c r="G141" s="132">
        <v>9</v>
      </c>
      <c r="H141" s="132">
        <v>2</v>
      </c>
      <c r="I141" s="132">
        <v>1</v>
      </c>
      <c r="J141" s="132">
        <v>1</v>
      </c>
      <c r="K141" s="132" t="s">
        <v>84</v>
      </c>
      <c r="L141" s="132" t="s">
        <v>84</v>
      </c>
      <c r="M141" s="144" t="s">
        <v>84</v>
      </c>
    </row>
    <row r="142" spans="1:13" ht="15.75" thickBot="1" x14ac:dyDescent="0.3">
      <c r="A142" s="225" t="s">
        <v>99</v>
      </c>
      <c r="B142" s="226"/>
      <c r="C142" s="226"/>
      <c r="D142" s="226"/>
      <c r="E142" s="226"/>
      <c r="F142" s="226"/>
      <c r="G142" s="226"/>
      <c r="H142" s="226"/>
      <c r="I142" s="226"/>
      <c r="J142" s="226"/>
      <c r="K142" s="226"/>
      <c r="L142" s="226"/>
      <c r="M142" s="227"/>
    </row>
    <row r="143" spans="1:13" ht="15.75" thickBot="1" x14ac:dyDescent="0.3">
      <c r="A143" s="222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4"/>
    </row>
    <row r="144" spans="1:13" ht="15.75" thickBot="1" x14ac:dyDescent="0.3">
      <c r="A144" s="145" t="s">
        <v>83</v>
      </c>
      <c r="B144" s="133">
        <v>14101</v>
      </c>
      <c r="C144" s="133">
        <v>6405</v>
      </c>
      <c r="D144" s="133">
        <v>1813</v>
      </c>
      <c r="E144" s="133">
        <v>865</v>
      </c>
      <c r="F144" s="133">
        <v>13188</v>
      </c>
      <c r="G144" s="133">
        <v>5998</v>
      </c>
      <c r="H144" s="133">
        <v>1746</v>
      </c>
      <c r="I144" s="133">
        <v>833</v>
      </c>
      <c r="J144" s="133">
        <v>913</v>
      </c>
      <c r="K144" s="133">
        <v>407</v>
      </c>
      <c r="L144" s="133">
        <v>67</v>
      </c>
      <c r="M144" s="146">
        <v>32</v>
      </c>
    </row>
    <row r="145" spans="1:13" ht="15.75" thickBot="1" x14ac:dyDescent="0.3">
      <c r="A145" s="143" t="s">
        <v>151</v>
      </c>
      <c r="B145" s="132">
        <v>1649</v>
      </c>
      <c r="C145" s="132">
        <v>905</v>
      </c>
      <c r="D145" s="132">
        <v>68</v>
      </c>
      <c r="E145" s="132">
        <v>31</v>
      </c>
      <c r="F145" s="132">
        <v>1521</v>
      </c>
      <c r="G145" s="132">
        <v>834</v>
      </c>
      <c r="H145" s="132">
        <v>67</v>
      </c>
      <c r="I145" s="132">
        <v>31</v>
      </c>
      <c r="J145" s="132">
        <v>128</v>
      </c>
      <c r="K145" s="132">
        <v>71</v>
      </c>
      <c r="L145" s="132">
        <v>1</v>
      </c>
      <c r="M145" s="144" t="s">
        <v>84</v>
      </c>
    </row>
    <row r="146" spans="1:13" ht="15.75" thickBot="1" x14ac:dyDescent="0.3">
      <c r="A146" s="145" t="s">
        <v>152</v>
      </c>
      <c r="B146" s="133">
        <v>506</v>
      </c>
      <c r="C146" s="133">
        <v>254</v>
      </c>
      <c r="D146" s="133">
        <v>43</v>
      </c>
      <c r="E146" s="133">
        <v>21</v>
      </c>
      <c r="F146" s="133">
        <v>489</v>
      </c>
      <c r="G146" s="133">
        <v>246</v>
      </c>
      <c r="H146" s="133">
        <v>43</v>
      </c>
      <c r="I146" s="133">
        <v>21</v>
      </c>
      <c r="J146" s="133">
        <v>17</v>
      </c>
      <c r="K146" s="133">
        <v>8</v>
      </c>
      <c r="L146" s="133" t="s">
        <v>84</v>
      </c>
      <c r="M146" s="146" t="s">
        <v>84</v>
      </c>
    </row>
    <row r="147" spans="1:13" ht="15.75" thickBot="1" x14ac:dyDescent="0.3">
      <c r="A147" s="143" t="s">
        <v>85</v>
      </c>
      <c r="B147" s="132">
        <v>8310</v>
      </c>
      <c r="C147" s="132">
        <v>3754</v>
      </c>
      <c r="D147" s="132">
        <v>906</v>
      </c>
      <c r="E147" s="132">
        <v>449</v>
      </c>
      <c r="F147" s="132">
        <v>7751</v>
      </c>
      <c r="G147" s="132">
        <v>3505</v>
      </c>
      <c r="H147" s="132">
        <v>862</v>
      </c>
      <c r="I147" s="132">
        <v>427</v>
      </c>
      <c r="J147" s="132">
        <v>559</v>
      </c>
      <c r="K147" s="132">
        <v>249</v>
      </c>
      <c r="L147" s="132">
        <v>44</v>
      </c>
      <c r="M147" s="144">
        <v>22</v>
      </c>
    </row>
    <row r="148" spans="1:13" ht="15.75" thickBot="1" x14ac:dyDescent="0.3">
      <c r="A148" s="145" t="s">
        <v>86</v>
      </c>
      <c r="B148" s="133">
        <v>2449</v>
      </c>
      <c r="C148" s="133">
        <v>992</v>
      </c>
      <c r="D148" s="133">
        <v>458</v>
      </c>
      <c r="E148" s="133">
        <v>212</v>
      </c>
      <c r="F148" s="133">
        <v>2326</v>
      </c>
      <c r="G148" s="133">
        <v>952</v>
      </c>
      <c r="H148" s="133">
        <v>445</v>
      </c>
      <c r="I148" s="133">
        <v>205</v>
      </c>
      <c r="J148" s="133">
        <v>123</v>
      </c>
      <c r="K148" s="133">
        <v>40</v>
      </c>
      <c r="L148" s="133">
        <v>13</v>
      </c>
      <c r="M148" s="146">
        <v>7</v>
      </c>
    </row>
    <row r="149" spans="1:13" ht="15.75" thickBot="1" x14ac:dyDescent="0.3">
      <c r="A149" s="143" t="s">
        <v>87</v>
      </c>
      <c r="B149" s="132">
        <v>1187</v>
      </c>
      <c r="C149" s="132">
        <v>500</v>
      </c>
      <c r="D149" s="132">
        <v>338</v>
      </c>
      <c r="E149" s="132">
        <v>152</v>
      </c>
      <c r="F149" s="132">
        <v>1101</v>
      </c>
      <c r="G149" s="132">
        <v>461</v>
      </c>
      <c r="H149" s="132">
        <v>329</v>
      </c>
      <c r="I149" s="132">
        <v>149</v>
      </c>
      <c r="J149" s="132">
        <v>86</v>
      </c>
      <c r="K149" s="132">
        <v>39</v>
      </c>
      <c r="L149" s="132">
        <v>9</v>
      </c>
      <c r="M149" s="144">
        <v>3</v>
      </c>
    </row>
    <row r="150" spans="1:13" ht="15.75" thickBot="1" x14ac:dyDescent="0.3">
      <c r="A150" s="145" t="s">
        <v>153</v>
      </c>
      <c r="B150" s="133">
        <v>293</v>
      </c>
      <c r="C150" s="133">
        <v>136</v>
      </c>
      <c r="D150" s="133">
        <v>50</v>
      </c>
      <c r="E150" s="133">
        <v>28</v>
      </c>
      <c r="F150" s="133">
        <v>274</v>
      </c>
      <c r="G150" s="133">
        <v>125</v>
      </c>
      <c r="H150" s="133">
        <v>47</v>
      </c>
      <c r="I150" s="133">
        <v>27</v>
      </c>
      <c r="J150" s="133">
        <v>19</v>
      </c>
      <c r="K150" s="133">
        <v>11</v>
      </c>
      <c r="L150" s="133">
        <v>3</v>
      </c>
      <c r="M150" s="146">
        <v>1</v>
      </c>
    </row>
    <row r="151" spans="1:13" ht="15.75" thickBot="1" x14ac:dyDescent="0.3">
      <c r="A151" s="143" t="s">
        <v>154</v>
      </c>
      <c r="B151" s="132">
        <v>194</v>
      </c>
      <c r="C151" s="132">
        <v>78</v>
      </c>
      <c r="D151" s="132">
        <v>30</v>
      </c>
      <c r="E151" s="132">
        <v>12</v>
      </c>
      <c r="F151" s="132">
        <v>176</v>
      </c>
      <c r="G151" s="132">
        <v>69</v>
      </c>
      <c r="H151" s="132">
        <v>30</v>
      </c>
      <c r="I151" s="132">
        <v>12</v>
      </c>
      <c r="J151" s="132">
        <v>18</v>
      </c>
      <c r="K151" s="132">
        <v>9</v>
      </c>
      <c r="L151" s="132" t="s">
        <v>84</v>
      </c>
      <c r="M151" s="144" t="s">
        <v>84</v>
      </c>
    </row>
    <row r="152" spans="1:13" ht="15.75" thickBot="1" x14ac:dyDescent="0.3">
      <c r="A152" s="225" t="s">
        <v>100</v>
      </c>
      <c r="B152" s="226"/>
      <c r="C152" s="226"/>
      <c r="D152" s="226"/>
      <c r="E152" s="226"/>
      <c r="F152" s="226"/>
      <c r="G152" s="226"/>
      <c r="H152" s="226"/>
      <c r="I152" s="226"/>
      <c r="J152" s="226"/>
      <c r="K152" s="226"/>
      <c r="L152" s="226"/>
      <c r="M152" s="227"/>
    </row>
    <row r="153" spans="1:13" ht="15.75" thickBot="1" x14ac:dyDescent="0.3">
      <c r="A153" s="222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4"/>
    </row>
    <row r="154" spans="1:13" ht="15.75" thickBot="1" x14ac:dyDescent="0.3">
      <c r="A154" s="145" t="s">
        <v>83</v>
      </c>
      <c r="B154" s="133">
        <v>7346</v>
      </c>
      <c r="C154" s="133">
        <v>3342</v>
      </c>
      <c r="D154" s="133">
        <v>1097</v>
      </c>
      <c r="E154" s="133">
        <v>513</v>
      </c>
      <c r="F154" s="133">
        <v>6831</v>
      </c>
      <c r="G154" s="133">
        <v>3107</v>
      </c>
      <c r="H154" s="133">
        <v>1049</v>
      </c>
      <c r="I154" s="133">
        <v>491</v>
      </c>
      <c r="J154" s="133">
        <v>515</v>
      </c>
      <c r="K154" s="133">
        <v>235</v>
      </c>
      <c r="L154" s="133">
        <v>48</v>
      </c>
      <c r="M154" s="146">
        <v>22</v>
      </c>
    </row>
    <row r="155" spans="1:13" ht="15.75" thickBot="1" x14ac:dyDescent="0.3">
      <c r="A155" s="143" t="s">
        <v>151</v>
      </c>
      <c r="B155" s="132">
        <v>1197</v>
      </c>
      <c r="C155" s="132">
        <v>663</v>
      </c>
      <c r="D155" s="132">
        <v>50</v>
      </c>
      <c r="E155" s="132">
        <v>21</v>
      </c>
      <c r="F155" s="132">
        <v>1084</v>
      </c>
      <c r="G155" s="132">
        <v>603</v>
      </c>
      <c r="H155" s="132">
        <v>50</v>
      </c>
      <c r="I155" s="132">
        <v>21</v>
      </c>
      <c r="J155" s="132">
        <v>113</v>
      </c>
      <c r="K155" s="132">
        <v>60</v>
      </c>
      <c r="L155" s="132" t="s">
        <v>84</v>
      </c>
      <c r="M155" s="144" t="s">
        <v>84</v>
      </c>
    </row>
    <row r="156" spans="1:13" ht="15.75" thickBot="1" x14ac:dyDescent="0.3">
      <c r="A156" s="145" t="s">
        <v>152</v>
      </c>
      <c r="B156" s="133">
        <v>340</v>
      </c>
      <c r="C156" s="133">
        <v>161</v>
      </c>
      <c r="D156" s="133">
        <v>38</v>
      </c>
      <c r="E156" s="133">
        <v>19</v>
      </c>
      <c r="F156" s="133">
        <v>337</v>
      </c>
      <c r="G156" s="133">
        <v>159</v>
      </c>
      <c r="H156" s="133">
        <v>38</v>
      </c>
      <c r="I156" s="133">
        <v>19</v>
      </c>
      <c r="J156" s="133">
        <v>3</v>
      </c>
      <c r="K156" s="133">
        <v>2</v>
      </c>
      <c r="L156" s="133" t="s">
        <v>84</v>
      </c>
      <c r="M156" s="146" t="s">
        <v>84</v>
      </c>
    </row>
    <row r="157" spans="1:13" ht="15.75" thickBot="1" x14ac:dyDescent="0.3">
      <c r="A157" s="143" t="s">
        <v>85</v>
      </c>
      <c r="B157" s="132">
        <v>4074</v>
      </c>
      <c r="C157" s="132">
        <v>1814</v>
      </c>
      <c r="D157" s="132">
        <v>562</v>
      </c>
      <c r="E157" s="132">
        <v>283</v>
      </c>
      <c r="F157" s="132">
        <v>3795</v>
      </c>
      <c r="G157" s="132">
        <v>1690</v>
      </c>
      <c r="H157" s="132">
        <v>534</v>
      </c>
      <c r="I157" s="132">
        <v>269</v>
      </c>
      <c r="J157" s="132">
        <v>279</v>
      </c>
      <c r="K157" s="132">
        <v>124</v>
      </c>
      <c r="L157" s="132">
        <v>28</v>
      </c>
      <c r="M157" s="144">
        <v>14</v>
      </c>
    </row>
    <row r="158" spans="1:13" ht="15.75" thickBot="1" x14ac:dyDescent="0.3">
      <c r="A158" s="145" t="s">
        <v>86</v>
      </c>
      <c r="B158" s="133">
        <v>1182</v>
      </c>
      <c r="C158" s="133">
        <v>463</v>
      </c>
      <c r="D158" s="133">
        <v>263</v>
      </c>
      <c r="E158" s="133">
        <v>110</v>
      </c>
      <c r="F158" s="133">
        <v>1108</v>
      </c>
      <c r="G158" s="133">
        <v>437</v>
      </c>
      <c r="H158" s="133">
        <v>250</v>
      </c>
      <c r="I158" s="133">
        <v>103</v>
      </c>
      <c r="J158" s="133">
        <v>74</v>
      </c>
      <c r="K158" s="133">
        <v>26</v>
      </c>
      <c r="L158" s="133">
        <v>13</v>
      </c>
      <c r="M158" s="146">
        <v>7</v>
      </c>
    </row>
    <row r="159" spans="1:13" ht="15.75" thickBot="1" x14ac:dyDescent="0.3">
      <c r="A159" s="143" t="s">
        <v>87</v>
      </c>
      <c r="B159" s="132">
        <v>553</v>
      </c>
      <c r="C159" s="132">
        <v>241</v>
      </c>
      <c r="D159" s="132">
        <v>184</v>
      </c>
      <c r="E159" s="132">
        <v>80</v>
      </c>
      <c r="F159" s="132">
        <v>507</v>
      </c>
      <c r="G159" s="132">
        <v>218</v>
      </c>
      <c r="H159" s="132">
        <v>177</v>
      </c>
      <c r="I159" s="132">
        <v>79</v>
      </c>
      <c r="J159" s="132">
        <v>46</v>
      </c>
      <c r="K159" s="132">
        <v>23</v>
      </c>
      <c r="L159" s="132">
        <v>7</v>
      </c>
      <c r="M159" s="144">
        <v>1</v>
      </c>
    </row>
    <row r="160" spans="1:13" ht="15.75" thickBot="1" x14ac:dyDescent="0.3">
      <c r="A160" s="145" t="s">
        <v>153</v>
      </c>
      <c r="B160" s="133">
        <v>121</v>
      </c>
      <c r="C160" s="133">
        <v>61</v>
      </c>
      <c r="D160" s="133">
        <v>27</v>
      </c>
      <c r="E160" s="133">
        <v>14</v>
      </c>
      <c r="F160" s="133">
        <v>109</v>
      </c>
      <c r="G160" s="133">
        <v>54</v>
      </c>
      <c r="H160" s="133">
        <v>25</v>
      </c>
      <c r="I160" s="133">
        <v>14</v>
      </c>
      <c r="J160" s="133">
        <v>12</v>
      </c>
      <c r="K160" s="133">
        <v>7</v>
      </c>
      <c r="L160" s="133">
        <v>2</v>
      </c>
      <c r="M160" s="146" t="s">
        <v>84</v>
      </c>
    </row>
    <row r="161" spans="1:13" ht="15.75" thickBot="1" x14ac:dyDescent="0.3">
      <c r="A161" s="143" t="s">
        <v>154</v>
      </c>
      <c r="B161" s="132">
        <v>76</v>
      </c>
      <c r="C161" s="132">
        <v>29</v>
      </c>
      <c r="D161" s="132">
        <v>16</v>
      </c>
      <c r="E161" s="132">
        <v>6</v>
      </c>
      <c r="F161" s="132">
        <v>69</v>
      </c>
      <c r="G161" s="132">
        <v>26</v>
      </c>
      <c r="H161" s="132">
        <v>16</v>
      </c>
      <c r="I161" s="132">
        <v>6</v>
      </c>
      <c r="J161" s="132">
        <v>7</v>
      </c>
      <c r="K161" s="132">
        <v>3</v>
      </c>
      <c r="L161" s="132" t="s">
        <v>84</v>
      </c>
      <c r="M161" s="144" t="s">
        <v>84</v>
      </c>
    </row>
    <row r="162" spans="1:13" ht="15.75" thickBot="1" x14ac:dyDescent="0.3">
      <c r="A162" s="225" t="s">
        <v>101</v>
      </c>
      <c r="B162" s="226"/>
      <c r="C162" s="226"/>
      <c r="D162" s="226"/>
      <c r="E162" s="226"/>
      <c r="F162" s="226"/>
      <c r="G162" s="226"/>
      <c r="H162" s="226"/>
      <c r="I162" s="226"/>
      <c r="J162" s="226"/>
      <c r="K162" s="226"/>
      <c r="L162" s="226"/>
      <c r="M162" s="227"/>
    </row>
    <row r="163" spans="1:13" ht="15.75" thickBot="1" x14ac:dyDescent="0.3">
      <c r="A163" s="222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4"/>
    </row>
    <row r="164" spans="1:13" ht="15.75" thickBot="1" x14ac:dyDescent="0.3">
      <c r="A164" s="145" t="s">
        <v>83</v>
      </c>
      <c r="B164" s="133">
        <v>3119</v>
      </c>
      <c r="C164" s="133">
        <v>1498</v>
      </c>
      <c r="D164" s="133">
        <v>554</v>
      </c>
      <c r="E164" s="133">
        <v>260</v>
      </c>
      <c r="F164" s="133">
        <v>2729</v>
      </c>
      <c r="G164" s="133">
        <v>1315</v>
      </c>
      <c r="H164" s="133">
        <v>513</v>
      </c>
      <c r="I164" s="133">
        <v>242</v>
      </c>
      <c r="J164" s="133">
        <v>390</v>
      </c>
      <c r="K164" s="133">
        <v>183</v>
      </c>
      <c r="L164" s="133">
        <v>41</v>
      </c>
      <c r="M164" s="146">
        <v>18</v>
      </c>
    </row>
    <row r="165" spans="1:13" ht="15.75" thickBot="1" x14ac:dyDescent="0.3">
      <c r="A165" s="143" t="s">
        <v>151</v>
      </c>
      <c r="B165" s="132">
        <v>707</v>
      </c>
      <c r="C165" s="132">
        <v>401</v>
      </c>
      <c r="D165" s="132">
        <v>34</v>
      </c>
      <c r="E165" s="132">
        <v>13</v>
      </c>
      <c r="F165" s="132">
        <v>628</v>
      </c>
      <c r="G165" s="132">
        <v>359</v>
      </c>
      <c r="H165" s="132">
        <v>34</v>
      </c>
      <c r="I165" s="132">
        <v>13</v>
      </c>
      <c r="J165" s="132">
        <v>79</v>
      </c>
      <c r="K165" s="132">
        <v>42</v>
      </c>
      <c r="L165" s="132" t="s">
        <v>84</v>
      </c>
      <c r="M165" s="144" t="s">
        <v>84</v>
      </c>
    </row>
    <row r="166" spans="1:13" ht="15.75" thickBot="1" x14ac:dyDescent="0.3">
      <c r="A166" s="145" t="s">
        <v>152</v>
      </c>
      <c r="B166" s="133">
        <v>176</v>
      </c>
      <c r="C166" s="133">
        <v>84</v>
      </c>
      <c r="D166" s="133">
        <v>28</v>
      </c>
      <c r="E166" s="133">
        <v>15</v>
      </c>
      <c r="F166" s="133">
        <v>173</v>
      </c>
      <c r="G166" s="133">
        <v>82</v>
      </c>
      <c r="H166" s="133">
        <v>28</v>
      </c>
      <c r="I166" s="133">
        <v>15</v>
      </c>
      <c r="J166" s="133">
        <v>3</v>
      </c>
      <c r="K166" s="133">
        <v>2</v>
      </c>
      <c r="L166" s="133" t="s">
        <v>84</v>
      </c>
      <c r="M166" s="146" t="s">
        <v>84</v>
      </c>
    </row>
    <row r="167" spans="1:13" ht="15.75" thickBot="1" x14ac:dyDescent="0.3">
      <c r="A167" s="143" t="s">
        <v>85</v>
      </c>
      <c r="B167" s="132">
        <v>1422</v>
      </c>
      <c r="C167" s="132">
        <v>657</v>
      </c>
      <c r="D167" s="132">
        <v>261</v>
      </c>
      <c r="E167" s="132">
        <v>127</v>
      </c>
      <c r="F167" s="132">
        <v>1204</v>
      </c>
      <c r="G167" s="132">
        <v>556</v>
      </c>
      <c r="H167" s="132">
        <v>234</v>
      </c>
      <c r="I167" s="132">
        <v>114</v>
      </c>
      <c r="J167" s="132">
        <v>218</v>
      </c>
      <c r="K167" s="132">
        <v>101</v>
      </c>
      <c r="L167" s="132">
        <v>27</v>
      </c>
      <c r="M167" s="144">
        <v>13</v>
      </c>
    </row>
    <row r="168" spans="1:13" ht="15.75" thickBot="1" x14ac:dyDescent="0.3">
      <c r="A168" s="145" t="s">
        <v>86</v>
      </c>
      <c r="B168" s="133">
        <v>531</v>
      </c>
      <c r="C168" s="133">
        <v>220</v>
      </c>
      <c r="D168" s="133">
        <v>133</v>
      </c>
      <c r="E168" s="133">
        <v>59</v>
      </c>
      <c r="F168" s="133">
        <v>477</v>
      </c>
      <c r="G168" s="133">
        <v>202</v>
      </c>
      <c r="H168" s="133">
        <v>124</v>
      </c>
      <c r="I168" s="133">
        <v>55</v>
      </c>
      <c r="J168" s="133">
        <v>54</v>
      </c>
      <c r="K168" s="133">
        <v>18</v>
      </c>
      <c r="L168" s="133">
        <v>9</v>
      </c>
      <c r="M168" s="146">
        <v>4</v>
      </c>
    </row>
    <row r="169" spans="1:13" ht="15.75" thickBot="1" x14ac:dyDescent="0.3">
      <c r="A169" s="143" t="s">
        <v>87</v>
      </c>
      <c r="B169" s="132">
        <v>283</v>
      </c>
      <c r="C169" s="132">
        <v>136</v>
      </c>
      <c r="D169" s="132">
        <v>98</v>
      </c>
      <c r="E169" s="132">
        <v>46</v>
      </c>
      <c r="F169" s="132">
        <v>247</v>
      </c>
      <c r="G169" s="132">
        <v>116</v>
      </c>
      <c r="H169" s="132">
        <v>93</v>
      </c>
      <c r="I169" s="132">
        <v>45</v>
      </c>
      <c r="J169" s="132">
        <v>36</v>
      </c>
      <c r="K169" s="132">
        <v>20</v>
      </c>
      <c r="L169" s="132">
        <v>5</v>
      </c>
      <c r="M169" s="144">
        <v>1</v>
      </c>
    </row>
    <row r="170" spans="1:13" ht="15.75" thickBot="1" x14ac:dyDescent="0.3">
      <c r="A170" s="145" t="s">
        <v>153</v>
      </c>
      <c r="B170" s="133">
        <v>58</v>
      </c>
      <c r="C170" s="133">
        <v>36</v>
      </c>
      <c r="D170" s="133">
        <v>19</v>
      </c>
      <c r="E170" s="133">
        <v>11</v>
      </c>
      <c r="F170" s="133">
        <v>47</v>
      </c>
      <c r="G170" s="133">
        <v>29</v>
      </c>
      <c r="H170" s="133">
        <v>17</v>
      </c>
      <c r="I170" s="133">
        <v>11</v>
      </c>
      <c r="J170" s="133">
        <v>11</v>
      </c>
      <c r="K170" s="133">
        <v>7</v>
      </c>
      <c r="L170" s="133">
        <v>2</v>
      </c>
      <c r="M170" s="146" t="s">
        <v>84</v>
      </c>
    </row>
    <row r="171" spans="1:13" ht="15.75" thickBot="1" x14ac:dyDescent="0.3">
      <c r="A171" s="143" t="s">
        <v>154</v>
      </c>
      <c r="B171" s="132">
        <v>24</v>
      </c>
      <c r="C171" s="132">
        <v>10</v>
      </c>
      <c r="D171" s="132">
        <v>9</v>
      </c>
      <c r="E171" s="132">
        <v>3</v>
      </c>
      <c r="F171" s="132">
        <v>22</v>
      </c>
      <c r="G171" s="132">
        <v>9</v>
      </c>
      <c r="H171" s="132">
        <v>9</v>
      </c>
      <c r="I171" s="132">
        <v>3</v>
      </c>
      <c r="J171" s="132">
        <v>2</v>
      </c>
      <c r="K171" s="132">
        <v>1</v>
      </c>
      <c r="L171" s="132" t="s">
        <v>84</v>
      </c>
      <c r="M171" s="144" t="s">
        <v>84</v>
      </c>
    </row>
    <row r="172" spans="1:13" ht="15.75" thickBot="1" x14ac:dyDescent="0.3">
      <c r="A172" s="225" t="s">
        <v>102</v>
      </c>
      <c r="B172" s="226"/>
      <c r="C172" s="226"/>
      <c r="D172" s="226"/>
      <c r="E172" s="226"/>
      <c r="F172" s="226"/>
      <c r="G172" s="226"/>
      <c r="H172" s="226"/>
      <c r="I172" s="226"/>
      <c r="J172" s="226"/>
      <c r="K172" s="226"/>
      <c r="L172" s="226"/>
      <c r="M172" s="227"/>
    </row>
    <row r="173" spans="1:13" ht="15.75" thickBot="1" x14ac:dyDescent="0.3">
      <c r="A173" s="222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4"/>
    </row>
    <row r="174" spans="1:13" ht="15.75" thickBot="1" x14ac:dyDescent="0.3">
      <c r="A174" s="145" t="s">
        <v>83</v>
      </c>
      <c r="B174" s="133">
        <v>1492</v>
      </c>
      <c r="C174" s="133">
        <v>652</v>
      </c>
      <c r="D174" s="133">
        <v>139</v>
      </c>
      <c r="E174" s="133">
        <v>63</v>
      </c>
      <c r="F174" s="133">
        <v>1418</v>
      </c>
      <c r="G174" s="133">
        <v>628</v>
      </c>
      <c r="H174" s="133">
        <v>138</v>
      </c>
      <c r="I174" s="133">
        <v>62</v>
      </c>
      <c r="J174" s="133">
        <v>74</v>
      </c>
      <c r="K174" s="133">
        <v>24</v>
      </c>
      <c r="L174" s="133">
        <v>1</v>
      </c>
      <c r="M174" s="146">
        <v>1</v>
      </c>
    </row>
    <row r="175" spans="1:13" ht="15.75" thickBot="1" x14ac:dyDescent="0.3">
      <c r="A175" s="143" t="s">
        <v>151</v>
      </c>
      <c r="B175" s="132">
        <v>28</v>
      </c>
      <c r="C175" s="132">
        <v>14</v>
      </c>
      <c r="D175" s="132" t="s">
        <v>84</v>
      </c>
      <c r="E175" s="132" t="s">
        <v>84</v>
      </c>
      <c r="F175" s="132">
        <v>28</v>
      </c>
      <c r="G175" s="132">
        <v>14</v>
      </c>
      <c r="H175" s="132" t="s">
        <v>84</v>
      </c>
      <c r="I175" s="132" t="s">
        <v>84</v>
      </c>
      <c r="J175" s="132" t="s">
        <v>84</v>
      </c>
      <c r="K175" s="132" t="s">
        <v>84</v>
      </c>
      <c r="L175" s="132" t="s">
        <v>84</v>
      </c>
      <c r="M175" s="144" t="s">
        <v>84</v>
      </c>
    </row>
    <row r="176" spans="1:13" ht="15.75" thickBot="1" x14ac:dyDescent="0.3">
      <c r="A176" s="145" t="s">
        <v>152</v>
      </c>
      <c r="B176" s="133">
        <v>23</v>
      </c>
      <c r="C176" s="133">
        <v>10</v>
      </c>
      <c r="D176" s="133">
        <v>1</v>
      </c>
      <c r="E176" s="133">
        <v>1</v>
      </c>
      <c r="F176" s="133">
        <v>20</v>
      </c>
      <c r="G176" s="133">
        <v>9</v>
      </c>
      <c r="H176" s="133">
        <v>1</v>
      </c>
      <c r="I176" s="133">
        <v>1</v>
      </c>
      <c r="J176" s="133">
        <v>3</v>
      </c>
      <c r="K176" s="133">
        <v>1</v>
      </c>
      <c r="L176" s="133" t="s">
        <v>84</v>
      </c>
      <c r="M176" s="146" t="s">
        <v>84</v>
      </c>
    </row>
    <row r="177" spans="1:13" ht="15.75" thickBot="1" x14ac:dyDescent="0.3">
      <c r="A177" s="143" t="s">
        <v>85</v>
      </c>
      <c r="B177" s="132">
        <v>1085</v>
      </c>
      <c r="C177" s="132">
        <v>489</v>
      </c>
      <c r="D177" s="132">
        <v>61</v>
      </c>
      <c r="E177" s="132">
        <v>34</v>
      </c>
      <c r="F177" s="132">
        <v>1031</v>
      </c>
      <c r="G177" s="132">
        <v>470</v>
      </c>
      <c r="H177" s="132">
        <v>60</v>
      </c>
      <c r="I177" s="132">
        <v>33</v>
      </c>
      <c r="J177" s="132">
        <v>54</v>
      </c>
      <c r="K177" s="132">
        <v>19</v>
      </c>
      <c r="L177" s="132">
        <v>1</v>
      </c>
      <c r="M177" s="144">
        <v>1</v>
      </c>
    </row>
    <row r="178" spans="1:13" ht="15.75" thickBot="1" x14ac:dyDescent="0.3">
      <c r="A178" s="145" t="s">
        <v>86</v>
      </c>
      <c r="B178" s="133">
        <v>254</v>
      </c>
      <c r="C178" s="133">
        <v>99</v>
      </c>
      <c r="D178" s="133">
        <v>44</v>
      </c>
      <c r="E178" s="133">
        <v>17</v>
      </c>
      <c r="F178" s="133">
        <v>245</v>
      </c>
      <c r="G178" s="133">
        <v>97</v>
      </c>
      <c r="H178" s="133">
        <v>44</v>
      </c>
      <c r="I178" s="133">
        <v>17</v>
      </c>
      <c r="J178" s="133">
        <v>9</v>
      </c>
      <c r="K178" s="133">
        <v>2</v>
      </c>
      <c r="L178" s="133" t="s">
        <v>84</v>
      </c>
      <c r="M178" s="146" t="s">
        <v>84</v>
      </c>
    </row>
    <row r="179" spans="1:13" ht="15.75" thickBot="1" x14ac:dyDescent="0.3">
      <c r="A179" s="143" t="s">
        <v>87</v>
      </c>
      <c r="B179" s="132">
        <v>102</v>
      </c>
      <c r="C179" s="132">
        <v>40</v>
      </c>
      <c r="D179" s="132">
        <v>33</v>
      </c>
      <c r="E179" s="132">
        <v>11</v>
      </c>
      <c r="F179" s="132">
        <v>94</v>
      </c>
      <c r="G179" s="132">
        <v>38</v>
      </c>
      <c r="H179" s="132">
        <v>33</v>
      </c>
      <c r="I179" s="132">
        <v>11</v>
      </c>
      <c r="J179" s="132">
        <v>8</v>
      </c>
      <c r="K179" s="132">
        <v>2</v>
      </c>
      <c r="L179" s="132" t="s">
        <v>84</v>
      </c>
      <c r="M179" s="144" t="s">
        <v>84</v>
      </c>
    </row>
    <row r="180" spans="1:13" ht="15.75" thickBot="1" x14ac:dyDescent="0.3">
      <c r="A180" s="145" t="s">
        <v>153</v>
      </c>
      <c r="B180" s="133">
        <v>31</v>
      </c>
      <c r="C180" s="133">
        <v>14</v>
      </c>
      <c r="D180" s="133">
        <v>3</v>
      </c>
      <c r="E180" s="133">
        <v>1</v>
      </c>
      <c r="F180" s="133">
        <v>30</v>
      </c>
      <c r="G180" s="133">
        <v>14</v>
      </c>
      <c r="H180" s="133">
        <v>3</v>
      </c>
      <c r="I180" s="133">
        <v>1</v>
      </c>
      <c r="J180" s="133">
        <v>1</v>
      </c>
      <c r="K180" s="133" t="s">
        <v>84</v>
      </c>
      <c r="L180" s="133" t="s">
        <v>84</v>
      </c>
      <c r="M180" s="146" t="s">
        <v>84</v>
      </c>
    </row>
    <row r="181" spans="1:13" ht="15.75" thickBot="1" x14ac:dyDescent="0.3">
      <c r="A181" s="143" t="s">
        <v>154</v>
      </c>
      <c r="B181" s="132">
        <v>3</v>
      </c>
      <c r="C181" s="132">
        <v>2</v>
      </c>
      <c r="D181" s="132" t="s">
        <v>84</v>
      </c>
      <c r="E181" s="132" t="s">
        <v>84</v>
      </c>
      <c r="F181" s="132">
        <v>3</v>
      </c>
      <c r="G181" s="132">
        <v>2</v>
      </c>
      <c r="H181" s="132" t="s">
        <v>84</v>
      </c>
      <c r="I181" s="132" t="s">
        <v>84</v>
      </c>
      <c r="J181" s="132" t="s">
        <v>84</v>
      </c>
      <c r="K181" s="132" t="s">
        <v>84</v>
      </c>
      <c r="L181" s="132" t="s">
        <v>84</v>
      </c>
      <c r="M181" s="144" t="s">
        <v>84</v>
      </c>
    </row>
    <row r="182" spans="1:13" ht="15.75" thickBot="1" x14ac:dyDescent="0.3">
      <c r="A182" s="225" t="s">
        <v>103</v>
      </c>
      <c r="B182" s="226"/>
      <c r="C182" s="226"/>
      <c r="D182" s="226"/>
      <c r="E182" s="226"/>
      <c r="F182" s="226"/>
      <c r="G182" s="226"/>
      <c r="H182" s="226"/>
      <c r="I182" s="226"/>
      <c r="J182" s="226"/>
      <c r="K182" s="226"/>
      <c r="L182" s="226"/>
      <c r="M182" s="227"/>
    </row>
    <row r="183" spans="1:13" ht="15.75" thickBot="1" x14ac:dyDescent="0.3">
      <c r="A183" s="222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4"/>
    </row>
    <row r="184" spans="1:13" ht="15.75" thickBot="1" x14ac:dyDescent="0.3">
      <c r="A184" s="145" t="s">
        <v>83</v>
      </c>
      <c r="B184" s="133">
        <v>1012</v>
      </c>
      <c r="C184" s="133">
        <v>480</v>
      </c>
      <c r="D184" s="133">
        <v>129</v>
      </c>
      <c r="E184" s="133">
        <v>61</v>
      </c>
      <c r="F184" s="133">
        <v>1012</v>
      </c>
      <c r="G184" s="133">
        <v>480</v>
      </c>
      <c r="H184" s="133">
        <v>129</v>
      </c>
      <c r="I184" s="133">
        <v>61</v>
      </c>
      <c r="J184" s="133" t="s">
        <v>84</v>
      </c>
      <c r="K184" s="133" t="s">
        <v>84</v>
      </c>
      <c r="L184" s="133" t="s">
        <v>84</v>
      </c>
      <c r="M184" s="146" t="s">
        <v>84</v>
      </c>
    </row>
    <row r="185" spans="1:13" ht="15.75" thickBot="1" x14ac:dyDescent="0.3">
      <c r="A185" s="143" t="s">
        <v>151</v>
      </c>
      <c r="B185" s="132">
        <v>40</v>
      </c>
      <c r="C185" s="132">
        <v>21</v>
      </c>
      <c r="D185" s="132">
        <v>1</v>
      </c>
      <c r="E185" s="132">
        <v>1</v>
      </c>
      <c r="F185" s="132">
        <v>40</v>
      </c>
      <c r="G185" s="132">
        <v>21</v>
      </c>
      <c r="H185" s="132">
        <v>1</v>
      </c>
      <c r="I185" s="132">
        <v>1</v>
      </c>
      <c r="J185" s="132" t="s">
        <v>84</v>
      </c>
      <c r="K185" s="132" t="s">
        <v>84</v>
      </c>
      <c r="L185" s="132" t="s">
        <v>84</v>
      </c>
      <c r="M185" s="144" t="s">
        <v>84</v>
      </c>
    </row>
    <row r="186" spans="1:13" ht="15.75" thickBot="1" x14ac:dyDescent="0.3">
      <c r="A186" s="145" t="s">
        <v>152</v>
      </c>
      <c r="B186" s="133">
        <v>13</v>
      </c>
      <c r="C186" s="133">
        <v>7</v>
      </c>
      <c r="D186" s="133" t="s">
        <v>84</v>
      </c>
      <c r="E186" s="133" t="s">
        <v>84</v>
      </c>
      <c r="F186" s="133">
        <v>13</v>
      </c>
      <c r="G186" s="133">
        <v>7</v>
      </c>
      <c r="H186" s="133" t="s">
        <v>84</v>
      </c>
      <c r="I186" s="133" t="s">
        <v>84</v>
      </c>
      <c r="J186" s="133" t="s">
        <v>84</v>
      </c>
      <c r="K186" s="133" t="s">
        <v>84</v>
      </c>
      <c r="L186" s="133" t="s">
        <v>84</v>
      </c>
      <c r="M186" s="146" t="s">
        <v>84</v>
      </c>
    </row>
    <row r="187" spans="1:13" ht="15.75" thickBot="1" x14ac:dyDescent="0.3">
      <c r="A187" s="143" t="s">
        <v>85</v>
      </c>
      <c r="B187" s="132">
        <v>644</v>
      </c>
      <c r="C187" s="132">
        <v>315</v>
      </c>
      <c r="D187" s="132">
        <v>57</v>
      </c>
      <c r="E187" s="132">
        <v>22</v>
      </c>
      <c r="F187" s="132">
        <v>644</v>
      </c>
      <c r="G187" s="132">
        <v>315</v>
      </c>
      <c r="H187" s="132">
        <v>57</v>
      </c>
      <c r="I187" s="132">
        <v>22</v>
      </c>
      <c r="J187" s="132" t="s">
        <v>84</v>
      </c>
      <c r="K187" s="132" t="s">
        <v>84</v>
      </c>
      <c r="L187" s="132" t="s">
        <v>84</v>
      </c>
      <c r="M187" s="144" t="s">
        <v>84</v>
      </c>
    </row>
    <row r="188" spans="1:13" ht="15.75" thickBot="1" x14ac:dyDescent="0.3">
      <c r="A188" s="145" t="s">
        <v>86</v>
      </c>
      <c r="B188" s="133">
        <v>185</v>
      </c>
      <c r="C188" s="133">
        <v>86</v>
      </c>
      <c r="D188" s="133">
        <v>37</v>
      </c>
      <c r="E188" s="133">
        <v>24</v>
      </c>
      <c r="F188" s="133">
        <v>185</v>
      </c>
      <c r="G188" s="133">
        <v>86</v>
      </c>
      <c r="H188" s="133">
        <v>37</v>
      </c>
      <c r="I188" s="133">
        <v>24</v>
      </c>
      <c r="J188" s="133" t="s">
        <v>84</v>
      </c>
      <c r="K188" s="133" t="s">
        <v>84</v>
      </c>
      <c r="L188" s="133" t="s">
        <v>84</v>
      </c>
      <c r="M188" s="146" t="s">
        <v>84</v>
      </c>
    </row>
    <row r="189" spans="1:13" ht="15.75" thickBot="1" x14ac:dyDescent="0.3">
      <c r="A189" s="143" t="s">
        <v>87</v>
      </c>
      <c r="B189" s="132">
        <v>130</v>
      </c>
      <c r="C189" s="132">
        <v>51</v>
      </c>
      <c r="D189" s="132">
        <v>34</v>
      </c>
      <c r="E189" s="132">
        <v>14</v>
      </c>
      <c r="F189" s="132">
        <v>130</v>
      </c>
      <c r="G189" s="132">
        <v>51</v>
      </c>
      <c r="H189" s="132">
        <v>34</v>
      </c>
      <c r="I189" s="132">
        <v>14</v>
      </c>
      <c r="J189" s="132" t="s">
        <v>84</v>
      </c>
      <c r="K189" s="132" t="s">
        <v>84</v>
      </c>
      <c r="L189" s="132" t="s">
        <v>84</v>
      </c>
      <c r="M189" s="144" t="s">
        <v>84</v>
      </c>
    </row>
    <row r="190" spans="1:13" ht="15.75" thickBot="1" x14ac:dyDescent="0.3">
      <c r="A190" s="145" t="s">
        <v>153</v>
      </c>
      <c r="B190" s="133">
        <v>22</v>
      </c>
      <c r="C190" s="133">
        <v>7</v>
      </c>
      <c r="D190" s="133">
        <v>3</v>
      </c>
      <c r="E190" s="133">
        <v>2</v>
      </c>
      <c r="F190" s="133">
        <v>22</v>
      </c>
      <c r="G190" s="133">
        <v>7</v>
      </c>
      <c r="H190" s="133">
        <v>3</v>
      </c>
      <c r="I190" s="133">
        <v>2</v>
      </c>
      <c r="J190" s="133" t="s">
        <v>84</v>
      </c>
      <c r="K190" s="133" t="s">
        <v>84</v>
      </c>
      <c r="L190" s="133" t="s">
        <v>84</v>
      </c>
      <c r="M190" s="146" t="s">
        <v>84</v>
      </c>
    </row>
    <row r="191" spans="1:13" ht="15.75" thickBot="1" x14ac:dyDescent="0.3">
      <c r="A191" s="143" t="s">
        <v>154</v>
      </c>
      <c r="B191" s="132">
        <v>28</v>
      </c>
      <c r="C191" s="132">
        <v>10</v>
      </c>
      <c r="D191" s="132">
        <v>2</v>
      </c>
      <c r="E191" s="132">
        <v>1</v>
      </c>
      <c r="F191" s="132">
        <v>28</v>
      </c>
      <c r="G191" s="132">
        <v>10</v>
      </c>
      <c r="H191" s="132">
        <v>2</v>
      </c>
      <c r="I191" s="132">
        <v>1</v>
      </c>
      <c r="J191" s="132" t="s">
        <v>84</v>
      </c>
      <c r="K191" s="132" t="s">
        <v>84</v>
      </c>
      <c r="L191" s="132" t="s">
        <v>84</v>
      </c>
      <c r="M191" s="144" t="s">
        <v>84</v>
      </c>
    </row>
    <row r="192" spans="1:13" ht="15.75" thickBot="1" x14ac:dyDescent="0.3">
      <c r="A192" s="225" t="s">
        <v>104</v>
      </c>
      <c r="B192" s="226"/>
      <c r="C192" s="226"/>
      <c r="D192" s="226"/>
      <c r="E192" s="226"/>
      <c r="F192" s="226"/>
      <c r="G192" s="226"/>
      <c r="H192" s="226"/>
      <c r="I192" s="226"/>
      <c r="J192" s="226"/>
      <c r="K192" s="226"/>
      <c r="L192" s="226"/>
      <c r="M192" s="227"/>
    </row>
    <row r="193" spans="1:13" ht="15.75" thickBot="1" x14ac:dyDescent="0.3">
      <c r="A193" s="222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4"/>
    </row>
    <row r="194" spans="1:13" ht="15.75" thickBot="1" x14ac:dyDescent="0.3">
      <c r="A194" s="145" t="s">
        <v>83</v>
      </c>
      <c r="B194" s="133">
        <v>1981</v>
      </c>
      <c r="C194" s="133">
        <v>927</v>
      </c>
      <c r="D194" s="133">
        <v>206</v>
      </c>
      <c r="E194" s="133">
        <v>109</v>
      </c>
      <c r="F194" s="133">
        <v>1693</v>
      </c>
      <c r="G194" s="133">
        <v>789</v>
      </c>
      <c r="H194" s="133">
        <v>191</v>
      </c>
      <c r="I194" s="133">
        <v>101</v>
      </c>
      <c r="J194" s="133">
        <v>288</v>
      </c>
      <c r="K194" s="133">
        <v>138</v>
      </c>
      <c r="L194" s="133">
        <v>15</v>
      </c>
      <c r="M194" s="146">
        <v>8</v>
      </c>
    </row>
    <row r="195" spans="1:13" ht="15.75" thickBot="1" x14ac:dyDescent="0.3">
      <c r="A195" s="143" t="s">
        <v>151</v>
      </c>
      <c r="B195" s="132">
        <v>193</v>
      </c>
      <c r="C195" s="132">
        <v>112</v>
      </c>
      <c r="D195" s="132">
        <v>3</v>
      </c>
      <c r="E195" s="132">
        <v>1</v>
      </c>
      <c r="F195" s="132">
        <v>178</v>
      </c>
      <c r="G195" s="132">
        <v>101</v>
      </c>
      <c r="H195" s="132">
        <v>2</v>
      </c>
      <c r="I195" s="132">
        <v>1</v>
      </c>
      <c r="J195" s="132">
        <v>15</v>
      </c>
      <c r="K195" s="132">
        <v>11</v>
      </c>
      <c r="L195" s="132">
        <v>1</v>
      </c>
      <c r="M195" s="144" t="s">
        <v>84</v>
      </c>
    </row>
    <row r="196" spans="1:13" ht="15.75" thickBot="1" x14ac:dyDescent="0.3">
      <c r="A196" s="145" t="s">
        <v>152</v>
      </c>
      <c r="B196" s="133">
        <v>58</v>
      </c>
      <c r="C196" s="133">
        <v>33</v>
      </c>
      <c r="D196" s="133">
        <v>2</v>
      </c>
      <c r="E196" s="133" t="s">
        <v>84</v>
      </c>
      <c r="F196" s="133">
        <v>50</v>
      </c>
      <c r="G196" s="133">
        <v>29</v>
      </c>
      <c r="H196" s="133">
        <v>2</v>
      </c>
      <c r="I196" s="133" t="s">
        <v>84</v>
      </c>
      <c r="J196" s="133">
        <v>8</v>
      </c>
      <c r="K196" s="133">
        <v>4</v>
      </c>
      <c r="L196" s="133" t="s">
        <v>84</v>
      </c>
      <c r="M196" s="146" t="s">
        <v>84</v>
      </c>
    </row>
    <row r="197" spans="1:13" ht="15.75" thickBot="1" x14ac:dyDescent="0.3">
      <c r="A197" s="143" t="s">
        <v>85</v>
      </c>
      <c r="B197" s="132">
        <v>1231</v>
      </c>
      <c r="C197" s="132">
        <v>566</v>
      </c>
      <c r="D197" s="132">
        <v>100</v>
      </c>
      <c r="E197" s="132">
        <v>49</v>
      </c>
      <c r="F197" s="132">
        <v>1020</v>
      </c>
      <c r="G197" s="132">
        <v>464</v>
      </c>
      <c r="H197" s="132">
        <v>88</v>
      </c>
      <c r="I197" s="132">
        <v>43</v>
      </c>
      <c r="J197" s="132">
        <v>211</v>
      </c>
      <c r="K197" s="132">
        <v>102</v>
      </c>
      <c r="L197" s="132">
        <v>12</v>
      </c>
      <c r="M197" s="144">
        <v>6</v>
      </c>
    </row>
    <row r="198" spans="1:13" ht="15.75" thickBot="1" x14ac:dyDescent="0.3">
      <c r="A198" s="145" t="s">
        <v>86</v>
      </c>
      <c r="B198" s="133">
        <v>337</v>
      </c>
      <c r="C198" s="133">
        <v>143</v>
      </c>
      <c r="D198" s="133">
        <v>60</v>
      </c>
      <c r="E198" s="133">
        <v>35</v>
      </c>
      <c r="F198" s="133">
        <v>313</v>
      </c>
      <c r="G198" s="133">
        <v>135</v>
      </c>
      <c r="H198" s="133">
        <v>60</v>
      </c>
      <c r="I198" s="133">
        <v>35</v>
      </c>
      <c r="J198" s="133">
        <v>24</v>
      </c>
      <c r="K198" s="133">
        <v>8</v>
      </c>
      <c r="L198" s="133" t="s">
        <v>84</v>
      </c>
      <c r="M198" s="146" t="s">
        <v>84</v>
      </c>
    </row>
    <row r="199" spans="1:13" ht="15.75" thickBot="1" x14ac:dyDescent="0.3">
      <c r="A199" s="143" t="s">
        <v>87</v>
      </c>
      <c r="B199" s="132">
        <v>162</v>
      </c>
      <c r="C199" s="132">
        <v>73</v>
      </c>
      <c r="D199" s="132">
        <v>41</v>
      </c>
      <c r="E199" s="132">
        <v>24</v>
      </c>
      <c r="F199" s="132">
        <v>132</v>
      </c>
      <c r="G199" s="132">
        <v>60</v>
      </c>
      <c r="H199" s="132">
        <v>39</v>
      </c>
      <c r="I199" s="132">
        <v>22</v>
      </c>
      <c r="J199" s="132">
        <v>30</v>
      </c>
      <c r="K199" s="132">
        <v>13</v>
      </c>
      <c r="L199" s="132">
        <v>2</v>
      </c>
      <c r="M199" s="144">
        <v>2</v>
      </c>
    </row>
    <row r="200" spans="1:13" ht="15.75" thickBot="1" x14ac:dyDescent="0.3">
      <c r="A200" s="145" t="s">
        <v>153</v>
      </c>
      <c r="B200" s="133">
        <v>33</v>
      </c>
      <c r="C200" s="133">
        <v>20</v>
      </c>
      <c r="D200" s="133">
        <v>6</v>
      </c>
      <c r="E200" s="133">
        <v>4</v>
      </c>
      <c r="F200" s="133">
        <v>27</v>
      </c>
      <c r="G200" s="133">
        <v>16</v>
      </c>
      <c r="H200" s="133">
        <v>5</v>
      </c>
      <c r="I200" s="133">
        <v>3</v>
      </c>
      <c r="J200" s="133">
        <v>6</v>
      </c>
      <c r="K200" s="133">
        <v>4</v>
      </c>
      <c r="L200" s="133">
        <v>1</v>
      </c>
      <c r="M200" s="146">
        <v>1</v>
      </c>
    </row>
    <row r="201" spans="1:13" ht="15.75" thickBot="1" x14ac:dyDescent="0.3">
      <c r="A201" s="143" t="s">
        <v>154</v>
      </c>
      <c r="B201" s="132">
        <v>51</v>
      </c>
      <c r="C201" s="132">
        <v>24</v>
      </c>
      <c r="D201" s="132">
        <v>6</v>
      </c>
      <c r="E201" s="132">
        <v>3</v>
      </c>
      <c r="F201" s="132">
        <v>40</v>
      </c>
      <c r="G201" s="132">
        <v>18</v>
      </c>
      <c r="H201" s="132">
        <v>6</v>
      </c>
      <c r="I201" s="132">
        <v>3</v>
      </c>
      <c r="J201" s="132">
        <v>11</v>
      </c>
      <c r="K201" s="132">
        <v>6</v>
      </c>
      <c r="L201" s="132" t="s">
        <v>84</v>
      </c>
      <c r="M201" s="144" t="s">
        <v>84</v>
      </c>
    </row>
    <row r="202" spans="1:13" ht="15.75" thickBot="1" x14ac:dyDescent="0.3">
      <c r="A202" s="225" t="s">
        <v>105</v>
      </c>
      <c r="B202" s="226"/>
      <c r="C202" s="226"/>
      <c r="D202" s="226"/>
      <c r="E202" s="226"/>
      <c r="F202" s="226"/>
      <c r="G202" s="226"/>
      <c r="H202" s="226"/>
      <c r="I202" s="226"/>
      <c r="J202" s="226"/>
      <c r="K202" s="226"/>
      <c r="L202" s="226"/>
      <c r="M202" s="227"/>
    </row>
    <row r="203" spans="1:13" ht="15.75" thickBot="1" x14ac:dyDescent="0.3">
      <c r="A203" s="222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4"/>
    </row>
    <row r="204" spans="1:13" ht="15.75" thickBot="1" x14ac:dyDescent="0.3">
      <c r="A204" s="145" t="s">
        <v>83</v>
      </c>
      <c r="B204" s="133">
        <v>383</v>
      </c>
      <c r="C204" s="133">
        <v>171</v>
      </c>
      <c r="D204" s="133">
        <v>39</v>
      </c>
      <c r="E204" s="133">
        <v>20</v>
      </c>
      <c r="F204" s="133">
        <v>375</v>
      </c>
      <c r="G204" s="133">
        <v>168</v>
      </c>
      <c r="H204" s="133">
        <v>36</v>
      </c>
      <c r="I204" s="133">
        <v>19</v>
      </c>
      <c r="J204" s="133">
        <v>8</v>
      </c>
      <c r="K204" s="133">
        <v>3</v>
      </c>
      <c r="L204" s="133">
        <v>3</v>
      </c>
      <c r="M204" s="146">
        <v>1</v>
      </c>
    </row>
    <row r="205" spans="1:13" ht="15.75" thickBot="1" x14ac:dyDescent="0.3">
      <c r="A205" s="143" t="s">
        <v>152</v>
      </c>
      <c r="B205" s="132">
        <v>6</v>
      </c>
      <c r="C205" s="132">
        <v>4</v>
      </c>
      <c r="D205" s="132" t="s">
        <v>84</v>
      </c>
      <c r="E205" s="132" t="s">
        <v>84</v>
      </c>
      <c r="F205" s="132">
        <v>3</v>
      </c>
      <c r="G205" s="132">
        <v>3</v>
      </c>
      <c r="H205" s="132" t="s">
        <v>84</v>
      </c>
      <c r="I205" s="132" t="s">
        <v>84</v>
      </c>
      <c r="J205" s="132">
        <v>3</v>
      </c>
      <c r="K205" s="132">
        <v>1</v>
      </c>
      <c r="L205" s="132" t="s">
        <v>84</v>
      </c>
      <c r="M205" s="144" t="s">
        <v>84</v>
      </c>
    </row>
    <row r="206" spans="1:13" ht="15.75" thickBot="1" x14ac:dyDescent="0.3">
      <c r="A206" s="145" t="s">
        <v>85</v>
      </c>
      <c r="B206" s="133">
        <v>236</v>
      </c>
      <c r="C206" s="133">
        <v>104</v>
      </c>
      <c r="D206" s="133">
        <v>21</v>
      </c>
      <c r="E206" s="133">
        <v>11</v>
      </c>
      <c r="F206" s="133">
        <v>231</v>
      </c>
      <c r="G206" s="133">
        <v>102</v>
      </c>
      <c r="H206" s="133">
        <v>18</v>
      </c>
      <c r="I206" s="133">
        <v>10</v>
      </c>
      <c r="J206" s="133">
        <v>5</v>
      </c>
      <c r="K206" s="133">
        <v>2</v>
      </c>
      <c r="L206" s="133">
        <v>3</v>
      </c>
      <c r="M206" s="146">
        <v>1</v>
      </c>
    </row>
    <row r="207" spans="1:13" ht="15.75" thickBot="1" x14ac:dyDescent="0.3">
      <c r="A207" s="143" t="s">
        <v>86</v>
      </c>
      <c r="B207" s="132">
        <v>78</v>
      </c>
      <c r="C207" s="132">
        <v>37</v>
      </c>
      <c r="D207" s="132">
        <v>11</v>
      </c>
      <c r="E207" s="132">
        <v>5</v>
      </c>
      <c r="F207" s="132">
        <v>78</v>
      </c>
      <c r="G207" s="132">
        <v>37</v>
      </c>
      <c r="H207" s="132">
        <v>11</v>
      </c>
      <c r="I207" s="132">
        <v>5</v>
      </c>
      <c r="J207" s="132" t="s">
        <v>84</v>
      </c>
      <c r="K207" s="132" t="s">
        <v>84</v>
      </c>
      <c r="L207" s="132" t="s">
        <v>84</v>
      </c>
      <c r="M207" s="144" t="s">
        <v>84</v>
      </c>
    </row>
    <row r="208" spans="1:13" ht="15.75" thickBot="1" x14ac:dyDescent="0.3">
      <c r="A208" s="145" t="s">
        <v>87</v>
      </c>
      <c r="B208" s="133">
        <v>63</v>
      </c>
      <c r="C208" s="133">
        <v>26</v>
      </c>
      <c r="D208" s="133">
        <v>7</v>
      </c>
      <c r="E208" s="133">
        <v>4</v>
      </c>
      <c r="F208" s="133">
        <v>63</v>
      </c>
      <c r="G208" s="133">
        <v>26</v>
      </c>
      <c r="H208" s="133">
        <v>7</v>
      </c>
      <c r="I208" s="133">
        <v>4</v>
      </c>
      <c r="J208" s="133" t="s">
        <v>84</v>
      </c>
      <c r="K208" s="133" t="s">
        <v>84</v>
      </c>
      <c r="L208" s="133" t="s">
        <v>84</v>
      </c>
      <c r="M208" s="146" t="s">
        <v>84</v>
      </c>
    </row>
    <row r="209" spans="1:13" ht="15.75" thickBot="1" x14ac:dyDescent="0.3">
      <c r="A209" s="143" t="s">
        <v>153</v>
      </c>
      <c r="B209" s="132">
        <v>39</v>
      </c>
      <c r="C209" s="132">
        <v>15</v>
      </c>
      <c r="D209" s="132">
        <v>1</v>
      </c>
      <c r="E209" s="132">
        <v>1</v>
      </c>
      <c r="F209" s="132">
        <v>39</v>
      </c>
      <c r="G209" s="132">
        <v>15</v>
      </c>
      <c r="H209" s="132">
        <v>1</v>
      </c>
      <c r="I209" s="132">
        <v>1</v>
      </c>
      <c r="J209" s="132" t="s">
        <v>84</v>
      </c>
      <c r="K209" s="132" t="s">
        <v>84</v>
      </c>
      <c r="L209" s="132" t="s">
        <v>84</v>
      </c>
      <c r="M209" s="144" t="s">
        <v>84</v>
      </c>
    </row>
    <row r="210" spans="1:13" ht="15.75" thickBot="1" x14ac:dyDescent="0.3">
      <c r="A210" s="145" t="s">
        <v>154</v>
      </c>
      <c r="B210" s="133">
        <v>7</v>
      </c>
      <c r="C210" s="133">
        <v>3</v>
      </c>
      <c r="D210" s="133" t="s">
        <v>84</v>
      </c>
      <c r="E210" s="133" t="s">
        <v>84</v>
      </c>
      <c r="F210" s="133">
        <v>7</v>
      </c>
      <c r="G210" s="133">
        <v>3</v>
      </c>
      <c r="H210" s="133" t="s">
        <v>84</v>
      </c>
      <c r="I210" s="133" t="s">
        <v>84</v>
      </c>
      <c r="J210" s="133" t="s">
        <v>84</v>
      </c>
      <c r="K210" s="133" t="s">
        <v>84</v>
      </c>
      <c r="L210" s="133" t="s">
        <v>84</v>
      </c>
      <c r="M210" s="146" t="s">
        <v>84</v>
      </c>
    </row>
    <row r="211" spans="1:13" ht="15.75" thickBot="1" x14ac:dyDescent="0.3">
      <c r="A211" s="222" t="s">
        <v>106</v>
      </c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4"/>
    </row>
    <row r="212" spans="1:13" ht="15.75" thickBot="1" x14ac:dyDescent="0.3">
      <c r="A212" s="225"/>
      <c r="B212" s="226"/>
      <c r="C212" s="226"/>
      <c r="D212" s="226"/>
      <c r="E212" s="226"/>
      <c r="F212" s="226"/>
      <c r="G212" s="226"/>
      <c r="H212" s="226"/>
      <c r="I212" s="226"/>
      <c r="J212" s="226"/>
      <c r="K212" s="226"/>
      <c r="L212" s="226"/>
      <c r="M212" s="227"/>
    </row>
    <row r="213" spans="1:13" ht="15.75" thickBot="1" x14ac:dyDescent="0.3">
      <c r="A213" s="143" t="s">
        <v>83</v>
      </c>
      <c r="B213" s="132">
        <v>882</v>
      </c>
      <c r="C213" s="132">
        <v>391</v>
      </c>
      <c r="D213" s="132">
        <v>94</v>
      </c>
      <c r="E213" s="132">
        <v>42</v>
      </c>
      <c r="F213" s="132">
        <v>869</v>
      </c>
      <c r="G213" s="132">
        <v>389</v>
      </c>
      <c r="H213" s="132">
        <v>94</v>
      </c>
      <c r="I213" s="132">
        <v>42</v>
      </c>
      <c r="J213" s="132">
        <v>13</v>
      </c>
      <c r="K213" s="132">
        <v>2</v>
      </c>
      <c r="L213" s="132" t="s">
        <v>84</v>
      </c>
      <c r="M213" s="144" t="s">
        <v>84</v>
      </c>
    </row>
    <row r="214" spans="1:13" ht="15.75" thickBot="1" x14ac:dyDescent="0.3">
      <c r="A214" s="145" t="s">
        <v>151</v>
      </c>
      <c r="B214" s="133">
        <v>28</v>
      </c>
      <c r="C214" s="133">
        <v>11</v>
      </c>
      <c r="D214" s="133">
        <v>2</v>
      </c>
      <c r="E214" s="133" t="s">
        <v>84</v>
      </c>
      <c r="F214" s="133">
        <v>28</v>
      </c>
      <c r="G214" s="133">
        <v>11</v>
      </c>
      <c r="H214" s="133">
        <v>2</v>
      </c>
      <c r="I214" s="133" t="s">
        <v>84</v>
      </c>
      <c r="J214" s="133" t="s">
        <v>84</v>
      </c>
      <c r="K214" s="133" t="s">
        <v>84</v>
      </c>
      <c r="L214" s="133" t="s">
        <v>84</v>
      </c>
      <c r="M214" s="146" t="s">
        <v>84</v>
      </c>
    </row>
    <row r="215" spans="1:13" ht="15.75" thickBot="1" x14ac:dyDescent="0.3">
      <c r="A215" s="143" t="s">
        <v>152</v>
      </c>
      <c r="B215" s="132">
        <v>26</v>
      </c>
      <c r="C215" s="132">
        <v>17</v>
      </c>
      <c r="D215" s="132">
        <v>1</v>
      </c>
      <c r="E215" s="132">
        <v>1</v>
      </c>
      <c r="F215" s="132">
        <v>26</v>
      </c>
      <c r="G215" s="132">
        <v>17</v>
      </c>
      <c r="H215" s="132">
        <v>1</v>
      </c>
      <c r="I215" s="132">
        <v>1</v>
      </c>
      <c r="J215" s="132" t="s">
        <v>84</v>
      </c>
      <c r="K215" s="132" t="s">
        <v>84</v>
      </c>
      <c r="L215" s="132" t="s">
        <v>84</v>
      </c>
      <c r="M215" s="144" t="s">
        <v>84</v>
      </c>
    </row>
    <row r="216" spans="1:13" ht="15.75" thickBot="1" x14ac:dyDescent="0.3">
      <c r="A216" s="145" t="s">
        <v>85</v>
      </c>
      <c r="B216" s="133">
        <v>550</v>
      </c>
      <c r="C216" s="133">
        <v>259</v>
      </c>
      <c r="D216" s="133">
        <v>52</v>
      </c>
      <c r="E216" s="133">
        <v>25</v>
      </c>
      <c r="F216" s="133">
        <v>548</v>
      </c>
      <c r="G216" s="133">
        <v>259</v>
      </c>
      <c r="H216" s="133">
        <v>52</v>
      </c>
      <c r="I216" s="133">
        <v>25</v>
      </c>
      <c r="J216" s="133">
        <v>2</v>
      </c>
      <c r="K216" s="133" t="s">
        <v>84</v>
      </c>
      <c r="L216" s="133" t="s">
        <v>84</v>
      </c>
      <c r="M216" s="146" t="s">
        <v>84</v>
      </c>
    </row>
    <row r="217" spans="1:13" ht="15.75" thickBot="1" x14ac:dyDescent="0.3">
      <c r="A217" s="143" t="s">
        <v>86</v>
      </c>
      <c r="B217" s="132">
        <v>193</v>
      </c>
      <c r="C217" s="132">
        <v>72</v>
      </c>
      <c r="D217" s="132">
        <v>21</v>
      </c>
      <c r="E217" s="132">
        <v>8</v>
      </c>
      <c r="F217" s="132">
        <v>184</v>
      </c>
      <c r="G217" s="132">
        <v>71</v>
      </c>
      <c r="H217" s="132">
        <v>21</v>
      </c>
      <c r="I217" s="132">
        <v>8</v>
      </c>
      <c r="J217" s="132">
        <v>9</v>
      </c>
      <c r="K217" s="132">
        <v>1</v>
      </c>
      <c r="L217" s="132" t="s">
        <v>84</v>
      </c>
      <c r="M217" s="144" t="s">
        <v>84</v>
      </c>
    </row>
    <row r="218" spans="1:13" ht="15.75" thickBot="1" x14ac:dyDescent="0.3">
      <c r="A218" s="145" t="s">
        <v>87</v>
      </c>
      <c r="B218" s="133">
        <v>85</v>
      </c>
      <c r="C218" s="133">
        <v>32</v>
      </c>
      <c r="D218" s="133">
        <v>18</v>
      </c>
      <c r="E218" s="133">
        <v>8</v>
      </c>
      <c r="F218" s="133">
        <v>83</v>
      </c>
      <c r="G218" s="133">
        <v>31</v>
      </c>
      <c r="H218" s="133">
        <v>18</v>
      </c>
      <c r="I218" s="133">
        <v>8</v>
      </c>
      <c r="J218" s="133">
        <v>2</v>
      </c>
      <c r="K218" s="133">
        <v>1</v>
      </c>
      <c r="L218" s="133" t="s">
        <v>84</v>
      </c>
      <c r="M218" s="146" t="s">
        <v>84</v>
      </c>
    </row>
    <row r="219" spans="1:13" ht="15.75" thickBot="1" x14ac:dyDescent="0.3">
      <c r="A219" s="143" t="s">
        <v>153</v>
      </c>
      <c r="B219" s="132">
        <v>19</v>
      </c>
      <c r="C219" s="132">
        <v>5</v>
      </c>
      <c r="D219" s="132">
        <v>2</v>
      </c>
      <c r="E219" s="132">
        <v>1</v>
      </c>
      <c r="F219" s="132">
        <v>19</v>
      </c>
      <c r="G219" s="132">
        <v>5</v>
      </c>
      <c r="H219" s="132">
        <v>2</v>
      </c>
      <c r="I219" s="132">
        <v>1</v>
      </c>
      <c r="J219" s="132" t="s">
        <v>84</v>
      </c>
      <c r="K219" s="132" t="s">
        <v>84</v>
      </c>
      <c r="L219" s="132" t="s">
        <v>84</v>
      </c>
      <c r="M219" s="144" t="s">
        <v>84</v>
      </c>
    </row>
    <row r="220" spans="1:13" ht="15.75" thickBot="1" x14ac:dyDescent="0.3">
      <c r="A220" s="145" t="s">
        <v>154</v>
      </c>
      <c r="B220" s="133">
        <v>21</v>
      </c>
      <c r="C220" s="133">
        <v>7</v>
      </c>
      <c r="D220" s="133">
        <v>4</v>
      </c>
      <c r="E220" s="133">
        <v>1</v>
      </c>
      <c r="F220" s="133">
        <v>21</v>
      </c>
      <c r="G220" s="133">
        <v>7</v>
      </c>
      <c r="H220" s="133">
        <v>4</v>
      </c>
      <c r="I220" s="133">
        <v>1</v>
      </c>
      <c r="J220" s="133" t="s">
        <v>84</v>
      </c>
      <c r="K220" s="133" t="s">
        <v>84</v>
      </c>
      <c r="L220" s="133" t="s">
        <v>84</v>
      </c>
      <c r="M220" s="146" t="s">
        <v>84</v>
      </c>
    </row>
    <row r="221" spans="1:13" ht="15.75" thickBot="1" x14ac:dyDescent="0.3">
      <c r="A221" s="222" t="s">
        <v>107</v>
      </c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4"/>
    </row>
    <row r="222" spans="1:13" ht="15.75" thickBot="1" x14ac:dyDescent="0.3">
      <c r="A222" s="225"/>
      <c r="B222" s="226"/>
      <c r="C222" s="226"/>
      <c r="D222" s="226"/>
      <c r="E222" s="226"/>
      <c r="F222" s="226"/>
      <c r="G222" s="226"/>
      <c r="H222" s="226"/>
      <c r="I222" s="226"/>
      <c r="J222" s="226"/>
      <c r="K222" s="226"/>
      <c r="L222" s="226"/>
      <c r="M222" s="227"/>
    </row>
    <row r="223" spans="1:13" ht="15.75" thickBot="1" x14ac:dyDescent="0.3">
      <c r="A223" s="143" t="s">
        <v>83</v>
      </c>
      <c r="B223" s="132">
        <v>1005</v>
      </c>
      <c r="C223" s="132">
        <v>442</v>
      </c>
      <c r="D223" s="132">
        <v>109</v>
      </c>
      <c r="E223" s="132">
        <v>57</v>
      </c>
      <c r="F223" s="132">
        <v>990</v>
      </c>
      <c r="G223" s="132">
        <v>437</v>
      </c>
      <c r="H223" s="132">
        <v>109</v>
      </c>
      <c r="I223" s="132">
        <v>57</v>
      </c>
      <c r="J223" s="132">
        <v>15</v>
      </c>
      <c r="K223" s="132">
        <v>5</v>
      </c>
      <c r="L223" s="132" t="s">
        <v>84</v>
      </c>
      <c r="M223" s="144" t="s">
        <v>84</v>
      </c>
    </row>
    <row r="224" spans="1:13" ht="15.75" thickBot="1" x14ac:dyDescent="0.3">
      <c r="A224" s="145" t="s">
        <v>151</v>
      </c>
      <c r="B224" s="133">
        <v>163</v>
      </c>
      <c r="C224" s="133">
        <v>84</v>
      </c>
      <c r="D224" s="133">
        <v>12</v>
      </c>
      <c r="E224" s="133">
        <v>8</v>
      </c>
      <c r="F224" s="133">
        <v>163</v>
      </c>
      <c r="G224" s="133">
        <v>84</v>
      </c>
      <c r="H224" s="133">
        <v>12</v>
      </c>
      <c r="I224" s="133">
        <v>8</v>
      </c>
      <c r="J224" s="133" t="s">
        <v>84</v>
      </c>
      <c r="K224" s="133" t="s">
        <v>84</v>
      </c>
      <c r="L224" s="133" t="s">
        <v>84</v>
      </c>
      <c r="M224" s="146" t="s">
        <v>84</v>
      </c>
    </row>
    <row r="225" spans="1:13" ht="15.75" thickBot="1" x14ac:dyDescent="0.3">
      <c r="A225" s="143" t="s">
        <v>152</v>
      </c>
      <c r="B225" s="132">
        <v>40</v>
      </c>
      <c r="C225" s="132">
        <v>22</v>
      </c>
      <c r="D225" s="132">
        <v>1</v>
      </c>
      <c r="E225" s="132" t="s">
        <v>84</v>
      </c>
      <c r="F225" s="132">
        <v>40</v>
      </c>
      <c r="G225" s="132">
        <v>22</v>
      </c>
      <c r="H225" s="132">
        <v>1</v>
      </c>
      <c r="I225" s="132" t="s">
        <v>84</v>
      </c>
      <c r="J225" s="132" t="s">
        <v>84</v>
      </c>
      <c r="K225" s="132" t="s">
        <v>84</v>
      </c>
      <c r="L225" s="132" t="s">
        <v>84</v>
      </c>
      <c r="M225" s="144" t="s">
        <v>84</v>
      </c>
    </row>
    <row r="226" spans="1:13" ht="15.75" thickBot="1" x14ac:dyDescent="0.3">
      <c r="A226" s="145" t="s">
        <v>85</v>
      </c>
      <c r="B226" s="133">
        <v>490</v>
      </c>
      <c r="C226" s="133">
        <v>207</v>
      </c>
      <c r="D226" s="133">
        <v>53</v>
      </c>
      <c r="E226" s="133">
        <v>25</v>
      </c>
      <c r="F226" s="133">
        <v>482</v>
      </c>
      <c r="G226" s="133">
        <v>205</v>
      </c>
      <c r="H226" s="133">
        <v>53</v>
      </c>
      <c r="I226" s="133">
        <v>25</v>
      </c>
      <c r="J226" s="133">
        <v>8</v>
      </c>
      <c r="K226" s="133">
        <v>2</v>
      </c>
      <c r="L226" s="133" t="s">
        <v>84</v>
      </c>
      <c r="M226" s="146" t="s">
        <v>84</v>
      </c>
    </row>
    <row r="227" spans="1:13" ht="15.75" thickBot="1" x14ac:dyDescent="0.3">
      <c r="A227" s="143" t="s">
        <v>86</v>
      </c>
      <c r="B227" s="132">
        <v>220</v>
      </c>
      <c r="C227" s="132">
        <v>92</v>
      </c>
      <c r="D227" s="132">
        <v>22</v>
      </c>
      <c r="E227" s="132">
        <v>13</v>
      </c>
      <c r="F227" s="132">
        <v>213</v>
      </c>
      <c r="G227" s="132">
        <v>89</v>
      </c>
      <c r="H227" s="132">
        <v>22</v>
      </c>
      <c r="I227" s="132">
        <v>13</v>
      </c>
      <c r="J227" s="132">
        <v>7</v>
      </c>
      <c r="K227" s="132">
        <v>3</v>
      </c>
      <c r="L227" s="132" t="s">
        <v>84</v>
      </c>
      <c r="M227" s="144" t="s">
        <v>84</v>
      </c>
    </row>
    <row r="228" spans="1:13" ht="15.75" thickBot="1" x14ac:dyDescent="0.3">
      <c r="A228" s="145" t="s">
        <v>87</v>
      </c>
      <c r="B228" s="133">
        <v>92</v>
      </c>
      <c r="C228" s="133">
        <v>37</v>
      </c>
      <c r="D228" s="133">
        <v>21</v>
      </c>
      <c r="E228" s="133">
        <v>11</v>
      </c>
      <c r="F228" s="133">
        <v>92</v>
      </c>
      <c r="G228" s="133">
        <v>37</v>
      </c>
      <c r="H228" s="133">
        <v>21</v>
      </c>
      <c r="I228" s="133">
        <v>11</v>
      </c>
      <c r="J228" s="133" t="s">
        <v>84</v>
      </c>
      <c r="K228" s="133" t="s">
        <v>84</v>
      </c>
      <c r="L228" s="133" t="s">
        <v>84</v>
      </c>
      <c r="M228" s="146" t="s">
        <v>84</v>
      </c>
    </row>
    <row r="229" spans="1:13" ht="15.75" thickBot="1" x14ac:dyDescent="0.3">
      <c r="A229" s="143" t="s">
        <v>153</v>
      </c>
      <c r="B229" s="132">
        <v>28</v>
      </c>
      <c r="C229" s="132">
        <v>14</v>
      </c>
      <c r="D229" s="132">
        <v>8</v>
      </c>
      <c r="E229" s="132">
        <v>5</v>
      </c>
      <c r="F229" s="132">
        <v>28</v>
      </c>
      <c r="G229" s="132">
        <v>14</v>
      </c>
      <c r="H229" s="132">
        <v>8</v>
      </c>
      <c r="I229" s="132">
        <v>5</v>
      </c>
      <c r="J229" s="132" t="s">
        <v>84</v>
      </c>
      <c r="K229" s="132" t="s">
        <v>84</v>
      </c>
      <c r="L229" s="132" t="s">
        <v>84</v>
      </c>
      <c r="M229" s="144" t="s">
        <v>84</v>
      </c>
    </row>
    <row r="230" spans="1:13" ht="15.75" thickBot="1" x14ac:dyDescent="0.3">
      <c r="A230" s="145" t="s">
        <v>154</v>
      </c>
      <c r="B230" s="133">
        <v>8</v>
      </c>
      <c r="C230" s="133">
        <v>3</v>
      </c>
      <c r="D230" s="133">
        <v>2</v>
      </c>
      <c r="E230" s="133">
        <v>1</v>
      </c>
      <c r="F230" s="133">
        <v>8</v>
      </c>
      <c r="G230" s="133">
        <v>3</v>
      </c>
      <c r="H230" s="133">
        <v>2</v>
      </c>
      <c r="I230" s="133">
        <v>1</v>
      </c>
      <c r="J230" s="133" t="s">
        <v>84</v>
      </c>
      <c r="K230" s="133" t="s">
        <v>84</v>
      </c>
      <c r="L230" s="133" t="s">
        <v>84</v>
      </c>
      <c r="M230" s="146" t="s">
        <v>84</v>
      </c>
    </row>
    <row r="231" spans="1:13" ht="15.75" thickBot="1" x14ac:dyDescent="0.3">
      <c r="A231" s="222" t="s">
        <v>108</v>
      </c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4"/>
    </row>
    <row r="232" spans="1:13" ht="15.75" thickBot="1" x14ac:dyDescent="0.3">
      <c r="A232" s="225"/>
      <c r="B232" s="226"/>
      <c r="C232" s="226"/>
      <c r="D232" s="226"/>
      <c r="E232" s="226"/>
      <c r="F232" s="226"/>
      <c r="G232" s="226"/>
      <c r="H232" s="226"/>
      <c r="I232" s="226"/>
      <c r="J232" s="226"/>
      <c r="K232" s="226"/>
      <c r="L232" s="226"/>
      <c r="M232" s="227"/>
    </row>
    <row r="233" spans="1:13" ht="15.75" thickBot="1" x14ac:dyDescent="0.3">
      <c r="A233" s="143" t="s">
        <v>83</v>
      </c>
      <c r="B233" s="132">
        <v>12694</v>
      </c>
      <c r="C233" s="132">
        <v>5893</v>
      </c>
      <c r="D233" s="132">
        <v>978</v>
      </c>
      <c r="E233" s="132">
        <v>443</v>
      </c>
      <c r="F233" s="132">
        <v>12305</v>
      </c>
      <c r="G233" s="132">
        <v>5729</v>
      </c>
      <c r="H233" s="132">
        <v>971</v>
      </c>
      <c r="I233" s="132">
        <v>441</v>
      </c>
      <c r="J233" s="132">
        <v>389</v>
      </c>
      <c r="K233" s="132">
        <v>164</v>
      </c>
      <c r="L233" s="132">
        <v>7</v>
      </c>
      <c r="M233" s="144">
        <v>2</v>
      </c>
    </row>
    <row r="234" spans="1:13" ht="15.75" thickBot="1" x14ac:dyDescent="0.3">
      <c r="A234" s="145" t="s">
        <v>151</v>
      </c>
      <c r="B234" s="133">
        <v>751</v>
      </c>
      <c r="C234" s="133">
        <v>434</v>
      </c>
      <c r="D234" s="133">
        <v>12</v>
      </c>
      <c r="E234" s="133">
        <v>9</v>
      </c>
      <c r="F234" s="133">
        <v>648</v>
      </c>
      <c r="G234" s="133">
        <v>377</v>
      </c>
      <c r="H234" s="133">
        <v>11</v>
      </c>
      <c r="I234" s="133">
        <v>9</v>
      </c>
      <c r="J234" s="133">
        <v>103</v>
      </c>
      <c r="K234" s="133">
        <v>57</v>
      </c>
      <c r="L234" s="133">
        <v>1</v>
      </c>
      <c r="M234" s="146" t="s">
        <v>84</v>
      </c>
    </row>
    <row r="235" spans="1:13" ht="15.75" thickBot="1" x14ac:dyDescent="0.3">
      <c r="A235" s="143" t="s">
        <v>152</v>
      </c>
      <c r="B235" s="132">
        <v>335</v>
      </c>
      <c r="C235" s="132">
        <v>171</v>
      </c>
      <c r="D235" s="132">
        <v>6</v>
      </c>
      <c r="E235" s="132">
        <v>4</v>
      </c>
      <c r="F235" s="132">
        <v>311</v>
      </c>
      <c r="G235" s="132">
        <v>161</v>
      </c>
      <c r="H235" s="132">
        <v>6</v>
      </c>
      <c r="I235" s="132">
        <v>4</v>
      </c>
      <c r="J235" s="132">
        <v>24</v>
      </c>
      <c r="K235" s="132">
        <v>10</v>
      </c>
      <c r="L235" s="132" t="s">
        <v>84</v>
      </c>
      <c r="M235" s="144" t="s">
        <v>84</v>
      </c>
    </row>
    <row r="236" spans="1:13" ht="15.75" thickBot="1" x14ac:dyDescent="0.3">
      <c r="A236" s="145" t="s">
        <v>85</v>
      </c>
      <c r="B236" s="133">
        <v>8019</v>
      </c>
      <c r="C236" s="133">
        <v>3952</v>
      </c>
      <c r="D236" s="133">
        <v>421</v>
      </c>
      <c r="E236" s="133">
        <v>228</v>
      </c>
      <c r="F236" s="133">
        <v>7890</v>
      </c>
      <c r="G236" s="133">
        <v>3898</v>
      </c>
      <c r="H236" s="133">
        <v>420</v>
      </c>
      <c r="I236" s="133">
        <v>228</v>
      </c>
      <c r="J236" s="133">
        <v>129</v>
      </c>
      <c r="K236" s="133">
        <v>54</v>
      </c>
      <c r="L236" s="133">
        <v>1</v>
      </c>
      <c r="M236" s="146" t="s">
        <v>84</v>
      </c>
    </row>
    <row r="237" spans="1:13" ht="15.75" thickBot="1" x14ac:dyDescent="0.3">
      <c r="A237" s="143" t="s">
        <v>86</v>
      </c>
      <c r="B237" s="132">
        <v>2537</v>
      </c>
      <c r="C237" s="132">
        <v>963</v>
      </c>
      <c r="D237" s="132">
        <v>326</v>
      </c>
      <c r="E237" s="132">
        <v>130</v>
      </c>
      <c r="F237" s="132">
        <v>2484</v>
      </c>
      <c r="G237" s="132">
        <v>946</v>
      </c>
      <c r="H237" s="132">
        <v>324</v>
      </c>
      <c r="I237" s="132">
        <v>128</v>
      </c>
      <c r="J237" s="132">
        <v>53</v>
      </c>
      <c r="K237" s="132">
        <v>17</v>
      </c>
      <c r="L237" s="132">
        <v>2</v>
      </c>
      <c r="M237" s="144">
        <v>2</v>
      </c>
    </row>
    <row r="238" spans="1:13" ht="15.75" thickBot="1" x14ac:dyDescent="0.3">
      <c r="A238" s="145" t="s">
        <v>87</v>
      </c>
      <c r="B238" s="133">
        <v>1052</v>
      </c>
      <c r="C238" s="133">
        <v>373</v>
      </c>
      <c r="D238" s="133">
        <v>213</v>
      </c>
      <c r="E238" s="133">
        <v>72</v>
      </c>
      <c r="F238" s="133">
        <v>972</v>
      </c>
      <c r="G238" s="133">
        <v>347</v>
      </c>
      <c r="H238" s="133">
        <v>210</v>
      </c>
      <c r="I238" s="133">
        <v>72</v>
      </c>
      <c r="J238" s="133">
        <v>80</v>
      </c>
      <c r="K238" s="133">
        <v>26</v>
      </c>
      <c r="L238" s="133">
        <v>3</v>
      </c>
      <c r="M238" s="146" t="s">
        <v>84</v>
      </c>
    </row>
    <row r="239" spans="1:13" ht="15.75" thickBot="1" x14ac:dyDescent="0.3">
      <c r="A239" s="143" t="s">
        <v>153</v>
      </c>
      <c r="B239" s="132">
        <v>340</v>
      </c>
      <c r="C239" s="132">
        <v>122</v>
      </c>
      <c r="D239" s="132">
        <v>40</v>
      </c>
      <c r="E239" s="132">
        <v>14</v>
      </c>
      <c r="F239" s="132">
        <v>323</v>
      </c>
      <c r="G239" s="132">
        <v>116</v>
      </c>
      <c r="H239" s="132">
        <v>39</v>
      </c>
      <c r="I239" s="132">
        <v>14</v>
      </c>
      <c r="J239" s="132">
        <v>17</v>
      </c>
      <c r="K239" s="132">
        <v>6</v>
      </c>
      <c r="L239" s="132">
        <v>1</v>
      </c>
      <c r="M239" s="144" t="s">
        <v>84</v>
      </c>
    </row>
    <row r="240" spans="1:13" ht="15.75" thickBot="1" x14ac:dyDescent="0.3">
      <c r="A240" s="145" t="s">
        <v>154</v>
      </c>
      <c r="B240" s="133">
        <v>165</v>
      </c>
      <c r="C240" s="133">
        <v>67</v>
      </c>
      <c r="D240" s="133">
        <v>11</v>
      </c>
      <c r="E240" s="133">
        <v>7</v>
      </c>
      <c r="F240" s="133">
        <v>116</v>
      </c>
      <c r="G240" s="133">
        <v>48</v>
      </c>
      <c r="H240" s="133">
        <v>9</v>
      </c>
      <c r="I240" s="133">
        <v>7</v>
      </c>
      <c r="J240" s="133">
        <v>49</v>
      </c>
      <c r="K240" s="133">
        <v>19</v>
      </c>
      <c r="L240" s="133">
        <v>2</v>
      </c>
      <c r="M240" s="146" t="s">
        <v>84</v>
      </c>
    </row>
    <row r="241" spans="1:13" ht="15.75" thickBot="1" x14ac:dyDescent="0.3">
      <c r="A241" s="222" t="s">
        <v>109</v>
      </c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4"/>
    </row>
    <row r="242" spans="1:13" ht="15.75" thickBot="1" x14ac:dyDescent="0.3">
      <c r="A242" s="225"/>
      <c r="B242" s="226"/>
      <c r="C242" s="226"/>
      <c r="D242" s="226"/>
      <c r="E242" s="226"/>
      <c r="F242" s="226"/>
      <c r="G242" s="226"/>
      <c r="H242" s="226"/>
      <c r="I242" s="226"/>
      <c r="J242" s="226"/>
      <c r="K242" s="226"/>
      <c r="L242" s="226"/>
      <c r="M242" s="227"/>
    </row>
    <row r="243" spans="1:13" ht="15.75" thickBot="1" x14ac:dyDescent="0.3">
      <c r="A243" s="143" t="s">
        <v>83</v>
      </c>
      <c r="B243" s="132">
        <v>1377</v>
      </c>
      <c r="C243" s="132">
        <v>623</v>
      </c>
      <c r="D243" s="132">
        <v>119</v>
      </c>
      <c r="E243" s="132">
        <v>53</v>
      </c>
      <c r="F243" s="132">
        <v>1363</v>
      </c>
      <c r="G243" s="132">
        <v>617</v>
      </c>
      <c r="H243" s="132">
        <v>119</v>
      </c>
      <c r="I243" s="132">
        <v>53</v>
      </c>
      <c r="J243" s="132">
        <v>14</v>
      </c>
      <c r="K243" s="132">
        <v>6</v>
      </c>
      <c r="L243" s="132" t="s">
        <v>84</v>
      </c>
      <c r="M243" s="144" t="s">
        <v>84</v>
      </c>
    </row>
    <row r="244" spans="1:13" ht="15.75" thickBot="1" x14ac:dyDescent="0.3">
      <c r="A244" s="145" t="s">
        <v>151</v>
      </c>
      <c r="B244" s="133">
        <v>39</v>
      </c>
      <c r="C244" s="133">
        <v>26</v>
      </c>
      <c r="D244" s="133" t="s">
        <v>84</v>
      </c>
      <c r="E244" s="133" t="s">
        <v>84</v>
      </c>
      <c r="F244" s="133">
        <v>39</v>
      </c>
      <c r="G244" s="133">
        <v>26</v>
      </c>
      <c r="H244" s="133" t="s">
        <v>84</v>
      </c>
      <c r="I244" s="133" t="s">
        <v>84</v>
      </c>
      <c r="J244" s="133" t="s">
        <v>84</v>
      </c>
      <c r="K244" s="133" t="s">
        <v>84</v>
      </c>
      <c r="L244" s="133" t="s">
        <v>84</v>
      </c>
      <c r="M244" s="146" t="s">
        <v>84</v>
      </c>
    </row>
    <row r="245" spans="1:13" ht="15.75" thickBot="1" x14ac:dyDescent="0.3">
      <c r="A245" s="143" t="s">
        <v>152</v>
      </c>
      <c r="B245" s="132">
        <v>46</v>
      </c>
      <c r="C245" s="132">
        <v>17</v>
      </c>
      <c r="D245" s="132" t="s">
        <v>84</v>
      </c>
      <c r="E245" s="132" t="s">
        <v>84</v>
      </c>
      <c r="F245" s="132">
        <v>46</v>
      </c>
      <c r="G245" s="132">
        <v>17</v>
      </c>
      <c r="H245" s="132" t="s">
        <v>84</v>
      </c>
      <c r="I245" s="132" t="s">
        <v>84</v>
      </c>
      <c r="J245" s="132" t="s">
        <v>84</v>
      </c>
      <c r="K245" s="132" t="s">
        <v>84</v>
      </c>
      <c r="L245" s="132" t="s">
        <v>84</v>
      </c>
      <c r="M245" s="144" t="s">
        <v>84</v>
      </c>
    </row>
    <row r="246" spans="1:13" ht="15.75" thickBot="1" x14ac:dyDescent="0.3">
      <c r="A246" s="145" t="s">
        <v>85</v>
      </c>
      <c r="B246" s="133">
        <v>825</v>
      </c>
      <c r="C246" s="133">
        <v>394</v>
      </c>
      <c r="D246" s="133">
        <v>51</v>
      </c>
      <c r="E246" s="133">
        <v>24</v>
      </c>
      <c r="F246" s="133">
        <v>818</v>
      </c>
      <c r="G246" s="133">
        <v>392</v>
      </c>
      <c r="H246" s="133">
        <v>51</v>
      </c>
      <c r="I246" s="133">
        <v>24</v>
      </c>
      <c r="J246" s="133">
        <v>7</v>
      </c>
      <c r="K246" s="133">
        <v>2</v>
      </c>
      <c r="L246" s="133" t="s">
        <v>84</v>
      </c>
      <c r="M246" s="146" t="s">
        <v>84</v>
      </c>
    </row>
    <row r="247" spans="1:13" ht="15.75" thickBot="1" x14ac:dyDescent="0.3">
      <c r="A247" s="143" t="s">
        <v>86</v>
      </c>
      <c r="B247" s="132">
        <v>317</v>
      </c>
      <c r="C247" s="132">
        <v>131</v>
      </c>
      <c r="D247" s="132">
        <v>38</v>
      </c>
      <c r="E247" s="132">
        <v>17</v>
      </c>
      <c r="F247" s="132">
        <v>312</v>
      </c>
      <c r="G247" s="132">
        <v>127</v>
      </c>
      <c r="H247" s="132">
        <v>38</v>
      </c>
      <c r="I247" s="132">
        <v>17</v>
      </c>
      <c r="J247" s="132">
        <v>5</v>
      </c>
      <c r="K247" s="132">
        <v>4</v>
      </c>
      <c r="L247" s="132" t="s">
        <v>84</v>
      </c>
      <c r="M247" s="144" t="s">
        <v>84</v>
      </c>
    </row>
    <row r="248" spans="1:13" ht="15.75" thickBot="1" x14ac:dyDescent="0.3">
      <c r="A248" s="145" t="s">
        <v>87</v>
      </c>
      <c r="B248" s="133">
        <v>150</v>
      </c>
      <c r="C248" s="133">
        <v>55</v>
      </c>
      <c r="D248" s="133">
        <v>30</v>
      </c>
      <c r="E248" s="133">
        <v>12</v>
      </c>
      <c r="F248" s="133">
        <v>148</v>
      </c>
      <c r="G248" s="133">
        <v>55</v>
      </c>
      <c r="H248" s="133">
        <v>30</v>
      </c>
      <c r="I248" s="133">
        <v>12</v>
      </c>
      <c r="J248" s="133">
        <v>2</v>
      </c>
      <c r="K248" s="133" t="s">
        <v>84</v>
      </c>
      <c r="L248" s="133" t="s">
        <v>84</v>
      </c>
      <c r="M248" s="146" t="s">
        <v>84</v>
      </c>
    </row>
    <row r="249" spans="1:13" ht="15.75" thickBot="1" x14ac:dyDescent="0.3">
      <c r="A249" s="143" t="s">
        <v>153</v>
      </c>
      <c r="B249" s="132">
        <v>41</v>
      </c>
      <c r="C249" s="132">
        <v>16</v>
      </c>
      <c r="D249" s="132">
        <v>6</v>
      </c>
      <c r="E249" s="132">
        <v>3</v>
      </c>
      <c r="F249" s="132">
        <v>41</v>
      </c>
      <c r="G249" s="132">
        <v>16</v>
      </c>
      <c r="H249" s="132">
        <v>6</v>
      </c>
      <c r="I249" s="132">
        <v>3</v>
      </c>
      <c r="J249" s="132" t="s">
        <v>84</v>
      </c>
      <c r="K249" s="132" t="s">
        <v>84</v>
      </c>
      <c r="L249" s="132" t="s">
        <v>84</v>
      </c>
      <c r="M249" s="144" t="s">
        <v>84</v>
      </c>
    </row>
    <row r="250" spans="1:13" ht="15.75" thickBot="1" x14ac:dyDescent="0.3">
      <c r="A250" s="145" t="s">
        <v>154</v>
      </c>
      <c r="B250" s="133">
        <v>19</v>
      </c>
      <c r="C250" s="133">
        <v>8</v>
      </c>
      <c r="D250" s="133" t="s">
        <v>84</v>
      </c>
      <c r="E250" s="133" t="s">
        <v>84</v>
      </c>
      <c r="F250" s="133">
        <v>19</v>
      </c>
      <c r="G250" s="133">
        <v>8</v>
      </c>
      <c r="H250" s="133" t="s">
        <v>84</v>
      </c>
      <c r="I250" s="133" t="s">
        <v>84</v>
      </c>
      <c r="J250" s="133" t="s">
        <v>84</v>
      </c>
      <c r="K250" s="133" t="s">
        <v>84</v>
      </c>
      <c r="L250" s="133" t="s">
        <v>84</v>
      </c>
      <c r="M250" s="146" t="s">
        <v>84</v>
      </c>
    </row>
    <row r="251" spans="1:13" ht="15.75" thickBot="1" x14ac:dyDescent="0.3">
      <c r="A251" s="222" t="s">
        <v>110</v>
      </c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4"/>
    </row>
    <row r="252" spans="1:13" ht="15.75" thickBot="1" x14ac:dyDescent="0.3">
      <c r="A252" s="225"/>
      <c r="B252" s="226"/>
      <c r="C252" s="226"/>
      <c r="D252" s="226"/>
      <c r="E252" s="226"/>
      <c r="F252" s="226"/>
      <c r="G252" s="226"/>
      <c r="H252" s="226"/>
      <c r="I252" s="226"/>
      <c r="J252" s="226"/>
      <c r="K252" s="226"/>
      <c r="L252" s="226"/>
      <c r="M252" s="227"/>
    </row>
    <row r="253" spans="1:13" ht="15.75" thickBot="1" x14ac:dyDescent="0.3">
      <c r="A253" s="143" t="s">
        <v>83</v>
      </c>
      <c r="B253" s="132">
        <v>1394</v>
      </c>
      <c r="C253" s="132">
        <v>683</v>
      </c>
      <c r="D253" s="132">
        <v>128</v>
      </c>
      <c r="E253" s="132">
        <v>64</v>
      </c>
      <c r="F253" s="132">
        <v>1369</v>
      </c>
      <c r="G253" s="132">
        <v>673</v>
      </c>
      <c r="H253" s="132">
        <v>128</v>
      </c>
      <c r="I253" s="132">
        <v>64</v>
      </c>
      <c r="J253" s="132">
        <v>25</v>
      </c>
      <c r="K253" s="132">
        <v>10</v>
      </c>
      <c r="L253" s="132" t="s">
        <v>84</v>
      </c>
      <c r="M253" s="144" t="s">
        <v>84</v>
      </c>
    </row>
    <row r="254" spans="1:13" ht="15.75" thickBot="1" x14ac:dyDescent="0.3">
      <c r="A254" s="145" t="s">
        <v>152</v>
      </c>
      <c r="B254" s="133">
        <v>19</v>
      </c>
      <c r="C254" s="133">
        <v>6</v>
      </c>
      <c r="D254" s="133" t="s">
        <v>84</v>
      </c>
      <c r="E254" s="133" t="s">
        <v>84</v>
      </c>
      <c r="F254" s="133">
        <v>13</v>
      </c>
      <c r="G254" s="133">
        <v>4</v>
      </c>
      <c r="H254" s="133" t="s">
        <v>84</v>
      </c>
      <c r="I254" s="133" t="s">
        <v>84</v>
      </c>
      <c r="J254" s="133">
        <v>6</v>
      </c>
      <c r="K254" s="133">
        <v>2</v>
      </c>
      <c r="L254" s="133" t="s">
        <v>84</v>
      </c>
      <c r="M254" s="146" t="s">
        <v>84</v>
      </c>
    </row>
    <row r="255" spans="1:13" ht="15.75" thickBot="1" x14ac:dyDescent="0.3">
      <c r="A255" s="143" t="s">
        <v>85</v>
      </c>
      <c r="B255" s="132">
        <v>970</v>
      </c>
      <c r="C255" s="132">
        <v>532</v>
      </c>
      <c r="D255" s="132">
        <v>67</v>
      </c>
      <c r="E255" s="132">
        <v>42</v>
      </c>
      <c r="F255" s="132">
        <v>953</v>
      </c>
      <c r="G255" s="132">
        <v>524</v>
      </c>
      <c r="H255" s="132">
        <v>67</v>
      </c>
      <c r="I255" s="132">
        <v>42</v>
      </c>
      <c r="J255" s="132">
        <v>17</v>
      </c>
      <c r="K255" s="132">
        <v>8</v>
      </c>
      <c r="L255" s="132" t="s">
        <v>84</v>
      </c>
      <c r="M255" s="144" t="s">
        <v>84</v>
      </c>
    </row>
    <row r="256" spans="1:13" ht="15.75" thickBot="1" x14ac:dyDescent="0.3">
      <c r="A256" s="145" t="s">
        <v>86</v>
      </c>
      <c r="B256" s="133">
        <v>298</v>
      </c>
      <c r="C256" s="133">
        <v>104</v>
      </c>
      <c r="D256" s="133">
        <v>35</v>
      </c>
      <c r="E256" s="133">
        <v>11</v>
      </c>
      <c r="F256" s="133">
        <v>297</v>
      </c>
      <c r="G256" s="133">
        <v>104</v>
      </c>
      <c r="H256" s="133">
        <v>35</v>
      </c>
      <c r="I256" s="133">
        <v>11</v>
      </c>
      <c r="J256" s="133">
        <v>1</v>
      </c>
      <c r="K256" s="133" t="s">
        <v>84</v>
      </c>
      <c r="L256" s="133" t="s">
        <v>84</v>
      </c>
      <c r="M256" s="146" t="s">
        <v>84</v>
      </c>
    </row>
    <row r="257" spans="1:13" ht="15.75" thickBot="1" x14ac:dyDescent="0.3">
      <c r="A257" s="143" t="s">
        <v>87</v>
      </c>
      <c r="B257" s="132">
        <v>107</v>
      </c>
      <c r="C257" s="132">
        <v>41</v>
      </c>
      <c r="D257" s="132">
        <v>26</v>
      </c>
      <c r="E257" s="132">
        <v>11</v>
      </c>
      <c r="F257" s="132">
        <v>106</v>
      </c>
      <c r="G257" s="132">
        <v>41</v>
      </c>
      <c r="H257" s="132">
        <v>26</v>
      </c>
      <c r="I257" s="132">
        <v>11</v>
      </c>
      <c r="J257" s="132">
        <v>1</v>
      </c>
      <c r="K257" s="132" t="s">
        <v>84</v>
      </c>
      <c r="L257" s="132" t="s">
        <v>84</v>
      </c>
      <c r="M257" s="144" t="s">
        <v>84</v>
      </c>
    </row>
    <row r="258" spans="1:13" ht="15.75" thickBot="1" x14ac:dyDescent="0.3">
      <c r="A258" s="145" t="s">
        <v>153</v>
      </c>
      <c r="B258" s="133">
        <v>30</v>
      </c>
      <c r="C258" s="133">
        <v>12</v>
      </c>
      <c r="D258" s="133">
        <v>4</v>
      </c>
      <c r="E258" s="133" t="s">
        <v>84</v>
      </c>
      <c r="F258" s="133">
        <v>30</v>
      </c>
      <c r="G258" s="133">
        <v>12</v>
      </c>
      <c r="H258" s="133">
        <v>4</v>
      </c>
      <c r="I258" s="133" t="s">
        <v>84</v>
      </c>
      <c r="J258" s="133" t="s">
        <v>84</v>
      </c>
      <c r="K258" s="133" t="s">
        <v>84</v>
      </c>
      <c r="L258" s="133" t="s">
        <v>84</v>
      </c>
      <c r="M258" s="146" t="s">
        <v>84</v>
      </c>
    </row>
    <row r="259" spans="1:13" ht="15.75" thickBot="1" x14ac:dyDescent="0.3">
      <c r="A259" s="143" t="s">
        <v>154</v>
      </c>
      <c r="B259" s="132">
        <v>20</v>
      </c>
      <c r="C259" s="132">
        <v>11</v>
      </c>
      <c r="D259" s="132">
        <v>5</v>
      </c>
      <c r="E259" s="132">
        <v>3</v>
      </c>
      <c r="F259" s="132">
        <v>20</v>
      </c>
      <c r="G259" s="132">
        <v>11</v>
      </c>
      <c r="H259" s="132">
        <v>5</v>
      </c>
      <c r="I259" s="132">
        <v>3</v>
      </c>
      <c r="J259" s="132" t="s">
        <v>84</v>
      </c>
      <c r="K259" s="132" t="s">
        <v>84</v>
      </c>
      <c r="L259" s="132" t="s">
        <v>84</v>
      </c>
      <c r="M259" s="144" t="s">
        <v>84</v>
      </c>
    </row>
    <row r="260" spans="1:13" ht="15.75" thickBot="1" x14ac:dyDescent="0.3">
      <c r="A260" s="225" t="s">
        <v>111</v>
      </c>
      <c r="B260" s="226"/>
      <c r="C260" s="226"/>
      <c r="D260" s="226"/>
      <c r="E260" s="226"/>
      <c r="F260" s="226"/>
      <c r="G260" s="226"/>
      <c r="H260" s="226"/>
      <c r="I260" s="226"/>
      <c r="J260" s="226"/>
      <c r="K260" s="226"/>
      <c r="L260" s="226"/>
      <c r="M260" s="227"/>
    </row>
    <row r="261" spans="1:13" ht="15.75" thickBot="1" x14ac:dyDescent="0.3">
      <c r="A261" s="222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4"/>
    </row>
    <row r="262" spans="1:13" ht="15.75" thickBot="1" x14ac:dyDescent="0.3">
      <c r="A262" s="145" t="s">
        <v>83</v>
      </c>
      <c r="B262" s="133">
        <v>1694</v>
      </c>
      <c r="C262" s="133">
        <v>785</v>
      </c>
      <c r="D262" s="133">
        <v>99</v>
      </c>
      <c r="E262" s="133">
        <v>57</v>
      </c>
      <c r="F262" s="133">
        <v>1636</v>
      </c>
      <c r="G262" s="133">
        <v>754</v>
      </c>
      <c r="H262" s="133">
        <v>98</v>
      </c>
      <c r="I262" s="133">
        <v>56</v>
      </c>
      <c r="J262" s="133">
        <v>58</v>
      </c>
      <c r="K262" s="133">
        <v>31</v>
      </c>
      <c r="L262" s="133">
        <v>1</v>
      </c>
      <c r="M262" s="146">
        <v>1</v>
      </c>
    </row>
    <row r="263" spans="1:13" ht="15.75" thickBot="1" x14ac:dyDescent="0.3">
      <c r="A263" s="143" t="s">
        <v>151</v>
      </c>
      <c r="B263" s="132">
        <v>190</v>
      </c>
      <c r="C263" s="132">
        <v>96</v>
      </c>
      <c r="D263" s="132" t="s">
        <v>84</v>
      </c>
      <c r="E263" s="132" t="s">
        <v>84</v>
      </c>
      <c r="F263" s="132">
        <v>170</v>
      </c>
      <c r="G263" s="132">
        <v>86</v>
      </c>
      <c r="H263" s="132" t="s">
        <v>84</v>
      </c>
      <c r="I263" s="132" t="s">
        <v>84</v>
      </c>
      <c r="J263" s="132">
        <v>20</v>
      </c>
      <c r="K263" s="132">
        <v>10</v>
      </c>
      <c r="L263" s="132" t="s">
        <v>84</v>
      </c>
      <c r="M263" s="144" t="s">
        <v>84</v>
      </c>
    </row>
    <row r="264" spans="1:13" ht="15.75" thickBot="1" x14ac:dyDescent="0.3">
      <c r="A264" s="145" t="s">
        <v>152</v>
      </c>
      <c r="B264" s="133">
        <v>45</v>
      </c>
      <c r="C264" s="133">
        <v>27</v>
      </c>
      <c r="D264" s="133">
        <v>1</v>
      </c>
      <c r="E264" s="133">
        <v>1</v>
      </c>
      <c r="F264" s="133">
        <v>38</v>
      </c>
      <c r="G264" s="133">
        <v>23</v>
      </c>
      <c r="H264" s="133">
        <v>1</v>
      </c>
      <c r="I264" s="133">
        <v>1</v>
      </c>
      <c r="J264" s="133">
        <v>7</v>
      </c>
      <c r="K264" s="133">
        <v>4</v>
      </c>
      <c r="L264" s="133" t="s">
        <v>84</v>
      </c>
      <c r="M264" s="146" t="s">
        <v>84</v>
      </c>
    </row>
    <row r="265" spans="1:13" ht="15.75" thickBot="1" x14ac:dyDescent="0.3">
      <c r="A265" s="143" t="s">
        <v>85</v>
      </c>
      <c r="B265" s="132">
        <v>1082</v>
      </c>
      <c r="C265" s="132">
        <v>514</v>
      </c>
      <c r="D265" s="132">
        <v>48</v>
      </c>
      <c r="E265" s="132">
        <v>34</v>
      </c>
      <c r="F265" s="132">
        <v>1059</v>
      </c>
      <c r="G265" s="132">
        <v>503</v>
      </c>
      <c r="H265" s="132">
        <v>48</v>
      </c>
      <c r="I265" s="132">
        <v>34</v>
      </c>
      <c r="J265" s="132">
        <v>23</v>
      </c>
      <c r="K265" s="132">
        <v>11</v>
      </c>
      <c r="L265" s="132" t="s">
        <v>84</v>
      </c>
      <c r="M265" s="144" t="s">
        <v>84</v>
      </c>
    </row>
    <row r="266" spans="1:13" ht="15.75" thickBot="1" x14ac:dyDescent="0.3">
      <c r="A266" s="145" t="s">
        <v>86</v>
      </c>
      <c r="B266" s="133">
        <v>276</v>
      </c>
      <c r="C266" s="133">
        <v>111</v>
      </c>
      <c r="D266" s="133">
        <v>30</v>
      </c>
      <c r="E266" s="133">
        <v>14</v>
      </c>
      <c r="F266" s="133">
        <v>272</v>
      </c>
      <c r="G266" s="133">
        <v>107</v>
      </c>
      <c r="H266" s="133">
        <v>29</v>
      </c>
      <c r="I266" s="133">
        <v>13</v>
      </c>
      <c r="J266" s="133">
        <v>4</v>
      </c>
      <c r="K266" s="133">
        <v>4</v>
      </c>
      <c r="L266" s="133">
        <v>1</v>
      </c>
      <c r="M266" s="146">
        <v>1</v>
      </c>
    </row>
    <row r="267" spans="1:13" ht="15.75" thickBot="1" x14ac:dyDescent="0.3">
      <c r="A267" s="143" t="s">
        <v>87</v>
      </c>
      <c r="B267" s="132">
        <v>101</v>
      </c>
      <c r="C267" s="132">
        <v>37</v>
      </c>
      <c r="D267" s="132">
        <v>20</v>
      </c>
      <c r="E267" s="132">
        <v>8</v>
      </c>
      <c r="F267" s="132">
        <v>97</v>
      </c>
      <c r="G267" s="132">
        <v>35</v>
      </c>
      <c r="H267" s="132">
        <v>20</v>
      </c>
      <c r="I267" s="132">
        <v>8</v>
      </c>
      <c r="J267" s="132">
        <v>4</v>
      </c>
      <c r="K267" s="132">
        <v>2</v>
      </c>
      <c r="L267" s="132" t="s">
        <v>84</v>
      </c>
      <c r="M267" s="144" t="s">
        <v>84</v>
      </c>
    </row>
    <row r="268" spans="1:13" ht="15.75" thickBot="1" x14ac:dyDescent="0.3">
      <c r="A268" s="145" t="s">
        <v>153</v>
      </c>
      <c r="B268" s="133">
        <v>30</v>
      </c>
      <c r="C268" s="133">
        <v>11</v>
      </c>
      <c r="D268" s="133">
        <v>3</v>
      </c>
      <c r="E268" s="133">
        <v>1</v>
      </c>
      <c r="F268" s="133">
        <v>28</v>
      </c>
      <c r="G268" s="133">
        <v>10</v>
      </c>
      <c r="H268" s="133">
        <v>3</v>
      </c>
      <c r="I268" s="133">
        <v>1</v>
      </c>
      <c r="J268" s="133">
        <v>2</v>
      </c>
      <c r="K268" s="133">
        <v>1</v>
      </c>
      <c r="L268" s="133" t="s">
        <v>84</v>
      </c>
      <c r="M268" s="146" t="s">
        <v>84</v>
      </c>
    </row>
    <row r="269" spans="1:13" ht="15.75" thickBot="1" x14ac:dyDescent="0.3">
      <c r="A269" s="143" t="s">
        <v>154</v>
      </c>
      <c r="B269" s="132">
        <v>26</v>
      </c>
      <c r="C269" s="132">
        <v>8</v>
      </c>
      <c r="D269" s="132">
        <v>2</v>
      </c>
      <c r="E269" s="132">
        <v>2</v>
      </c>
      <c r="F269" s="132">
        <v>24</v>
      </c>
      <c r="G269" s="132">
        <v>7</v>
      </c>
      <c r="H269" s="132">
        <v>2</v>
      </c>
      <c r="I269" s="132">
        <v>2</v>
      </c>
      <c r="J269" s="132">
        <v>2</v>
      </c>
      <c r="K269" s="132">
        <v>1</v>
      </c>
      <c r="L269" s="132" t="s">
        <v>84</v>
      </c>
      <c r="M269" s="144" t="s">
        <v>84</v>
      </c>
    </row>
    <row r="270" spans="1:13" ht="15.75" thickBot="1" x14ac:dyDescent="0.3">
      <c r="A270" s="225" t="s">
        <v>112</v>
      </c>
      <c r="B270" s="226"/>
      <c r="C270" s="226"/>
      <c r="D270" s="226"/>
      <c r="E270" s="226"/>
      <c r="F270" s="226"/>
      <c r="G270" s="226"/>
      <c r="H270" s="226"/>
      <c r="I270" s="226"/>
      <c r="J270" s="226"/>
      <c r="K270" s="226"/>
      <c r="L270" s="226"/>
      <c r="M270" s="227"/>
    </row>
    <row r="271" spans="1:13" ht="15.75" thickBot="1" x14ac:dyDescent="0.3">
      <c r="A271" s="222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4"/>
    </row>
    <row r="272" spans="1:13" ht="15.75" thickBot="1" x14ac:dyDescent="0.3">
      <c r="A272" s="145" t="s">
        <v>83</v>
      </c>
      <c r="B272" s="133">
        <v>409</v>
      </c>
      <c r="C272" s="133">
        <v>176</v>
      </c>
      <c r="D272" s="133">
        <v>16</v>
      </c>
      <c r="E272" s="133">
        <v>4</v>
      </c>
      <c r="F272" s="133">
        <v>345</v>
      </c>
      <c r="G272" s="133">
        <v>149</v>
      </c>
      <c r="H272" s="133">
        <v>15</v>
      </c>
      <c r="I272" s="133">
        <v>4</v>
      </c>
      <c r="J272" s="133">
        <v>64</v>
      </c>
      <c r="K272" s="133">
        <v>27</v>
      </c>
      <c r="L272" s="133">
        <v>1</v>
      </c>
      <c r="M272" s="146" t="s">
        <v>84</v>
      </c>
    </row>
    <row r="273" spans="1:13" ht="15.75" thickBot="1" x14ac:dyDescent="0.3">
      <c r="A273" s="143" t="s">
        <v>151</v>
      </c>
      <c r="B273" s="132">
        <v>10</v>
      </c>
      <c r="C273" s="132">
        <v>3</v>
      </c>
      <c r="D273" s="132" t="s">
        <v>84</v>
      </c>
      <c r="E273" s="132" t="s">
        <v>84</v>
      </c>
      <c r="F273" s="132" t="s">
        <v>84</v>
      </c>
      <c r="G273" s="132" t="s">
        <v>84</v>
      </c>
      <c r="H273" s="132" t="s">
        <v>84</v>
      </c>
      <c r="I273" s="132" t="s">
        <v>84</v>
      </c>
      <c r="J273" s="132">
        <v>10</v>
      </c>
      <c r="K273" s="132">
        <v>3</v>
      </c>
      <c r="L273" s="132" t="s">
        <v>84</v>
      </c>
      <c r="M273" s="144" t="s">
        <v>84</v>
      </c>
    </row>
    <row r="274" spans="1:13" ht="15.75" thickBot="1" x14ac:dyDescent="0.3">
      <c r="A274" s="145" t="s">
        <v>152</v>
      </c>
      <c r="B274" s="133">
        <v>9</v>
      </c>
      <c r="C274" s="133">
        <v>3</v>
      </c>
      <c r="D274" s="133" t="s">
        <v>84</v>
      </c>
      <c r="E274" s="133" t="s">
        <v>84</v>
      </c>
      <c r="F274" s="133">
        <v>9</v>
      </c>
      <c r="G274" s="133">
        <v>3</v>
      </c>
      <c r="H274" s="133" t="s">
        <v>84</v>
      </c>
      <c r="I274" s="133" t="s">
        <v>84</v>
      </c>
      <c r="J274" s="133" t="s">
        <v>84</v>
      </c>
      <c r="K274" s="133" t="s">
        <v>84</v>
      </c>
      <c r="L274" s="133" t="s">
        <v>84</v>
      </c>
      <c r="M274" s="146" t="s">
        <v>84</v>
      </c>
    </row>
    <row r="275" spans="1:13" ht="15.75" thickBot="1" x14ac:dyDescent="0.3">
      <c r="A275" s="143" t="s">
        <v>85</v>
      </c>
      <c r="B275" s="132">
        <v>255</v>
      </c>
      <c r="C275" s="132">
        <v>131</v>
      </c>
      <c r="D275" s="132">
        <v>7</v>
      </c>
      <c r="E275" s="132">
        <v>2</v>
      </c>
      <c r="F275" s="132">
        <v>239</v>
      </c>
      <c r="G275" s="132">
        <v>121</v>
      </c>
      <c r="H275" s="132">
        <v>7</v>
      </c>
      <c r="I275" s="132">
        <v>2</v>
      </c>
      <c r="J275" s="132">
        <v>16</v>
      </c>
      <c r="K275" s="132">
        <v>10</v>
      </c>
      <c r="L275" s="132" t="s">
        <v>84</v>
      </c>
      <c r="M275" s="144" t="s">
        <v>84</v>
      </c>
    </row>
    <row r="276" spans="1:13" ht="15.75" thickBot="1" x14ac:dyDescent="0.3">
      <c r="A276" s="145" t="s">
        <v>86</v>
      </c>
      <c r="B276" s="133">
        <v>97</v>
      </c>
      <c r="C276" s="133">
        <v>25</v>
      </c>
      <c r="D276" s="133">
        <v>4</v>
      </c>
      <c r="E276" s="133">
        <v>1</v>
      </c>
      <c r="F276" s="133">
        <v>80</v>
      </c>
      <c r="G276" s="133">
        <v>19</v>
      </c>
      <c r="H276" s="133">
        <v>4</v>
      </c>
      <c r="I276" s="133">
        <v>1</v>
      </c>
      <c r="J276" s="133">
        <v>17</v>
      </c>
      <c r="K276" s="133">
        <v>6</v>
      </c>
      <c r="L276" s="133" t="s">
        <v>84</v>
      </c>
      <c r="M276" s="146" t="s">
        <v>84</v>
      </c>
    </row>
    <row r="277" spans="1:13" ht="15.75" thickBot="1" x14ac:dyDescent="0.3">
      <c r="A277" s="143" t="s">
        <v>87</v>
      </c>
      <c r="B277" s="132">
        <v>38</v>
      </c>
      <c r="C277" s="132">
        <v>14</v>
      </c>
      <c r="D277" s="132">
        <v>5</v>
      </c>
      <c r="E277" s="132">
        <v>1</v>
      </c>
      <c r="F277" s="132">
        <v>17</v>
      </c>
      <c r="G277" s="132">
        <v>6</v>
      </c>
      <c r="H277" s="132">
        <v>4</v>
      </c>
      <c r="I277" s="132">
        <v>1</v>
      </c>
      <c r="J277" s="132">
        <v>21</v>
      </c>
      <c r="K277" s="132">
        <v>8</v>
      </c>
      <c r="L277" s="132">
        <v>1</v>
      </c>
      <c r="M277" s="144" t="s">
        <v>84</v>
      </c>
    </row>
    <row r="278" spans="1:13" ht="15.75" thickBot="1" x14ac:dyDescent="0.3">
      <c r="A278" s="145" t="s">
        <v>153</v>
      </c>
      <c r="B278" s="133">
        <v>14</v>
      </c>
      <c r="C278" s="133">
        <v>6</v>
      </c>
      <c r="D278" s="133">
        <v>2</v>
      </c>
      <c r="E278" s="133">
        <v>1</v>
      </c>
      <c r="F278" s="133">
        <v>7</v>
      </c>
      <c r="G278" s="133">
        <v>3</v>
      </c>
      <c r="H278" s="133">
        <v>1</v>
      </c>
      <c r="I278" s="133">
        <v>1</v>
      </c>
      <c r="J278" s="133">
        <v>7</v>
      </c>
      <c r="K278" s="133">
        <v>3</v>
      </c>
      <c r="L278" s="133">
        <v>1</v>
      </c>
      <c r="M278" s="146" t="s">
        <v>84</v>
      </c>
    </row>
    <row r="279" spans="1:13" ht="15.75" thickBot="1" x14ac:dyDescent="0.3">
      <c r="A279" s="143" t="s">
        <v>154</v>
      </c>
      <c r="B279" s="132">
        <v>14</v>
      </c>
      <c r="C279" s="132">
        <v>6</v>
      </c>
      <c r="D279" s="132" t="s">
        <v>84</v>
      </c>
      <c r="E279" s="132" t="s">
        <v>84</v>
      </c>
      <c r="F279" s="132">
        <v>1</v>
      </c>
      <c r="G279" s="132">
        <v>1</v>
      </c>
      <c r="H279" s="132" t="s">
        <v>84</v>
      </c>
      <c r="I279" s="132" t="s">
        <v>84</v>
      </c>
      <c r="J279" s="132">
        <v>13</v>
      </c>
      <c r="K279" s="132">
        <v>5</v>
      </c>
      <c r="L279" s="132" t="s">
        <v>84</v>
      </c>
      <c r="M279" s="144" t="s">
        <v>84</v>
      </c>
    </row>
    <row r="280" spans="1:13" ht="15.75" thickBot="1" x14ac:dyDescent="0.3">
      <c r="A280" s="225" t="s">
        <v>113</v>
      </c>
      <c r="B280" s="226"/>
      <c r="C280" s="226"/>
      <c r="D280" s="226"/>
      <c r="E280" s="226"/>
      <c r="F280" s="226"/>
      <c r="G280" s="226"/>
      <c r="H280" s="226"/>
      <c r="I280" s="226"/>
      <c r="J280" s="226"/>
      <c r="K280" s="226"/>
      <c r="L280" s="226"/>
      <c r="M280" s="227"/>
    </row>
    <row r="281" spans="1:13" ht="15.75" thickBot="1" x14ac:dyDescent="0.3">
      <c r="A281" s="222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4"/>
    </row>
    <row r="282" spans="1:13" ht="15.75" thickBot="1" x14ac:dyDescent="0.3">
      <c r="A282" s="145" t="s">
        <v>83</v>
      </c>
      <c r="B282" s="133">
        <v>1311</v>
      </c>
      <c r="C282" s="133">
        <v>602</v>
      </c>
      <c r="D282" s="133">
        <v>141</v>
      </c>
      <c r="E282" s="133">
        <v>66</v>
      </c>
      <c r="F282" s="133">
        <v>1280</v>
      </c>
      <c r="G282" s="133">
        <v>587</v>
      </c>
      <c r="H282" s="133">
        <v>140</v>
      </c>
      <c r="I282" s="133">
        <v>66</v>
      </c>
      <c r="J282" s="133">
        <v>31</v>
      </c>
      <c r="K282" s="133">
        <v>15</v>
      </c>
      <c r="L282" s="133">
        <v>1</v>
      </c>
      <c r="M282" s="146" t="s">
        <v>84</v>
      </c>
    </row>
    <row r="283" spans="1:13" ht="15.75" thickBot="1" x14ac:dyDescent="0.3">
      <c r="A283" s="143" t="s">
        <v>151</v>
      </c>
      <c r="B283" s="132">
        <v>95</v>
      </c>
      <c r="C283" s="132">
        <v>59</v>
      </c>
      <c r="D283" s="132">
        <v>6</v>
      </c>
      <c r="E283" s="132">
        <v>5</v>
      </c>
      <c r="F283" s="132">
        <v>83</v>
      </c>
      <c r="G283" s="132">
        <v>49</v>
      </c>
      <c r="H283" s="132">
        <v>6</v>
      </c>
      <c r="I283" s="132">
        <v>5</v>
      </c>
      <c r="J283" s="132">
        <v>12</v>
      </c>
      <c r="K283" s="132">
        <v>10</v>
      </c>
      <c r="L283" s="132" t="s">
        <v>84</v>
      </c>
      <c r="M283" s="144" t="s">
        <v>84</v>
      </c>
    </row>
    <row r="284" spans="1:13" ht="15.75" thickBot="1" x14ac:dyDescent="0.3">
      <c r="A284" s="145" t="s">
        <v>152</v>
      </c>
      <c r="B284" s="133">
        <v>36</v>
      </c>
      <c r="C284" s="133">
        <v>18</v>
      </c>
      <c r="D284" s="133" t="s">
        <v>84</v>
      </c>
      <c r="E284" s="133" t="s">
        <v>84</v>
      </c>
      <c r="F284" s="133">
        <v>35</v>
      </c>
      <c r="G284" s="133">
        <v>18</v>
      </c>
      <c r="H284" s="133" t="s">
        <v>84</v>
      </c>
      <c r="I284" s="133" t="s">
        <v>84</v>
      </c>
      <c r="J284" s="133">
        <v>1</v>
      </c>
      <c r="K284" s="133" t="s">
        <v>84</v>
      </c>
      <c r="L284" s="133" t="s">
        <v>84</v>
      </c>
      <c r="M284" s="146" t="s">
        <v>84</v>
      </c>
    </row>
    <row r="285" spans="1:13" ht="15.75" thickBot="1" x14ac:dyDescent="0.3">
      <c r="A285" s="143" t="s">
        <v>85</v>
      </c>
      <c r="B285" s="132">
        <v>771</v>
      </c>
      <c r="C285" s="132">
        <v>370</v>
      </c>
      <c r="D285" s="132">
        <v>62</v>
      </c>
      <c r="E285" s="132">
        <v>28</v>
      </c>
      <c r="F285" s="132">
        <v>756</v>
      </c>
      <c r="G285" s="132">
        <v>365</v>
      </c>
      <c r="H285" s="132">
        <v>61</v>
      </c>
      <c r="I285" s="132">
        <v>28</v>
      </c>
      <c r="J285" s="132">
        <v>15</v>
      </c>
      <c r="K285" s="132">
        <v>5</v>
      </c>
      <c r="L285" s="132">
        <v>1</v>
      </c>
      <c r="M285" s="144" t="s">
        <v>84</v>
      </c>
    </row>
    <row r="286" spans="1:13" ht="15.75" thickBot="1" x14ac:dyDescent="0.3">
      <c r="A286" s="145" t="s">
        <v>86</v>
      </c>
      <c r="B286" s="133">
        <v>296</v>
      </c>
      <c r="C286" s="133">
        <v>113</v>
      </c>
      <c r="D286" s="133">
        <v>56</v>
      </c>
      <c r="E286" s="133">
        <v>24</v>
      </c>
      <c r="F286" s="133">
        <v>293</v>
      </c>
      <c r="G286" s="133">
        <v>113</v>
      </c>
      <c r="H286" s="133">
        <v>56</v>
      </c>
      <c r="I286" s="133">
        <v>24</v>
      </c>
      <c r="J286" s="133">
        <v>3</v>
      </c>
      <c r="K286" s="133" t="s">
        <v>84</v>
      </c>
      <c r="L286" s="133" t="s">
        <v>84</v>
      </c>
      <c r="M286" s="146" t="s">
        <v>84</v>
      </c>
    </row>
    <row r="287" spans="1:13" ht="15.75" thickBot="1" x14ac:dyDescent="0.3">
      <c r="A287" s="143" t="s">
        <v>87</v>
      </c>
      <c r="B287" s="132">
        <v>113</v>
      </c>
      <c r="C287" s="132">
        <v>42</v>
      </c>
      <c r="D287" s="132">
        <v>17</v>
      </c>
      <c r="E287" s="132">
        <v>9</v>
      </c>
      <c r="F287" s="132">
        <v>113</v>
      </c>
      <c r="G287" s="132">
        <v>42</v>
      </c>
      <c r="H287" s="132">
        <v>17</v>
      </c>
      <c r="I287" s="132">
        <v>9</v>
      </c>
      <c r="J287" s="132" t="s">
        <v>84</v>
      </c>
      <c r="K287" s="132" t="s">
        <v>84</v>
      </c>
      <c r="L287" s="132" t="s">
        <v>84</v>
      </c>
      <c r="M287" s="144" t="s">
        <v>84</v>
      </c>
    </row>
    <row r="288" spans="1:13" ht="15.75" thickBot="1" x14ac:dyDescent="0.3">
      <c r="A288" s="145" t="s">
        <v>153</v>
      </c>
      <c r="B288" s="133">
        <v>41</v>
      </c>
      <c r="C288" s="133">
        <v>10</v>
      </c>
      <c r="D288" s="133">
        <v>5</v>
      </c>
      <c r="E288" s="133">
        <v>3</v>
      </c>
      <c r="F288" s="133">
        <v>41</v>
      </c>
      <c r="G288" s="133">
        <v>10</v>
      </c>
      <c r="H288" s="133">
        <v>5</v>
      </c>
      <c r="I288" s="133">
        <v>3</v>
      </c>
      <c r="J288" s="133" t="s">
        <v>84</v>
      </c>
      <c r="K288" s="133" t="s">
        <v>84</v>
      </c>
      <c r="L288" s="133" t="s">
        <v>84</v>
      </c>
      <c r="M288" s="146" t="s">
        <v>84</v>
      </c>
    </row>
    <row r="289" spans="1:13" ht="15.75" thickBot="1" x14ac:dyDescent="0.3">
      <c r="A289" s="143" t="s">
        <v>154</v>
      </c>
      <c r="B289" s="132">
        <v>16</v>
      </c>
      <c r="C289" s="132">
        <v>5</v>
      </c>
      <c r="D289" s="132" t="s">
        <v>84</v>
      </c>
      <c r="E289" s="132" t="s">
        <v>84</v>
      </c>
      <c r="F289" s="132">
        <v>16</v>
      </c>
      <c r="G289" s="132">
        <v>5</v>
      </c>
      <c r="H289" s="132" t="s">
        <v>84</v>
      </c>
      <c r="I289" s="132" t="s">
        <v>84</v>
      </c>
      <c r="J289" s="132" t="s">
        <v>84</v>
      </c>
      <c r="K289" s="132" t="s">
        <v>84</v>
      </c>
      <c r="L289" s="132" t="s">
        <v>84</v>
      </c>
      <c r="M289" s="144" t="s">
        <v>84</v>
      </c>
    </row>
    <row r="290" spans="1:13" ht="15.75" thickBot="1" x14ac:dyDescent="0.3">
      <c r="A290" s="225" t="s">
        <v>114</v>
      </c>
      <c r="B290" s="226"/>
      <c r="C290" s="226"/>
      <c r="D290" s="226"/>
      <c r="E290" s="226"/>
      <c r="F290" s="226"/>
      <c r="G290" s="226"/>
      <c r="H290" s="226"/>
      <c r="I290" s="226"/>
      <c r="J290" s="226"/>
      <c r="K290" s="226"/>
      <c r="L290" s="226"/>
      <c r="M290" s="227"/>
    </row>
    <row r="291" spans="1:13" ht="15.75" thickBot="1" x14ac:dyDescent="0.3">
      <c r="A291" s="222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4"/>
    </row>
    <row r="292" spans="1:13" ht="15.75" thickBot="1" x14ac:dyDescent="0.3">
      <c r="A292" s="145" t="s">
        <v>83</v>
      </c>
      <c r="B292" s="133">
        <v>747</v>
      </c>
      <c r="C292" s="133">
        <v>359</v>
      </c>
      <c r="D292" s="133">
        <v>55</v>
      </c>
      <c r="E292" s="133">
        <v>30</v>
      </c>
      <c r="F292" s="133">
        <v>747</v>
      </c>
      <c r="G292" s="133">
        <v>359</v>
      </c>
      <c r="H292" s="133">
        <v>55</v>
      </c>
      <c r="I292" s="133">
        <v>30</v>
      </c>
      <c r="J292" s="133" t="s">
        <v>84</v>
      </c>
      <c r="K292" s="133" t="s">
        <v>84</v>
      </c>
      <c r="L292" s="133" t="s">
        <v>84</v>
      </c>
      <c r="M292" s="146" t="s">
        <v>84</v>
      </c>
    </row>
    <row r="293" spans="1:13" ht="15.75" thickBot="1" x14ac:dyDescent="0.3">
      <c r="A293" s="143" t="s">
        <v>151</v>
      </c>
      <c r="B293" s="132">
        <v>97</v>
      </c>
      <c r="C293" s="132">
        <v>67</v>
      </c>
      <c r="D293" s="132">
        <v>1</v>
      </c>
      <c r="E293" s="132">
        <v>1</v>
      </c>
      <c r="F293" s="132">
        <v>97</v>
      </c>
      <c r="G293" s="132">
        <v>67</v>
      </c>
      <c r="H293" s="132">
        <v>1</v>
      </c>
      <c r="I293" s="132">
        <v>1</v>
      </c>
      <c r="J293" s="132" t="s">
        <v>84</v>
      </c>
      <c r="K293" s="132" t="s">
        <v>84</v>
      </c>
      <c r="L293" s="132" t="s">
        <v>84</v>
      </c>
      <c r="M293" s="144" t="s">
        <v>84</v>
      </c>
    </row>
    <row r="294" spans="1:13" ht="15.75" thickBot="1" x14ac:dyDescent="0.3">
      <c r="A294" s="145" t="s">
        <v>152</v>
      </c>
      <c r="B294" s="133">
        <v>7</v>
      </c>
      <c r="C294" s="133">
        <v>5</v>
      </c>
      <c r="D294" s="133" t="s">
        <v>84</v>
      </c>
      <c r="E294" s="133" t="s">
        <v>84</v>
      </c>
      <c r="F294" s="133">
        <v>7</v>
      </c>
      <c r="G294" s="133">
        <v>5</v>
      </c>
      <c r="H294" s="133" t="s">
        <v>84</v>
      </c>
      <c r="I294" s="133" t="s">
        <v>84</v>
      </c>
      <c r="J294" s="133" t="s">
        <v>84</v>
      </c>
      <c r="K294" s="133" t="s">
        <v>84</v>
      </c>
      <c r="L294" s="133" t="s">
        <v>84</v>
      </c>
      <c r="M294" s="146" t="s">
        <v>84</v>
      </c>
    </row>
    <row r="295" spans="1:13" ht="15.75" thickBot="1" x14ac:dyDescent="0.3">
      <c r="A295" s="143" t="s">
        <v>85</v>
      </c>
      <c r="B295" s="132">
        <v>448</v>
      </c>
      <c r="C295" s="132">
        <v>219</v>
      </c>
      <c r="D295" s="132">
        <v>15</v>
      </c>
      <c r="E295" s="132">
        <v>10</v>
      </c>
      <c r="F295" s="132">
        <v>448</v>
      </c>
      <c r="G295" s="132">
        <v>219</v>
      </c>
      <c r="H295" s="132">
        <v>15</v>
      </c>
      <c r="I295" s="132">
        <v>10</v>
      </c>
      <c r="J295" s="132" t="s">
        <v>84</v>
      </c>
      <c r="K295" s="132" t="s">
        <v>84</v>
      </c>
      <c r="L295" s="132" t="s">
        <v>84</v>
      </c>
      <c r="M295" s="144" t="s">
        <v>84</v>
      </c>
    </row>
    <row r="296" spans="1:13" ht="15.75" thickBot="1" x14ac:dyDescent="0.3">
      <c r="A296" s="145" t="s">
        <v>86</v>
      </c>
      <c r="B296" s="133">
        <v>154</v>
      </c>
      <c r="C296" s="133">
        <v>52</v>
      </c>
      <c r="D296" s="133">
        <v>26</v>
      </c>
      <c r="E296" s="133">
        <v>13</v>
      </c>
      <c r="F296" s="133">
        <v>154</v>
      </c>
      <c r="G296" s="133">
        <v>52</v>
      </c>
      <c r="H296" s="133">
        <v>26</v>
      </c>
      <c r="I296" s="133">
        <v>13</v>
      </c>
      <c r="J296" s="133" t="s">
        <v>84</v>
      </c>
      <c r="K296" s="133" t="s">
        <v>84</v>
      </c>
      <c r="L296" s="133" t="s">
        <v>84</v>
      </c>
      <c r="M296" s="146" t="s">
        <v>84</v>
      </c>
    </row>
    <row r="297" spans="1:13" ht="15.75" thickBot="1" x14ac:dyDescent="0.3">
      <c r="A297" s="143" t="s">
        <v>87</v>
      </c>
      <c r="B297" s="132">
        <v>41</v>
      </c>
      <c r="C297" s="132">
        <v>16</v>
      </c>
      <c r="D297" s="132">
        <v>13</v>
      </c>
      <c r="E297" s="132">
        <v>6</v>
      </c>
      <c r="F297" s="132">
        <v>41</v>
      </c>
      <c r="G297" s="132">
        <v>16</v>
      </c>
      <c r="H297" s="132">
        <v>13</v>
      </c>
      <c r="I297" s="132">
        <v>6</v>
      </c>
      <c r="J297" s="132" t="s">
        <v>84</v>
      </c>
      <c r="K297" s="132" t="s">
        <v>84</v>
      </c>
      <c r="L297" s="132" t="s">
        <v>84</v>
      </c>
      <c r="M297" s="144" t="s">
        <v>84</v>
      </c>
    </row>
    <row r="298" spans="1:13" ht="15.75" thickBot="1" x14ac:dyDescent="0.3">
      <c r="A298" s="145" t="s">
        <v>153</v>
      </c>
      <c r="B298" s="133">
        <v>7</v>
      </c>
      <c r="C298" s="133">
        <v>3</v>
      </c>
      <c r="D298" s="133">
        <v>2</v>
      </c>
      <c r="E298" s="133">
        <v>1</v>
      </c>
      <c r="F298" s="133">
        <v>7</v>
      </c>
      <c r="G298" s="133">
        <v>3</v>
      </c>
      <c r="H298" s="133">
        <v>2</v>
      </c>
      <c r="I298" s="133">
        <v>1</v>
      </c>
      <c r="J298" s="133" t="s">
        <v>84</v>
      </c>
      <c r="K298" s="133" t="s">
        <v>84</v>
      </c>
      <c r="L298" s="133" t="s">
        <v>84</v>
      </c>
      <c r="M298" s="146" t="s">
        <v>84</v>
      </c>
    </row>
    <row r="299" spans="1:13" ht="15.75" thickBot="1" x14ac:dyDescent="0.3">
      <c r="A299" s="143" t="s">
        <v>154</v>
      </c>
      <c r="B299" s="132">
        <v>12</v>
      </c>
      <c r="C299" s="132">
        <v>6</v>
      </c>
      <c r="D299" s="132" t="s">
        <v>84</v>
      </c>
      <c r="E299" s="132" t="s">
        <v>84</v>
      </c>
      <c r="F299" s="132">
        <v>12</v>
      </c>
      <c r="G299" s="132">
        <v>6</v>
      </c>
      <c r="H299" s="132" t="s">
        <v>84</v>
      </c>
      <c r="I299" s="132" t="s">
        <v>84</v>
      </c>
      <c r="J299" s="132" t="s">
        <v>84</v>
      </c>
      <c r="K299" s="132" t="s">
        <v>84</v>
      </c>
      <c r="L299" s="132" t="s">
        <v>84</v>
      </c>
      <c r="M299" s="144" t="s">
        <v>84</v>
      </c>
    </row>
    <row r="300" spans="1:13" ht="15.75" thickBot="1" x14ac:dyDescent="0.3">
      <c r="A300" s="225" t="s">
        <v>115</v>
      </c>
      <c r="B300" s="226"/>
      <c r="C300" s="226"/>
      <c r="D300" s="226"/>
      <c r="E300" s="226"/>
      <c r="F300" s="226"/>
      <c r="G300" s="226"/>
      <c r="H300" s="226"/>
      <c r="I300" s="226"/>
      <c r="J300" s="226"/>
      <c r="K300" s="226"/>
      <c r="L300" s="226"/>
      <c r="M300" s="227"/>
    </row>
    <row r="301" spans="1:13" ht="15.75" thickBot="1" x14ac:dyDescent="0.3">
      <c r="A301" s="222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4"/>
    </row>
    <row r="302" spans="1:13" ht="15.75" thickBot="1" x14ac:dyDescent="0.3">
      <c r="A302" s="145" t="s">
        <v>83</v>
      </c>
      <c r="B302" s="133">
        <v>1393</v>
      </c>
      <c r="C302" s="133">
        <v>648</v>
      </c>
      <c r="D302" s="133">
        <v>76</v>
      </c>
      <c r="E302" s="133">
        <v>29</v>
      </c>
      <c r="F302" s="133">
        <v>1350</v>
      </c>
      <c r="G302" s="133">
        <v>635</v>
      </c>
      <c r="H302" s="133">
        <v>74</v>
      </c>
      <c r="I302" s="133">
        <v>29</v>
      </c>
      <c r="J302" s="133">
        <v>43</v>
      </c>
      <c r="K302" s="133">
        <v>13</v>
      </c>
      <c r="L302" s="133">
        <v>2</v>
      </c>
      <c r="M302" s="146" t="s">
        <v>84</v>
      </c>
    </row>
    <row r="303" spans="1:13" ht="15.75" thickBot="1" x14ac:dyDescent="0.3">
      <c r="A303" s="143" t="s">
        <v>151</v>
      </c>
      <c r="B303" s="132">
        <v>15</v>
      </c>
      <c r="C303" s="132">
        <v>9</v>
      </c>
      <c r="D303" s="132" t="s">
        <v>84</v>
      </c>
      <c r="E303" s="132" t="s">
        <v>84</v>
      </c>
      <c r="F303" s="132">
        <v>15</v>
      </c>
      <c r="G303" s="132">
        <v>9</v>
      </c>
      <c r="H303" s="132" t="s">
        <v>84</v>
      </c>
      <c r="I303" s="132" t="s">
        <v>84</v>
      </c>
      <c r="J303" s="132" t="s">
        <v>84</v>
      </c>
      <c r="K303" s="132" t="s">
        <v>84</v>
      </c>
      <c r="L303" s="132" t="s">
        <v>84</v>
      </c>
      <c r="M303" s="144" t="s">
        <v>84</v>
      </c>
    </row>
    <row r="304" spans="1:13" ht="15.75" thickBot="1" x14ac:dyDescent="0.3">
      <c r="A304" s="145" t="s">
        <v>152</v>
      </c>
      <c r="B304" s="133">
        <v>30</v>
      </c>
      <c r="C304" s="133">
        <v>13</v>
      </c>
      <c r="D304" s="133" t="s">
        <v>84</v>
      </c>
      <c r="E304" s="133" t="s">
        <v>84</v>
      </c>
      <c r="F304" s="133">
        <v>22</v>
      </c>
      <c r="G304" s="133">
        <v>10</v>
      </c>
      <c r="H304" s="133" t="s">
        <v>84</v>
      </c>
      <c r="I304" s="133" t="s">
        <v>84</v>
      </c>
      <c r="J304" s="133">
        <v>8</v>
      </c>
      <c r="K304" s="133">
        <v>3</v>
      </c>
      <c r="L304" s="133" t="s">
        <v>84</v>
      </c>
      <c r="M304" s="146" t="s">
        <v>84</v>
      </c>
    </row>
    <row r="305" spans="1:13" ht="15.75" thickBot="1" x14ac:dyDescent="0.3">
      <c r="A305" s="143" t="s">
        <v>85</v>
      </c>
      <c r="B305" s="132">
        <v>956</v>
      </c>
      <c r="C305" s="132">
        <v>485</v>
      </c>
      <c r="D305" s="132">
        <v>28</v>
      </c>
      <c r="E305" s="132">
        <v>15</v>
      </c>
      <c r="F305" s="132">
        <v>943</v>
      </c>
      <c r="G305" s="132">
        <v>480</v>
      </c>
      <c r="H305" s="132">
        <v>28</v>
      </c>
      <c r="I305" s="132">
        <v>15</v>
      </c>
      <c r="J305" s="132">
        <v>13</v>
      </c>
      <c r="K305" s="132">
        <v>5</v>
      </c>
      <c r="L305" s="132" t="s">
        <v>84</v>
      </c>
      <c r="M305" s="144" t="s">
        <v>84</v>
      </c>
    </row>
    <row r="306" spans="1:13" ht="15.75" thickBot="1" x14ac:dyDescent="0.3">
      <c r="A306" s="145" t="s">
        <v>86</v>
      </c>
      <c r="B306" s="133">
        <v>258</v>
      </c>
      <c r="C306" s="133">
        <v>96</v>
      </c>
      <c r="D306" s="133">
        <v>18</v>
      </c>
      <c r="E306" s="133">
        <v>6</v>
      </c>
      <c r="F306" s="133">
        <v>255</v>
      </c>
      <c r="G306" s="133">
        <v>96</v>
      </c>
      <c r="H306" s="133">
        <v>18</v>
      </c>
      <c r="I306" s="133">
        <v>6</v>
      </c>
      <c r="J306" s="133">
        <v>3</v>
      </c>
      <c r="K306" s="133" t="s">
        <v>84</v>
      </c>
      <c r="L306" s="133" t="s">
        <v>84</v>
      </c>
      <c r="M306" s="146" t="s">
        <v>84</v>
      </c>
    </row>
    <row r="307" spans="1:13" ht="15.75" thickBot="1" x14ac:dyDescent="0.3">
      <c r="A307" s="143" t="s">
        <v>87</v>
      </c>
      <c r="B307" s="132">
        <v>134</v>
      </c>
      <c r="C307" s="132">
        <v>45</v>
      </c>
      <c r="D307" s="132">
        <v>30</v>
      </c>
      <c r="E307" s="132">
        <v>8</v>
      </c>
      <c r="F307" s="132">
        <v>115</v>
      </c>
      <c r="G307" s="132">
        <v>40</v>
      </c>
      <c r="H307" s="132">
        <v>28</v>
      </c>
      <c r="I307" s="132">
        <v>8</v>
      </c>
      <c r="J307" s="132">
        <v>19</v>
      </c>
      <c r="K307" s="132">
        <v>5</v>
      </c>
      <c r="L307" s="132">
        <v>2</v>
      </c>
      <c r="M307" s="144" t="s">
        <v>84</v>
      </c>
    </row>
    <row r="308" spans="1:13" ht="15.75" thickBot="1" x14ac:dyDescent="0.3">
      <c r="A308" s="145" t="s">
        <v>153</v>
      </c>
      <c r="B308" s="133">
        <v>34</v>
      </c>
      <c r="C308" s="133">
        <v>12</v>
      </c>
      <c r="D308" s="133">
        <v>2</v>
      </c>
      <c r="E308" s="133">
        <v>1</v>
      </c>
      <c r="F308" s="133">
        <v>32</v>
      </c>
      <c r="G308" s="133">
        <v>12</v>
      </c>
      <c r="H308" s="133">
        <v>2</v>
      </c>
      <c r="I308" s="133">
        <v>1</v>
      </c>
      <c r="J308" s="133">
        <v>2</v>
      </c>
      <c r="K308" s="133" t="s">
        <v>84</v>
      </c>
      <c r="L308" s="133" t="s">
        <v>84</v>
      </c>
      <c r="M308" s="146" t="s">
        <v>84</v>
      </c>
    </row>
    <row r="309" spans="1:13" ht="15.75" thickBot="1" x14ac:dyDescent="0.3">
      <c r="A309" s="143" t="s">
        <v>154</v>
      </c>
      <c r="B309" s="132">
        <v>23</v>
      </c>
      <c r="C309" s="132">
        <v>7</v>
      </c>
      <c r="D309" s="132">
        <v>3</v>
      </c>
      <c r="E309" s="132">
        <v>1</v>
      </c>
      <c r="F309" s="132">
        <v>7</v>
      </c>
      <c r="G309" s="132">
        <v>3</v>
      </c>
      <c r="H309" s="132">
        <v>1</v>
      </c>
      <c r="I309" s="132">
        <v>1</v>
      </c>
      <c r="J309" s="132">
        <v>16</v>
      </c>
      <c r="K309" s="132">
        <v>4</v>
      </c>
      <c r="L309" s="132">
        <v>2</v>
      </c>
      <c r="M309" s="144" t="s">
        <v>84</v>
      </c>
    </row>
    <row r="310" spans="1:13" ht="15.75" thickBot="1" x14ac:dyDescent="0.3">
      <c r="A310" s="225" t="s">
        <v>116</v>
      </c>
      <c r="B310" s="226"/>
      <c r="C310" s="226"/>
      <c r="D310" s="226"/>
      <c r="E310" s="226"/>
      <c r="F310" s="226"/>
      <c r="G310" s="226"/>
      <c r="H310" s="226"/>
      <c r="I310" s="226"/>
      <c r="J310" s="226"/>
      <c r="K310" s="226"/>
      <c r="L310" s="226"/>
      <c r="M310" s="227"/>
    </row>
    <row r="311" spans="1:13" ht="15.75" thickBot="1" x14ac:dyDescent="0.3">
      <c r="A311" s="222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4"/>
    </row>
    <row r="312" spans="1:13" ht="15.75" thickBot="1" x14ac:dyDescent="0.3">
      <c r="A312" s="145" t="s">
        <v>83</v>
      </c>
      <c r="B312" s="133">
        <v>1062</v>
      </c>
      <c r="C312" s="133">
        <v>460</v>
      </c>
      <c r="D312" s="133">
        <v>61</v>
      </c>
      <c r="E312" s="133">
        <v>22</v>
      </c>
      <c r="F312" s="133">
        <v>1002</v>
      </c>
      <c r="G312" s="133">
        <v>437</v>
      </c>
      <c r="H312" s="133">
        <v>61</v>
      </c>
      <c r="I312" s="133">
        <v>22</v>
      </c>
      <c r="J312" s="133">
        <v>60</v>
      </c>
      <c r="K312" s="133">
        <v>23</v>
      </c>
      <c r="L312" s="133" t="s">
        <v>84</v>
      </c>
      <c r="M312" s="146" t="s">
        <v>84</v>
      </c>
    </row>
    <row r="313" spans="1:13" ht="15.75" thickBot="1" x14ac:dyDescent="0.3">
      <c r="A313" s="143" t="s">
        <v>151</v>
      </c>
      <c r="B313" s="132">
        <v>54</v>
      </c>
      <c r="C313" s="132">
        <v>25</v>
      </c>
      <c r="D313" s="132" t="s">
        <v>84</v>
      </c>
      <c r="E313" s="132" t="s">
        <v>84</v>
      </c>
      <c r="F313" s="132">
        <v>31</v>
      </c>
      <c r="G313" s="132">
        <v>12</v>
      </c>
      <c r="H313" s="132" t="s">
        <v>84</v>
      </c>
      <c r="I313" s="132" t="s">
        <v>84</v>
      </c>
      <c r="J313" s="132">
        <v>23</v>
      </c>
      <c r="K313" s="132">
        <v>13</v>
      </c>
      <c r="L313" s="132" t="s">
        <v>84</v>
      </c>
      <c r="M313" s="144" t="s">
        <v>84</v>
      </c>
    </row>
    <row r="314" spans="1:13" ht="15.75" thickBot="1" x14ac:dyDescent="0.3">
      <c r="A314" s="145" t="s">
        <v>152</v>
      </c>
      <c r="B314" s="133">
        <v>31</v>
      </c>
      <c r="C314" s="133">
        <v>12</v>
      </c>
      <c r="D314" s="133">
        <v>1</v>
      </c>
      <c r="E314" s="133" t="s">
        <v>84</v>
      </c>
      <c r="F314" s="133">
        <v>30</v>
      </c>
      <c r="G314" s="133">
        <v>11</v>
      </c>
      <c r="H314" s="133">
        <v>1</v>
      </c>
      <c r="I314" s="133" t="s">
        <v>84</v>
      </c>
      <c r="J314" s="133">
        <v>1</v>
      </c>
      <c r="K314" s="133">
        <v>1</v>
      </c>
      <c r="L314" s="133" t="s">
        <v>84</v>
      </c>
      <c r="M314" s="146" t="s">
        <v>84</v>
      </c>
    </row>
    <row r="315" spans="1:13" ht="15.75" thickBot="1" x14ac:dyDescent="0.3">
      <c r="A315" s="143" t="s">
        <v>85</v>
      </c>
      <c r="B315" s="132">
        <v>673</v>
      </c>
      <c r="C315" s="132">
        <v>312</v>
      </c>
      <c r="D315" s="132">
        <v>31</v>
      </c>
      <c r="E315" s="132">
        <v>13</v>
      </c>
      <c r="F315" s="132">
        <v>660</v>
      </c>
      <c r="G315" s="132">
        <v>309</v>
      </c>
      <c r="H315" s="132">
        <v>31</v>
      </c>
      <c r="I315" s="132">
        <v>13</v>
      </c>
      <c r="J315" s="132">
        <v>13</v>
      </c>
      <c r="K315" s="132">
        <v>3</v>
      </c>
      <c r="L315" s="132" t="s">
        <v>84</v>
      </c>
      <c r="M315" s="144" t="s">
        <v>84</v>
      </c>
    </row>
    <row r="316" spans="1:13" ht="15.75" thickBot="1" x14ac:dyDescent="0.3">
      <c r="A316" s="145" t="s">
        <v>86</v>
      </c>
      <c r="B316" s="133">
        <v>214</v>
      </c>
      <c r="C316" s="133">
        <v>86</v>
      </c>
      <c r="D316" s="133">
        <v>22</v>
      </c>
      <c r="E316" s="133">
        <v>9</v>
      </c>
      <c r="F316" s="133">
        <v>208</v>
      </c>
      <c r="G316" s="133">
        <v>86</v>
      </c>
      <c r="H316" s="133">
        <v>22</v>
      </c>
      <c r="I316" s="133">
        <v>9</v>
      </c>
      <c r="J316" s="133">
        <v>6</v>
      </c>
      <c r="K316" s="133" t="s">
        <v>84</v>
      </c>
      <c r="L316" s="133" t="s">
        <v>84</v>
      </c>
      <c r="M316" s="146" t="s">
        <v>84</v>
      </c>
    </row>
    <row r="317" spans="1:13" ht="15.75" thickBot="1" x14ac:dyDescent="0.3">
      <c r="A317" s="143" t="s">
        <v>87</v>
      </c>
      <c r="B317" s="132">
        <v>90</v>
      </c>
      <c r="C317" s="132">
        <v>25</v>
      </c>
      <c r="D317" s="132">
        <v>7</v>
      </c>
      <c r="E317" s="132" t="s">
        <v>84</v>
      </c>
      <c r="F317" s="132">
        <v>73</v>
      </c>
      <c r="G317" s="132">
        <v>19</v>
      </c>
      <c r="H317" s="132">
        <v>7</v>
      </c>
      <c r="I317" s="132" t="s">
        <v>84</v>
      </c>
      <c r="J317" s="132">
        <v>17</v>
      </c>
      <c r="K317" s="132">
        <v>6</v>
      </c>
      <c r="L317" s="132" t="s">
        <v>84</v>
      </c>
      <c r="M317" s="144" t="s">
        <v>84</v>
      </c>
    </row>
    <row r="318" spans="1:13" ht="15.75" thickBot="1" x14ac:dyDescent="0.3">
      <c r="A318" s="145" t="s">
        <v>153</v>
      </c>
      <c r="B318" s="133">
        <v>41</v>
      </c>
      <c r="C318" s="133">
        <v>12</v>
      </c>
      <c r="D318" s="133">
        <v>2</v>
      </c>
      <c r="E318" s="133" t="s">
        <v>84</v>
      </c>
      <c r="F318" s="133">
        <v>39</v>
      </c>
      <c r="G318" s="133">
        <v>11</v>
      </c>
      <c r="H318" s="133">
        <v>2</v>
      </c>
      <c r="I318" s="133" t="s">
        <v>84</v>
      </c>
      <c r="J318" s="133">
        <v>2</v>
      </c>
      <c r="K318" s="133">
        <v>1</v>
      </c>
      <c r="L318" s="133" t="s">
        <v>84</v>
      </c>
      <c r="M318" s="146" t="s">
        <v>84</v>
      </c>
    </row>
    <row r="319" spans="1:13" ht="15.75" thickBot="1" x14ac:dyDescent="0.3">
      <c r="A319" s="143" t="s">
        <v>154</v>
      </c>
      <c r="B319" s="132">
        <v>11</v>
      </c>
      <c r="C319" s="132">
        <v>5</v>
      </c>
      <c r="D319" s="132" t="s">
        <v>84</v>
      </c>
      <c r="E319" s="132" t="s">
        <v>84</v>
      </c>
      <c r="F319" s="132" t="s">
        <v>84</v>
      </c>
      <c r="G319" s="132" t="s">
        <v>84</v>
      </c>
      <c r="H319" s="132" t="s">
        <v>84</v>
      </c>
      <c r="I319" s="132" t="s">
        <v>84</v>
      </c>
      <c r="J319" s="132">
        <v>11</v>
      </c>
      <c r="K319" s="132">
        <v>5</v>
      </c>
      <c r="L319" s="132" t="s">
        <v>84</v>
      </c>
      <c r="M319" s="144" t="s">
        <v>84</v>
      </c>
    </row>
    <row r="320" spans="1:13" ht="15.75" thickBot="1" x14ac:dyDescent="0.3">
      <c r="A320" s="225" t="s">
        <v>117</v>
      </c>
      <c r="B320" s="226"/>
      <c r="C320" s="226"/>
      <c r="D320" s="226"/>
      <c r="E320" s="226"/>
      <c r="F320" s="226"/>
      <c r="G320" s="226"/>
      <c r="H320" s="226"/>
      <c r="I320" s="226"/>
      <c r="J320" s="226"/>
      <c r="K320" s="226"/>
      <c r="L320" s="226"/>
      <c r="M320" s="227"/>
    </row>
    <row r="321" spans="1:13" ht="15.75" thickBot="1" x14ac:dyDescent="0.3">
      <c r="A321" s="222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4"/>
    </row>
    <row r="322" spans="1:13" ht="15.75" thickBot="1" x14ac:dyDescent="0.3">
      <c r="A322" s="145" t="s">
        <v>83</v>
      </c>
      <c r="B322" s="133">
        <v>1688</v>
      </c>
      <c r="C322" s="133">
        <v>812</v>
      </c>
      <c r="D322" s="133">
        <v>168</v>
      </c>
      <c r="E322" s="133">
        <v>73</v>
      </c>
      <c r="F322" s="133">
        <v>1653</v>
      </c>
      <c r="G322" s="133">
        <v>791</v>
      </c>
      <c r="H322" s="133">
        <v>168</v>
      </c>
      <c r="I322" s="133">
        <v>73</v>
      </c>
      <c r="J322" s="133">
        <v>35</v>
      </c>
      <c r="K322" s="133">
        <v>21</v>
      </c>
      <c r="L322" s="133" t="s">
        <v>84</v>
      </c>
      <c r="M322" s="146" t="s">
        <v>84</v>
      </c>
    </row>
    <row r="323" spans="1:13" ht="15.75" thickBot="1" x14ac:dyDescent="0.3">
      <c r="A323" s="143" t="s">
        <v>151</v>
      </c>
      <c r="B323" s="132">
        <v>151</v>
      </c>
      <c r="C323" s="132">
        <v>92</v>
      </c>
      <c r="D323" s="132">
        <v>3</v>
      </c>
      <c r="E323" s="132">
        <v>2</v>
      </c>
      <c r="F323" s="132">
        <v>134</v>
      </c>
      <c r="G323" s="132">
        <v>80</v>
      </c>
      <c r="H323" s="132">
        <v>3</v>
      </c>
      <c r="I323" s="132">
        <v>2</v>
      </c>
      <c r="J323" s="132">
        <v>17</v>
      </c>
      <c r="K323" s="132">
        <v>12</v>
      </c>
      <c r="L323" s="132" t="s">
        <v>84</v>
      </c>
      <c r="M323" s="144" t="s">
        <v>84</v>
      </c>
    </row>
    <row r="324" spans="1:13" ht="15.75" thickBot="1" x14ac:dyDescent="0.3">
      <c r="A324" s="145" t="s">
        <v>152</v>
      </c>
      <c r="B324" s="133">
        <v>56</v>
      </c>
      <c r="C324" s="133">
        <v>32</v>
      </c>
      <c r="D324" s="133">
        <v>2</v>
      </c>
      <c r="E324" s="133">
        <v>2</v>
      </c>
      <c r="F324" s="133">
        <v>55</v>
      </c>
      <c r="G324" s="133">
        <v>32</v>
      </c>
      <c r="H324" s="133">
        <v>2</v>
      </c>
      <c r="I324" s="133">
        <v>2</v>
      </c>
      <c r="J324" s="133">
        <v>1</v>
      </c>
      <c r="K324" s="133" t="s">
        <v>84</v>
      </c>
      <c r="L324" s="133" t="s">
        <v>84</v>
      </c>
      <c r="M324" s="146" t="s">
        <v>84</v>
      </c>
    </row>
    <row r="325" spans="1:13" ht="15.75" thickBot="1" x14ac:dyDescent="0.3">
      <c r="A325" s="143" t="s">
        <v>85</v>
      </c>
      <c r="B325" s="132">
        <v>977</v>
      </c>
      <c r="C325" s="132">
        <v>483</v>
      </c>
      <c r="D325" s="132">
        <v>57</v>
      </c>
      <c r="E325" s="132">
        <v>32</v>
      </c>
      <c r="F325" s="132">
        <v>964</v>
      </c>
      <c r="G325" s="132">
        <v>476</v>
      </c>
      <c r="H325" s="132">
        <v>57</v>
      </c>
      <c r="I325" s="132">
        <v>32</v>
      </c>
      <c r="J325" s="132">
        <v>13</v>
      </c>
      <c r="K325" s="132">
        <v>7</v>
      </c>
      <c r="L325" s="132" t="s">
        <v>84</v>
      </c>
      <c r="M325" s="144" t="s">
        <v>84</v>
      </c>
    </row>
    <row r="326" spans="1:13" ht="15.75" thickBot="1" x14ac:dyDescent="0.3">
      <c r="A326" s="145" t="s">
        <v>86</v>
      </c>
      <c r="B326" s="133">
        <v>343</v>
      </c>
      <c r="C326" s="133">
        <v>140</v>
      </c>
      <c r="D326" s="133">
        <v>55</v>
      </c>
      <c r="E326" s="133">
        <v>20</v>
      </c>
      <c r="F326" s="133">
        <v>339</v>
      </c>
      <c r="G326" s="133">
        <v>138</v>
      </c>
      <c r="H326" s="133">
        <v>55</v>
      </c>
      <c r="I326" s="133">
        <v>20</v>
      </c>
      <c r="J326" s="133">
        <v>4</v>
      </c>
      <c r="K326" s="133">
        <v>2</v>
      </c>
      <c r="L326" s="133" t="s">
        <v>84</v>
      </c>
      <c r="M326" s="146" t="s">
        <v>84</v>
      </c>
    </row>
    <row r="327" spans="1:13" ht="15.75" thickBot="1" x14ac:dyDescent="0.3">
      <c r="A327" s="143" t="s">
        <v>87</v>
      </c>
      <c r="B327" s="132">
        <v>161</v>
      </c>
      <c r="C327" s="132">
        <v>65</v>
      </c>
      <c r="D327" s="132">
        <v>51</v>
      </c>
      <c r="E327" s="132">
        <v>17</v>
      </c>
      <c r="F327" s="132">
        <v>161</v>
      </c>
      <c r="G327" s="132">
        <v>65</v>
      </c>
      <c r="H327" s="132">
        <v>51</v>
      </c>
      <c r="I327" s="132">
        <v>17</v>
      </c>
      <c r="J327" s="132" t="s">
        <v>84</v>
      </c>
      <c r="K327" s="132" t="s">
        <v>84</v>
      </c>
      <c r="L327" s="132" t="s">
        <v>84</v>
      </c>
      <c r="M327" s="144" t="s">
        <v>84</v>
      </c>
    </row>
    <row r="328" spans="1:13" ht="15.75" thickBot="1" x14ac:dyDescent="0.3">
      <c r="A328" s="145" t="s">
        <v>153</v>
      </c>
      <c r="B328" s="133">
        <v>51</v>
      </c>
      <c r="C328" s="133">
        <v>24</v>
      </c>
      <c r="D328" s="133">
        <v>7</v>
      </c>
      <c r="E328" s="133">
        <v>4</v>
      </c>
      <c r="F328" s="133">
        <v>51</v>
      </c>
      <c r="G328" s="133">
        <v>24</v>
      </c>
      <c r="H328" s="133">
        <v>7</v>
      </c>
      <c r="I328" s="133">
        <v>4</v>
      </c>
      <c r="J328" s="133" t="s">
        <v>84</v>
      </c>
      <c r="K328" s="133" t="s">
        <v>84</v>
      </c>
      <c r="L328" s="133" t="s">
        <v>84</v>
      </c>
      <c r="M328" s="146" t="s">
        <v>84</v>
      </c>
    </row>
    <row r="329" spans="1:13" ht="15.75" thickBot="1" x14ac:dyDescent="0.3">
      <c r="A329" s="143" t="s">
        <v>154</v>
      </c>
      <c r="B329" s="132">
        <v>15</v>
      </c>
      <c r="C329" s="132">
        <v>6</v>
      </c>
      <c r="D329" s="132">
        <v>1</v>
      </c>
      <c r="E329" s="132">
        <v>1</v>
      </c>
      <c r="F329" s="132">
        <v>15</v>
      </c>
      <c r="G329" s="132">
        <v>6</v>
      </c>
      <c r="H329" s="132">
        <v>1</v>
      </c>
      <c r="I329" s="132">
        <v>1</v>
      </c>
      <c r="J329" s="132" t="s">
        <v>84</v>
      </c>
      <c r="K329" s="132" t="s">
        <v>84</v>
      </c>
      <c r="L329" s="132" t="s">
        <v>84</v>
      </c>
      <c r="M329" s="144" t="s">
        <v>84</v>
      </c>
    </row>
    <row r="330" spans="1:13" ht="15.75" thickBot="1" x14ac:dyDescent="0.3">
      <c r="A330" s="225" t="s">
        <v>118</v>
      </c>
      <c r="B330" s="226"/>
      <c r="C330" s="226"/>
      <c r="D330" s="226"/>
      <c r="E330" s="226"/>
      <c r="F330" s="226"/>
      <c r="G330" s="226"/>
      <c r="H330" s="226"/>
      <c r="I330" s="226"/>
      <c r="J330" s="226"/>
      <c r="K330" s="226"/>
      <c r="L330" s="226"/>
      <c r="M330" s="227"/>
    </row>
    <row r="331" spans="1:13" ht="15.75" thickBot="1" x14ac:dyDescent="0.3">
      <c r="A331" s="222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4"/>
    </row>
    <row r="332" spans="1:13" ht="15.75" thickBot="1" x14ac:dyDescent="0.3">
      <c r="A332" s="145" t="s">
        <v>83</v>
      </c>
      <c r="B332" s="133">
        <v>627</v>
      </c>
      <c r="C332" s="133">
        <v>281</v>
      </c>
      <c r="D332" s="133">
        <v>38</v>
      </c>
      <c r="E332" s="133">
        <v>14</v>
      </c>
      <c r="F332" s="133">
        <v>615</v>
      </c>
      <c r="G332" s="133">
        <v>280</v>
      </c>
      <c r="H332" s="133">
        <v>38</v>
      </c>
      <c r="I332" s="133">
        <v>14</v>
      </c>
      <c r="J332" s="133">
        <v>12</v>
      </c>
      <c r="K332" s="133">
        <v>1</v>
      </c>
      <c r="L332" s="133" t="s">
        <v>84</v>
      </c>
      <c r="M332" s="146" t="s">
        <v>84</v>
      </c>
    </row>
    <row r="333" spans="1:13" ht="15.75" thickBot="1" x14ac:dyDescent="0.3">
      <c r="A333" s="143" t="s">
        <v>151</v>
      </c>
      <c r="B333" s="132">
        <v>38</v>
      </c>
      <c r="C333" s="132">
        <v>24</v>
      </c>
      <c r="D333" s="132">
        <v>1</v>
      </c>
      <c r="E333" s="132">
        <v>1</v>
      </c>
      <c r="F333" s="132">
        <v>38</v>
      </c>
      <c r="G333" s="132">
        <v>24</v>
      </c>
      <c r="H333" s="132">
        <v>1</v>
      </c>
      <c r="I333" s="132">
        <v>1</v>
      </c>
      <c r="J333" s="132" t="s">
        <v>84</v>
      </c>
      <c r="K333" s="132" t="s">
        <v>84</v>
      </c>
      <c r="L333" s="132" t="s">
        <v>84</v>
      </c>
      <c r="M333" s="144" t="s">
        <v>84</v>
      </c>
    </row>
    <row r="334" spans="1:13" ht="15.75" thickBot="1" x14ac:dyDescent="0.3">
      <c r="A334" s="145" t="s">
        <v>152</v>
      </c>
      <c r="B334" s="133">
        <v>27</v>
      </c>
      <c r="C334" s="133">
        <v>16</v>
      </c>
      <c r="D334" s="133">
        <v>1</v>
      </c>
      <c r="E334" s="133" t="s">
        <v>84</v>
      </c>
      <c r="F334" s="133">
        <v>27</v>
      </c>
      <c r="G334" s="133">
        <v>16</v>
      </c>
      <c r="H334" s="133">
        <v>1</v>
      </c>
      <c r="I334" s="133" t="s">
        <v>84</v>
      </c>
      <c r="J334" s="133" t="s">
        <v>84</v>
      </c>
      <c r="K334" s="133" t="s">
        <v>84</v>
      </c>
      <c r="L334" s="133" t="s">
        <v>84</v>
      </c>
      <c r="M334" s="146" t="s">
        <v>84</v>
      </c>
    </row>
    <row r="335" spans="1:13" ht="15.75" thickBot="1" x14ac:dyDescent="0.3">
      <c r="A335" s="143" t="s">
        <v>85</v>
      </c>
      <c r="B335" s="132">
        <v>402</v>
      </c>
      <c r="C335" s="132">
        <v>191</v>
      </c>
      <c r="D335" s="132">
        <v>16</v>
      </c>
      <c r="E335" s="132">
        <v>10</v>
      </c>
      <c r="F335" s="132">
        <v>402</v>
      </c>
      <c r="G335" s="132">
        <v>191</v>
      </c>
      <c r="H335" s="132">
        <v>16</v>
      </c>
      <c r="I335" s="132">
        <v>10</v>
      </c>
      <c r="J335" s="132" t="s">
        <v>84</v>
      </c>
      <c r="K335" s="132" t="s">
        <v>84</v>
      </c>
      <c r="L335" s="132" t="s">
        <v>84</v>
      </c>
      <c r="M335" s="144" t="s">
        <v>84</v>
      </c>
    </row>
    <row r="336" spans="1:13" ht="15.75" thickBot="1" x14ac:dyDescent="0.3">
      <c r="A336" s="145" t="s">
        <v>86</v>
      </c>
      <c r="B336" s="133">
        <v>102</v>
      </c>
      <c r="C336" s="133">
        <v>31</v>
      </c>
      <c r="D336" s="133">
        <v>14</v>
      </c>
      <c r="E336" s="133">
        <v>3</v>
      </c>
      <c r="F336" s="133">
        <v>98</v>
      </c>
      <c r="G336" s="133">
        <v>31</v>
      </c>
      <c r="H336" s="133">
        <v>14</v>
      </c>
      <c r="I336" s="133">
        <v>3</v>
      </c>
      <c r="J336" s="133">
        <v>4</v>
      </c>
      <c r="K336" s="133" t="s">
        <v>84</v>
      </c>
      <c r="L336" s="133" t="s">
        <v>84</v>
      </c>
      <c r="M336" s="146" t="s">
        <v>84</v>
      </c>
    </row>
    <row r="337" spans="1:13" ht="15.75" thickBot="1" x14ac:dyDescent="0.3">
      <c r="A337" s="143" t="s">
        <v>87</v>
      </c>
      <c r="B337" s="132">
        <v>58</v>
      </c>
      <c r="C337" s="132">
        <v>19</v>
      </c>
      <c r="D337" s="132">
        <v>6</v>
      </c>
      <c r="E337" s="132" t="s">
        <v>84</v>
      </c>
      <c r="F337" s="132">
        <v>50</v>
      </c>
      <c r="G337" s="132">
        <v>18</v>
      </c>
      <c r="H337" s="132">
        <v>6</v>
      </c>
      <c r="I337" s="132" t="s">
        <v>84</v>
      </c>
      <c r="J337" s="132">
        <v>8</v>
      </c>
      <c r="K337" s="132">
        <v>1</v>
      </c>
      <c r="L337" s="132" t="s">
        <v>84</v>
      </c>
      <c r="M337" s="144" t="s">
        <v>84</v>
      </c>
    </row>
    <row r="338" spans="1:13" ht="15.75" thickBot="1" x14ac:dyDescent="0.3">
      <c r="A338" s="145" t="s">
        <v>153</v>
      </c>
      <c r="B338" s="133">
        <v>21</v>
      </c>
      <c r="C338" s="133">
        <v>10</v>
      </c>
      <c r="D338" s="133">
        <v>3</v>
      </c>
      <c r="E338" s="133" t="s">
        <v>84</v>
      </c>
      <c r="F338" s="133">
        <v>18</v>
      </c>
      <c r="G338" s="133">
        <v>9</v>
      </c>
      <c r="H338" s="133">
        <v>3</v>
      </c>
      <c r="I338" s="133" t="s">
        <v>84</v>
      </c>
      <c r="J338" s="133">
        <v>3</v>
      </c>
      <c r="K338" s="133">
        <v>1</v>
      </c>
      <c r="L338" s="133" t="s">
        <v>84</v>
      </c>
      <c r="M338" s="146" t="s">
        <v>84</v>
      </c>
    </row>
    <row r="339" spans="1:13" ht="15.75" thickBot="1" x14ac:dyDescent="0.3">
      <c r="A339" s="143" t="s">
        <v>154</v>
      </c>
      <c r="B339" s="132">
        <v>2</v>
      </c>
      <c r="C339" s="132">
        <v>1</v>
      </c>
      <c r="D339" s="132" t="s">
        <v>84</v>
      </c>
      <c r="E339" s="132" t="s">
        <v>84</v>
      </c>
      <c r="F339" s="132">
        <v>2</v>
      </c>
      <c r="G339" s="132">
        <v>1</v>
      </c>
      <c r="H339" s="132" t="s">
        <v>84</v>
      </c>
      <c r="I339" s="132" t="s">
        <v>84</v>
      </c>
      <c r="J339" s="132" t="s">
        <v>84</v>
      </c>
      <c r="K339" s="132" t="s">
        <v>84</v>
      </c>
      <c r="L339" s="132" t="s">
        <v>84</v>
      </c>
      <c r="M339" s="144" t="s">
        <v>84</v>
      </c>
    </row>
    <row r="340" spans="1:13" ht="15.75" thickBot="1" x14ac:dyDescent="0.3">
      <c r="A340" s="225" t="s">
        <v>119</v>
      </c>
      <c r="B340" s="226"/>
      <c r="C340" s="226"/>
      <c r="D340" s="226"/>
      <c r="E340" s="226"/>
      <c r="F340" s="226"/>
      <c r="G340" s="226"/>
      <c r="H340" s="226"/>
      <c r="I340" s="226"/>
      <c r="J340" s="226"/>
      <c r="K340" s="226"/>
      <c r="L340" s="226"/>
      <c r="M340" s="227"/>
    </row>
    <row r="341" spans="1:13" ht="15.75" thickBot="1" x14ac:dyDescent="0.3">
      <c r="A341" s="222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4"/>
    </row>
    <row r="342" spans="1:13" ht="15.75" thickBot="1" x14ac:dyDescent="0.3">
      <c r="A342" s="145" t="s">
        <v>83</v>
      </c>
      <c r="B342" s="133">
        <v>992</v>
      </c>
      <c r="C342" s="133">
        <v>464</v>
      </c>
      <c r="D342" s="133">
        <v>77</v>
      </c>
      <c r="E342" s="133">
        <v>31</v>
      </c>
      <c r="F342" s="133">
        <v>945</v>
      </c>
      <c r="G342" s="133">
        <v>447</v>
      </c>
      <c r="H342" s="133">
        <v>75</v>
      </c>
      <c r="I342" s="133">
        <v>30</v>
      </c>
      <c r="J342" s="133">
        <v>47</v>
      </c>
      <c r="K342" s="133">
        <v>17</v>
      </c>
      <c r="L342" s="133">
        <v>2</v>
      </c>
      <c r="M342" s="146">
        <v>1</v>
      </c>
    </row>
    <row r="343" spans="1:13" ht="15.75" thickBot="1" x14ac:dyDescent="0.3">
      <c r="A343" s="143" t="s">
        <v>151</v>
      </c>
      <c r="B343" s="132">
        <v>62</v>
      </c>
      <c r="C343" s="132">
        <v>33</v>
      </c>
      <c r="D343" s="132">
        <v>1</v>
      </c>
      <c r="E343" s="132" t="s">
        <v>84</v>
      </c>
      <c r="F343" s="132">
        <v>41</v>
      </c>
      <c r="G343" s="132">
        <v>24</v>
      </c>
      <c r="H343" s="132" t="s">
        <v>84</v>
      </c>
      <c r="I343" s="132" t="s">
        <v>84</v>
      </c>
      <c r="J343" s="132">
        <v>21</v>
      </c>
      <c r="K343" s="132">
        <v>9</v>
      </c>
      <c r="L343" s="132">
        <v>1</v>
      </c>
      <c r="M343" s="144" t="s">
        <v>84</v>
      </c>
    </row>
    <row r="344" spans="1:13" ht="15.75" thickBot="1" x14ac:dyDescent="0.3">
      <c r="A344" s="145" t="s">
        <v>152</v>
      </c>
      <c r="B344" s="133">
        <v>29</v>
      </c>
      <c r="C344" s="133">
        <v>22</v>
      </c>
      <c r="D344" s="133">
        <v>1</v>
      </c>
      <c r="E344" s="133">
        <v>1</v>
      </c>
      <c r="F344" s="133">
        <v>29</v>
      </c>
      <c r="G344" s="133">
        <v>22</v>
      </c>
      <c r="H344" s="133">
        <v>1</v>
      </c>
      <c r="I344" s="133">
        <v>1</v>
      </c>
      <c r="J344" s="133" t="s">
        <v>84</v>
      </c>
      <c r="K344" s="133" t="s">
        <v>84</v>
      </c>
      <c r="L344" s="133" t="s">
        <v>84</v>
      </c>
      <c r="M344" s="146" t="s">
        <v>84</v>
      </c>
    </row>
    <row r="345" spans="1:13" ht="15.75" thickBot="1" x14ac:dyDescent="0.3">
      <c r="A345" s="143" t="s">
        <v>85</v>
      </c>
      <c r="B345" s="132">
        <v>660</v>
      </c>
      <c r="C345" s="132">
        <v>321</v>
      </c>
      <c r="D345" s="132">
        <v>39</v>
      </c>
      <c r="E345" s="132">
        <v>18</v>
      </c>
      <c r="F345" s="132">
        <v>648</v>
      </c>
      <c r="G345" s="132">
        <v>318</v>
      </c>
      <c r="H345" s="132">
        <v>39</v>
      </c>
      <c r="I345" s="132">
        <v>18</v>
      </c>
      <c r="J345" s="132">
        <v>12</v>
      </c>
      <c r="K345" s="132">
        <v>3</v>
      </c>
      <c r="L345" s="132" t="s">
        <v>84</v>
      </c>
      <c r="M345" s="144" t="s">
        <v>84</v>
      </c>
    </row>
    <row r="346" spans="1:13" ht="15.75" thickBot="1" x14ac:dyDescent="0.3">
      <c r="A346" s="145" t="s">
        <v>86</v>
      </c>
      <c r="B346" s="133">
        <v>182</v>
      </c>
      <c r="C346" s="133">
        <v>74</v>
      </c>
      <c r="D346" s="133">
        <v>28</v>
      </c>
      <c r="E346" s="133">
        <v>12</v>
      </c>
      <c r="F346" s="133">
        <v>176</v>
      </c>
      <c r="G346" s="133">
        <v>73</v>
      </c>
      <c r="H346" s="133">
        <v>27</v>
      </c>
      <c r="I346" s="133">
        <v>11</v>
      </c>
      <c r="J346" s="133">
        <v>6</v>
      </c>
      <c r="K346" s="133">
        <v>1</v>
      </c>
      <c r="L346" s="133">
        <v>1</v>
      </c>
      <c r="M346" s="146">
        <v>1</v>
      </c>
    </row>
    <row r="347" spans="1:13" ht="15.75" thickBot="1" x14ac:dyDescent="0.3">
      <c r="A347" s="143" t="s">
        <v>87</v>
      </c>
      <c r="B347" s="132">
        <v>59</v>
      </c>
      <c r="C347" s="132">
        <v>14</v>
      </c>
      <c r="D347" s="132">
        <v>8</v>
      </c>
      <c r="E347" s="132" t="s">
        <v>84</v>
      </c>
      <c r="F347" s="132">
        <v>51</v>
      </c>
      <c r="G347" s="132">
        <v>10</v>
      </c>
      <c r="H347" s="132">
        <v>8</v>
      </c>
      <c r="I347" s="132" t="s">
        <v>84</v>
      </c>
      <c r="J347" s="132">
        <v>8</v>
      </c>
      <c r="K347" s="132">
        <v>4</v>
      </c>
      <c r="L347" s="132" t="s">
        <v>84</v>
      </c>
      <c r="M347" s="144" t="s">
        <v>84</v>
      </c>
    </row>
    <row r="348" spans="1:13" ht="15.75" thickBot="1" x14ac:dyDescent="0.3">
      <c r="A348" s="145" t="s">
        <v>153</v>
      </c>
      <c r="B348" s="133">
        <v>30</v>
      </c>
      <c r="C348" s="133">
        <v>6</v>
      </c>
      <c r="D348" s="133">
        <v>4</v>
      </c>
      <c r="E348" s="133" t="s">
        <v>84</v>
      </c>
      <c r="F348" s="133">
        <v>29</v>
      </c>
      <c r="G348" s="133">
        <v>6</v>
      </c>
      <c r="H348" s="133">
        <v>4</v>
      </c>
      <c r="I348" s="133" t="s">
        <v>84</v>
      </c>
      <c r="J348" s="133">
        <v>1</v>
      </c>
      <c r="K348" s="133" t="s">
        <v>84</v>
      </c>
      <c r="L348" s="133" t="s">
        <v>84</v>
      </c>
      <c r="M348" s="146" t="s">
        <v>84</v>
      </c>
    </row>
    <row r="349" spans="1:13" ht="15.75" thickBot="1" x14ac:dyDescent="0.3">
      <c r="A349" s="143" t="s">
        <v>154</v>
      </c>
      <c r="B349" s="132">
        <v>7</v>
      </c>
      <c r="C349" s="132">
        <v>4</v>
      </c>
      <c r="D349" s="132" t="s">
        <v>84</v>
      </c>
      <c r="E349" s="132" t="s">
        <v>84</v>
      </c>
      <c r="F349" s="132" t="s">
        <v>84</v>
      </c>
      <c r="G349" s="132" t="s">
        <v>84</v>
      </c>
      <c r="H349" s="132" t="s">
        <v>84</v>
      </c>
      <c r="I349" s="132" t="s">
        <v>84</v>
      </c>
      <c r="J349" s="132">
        <v>7</v>
      </c>
      <c r="K349" s="132">
        <v>4</v>
      </c>
      <c r="L349" s="132" t="s">
        <v>84</v>
      </c>
      <c r="M349" s="144" t="s">
        <v>84</v>
      </c>
    </row>
    <row r="350" spans="1:13" ht="15.75" thickBot="1" x14ac:dyDescent="0.3">
      <c r="A350" s="225" t="s">
        <v>120</v>
      </c>
      <c r="B350" s="226"/>
      <c r="C350" s="226"/>
      <c r="D350" s="226"/>
      <c r="E350" s="226"/>
      <c r="F350" s="226"/>
      <c r="G350" s="226"/>
      <c r="H350" s="226"/>
      <c r="I350" s="226"/>
      <c r="J350" s="226"/>
      <c r="K350" s="226"/>
      <c r="L350" s="226"/>
      <c r="M350" s="227"/>
    </row>
    <row r="351" spans="1:13" ht="15.75" thickBot="1" x14ac:dyDescent="0.3">
      <c r="A351" s="222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4"/>
    </row>
    <row r="352" spans="1:13" ht="15.75" thickBot="1" x14ac:dyDescent="0.3">
      <c r="A352" s="145" t="s">
        <v>83</v>
      </c>
      <c r="B352" s="133">
        <v>20071</v>
      </c>
      <c r="C352" s="133">
        <v>9417</v>
      </c>
      <c r="D352" s="133">
        <v>1940</v>
      </c>
      <c r="E352" s="133">
        <v>941</v>
      </c>
      <c r="F352" s="133">
        <v>18198</v>
      </c>
      <c r="G352" s="133">
        <v>8537</v>
      </c>
      <c r="H352" s="133">
        <v>1861</v>
      </c>
      <c r="I352" s="133">
        <v>899</v>
      </c>
      <c r="J352" s="133">
        <v>1873</v>
      </c>
      <c r="K352" s="133">
        <v>880</v>
      </c>
      <c r="L352" s="133">
        <v>79</v>
      </c>
      <c r="M352" s="146">
        <v>42</v>
      </c>
    </row>
    <row r="353" spans="1:13" ht="15.75" thickBot="1" x14ac:dyDescent="0.3">
      <c r="A353" s="143" t="s">
        <v>151</v>
      </c>
      <c r="B353" s="132">
        <v>1369</v>
      </c>
      <c r="C353" s="132">
        <v>790</v>
      </c>
      <c r="D353" s="132">
        <v>39</v>
      </c>
      <c r="E353" s="132">
        <v>17</v>
      </c>
      <c r="F353" s="132">
        <v>1195</v>
      </c>
      <c r="G353" s="132">
        <v>690</v>
      </c>
      <c r="H353" s="132">
        <v>38</v>
      </c>
      <c r="I353" s="132">
        <v>16</v>
      </c>
      <c r="J353" s="132">
        <v>174</v>
      </c>
      <c r="K353" s="132">
        <v>100</v>
      </c>
      <c r="L353" s="132">
        <v>1</v>
      </c>
      <c r="M353" s="144">
        <v>1</v>
      </c>
    </row>
    <row r="354" spans="1:13" ht="15.75" thickBot="1" x14ac:dyDescent="0.3">
      <c r="A354" s="145" t="s">
        <v>152</v>
      </c>
      <c r="B354" s="133">
        <v>476</v>
      </c>
      <c r="C354" s="133">
        <v>260</v>
      </c>
      <c r="D354" s="133">
        <v>21</v>
      </c>
      <c r="E354" s="133">
        <v>12</v>
      </c>
      <c r="F354" s="133">
        <v>430</v>
      </c>
      <c r="G354" s="133">
        <v>233</v>
      </c>
      <c r="H354" s="133">
        <v>19</v>
      </c>
      <c r="I354" s="133">
        <v>10</v>
      </c>
      <c r="J354" s="133">
        <v>46</v>
      </c>
      <c r="K354" s="133">
        <v>27</v>
      </c>
      <c r="L354" s="133">
        <v>2</v>
      </c>
      <c r="M354" s="146">
        <v>2</v>
      </c>
    </row>
    <row r="355" spans="1:13" ht="15.75" thickBot="1" x14ac:dyDescent="0.3">
      <c r="A355" s="143" t="s">
        <v>85</v>
      </c>
      <c r="B355" s="132">
        <v>12715</v>
      </c>
      <c r="C355" s="132">
        <v>6219</v>
      </c>
      <c r="D355" s="132">
        <v>849</v>
      </c>
      <c r="E355" s="132">
        <v>449</v>
      </c>
      <c r="F355" s="132">
        <v>11440</v>
      </c>
      <c r="G355" s="132">
        <v>5584</v>
      </c>
      <c r="H355" s="132">
        <v>808</v>
      </c>
      <c r="I355" s="132">
        <v>425</v>
      </c>
      <c r="J355" s="132">
        <v>1275</v>
      </c>
      <c r="K355" s="132">
        <v>635</v>
      </c>
      <c r="L355" s="132">
        <v>41</v>
      </c>
      <c r="M355" s="144">
        <v>24</v>
      </c>
    </row>
    <row r="356" spans="1:13" ht="15.75" thickBot="1" x14ac:dyDescent="0.3">
      <c r="A356" s="145" t="s">
        <v>86</v>
      </c>
      <c r="B356" s="133">
        <v>3892</v>
      </c>
      <c r="C356" s="133">
        <v>1508</v>
      </c>
      <c r="D356" s="133">
        <v>569</v>
      </c>
      <c r="E356" s="133">
        <v>258</v>
      </c>
      <c r="F356" s="133">
        <v>3626</v>
      </c>
      <c r="G356" s="133">
        <v>1424</v>
      </c>
      <c r="H356" s="133">
        <v>544</v>
      </c>
      <c r="I356" s="133">
        <v>249</v>
      </c>
      <c r="J356" s="133">
        <v>266</v>
      </c>
      <c r="K356" s="133">
        <v>84</v>
      </c>
      <c r="L356" s="133">
        <v>25</v>
      </c>
      <c r="M356" s="146">
        <v>9</v>
      </c>
    </row>
    <row r="357" spans="1:13" ht="15.75" thickBot="1" x14ac:dyDescent="0.3">
      <c r="A357" s="143" t="s">
        <v>87</v>
      </c>
      <c r="B357" s="132">
        <v>1619</v>
      </c>
      <c r="C357" s="132">
        <v>640</v>
      </c>
      <c r="D357" s="132">
        <v>462</v>
      </c>
      <c r="E357" s="132">
        <v>205</v>
      </c>
      <c r="F357" s="132">
        <v>1507</v>
      </c>
      <c r="G357" s="132">
        <v>606</v>
      </c>
      <c r="H357" s="132">
        <v>452</v>
      </c>
      <c r="I357" s="132">
        <v>199</v>
      </c>
      <c r="J357" s="132">
        <v>112</v>
      </c>
      <c r="K357" s="132">
        <v>34</v>
      </c>
      <c r="L357" s="132">
        <v>10</v>
      </c>
      <c r="M357" s="144">
        <v>6</v>
      </c>
    </row>
    <row r="358" spans="1:13" ht="15.75" thickBot="1" x14ac:dyDescent="0.3">
      <c r="A358" s="145" t="s">
        <v>153</v>
      </c>
      <c r="B358" s="133">
        <v>594</v>
      </c>
      <c r="C358" s="133">
        <v>244</v>
      </c>
      <c r="D358" s="133">
        <v>80</v>
      </c>
      <c r="E358" s="133">
        <v>35</v>
      </c>
      <c r="F358" s="133">
        <v>568</v>
      </c>
      <c r="G358" s="133">
        <v>240</v>
      </c>
      <c r="H358" s="133">
        <v>79</v>
      </c>
      <c r="I358" s="133">
        <v>35</v>
      </c>
      <c r="J358" s="133">
        <v>26</v>
      </c>
      <c r="K358" s="133">
        <v>4</v>
      </c>
      <c r="L358" s="133">
        <v>1</v>
      </c>
      <c r="M358" s="146" t="s">
        <v>84</v>
      </c>
    </row>
    <row r="359" spans="1:13" ht="15.75" thickBot="1" x14ac:dyDescent="0.3">
      <c r="A359" s="143" t="s">
        <v>154</v>
      </c>
      <c r="B359" s="132">
        <v>231</v>
      </c>
      <c r="C359" s="132">
        <v>91</v>
      </c>
      <c r="D359" s="132">
        <v>40</v>
      </c>
      <c r="E359" s="132">
        <v>18</v>
      </c>
      <c r="F359" s="132">
        <v>211</v>
      </c>
      <c r="G359" s="132">
        <v>82</v>
      </c>
      <c r="H359" s="132">
        <v>40</v>
      </c>
      <c r="I359" s="132">
        <v>18</v>
      </c>
      <c r="J359" s="132">
        <v>20</v>
      </c>
      <c r="K359" s="132">
        <v>9</v>
      </c>
      <c r="L359" s="132" t="s">
        <v>84</v>
      </c>
      <c r="M359" s="144" t="s">
        <v>84</v>
      </c>
    </row>
    <row r="360" spans="1:13" ht="15.75" thickBot="1" x14ac:dyDescent="0.3">
      <c r="A360" s="225" t="s">
        <v>121</v>
      </c>
      <c r="B360" s="226"/>
      <c r="C360" s="226"/>
      <c r="D360" s="226"/>
      <c r="E360" s="226"/>
      <c r="F360" s="226"/>
      <c r="G360" s="226"/>
      <c r="H360" s="226"/>
      <c r="I360" s="226"/>
      <c r="J360" s="226"/>
      <c r="K360" s="226"/>
      <c r="L360" s="226"/>
      <c r="M360" s="227"/>
    </row>
    <row r="361" spans="1:13" ht="15.75" thickBot="1" x14ac:dyDescent="0.3">
      <c r="A361" s="222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4"/>
    </row>
    <row r="362" spans="1:13" ht="15.75" thickBot="1" x14ac:dyDescent="0.3">
      <c r="A362" s="145" t="s">
        <v>83</v>
      </c>
      <c r="B362" s="133">
        <v>561</v>
      </c>
      <c r="C362" s="133">
        <v>248</v>
      </c>
      <c r="D362" s="133">
        <v>90</v>
      </c>
      <c r="E362" s="133">
        <v>48</v>
      </c>
      <c r="F362" s="133">
        <v>561</v>
      </c>
      <c r="G362" s="133">
        <v>248</v>
      </c>
      <c r="H362" s="133">
        <v>90</v>
      </c>
      <c r="I362" s="133">
        <v>48</v>
      </c>
      <c r="J362" s="133" t="s">
        <v>84</v>
      </c>
      <c r="K362" s="133" t="s">
        <v>84</v>
      </c>
      <c r="L362" s="133" t="s">
        <v>84</v>
      </c>
      <c r="M362" s="146" t="s">
        <v>84</v>
      </c>
    </row>
    <row r="363" spans="1:13" ht="15.75" thickBot="1" x14ac:dyDescent="0.3">
      <c r="A363" s="143" t="s">
        <v>151</v>
      </c>
      <c r="B363" s="132">
        <v>43</v>
      </c>
      <c r="C363" s="132">
        <v>25</v>
      </c>
      <c r="D363" s="132">
        <v>1</v>
      </c>
      <c r="E363" s="132" t="s">
        <v>84</v>
      </c>
      <c r="F363" s="132">
        <v>43</v>
      </c>
      <c r="G363" s="132">
        <v>25</v>
      </c>
      <c r="H363" s="132">
        <v>1</v>
      </c>
      <c r="I363" s="132" t="s">
        <v>84</v>
      </c>
      <c r="J363" s="132" t="s">
        <v>84</v>
      </c>
      <c r="K363" s="132" t="s">
        <v>84</v>
      </c>
      <c r="L363" s="132" t="s">
        <v>84</v>
      </c>
      <c r="M363" s="144" t="s">
        <v>84</v>
      </c>
    </row>
    <row r="364" spans="1:13" ht="15.75" thickBot="1" x14ac:dyDescent="0.3">
      <c r="A364" s="145" t="s">
        <v>152</v>
      </c>
      <c r="B364" s="133">
        <v>15</v>
      </c>
      <c r="C364" s="133">
        <v>6</v>
      </c>
      <c r="D364" s="133">
        <v>3</v>
      </c>
      <c r="E364" s="133">
        <v>3</v>
      </c>
      <c r="F364" s="133">
        <v>15</v>
      </c>
      <c r="G364" s="133">
        <v>6</v>
      </c>
      <c r="H364" s="133">
        <v>3</v>
      </c>
      <c r="I364" s="133">
        <v>3</v>
      </c>
      <c r="J364" s="133" t="s">
        <v>84</v>
      </c>
      <c r="K364" s="133" t="s">
        <v>84</v>
      </c>
      <c r="L364" s="133" t="s">
        <v>84</v>
      </c>
      <c r="M364" s="146" t="s">
        <v>84</v>
      </c>
    </row>
    <row r="365" spans="1:13" ht="15.75" thickBot="1" x14ac:dyDescent="0.3">
      <c r="A365" s="143" t="s">
        <v>85</v>
      </c>
      <c r="B365" s="132">
        <v>344</v>
      </c>
      <c r="C365" s="132">
        <v>161</v>
      </c>
      <c r="D365" s="132">
        <v>44</v>
      </c>
      <c r="E365" s="132">
        <v>28</v>
      </c>
      <c r="F365" s="132">
        <v>344</v>
      </c>
      <c r="G365" s="132">
        <v>161</v>
      </c>
      <c r="H365" s="132">
        <v>44</v>
      </c>
      <c r="I365" s="132">
        <v>28</v>
      </c>
      <c r="J365" s="132" t="s">
        <v>84</v>
      </c>
      <c r="K365" s="132" t="s">
        <v>84</v>
      </c>
      <c r="L365" s="132" t="s">
        <v>84</v>
      </c>
      <c r="M365" s="144" t="s">
        <v>84</v>
      </c>
    </row>
    <row r="366" spans="1:13" ht="15.75" thickBot="1" x14ac:dyDescent="0.3">
      <c r="A366" s="145" t="s">
        <v>86</v>
      </c>
      <c r="B366" s="133">
        <v>115</v>
      </c>
      <c r="C366" s="133">
        <v>39</v>
      </c>
      <c r="D366" s="133">
        <v>18</v>
      </c>
      <c r="E366" s="133">
        <v>6</v>
      </c>
      <c r="F366" s="133">
        <v>115</v>
      </c>
      <c r="G366" s="133">
        <v>39</v>
      </c>
      <c r="H366" s="133">
        <v>18</v>
      </c>
      <c r="I366" s="133">
        <v>6</v>
      </c>
      <c r="J366" s="133" t="s">
        <v>84</v>
      </c>
      <c r="K366" s="133" t="s">
        <v>84</v>
      </c>
      <c r="L366" s="133" t="s">
        <v>84</v>
      </c>
      <c r="M366" s="146" t="s">
        <v>84</v>
      </c>
    </row>
    <row r="367" spans="1:13" ht="15.75" thickBot="1" x14ac:dyDescent="0.3">
      <c r="A367" s="143" t="s">
        <v>87</v>
      </c>
      <c r="B367" s="132">
        <v>44</v>
      </c>
      <c r="C367" s="132">
        <v>17</v>
      </c>
      <c r="D367" s="132">
        <v>24</v>
      </c>
      <c r="E367" s="132">
        <v>11</v>
      </c>
      <c r="F367" s="132">
        <v>44</v>
      </c>
      <c r="G367" s="132">
        <v>17</v>
      </c>
      <c r="H367" s="132">
        <v>24</v>
      </c>
      <c r="I367" s="132">
        <v>11</v>
      </c>
      <c r="J367" s="132" t="s">
        <v>84</v>
      </c>
      <c r="K367" s="132" t="s">
        <v>84</v>
      </c>
      <c r="L367" s="132" t="s">
        <v>84</v>
      </c>
      <c r="M367" s="144" t="s">
        <v>84</v>
      </c>
    </row>
    <row r="368" spans="1:13" ht="15.75" thickBot="1" x14ac:dyDescent="0.3">
      <c r="A368" s="145" t="s">
        <v>153</v>
      </c>
      <c r="B368" s="133">
        <v>4</v>
      </c>
      <c r="C368" s="133">
        <v>1</v>
      </c>
      <c r="D368" s="133">
        <v>1</v>
      </c>
      <c r="E368" s="133" t="s">
        <v>84</v>
      </c>
      <c r="F368" s="133">
        <v>4</v>
      </c>
      <c r="G368" s="133">
        <v>1</v>
      </c>
      <c r="H368" s="133">
        <v>1</v>
      </c>
      <c r="I368" s="133" t="s">
        <v>84</v>
      </c>
      <c r="J368" s="133" t="s">
        <v>84</v>
      </c>
      <c r="K368" s="133" t="s">
        <v>84</v>
      </c>
      <c r="L368" s="133" t="s">
        <v>84</v>
      </c>
      <c r="M368" s="146" t="s">
        <v>84</v>
      </c>
    </row>
    <row r="369" spans="1:13" ht="15.75" thickBot="1" x14ac:dyDescent="0.3">
      <c r="A369" s="143" t="s">
        <v>154</v>
      </c>
      <c r="B369" s="132">
        <v>11</v>
      </c>
      <c r="C369" s="132">
        <v>4</v>
      </c>
      <c r="D369" s="132">
        <v>3</v>
      </c>
      <c r="E369" s="132">
        <v>2</v>
      </c>
      <c r="F369" s="132">
        <v>11</v>
      </c>
      <c r="G369" s="132">
        <v>4</v>
      </c>
      <c r="H369" s="132">
        <v>3</v>
      </c>
      <c r="I369" s="132">
        <v>2</v>
      </c>
      <c r="J369" s="132" t="s">
        <v>84</v>
      </c>
      <c r="K369" s="132" t="s">
        <v>84</v>
      </c>
      <c r="L369" s="132" t="s">
        <v>84</v>
      </c>
      <c r="M369" s="144" t="s">
        <v>84</v>
      </c>
    </row>
    <row r="370" spans="1:13" ht="15.75" thickBot="1" x14ac:dyDescent="0.3">
      <c r="A370" s="225" t="s">
        <v>122</v>
      </c>
      <c r="B370" s="226"/>
      <c r="C370" s="226"/>
      <c r="D370" s="226"/>
      <c r="E370" s="226"/>
      <c r="F370" s="226"/>
      <c r="G370" s="226"/>
      <c r="H370" s="226"/>
      <c r="I370" s="226"/>
      <c r="J370" s="226"/>
      <c r="K370" s="226"/>
      <c r="L370" s="226"/>
      <c r="M370" s="227"/>
    </row>
    <row r="371" spans="1:13" ht="15.75" thickBot="1" x14ac:dyDescent="0.3">
      <c r="A371" s="222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4"/>
    </row>
    <row r="372" spans="1:13" ht="15.75" thickBot="1" x14ac:dyDescent="0.3">
      <c r="A372" s="145" t="s">
        <v>83</v>
      </c>
      <c r="B372" s="133">
        <v>377</v>
      </c>
      <c r="C372" s="133">
        <v>167</v>
      </c>
      <c r="D372" s="133">
        <v>39</v>
      </c>
      <c r="E372" s="133">
        <v>15</v>
      </c>
      <c r="F372" s="133">
        <v>377</v>
      </c>
      <c r="G372" s="133">
        <v>167</v>
      </c>
      <c r="H372" s="133">
        <v>39</v>
      </c>
      <c r="I372" s="133">
        <v>15</v>
      </c>
      <c r="J372" s="133" t="s">
        <v>84</v>
      </c>
      <c r="K372" s="133" t="s">
        <v>84</v>
      </c>
      <c r="L372" s="133" t="s">
        <v>84</v>
      </c>
      <c r="M372" s="146" t="s">
        <v>84</v>
      </c>
    </row>
    <row r="373" spans="1:13" ht="15.75" thickBot="1" x14ac:dyDescent="0.3">
      <c r="A373" s="143" t="s">
        <v>151</v>
      </c>
      <c r="B373" s="132">
        <v>32</v>
      </c>
      <c r="C373" s="132">
        <v>11</v>
      </c>
      <c r="D373" s="132" t="s">
        <v>84</v>
      </c>
      <c r="E373" s="132" t="s">
        <v>84</v>
      </c>
      <c r="F373" s="132">
        <v>32</v>
      </c>
      <c r="G373" s="132">
        <v>11</v>
      </c>
      <c r="H373" s="132" t="s">
        <v>84</v>
      </c>
      <c r="I373" s="132" t="s">
        <v>84</v>
      </c>
      <c r="J373" s="132" t="s">
        <v>84</v>
      </c>
      <c r="K373" s="132" t="s">
        <v>84</v>
      </c>
      <c r="L373" s="132" t="s">
        <v>84</v>
      </c>
      <c r="M373" s="144" t="s">
        <v>84</v>
      </c>
    </row>
    <row r="374" spans="1:13" ht="15.75" thickBot="1" x14ac:dyDescent="0.3">
      <c r="A374" s="145" t="s">
        <v>152</v>
      </c>
      <c r="B374" s="133">
        <v>10</v>
      </c>
      <c r="C374" s="133">
        <v>4</v>
      </c>
      <c r="D374" s="133" t="s">
        <v>84</v>
      </c>
      <c r="E374" s="133" t="s">
        <v>84</v>
      </c>
      <c r="F374" s="133">
        <v>10</v>
      </c>
      <c r="G374" s="133">
        <v>4</v>
      </c>
      <c r="H374" s="133" t="s">
        <v>84</v>
      </c>
      <c r="I374" s="133" t="s">
        <v>84</v>
      </c>
      <c r="J374" s="133" t="s">
        <v>84</v>
      </c>
      <c r="K374" s="133" t="s">
        <v>84</v>
      </c>
      <c r="L374" s="133" t="s">
        <v>84</v>
      </c>
      <c r="M374" s="146" t="s">
        <v>84</v>
      </c>
    </row>
    <row r="375" spans="1:13" ht="15.75" thickBot="1" x14ac:dyDescent="0.3">
      <c r="A375" s="143" t="s">
        <v>85</v>
      </c>
      <c r="B375" s="132">
        <v>204</v>
      </c>
      <c r="C375" s="132">
        <v>101</v>
      </c>
      <c r="D375" s="132">
        <v>13</v>
      </c>
      <c r="E375" s="132">
        <v>5</v>
      </c>
      <c r="F375" s="132">
        <v>204</v>
      </c>
      <c r="G375" s="132">
        <v>101</v>
      </c>
      <c r="H375" s="132">
        <v>13</v>
      </c>
      <c r="I375" s="132">
        <v>5</v>
      </c>
      <c r="J375" s="132" t="s">
        <v>84</v>
      </c>
      <c r="K375" s="132" t="s">
        <v>84</v>
      </c>
      <c r="L375" s="132" t="s">
        <v>84</v>
      </c>
      <c r="M375" s="144" t="s">
        <v>84</v>
      </c>
    </row>
    <row r="376" spans="1:13" ht="15.75" thickBot="1" x14ac:dyDescent="0.3">
      <c r="A376" s="145" t="s">
        <v>86</v>
      </c>
      <c r="B376" s="133">
        <v>78</v>
      </c>
      <c r="C376" s="133">
        <v>33</v>
      </c>
      <c r="D376" s="133">
        <v>8</v>
      </c>
      <c r="E376" s="133">
        <v>2</v>
      </c>
      <c r="F376" s="133">
        <v>78</v>
      </c>
      <c r="G376" s="133">
        <v>33</v>
      </c>
      <c r="H376" s="133">
        <v>8</v>
      </c>
      <c r="I376" s="133">
        <v>2</v>
      </c>
      <c r="J376" s="133" t="s">
        <v>84</v>
      </c>
      <c r="K376" s="133" t="s">
        <v>84</v>
      </c>
      <c r="L376" s="133" t="s">
        <v>84</v>
      </c>
      <c r="M376" s="146" t="s">
        <v>84</v>
      </c>
    </row>
    <row r="377" spans="1:13" ht="15.75" thickBot="1" x14ac:dyDescent="0.3">
      <c r="A377" s="143" t="s">
        <v>87</v>
      </c>
      <c r="B377" s="132">
        <v>53</v>
      </c>
      <c r="C377" s="132">
        <v>18</v>
      </c>
      <c r="D377" s="132">
        <v>18</v>
      </c>
      <c r="E377" s="132">
        <v>8</v>
      </c>
      <c r="F377" s="132">
        <v>53</v>
      </c>
      <c r="G377" s="132">
        <v>18</v>
      </c>
      <c r="H377" s="132">
        <v>18</v>
      </c>
      <c r="I377" s="132">
        <v>8</v>
      </c>
      <c r="J377" s="132" t="s">
        <v>84</v>
      </c>
      <c r="K377" s="132" t="s">
        <v>84</v>
      </c>
      <c r="L377" s="132" t="s">
        <v>84</v>
      </c>
      <c r="M377" s="144" t="s">
        <v>84</v>
      </c>
    </row>
    <row r="378" spans="1:13" ht="15.75" thickBot="1" x14ac:dyDescent="0.3">
      <c r="A378" s="145" t="s">
        <v>153</v>
      </c>
      <c r="B378" s="133">
        <v>17</v>
      </c>
      <c r="C378" s="133">
        <v>9</v>
      </c>
      <c r="D378" s="133">
        <v>4</v>
      </c>
      <c r="E378" s="133">
        <v>4</v>
      </c>
      <c r="F378" s="133">
        <v>17</v>
      </c>
      <c r="G378" s="133">
        <v>9</v>
      </c>
      <c r="H378" s="133">
        <v>4</v>
      </c>
      <c r="I378" s="133">
        <v>4</v>
      </c>
      <c r="J378" s="133" t="s">
        <v>84</v>
      </c>
      <c r="K378" s="133" t="s">
        <v>84</v>
      </c>
      <c r="L378" s="133" t="s">
        <v>84</v>
      </c>
      <c r="M378" s="146" t="s">
        <v>84</v>
      </c>
    </row>
    <row r="379" spans="1:13" ht="15.75" thickBot="1" x14ac:dyDescent="0.3">
      <c r="A379" s="143" t="s">
        <v>154</v>
      </c>
      <c r="B379" s="132">
        <v>4</v>
      </c>
      <c r="C379" s="132">
        <v>1</v>
      </c>
      <c r="D379" s="132">
        <v>1</v>
      </c>
      <c r="E379" s="132" t="s">
        <v>84</v>
      </c>
      <c r="F379" s="132">
        <v>4</v>
      </c>
      <c r="G379" s="132">
        <v>1</v>
      </c>
      <c r="H379" s="132">
        <v>1</v>
      </c>
      <c r="I379" s="132" t="s">
        <v>84</v>
      </c>
      <c r="J379" s="132" t="s">
        <v>84</v>
      </c>
      <c r="K379" s="132" t="s">
        <v>84</v>
      </c>
      <c r="L379" s="132" t="s">
        <v>84</v>
      </c>
      <c r="M379" s="144" t="s">
        <v>84</v>
      </c>
    </row>
    <row r="380" spans="1:13" ht="15.75" thickBot="1" x14ac:dyDescent="0.3">
      <c r="A380" s="225" t="s">
        <v>123</v>
      </c>
      <c r="B380" s="226"/>
      <c r="C380" s="226"/>
      <c r="D380" s="226"/>
      <c r="E380" s="226"/>
      <c r="F380" s="226"/>
      <c r="G380" s="226"/>
      <c r="H380" s="226"/>
      <c r="I380" s="226"/>
      <c r="J380" s="226"/>
      <c r="K380" s="226"/>
      <c r="L380" s="226"/>
      <c r="M380" s="227"/>
    </row>
    <row r="381" spans="1:13" ht="15.75" thickBot="1" x14ac:dyDescent="0.3">
      <c r="A381" s="222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4"/>
    </row>
    <row r="382" spans="1:13" ht="15.75" thickBot="1" x14ac:dyDescent="0.3">
      <c r="A382" s="145" t="s">
        <v>83</v>
      </c>
      <c r="B382" s="133">
        <v>1186</v>
      </c>
      <c r="C382" s="133">
        <v>552</v>
      </c>
      <c r="D382" s="133">
        <v>152</v>
      </c>
      <c r="E382" s="133">
        <v>59</v>
      </c>
      <c r="F382" s="133">
        <v>1048</v>
      </c>
      <c r="G382" s="133">
        <v>487</v>
      </c>
      <c r="H382" s="133">
        <v>132</v>
      </c>
      <c r="I382" s="133">
        <v>50</v>
      </c>
      <c r="J382" s="133">
        <v>138</v>
      </c>
      <c r="K382" s="133">
        <v>65</v>
      </c>
      <c r="L382" s="133">
        <v>20</v>
      </c>
      <c r="M382" s="146">
        <v>9</v>
      </c>
    </row>
    <row r="383" spans="1:13" ht="15.75" thickBot="1" x14ac:dyDescent="0.3">
      <c r="A383" s="143" t="s">
        <v>151</v>
      </c>
      <c r="B383" s="132">
        <v>319</v>
      </c>
      <c r="C383" s="132">
        <v>181</v>
      </c>
      <c r="D383" s="132">
        <v>8</v>
      </c>
      <c r="E383" s="132">
        <v>2</v>
      </c>
      <c r="F383" s="132">
        <v>275</v>
      </c>
      <c r="G383" s="132">
        <v>157</v>
      </c>
      <c r="H383" s="132">
        <v>7</v>
      </c>
      <c r="I383" s="132">
        <v>1</v>
      </c>
      <c r="J383" s="132">
        <v>44</v>
      </c>
      <c r="K383" s="132">
        <v>24</v>
      </c>
      <c r="L383" s="132">
        <v>1</v>
      </c>
      <c r="M383" s="144">
        <v>1</v>
      </c>
    </row>
    <row r="384" spans="1:13" ht="15.75" thickBot="1" x14ac:dyDescent="0.3">
      <c r="A384" s="145" t="s">
        <v>152</v>
      </c>
      <c r="B384" s="133">
        <v>71</v>
      </c>
      <c r="C384" s="133">
        <v>37</v>
      </c>
      <c r="D384" s="133">
        <v>3</v>
      </c>
      <c r="E384" s="133" t="s">
        <v>84</v>
      </c>
      <c r="F384" s="133">
        <v>71</v>
      </c>
      <c r="G384" s="133">
        <v>37</v>
      </c>
      <c r="H384" s="133">
        <v>3</v>
      </c>
      <c r="I384" s="133" t="s">
        <v>84</v>
      </c>
      <c r="J384" s="133" t="s">
        <v>84</v>
      </c>
      <c r="K384" s="133" t="s">
        <v>84</v>
      </c>
      <c r="L384" s="133" t="s">
        <v>84</v>
      </c>
      <c r="M384" s="146" t="s">
        <v>84</v>
      </c>
    </row>
    <row r="385" spans="1:13" ht="15.75" thickBot="1" x14ac:dyDescent="0.3">
      <c r="A385" s="143" t="s">
        <v>85</v>
      </c>
      <c r="B385" s="132">
        <v>532</v>
      </c>
      <c r="C385" s="132">
        <v>240</v>
      </c>
      <c r="D385" s="132">
        <v>70</v>
      </c>
      <c r="E385" s="132">
        <v>29</v>
      </c>
      <c r="F385" s="132">
        <v>459</v>
      </c>
      <c r="G385" s="132">
        <v>208</v>
      </c>
      <c r="H385" s="132">
        <v>57</v>
      </c>
      <c r="I385" s="132">
        <v>22</v>
      </c>
      <c r="J385" s="132">
        <v>73</v>
      </c>
      <c r="K385" s="132">
        <v>32</v>
      </c>
      <c r="L385" s="132">
        <v>13</v>
      </c>
      <c r="M385" s="144">
        <v>7</v>
      </c>
    </row>
    <row r="386" spans="1:13" ht="15.75" thickBot="1" x14ac:dyDescent="0.3">
      <c r="A386" s="145" t="s">
        <v>86</v>
      </c>
      <c r="B386" s="133">
        <v>174</v>
      </c>
      <c r="C386" s="133">
        <v>65</v>
      </c>
      <c r="D386" s="133">
        <v>42</v>
      </c>
      <c r="E386" s="133">
        <v>17</v>
      </c>
      <c r="F386" s="133">
        <v>156</v>
      </c>
      <c r="G386" s="133">
        <v>58</v>
      </c>
      <c r="H386" s="133">
        <v>36</v>
      </c>
      <c r="I386" s="133">
        <v>16</v>
      </c>
      <c r="J386" s="133">
        <v>18</v>
      </c>
      <c r="K386" s="133">
        <v>7</v>
      </c>
      <c r="L386" s="133">
        <v>6</v>
      </c>
      <c r="M386" s="146">
        <v>1</v>
      </c>
    </row>
    <row r="387" spans="1:13" ht="15.75" thickBot="1" x14ac:dyDescent="0.3">
      <c r="A387" s="143" t="s">
        <v>87</v>
      </c>
      <c r="B387" s="132">
        <v>90</v>
      </c>
      <c r="C387" s="132">
        <v>29</v>
      </c>
      <c r="D387" s="132">
        <v>29</v>
      </c>
      <c r="E387" s="132">
        <v>11</v>
      </c>
      <c r="F387" s="132">
        <v>87</v>
      </c>
      <c r="G387" s="132">
        <v>27</v>
      </c>
      <c r="H387" s="132">
        <v>29</v>
      </c>
      <c r="I387" s="132">
        <v>11</v>
      </c>
      <c r="J387" s="132">
        <v>3</v>
      </c>
      <c r="K387" s="132">
        <v>2</v>
      </c>
      <c r="L387" s="132" t="s">
        <v>84</v>
      </c>
      <c r="M387" s="144" t="s">
        <v>84</v>
      </c>
    </row>
    <row r="388" spans="1:13" ht="15.75" thickBot="1" x14ac:dyDescent="0.3">
      <c r="A388" s="145" t="s">
        <v>153</v>
      </c>
      <c r="B388" s="133">
        <v>33</v>
      </c>
      <c r="C388" s="133">
        <v>12</v>
      </c>
      <c r="D388" s="133">
        <v>9</v>
      </c>
      <c r="E388" s="133">
        <v>6</v>
      </c>
      <c r="F388" s="133">
        <v>33</v>
      </c>
      <c r="G388" s="133">
        <v>12</v>
      </c>
      <c r="H388" s="133">
        <v>9</v>
      </c>
      <c r="I388" s="133">
        <v>6</v>
      </c>
      <c r="J388" s="133" t="s">
        <v>84</v>
      </c>
      <c r="K388" s="133" t="s">
        <v>84</v>
      </c>
      <c r="L388" s="133" t="s">
        <v>84</v>
      </c>
      <c r="M388" s="146" t="s">
        <v>84</v>
      </c>
    </row>
    <row r="389" spans="1:13" ht="15.75" thickBot="1" x14ac:dyDescent="0.3">
      <c r="A389" s="143" t="s">
        <v>154</v>
      </c>
      <c r="B389" s="132">
        <v>17</v>
      </c>
      <c r="C389" s="132">
        <v>8</v>
      </c>
      <c r="D389" s="132">
        <v>1</v>
      </c>
      <c r="E389" s="132">
        <v>1</v>
      </c>
      <c r="F389" s="132">
        <v>14</v>
      </c>
      <c r="G389" s="132">
        <v>6</v>
      </c>
      <c r="H389" s="132">
        <v>1</v>
      </c>
      <c r="I389" s="132">
        <v>1</v>
      </c>
      <c r="J389" s="132">
        <v>3</v>
      </c>
      <c r="K389" s="132">
        <v>2</v>
      </c>
      <c r="L389" s="132" t="s">
        <v>84</v>
      </c>
      <c r="M389" s="144" t="s">
        <v>84</v>
      </c>
    </row>
    <row r="390" spans="1:13" ht="15.75" thickBot="1" x14ac:dyDescent="0.3">
      <c r="A390" s="225" t="s">
        <v>124</v>
      </c>
      <c r="B390" s="226"/>
      <c r="C390" s="226"/>
      <c r="D390" s="226"/>
      <c r="E390" s="226"/>
      <c r="F390" s="226"/>
      <c r="G390" s="226"/>
      <c r="H390" s="226"/>
      <c r="I390" s="226"/>
      <c r="J390" s="226"/>
      <c r="K390" s="226"/>
      <c r="L390" s="226"/>
      <c r="M390" s="227"/>
    </row>
    <row r="391" spans="1:13" ht="15.75" thickBot="1" x14ac:dyDescent="0.3">
      <c r="A391" s="222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4"/>
    </row>
    <row r="392" spans="1:13" ht="15.75" thickBot="1" x14ac:dyDescent="0.3">
      <c r="A392" s="145" t="s">
        <v>83</v>
      </c>
      <c r="B392" s="133">
        <v>1474</v>
      </c>
      <c r="C392" s="133">
        <v>749</v>
      </c>
      <c r="D392" s="133">
        <v>197</v>
      </c>
      <c r="E392" s="133">
        <v>102</v>
      </c>
      <c r="F392" s="133">
        <v>1117</v>
      </c>
      <c r="G392" s="133">
        <v>556</v>
      </c>
      <c r="H392" s="133">
        <v>188</v>
      </c>
      <c r="I392" s="133">
        <v>95</v>
      </c>
      <c r="J392" s="133">
        <v>357</v>
      </c>
      <c r="K392" s="133">
        <v>193</v>
      </c>
      <c r="L392" s="133">
        <v>9</v>
      </c>
      <c r="M392" s="146">
        <v>7</v>
      </c>
    </row>
    <row r="393" spans="1:13" ht="15.75" thickBot="1" x14ac:dyDescent="0.3">
      <c r="A393" s="143" t="s">
        <v>151</v>
      </c>
      <c r="B393" s="132">
        <v>324</v>
      </c>
      <c r="C393" s="132">
        <v>188</v>
      </c>
      <c r="D393" s="132">
        <v>23</v>
      </c>
      <c r="E393" s="132">
        <v>13</v>
      </c>
      <c r="F393" s="132">
        <v>255</v>
      </c>
      <c r="G393" s="132">
        <v>147</v>
      </c>
      <c r="H393" s="132">
        <v>23</v>
      </c>
      <c r="I393" s="132">
        <v>13</v>
      </c>
      <c r="J393" s="132">
        <v>69</v>
      </c>
      <c r="K393" s="132">
        <v>41</v>
      </c>
      <c r="L393" s="132" t="s">
        <v>84</v>
      </c>
      <c r="M393" s="144" t="s">
        <v>84</v>
      </c>
    </row>
    <row r="394" spans="1:13" ht="15.75" thickBot="1" x14ac:dyDescent="0.3">
      <c r="A394" s="145" t="s">
        <v>152</v>
      </c>
      <c r="B394" s="133">
        <v>96</v>
      </c>
      <c r="C394" s="133">
        <v>54</v>
      </c>
      <c r="D394" s="133">
        <v>9</v>
      </c>
      <c r="E394" s="133">
        <v>4</v>
      </c>
      <c r="F394" s="133">
        <v>87</v>
      </c>
      <c r="G394" s="133">
        <v>48</v>
      </c>
      <c r="H394" s="133">
        <v>9</v>
      </c>
      <c r="I394" s="133">
        <v>4</v>
      </c>
      <c r="J394" s="133">
        <v>9</v>
      </c>
      <c r="K394" s="133">
        <v>6</v>
      </c>
      <c r="L394" s="133" t="s">
        <v>84</v>
      </c>
      <c r="M394" s="146" t="s">
        <v>84</v>
      </c>
    </row>
    <row r="395" spans="1:13" ht="15.75" thickBot="1" x14ac:dyDescent="0.3">
      <c r="A395" s="143" t="s">
        <v>85</v>
      </c>
      <c r="B395" s="132">
        <v>809</v>
      </c>
      <c r="C395" s="132">
        <v>411</v>
      </c>
      <c r="D395" s="132">
        <v>97</v>
      </c>
      <c r="E395" s="132">
        <v>57</v>
      </c>
      <c r="F395" s="132">
        <v>558</v>
      </c>
      <c r="G395" s="132">
        <v>278</v>
      </c>
      <c r="H395" s="132">
        <v>91</v>
      </c>
      <c r="I395" s="132">
        <v>52</v>
      </c>
      <c r="J395" s="132">
        <v>251</v>
      </c>
      <c r="K395" s="132">
        <v>133</v>
      </c>
      <c r="L395" s="132">
        <v>6</v>
      </c>
      <c r="M395" s="144">
        <v>5</v>
      </c>
    </row>
    <row r="396" spans="1:13" ht="15.75" thickBot="1" x14ac:dyDescent="0.3">
      <c r="A396" s="145" t="s">
        <v>86</v>
      </c>
      <c r="B396" s="133">
        <v>147</v>
      </c>
      <c r="C396" s="133">
        <v>56</v>
      </c>
      <c r="D396" s="133">
        <v>32</v>
      </c>
      <c r="E396" s="133">
        <v>10</v>
      </c>
      <c r="F396" s="133">
        <v>124</v>
      </c>
      <c r="G396" s="133">
        <v>45</v>
      </c>
      <c r="H396" s="133">
        <v>31</v>
      </c>
      <c r="I396" s="133">
        <v>10</v>
      </c>
      <c r="J396" s="133">
        <v>23</v>
      </c>
      <c r="K396" s="133">
        <v>11</v>
      </c>
      <c r="L396" s="133">
        <v>1</v>
      </c>
      <c r="M396" s="146" t="s">
        <v>84</v>
      </c>
    </row>
    <row r="397" spans="1:13" ht="15.75" thickBot="1" x14ac:dyDescent="0.3">
      <c r="A397" s="143" t="s">
        <v>87</v>
      </c>
      <c r="B397" s="132">
        <v>98</v>
      </c>
      <c r="C397" s="132">
        <v>40</v>
      </c>
      <c r="D397" s="132">
        <v>36</v>
      </c>
      <c r="E397" s="132">
        <v>18</v>
      </c>
      <c r="F397" s="132">
        <v>93</v>
      </c>
      <c r="G397" s="132">
        <v>38</v>
      </c>
      <c r="H397" s="132">
        <v>34</v>
      </c>
      <c r="I397" s="132">
        <v>16</v>
      </c>
      <c r="J397" s="132">
        <v>5</v>
      </c>
      <c r="K397" s="132">
        <v>2</v>
      </c>
      <c r="L397" s="132">
        <v>2</v>
      </c>
      <c r="M397" s="144">
        <v>2</v>
      </c>
    </row>
    <row r="398" spans="1:13" ht="15.75" thickBot="1" x14ac:dyDescent="0.3">
      <c r="A398" s="145" t="s">
        <v>153</v>
      </c>
      <c r="B398" s="133">
        <v>24</v>
      </c>
      <c r="C398" s="133">
        <v>13</v>
      </c>
      <c r="D398" s="133">
        <v>7</v>
      </c>
      <c r="E398" s="133">
        <v>5</v>
      </c>
      <c r="F398" s="133">
        <v>24</v>
      </c>
      <c r="G398" s="133">
        <v>13</v>
      </c>
      <c r="H398" s="133">
        <v>7</v>
      </c>
      <c r="I398" s="133">
        <v>5</v>
      </c>
      <c r="J398" s="133" t="s">
        <v>84</v>
      </c>
      <c r="K398" s="133" t="s">
        <v>84</v>
      </c>
      <c r="L398" s="133" t="s">
        <v>84</v>
      </c>
      <c r="M398" s="146" t="s">
        <v>84</v>
      </c>
    </row>
    <row r="399" spans="1:13" ht="15.75" thickBot="1" x14ac:dyDescent="0.3">
      <c r="A399" s="143" t="s">
        <v>154</v>
      </c>
      <c r="B399" s="132">
        <v>31</v>
      </c>
      <c r="C399" s="132">
        <v>11</v>
      </c>
      <c r="D399" s="132">
        <v>6</v>
      </c>
      <c r="E399" s="132">
        <v>4</v>
      </c>
      <c r="F399" s="132">
        <v>31</v>
      </c>
      <c r="G399" s="132">
        <v>11</v>
      </c>
      <c r="H399" s="132">
        <v>6</v>
      </c>
      <c r="I399" s="132">
        <v>4</v>
      </c>
      <c r="J399" s="132" t="s">
        <v>84</v>
      </c>
      <c r="K399" s="132" t="s">
        <v>84</v>
      </c>
      <c r="L399" s="132" t="s">
        <v>84</v>
      </c>
      <c r="M399" s="144" t="s">
        <v>84</v>
      </c>
    </row>
    <row r="400" spans="1:13" ht="15.75" thickBot="1" x14ac:dyDescent="0.3">
      <c r="A400" s="225" t="s">
        <v>125</v>
      </c>
      <c r="B400" s="226"/>
      <c r="C400" s="226"/>
      <c r="D400" s="226"/>
      <c r="E400" s="226"/>
      <c r="F400" s="226"/>
      <c r="G400" s="226"/>
      <c r="H400" s="226"/>
      <c r="I400" s="226"/>
      <c r="J400" s="226"/>
      <c r="K400" s="226"/>
      <c r="L400" s="226"/>
      <c r="M400" s="227"/>
    </row>
    <row r="401" spans="1:13" ht="15.75" thickBot="1" x14ac:dyDescent="0.3">
      <c r="A401" s="222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4"/>
    </row>
    <row r="402" spans="1:13" ht="15.75" thickBot="1" x14ac:dyDescent="0.3">
      <c r="A402" s="145" t="s">
        <v>83</v>
      </c>
      <c r="B402" s="133">
        <v>520</v>
      </c>
      <c r="C402" s="133">
        <v>244</v>
      </c>
      <c r="D402" s="133">
        <v>46</v>
      </c>
      <c r="E402" s="133">
        <v>21</v>
      </c>
      <c r="F402" s="133">
        <v>455</v>
      </c>
      <c r="G402" s="133">
        <v>219</v>
      </c>
      <c r="H402" s="133">
        <v>38</v>
      </c>
      <c r="I402" s="133">
        <v>20</v>
      </c>
      <c r="J402" s="133">
        <v>65</v>
      </c>
      <c r="K402" s="133">
        <v>25</v>
      </c>
      <c r="L402" s="133">
        <v>8</v>
      </c>
      <c r="M402" s="146">
        <v>1</v>
      </c>
    </row>
    <row r="403" spans="1:13" ht="15.75" thickBot="1" x14ac:dyDescent="0.3">
      <c r="A403" s="143" t="s">
        <v>151</v>
      </c>
      <c r="B403" s="132">
        <v>115</v>
      </c>
      <c r="C403" s="132">
        <v>62</v>
      </c>
      <c r="D403" s="132">
        <v>2</v>
      </c>
      <c r="E403" s="132" t="s">
        <v>84</v>
      </c>
      <c r="F403" s="132">
        <v>115</v>
      </c>
      <c r="G403" s="132">
        <v>62</v>
      </c>
      <c r="H403" s="132">
        <v>2</v>
      </c>
      <c r="I403" s="132" t="s">
        <v>84</v>
      </c>
      <c r="J403" s="132" t="s">
        <v>84</v>
      </c>
      <c r="K403" s="132" t="s">
        <v>84</v>
      </c>
      <c r="L403" s="132" t="s">
        <v>84</v>
      </c>
      <c r="M403" s="144" t="s">
        <v>84</v>
      </c>
    </row>
    <row r="404" spans="1:13" ht="15.75" thickBot="1" x14ac:dyDescent="0.3">
      <c r="A404" s="145" t="s">
        <v>152</v>
      </c>
      <c r="B404" s="133">
        <v>19</v>
      </c>
      <c r="C404" s="133">
        <v>12</v>
      </c>
      <c r="D404" s="133" t="s">
        <v>84</v>
      </c>
      <c r="E404" s="133" t="s">
        <v>84</v>
      </c>
      <c r="F404" s="133">
        <v>17</v>
      </c>
      <c r="G404" s="133">
        <v>10</v>
      </c>
      <c r="H404" s="133" t="s">
        <v>84</v>
      </c>
      <c r="I404" s="133" t="s">
        <v>84</v>
      </c>
      <c r="J404" s="133">
        <v>2</v>
      </c>
      <c r="K404" s="133">
        <v>2</v>
      </c>
      <c r="L404" s="133" t="s">
        <v>84</v>
      </c>
      <c r="M404" s="146" t="s">
        <v>84</v>
      </c>
    </row>
    <row r="405" spans="1:13" ht="15.75" thickBot="1" x14ac:dyDescent="0.3">
      <c r="A405" s="143" t="s">
        <v>85</v>
      </c>
      <c r="B405" s="132">
        <v>243</v>
      </c>
      <c r="C405" s="132">
        <v>116</v>
      </c>
      <c r="D405" s="132">
        <v>21</v>
      </c>
      <c r="E405" s="132">
        <v>9</v>
      </c>
      <c r="F405" s="132">
        <v>196</v>
      </c>
      <c r="G405" s="132">
        <v>97</v>
      </c>
      <c r="H405" s="132">
        <v>15</v>
      </c>
      <c r="I405" s="132">
        <v>8</v>
      </c>
      <c r="J405" s="132">
        <v>47</v>
      </c>
      <c r="K405" s="132">
        <v>19</v>
      </c>
      <c r="L405" s="132">
        <v>6</v>
      </c>
      <c r="M405" s="144">
        <v>1</v>
      </c>
    </row>
    <row r="406" spans="1:13" ht="15.75" thickBot="1" x14ac:dyDescent="0.3">
      <c r="A406" s="145" t="s">
        <v>86</v>
      </c>
      <c r="B406" s="133">
        <v>105</v>
      </c>
      <c r="C406" s="133">
        <v>37</v>
      </c>
      <c r="D406" s="133">
        <v>15</v>
      </c>
      <c r="E406" s="133">
        <v>7</v>
      </c>
      <c r="F406" s="133">
        <v>93</v>
      </c>
      <c r="G406" s="133">
        <v>35</v>
      </c>
      <c r="H406" s="133">
        <v>13</v>
      </c>
      <c r="I406" s="133">
        <v>7</v>
      </c>
      <c r="J406" s="133">
        <v>12</v>
      </c>
      <c r="K406" s="133">
        <v>2</v>
      </c>
      <c r="L406" s="133">
        <v>2</v>
      </c>
      <c r="M406" s="146" t="s">
        <v>84</v>
      </c>
    </row>
    <row r="407" spans="1:13" ht="15.75" thickBot="1" x14ac:dyDescent="0.3">
      <c r="A407" s="143" t="s">
        <v>87</v>
      </c>
      <c r="B407" s="132">
        <v>38</v>
      </c>
      <c r="C407" s="132">
        <v>17</v>
      </c>
      <c r="D407" s="132">
        <v>8</v>
      </c>
      <c r="E407" s="132">
        <v>5</v>
      </c>
      <c r="F407" s="132">
        <v>34</v>
      </c>
      <c r="G407" s="132">
        <v>15</v>
      </c>
      <c r="H407" s="132">
        <v>8</v>
      </c>
      <c r="I407" s="132">
        <v>5</v>
      </c>
      <c r="J407" s="132">
        <v>4</v>
      </c>
      <c r="K407" s="132">
        <v>2</v>
      </c>
      <c r="L407" s="132" t="s">
        <v>84</v>
      </c>
      <c r="M407" s="144" t="s">
        <v>84</v>
      </c>
    </row>
    <row r="408" spans="1:13" ht="15.75" thickBot="1" x14ac:dyDescent="0.3">
      <c r="A408" s="145" t="s">
        <v>153</v>
      </c>
      <c r="B408" s="133">
        <v>10</v>
      </c>
      <c r="C408" s="133">
        <v>4</v>
      </c>
      <c r="D408" s="133">
        <v>2</v>
      </c>
      <c r="E408" s="133" t="s">
        <v>84</v>
      </c>
      <c r="F408" s="133">
        <v>10</v>
      </c>
      <c r="G408" s="133">
        <v>4</v>
      </c>
      <c r="H408" s="133">
        <v>2</v>
      </c>
      <c r="I408" s="133" t="s">
        <v>84</v>
      </c>
      <c r="J408" s="133" t="s">
        <v>84</v>
      </c>
      <c r="K408" s="133" t="s">
        <v>84</v>
      </c>
      <c r="L408" s="133" t="s">
        <v>84</v>
      </c>
      <c r="M408" s="146" t="s">
        <v>84</v>
      </c>
    </row>
    <row r="409" spans="1:13" ht="15.75" thickBot="1" x14ac:dyDescent="0.3">
      <c r="A409" s="222" t="s">
        <v>126</v>
      </c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4"/>
    </row>
    <row r="410" spans="1:13" ht="15.75" thickBot="1" x14ac:dyDescent="0.3">
      <c r="A410" s="225"/>
      <c r="B410" s="226"/>
      <c r="C410" s="226"/>
      <c r="D410" s="226"/>
      <c r="E410" s="226"/>
      <c r="F410" s="226"/>
      <c r="G410" s="226"/>
      <c r="H410" s="226"/>
      <c r="I410" s="226"/>
      <c r="J410" s="226"/>
      <c r="K410" s="226"/>
      <c r="L410" s="226"/>
      <c r="M410" s="227"/>
    </row>
    <row r="411" spans="1:13" ht="15.75" thickBot="1" x14ac:dyDescent="0.3">
      <c r="A411" s="143" t="s">
        <v>83</v>
      </c>
      <c r="B411" s="132">
        <v>896</v>
      </c>
      <c r="C411" s="132">
        <v>422</v>
      </c>
      <c r="D411" s="132">
        <v>75</v>
      </c>
      <c r="E411" s="132">
        <v>32</v>
      </c>
      <c r="F411" s="132">
        <v>881</v>
      </c>
      <c r="G411" s="132">
        <v>416</v>
      </c>
      <c r="H411" s="132">
        <v>75</v>
      </c>
      <c r="I411" s="132">
        <v>32</v>
      </c>
      <c r="J411" s="132">
        <v>15</v>
      </c>
      <c r="K411" s="132">
        <v>6</v>
      </c>
      <c r="L411" s="132" t="s">
        <v>84</v>
      </c>
      <c r="M411" s="144" t="s">
        <v>84</v>
      </c>
    </row>
    <row r="412" spans="1:13" ht="15.75" thickBot="1" x14ac:dyDescent="0.3">
      <c r="A412" s="145" t="s">
        <v>152</v>
      </c>
      <c r="B412" s="133">
        <v>9</v>
      </c>
      <c r="C412" s="133">
        <v>4</v>
      </c>
      <c r="D412" s="133" t="s">
        <v>84</v>
      </c>
      <c r="E412" s="133" t="s">
        <v>84</v>
      </c>
      <c r="F412" s="133">
        <v>9</v>
      </c>
      <c r="G412" s="133">
        <v>4</v>
      </c>
      <c r="H412" s="133" t="s">
        <v>84</v>
      </c>
      <c r="I412" s="133" t="s">
        <v>84</v>
      </c>
      <c r="J412" s="133" t="s">
        <v>84</v>
      </c>
      <c r="K412" s="133" t="s">
        <v>84</v>
      </c>
      <c r="L412" s="133" t="s">
        <v>84</v>
      </c>
      <c r="M412" s="146" t="s">
        <v>84</v>
      </c>
    </row>
    <row r="413" spans="1:13" ht="15.75" thickBot="1" x14ac:dyDescent="0.3">
      <c r="A413" s="143" t="s">
        <v>85</v>
      </c>
      <c r="B413" s="132">
        <v>643</v>
      </c>
      <c r="C413" s="132">
        <v>308</v>
      </c>
      <c r="D413" s="132">
        <v>38</v>
      </c>
      <c r="E413" s="132">
        <v>15</v>
      </c>
      <c r="F413" s="132">
        <v>640</v>
      </c>
      <c r="G413" s="132">
        <v>307</v>
      </c>
      <c r="H413" s="132">
        <v>38</v>
      </c>
      <c r="I413" s="132">
        <v>15</v>
      </c>
      <c r="J413" s="132">
        <v>3</v>
      </c>
      <c r="K413" s="132">
        <v>1</v>
      </c>
      <c r="L413" s="132" t="s">
        <v>84</v>
      </c>
      <c r="M413" s="144" t="s">
        <v>84</v>
      </c>
    </row>
    <row r="414" spans="1:13" ht="15.75" thickBot="1" x14ac:dyDescent="0.3">
      <c r="A414" s="145" t="s">
        <v>86</v>
      </c>
      <c r="B414" s="133">
        <v>189</v>
      </c>
      <c r="C414" s="133">
        <v>85</v>
      </c>
      <c r="D414" s="133">
        <v>28</v>
      </c>
      <c r="E414" s="133">
        <v>11</v>
      </c>
      <c r="F414" s="133">
        <v>184</v>
      </c>
      <c r="G414" s="133">
        <v>82</v>
      </c>
      <c r="H414" s="133">
        <v>28</v>
      </c>
      <c r="I414" s="133">
        <v>11</v>
      </c>
      <c r="J414" s="133">
        <v>5</v>
      </c>
      <c r="K414" s="133">
        <v>3</v>
      </c>
      <c r="L414" s="133" t="s">
        <v>84</v>
      </c>
      <c r="M414" s="146" t="s">
        <v>84</v>
      </c>
    </row>
    <row r="415" spans="1:13" ht="15.75" thickBot="1" x14ac:dyDescent="0.3">
      <c r="A415" s="143" t="s">
        <v>87</v>
      </c>
      <c r="B415" s="132">
        <v>55</v>
      </c>
      <c r="C415" s="132">
        <v>25</v>
      </c>
      <c r="D415" s="132">
        <v>9</v>
      </c>
      <c r="E415" s="132">
        <v>6</v>
      </c>
      <c r="F415" s="132">
        <v>48</v>
      </c>
      <c r="G415" s="132">
        <v>23</v>
      </c>
      <c r="H415" s="132">
        <v>9</v>
      </c>
      <c r="I415" s="132">
        <v>6</v>
      </c>
      <c r="J415" s="132">
        <v>7</v>
      </c>
      <c r="K415" s="132">
        <v>2</v>
      </c>
      <c r="L415" s="132" t="s">
        <v>84</v>
      </c>
      <c r="M415" s="144" t="s">
        <v>84</v>
      </c>
    </row>
    <row r="416" spans="1:13" ht="15.75" thickBot="1" x14ac:dyDescent="0.3">
      <c r="A416" s="145" t="s">
        <v>153</v>
      </c>
      <c r="B416" s="133">
        <v>24</v>
      </c>
      <c r="C416" s="133">
        <v>9</v>
      </c>
      <c r="D416" s="133">
        <v>1</v>
      </c>
      <c r="E416" s="133" t="s">
        <v>84</v>
      </c>
      <c r="F416" s="133">
        <v>20</v>
      </c>
      <c r="G416" s="133">
        <v>9</v>
      </c>
      <c r="H416" s="133">
        <v>1</v>
      </c>
      <c r="I416" s="133" t="s">
        <v>84</v>
      </c>
      <c r="J416" s="133">
        <v>4</v>
      </c>
      <c r="K416" s="133" t="s">
        <v>84</v>
      </c>
      <c r="L416" s="133" t="s">
        <v>84</v>
      </c>
      <c r="M416" s="146" t="s">
        <v>84</v>
      </c>
    </row>
    <row r="417" spans="1:13" ht="15.75" thickBot="1" x14ac:dyDescent="0.3">
      <c r="A417" s="143" t="s">
        <v>154</v>
      </c>
      <c r="B417" s="132">
        <v>7</v>
      </c>
      <c r="C417" s="132">
        <v>3</v>
      </c>
      <c r="D417" s="132">
        <v>1</v>
      </c>
      <c r="E417" s="132">
        <v>1</v>
      </c>
      <c r="F417" s="132">
        <v>7</v>
      </c>
      <c r="G417" s="132">
        <v>3</v>
      </c>
      <c r="H417" s="132">
        <v>1</v>
      </c>
      <c r="I417" s="132">
        <v>1</v>
      </c>
      <c r="J417" s="132" t="s">
        <v>84</v>
      </c>
      <c r="K417" s="132" t="s">
        <v>84</v>
      </c>
      <c r="L417" s="132" t="s">
        <v>84</v>
      </c>
      <c r="M417" s="144" t="s">
        <v>84</v>
      </c>
    </row>
    <row r="418" spans="1:13" ht="15.75" thickBot="1" x14ac:dyDescent="0.3">
      <c r="A418" s="225" t="s">
        <v>127</v>
      </c>
      <c r="B418" s="226"/>
      <c r="C418" s="226"/>
      <c r="D418" s="226"/>
      <c r="E418" s="226"/>
      <c r="F418" s="226"/>
      <c r="G418" s="226"/>
      <c r="H418" s="226"/>
      <c r="I418" s="226"/>
      <c r="J418" s="226"/>
      <c r="K418" s="226"/>
      <c r="L418" s="226"/>
      <c r="M418" s="227"/>
    </row>
    <row r="419" spans="1:13" ht="15.75" thickBot="1" x14ac:dyDescent="0.3">
      <c r="A419" s="222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4"/>
    </row>
    <row r="420" spans="1:13" ht="15.75" thickBot="1" x14ac:dyDescent="0.3">
      <c r="A420" s="145" t="s">
        <v>83</v>
      </c>
      <c r="B420" s="133">
        <v>1571</v>
      </c>
      <c r="C420" s="133">
        <v>705</v>
      </c>
      <c r="D420" s="133">
        <v>72</v>
      </c>
      <c r="E420" s="133">
        <v>38</v>
      </c>
      <c r="F420" s="133">
        <v>1552</v>
      </c>
      <c r="G420" s="133">
        <v>703</v>
      </c>
      <c r="H420" s="133">
        <v>72</v>
      </c>
      <c r="I420" s="133">
        <v>38</v>
      </c>
      <c r="J420" s="133">
        <v>19</v>
      </c>
      <c r="K420" s="133">
        <v>2</v>
      </c>
      <c r="L420" s="133" t="s">
        <v>84</v>
      </c>
      <c r="M420" s="146" t="s">
        <v>84</v>
      </c>
    </row>
    <row r="421" spans="1:13" ht="15.75" thickBot="1" x14ac:dyDescent="0.3">
      <c r="A421" s="143" t="s">
        <v>151</v>
      </c>
      <c r="B421" s="132">
        <v>166</v>
      </c>
      <c r="C421" s="132">
        <v>94</v>
      </c>
      <c r="D421" s="132">
        <v>4</v>
      </c>
      <c r="E421" s="132">
        <v>1</v>
      </c>
      <c r="F421" s="132">
        <v>166</v>
      </c>
      <c r="G421" s="132">
        <v>94</v>
      </c>
      <c r="H421" s="132">
        <v>4</v>
      </c>
      <c r="I421" s="132">
        <v>1</v>
      </c>
      <c r="J421" s="132" t="s">
        <v>84</v>
      </c>
      <c r="K421" s="132" t="s">
        <v>84</v>
      </c>
      <c r="L421" s="132" t="s">
        <v>84</v>
      </c>
      <c r="M421" s="144" t="s">
        <v>84</v>
      </c>
    </row>
    <row r="422" spans="1:13" ht="15.75" thickBot="1" x14ac:dyDescent="0.3">
      <c r="A422" s="145" t="s">
        <v>152</v>
      </c>
      <c r="B422" s="133">
        <v>50</v>
      </c>
      <c r="C422" s="133">
        <v>31</v>
      </c>
      <c r="D422" s="133">
        <v>1</v>
      </c>
      <c r="E422" s="133">
        <v>1</v>
      </c>
      <c r="F422" s="133">
        <v>50</v>
      </c>
      <c r="G422" s="133">
        <v>31</v>
      </c>
      <c r="H422" s="133">
        <v>1</v>
      </c>
      <c r="I422" s="133">
        <v>1</v>
      </c>
      <c r="J422" s="133" t="s">
        <v>84</v>
      </c>
      <c r="K422" s="133" t="s">
        <v>84</v>
      </c>
      <c r="L422" s="133" t="s">
        <v>84</v>
      </c>
      <c r="M422" s="146" t="s">
        <v>84</v>
      </c>
    </row>
    <row r="423" spans="1:13" ht="15.75" thickBot="1" x14ac:dyDescent="0.3">
      <c r="A423" s="143" t="s">
        <v>85</v>
      </c>
      <c r="B423" s="132">
        <v>923</v>
      </c>
      <c r="C423" s="132">
        <v>410</v>
      </c>
      <c r="D423" s="132">
        <v>30</v>
      </c>
      <c r="E423" s="132">
        <v>18</v>
      </c>
      <c r="F423" s="132">
        <v>920</v>
      </c>
      <c r="G423" s="132">
        <v>410</v>
      </c>
      <c r="H423" s="132">
        <v>30</v>
      </c>
      <c r="I423" s="132">
        <v>18</v>
      </c>
      <c r="J423" s="132">
        <v>3</v>
      </c>
      <c r="K423" s="132" t="s">
        <v>84</v>
      </c>
      <c r="L423" s="132" t="s">
        <v>84</v>
      </c>
      <c r="M423" s="144" t="s">
        <v>84</v>
      </c>
    </row>
    <row r="424" spans="1:13" ht="15.75" thickBot="1" x14ac:dyDescent="0.3">
      <c r="A424" s="145" t="s">
        <v>86</v>
      </c>
      <c r="B424" s="133">
        <v>275</v>
      </c>
      <c r="C424" s="133">
        <v>116</v>
      </c>
      <c r="D424" s="133">
        <v>21</v>
      </c>
      <c r="E424" s="133">
        <v>10</v>
      </c>
      <c r="F424" s="133">
        <v>265</v>
      </c>
      <c r="G424" s="133">
        <v>115</v>
      </c>
      <c r="H424" s="133">
        <v>21</v>
      </c>
      <c r="I424" s="133">
        <v>10</v>
      </c>
      <c r="J424" s="133">
        <v>10</v>
      </c>
      <c r="K424" s="133">
        <v>1</v>
      </c>
      <c r="L424" s="133" t="s">
        <v>84</v>
      </c>
      <c r="M424" s="146" t="s">
        <v>84</v>
      </c>
    </row>
    <row r="425" spans="1:13" ht="15.75" thickBot="1" x14ac:dyDescent="0.3">
      <c r="A425" s="143" t="s">
        <v>87</v>
      </c>
      <c r="B425" s="132">
        <v>157</v>
      </c>
      <c r="C425" s="132">
        <v>54</v>
      </c>
      <c r="D425" s="132">
        <v>16</v>
      </c>
      <c r="E425" s="132">
        <v>8</v>
      </c>
      <c r="F425" s="132">
        <v>151</v>
      </c>
      <c r="G425" s="132">
        <v>53</v>
      </c>
      <c r="H425" s="132">
        <v>16</v>
      </c>
      <c r="I425" s="132">
        <v>8</v>
      </c>
      <c r="J425" s="132">
        <v>6</v>
      </c>
      <c r="K425" s="132">
        <v>1</v>
      </c>
      <c r="L425" s="132" t="s">
        <v>84</v>
      </c>
      <c r="M425" s="144" t="s">
        <v>84</v>
      </c>
    </row>
    <row r="426" spans="1:13" ht="15.75" thickBot="1" x14ac:dyDescent="0.3">
      <c r="A426" s="145" t="s">
        <v>153</v>
      </c>
      <c r="B426" s="133">
        <v>77</v>
      </c>
      <c r="C426" s="133">
        <v>29</v>
      </c>
      <c r="D426" s="133">
        <v>2</v>
      </c>
      <c r="E426" s="133">
        <v>2</v>
      </c>
      <c r="F426" s="133">
        <v>76</v>
      </c>
      <c r="G426" s="133">
        <v>29</v>
      </c>
      <c r="H426" s="133">
        <v>2</v>
      </c>
      <c r="I426" s="133">
        <v>2</v>
      </c>
      <c r="J426" s="133">
        <v>1</v>
      </c>
      <c r="K426" s="133" t="s">
        <v>84</v>
      </c>
      <c r="L426" s="133" t="s">
        <v>84</v>
      </c>
      <c r="M426" s="146" t="s">
        <v>84</v>
      </c>
    </row>
    <row r="427" spans="1:13" ht="15.75" thickBot="1" x14ac:dyDescent="0.3">
      <c r="A427" s="143" t="s">
        <v>154</v>
      </c>
      <c r="B427" s="132">
        <v>19</v>
      </c>
      <c r="C427" s="132">
        <v>4</v>
      </c>
      <c r="D427" s="132">
        <v>1</v>
      </c>
      <c r="E427" s="132" t="s">
        <v>84</v>
      </c>
      <c r="F427" s="132">
        <v>19</v>
      </c>
      <c r="G427" s="132">
        <v>4</v>
      </c>
      <c r="H427" s="132">
        <v>1</v>
      </c>
      <c r="I427" s="132" t="s">
        <v>84</v>
      </c>
      <c r="J427" s="132" t="s">
        <v>84</v>
      </c>
      <c r="K427" s="132" t="s">
        <v>84</v>
      </c>
      <c r="L427" s="132" t="s">
        <v>84</v>
      </c>
      <c r="M427" s="144" t="s">
        <v>84</v>
      </c>
    </row>
    <row r="428" spans="1:13" ht="15.75" thickBot="1" x14ac:dyDescent="0.3">
      <c r="A428" s="225" t="s">
        <v>128</v>
      </c>
      <c r="B428" s="226"/>
      <c r="C428" s="226"/>
      <c r="D428" s="226"/>
      <c r="E428" s="226"/>
      <c r="F428" s="226"/>
      <c r="G428" s="226"/>
      <c r="H428" s="226"/>
      <c r="I428" s="226"/>
      <c r="J428" s="226"/>
      <c r="K428" s="226"/>
      <c r="L428" s="226"/>
      <c r="M428" s="227"/>
    </row>
    <row r="429" spans="1:13" ht="15.75" thickBot="1" x14ac:dyDescent="0.3">
      <c r="A429" s="222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4"/>
    </row>
    <row r="430" spans="1:13" ht="15.75" thickBot="1" x14ac:dyDescent="0.3">
      <c r="A430" s="145" t="s">
        <v>83</v>
      </c>
      <c r="B430" s="133">
        <v>1597</v>
      </c>
      <c r="C430" s="133">
        <v>738</v>
      </c>
      <c r="D430" s="133">
        <v>141</v>
      </c>
      <c r="E430" s="133">
        <v>73</v>
      </c>
      <c r="F430" s="133">
        <v>1448</v>
      </c>
      <c r="G430" s="133">
        <v>670</v>
      </c>
      <c r="H430" s="133">
        <v>133</v>
      </c>
      <c r="I430" s="133">
        <v>67</v>
      </c>
      <c r="J430" s="133">
        <v>149</v>
      </c>
      <c r="K430" s="133">
        <v>68</v>
      </c>
      <c r="L430" s="133">
        <v>8</v>
      </c>
      <c r="M430" s="146">
        <v>6</v>
      </c>
    </row>
    <row r="431" spans="1:13" ht="15.75" thickBot="1" x14ac:dyDescent="0.3">
      <c r="A431" s="143" t="s">
        <v>151</v>
      </c>
      <c r="B431" s="132">
        <v>1</v>
      </c>
      <c r="C431" s="132">
        <v>1</v>
      </c>
      <c r="D431" s="132" t="s">
        <v>84</v>
      </c>
      <c r="E431" s="132" t="s">
        <v>84</v>
      </c>
      <c r="F431" s="132">
        <v>1</v>
      </c>
      <c r="G431" s="132">
        <v>1</v>
      </c>
      <c r="H431" s="132" t="s">
        <v>84</v>
      </c>
      <c r="I431" s="132" t="s">
        <v>84</v>
      </c>
      <c r="J431" s="132" t="s">
        <v>84</v>
      </c>
      <c r="K431" s="132" t="s">
        <v>84</v>
      </c>
      <c r="L431" s="132" t="s">
        <v>84</v>
      </c>
      <c r="M431" s="144" t="s">
        <v>84</v>
      </c>
    </row>
    <row r="432" spans="1:13" ht="15.75" thickBot="1" x14ac:dyDescent="0.3">
      <c r="A432" s="145" t="s">
        <v>152</v>
      </c>
      <c r="B432" s="133">
        <v>8</v>
      </c>
      <c r="C432" s="133">
        <v>5</v>
      </c>
      <c r="D432" s="133" t="s">
        <v>84</v>
      </c>
      <c r="E432" s="133" t="s">
        <v>84</v>
      </c>
      <c r="F432" s="133">
        <v>7</v>
      </c>
      <c r="G432" s="133">
        <v>4</v>
      </c>
      <c r="H432" s="133" t="s">
        <v>84</v>
      </c>
      <c r="I432" s="133" t="s">
        <v>84</v>
      </c>
      <c r="J432" s="133">
        <v>1</v>
      </c>
      <c r="K432" s="133">
        <v>1</v>
      </c>
      <c r="L432" s="133" t="s">
        <v>84</v>
      </c>
      <c r="M432" s="146" t="s">
        <v>84</v>
      </c>
    </row>
    <row r="433" spans="1:13" ht="15.75" thickBot="1" x14ac:dyDescent="0.3">
      <c r="A433" s="143" t="s">
        <v>85</v>
      </c>
      <c r="B433" s="132">
        <v>1111</v>
      </c>
      <c r="C433" s="132">
        <v>550</v>
      </c>
      <c r="D433" s="132">
        <v>64</v>
      </c>
      <c r="E433" s="132">
        <v>37</v>
      </c>
      <c r="F433" s="132">
        <v>985</v>
      </c>
      <c r="G433" s="132">
        <v>493</v>
      </c>
      <c r="H433" s="132">
        <v>58</v>
      </c>
      <c r="I433" s="132">
        <v>33</v>
      </c>
      <c r="J433" s="132">
        <v>126</v>
      </c>
      <c r="K433" s="132">
        <v>57</v>
      </c>
      <c r="L433" s="132">
        <v>6</v>
      </c>
      <c r="M433" s="144">
        <v>4</v>
      </c>
    </row>
    <row r="434" spans="1:13" ht="15.75" thickBot="1" x14ac:dyDescent="0.3">
      <c r="A434" s="145" t="s">
        <v>86</v>
      </c>
      <c r="B434" s="133">
        <v>337</v>
      </c>
      <c r="C434" s="133">
        <v>129</v>
      </c>
      <c r="D434" s="133">
        <v>37</v>
      </c>
      <c r="E434" s="133">
        <v>19</v>
      </c>
      <c r="F434" s="133">
        <v>332</v>
      </c>
      <c r="G434" s="133">
        <v>125</v>
      </c>
      <c r="H434" s="133">
        <v>35</v>
      </c>
      <c r="I434" s="133">
        <v>17</v>
      </c>
      <c r="J434" s="133">
        <v>5</v>
      </c>
      <c r="K434" s="133">
        <v>4</v>
      </c>
      <c r="L434" s="133">
        <v>2</v>
      </c>
      <c r="M434" s="146">
        <v>2</v>
      </c>
    </row>
    <row r="435" spans="1:13" ht="15.75" thickBot="1" x14ac:dyDescent="0.3">
      <c r="A435" s="143" t="s">
        <v>87</v>
      </c>
      <c r="B435" s="132">
        <v>140</v>
      </c>
      <c r="C435" s="132">
        <v>53</v>
      </c>
      <c r="D435" s="132">
        <v>40</v>
      </c>
      <c r="E435" s="132">
        <v>17</v>
      </c>
      <c r="F435" s="132">
        <v>123</v>
      </c>
      <c r="G435" s="132">
        <v>47</v>
      </c>
      <c r="H435" s="132">
        <v>40</v>
      </c>
      <c r="I435" s="132">
        <v>17</v>
      </c>
      <c r="J435" s="132">
        <v>17</v>
      </c>
      <c r="K435" s="132">
        <v>6</v>
      </c>
      <c r="L435" s="132" t="s">
        <v>84</v>
      </c>
      <c r="M435" s="144" t="s">
        <v>84</v>
      </c>
    </row>
    <row r="436" spans="1:13" ht="15.75" thickBot="1" x14ac:dyDescent="0.3">
      <c r="A436" s="145" t="s">
        <v>153</v>
      </c>
      <c r="B436" s="133">
        <v>38</v>
      </c>
      <c r="C436" s="133">
        <v>13</v>
      </c>
      <c r="D436" s="133">
        <v>5</v>
      </c>
      <c r="E436" s="133">
        <v>2</v>
      </c>
      <c r="F436" s="133">
        <v>37</v>
      </c>
      <c r="G436" s="133">
        <v>13</v>
      </c>
      <c r="H436" s="133">
        <v>5</v>
      </c>
      <c r="I436" s="133">
        <v>2</v>
      </c>
      <c r="J436" s="133">
        <v>1</v>
      </c>
      <c r="K436" s="133" t="s">
        <v>84</v>
      </c>
      <c r="L436" s="133" t="s">
        <v>84</v>
      </c>
      <c r="M436" s="146" t="s">
        <v>84</v>
      </c>
    </row>
    <row r="437" spans="1:13" ht="15.75" thickBot="1" x14ac:dyDescent="0.3">
      <c r="A437" s="143" t="s">
        <v>154</v>
      </c>
      <c r="B437" s="132">
        <v>32</v>
      </c>
      <c r="C437" s="132">
        <v>13</v>
      </c>
      <c r="D437" s="132">
        <v>2</v>
      </c>
      <c r="E437" s="132" t="s">
        <v>84</v>
      </c>
      <c r="F437" s="132">
        <v>16</v>
      </c>
      <c r="G437" s="132">
        <v>7</v>
      </c>
      <c r="H437" s="132">
        <v>2</v>
      </c>
      <c r="I437" s="132" t="s">
        <v>84</v>
      </c>
      <c r="J437" s="132">
        <v>16</v>
      </c>
      <c r="K437" s="132">
        <v>6</v>
      </c>
      <c r="L437" s="132" t="s">
        <v>84</v>
      </c>
      <c r="M437" s="144" t="s">
        <v>84</v>
      </c>
    </row>
    <row r="438" spans="1:13" ht="15.75" thickBot="1" x14ac:dyDescent="0.3">
      <c r="A438" s="225" t="s">
        <v>129</v>
      </c>
      <c r="B438" s="226"/>
      <c r="C438" s="226"/>
      <c r="D438" s="226"/>
      <c r="E438" s="226"/>
      <c r="F438" s="226"/>
      <c r="G438" s="226"/>
      <c r="H438" s="226"/>
      <c r="I438" s="226"/>
      <c r="J438" s="226"/>
      <c r="K438" s="226"/>
      <c r="L438" s="226"/>
      <c r="M438" s="227"/>
    </row>
    <row r="439" spans="1:13" ht="15.75" thickBot="1" x14ac:dyDescent="0.3">
      <c r="A439" s="222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4"/>
    </row>
    <row r="440" spans="1:13" ht="15.75" thickBot="1" x14ac:dyDescent="0.3">
      <c r="A440" s="145" t="s">
        <v>83</v>
      </c>
      <c r="B440" s="133">
        <v>2727</v>
      </c>
      <c r="C440" s="133">
        <v>1253</v>
      </c>
      <c r="D440" s="133">
        <v>252</v>
      </c>
      <c r="E440" s="133">
        <v>123</v>
      </c>
      <c r="F440" s="133">
        <v>2169</v>
      </c>
      <c r="G440" s="133">
        <v>995</v>
      </c>
      <c r="H440" s="133">
        <v>237</v>
      </c>
      <c r="I440" s="133">
        <v>116</v>
      </c>
      <c r="J440" s="133">
        <v>558</v>
      </c>
      <c r="K440" s="133">
        <v>258</v>
      </c>
      <c r="L440" s="133">
        <v>15</v>
      </c>
      <c r="M440" s="146">
        <v>7</v>
      </c>
    </row>
    <row r="441" spans="1:13" ht="15.75" thickBot="1" x14ac:dyDescent="0.3">
      <c r="A441" s="143" t="s">
        <v>152</v>
      </c>
      <c r="B441" s="132">
        <v>20</v>
      </c>
      <c r="C441" s="132">
        <v>12</v>
      </c>
      <c r="D441" s="132" t="s">
        <v>84</v>
      </c>
      <c r="E441" s="132" t="s">
        <v>84</v>
      </c>
      <c r="F441" s="132">
        <v>13</v>
      </c>
      <c r="G441" s="132">
        <v>8</v>
      </c>
      <c r="H441" s="132" t="s">
        <v>84</v>
      </c>
      <c r="I441" s="132" t="s">
        <v>84</v>
      </c>
      <c r="J441" s="132">
        <v>7</v>
      </c>
      <c r="K441" s="132">
        <v>4</v>
      </c>
      <c r="L441" s="132" t="s">
        <v>84</v>
      </c>
      <c r="M441" s="144" t="s">
        <v>84</v>
      </c>
    </row>
    <row r="442" spans="1:13" ht="15.75" thickBot="1" x14ac:dyDescent="0.3">
      <c r="A442" s="145" t="s">
        <v>85</v>
      </c>
      <c r="B442" s="133">
        <v>1949</v>
      </c>
      <c r="C442" s="133">
        <v>972</v>
      </c>
      <c r="D442" s="133">
        <v>106</v>
      </c>
      <c r="E442" s="133">
        <v>62</v>
      </c>
      <c r="F442" s="133">
        <v>1535</v>
      </c>
      <c r="G442" s="133">
        <v>762</v>
      </c>
      <c r="H442" s="133">
        <v>102</v>
      </c>
      <c r="I442" s="133">
        <v>59</v>
      </c>
      <c r="J442" s="133">
        <v>414</v>
      </c>
      <c r="K442" s="133">
        <v>210</v>
      </c>
      <c r="L442" s="133">
        <v>4</v>
      </c>
      <c r="M442" s="146">
        <v>3</v>
      </c>
    </row>
    <row r="443" spans="1:13" ht="15.75" thickBot="1" x14ac:dyDescent="0.3">
      <c r="A443" s="143" t="s">
        <v>86</v>
      </c>
      <c r="B443" s="132">
        <v>522</v>
      </c>
      <c r="C443" s="132">
        <v>184</v>
      </c>
      <c r="D443" s="132">
        <v>74</v>
      </c>
      <c r="E443" s="132">
        <v>35</v>
      </c>
      <c r="F443" s="132">
        <v>415</v>
      </c>
      <c r="G443" s="132">
        <v>148</v>
      </c>
      <c r="H443" s="132">
        <v>65</v>
      </c>
      <c r="I443" s="132">
        <v>32</v>
      </c>
      <c r="J443" s="132">
        <v>107</v>
      </c>
      <c r="K443" s="132">
        <v>36</v>
      </c>
      <c r="L443" s="132">
        <v>9</v>
      </c>
      <c r="M443" s="144">
        <v>3</v>
      </c>
    </row>
    <row r="444" spans="1:13" ht="15.75" thickBot="1" x14ac:dyDescent="0.3">
      <c r="A444" s="145" t="s">
        <v>87</v>
      </c>
      <c r="B444" s="133">
        <v>236</v>
      </c>
      <c r="C444" s="133">
        <v>85</v>
      </c>
      <c r="D444" s="133">
        <v>72</v>
      </c>
      <c r="E444" s="133">
        <v>26</v>
      </c>
      <c r="F444" s="133">
        <v>206</v>
      </c>
      <c r="G444" s="133">
        <v>77</v>
      </c>
      <c r="H444" s="133">
        <v>70</v>
      </c>
      <c r="I444" s="133">
        <v>25</v>
      </c>
      <c r="J444" s="133">
        <v>30</v>
      </c>
      <c r="K444" s="133">
        <v>8</v>
      </c>
      <c r="L444" s="133">
        <v>2</v>
      </c>
      <c r="M444" s="146">
        <v>1</v>
      </c>
    </row>
    <row r="445" spans="1:13" ht="15.75" thickBot="1" x14ac:dyDescent="0.3">
      <c r="A445" s="143" t="s">
        <v>153</v>
      </c>
      <c r="B445" s="132">
        <v>109</v>
      </c>
      <c r="C445" s="132">
        <v>44</v>
      </c>
      <c r="D445" s="132">
        <v>11</v>
      </c>
      <c r="E445" s="132">
        <v>3</v>
      </c>
      <c r="F445" s="132">
        <v>102</v>
      </c>
      <c r="G445" s="132">
        <v>42</v>
      </c>
      <c r="H445" s="132">
        <v>11</v>
      </c>
      <c r="I445" s="132">
        <v>3</v>
      </c>
      <c r="J445" s="132">
        <v>7</v>
      </c>
      <c r="K445" s="132">
        <v>2</v>
      </c>
      <c r="L445" s="132" t="s">
        <v>84</v>
      </c>
      <c r="M445" s="144" t="s">
        <v>84</v>
      </c>
    </row>
    <row r="446" spans="1:13" ht="15.75" thickBot="1" x14ac:dyDescent="0.3">
      <c r="A446" s="225" t="s">
        <v>130</v>
      </c>
      <c r="B446" s="226"/>
      <c r="C446" s="226"/>
      <c r="D446" s="226"/>
      <c r="E446" s="226"/>
      <c r="F446" s="226"/>
      <c r="G446" s="226"/>
      <c r="H446" s="226"/>
      <c r="I446" s="226"/>
      <c r="J446" s="226"/>
      <c r="K446" s="226"/>
      <c r="L446" s="226"/>
      <c r="M446" s="227"/>
    </row>
    <row r="447" spans="1:13" ht="15.75" thickBot="1" x14ac:dyDescent="0.3">
      <c r="A447" s="222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4"/>
    </row>
    <row r="448" spans="1:13" ht="15.75" thickBot="1" x14ac:dyDescent="0.3">
      <c r="A448" s="145" t="s">
        <v>83</v>
      </c>
      <c r="B448" s="133">
        <v>698</v>
      </c>
      <c r="C448" s="133">
        <v>339</v>
      </c>
      <c r="D448" s="133">
        <v>34</v>
      </c>
      <c r="E448" s="133">
        <v>10</v>
      </c>
      <c r="F448" s="133">
        <v>694</v>
      </c>
      <c r="G448" s="133">
        <v>339</v>
      </c>
      <c r="H448" s="133">
        <v>34</v>
      </c>
      <c r="I448" s="133">
        <v>10</v>
      </c>
      <c r="J448" s="133">
        <v>4</v>
      </c>
      <c r="K448" s="133" t="s">
        <v>84</v>
      </c>
      <c r="L448" s="133" t="s">
        <v>84</v>
      </c>
      <c r="M448" s="146" t="s">
        <v>84</v>
      </c>
    </row>
    <row r="449" spans="1:13" ht="15.75" thickBot="1" x14ac:dyDescent="0.3">
      <c r="A449" s="143" t="s">
        <v>151</v>
      </c>
      <c r="B449" s="132">
        <v>74</v>
      </c>
      <c r="C449" s="132">
        <v>52</v>
      </c>
      <c r="D449" s="132" t="s">
        <v>84</v>
      </c>
      <c r="E449" s="132" t="s">
        <v>84</v>
      </c>
      <c r="F449" s="132">
        <v>74</v>
      </c>
      <c r="G449" s="132">
        <v>52</v>
      </c>
      <c r="H449" s="132" t="s">
        <v>84</v>
      </c>
      <c r="I449" s="132" t="s">
        <v>84</v>
      </c>
      <c r="J449" s="132" t="s">
        <v>84</v>
      </c>
      <c r="K449" s="132" t="s">
        <v>84</v>
      </c>
      <c r="L449" s="132" t="s">
        <v>84</v>
      </c>
      <c r="M449" s="144" t="s">
        <v>84</v>
      </c>
    </row>
    <row r="450" spans="1:13" ht="15.75" thickBot="1" x14ac:dyDescent="0.3">
      <c r="A450" s="145" t="s">
        <v>152</v>
      </c>
      <c r="B450" s="133">
        <v>11</v>
      </c>
      <c r="C450" s="133">
        <v>6</v>
      </c>
      <c r="D450" s="133">
        <v>1</v>
      </c>
      <c r="E450" s="133" t="s">
        <v>84</v>
      </c>
      <c r="F450" s="133">
        <v>11</v>
      </c>
      <c r="G450" s="133">
        <v>6</v>
      </c>
      <c r="H450" s="133">
        <v>1</v>
      </c>
      <c r="I450" s="133" t="s">
        <v>84</v>
      </c>
      <c r="J450" s="133" t="s">
        <v>84</v>
      </c>
      <c r="K450" s="133" t="s">
        <v>84</v>
      </c>
      <c r="L450" s="133" t="s">
        <v>84</v>
      </c>
      <c r="M450" s="146" t="s">
        <v>84</v>
      </c>
    </row>
    <row r="451" spans="1:13" ht="15.75" thickBot="1" x14ac:dyDescent="0.3">
      <c r="A451" s="143" t="s">
        <v>85</v>
      </c>
      <c r="B451" s="132">
        <v>431</v>
      </c>
      <c r="C451" s="132">
        <v>214</v>
      </c>
      <c r="D451" s="132">
        <v>14</v>
      </c>
      <c r="E451" s="132">
        <v>6</v>
      </c>
      <c r="F451" s="132">
        <v>431</v>
      </c>
      <c r="G451" s="132">
        <v>214</v>
      </c>
      <c r="H451" s="132">
        <v>14</v>
      </c>
      <c r="I451" s="132">
        <v>6</v>
      </c>
      <c r="J451" s="132" t="s">
        <v>84</v>
      </c>
      <c r="K451" s="132" t="s">
        <v>84</v>
      </c>
      <c r="L451" s="132" t="s">
        <v>84</v>
      </c>
      <c r="M451" s="144" t="s">
        <v>84</v>
      </c>
    </row>
    <row r="452" spans="1:13" ht="15.75" thickBot="1" x14ac:dyDescent="0.3">
      <c r="A452" s="145" t="s">
        <v>86</v>
      </c>
      <c r="B452" s="133">
        <v>144</v>
      </c>
      <c r="C452" s="133">
        <v>55</v>
      </c>
      <c r="D452" s="133">
        <v>9</v>
      </c>
      <c r="E452" s="133">
        <v>3</v>
      </c>
      <c r="F452" s="133">
        <v>140</v>
      </c>
      <c r="G452" s="133">
        <v>55</v>
      </c>
      <c r="H452" s="133">
        <v>9</v>
      </c>
      <c r="I452" s="133">
        <v>3</v>
      </c>
      <c r="J452" s="133">
        <v>4</v>
      </c>
      <c r="K452" s="133" t="s">
        <v>84</v>
      </c>
      <c r="L452" s="133" t="s">
        <v>84</v>
      </c>
      <c r="M452" s="146" t="s">
        <v>84</v>
      </c>
    </row>
    <row r="453" spans="1:13" ht="15.75" thickBot="1" x14ac:dyDescent="0.3">
      <c r="A453" s="143" t="s">
        <v>87</v>
      </c>
      <c r="B453" s="132">
        <v>38</v>
      </c>
      <c r="C453" s="132">
        <v>12</v>
      </c>
      <c r="D453" s="132">
        <v>10</v>
      </c>
      <c r="E453" s="132">
        <v>1</v>
      </c>
      <c r="F453" s="132">
        <v>38</v>
      </c>
      <c r="G453" s="132">
        <v>12</v>
      </c>
      <c r="H453" s="132">
        <v>10</v>
      </c>
      <c r="I453" s="132">
        <v>1</v>
      </c>
      <c r="J453" s="132" t="s">
        <v>84</v>
      </c>
      <c r="K453" s="132" t="s">
        <v>84</v>
      </c>
      <c r="L453" s="132" t="s">
        <v>84</v>
      </c>
      <c r="M453" s="144" t="s">
        <v>84</v>
      </c>
    </row>
    <row r="454" spans="1:13" ht="15.75" thickBot="1" x14ac:dyDescent="0.3">
      <c r="A454" s="145" t="s">
        <v>153</v>
      </c>
      <c r="B454" s="133">
        <v>15</v>
      </c>
      <c r="C454" s="133">
        <v>6</v>
      </c>
      <c r="D454" s="133">
        <v>2</v>
      </c>
      <c r="E454" s="133" t="s">
        <v>84</v>
      </c>
      <c r="F454" s="133">
        <v>15</v>
      </c>
      <c r="G454" s="133">
        <v>6</v>
      </c>
      <c r="H454" s="133">
        <v>2</v>
      </c>
      <c r="I454" s="133" t="s">
        <v>84</v>
      </c>
      <c r="J454" s="133" t="s">
        <v>84</v>
      </c>
      <c r="K454" s="133" t="s">
        <v>84</v>
      </c>
      <c r="L454" s="133" t="s">
        <v>84</v>
      </c>
      <c r="M454" s="146" t="s">
        <v>84</v>
      </c>
    </row>
    <row r="455" spans="1:13" ht="15.75" thickBot="1" x14ac:dyDescent="0.3">
      <c r="A455" s="143" t="s">
        <v>154</v>
      </c>
      <c r="B455" s="132">
        <v>6</v>
      </c>
      <c r="C455" s="132">
        <v>1</v>
      </c>
      <c r="D455" s="132">
        <v>2</v>
      </c>
      <c r="E455" s="132">
        <v>1</v>
      </c>
      <c r="F455" s="132">
        <v>6</v>
      </c>
      <c r="G455" s="132">
        <v>1</v>
      </c>
      <c r="H455" s="132">
        <v>2</v>
      </c>
      <c r="I455" s="132">
        <v>1</v>
      </c>
      <c r="J455" s="132" t="s">
        <v>84</v>
      </c>
      <c r="K455" s="132" t="s">
        <v>84</v>
      </c>
      <c r="L455" s="132" t="s">
        <v>84</v>
      </c>
      <c r="M455" s="144" t="s">
        <v>84</v>
      </c>
    </row>
    <row r="456" spans="1:13" ht="15.75" thickBot="1" x14ac:dyDescent="0.3">
      <c r="A456" s="225" t="s">
        <v>131</v>
      </c>
      <c r="B456" s="226"/>
      <c r="C456" s="226"/>
      <c r="D456" s="226"/>
      <c r="E456" s="226"/>
      <c r="F456" s="226"/>
      <c r="G456" s="226"/>
      <c r="H456" s="226"/>
      <c r="I456" s="226"/>
      <c r="J456" s="226"/>
      <c r="K456" s="226"/>
      <c r="L456" s="226"/>
      <c r="M456" s="227"/>
    </row>
    <row r="457" spans="1:13" ht="15.75" thickBot="1" x14ac:dyDescent="0.3">
      <c r="A457" s="222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4"/>
    </row>
    <row r="458" spans="1:13" ht="15.75" thickBot="1" x14ac:dyDescent="0.3">
      <c r="A458" s="145" t="s">
        <v>83</v>
      </c>
      <c r="B458" s="133">
        <v>1129</v>
      </c>
      <c r="C458" s="133">
        <v>503</v>
      </c>
      <c r="D458" s="133">
        <v>127</v>
      </c>
      <c r="E458" s="133">
        <v>60</v>
      </c>
      <c r="F458" s="133">
        <v>1089</v>
      </c>
      <c r="G458" s="133">
        <v>486</v>
      </c>
      <c r="H458" s="133">
        <v>124</v>
      </c>
      <c r="I458" s="133">
        <v>57</v>
      </c>
      <c r="J458" s="133">
        <v>40</v>
      </c>
      <c r="K458" s="133">
        <v>17</v>
      </c>
      <c r="L458" s="133">
        <v>3</v>
      </c>
      <c r="M458" s="146">
        <v>3</v>
      </c>
    </row>
    <row r="459" spans="1:13" ht="15.75" thickBot="1" x14ac:dyDescent="0.3">
      <c r="A459" s="143" t="s">
        <v>151</v>
      </c>
      <c r="B459" s="132">
        <v>2</v>
      </c>
      <c r="C459" s="132">
        <v>1</v>
      </c>
      <c r="D459" s="132" t="s">
        <v>84</v>
      </c>
      <c r="E459" s="132" t="s">
        <v>84</v>
      </c>
      <c r="F459" s="132">
        <v>2</v>
      </c>
      <c r="G459" s="132">
        <v>1</v>
      </c>
      <c r="H459" s="132" t="s">
        <v>84</v>
      </c>
      <c r="I459" s="132" t="s">
        <v>84</v>
      </c>
      <c r="J459" s="132" t="s">
        <v>84</v>
      </c>
      <c r="K459" s="132" t="s">
        <v>84</v>
      </c>
      <c r="L459" s="132" t="s">
        <v>84</v>
      </c>
      <c r="M459" s="144" t="s">
        <v>84</v>
      </c>
    </row>
    <row r="460" spans="1:13" ht="15.75" thickBot="1" x14ac:dyDescent="0.3">
      <c r="A460" s="145" t="s">
        <v>152</v>
      </c>
      <c r="B460" s="133">
        <v>14</v>
      </c>
      <c r="C460" s="133">
        <v>8</v>
      </c>
      <c r="D460" s="133">
        <v>1</v>
      </c>
      <c r="E460" s="133">
        <v>1</v>
      </c>
      <c r="F460" s="133">
        <v>7</v>
      </c>
      <c r="G460" s="133">
        <v>6</v>
      </c>
      <c r="H460" s="133" t="s">
        <v>84</v>
      </c>
      <c r="I460" s="133" t="s">
        <v>84</v>
      </c>
      <c r="J460" s="133">
        <v>7</v>
      </c>
      <c r="K460" s="133">
        <v>2</v>
      </c>
      <c r="L460" s="133">
        <v>1</v>
      </c>
      <c r="M460" s="146">
        <v>1</v>
      </c>
    </row>
    <row r="461" spans="1:13" ht="15.75" thickBot="1" x14ac:dyDescent="0.3">
      <c r="A461" s="143" t="s">
        <v>85</v>
      </c>
      <c r="B461" s="132">
        <v>792</v>
      </c>
      <c r="C461" s="132">
        <v>374</v>
      </c>
      <c r="D461" s="132">
        <v>64</v>
      </c>
      <c r="E461" s="132">
        <v>28</v>
      </c>
      <c r="F461" s="132">
        <v>772</v>
      </c>
      <c r="G461" s="132">
        <v>363</v>
      </c>
      <c r="H461" s="132">
        <v>64</v>
      </c>
      <c r="I461" s="132">
        <v>28</v>
      </c>
      <c r="J461" s="132">
        <v>20</v>
      </c>
      <c r="K461" s="132">
        <v>11</v>
      </c>
      <c r="L461" s="132" t="s">
        <v>84</v>
      </c>
      <c r="M461" s="144" t="s">
        <v>84</v>
      </c>
    </row>
    <row r="462" spans="1:13" ht="15.75" thickBot="1" x14ac:dyDescent="0.3">
      <c r="A462" s="145" t="s">
        <v>86</v>
      </c>
      <c r="B462" s="133">
        <v>208</v>
      </c>
      <c r="C462" s="133">
        <v>71</v>
      </c>
      <c r="D462" s="133">
        <v>36</v>
      </c>
      <c r="E462" s="133">
        <v>18</v>
      </c>
      <c r="F462" s="133">
        <v>201</v>
      </c>
      <c r="G462" s="133">
        <v>70</v>
      </c>
      <c r="H462" s="133">
        <v>36</v>
      </c>
      <c r="I462" s="133">
        <v>18</v>
      </c>
      <c r="J462" s="133">
        <v>7</v>
      </c>
      <c r="K462" s="133">
        <v>1</v>
      </c>
      <c r="L462" s="133" t="s">
        <v>84</v>
      </c>
      <c r="M462" s="146" t="s">
        <v>84</v>
      </c>
    </row>
    <row r="463" spans="1:13" ht="15.75" thickBot="1" x14ac:dyDescent="0.3">
      <c r="A463" s="143" t="s">
        <v>87</v>
      </c>
      <c r="B463" s="132">
        <v>113</v>
      </c>
      <c r="C463" s="132">
        <v>49</v>
      </c>
      <c r="D463" s="132">
        <v>26</v>
      </c>
      <c r="E463" s="132">
        <v>13</v>
      </c>
      <c r="F463" s="132">
        <v>107</v>
      </c>
      <c r="G463" s="132">
        <v>46</v>
      </c>
      <c r="H463" s="132">
        <v>24</v>
      </c>
      <c r="I463" s="132">
        <v>11</v>
      </c>
      <c r="J463" s="132">
        <v>6</v>
      </c>
      <c r="K463" s="132">
        <v>3</v>
      </c>
      <c r="L463" s="132">
        <v>2</v>
      </c>
      <c r="M463" s="144">
        <v>2</v>
      </c>
    </row>
    <row r="464" spans="1:13" ht="15.75" thickBot="1" x14ac:dyDescent="0.3">
      <c r="A464" s="145" t="s">
        <v>153</v>
      </c>
      <c r="B464" s="133">
        <v>60</v>
      </c>
      <c r="C464" s="133">
        <v>27</v>
      </c>
      <c r="D464" s="133">
        <v>6</v>
      </c>
      <c r="E464" s="133">
        <v>3</v>
      </c>
      <c r="F464" s="133">
        <v>58</v>
      </c>
      <c r="G464" s="133">
        <v>27</v>
      </c>
      <c r="H464" s="133">
        <v>6</v>
      </c>
      <c r="I464" s="133">
        <v>3</v>
      </c>
      <c r="J464" s="133">
        <v>2</v>
      </c>
      <c r="K464" s="133" t="s">
        <v>84</v>
      </c>
      <c r="L464" s="133" t="s">
        <v>84</v>
      </c>
      <c r="M464" s="146" t="s">
        <v>84</v>
      </c>
    </row>
    <row r="465" spans="1:13" ht="15.75" thickBot="1" x14ac:dyDescent="0.3">
      <c r="A465" s="143" t="s">
        <v>154</v>
      </c>
      <c r="B465" s="132">
        <v>20</v>
      </c>
      <c r="C465" s="132">
        <v>6</v>
      </c>
      <c r="D465" s="132">
        <v>3</v>
      </c>
      <c r="E465" s="132">
        <v>2</v>
      </c>
      <c r="F465" s="132">
        <v>20</v>
      </c>
      <c r="G465" s="132">
        <v>6</v>
      </c>
      <c r="H465" s="132">
        <v>3</v>
      </c>
      <c r="I465" s="132">
        <v>2</v>
      </c>
      <c r="J465" s="132" t="s">
        <v>84</v>
      </c>
      <c r="K465" s="132" t="s">
        <v>84</v>
      </c>
      <c r="L465" s="132" t="s">
        <v>84</v>
      </c>
      <c r="M465" s="144" t="s">
        <v>84</v>
      </c>
    </row>
    <row r="466" spans="1:13" ht="15.75" thickBot="1" x14ac:dyDescent="0.3">
      <c r="A466" s="225" t="s">
        <v>132</v>
      </c>
      <c r="B466" s="226"/>
      <c r="C466" s="226"/>
      <c r="D466" s="226"/>
      <c r="E466" s="226"/>
      <c r="F466" s="226"/>
      <c r="G466" s="226"/>
      <c r="H466" s="226"/>
      <c r="I466" s="226"/>
      <c r="J466" s="226"/>
      <c r="K466" s="226"/>
      <c r="L466" s="226"/>
      <c r="M466" s="227"/>
    </row>
    <row r="467" spans="1:13" ht="15.75" thickBot="1" x14ac:dyDescent="0.3">
      <c r="A467" s="222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4"/>
    </row>
    <row r="468" spans="1:13" ht="15.75" thickBot="1" x14ac:dyDescent="0.3">
      <c r="A468" s="145" t="s">
        <v>83</v>
      </c>
      <c r="B468" s="133">
        <v>1330</v>
      </c>
      <c r="C468" s="133">
        <v>676</v>
      </c>
      <c r="D468" s="133">
        <v>105</v>
      </c>
      <c r="E468" s="133">
        <v>60</v>
      </c>
      <c r="F468" s="133">
        <v>1174</v>
      </c>
      <c r="G468" s="133">
        <v>596</v>
      </c>
      <c r="H468" s="133">
        <v>105</v>
      </c>
      <c r="I468" s="133">
        <v>60</v>
      </c>
      <c r="J468" s="133">
        <v>156</v>
      </c>
      <c r="K468" s="133">
        <v>80</v>
      </c>
      <c r="L468" s="133" t="s">
        <v>84</v>
      </c>
      <c r="M468" s="146" t="s">
        <v>84</v>
      </c>
    </row>
    <row r="469" spans="1:13" ht="15.75" thickBot="1" x14ac:dyDescent="0.3">
      <c r="A469" s="143" t="s">
        <v>151</v>
      </c>
      <c r="B469" s="132">
        <v>93</v>
      </c>
      <c r="C469" s="132">
        <v>58</v>
      </c>
      <c r="D469" s="132">
        <v>1</v>
      </c>
      <c r="E469" s="132">
        <v>1</v>
      </c>
      <c r="F469" s="132">
        <v>40</v>
      </c>
      <c r="G469" s="132">
        <v>25</v>
      </c>
      <c r="H469" s="132">
        <v>1</v>
      </c>
      <c r="I469" s="132">
        <v>1</v>
      </c>
      <c r="J469" s="132">
        <v>53</v>
      </c>
      <c r="K469" s="132">
        <v>33</v>
      </c>
      <c r="L469" s="132" t="s">
        <v>84</v>
      </c>
      <c r="M469" s="144" t="s">
        <v>84</v>
      </c>
    </row>
    <row r="470" spans="1:13" ht="15.75" thickBot="1" x14ac:dyDescent="0.3">
      <c r="A470" s="145" t="s">
        <v>152</v>
      </c>
      <c r="B470" s="133">
        <v>27</v>
      </c>
      <c r="C470" s="133">
        <v>12</v>
      </c>
      <c r="D470" s="133" t="s">
        <v>84</v>
      </c>
      <c r="E470" s="133" t="s">
        <v>84</v>
      </c>
      <c r="F470" s="133">
        <v>20</v>
      </c>
      <c r="G470" s="133">
        <v>7</v>
      </c>
      <c r="H470" s="133" t="s">
        <v>84</v>
      </c>
      <c r="I470" s="133" t="s">
        <v>84</v>
      </c>
      <c r="J470" s="133">
        <v>7</v>
      </c>
      <c r="K470" s="133">
        <v>5</v>
      </c>
      <c r="L470" s="133" t="s">
        <v>84</v>
      </c>
      <c r="M470" s="146" t="s">
        <v>84</v>
      </c>
    </row>
    <row r="471" spans="1:13" ht="15.75" thickBot="1" x14ac:dyDescent="0.3">
      <c r="A471" s="143" t="s">
        <v>85</v>
      </c>
      <c r="B471" s="132">
        <v>854</v>
      </c>
      <c r="C471" s="132">
        <v>455</v>
      </c>
      <c r="D471" s="132">
        <v>44</v>
      </c>
      <c r="E471" s="132">
        <v>31</v>
      </c>
      <c r="F471" s="132">
        <v>777</v>
      </c>
      <c r="G471" s="132">
        <v>418</v>
      </c>
      <c r="H471" s="132">
        <v>44</v>
      </c>
      <c r="I471" s="132">
        <v>31</v>
      </c>
      <c r="J471" s="132">
        <v>77</v>
      </c>
      <c r="K471" s="132">
        <v>37</v>
      </c>
      <c r="L471" s="132" t="s">
        <v>84</v>
      </c>
      <c r="M471" s="144" t="s">
        <v>84</v>
      </c>
    </row>
    <row r="472" spans="1:13" ht="15.75" thickBot="1" x14ac:dyDescent="0.3">
      <c r="A472" s="145" t="s">
        <v>86</v>
      </c>
      <c r="B472" s="133">
        <v>235</v>
      </c>
      <c r="C472" s="133">
        <v>97</v>
      </c>
      <c r="D472" s="133">
        <v>29</v>
      </c>
      <c r="E472" s="133">
        <v>14</v>
      </c>
      <c r="F472" s="133">
        <v>220</v>
      </c>
      <c r="G472" s="133">
        <v>93</v>
      </c>
      <c r="H472" s="133">
        <v>29</v>
      </c>
      <c r="I472" s="133">
        <v>14</v>
      </c>
      <c r="J472" s="133">
        <v>15</v>
      </c>
      <c r="K472" s="133">
        <v>4</v>
      </c>
      <c r="L472" s="133" t="s">
        <v>84</v>
      </c>
      <c r="M472" s="146" t="s">
        <v>84</v>
      </c>
    </row>
    <row r="473" spans="1:13" ht="15.75" thickBot="1" x14ac:dyDescent="0.3">
      <c r="A473" s="143" t="s">
        <v>87</v>
      </c>
      <c r="B473" s="132">
        <v>121</v>
      </c>
      <c r="C473" s="132">
        <v>54</v>
      </c>
      <c r="D473" s="132">
        <v>31</v>
      </c>
      <c r="E473" s="132">
        <v>14</v>
      </c>
      <c r="F473" s="132">
        <v>117</v>
      </c>
      <c r="G473" s="132">
        <v>53</v>
      </c>
      <c r="H473" s="132">
        <v>31</v>
      </c>
      <c r="I473" s="132">
        <v>14</v>
      </c>
      <c r="J473" s="132">
        <v>4</v>
      </c>
      <c r="K473" s="132">
        <v>1</v>
      </c>
      <c r="L473" s="132" t="s">
        <v>84</v>
      </c>
      <c r="M473" s="144" t="s">
        <v>84</v>
      </c>
    </row>
    <row r="474" spans="1:13" ht="15.75" thickBot="1" x14ac:dyDescent="0.3">
      <c r="A474" s="145" t="s">
        <v>153</v>
      </c>
      <c r="B474" s="133">
        <v>42</v>
      </c>
      <c r="C474" s="133">
        <v>21</v>
      </c>
      <c r="D474" s="133">
        <v>3</v>
      </c>
      <c r="E474" s="133">
        <v>1</v>
      </c>
      <c r="F474" s="133">
        <v>40</v>
      </c>
      <c r="G474" s="133">
        <v>21</v>
      </c>
      <c r="H474" s="133">
        <v>3</v>
      </c>
      <c r="I474" s="133">
        <v>1</v>
      </c>
      <c r="J474" s="133">
        <v>2</v>
      </c>
      <c r="K474" s="133" t="s">
        <v>84</v>
      </c>
      <c r="L474" s="133" t="s">
        <v>84</v>
      </c>
      <c r="M474" s="146" t="s">
        <v>84</v>
      </c>
    </row>
    <row r="475" spans="1:13" ht="15.75" thickBot="1" x14ac:dyDescent="0.3">
      <c r="A475" s="143" t="s">
        <v>154</v>
      </c>
      <c r="B475" s="132">
        <v>28</v>
      </c>
      <c r="C475" s="132">
        <v>13</v>
      </c>
      <c r="D475" s="132">
        <v>4</v>
      </c>
      <c r="E475" s="132">
        <v>2</v>
      </c>
      <c r="F475" s="132">
        <v>27</v>
      </c>
      <c r="G475" s="132">
        <v>12</v>
      </c>
      <c r="H475" s="132">
        <v>4</v>
      </c>
      <c r="I475" s="132">
        <v>2</v>
      </c>
      <c r="J475" s="132">
        <v>1</v>
      </c>
      <c r="K475" s="132">
        <v>1</v>
      </c>
      <c r="L475" s="132" t="s">
        <v>84</v>
      </c>
      <c r="M475" s="144" t="s">
        <v>84</v>
      </c>
    </row>
    <row r="476" spans="1:13" ht="15.75" thickBot="1" x14ac:dyDescent="0.3">
      <c r="A476" s="225" t="s">
        <v>133</v>
      </c>
      <c r="B476" s="226"/>
      <c r="C476" s="226"/>
      <c r="D476" s="226"/>
      <c r="E476" s="226"/>
      <c r="F476" s="226"/>
      <c r="G476" s="226"/>
      <c r="H476" s="226"/>
      <c r="I476" s="226"/>
      <c r="J476" s="226"/>
      <c r="K476" s="226"/>
      <c r="L476" s="226"/>
      <c r="M476" s="227"/>
    </row>
    <row r="477" spans="1:13" ht="15.75" thickBot="1" x14ac:dyDescent="0.3">
      <c r="A477" s="222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4"/>
    </row>
    <row r="478" spans="1:13" ht="15.75" thickBot="1" x14ac:dyDescent="0.3">
      <c r="A478" s="145" t="s">
        <v>83</v>
      </c>
      <c r="B478" s="133">
        <v>973</v>
      </c>
      <c r="C478" s="133">
        <v>455</v>
      </c>
      <c r="D478" s="133">
        <v>86</v>
      </c>
      <c r="E478" s="133">
        <v>43</v>
      </c>
      <c r="F478" s="133">
        <v>925</v>
      </c>
      <c r="G478" s="133">
        <v>443</v>
      </c>
      <c r="H478" s="133">
        <v>84</v>
      </c>
      <c r="I478" s="133">
        <v>43</v>
      </c>
      <c r="J478" s="133">
        <v>48</v>
      </c>
      <c r="K478" s="133">
        <v>12</v>
      </c>
      <c r="L478" s="133">
        <v>2</v>
      </c>
      <c r="M478" s="146" t="s">
        <v>84</v>
      </c>
    </row>
    <row r="479" spans="1:13" ht="15.75" thickBot="1" x14ac:dyDescent="0.3">
      <c r="A479" s="143" t="s">
        <v>151</v>
      </c>
      <c r="B479" s="132">
        <v>8</v>
      </c>
      <c r="C479" s="132">
        <v>2</v>
      </c>
      <c r="D479" s="132" t="s">
        <v>84</v>
      </c>
      <c r="E479" s="132" t="s">
        <v>84</v>
      </c>
      <c r="F479" s="132" t="s">
        <v>84</v>
      </c>
      <c r="G479" s="132" t="s">
        <v>84</v>
      </c>
      <c r="H479" s="132" t="s">
        <v>84</v>
      </c>
      <c r="I479" s="132" t="s">
        <v>84</v>
      </c>
      <c r="J479" s="132">
        <v>8</v>
      </c>
      <c r="K479" s="132">
        <v>2</v>
      </c>
      <c r="L479" s="132" t="s">
        <v>84</v>
      </c>
      <c r="M479" s="144" t="s">
        <v>84</v>
      </c>
    </row>
    <row r="480" spans="1:13" ht="15.75" thickBot="1" x14ac:dyDescent="0.3">
      <c r="A480" s="145" t="s">
        <v>152</v>
      </c>
      <c r="B480" s="133">
        <v>7</v>
      </c>
      <c r="C480" s="133">
        <v>6</v>
      </c>
      <c r="D480" s="133" t="s">
        <v>84</v>
      </c>
      <c r="E480" s="133" t="s">
        <v>84</v>
      </c>
      <c r="F480" s="133">
        <v>7</v>
      </c>
      <c r="G480" s="133">
        <v>6</v>
      </c>
      <c r="H480" s="133" t="s">
        <v>84</v>
      </c>
      <c r="I480" s="133" t="s">
        <v>84</v>
      </c>
      <c r="J480" s="133" t="s">
        <v>84</v>
      </c>
      <c r="K480" s="133" t="s">
        <v>84</v>
      </c>
      <c r="L480" s="133" t="s">
        <v>84</v>
      </c>
      <c r="M480" s="146" t="s">
        <v>84</v>
      </c>
    </row>
    <row r="481" spans="1:13" ht="15.75" thickBot="1" x14ac:dyDescent="0.3">
      <c r="A481" s="143" t="s">
        <v>85</v>
      </c>
      <c r="B481" s="132">
        <v>700</v>
      </c>
      <c r="C481" s="132">
        <v>355</v>
      </c>
      <c r="D481" s="132">
        <v>37</v>
      </c>
      <c r="E481" s="132">
        <v>24</v>
      </c>
      <c r="F481" s="132">
        <v>676</v>
      </c>
      <c r="G481" s="132">
        <v>346</v>
      </c>
      <c r="H481" s="132">
        <v>37</v>
      </c>
      <c r="I481" s="132">
        <v>24</v>
      </c>
      <c r="J481" s="132">
        <v>24</v>
      </c>
      <c r="K481" s="132">
        <v>9</v>
      </c>
      <c r="L481" s="132" t="s">
        <v>84</v>
      </c>
      <c r="M481" s="144" t="s">
        <v>84</v>
      </c>
    </row>
    <row r="482" spans="1:13" ht="15.75" thickBot="1" x14ac:dyDescent="0.3">
      <c r="A482" s="145" t="s">
        <v>86</v>
      </c>
      <c r="B482" s="133">
        <v>191</v>
      </c>
      <c r="C482" s="133">
        <v>70</v>
      </c>
      <c r="D482" s="133">
        <v>31</v>
      </c>
      <c r="E482" s="133">
        <v>11</v>
      </c>
      <c r="F482" s="133">
        <v>183</v>
      </c>
      <c r="G482" s="133">
        <v>69</v>
      </c>
      <c r="H482" s="133">
        <v>30</v>
      </c>
      <c r="I482" s="133">
        <v>11</v>
      </c>
      <c r="J482" s="133">
        <v>8</v>
      </c>
      <c r="K482" s="133">
        <v>1</v>
      </c>
      <c r="L482" s="133">
        <v>1</v>
      </c>
      <c r="M482" s="146" t="s">
        <v>84</v>
      </c>
    </row>
    <row r="483" spans="1:13" ht="15.75" thickBot="1" x14ac:dyDescent="0.3">
      <c r="A483" s="143" t="s">
        <v>87</v>
      </c>
      <c r="B483" s="132">
        <v>67</v>
      </c>
      <c r="C483" s="132">
        <v>22</v>
      </c>
      <c r="D483" s="132">
        <v>18</v>
      </c>
      <c r="E483" s="132">
        <v>8</v>
      </c>
      <c r="F483" s="132">
        <v>59</v>
      </c>
      <c r="G483" s="132">
        <v>22</v>
      </c>
      <c r="H483" s="132">
        <v>17</v>
      </c>
      <c r="I483" s="132">
        <v>8</v>
      </c>
      <c r="J483" s="132">
        <v>8</v>
      </c>
      <c r="K483" s="132" t="s">
        <v>84</v>
      </c>
      <c r="L483" s="132">
        <v>1</v>
      </c>
      <c r="M483" s="144" t="s">
        <v>84</v>
      </c>
    </row>
    <row r="484" spans="1:13" ht="15.75" thickBot="1" x14ac:dyDescent="0.3">
      <c r="A484" s="145" t="s">
        <v>153</v>
      </c>
      <c r="B484" s="133">
        <v>24</v>
      </c>
      <c r="C484" s="133">
        <v>6</v>
      </c>
      <c r="D484" s="133">
        <v>4</v>
      </c>
      <c r="E484" s="133">
        <v>2</v>
      </c>
      <c r="F484" s="133">
        <v>20</v>
      </c>
      <c r="G484" s="133">
        <v>6</v>
      </c>
      <c r="H484" s="133">
        <v>3</v>
      </c>
      <c r="I484" s="133">
        <v>2</v>
      </c>
      <c r="J484" s="133">
        <v>4</v>
      </c>
      <c r="K484" s="133" t="s">
        <v>84</v>
      </c>
      <c r="L484" s="133">
        <v>1</v>
      </c>
      <c r="M484" s="146" t="s">
        <v>84</v>
      </c>
    </row>
    <row r="485" spans="1:13" ht="15.75" thickBot="1" x14ac:dyDescent="0.3">
      <c r="A485" s="143" t="s">
        <v>154</v>
      </c>
      <c r="B485" s="132">
        <v>7</v>
      </c>
      <c r="C485" s="132">
        <v>4</v>
      </c>
      <c r="D485" s="132">
        <v>2</v>
      </c>
      <c r="E485" s="132" t="s">
        <v>84</v>
      </c>
      <c r="F485" s="132">
        <v>7</v>
      </c>
      <c r="G485" s="132">
        <v>4</v>
      </c>
      <c r="H485" s="132">
        <v>2</v>
      </c>
      <c r="I485" s="132" t="s">
        <v>84</v>
      </c>
      <c r="J485" s="132" t="s">
        <v>84</v>
      </c>
      <c r="K485" s="132" t="s">
        <v>84</v>
      </c>
      <c r="L485" s="132" t="s">
        <v>84</v>
      </c>
      <c r="M485" s="144" t="s">
        <v>84</v>
      </c>
    </row>
    <row r="486" spans="1:13" ht="15.75" thickBot="1" x14ac:dyDescent="0.3">
      <c r="A486" s="225" t="s">
        <v>134</v>
      </c>
      <c r="B486" s="226"/>
      <c r="C486" s="226"/>
      <c r="D486" s="226"/>
      <c r="E486" s="226"/>
      <c r="F486" s="226"/>
      <c r="G486" s="226"/>
      <c r="H486" s="226"/>
      <c r="I486" s="226"/>
      <c r="J486" s="226"/>
      <c r="K486" s="226"/>
      <c r="L486" s="226"/>
      <c r="M486" s="227"/>
    </row>
    <row r="487" spans="1:13" ht="15.75" thickBot="1" x14ac:dyDescent="0.3">
      <c r="A487" s="222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4"/>
    </row>
    <row r="488" spans="1:13" ht="15.75" thickBot="1" x14ac:dyDescent="0.3">
      <c r="A488" s="145" t="s">
        <v>83</v>
      </c>
      <c r="B488" s="133">
        <v>2513</v>
      </c>
      <c r="C488" s="133">
        <v>1198</v>
      </c>
      <c r="D488" s="133">
        <v>233</v>
      </c>
      <c r="E488" s="133">
        <v>119</v>
      </c>
      <c r="F488" s="133">
        <v>2419</v>
      </c>
      <c r="G488" s="133">
        <v>1145</v>
      </c>
      <c r="H488" s="133">
        <v>233</v>
      </c>
      <c r="I488" s="133">
        <v>119</v>
      </c>
      <c r="J488" s="133">
        <v>94</v>
      </c>
      <c r="K488" s="133">
        <v>53</v>
      </c>
      <c r="L488" s="133" t="s">
        <v>84</v>
      </c>
      <c r="M488" s="146" t="s">
        <v>84</v>
      </c>
    </row>
    <row r="489" spans="1:13" ht="15.75" thickBot="1" x14ac:dyDescent="0.3">
      <c r="A489" s="143" t="s">
        <v>151</v>
      </c>
      <c r="B489" s="132">
        <v>149</v>
      </c>
      <c r="C489" s="132">
        <v>95</v>
      </c>
      <c r="D489" s="132" t="s">
        <v>84</v>
      </c>
      <c r="E489" s="132" t="s">
        <v>84</v>
      </c>
      <c r="F489" s="132">
        <v>149</v>
      </c>
      <c r="G489" s="132">
        <v>95</v>
      </c>
      <c r="H489" s="132" t="s">
        <v>84</v>
      </c>
      <c r="I489" s="132" t="s">
        <v>84</v>
      </c>
      <c r="J489" s="132" t="s">
        <v>84</v>
      </c>
      <c r="K489" s="132" t="s">
        <v>84</v>
      </c>
      <c r="L489" s="132" t="s">
        <v>84</v>
      </c>
      <c r="M489" s="144" t="s">
        <v>84</v>
      </c>
    </row>
    <row r="490" spans="1:13" ht="15.75" thickBot="1" x14ac:dyDescent="0.3">
      <c r="A490" s="145" t="s">
        <v>152</v>
      </c>
      <c r="B490" s="133">
        <v>56</v>
      </c>
      <c r="C490" s="133">
        <v>26</v>
      </c>
      <c r="D490" s="133">
        <v>1</v>
      </c>
      <c r="E490" s="133">
        <v>1</v>
      </c>
      <c r="F490" s="133">
        <v>56</v>
      </c>
      <c r="G490" s="133">
        <v>26</v>
      </c>
      <c r="H490" s="133">
        <v>1</v>
      </c>
      <c r="I490" s="133">
        <v>1</v>
      </c>
      <c r="J490" s="133" t="s">
        <v>84</v>
      </c>
      <c r="K490" s="133" t="s">
        <v>84</v>
      </c>
      <c r="L490" s="133" t="s">
        <v>84</v>
      </c>
      <c r="M490" s="146" t="s">
        <v>84</v>
      </c>
    </row>
    <row r="491" spans="1:13" ht="15.75" thickBot="1" x14ac:dyDescent="0.3">
      <c r="A491" s="143" t="s">
        <v>85</v>
      </c>
      <c r="B491" s="132">
        <v>1589</v>
      </c>
      <c r="C491" s="132">
        <v>772</v>
      </c>
      <c r="D491" s="132">
        <v>86</v>
      </c>
      <c r="E491" s="132">
        <v>40</v>
      </c>
      <c r="F491" s="132">
        <v>1507</v>
      </c>
      <c r="G491" s="132">
        <v>724</v>
      </c>
      <c r="H491" s="132">
        <v>86</v>
      </c>
      <c r="I491" s="132">
        <v>40</v>
      </c>
      <c r="J491" s="132">
        <v>82</v>
      </c>
      <c r="K491" s="132">
        <v>48</v>
      </c>
      <c r="L491" s="132" t="s">
        <v>84</v>
      </c>
      <c r="M491" s="144" t="s">
        <v>84</v>
      </c>
    </row>
    <row r="492" spans="1:13" ht="15.75" thickBot="1" x14ac:dyDescent="0.3">
      <c r="A492" s="145" t="s">
        <v>86</v>
      </c>
      <c r="B492" s="133">
        <v>532</v>
      </c>
      <c r="C492" s="133">
        <v>217</v>
      </c>
      <c r="D492" s="133">
        <v>77</v>
      </c>
      <c r="E492" s="133">
        <v>47</v>
      </c>
      <c r="F492" s="133">
        <v>522</v>
      </c>
      <c r="G492" s="133">
        <v>213</v>
      </c>
      <c r="H492" s="133">
        <v>77</v>
      </c>
      <c r="I492" s="133">
        <v>47</v>
      </c>
      <c r="J492" s="133">
        <v>10</v>
      </c>
      <c r="K492" s="133">
        <v>4</v>
      </c>
      <c r="L492" s="133" t="s">
        <v>84</v>
      </c>
      <c r="M492" s="146" t="s">
        <v>84</v>
      </c>
    </row>
    <row r="493" spans="1:13" ht="15.75" thickBot="1" x14ac:dyDescent="0.3">
      <c r="A493" s="143" t="s">
        <v>87</v>
      </c>
      <c r="B493" s="132">
        <v>187</v>
      </c>
      <c r="C493" s="132">
        <v>88</v>
      </c>
      <c r="D493" s="132">
        <v>69</v>
      </c>
      <c r="E493" s="132">
        <v>31</v>
      </c>
      <c r="F493" s="132">
        <v>185</v>
      </c>
      <c r="G493" s="132">
        <v>87</v>
      </c>
      <c r="H493" s="132">
        <v>69</v>
      </c>
      <c r="I493" s="132">
        <v>31</v>
      </c>
      <c r="J493" s="132">
        <v>2</v>
      </c>
      <c r="K493" s="132">
        <v>1</v>
      </c>
      <c r="L493" s="132" t="s">
        <v>84</v>
      </c>
      <c r="M493" s="144" t="s">
        <v>84</v>
      </c>
    </row>
    <row r="494" spans="1:13" ht="15.75" thickBot="1" x14ac:dyDescent="0.3">
      <c r="A494" s="145" t="s">
        <v>153</v>
      </c>
      <c r="B494" s="133">
        <v>45</v>
      </c>
      <c r="C494" s="133">
        <v>16</v>
      </c>
      <c r="D494" s="133">
        <v>8</v>
      </c>
      <c r="E494" s="133">
        <v>1</v>
      </c>
      <c r="F494" s="133">
        <v>44</v>
      </c>
      <c r="G494" s="133">
        <v>15</v>
      </c>
      <c r="H494" s="133">
        <v>8</v>
      </c>
      <c r="I494" s="133">
        <v>1</v>
      </c>
      <c r="J494" s="133">
        <v>1</v>
      </c>
      <c r="K494" s="133">
        <v>1</v>
      </c>
      <c r="L494" s="133" t="s">
        <v>84</v>
      </c>
      <c r="M494" s="146" t="s">
        <v>84</v>
      </c>
    </row>
    <row r="495" spans="1:13" ht="15.75" thickBot="1" x14ac:dyDescent="0.3">
      <c r="A495" s="143" t="s">
        <v>154</v>
      </c>
      <c r="B495" s="132">
        <v>30</v>
      </c>
      <c r="C495" s="132">
        <v>18</v>
      </c>
      <c r="D495" s="132">
        <v>9</v>
      </c>
      <c r="E495" s="132">
        <v>4</v>
      </c>
      <c r="F495" s="132">
        <v>30</v>
      </c>
      <c r="G495" s="132">
        <v>18</v>
      </c>
      <c r="H495" s="132">
        <v>9</v>
      </c>
      <c r="I495" s="132">
        <v>4</v>
      </c>
      <c r="J495" s="132" t="s">
        <v>84</v>
      </c>
      <c r="K495" s="132" t="s">
        <v>84</v>
      </c>
      <c r="L495" s="132" t="s">
        <v>84</v>
      </c>
      <c r="M495" s="144" t="s">
        <v>84</v>
      </c>
    </row>
    <row r="496" spans="1:13" ht="15.75" thickBot="1" x14ac:dyDescent="0.3">
      <c r="A496" s="225" t="s">
        <v>135</v>
      </c>
      <c r="B496" s="226"/>
      <c r="C496" s="226"/>
      <c r="D496" s="226"/>
      <c r="E496" s="226"/>
      <c r="F496" s="226"/>
      <c r="G496" s="226"/>
      <c r="H496" s="226"/>
      <c r="I496" s="226"/>
      <c r="J496" s="226"/>
      <c r="K496" s="226"/>
      <c r="L496" s="226"/>
      <c r="M496" s="227"/>
    </row>
    <row r="497" spans="1:13" ht="15.75" thickBot="1" x14ac:dyDescent="0.3">
      <c r="A497" s="222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4"/>
    </row>
    <row r="498" spans="1:13" ht="15.75" thickBot="1" x14ac:dyDescent="0.3">
      <c r="A498" s="145" t="s">
        <v>83</v>
      </c>
      <c r="B498" s="133">
        <v>1282</v>
      </c>
      <c r="C498" s="133">
        <v>604</v>
      </c>
      <c r="D498" s="133">
        <v>178</v>
      </c>
      <c r="E498" s="133">
        <v>88</v>
      </c>
      <c r="F498" s="133">
        <v>1143</v>
      </c>
      <c r="G498" s="133">
        <v>541</v>
      </c>
      <c r="H498" s="133">
        <v>166</v>
      </c>
      <c r="I498" s="133">
        <v>80</v>
      </c>
      <c r="J498" s="133">
        <v>139</v>
      </c>
      <c r="K498" s="133">
        <v>63</v>
      </c>
      <c r="L498" s="133">
        <v>12</v>
      </c>
      <c r="M498" s="146">
        <v>8</v>
      </c>
    </row>
    <row r="499" spans="1:13" ht="15.75" thickBot="1" x14ac:dyDescent="0.3">
      <c r="A499" s="143" t="s">
        <v>151</v>
      </c>
      <c r="B499" s="132">
        <v>1</v>
      </c>
      <c r="C499" s="132" t="s">
        <v>84</v>
      </c>
      <c r="D499" s="132" t="s">
        <v>84</v>
      </c>
      <c r="E499" s="132" t="s">
        <v>84</v>
      </c>
      <c r="F499" s="132">
        <v>1</v>
      </c>
      <c r="G499" s="132" t="s">
        <v>84</v>
      </c>
      <c r="H499" s="132" t="s">
        <v>84</v>
      </c>
      <c r="I499" s="132" t="s">
        <v>84</v>
      </c>
      <c r="J499" s="132" t="s">
        <v>84</v>
      </c>
      <c r="K499" s="132" t="s">
        <v>84</v>
      </c>
      <c r="L499" s="132" t="s">
        <v>84</v>
      </c>
      <c r="M499" s="144" t="s">
        <v>84</v>
      </c>
    </row>
    <row r="500" spans="1:13" ht="15.75" thickBot="1" x14ac:dyDescent="0.3">
      <c r="A500" s="145" t="s">
        <v>152</v>
      </c>
      <c r="B500" s="133">
        <v>18</v>
      </c>
      <c r="C500" s="133">
        <v>9</v>
      </c>
      <c r="D500" s="133">
        <v>1</v>
      </c>
      <c r="E500" s="133">
        <v>1</v>
      </c>
      <c r="F500" s="133">
        <v>14</v>
      </c>
      <c r="G500" s="133">
        <v>5</v>
      </c>
      <c r="H500" s="133" t="s">
        <v>84</v>
      </c>
      <c r="I500" s="133" t="s">
        <v>84</v>
      </c>
      <c r="J500" s="133">
        <v>4</v>
      </c>
      <c r="K500" s="133">
        <v>4</v>
      </c>
      <c r="L500" s="133">
        <v>1</v>
      </c>
      <c r="M500" s="146">
        <v>1</v>
      </c>
    </row>
    <row r="501" spans="1:13" ht="15.75" thickBot="1" x14ac:dyDescent="0.3">
      <c r="A501" s="143" t="s">
        <v>85</v>
      </c>
      <c r="B501" s="132">
        <v>869</v>
      </c>
      <c r="C501" s="132">
        <v>436</v>
      </c>
      <c r="D501" s="132">
        <v>76</v>
      </c>
      <c r="E501" s="132">
        <v>43</v>
      </c>
      <c r="F501" s="132">
        <v>770</v>
      </c>
      <c r="G501" s="132">
        <v>386</v>
      </c>
      <c r="H501" s="132">
        <v>70</v>
      </c>
      <c r="I501" s="132">
        <v>39</v>
      </c>
      <c r="J501" s="132">
        <v>99</v>
      </c>
      <c r="K501" s="132">
        <v>50</v>
      </c>
      <c r="L501" s="132">
        <v>6</v>
      </c>
      <c r="M501" s="144">
        <v>4</v>
      </c>
    </row>
    <row r="502" spans="1:13" ht="15.75" thickBot="1" x14ac:dyDescent="0.3">
      <c r="A502" s="145" t="s">
        <v>86</v>
      </c>
      <c r="B502" s="133">
        <v>294</v>
      </c>
      <c r="C502" s="133">
        <v>114</v>
      </c>
      <c r="D502" s="133">
        <v>62</v>
      </c>
      <c r="E502" s="133">
        <v>24</v>
      </c>
      <c r="F502" s="133">
        <v>270</v>
      </c>
      <c r="G502" s="133">
        <v>109</v>
      </c>
      <c r="H502" s="133">
        <v>59</v>
      </c>
      <c r="I502" s="133">
        <v>22</v>
      </c>
      <c r="J502" s="133">
        <v>24</v>
      </c>
      <c r="K502" s="133">
        <v>5</v>
      </c>
      <c r="L502" s="133">
        <v>3</v>
      </c>
      <c r="M502" s="146">
        <v>2</v>
      </c>
    </row>
    <row r="503" spans="1:13" ht="15.75" thickBot="1" x14ac:dyDescent="0.3">
      <c r="A503" s="143" t="s">
        <v>87</v>
      </c>
      <c r="B503" s="132">
        <v>100</v>
      </c>
      <c r="C503" s="132">
        <v>45</v>
      </c>
      <c r="D503" s="132">
        <v>39</v>
      </c>
      <c r="E503" s="132">
        <v>20</v>
      </c>
      <c r="F503" s="132">
        <v>88</v>
      </c>
      <c r="G503" s="132">
        <v>41</v>
      </c>
      <c r="H503" s="132">
        <v>37</v>
      </c>
      <c r="I503" s="132">
        <v>19</v>
      </c>
      <c r="J503" s="132">
        <v>12</v>
      </c>
      <c r="K503" s="132">
        <v>4</v>
      </c>
      <c r="L503" s="132">
        <v>2</v>
      </c>
      <c r="M503" s="144">
        <v>1</v>
      </c>
    </row>
    <row r="504" spans="1:13" ht="15.75" thickBot="1" x14ac:dyDescent="0.3">
      <c r="A504" s="145" t="s">
        <v>153</v>
      </c>
      <c r="B504" s="133">
        <v>48</v>
      </c>
      <c r="C504" s="133">
        <v>23</v>
      </c>
      <c r="D504" s="133">
        <v>13</v>
      </c>
      <c r="E504" s="133">
        <v>6</v>
      </c>
      <c r="F504" s="133">
        <v>46</v>
      </c>
      <c r="G504" s="133">
        <v>23</v>
      </c>
      <c r="H504" s="133">
        <v>13</v>
      </c>
      <c r="I504" s="133">
        <v>6</v>
      </c>
      <c r="J504" s="133">
        <v>2</v>
      </c>
      <c r="K504" s="133" t="s">
        <v>84</v>
      </c>
      <c r="L504" s="133" t="s">
        <v>84</v>
      </c>
      <c r="M504" s="146" t="s">
        <v>84</v>
      </c>
    </row>
    <row r="505" spans="1:13" ht="15.75" thickBot="1" x14ac:dyDescent="0.3">
      <c r="A505" s="143" t="s">
        <v>154</v>
      </c>
      <c r="B505" s="132">
        <v>9</v>
      </c>
      <c r="C505" s="132">
        <v>3</v>
      </c>
      <c r="D505" s="132">
        <v>3</v>
      </c>
      <c r="E505" s="132" t="s">
        <v>84</v>
      </c>
      <c r="F505" s="132">
        <v>9</v>
      </c>
      <c r="G505" s="132">
        <v>3</v>
      </c>
      <c r="H505" s="132">
        <v>3</v>
      </c>
      <c r="I505" s="132" t="s">
        <v>84</v>
      </c>
      <c r="J505" s="132" t="s">
        <v>84</v>
      </c>
      <c r="K505" s="132" t="s">
        <v>84</v>
      </c>
      <c r="L505" s="132" t="s">
        <v>84</v>
      </c>
      <c r="M505" s="144" t="s">
        <v>84</v>
      </c>
    </row>
    <row r="506" spans="1:13" ht="15.75" thickBot="1" x14ac:dyDescent="0.3">
      <c r="A506" s="225" t="s">
        <v>136</v>
      </c>
      <c r="B506" s="226"/>
      <c r="C506" s="226"/>
      <c r="D506" s="226"/>
      <c r="E506" s="226"/>
      <c r="F506" s="226"/>
      <c r="G506" s="226"/>
      <c r="H506" s="226"/>
      <c r="I506" s="226"/>
      <c r="J506" s="226"/>
      <c r="K506" s="226"/>
      <c r="L506" s="226"/>
      <c r="M506" s="227"/>
    </row>
    <row r="507" spans="1:13" ht="15.75" thickBot="1" x14ac:dyDescent="0.3">
      <c r="A507" s="222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4"/>
    </row>
    <row r="508" spans="1:13" ht="15.75" thickBot="1" x14ac:dyDescent="0.3">
      <c r="A508" s="145" t="s">
        <v>83</v>
      </c>
      <c r="B508" s="133">
        <v>729</v>
      </c>
      <c r="C508" s="133">
        <v>329</v>
      </c>
      <c r="D508" s="133">
        <v>87</v>
      </c>
      <c r="E508" s="133">
        <v>33</v>
      </c>
      <c r="F508" s="133">
        <v>641</v>
      </c>
      <c r="G508" s="133">
        <v>291</v>
      </c>
      <c r="H508" s="133">
        <v>85</v>
      </c>
      <c r="I508" s="133">
        <v>32</v>
      </c>
      <c r="J508" s="133">
        <v>88</v>
      </c>
      <c r="K508" s="133">
        <v>38</v>
      </c>
      <c r="L508" s="133">
        <v>2</v>
      </c>
      <c r="M508" s="146">
        <v>1</v>
      </c>
    </row>
    <row r="509" spans="1:13" ht="15.75" thickBot="1" x14ac:dyDescent="0.3">
      <c r="A509" s="143" t="s">
        <v>151</v>
      </c>
      <c r="B509" s="132">
        <v>2</v>
      </c>
      <c r="C509" s="132">
        <v>1</v>
      </c>
      <c r="D509" s="132" t="s">
        <v>84</v>
      </c>
      <c r="E509" s="132" t="s">
        <v>84</v>
      </c>
      <c r="F509" s="132">
        <v>2</v>
      </c>
      <c r="G509" s="132">
        <v>1</v>
      </c>
      <c r="H509" s="132" t="s">
        <v>84</v>
      </c>
      <c r="I509" s="132" t="s">
        <v>84</v>
      </c>
      <c r="J509" s="132" t="s">
        <v>84</v>
      </c>
      <c r="K509" s="132" t="s">
        <v>84</v>
      </c>
      <c r="L509" s="132" t="s">
        <v>84</v>
      </c>
      <c r="M509" s="144" t="s">
        <v>84</v>
      </c>
    </row>
    <row r="510" spans="1:13" ht="15.75" thickBot="1" x14ac:dyDescent="0.3">
      <c r="A510" s="145" t="s">
        <v>152</v>
      </c>
      <c r="B510" s="133">
        <v>22</v>
      </c>
      <c r="C510" s="133">
        <v>13</v>
      </c>
      <c r="D510" s="133" t="s">
        <v>84</v>
      </c>
      <c r="E510" s="133" t="s">
        <v>84</v>
      </c>
      <c r="F510" s="133">
        <v>16</v>
      </c>
      <c r="G510" s="133">
        <v>10</v>
      </c>
      <c r="H510" s="133" t="s">
        <v>84</v>
      </c>
      <c r="I510" s="133" t="s">
        <v>84</v>
      </c>
      <c r="J510" s="133">
        <v>6</v>
      </c>
      <c r="K510" s="133">
        <v>3</v>
      </c>
      <c r="L510" s="133" t="s">
        <v>84</v>
      </c>
      <c r="M510" s="146" t="s">
        <v>84</v>
      </c>
    </row>
    <row r="511" spans="1:13" ht="15.75" thickBot="1" x14ac:dyDescent="0.3">
      <c r="A511" s="143" t="s">
        <v>85</v>
      </c>
      <c r="B511" s="132">
        <v>448</v>
      </c>
      <c r="C511" s="132">
        <v>220</v>
      </c>
      <c r="D511" s="132">
        <v>37</v>
      </c>
      <c r="E511" s="132">
        <v>14</v>
      </c>
      <c r="F511" s="132">
        <v>392</v>
      </c>
      <c r="G511" s="132">
        <v>192</v>
      </c>
      <c r="H511" s="132">
        <v>37</v>
      </c>
      <c r="I511" s="132">
        <v>14</v>
      </c>
      <c r="J511" s="132">
        <v>56</v>
      </c>
      <c r="K511" s="132">
        <v>28</v>
      </c>
      <c r="L511" s="132" t="s">
        <v>84</v>
      </c>
      <c r="M511" s="144" t="s">
        <v>84</v>
      </c>
    </row>
    <row r="512" spans="1:13" ht="15.75" thickBot="1" x14ac:dyDescent="0.3">
      <c r="A512" s="145" t="s">
        <v>86</v>
      </c>
      <c r="B512" s="133">
        <v>202</v>
      </c>
      <c r="C512" s="133">
        <v>73</v>
      </c>
      <c r="D512" s="133">
        <v>39</v>
      </c>
      <c r="E512" s="133">
        <v>16</v>
      </c>
      <c r="F512" s="133">
        <v>184</v>
      </c>
      <c r="G512" s="133">
        <v>68</v>
      </c>
      <c r="H512" s="133">
        <v>38</v>
      </c>
      <c r="I512" s="133">
        <v>15</v>
      </c>
      <c r="J512" s="133">
        <v>18</v>
      </c>
      <c r="K512" s="133">
        <v>5</v>
      </c>
      <c r="L512" s="133">
        <v>1</v>
      </c>
      <c r="M512" s="146">
        <v>1</v>
      </c>
    </row>
    <row r="513" spans="1:13" ht="15.75" thickBot="1" x14ac:dyDescent="0.3">
      <c r="A513" s="143" t="s">
        <v>87</v>
      </c>
      <c r="B513" s="132">
        <v>55</v>
      </c>
      <c r="C513" s="132">
        <v>22</v>
      </c>
      <c r="D513" s="132">
        <v>11</v>
      </c>
      <c r="E513" s="132">
        <v>3</v>
      </c>
      <c r="F513" s="132">
        <v>47</v>
      </c>
      <c r="G513" s="132">
        <v>20</v>
      </c>
      <c r="H513" s="132">
        <v>10</v>
      </c>
      <c r="I513" s="132">
        <v>3</v>
      </c>
      <c r="J513" s="132">
        <v>8</v>
      </c>
      <c r="K513" s="132">
        <v>2</v>
      </c>
      <c r="L513" s="132">
        <v>1</v>
      </c>
      <c r="M513" s="144" t="s">
        <v>84</v>
      </c>
    </row>
    <row r="514" spans="1:13" ht="15.75" thickBot="1" x14ac:dyDescent="0.3">
      <c r="A514" s="145" t="s">
        <v>153</v>
      </c>
      <c r="B514" s="133">
        <v>19</v>
      </c>
      <c r="C514" s="133">
        <v>10</v>
      </c>
      <c r="D514" s="133">
        <v>2</v>
      </c>
      <c r="E514" s="133" t="s">
        <v>84</v>
      </c>
      <c r="F514" s="133">
        <v>17</v>
      </c>
      <c r="G514" s="133">
        <v>9</v>
      </c>
      <c r="H514" s="133">
        <v>2</v>
      </c>
      <c r="I514" s="133" t="s">
        <v>84</v>
      </c>
      <c r="J514" s="133">
        <v>2</v>
      </c>
      <c r="K514" s="133">
        <v>1</v>
      </c>
      <c r="L514" s="133" t="s">
        <v>84</v>
      </c>
      <c r="M514" s="146" t="s">
        <v>84</v>
      </c>
    </row>
    <row r="515" spans="1:13" ht="15.75" thickBot="1" x14ac:dyDescent="0.3">
      <c r="A515" s="143" t="s">
        <v>154</v>
      </c>
      <c r="B515" s="132">
        <v>5</v>
      </c>
      <c r="C515" s="132">
        <v>1</v>
      </c>
      <c r="D515" s="132">
        <v>2</v>
      </c>
      <c r="E515" s="132">
        <v>1</v>
      </c>
      <c r="F515" s="132">
        <v>5</v>
      </c>
      <c r="G515" s="132">
        <v>1</v>
      </c>
      <c r="H515" s="132">
        <v>2</v>
      </c>
      <c r="I515" s="132">
        <v>1</v>
      </c>
      <c r="J515" s="132" t="s">
        <v>84</v>
      </c>
      <c r="K515" s="132" t="s">
        <v>84</v>
      </c>
      <c r="L515" s="132" t="s">
        <v>84</v>
      </c>
      <c r="M515" s="144" t="s">
        <v>84</v>
      </c>
    </row>
    <row r="516" spans="1:13" ht="15.75" thickBot="1" x14ac:dyDescent="0.3">
      <c r="A516" s="225" t="s">
        <v>137</v>
      </c>
      <c r="B516" s="226"/>
      <c r="C516" s="226"/>
      <c r="D516" s="226"/>
      <c r="E516" s="226"/>
      <c r="F516" s="226"/>
      <c r="G516" s="226"/>
      <c r="H516" s="226"/>
      <c r="I516" s="226"/>
      <c r="J516" s="226"/>
      <c r="K516" s="226"/>
      <c r="L516" s="226"/>
      <c r="M516" s="227"/>
    </row>
    <row r="517" spans="1:13" ht="15.75" thickBot="1" x14ac:dyDescent="0.3">
      <c r="A517" s="222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4"/>
    </row>
    <row r="518" spans="1:13" ht="15.75" thickBot="1" x14ac:dyDescent="0.3">
      <c r="A518" s="145" t="s">
        <v>83</v>
      </c>
      <c r="B518" s="133">
        <v>508</v>
      </c>
      <c r="C518" s="133">
        <v>235</v>
      </c>
      <c r="D518" s="133">
        <v>26</v>
      </c>
      <c r="E518" s="133">
        <v>17</v>
      </c>
      <c r="F518" s="133">
        <v>505</v>
      </c>
      <c r="G518" s="133">
        <v>235</v>
      </c>
      <c r="H518" s="133">
        <v>26</v>
      </c>
      <c r="I518" s="133">
        <v>17</v>
      </c>
      <c r="J518" s="133">
        <v>3</v>
      </c>
      <c r="K518" s="133" t="s">
        <v>84</v>
      </c>
      <c r="L518" s="133" t="s">
        <v>84</v>
      </c>
      <c r="M518" s="146" t="s">
        <v>84</v>
      </c>
    </row>
    <row r="519" spans="1:13" ht="15.75" thickBot="1" x14ac:dyDescent="0.3">
      <c r="A519" s="143" t="s">
        <v>151</v>
      </c>
      <c r="B519" s="132">
        <v>40</v>
      </c>
      <c r="C519" s="132">
        <v>19</v>
      </c>
      <c r="D519" s="132" t="s">
        <v>84</v>
      </c>
      <c r="E519" s="132" t="s">
        <v>84</v>
      </c>
      <c r="F519" s="132">
        <v>40</v>
      </c>
      <c r="G519" s="132">
        <v>19</v>
      </c>
      <c r="H519" s="132" t="s">
        <v>84</v>
      </c>
      <c r="I519" s="132" t="s">
        <v>84</v>
      </c>
      <c r="J519" s="132" t="s">
        <v>84</v>
      </c>
      <c r="K519" s="132" t="s">
        <v>84</v>
      </c>
      <c r="L519" s="132" t="s">
        <v>84</v>
      </c>
      <c r="M519" s="144" t="s">
        <v>84</v>
      </c>
    </row>
    <row r="520" spans="1:13" ht="15.75" thickBot="1" x14ac:dyDescent="0.3">
      <c r="A520" s="145" t="s">
        <v>152</v>
      </c>
      <c r="B520" s="133">
        <v>23</v>
      </c>
      <c r="C520" s="133">
        <v>15</v>
      </c>
      <c r="D520" s="133">
        <v>1</v>
      </c>
      <c r="E520" s="133">
        <v>1</v>
      </c>
      <c r="F520" s="133">
        <v>20</v>
      </c>
      <c r="G520" s="133">
        <v>15</v>
      </c>
      <c r="H520" s="133">
        <v>1</v>
      </c>
      <c r="I520" s="133">
        <v>1</v>
      </c>
      <c r="J520" s="133">
        <v>3</v>
      </c>
      <c r="K520" s="133" t="s">
        <v>84</v>
      </c>
      <c r="L520" s="133" t="s">
        <v>84</v>
      </c>
      <c r="M520" s="146" t="s">
        <v>84</v>
      </c>
    </row>
    <row r="521" spans="1:13" ht="15.75" thickBot="1" x14ac:dyDescent="0.3">
      <c r="A521" s="143" t="s">
        <v>85</v>
      </c>
      <c r="B521" s="132">
        <v>274</v>
      </c>
      <c r="C521" s="132">
        <v>124</v>
      </c>
      <c r="D521" s="132">
        <v>8</v>
      </c>
      <c r="E521" s="132">
        <v>3</v>
      </c>
      <c r="F521" s="132">
        <v>274</v>
      </c>
      <c r="G521" s="132">
        <v>124</v>
      </c>
      <c r="H521" s="132">
        <v>8</v>
      </c>
      <c r="I521" s="132">
        <v>3</v>
      </c>
      <c r="J521" s="132" t="s">
        <v>84</v>
      </c>
      <c r="K521" s="132" t="s">
        <v>84</v>
      </c>
      <c r="L521" s="132" t="s">
        <v>84</v>
      </c>
      <c r="M521" s="144" t="s">
        <v>84</v>
      </c>
    </row>
    <row r="522" spans="1:13" ht="15.75" thickBot="1" x14ac:dyDescent="0.3">
      <c r="A522" s="145" t="s">
        <v>86</v>
      </c>
      <c r="B522" s="133">
        <v>144</v>
      </c>
      <c r="C522" s="133">
        <v>67</v>
      </c>
      <c r="D522" s="133">
        <v>11</v>
      </c>
      <c r="E522" s="133">
        <v>8</v>
      </c>
      <c r="F522" s="133">
        <v>144</v>
      </c>
      <c r="G522" s="133">
        <v>67</v>
      </c>
      <c r="H522" s="133">
        <v>11</v>
      </c>
      <c r="I522" s="133">
        <v>8</v>
      </c>
      <c r="J522" s="133" t="s">
        <v>84</v>
      </c>
      <c r="K522" s="133" t="s">
        <v>84</v>
      </c>
      <c r="L522" s="133" t="s">
        <v>84</v>
      </c>
      <c r="M522" s="146" t="s">
        <v>84</v>
      </c>
    </row>
    <row r="523" spans="1:13" ht="15.75" thickBot="1" x14ac:dyDescent="0.3">
      <c r="A523" s="143" t="s">
        <v>87</v>
      </c>
      <c r="B523" s="132">
        <v>27</v>
      </c>
      <c r="C523" s="132">
        <v>10</v>
      </c>
      <c r="D523" s="132">
        <v>6</v>
      </c>
      <c r="E523" s="132">
        <v>5</v>
      </c>
      <c r="F523" s="132">
        <v>27</v>
      </c>
      <c r="G523" s="132">
        <v>10</v>
      </c>
      <c r="H523" s="132">
        <v>6</v>
      </c>
      <c r="I523" s="132">
        <v>5</v>
      </c>
      <c r="J523" s="132" t="s">
        <v>84</v>
      </c>
      <c r="K523" s="132" t="s">
        <v>84</v>
      </c>
      <c r="L523" s="132" t="s">
        <v>84</v>
      </c>
      <c r="M523" s="144" t="s">
        <v>84</v>
      </c>
    </row>
    <row r="524" spans="1:13" ht="15.75" thickBot="1" x14ac:dyDescent="0.3">
      <c r="A524" s="145" t="s">
        <v>153</v>
      </c>
      <c r="B524" s="133">
        <v>5</v>
      </c>
      <c r="C524" s="133">
        <v>1</v>
      </c>
      <c r="D524" s="133" t="s">
        <v>84</v>
      </c>
      <c r="E524" s="133" t="s">
        <v>84</v>
      </c>
      <c r="F524" s="133">
        <v>5</v>
      </c>
      <c r="G524" s="133">
        <v>1</v>
      </c>
      <c r="H524" s="133" t="s">
        <v>84</v>
      </c>
      <c r="I524" s="133" t="s">
        <v>84</v>
      </c>
      <c r="J524" s="133" t="s">
        <v>84</v>
      </c>
      <c r="K524" s="133" t="s">
        <v>84</v>
      </c>
      <c r="L524" s="133" t="s">
        <v>84</v>
      </c>
      <c r="M524" s="146" t="s">
        <v>84</v>
      </c>
    </row>
    <row r="525" spans="1:13" ht="15.75" thickBot="1" x14ac:dyDescent="0.3">
      <c r="A525" s="147" t="s">
        <v>154</v>
      </c>
      <c r="B525" s="148">
        <v>5</v>
      </c>
      <c r="C525" s="148">
        <v>1</v>
      </c>
      <c r="D525" s="148" t="s">
        <v>84</v>
      </c>
      <c r="E525" s="148" t="s">
        <v>84</v>
      </c>
      <c r="F525" s="148">
        <v>5</v>
      </c>
      <c r="G525" s="148">
        <v>1</v>
      </c>
      <c r="H525" s="148" t="s">
        <v>84</v>
      </c>
      <c r="I525" s="148" t="s">
        <v>84</v>
      </c>
      <c r="J525" s="148" t="s">
        <v>84</v>
      </c>
      <c r="K525" s="148" t="s">
        <v>84</v>
      </c>
      <c r="L525" s="148" t="s">
        <v>84</v>
      </c>
      <c r="M525" s="149" t="s">
        <v>84</v>
      </c>
    </row>
    <row r="527" spans="1:13" x14ac:dyDescent="0.25">
      <c r="A527" s="127" t="s">
        <v>138</v>
      </c>
    </row>
    <row r="528" spans="1:13" x14ac:dyDescent="0.25">
      <c r="A528" s="127" t="s">
        <v>139</v>
      </c>
    </row>
    <row r="529" spans="1:1" x14ac:dyDescent="0.25">
      <c r="A529" s="127" t="s">
        <v>140</v>
      </c>
    </row>
    <row r="530" spans="1:1" x14ac:dyDescent="0.25">
      <c r="A530" s="127" t="s">
        <v>175</v>
      </c>
    </row>
    <row r="532" spans="1:1" x14ac:dyDescent="0.25">
      <c r="A532" s="28"/>
    </row>
    <row r="533" spans="1:1" x14ac:dyDescent="0.25">
      <c r="A533" s="127" t="s">
        <v>142</v>
      </c>
    </row>
    <row r="534" spans="1:1" x14ac:dyDescent="0.25">
      <c r="A534" s="127" t="s">
        <v>217</v>
      </c>
    </row>
    <row r="535" spans="1:1" x14ac:dyDescent="0.25">
      <c r="A535" s="127" t="s">
        <v>176</v>
      </c>
    </row>
    <row r="536" spans="1:1" x14ac:dyDescent="0.25">
      <c r="A536" s="127" t="s">
        <v>144</v>
      </c>
    </row>
    <row r="537" spans="1:1" x14ac:dyDescent="0.25">
      <c r="A537" s="28"/>
    </row>
    <row r="538" spans="1:1" x14ac:dyDescent="0.25">
      <c r="A538" s="127" t="s">
        <v>145</v>
      </c>
    </row>
    <row r="539" spans="1:1" x14ac:dyDescent="0.25">
      <c r="A539" s="28"/>
    </row>
    <row r="540" spans="1:1" x14ac:dyDescent="0.25">
      <c r="A540" s="127" t="s">
        <v>146</v>
      </c>
    </row>
  </sheetData>
  <mergeCells count="115">
    <mergeCell ref="B15:M16"/>
    <mergeCell ref="B17:E17"/>
    <mergeCell ref="F17:I17"/>
    <mergeCell ref="J17:M17"/>
    <mergeCell ref="B18:B20"/>
    <mergeCell ref="C18:C20"/>
    <mergeCell ref="D18:D20"/>
    <mergeCell ref="F18:F20"/>
    <mergeCell ref="G18:G20"/>
    <mergeCell ref="H18:H20"/>
    <mergeCell ref="A34:M34"/>
    <mergeCell ref="A43:M43"/>
    <mergeCell ref="A44:M44"/>
    <mergeCell ref="A53:M53"/>
    <mergeCell ref="A54:M54"/>
    <mergeCell ref="A63:M63"/>
    <mergeCell ref="J18:J20"/>
    <mergeCell ref="K18:K20"/>
    <mergeCell ref="L18:L20"/>
    <mergeCell ref="A23:M23"/>
    <mergeCell ref="A24:M24"/>
    <mergeCell ref="A33:M33"/>
    <mergeCell ref="A93:M93"/>
    <mergeCell ref="A102:M102"/>
    <mergeCell ref="A103:M103"/>
    <mergeCell ref="A112:M112"/>
    <mergeCell ref="A113:M113"/>
    <mergeCell ref="A122:M122"/>
    <mergeCell ref="A64:M64"/>
    <mergeCell ref="A73:M73"/>
    <mergeCell ref="A74:M74"/>
    <mergeCell ref="A82:M82"/>
    <mergeCell ref="A83:M83"/>
    <mergeCell ref="A92:M92"/>
    <mergeCell ref="A153:M153"/>
    <mergeCell ref="A162:M162"/>
    <mergeCell ref="A163:M163"/>
    <mergeCell ref="A172:M172"/>
    <mergeCell ref="A173:M173"/>
    <mergeCell ref="A182:M182"/>
    <mergeCell ref="A123:M123"/>
    <mergeCell ref="A132:M132"/>
    <mergeCell ref="A133:M133"/>
    <mergeCell ref="A142:M142"/>
    <mergeCell ref="A143:M143"/>
    <mergeCell ref="A152:M152"/>
    <mergeCell ref="A212:M212"/>
    <mergeCell ref="A221:M221"/>
    <mergeCell ref="A222:M222"/>
    <mergeCell ref="A231:M231"/>
    <mergeCell ref="A232:M232"/>
    <mergeCell ref="A241:M241"/>
    <mergeCell ref="A183:M183"/>
    <mergeCell ref="A192:M192"/>
    <mergeCell ref="A193:M193"/>
    <mergeCell ref="A202:M202"/>
    <mergeCell ref="A203:M203"/>
    <mergeCell ref="A211:M211"/>
    <mergeCell ref="A271:M271"/>
    <mergeCell ref="A280:M280"/>
    <mergeCell ref="A281:M281"/>
    <mergeCell ref="A290:M290"/>
    <mergeCell ref="A291:M291"/>
    <mergeCell ref="A300:M300"/>
    <mergeCell ref="A242:M242"/>
    <mergeCell ref="A251:M251"/>
    <mergeCell ref="A252:M252"/>
    <mergeCell ref="A260:M260"/>
    <mergeCell ref="A261:M261"/>
    <mergeCell ref="A270:M270"/>
    <mergeCell ref="A331:M331"/>
    <mergeCell ref="A340:M340"/>
    <mergeCell ref="A341:M341"/>
    <mergeCell ref="A350:M350"/>
    <mergeCell ref="A351:M351"/>
    <mergeCell ref="A360:M360"/>
    <mergeCell ref="A301:M301"/>
    <mergeCell ref="A310:M310"/>
    <mergeCell ref="A311:M311"/>
    <mergeCell ref="A320:M320"/>
    <mergeCell ref="A321:M321"/>
    <mergeCell ref="A330:M330"/>
    <mergeCell ref="A391:M391"/>
    <mergeCell ref="A400:M400"/>
    <mergeCell ref="A401:M401"/>
    <mergeCell ref="A409:M409"/>
    <mergeCell ref="A410:M410"/>
    <mergeCell ref="A418:M418"/>
    <mergeCell ref="A361:M361"/>
    <mergeCell ref="A370:M370"/>
    <mergeCell ref="A371:M371"/>
    <mergeCell ref="A380:M380"/>
    <mergeCell ref="A381:M381"/>
    <mergeCell ref="A390:M390"/>
    <mergeCell ref="A447:M447"/>
    <mergeCell ref="A456:M456"/>
    <mergeCell ref="A457:M457"/>
    <mergeCell ref="A466:M466"/>
    <mergeCell ref="A467:M467"/>
    <mergeCell ref="A476:M476"/>
    <mergeCell ref="A419:M419"/>
    <mergeCell ref="A428:M428"/>
    <mergeCell ref="A429:M429"/>
    <mergeCell ref="A438:M438"/>
    <mergeCell ref="A439:M439"/>
    <mergeCell ref="A446:M446"/>
    <mergeCell ref="A507:M507"/>
    <mergeCell ref="A516:M516"/>
    <mergeCell ref="A517:M517"/>
    <mergeCell ref="A477:M477"/>
    <mergeCell ref="A486:M486"/>
    <mergeCell ref="A487:M487"/>
    <mergeCell ref="A496:M496"/>
    <mergeCell ref="A497:M497"/>
    <mergeCell ref="A506:M506"/>
  </mergeCells>
  <hyperlinks>
    <hyperlink ref="A1" r:id="rId1" display="https://www1.nls.niedersachsen.de/Statistik/pool/K3002519/K3002519_000017C2FB34213E0355246ED02A8B9E448423D614F9E6D3370A.zip" xr:uid="{B30D63D1-FB93-41CE-828C-80DF87D617D5}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0758A-CFF6-47D4-963A-CEFFD3E15C29}">
  <sheetPr codeName="Tabelle15"/>
  <dimension ref="A1:R544"/>
  <sheetViews>
    <sheetView workbookViewId="0"/>
  </sheetViews>
  <sheetFormatPr baseColWidth="10" defaultRowHeight="15" x14ac:dyDescent="0.25"/>
  <cols>
    <col min="1" max="1" width="11.42578125" style="169"/>
    <col min="2" max="2" width="26.140625" customWidth="1"/>
    <col min="3" max="3" width="43.85546875" customWidth="1"/>
  </cols>
  <sheetData>
    <row r="1" spans="3:18" x14ac:dyDescent="0.25">
      <c r="C1" s="19" t="s">
        <v>147</v>
      </c>
    </row>
    <row r="3" spans="3:18" x14ac:dyDescent="0.25">
      <c r="C3" s="20" t="s">
        <v>214</v>
      </c>
    </row>
    <row r="4" spans="3:18" x14ac:dyDescent="0.25">
      <c r="C4" s="20" t="s">
        <v>149</v>
      </c>
    </row>
    <row r="6" spans="3:18" x14ac:dyDescent="0.25">
      <c r="C6" s="126" t="s">
        <v>66</v>
      </c>
    </row>
    <row r="7" spans="3:18" x14ac:dyDescent="0.25">
      <c r="C7" s="28"/>
    </row>
    <row r="8" spans="3:18" x14ac:dyDescent="0.25">
      <c r="C8" s="127" t="s">
        <v>67</v>
      </c>
    </row>
    <row r="9" spans="3:18" x14ac:dyDescent="0.25">
      <c r="C9" s="127" t="s">
        <v>172</v>
      </c>
    </row>
    <row r="10" spans="3:18" x14ac:dyDescent="0.25">
      <c r="C10" s="127" t="s">
        <v>215</v>
      </c>
    </row>
    <row r="11" spans="3:18" x14ac:dyDescent="0.25">
      <c r="C11" s="28"/>
    </row>
    <row r="12" spans="3:18" x14ac:dyDescent="0.25">
      <c r="C12" s="127" t="s">
        <v>150</v>
      </c>
    </row>
    <row r="13" spans="3:18" x14ac:dyDescent="0.25">
      <c r="C13" s="127" t="s">
        <v>216</v>
      </c>
    </row>
    <row r="14" spans="3:18" ht="15.75" thickBot="1" x14ac:dyDescent="0.3"/>
    <row r="15" spans="3:18" x14ac:dyDescent="0.25">
      <c r="C15" s="134" t="s">
        <v>63</v>
      </c>
      <c r="D15" s="231" t="s">
        <v>174</v>
      </c>
      <c r="E15" s="232"/>
      <c r="F15" s="232"/>
      <c r="G15" s="232"/>
      <c r="H15" s="232"/>
      <c r="I15" s="232"/>
      <c r="J15" s="232"/>
      <c r="K15" s="232"/>
      <c r="L15" s="232"/>
      <c r="M15" s="232"/>
      <c r="N15" s="232"/>
      <c r="O15" s="232"/>
      <c r="P15" s="233"/>
      <c r="Q15" s="241" t="s">
        <v>166</v>
      </c>
      <c r="R15" s="241"/>
    </row>
    <row r="16" spans="3:18" ht="15.75" thickBot="1" x14ac:dyDescent="0.3">
      <c r="C16" s="135" t="s">
        <v>70</v>
      </c>
      <c r="D16" s="234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6"/>
      <c r="Q16" s="241"/>
      <c r="R16" s="241"/>
    </row>
    <row r="17" spans="1:18" ht="15.75" thickBot="1" x14ac:dyDescent="0.3">
      <c r="C17" s="135" t="s">
        <v>71</v>
      </c>
      <c r="D17" s="237" t="s">
        <v>75</v>
      </c>
      <c r="E17" s="238"/>
      <c r="F17" s="238"/>
      <c r="G17" s="238"/>
      <c r="H17" s="239"/>
      <c r="I17" s="237" t="s">
        <v>76</v>
      </c>
      <c r="J17" s="238"/>
      <c r="K17" s="238"/>
      <c r="L17" s="239"/>
      <c r="M17" s="237" t="s">
        <v>77</v>
      </c>
      <c r="N17" s="238"/>
      <c r="O17" s="238"/>
      <c r="P17" s="240"/>
      <c r="Q17" s="241"/>
      <c r="R17" s="241"/>
    </row>
    <row r="18" spans="1:18" ht="15" customHeight="1" x14ac:dyDescent="0.25">
      <c r="C18" s="135" t="s">
        <v>72</v>
      </c>
      <c r="D18" s="228" t="s">
        <v>78</v>
      </c>
      <c r="E18" s="228" t="s">
        <v>79</v>
      </c>
      <c r="F18" s="150"/>
      <c r="G18" s="228" t="s">
        <v>80</v>
      </c>
      <c r="H18" s="150" t="s">
        <v>80</v>
      </c>
      <c r="I18" s="228" t="s">
        <v>78</v>
      </c>
      <c r="J18" s="228" t="s">
        <v>79</v>
      </c>
      <c r="K18" s="228" t="s">
        <v>80</v>
      </c>
      <c r="L18" s="150" t="s">
        <v>80</v>
      </c>
      <c r="M18" s="228" t="s">
        <v>78</v>
      </c>
      <c r="N18" s="228" t="s">
        <v>79</v>
      </c>
      <c r="O18" s="228" t="s">
        <v>80</v>
      </c>
      <c r="P18" s="136" t="s">
        <v>80</v>
      </c>
      <c r="Q18" s="211" t="s">
        <v>80</v>
      </c>
      <c r="R18" s="242" t="s">
        <v>2</v>
      </c>
    </row>
    <row r="19" spans="1:18" x14ac:dyDescent="0.25">
      <c r="C19" s="135" t="s">
        <v>73</v>
      </c>
      <c r="D19" s="229"/>
      <c r="E19" s="229"/>
      <c r="F19" s="151" t="s">
        <v>218</v>
      </c>
      <c r="G19" s="229"/>
      <c r="H19" s="151" t="s">
        <v>79</v>
      </c>
      <c r="I19" s="229"/>
      <c r="J19" s="229"/>
      <c r="K19" s="229"/>
      <c r="L19" s="151" t="s">
        <v>79</v>
      </c>
      <c r="M19" s="229"/>
      <c r="N19" s="229"/>
      <c r="O19" s="229"/>
      <c r="P19" s="137" t="s">
        <v>79</v>
      </c>
      <c r="Q19" s="211"/>
      <c r="R19" s="242"/>
    </row>
    <row r="20" spans="1:18" ht="15.75" thickBot="1" x14ac:dyDescent="0.3">
      <c r="C20" s="135"/>
      <c r="D20" s="230"/>
      <c r="E20" s="230"/>
      <c r="F20" s="152"/>
      <c r="G20" s="230"/>
      <c r="H20" s="152" t="s">
        <v>81</v>
      </c>
      <c r="I20" s="230"/>
      <c r="J20" s="230"/>
      <c r="K20" s="230"/>
      <c r="L20" s="152" t="s">
        <v>81</v>
      </c>
      <c r="M20" s="230"/>
      <c r="N20" s="230"/>
      <c r="O20" s="230"/>
      <c r="P20" s="138" t="s">
        <v>81</v>
      </c>
      <c r="Q20" s="212"/>
      <c r="R20" s="242"/>
    </row>
    <row r="21" spans="1:18" ht="15.75" thickBot="1" x14ac:dyDescent="0.3">
      <c r="C21" s="139"/>
      <c r="D21" s="131">
        <v>1</v>
      </c>
      <c r="E21" s="131">
        <v>2</v>
      </c>
      <c r="F21" s="131"/>
      <c r="G21" s="131">
        <v>3</v>
      </c>
      <c r="H21" s="131">
        <v>4</v>
      </c>
      <c r="I21" s="131">
        <v>5</v>
      </c>
      <c r="J21" s="131">
        <v>6</v>
      </c>
      <c r="K21" s="131">
        <v>7</v>
      </c>
      <c r="L21" s="131">
        <v>8</v>
      </c>
      <c r="M21" s="131">
        <v>9</v>
      </c>
      <c r="N21" s="131">
        <v>10</v>
      </c>
      <c r="O21" s="131">
        <v>11</v>
      </c>
      <c r="P21" s="140">
        <v>12</v>
      </c>
      <c r="Q21" s="173">
        <v>13</v>
      </c>
      <c r="R21" s="173">
        <v>14</v>
      </c>
    </row>
    <row r="22" spans="1:18" ht="15.75" thickBot="1" x14ac:dyDescent="0.3">
      <c r="C22" s="141"/>
      <c r="P22" s="142"/>
    </row>
    <row r="23" spans="1:18" ht="15.75" thickBot="1" x14ac:dyDescent="0.3">
      <c r="C23" s="166" t="s">
        <v>82</v>
      </c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8"/>
    </row>
    <row r="24" spans="1:18" ht="15.75" thickBot="1" x14ac:dyDescent="0.3">
      <c r="C24" s="159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18" ht="15.75" thickBot="1" x14ac:dyDescent="0.3">
      <c r="C25" s="143" t="s">
        <v>83</v>
      </c>
      <c r="D25" s="132">
        <v>57318</v>
      </c>
      <c r="E25" s="132">
        <v>26484</v>
      </c>
      <c r="F25" s="132">
        <f>D25-G25</f>
        <v>51375</v>
      </c>
      <c r="G25" s="132">
        <v>5943</v>
      </c>
      <c r="H25" s="132">
        <v>2800</v>
      </c>
      <c r="I25" s="132">
        <v>53593</v>
      </c>
      <c r="J25" s="132">
        <v>24812</v>
      </c>
      <c r="K25" s="132">
        <v>5755</v>
      </c>
      <c r="L25" s="132">
        <v>2710</v>
      </c>
      <c r="M25" s="132">
        <v>3725</v>
      </c>
      <c r="N25" s="132">
        <v>1672</v>
      </c>
      <c r="O25" s="132">
        <v>188</v>
      </c>
      <c r="P25" s="144">
        <v>90</v>
      </c>
    </row>
    <row r="26" spans="1:18" ht="15.75" thickBot="1" x14ac:dyDescent="0.3">
      <c r="C26" s="145" t="s">
        <v>151</v>
      </c>
      <c r="D26" s="133">
        <v>5198</v>
      </c>
      <c r="E26" s="133">
        <v>2889</v>
      </c>
      <c r="F26" s="132">
        <f t="shared" ref="F26:F32" si="0">D26-G26</f>
        <v>5039</v>
      </c>
      <c r="G26" s="133">
        <v>159</v>
      </c>
      <c r="H26" s="133">
        <v>78</v>
      </c>
      <c r="I26" s="133">
        <v>4674</v>
      </c>
      <c r="J26" s="133">
        <v>2604</v>
      </c>
      <c r="K26" s="133">
        <v>155</v>
      </c>
      <c r="L26" s="133">
        <v>77</v>
      </c>
      <c r="M26" s="133">
        <v>524</v>
      </c>
      <c r="N26" s="133">
        <v>285</v>
      </c>
      <c r="O26" s="133">
        <v>4</v>
      </c>
      <c r="P26" s="146">
        <v>1</v>
      </c>
    </row>
    <row r="27" spans="1:18" ht="15.75" thickBot="1" x14ac:dyDescent="0.3">
      <c r="C27" s="143" t="s">
        <v>152</v>
      </c>
      <c r="D27" s="132">
        <v>1693</v>
      </c>
      <c r="E27" s="132">
        <v>894</v>
      </c>
      <c r="F27" s="132">
        <f t="shared" si="0"/>
        <v>1592</v>
      </c>
      <c r="G27" s="132">
        <v>101</v>
      </c>
      <c r="H27" s="132">
        <v>55</v>
      </c>
      <c r="I27" s="132">
        <v>1588</v>
      </c>
      <c r="J27" s="132">
        <v>840</v>
      </c>
      <c r="K27" s="132">
        <v>97</v>
      </c>
      <c r="L27" s="132">
        <v>52</v>
      </c>
      <c r="M27" s="132">
        <v>105</v>
      </c>
      <c r="N27" s="132">
        <v>54</v>
      </c>
      <c r="O27" s="132">
        <v>4</v>
      </c>
      <c r="P27" s="144">
        <v>3</v>
      </c>
    </row>
    <row r="28" spans="1:18" ht="15.75" thickBot="1" x14ac:dyDescent="0.3">
      <c r="C28" s="145" t="s">
        <v>85</v>
      </c>
      <c r="D28" s="133">
        <v>35249</v>
      </c>
      <c r="E28" s="133">
        <v>16763</v>
      </c>
      <c r="F28" s="132">
        <f t="shared" si="0"/>
        <v>32466</v>
      </c>
      <c r="G28" s="133">
        <v>2783</v>
      </c>
      <c r="H28" s="133">
        <v>1416</v>
      </c>
      <c r="I28" s="133">
        <v>33006</v>
      </c>
      <c r="J28" s="133">
        <v>15700</v>
      </c>
      <c r="K28" s="133">
        <v>2676</v>
      </c>
      <c r="L28" s="133">
        <v>1360</v>
      </c>
      <c r="M28" s="133">
        <v>2243</v>
      </c>
      <c r="N28" s="133">
        <v>1063</v>
      </c>
      <c r="O28" s="133">
        <v>107</v>
      </c>
      <c r="P28" s="146">
        <v>56</v>
      </c>
    </row>
    <row r="29" spans="1:18" ht="15.75" thickBot="1" x14ac:dyDescent="0.3">
      <c r="C29" s="143" t="s">
        <v>86</v>
      </c>
      <c r="D29" s="132">
        <v>10566</v>
      </c>
      <c r="E29" s="132">
        <v>4152</v>
      </c>
      <c r="F29" s="132">
        <f t="shared" si="0"/>
        <v>8882</v>
      </c>
      <c r="G29" s="132">
        <v>1684</v>
      </c>
      <c r="H29" s="132">
        <v>751</v>
      </c>
      <c r="I29" s="132">
        <v>10052</v>
      </c>
      <c r="J29" s="132">
        <v>3991</v>
      </c>
      <c r="K29" s="132">
        <v>1637</v>
      </c>
      <c r="L29" s="132">
        <v>730</v>
      </c>
      <c r="M29" s="132">
        <v>514</v>
      </c>
      <c r="N29" s="132">
        <v>161</v>
      </c>
      <c r="O29" s="132">
        <v>47</v>
      </c>
      <c r="P29" s="144">
        <v>21</v>
      </c>
    </row>
    <row r="30" spans="1:18" ht="15.75" thickBot="1" x14ac:dyDescent="0.3">
      <c r="A30" s="170">
        <v>0</v>
      </c>
      <c r="B30" s="166" t="s">
        <v>63</v>
      </c>
      <c r="C30" s="145" t="s">
        <v>87</v>
      </c>
      <c r="D30" s="133">
        <v>4612</v>
      </c>
      <c r="E30" s="133">
        <v>1786</v>
      </c>
      <c r="F30" s="132">
        <f t="shared" si="0"/>
        <v>3396</v>
      </c>
      <c r="G30" s="133">
        <v>1216</v>
      </c>
      <c r="H30" s="133">
        <v>500</v>
      </c>
      <c r="I30" s="133">
        <v>4273</v>
      </c>
      <c r="J30" s="133">
        <v>1677</v>
      </c>
      <c r="K30" s="133">
        <v>1190</v>
      </c>
      <c r="L30" s="133">
        <v>491</v>
      </c>
      <c r="M30" s="133">
        <v>339</v>
      </c>
      <c r="N30" s="133">
        <v>109</v>
      </c>
      <c r="O30" s="133">
        <v>26</v>
      </c>
      <c r="P30" s="146">
        <v>9</v>
      </c>
      <c r="Q30">
        <f>G30/G25</f>
        <v>0.20461046609456504</v>
      </c>
      <c r="R30">
        <f>F30/F25</f>
        <v>6.6102189781021892E-2</v>
      </c>
    </row>
    <row r="31" spans="1:18" ht="15.75" thickBot="1" x14ac:dyDescent="0.3">
      <c r="C31" s="143" t="s">
        <v>153</v>
      </c>
      <c r="D31" s="132">
        <v>1426</v>
      </c>
      <c r="E31" s="132">
        <v>583</v>
      </c>
      <c r="F31" s="132">
        <f t="shared" si="0"/>
        <v>1221</v>
      </c>
      <c r="G31" s="132">
        <v>205</v>
      </c>
      <c r="H31" s="132">
        <v>90</v>
      </c>
      <c r="I31" s="132">
        <v>1344</v>
      </c>
      <c r="J31" s="132">
        <v>558</v>
      </c>
      <c r="K31" s="132">
        <v>198</v>
      </c>
      <c r="L31" s="132">
        <v>89</v>
      </c>
      <c r="M31" s="132">
        <v>82</v>
      </c>
      <c r="N31" s="132">
        <v>25</v>
      </c>
      <c r="O31" s="132">
        <v>7</v>
      </c>
      <c r="P31" s="144">
        <v>1</v>
      </c>
    </row>
    <row r="32" spans="1:18" ht="15.75" thickBot="1" x14ac:dyDescent="0.3">
      <c r="C32" s="145" t="s">
        <v>154</v>
      </c>
      <c r="D32" s="133">
        <v>731</v>
      </c>
      <c r="E32" s="133">
        <v>286</v>
      </c>
      <c r="F32" s="132">
        <f t="shared" si="0"/>
        <v>632</v>
      </c>
      <c r="G32" s="133">
        <v>99</v>
      </c>
      <c r="H32" s="133">
        <v>46</v>
      </c>
      <c r="I32" s="133">
        <v>643</v>
      </c>
      <c r="J32" s="133">
        <v>249</v>
      </c>
      <c r="K32" s="133">
        <v>97</v>
      </c>
      <c r="L32" s="133">
        <v>46</v>
      </c>
      <c r="M32" s="133">
        <v>88</v>
      </c>
      <c r="N32" s="133">
        <v>37</v>
      </c>
      <c r="O32" s="133">
        <v>2</v>
      </c>
      <c r="P32" s="146">
        <v>0</v>
      </c>
    </row>
    <row r="33" spans="1:18" ht="15.75" thickBot="1" x14ac:dyDescent="0.3">
      <c r="C33" s="153" t="s">
        <v>88</v>
      </c>
      <c r="D33" s="154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5"/>
    </row>
    <row r="34" spans="1:18" ht="15.75" thickBot="1" x14ac:dyDescent="0.3">
      <c r="C34" s="156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8"/>
    </row>
    <row r="35" spans="1:18" ht="15.75" thickBot="1" x14ac:dyDescent="0.3">
      <c r="C35" s="143" t="s">
        <v>83</v>
      </c>
      <c r="D35" s="132">
        <v>10452</v>
      </c>
      <c r="E35" s="132">
        <v>4769</v>
      </c>
      <c r="F35" s="132">
        <f>D35-G35</f>
        <v>9240</v>
      </c>
      <c r="G35" s="132">
        <v>1212</v>
      </c>
      <c r="H35" s="132">
        <v>551</v>
      </c>
      <c r="I35" s="132">
        <v>9902</v>
      </c>
      <c r="J35" s="132">
        <v>4548</v>
      </c>
      <c r="K35" s="132">
        <v>1177</v>
      </c>
      <c r="L35" s="132">
        <v>537</v>
      </c>
      <c r="M35" s="132">
        <v>550</v>
      </c>
      <c r="N35" s="132">
        <v>221</v>
      </c>
      <c r="O35" s="132">
        <v>35</v>
      </c>
      <c r="P35" s="144">
        <v>14</v>
      </c>
    </row>
    <row r="36" spans="1:18" ht="15.75" thickBot="1" x14ac:dyDescent="0.3">
      <c r="C36" s="145" t="s">
        <v>151</v>
      </c>
      <c r="D36" s="133">
        <v>1429</v>
      </c>
      <c r="E36" s="133">
        <v>760</v>
      </c>
      <c r="F36" s="132">
        <f t="shared" ref="F36:F99" si="1">D36-G36</f>
        <v>1389</v>
      </c>
      <c r="G36" s="133">
        <v>40</v>
      </c>
      <c r="H36" s="133">
        <v>21</v>
      </c>
      <c r="I36" s="133">
        <v>1310</v>
      </c>
      <c r="J36" s="133">
        <v>703</v>
      </c>
      <c r="K36" s="133">
        <v>39</v>
      </c>
      <c r="L36" s="133">
        <v>21</v>
      </c>
      <c r="M36" s="133">
        <v>119</v>
      </c>
      <c r="N36" s="133">
        <v>57</v>
      </c>
      <c r="O36" s="133">
        <v>1</v>
      </c>
      <c r="P36" s="146">
        <v>0</v>
      </c>
    </row>
    <row r="37" spans="1:18" ht="15.75" thickBot="1" x14ac:dyDescent="0.3">
      <c r="C37" s="143" t="s">
        <v>152</v>
      </c>
      <c r="D37" s="132">
        <v>376</v>
      </c>
      <c r="E37" s="132">
        <v>209</v>
      </c>
      <c r="F37" s="132">
        <f t="shared" si="1"/>
        <v>345</v>
      </c>
      <c r="G37" s="132">
        <v>31</v>
      </c>
      <c r="H37" s="132">
        <v>18</v>
      </c>
      <c r="I37" s="132">
        <v>358</v>
      </c>
      <c r="J37" s="132">
        <v>200</v>
      </c>
      <c r="K37" s="132">
        <v>29</v>
      </c>
      <c r="L37" s="132">
        <v>17</v>
      </c>
      <c r="M37" s="132">
        <v>18</v>
      </c>
      <c r="N37" s="132">
        <v>9</v>
      </c>
      <c r="O37" s="132">
        <v>2</v>
      </c>
      <c r="P37" s="144">
        <v>1</v>
      </c>
    </row>
    <row r="38" spans="1:18" ht="15.75" thickBot="1" x14ac:dyDescent="0.3">
      <c r="C38" s="145" t="s">
        <v>85</v>
      </c>
      <c r="D38" s="133">
        <v>6205</v>
      </c>
      <c r="E38" s="133">
        <v>2838</v>
      </c>
      <c r="F38" s="132">
        <f t="shared" si="1"/>
        <v>5598</v>
      </c>
      <c r="G38" s="133">
        <v>607</v>
      </c>
      <c r="H38" s="133">
        <v>290</v>
      </c>
      <c r="I38" s="133">
        <v>5925</v>
      </c>
      <c r="J38" s="133">
        <v>2713</v>
      </c>
      <c r="K38" s="133">
        <v>586</v>
      </c>
      <c r="L38" s="133">
        <v>280</v>
      </c>
      <c r="M38" s="133">
        <v>280</v>
      </c>
      <c r="N38" s="133">
        <v>125</v>
      </c>
      <c r="O38" s="133">
        <v>21</v>
      </c>
      <c r="P38" s="146">
        <v>10</v>
      </c>
    </row>
    <row r="39" spans="1:18" ht="15.75" thickBot="1" x14ac:dyDescent="0.3">
      <c r="C39" s="143" t="s">
        <v>86</v>
      </c>
      <c r="D39" s="132">
        <v>1688</v>
      </c>
      <c r="E39" s="132">
        <v>689</v>
      </c>
      <c r="F39" s="132">
        <f t="shared" si="1"/>
        <v>1357</v>
      </c>
      <c r="G39" s="132">
        <v>331</v>
      </c>
      <c r="H39" s="132">
        <v>151</v>
      </c>
      <c r="I39" s="132">
        <v>1616</v>
      </c>
      <c r="J39" s="132">
        <v>669</v>
      </c>
      <c r="K39" s="132">
        <v>324</v>
      </c>
      <c r="L39" s="132">
        <v>148</v>
      </c>
      <c r="M39" s="132">
        <v>72</v>
      </c>
      <c r="N39" s="132">
        <v>20</v>
      </c>
      <c r="O39" s="132">
        <v>7</v>
      </c>
      <c r="P39" s="144">
        <v>3</v>
      </c>
    </row>
    <row r="40" spans="1:18" ht="15.75" thickBot="1" x14ac:dyDescent="0.3">
      <c r="A40" s="170">
        <v>1</v>
      </c>
      <c r="B40" t="s">
        <v>219</v>
      </c>
      <c r="C40" s="145" t="s">
        <v>87</v>
      </c>
      <c r="D40" s="133">
        <v>754</v>
      </c>
      <c r="E40" s="133">
        <v>273</v>
      </c>
      <c r="F40" s="132">
        <f t="shared" si="1"/>
        <v>551</v>
      </c>
      <c r="G40" s="133">
        <v>203</v>
      </c>
      <c r="H40" s="133">
        <v>71</v>
      </c>
      <c r="I40" s="133">
        <v>693</v>
      </c>
      <c r="J40" s="133">
        <v>263</v>
      </c>
      <c r="K40" s="133">
        <v>199</v>
      </c>
      <c r="L40" s="133">
        <v>71</v>
      </c>
      <c r="M40" s="133">
        <v>61</v>
      </c>
      <c r="N40" s="133">
        <v>10</v>
      </c>
      <c r="O40" s="133">
        <v>4</v>
      </c>
      <c r="P40" s="146">
        <v>0</v>
      </c>
      <c r="Q40">
        <f>G40/G35</f>
        <v>0.16749174917491749</v>
      </c>
      <c r="R40">
        <f>F40/F35</f>
        <v>5.9632034632034633E-2</v>
      </c>
    </row>
    <row r="41" spans="1:18" ht="15.75" thickBot="1" x14ac:dyDescent="0.3">
      <c r="C41" s="143" t="s">
        <v>153</v>
      </c>
      <c r="D41" s="132">
        <v>199</v>
      </c>
      <c r="E41" s="132">
        <v>81</v>
      </c>
      <c r="F41" s="132">
        <f t="shared" si="1"/>
        <v>164</v>
      </c>
      <c r="G41" s="132">
        <v>35</v>
      </c>
      <c r="H41" s="132">
        <v>13</v>
      </c>
      <c r="I41" s="132">
        <v>179</v>
      </c>
      <c r="J41" s="132">
        <v>77</v>
      </c>
      <c r="K41" s="132">
        <v>33</v>
      </c>
      <c r="L41" s="132">
        <v>13</v>
      </c>
      <c r="M41" s="132">
        <v>20</v>
      </c>
      <c r="N41" s="132">
        <v>4</v>
      </c>
      <c r="O41" s="132">
        <v>2</v>
      </c>
      <c r="P41" s="144">
        <v>0</v>
      </c>
    </row>
    <row r="42" spans="1:18" ht="15.75" thickBot="1" x14ac:dyDescent="0.3">
      <c r="C42" s="145" t="s">
        <v>154</v>
      </c>
      <c r="D42" s="133">
        <v>141</v>
      </c>
      <c r="E42" s="133">
        <v>50</v>
      </c>
      <c r="F42" s="132">
        <f t="shared" si="1"/>
        <v>123</v>
      </c>
      <c r="G42" s="133">
        <v>18</v>
      </c>
      <c r="H42" s="133">
        <v>9</v>
      </c>
      <c r="I42" s="133">
        <v>140</v>
      </c>
      <c r="J42" s="133">
        <v>50</v>
      </c>
      <c r="K42" s="133">
        <v>18</v>
      </c>
      <c r="L42" s="133">
        <v>9</v>
      </c>
      <c r="M42" s="133">
        <v>1</v>
      </c>
      <c r="N42" s="133">
        <v>0</v>
      </c>
      <c r="O42" s="133">
        <v>0</v>
      </c>
      <c r="P42" s="146">
        <v>0</v>
      </c>
    </row>
    <row r="43" spans="1:18" ht="15.75" thickBot="1" x14ac:dyDescent="0.3">
      <c r="C43" s="153" t="s">
        <v>89</v>
      </c>
      <c r="D43" s="154"/>
      <c r="E43" s="154"/>
      <c r="F43" s="132">
        <f t="shared" si="1"/>
        <v>0</v>
      </c>
      <c r="G43" s="154"/>
      <c r="H43" s="154"/>
      <c r="I43" s="154"/>
      <c r="J43" s="154"/>
      <c r="K43" s="154"/>
      <c r="L43" s="154"/>
      <c r="M43" s="154"/>
      <c r="N43" s="154"/>
      <c r="O43" s="154"/>
      <c r="P43" s="155"/>
    </row>
    <row r="44" spans="1:18" ht="15.75" thickBot="1" x14ac:dyDescent="0.3">
      <c r="C44" s="156"/>
      <c r="D44" s="157"/>
      <c r="E44" s="157"/>
      <c r="F44" s="132">
        <f t="shared" si="1"/>
        <v>0</v>
      </c>
      <c r="G44" s="157"/>
      <c r="H44" s="157"/>
      <c r="I44" s="157"/>
      <c r="J44" s="157"/>
      <c r="K44" s="157"/>
      <c r="L44" s="157"/>
      <c r="M44" s="157"/>
      <c r="N44" s="157"/>
      <c r="O44" s="157"/>
      <c r="P44" s="158"/>
    </row>
    <row r="45" spans="1:18" ht="15.75" thickBot="1" x14ac:dyDescent="0.3">
      <c r="C45" s="143" t="s">
        <v>83</v>
      </c>
      <c r="D45" s="132">
        <v>1620</v>
      </c>
      <c r="E45" s="132">
        <v>746</v>
      </c>
      <c r="F45" s="132">
        <f t="shared" si="1"/>
        <v>1435</v>
      </c>
      <c r="G45" s="132">
        <v>185</v>
      </c>
      <c r="H45" s="132">
        <v>73</v>
      </c>
      <c r="I45" s="132">
        <v>1551</v>
      </c>
      <c r="J45" s="132">
        <v>722</v>
      </c>
      <c r="K45" s="132">
        <v>184</v>
      </c>
      <c r="L45" s="132">
        <v>73</v>
      </c>
      <c r="M45" s="132">
        <v>69</v>
      </c>
      <c r="N45" s="132">
        <v>24</v>
      </c>
      <c r="O45" s="132">
        <v>1</v>
      </c>
      <c r="P45" s="144">
        <v>0</v>
      </c>
    </row>
    <row r="46" spans="1:18" ht="15.75" thickBot="1" x14ac:dyDescent="0.3">
      <c r="C46" s="145" t="s">
        <v>151</v>
      </c>
      <c r="D46" s="133">
        <v>376</v>
      </c>
      <c r="E46" s="133">
        <v>207</v>
      </c>
      <c r="F46" s="132">
        <f t="shared" si="1"/>
        <v>367</v>
      </c>
      <c r="G46" s="133">
        <v>9</v>
      </c>
      <c r="H46" s="133">
        <v>3</v>
      </c>
      <c r="I46" s="133">
        <v>363</v>
      </c>
      <c r="J46" s="133">
        <v>200</v>
      </c>
      <c r="K46" s="133">
        <v>9</v>
      </c>
      <c r="L46" s="133">
        <v>3</v>
      </c>
      <c r="M46" s="133">
        <v>13</v>
      </c>
      <c r="N46" s="133">
        <v>7</v>
      </c>
      <c r="O46" s="133">
        <v>0</v>
      </c>
      <c r="P46" s="146">
        <v>0</v>
      </c>
    </row>
    <row r="47" spans="1:18" ht="15.75" thickBot="1" x14ac:dyDescent="0.3">
      <c r="C47" s="143" t="s">
        <v>152</v>
      </c>
      <c r="D47" s="132">
        <v>107</v>
      </c>
      <c r="E47" s="132">
        <v>61</v>
      </c>
      <c r="F47" s="132">
        <f t="shared" si="1"/>
        <v>101</v>
      </c>
      <c r="G47" s="132">
        <v>6</v>
      </c>
      <c r="H47" s="132">
        <v>3</v>
      </c>
      <c r="I47" s="132">
        <v>106</v>
      </c>
      <c r="J47" s="132">
        <v>60</v>
      </c>
      <c r="K47" s="132">
        <v>6</v>
      </c>
      <c r="L47" s="132">
        <v>3</v>
      </c>
      <c r="M47" s="132">
        <v>1</v>
      </c>
      <c r="N47" s="132">
        <v>1</v>
      </c>
      <c r="O47" s="132">
        <v>0</v>
      </c>
      <c r="P47" s="144">
        <v>0</v>
      </c>
    </row>
    <row r="48" spans="1:18" ht="15.75" thickBot="1" x14ac:dyDescent="0.3">
      <c r="C48" s="145" t="s">
        <v>85</v>
      </c>
      <c r="D48" s="133">
        <v>805</v>
      </c>
      <c r="E48" s="133">
        <v>356</v>
      </c>
      <c r="F48" s="132">
        <f t="shared" si="1"/>
        <v>696</v>
      </c>
      <c r="G48" s="133">
        <v>109</v>
      </c>
      <c r="H48" s="133">
        <v>47</v>
      </c>
      <c r="I48" s="133">
        <v>766</v>
      </c>
      <c r="J48" s="133">
        <v>344</v>
      </c>
      <c r="K48" s="133">
        <v>108</v>
      </c>
      <c r="L48" s="133">
        <v>47</v>
      </c>
      <c r="M48" s="133">
        <v>39</v>
      </c>
      <c r="N48" s="133">
        <v>12</v>
      </c>
      <c r="O48" s="133">
        <v>1</v>
      </c>
      <c r="P48" s="146">
        <v>0</v>
      </c>
    </row>
    <row r="49" spans="1:18" ht="15.75" thickBot="1" x14ac:dyDescent="0.3">
      <c r="C49" s="143" t="s">
        <v>86</v>
      </c>
      <c r="D49" s="132">
        <v>217</v>
      </c>
      <c r="E49" s="132">
        <v>83</v>
      </c>
      <c r="F49" s="132">
        <f t="shared" si="1"/>
        <v>181</v>
      </c>
      <c r="G49" s="132">
        <v>36</v>
      </c>
      <c r="H49" s="132">
        <v>13</v>
      </c>
      <c r="I49" s="132">
        <v>206</v>
      </c>
      <c r="J49" s="132">
        <v>81</v>
      </c>
      <c r="K49" s="132">
        <v>36</v>
      </c>
      <c r="L49" s="132">
        <v>13</v>
      </c>
      <c r="M49" s="132">
        <v>11</v>
      </c>
      <c r="N49" s="132">
        <v>2</v>
      </c>
      <c r="O49" s="132">
        <v>0</v>
      </c>
      <c r="P49" s="144">
        <v>0</v>
      </c>
    </row>
    <row r="50" spans="1:18" ht="15.75" thickBot="1" x14ac:dyDescent="0.3">
      <c r="A50" s="170">
        <v>101</v>
      </c>
      <c r="B50" t="s">
        <v>220</v>
      </c>
      <c r="C50" s="145" t="s">
        <v>87</v>
      </c>
      <c r="D50" s="133">
        <v>115</v>
      </c>
      <c r="E50" s="133">
        <v>39</v>
      </c>
      <c r="F50" s="132">
        <f t="shared" si="1"/>
        <v>90</v>
      </c>
      <c r="G50" s="133">
        <v>25</v>
      </c>
      <c r="H50" s="133">
        <v>7</v>
      </c>
      <c r="I50" s="133">
        <v>110</v>
      </c>
      <c r="J50" s="133">
        <v>37</v>
      </c>
      <c r="K50" s="133">
        <v>25</v>
      </c>
      <c r="L50" s="133">
        <v>7</v>
      </c>
      <c r="M50" s="133">
        <v>5</v>
      </c>
      <c r="N50" s="133">
        <v>2</v>
      </c>
      <c r="O50" s="133">
        <v>0</v>
      </c>
      <c r="P50" s="146">
        <v>0</v>
      </c>
      <c r="Q50">
        <f>G50/G45</f>
        <v>0.13513513513513514</v>
      </c>
      <c r="R50">
        <f>F50/F45</f>
        <v>6.2717770034843204E-2</v>
      </c>
    </row>
    <row r="51" spans="1:18" ht="15.75" thickBot="1" x14ac:dyDescent="0.3">
      <c r="C51" s="143" t="s">
        <v>153</v>
      </c>
      <c r="D51" s="132">
        <v>24</v>
      </c>
      <c r="E51" s="132">
        <v>12</v>
      </c>
      <c r="F51" s="132">
        <f t="shared" si="1"/>
        <v>21</v>
      </c>
      <c r="G51" s="132">
        <v>3</v>
      </c>
      <c r="H51" s="132">
        <v>2</v>
      </c>
      <c r="I51" s="132">
        <v>24</v>
      </c>
      <c r="J51" s="132">
        <v>12</v>
      </c>
      <c r="K51" s="132">
        <v>3</v>
      </c>
      <c r="L51" s="132">
        <v>2</v>
      </c>
      <c r="M51" s="132">
        <v>0</v>
      </c>
      <c r="N51" s="132">
        <v>0</v>
      </c>
      <c r="O51" s="132">
        <v>0</v>
      </c>
      <c r="P51" s="144">
        <v>0</v>
      </c>
    </row>
    <row r="52" spans="1:18" ht="15.75" thickBot="1" x14ac:dyDescent="0.3">
      <c r="C52" s="145" t="s">
        <v>154</v>
      </c>
      <c r="D52" s="133">
        <v>22</v>
      </c>
      <c r="E52" s="133">
        <v>8</v>
      </c>
      <c r="F52" s="132">
        <f t="shared" si="1"/>
        <v>19</v>
      </c>
      <c r="G52" s="133">
        <v>3</v>
      </c>
      <c r="H52" s="133">
        <v>2</v>
      </c>
      <c r="I52" s="133">
        <v>22</v>
      </c>
      <c r="J52" s="133">
        <v>8</v>
      </c>
      <c r="K52" s="133">
        <v>3</v>
      </c>
      <c r="L52" s="133">
        <v>2</v>
      </c>
      <c r="M52" s="133">
        <v>0</v>
      </c>
      <c r="N52" s="133">
        <v>0</v>
      </c>
      <c r="O52" s="133">
        <v>0</v>
      </c>
      <c r="P52" s="146">
        <v>0</v>
      </c>
    </row>
    <row r="53" spans="1:18" ht="15.75" thickBot="1" x14ac:dyDescent="0.3">
      <c r="C53" s="153" t="s">
        <v>90</v>
      </c>
      <c r="D53" s="154"/>
      <c r="E53" s="154"/>
      <c r="F53" s="132">
        <f t="shared" si="1"/>
        <v>0</v>
      </c>
      <c r="G53" s="154"/>
      <c r="H53" s="154"/>
      <c r="I53" s="154"/>
      <c r="J53" s="154"/>
      <c r="K53" s="154"/>
      <c r="L53" s="154"/>
      <c r="M53" s="154"/>
      <c r="N53" s="154"/>
      <c r="O53" s="154"/>
      <c r="P53" s="155"/>
    </row>
    <row r="54" spans="1:18" ht="15.75" thickBot="1" x14ac:dyDescent="0.3">
      <c r="C54" s="156"/>
      <c r="D54" s="157"/>
      <c r="E54" s="157"/>
      <c r="F54" s="132">
        <f t="shared" si="1"/>
        <v>0</v>
      </c>
      <c r="G54" s="157"/>
      <c r="H54" s="157"/>
      <c r="I54" s="157"/>
      <c r="J54" s="157"/>
      <c r="K54" s="157"/>
      <c r="L54" s="157"/>
      <c r="M54" s="157"/>
      <c r="N54" s="157"/>
      <c r="O54" s="157"/>
      <c r="P54" s="158"/>
    </row>
    <row r="55" spans="1:18" ht="15.75" thickBot="1" x14ac:dyDescent="0.3">
      <c r="C55" s="143" t="s">
        <v>83</v>
      </c>
      <c r="D55" s="132">
        <v>808</v>
      </c>
      <c r="E55" s="132">
        <v>369</v>
      </c>
      <c r="F55" s="132">
        <f t="shared" si="1"/>
        <v>569</v>
      </c>
      <c r="G55" s="132">
        <v>239</v>
      </c>
      <c r="H55" s="132">
        <v>108</v>
      </c>
      <c r="I55" s="132">
        <v>808</v>
      </c>
      <c r="J55" s="132">
        <v>369</v>
      </c>
      <c r="K55" s="132">
        <v>239</v>
      </c>
      <c r="L55" s="132">
        <v>108</v>
      </c>
      <c r="M55" s="132">
        <v>0</v>
      </c>
      <c r="N55" s="132">
        <v>0</v>
      </c>
      <c r="O55" s="132">
        <v>0</v>
      </c>
      <c r="P55" s="144">
        <v>0</v>
      </c>
    </row>
    <row r="56" spans="1:18" ht="15.75" thickBot="1" x14ac:dyDescent="0.3">
      <c r="C56" s="145" t="s">
        <v>151</v>
      </c>
      <c r="D56" s="133">
        <v>39</v>
      </c>
      <c r="E56" s="133">
        <v>20</v>
      </c>
      <c r="F56" s="132">
        <f t="shared" si="1"/>
        <v>39</v>
      </c>
      <c r="G56" s="133">
        <v>0</v>
      </c>
      <c r="H56" s="133">
        <v>0</v>
      </c>
      <c r="I56" s="133">
        <v>39</v>
      </c>
      <c r="J56" s="133">
        <v>20</v>
      </c>
      <c r="K56" s="133">
        <v>0</v>
      </c>
      <c r="L56" s="133">
        <v>0</v>
      </c>
      <c r="M56" s="133">
        <v>0</v>
      </c>
      <c r="N56" s="133">
        <v>0</v>
      </c>
      <c r="O56" s="133">
        <v>0</v>
      </c>
      <c r="P56" s="146">
        <v>0</v>
      </c>
    </row>
    <row r="57" spans="1:18" ht="15.75" thickBot="1" x14ac:dyDescent="0.3">
      <c r="C57" s="143" t="s">
        <v>152</v>
      </c>
      <c r="D57" s="132">
        <v>12</v>
      </c>
      <c r="E57" s="132">
        <v>4</v>
      </c>
      <c r="F57" s="132">
        <f t="shared" si="1"/>
        <v>11</v>
      </c>
      <c r="G57" s="132">
        <v>1</v>
      </c>
      <c r="H57" s="132">
        <v>1</v>
      </c>
      <c r="I57" s="132">
        <v>12</v>
      </c>
      <c r="J57" s="132">
        <v>4</v>
      </c>
      <c r="K57" s="132">
        <v>1</v>
      </c>
      <c r="L57" s="132">
        <v>1</v>
      </c>
      <c r="M57" s="132">
        <v>0</v>
      </c>
      <c r="N57" s="132">
        <v>0</v>
      </c>
      <c r="O57" s="132">
        <v>0</v>
      </c>
      <c r="P57" s="144">
        <v>0</v>
      </c>
    </row>
    <row r="58" spans="1:18" ht="15.75" thickBot="1" x14ac:dyDescent="0.3">
      <c r="C58" s="145" t="s">
        <v>85</v>
      </c>
      <c r="D58" s="133">
        <v>503</v>
      </c>
      <c r="E58" s="133">
        <v>239</v>
      </c>
      <c r="F58" s="132">
        <f t="shared" si="1"/>
        <v>400</v>
      </c>
      <c r="G58" s="133">
        <v>103</v>
      </c>
      <c r="H58" s="133">
        <v>55</v>
      </c>
      <c r="I58" s="133">
        <v>503</v>
      </c>
      <c r="J58" s="133">
        <v>239</v>
      </c>
      <c r="K58" s="133">
        <v>103</v>
      </c>
      <c r="L58" s="133">
        <v>55</v>
      </c>
      <c r="M58" s="133">
        <v>0</v>
      </c>
      <c r="N58" s="133">
        <v>0</v>
      </c>
      <c r="O58" s="133">
        <v>0</v>
      </c>
      <c r="P58" s="146">
        <v>0</v>
      </c>
    </row>
    <row r="59" spans="1:18" ht="15.75" thickBot="1" x14ac:dyDescent="0.3">
      <c r="C59" s="143" t="s">
        <v>86</v>
      </c>
      <c r="D59" s="132">
        <v>163</v>
      </c>
      <c r="E59" s="132">
        <v>76</v>
      </c>
      <c r="F59" s="132">
        <f t="shared" si="1"/>
        <v>84</v>
      </c>
      <c r="G59" s="132">
        <v>79</v>
      </c>
      <c r="H59" s="132">
        <v>38</v>
      </c>
      <c r="I59" s="132">
        <v>163</v>
      </c>
      <c r="J59" s="132">
        <v>76</v>
      </c>
      <c r="K59" s="132">
        <v>79</v>
      </c>
      <c r="L59" s="132">
        <v>38</v>
      </c>
      <c r="M59" s="132">
        <v>0</v>
      </c>
      <c r="N59" s="132">
        <v>0</v>
      </c>
      <c r="O59" s="132">
        <v>0</v>
      </c>
      <c r="P59" s="144">
        <v>0</v>
      </c>
    </row>
    <row r="60" spans="1:18" ht="15.75" thickBot="1" x14ac:dyDescent="0.3">
      <c r="A60" s="170">
        <v>102</v>
      </c>
      <c r="B60" t="s">
        <v>221</v>
      </c>
      <c r="C60" s="145" t="s">
        <v>87</v>
      </c>
      <c r="D60" s="133">
        <v>91</v>
      </c>
      <c r="E60" s="133">
        <v>30</v>
      </c>
      <c r="F60" s="132">
        <f t="shared" si="1"/>
        <v>35</v>
      </c>
      <c r="G60" s="133">
        <v>56</v>
      </c>
      <c r="H60" s="133">
        <v>14</v>
      </c>
      <c r="I60" s="133">
        <v>91</v>
      </c>
      <c r="J60" s="133">
        <v>30</v>
      </c>
      <c r="K60" s="133">
        <v>56</v>
      </c>
      <c r="L60" s="133">
        <v>14</v>
      </c>
      <c r="M60" s="133">
        <v>0</v>
      </c>
      <c r="N60" s="133">
        <v>0</v>
      </c>
      <c r="O60" s="133">
        <v>0</v>
      </c>
      <c r="P60" s="146">
        <v>0</v>
      </c>
      <c r="Q60">
        <f>G60/G55</f>
        <v>0.23430962343096234</v>
      </c>
      <c r="R60">
        <f>F60/F55</f>
        <v>6.1511423550087874E-2</v>
      </c>
    </row>
    <row r="61" spans="1:18" ht="15.75" thickBot="1" x14ac:dyDescent="0.3">
      <c r="C61" s="143" t="s">
        <v>153</v>
      </c>
      <c r="D61" s="132">
        <v>26</v>
      </c>
      <c r="E61" s="132">
        <v>13</v>
      </c>
      <c r="F61" s="132">
        <f t="shared" si="1"/>
        <v>15</v>
      </c>
      <c r="G61" s="132">
        <v>11</v>
      </c>
      <c r="H61" s="132">
        <v>3</v>
      </c>
      <c r="I61" s="132">
        <v>26</v>
      </c>
      <c r="J61" s="132">
        <v>13</v>
      </c>
      <c r="K61" s="132">
        <v>11</v>
      </c>
      <c r="L61" s="132">
        <v>3</v>
      </c>
      <c r="M61" s="132">
        <v>0</v>
      </c>
      <c r="N61" s="132">
        <v>0</v>
      </c>
      <c r="O61" s="132">
        <v>0</v>
      </c>
      <c r="P61" s="144">
        <v>0</v>
      </c>
    </row>
    <row r="62" spans="1:18" ht="15.75" thickBot="1" x14ac:dyDescent="0.3">
      <c r="C62" s="145" t="s">
        <v>154</v>
      </c>
      <c r="D62" s="133">
        <v>10</v>
      </c>
      <c r="E62" s="133">
        <v>3</v>
      </c>
      <c r="F62" s="132">
        <f t="shared" si="1"/>
        <v>6</v>
      </c>
      <c r="G62" s="133">
        <v>4</v>
      </c>
      <c r="H62" s="133">
        <v>1</v>
      </c>
      <c r="I62" s="133">
        <v>10</v>
      </c>
      <c r="J62" s="133">
        <v>3</v>
      </c>
      <c r="K62" s="133">
        <v>4</v>
      </c>
      <c r="L62" s="133">
        <v>1</v>
      </c>
      <c r="M62" s="133">
        <v>0</v>
      </c>
      <c r="N62" s="133">
        <v>0</v>
      </c>
      <c r="O62" s="133">
        <v>0</v>
      </c>
      <c r="P62" s="146">
        <v>0</v>
      </c>
    </row>
    <row r="63" spans="1:18" ht="15.75" thickBot="1" x14ac:dyDescent="0.3">
      <c r="C63" s="153" t="s">
        <v>91</v>
      </c>
      <c r="D63" s="154"/>
      <c r="E63" s="154"/>
      <c r="F63" s="132">
        <f t="shared" si="1"/>
        <v>0</v>
      </c>
      <c r="G63" s="154"/>
      <c r="H63" s="154"/>
      <c r="I63" s="154"/>
      <c r="J63" s="154"/>
      <c r="K63" s="154"/>
      <c r="L63" s="154"/>
      <c r="M63" s="154"/>
      <c r="N63" s="154"/>
      <c r="O63" s="154"/>
      <c r="P63" s="155"/>
    </row>
    <row r="64" spans="1:18" ht="15.75" thickBot="1" x14ac:dyDescent="0.3">
      <c r="C64" s="156"/>
      <c r="D64" s="157"/>
      <c r="E64" s="157"/>
      <c r="F64" s="132">
        <f t="shared" si="1"/>
        <v>0</v>
      </c>
      <c r="G64" s="157"/>
      <c r="H64" s="157"/>
      <c r="I64" s="157"/>
      <c r="J64" s="157"/>
      <c r="K64" s="157"/>
      <c r="L64" s="157"/>
      <c r="M64" s="157"/>
      <c r="N64" s="157"/>
      <c r="O64" s="157"/>
      <c r="P64" s="158"/>
    </row>
    <row r="65" spans="1:18" ht="15.75" thickBot="1" x14ac:dyDescent="0.3">
      <c r="C65" s="143" t="s">
        <v>83</v>
      </c>
      <c r="D65" s="132">
        <v>1055</v>
      </c>
      <c r="E65" s="132">
        <v>490</v>
      </c>
      <c r="F65" s="132">
        <f t="shared" si="1"/>
        <v>914</v>
      </c>
      <c r="G65" s="132">
        <v>141</v>
      </c>
      <c r="H65" s="132">
        <v>73</v>
      </c>
      <c r="I65" s="132">
        <v>850</v>
      </c>
      <c r="J65" s="132">
        <v>395</v>
      </c>
      <c r="K65" s="132">
        <v>129</v>
      </c>
      <c r="L65" s="132">
        <v>67</v>
      </c>
      <c r="M65" s="132">
        <v>205</v>
      </c>
      <c r="N65" s="132">
        <v>95</v>
      </c>
      <c r="O65" s="132">
        <v>12</v>
      </c>
      <c r="P65" s="144">
        <v>6</v>
      </c>
    </row>
    <row r="66" spans="1:18" ht="15.75" thickBot="1" x14ac:dyDescent="0.3">
      <c r="C66" s="145" t="s">
        <v>151</v>
      </c>
      <c r="D66" s="133">
        <v>251</v>
      </c>
      <c r="E66" s="133">
        <v>132</v>
      </c>
      <c r="F66" s="132">
        <f t="shared" si="1"/>
        <v>240</v>
      </c>
      <c r="G66" s="133">
        <v>11</v>
      </c>
      <c r="H66" s="133">
        <v>10</v>
      </c>
      <c r="I66" s="133">
        <v>159</v>
      </c>
      <c r="J66" s="133">
        <v>89</v>
      </c>
      <c r="K66" s="133">
        <v>11</v>
      </c>
      <c r="L66" s="133">
        <v>10</v>
      </c>
      <c r="M66" s="133">
        <v>92</v>
      </c>
      <c r="N66" s="133">
        <v>43</v>
      </c>
      <c r="O66" s="133">
        <v>0</v>
      </c>
      <c r="P66" s="146">
        <v>0</v>
      </c>
    </row>
    <row r="67" spans="1:18" ht="15.75" thickBot="1" x14ac:dyDescent="0.3">
      <c r="C67" s="143" t="s">
        <v>152</v>
      </c>
      <c r="D67" s="132">
        <v>63</v>
      </c>
      <c r="E67" s="132">
        <v>33</v>
      </c>
      <c r="F67" s="132">
        <f t="shared" si="1"/>
        <v>53</v>
      </c>
      <c r="G67" s="132">
        <v>10</v>
      </c>
      <c r="H67" s="132">
        <v>6</v>
      </c>
      <c r="I67" s="132">
        <v>53</v>
      </c>
      <c r="J67" s="132">
        <v>29</v>
      </c>
      <c r="K67" s="132">
        <v>10</v>
      </c>
      <c r="L67" s="132">
        <v>6</v>
      </c>
      <c r="M67" s="132">
        <v>10</v>
      </c>
      <c r="N67" s="132">
        <v>4</v>
      </c>
      <c r="O67" s="132">
        <v>0</v>
      </c>
      <c r="P67" s="144">
        <v>0</v>
      </c>
    </row>
    <row r="68" spans="1:18" ht="15.75" thickBot="1" x14ac:dyDescent="0.3">
      <c r="C68" s="145" t="s">
        <v>85</v>
      </c>
      <c r="D68" s="133">
        <v>549</v>
      </c>
      <c r="E68" s="133">
        <v>242</v>
      </c>
      <c r="F68" s="132">
        <f t="shared" si="1"/>
        <v>481</v>
      </c>
      <c r="G68" s="133">
        <v>68</v>
      </c>
      <c r="H68" s="133">
        <v>33</v>
      </c>
      <c r="I68" s="133">
        <v>463</v>
      </c>
      <c r="J68" s="133">
        <v>201</v>
      </c>
      <c r="K68" s="133">
        <v>60</v>
      </c>
      <c r="L68" s="133">
        <v>29</v>
      </c>
      <c r="M68" s="133">
        <v>86</v>
      </c>
      <c r="N68" s="133">
        <v>41</v>
      </c>
      <c r="O68" s="133">
        <v>8</v>
      </c>
      <c r="P68" s="146">
        <v>4</v>
      </c>
    </row>
    <row r="69" spans="1:18" ht="15.75" thickBot="1" x14ac:dyDescent="0.3">
      <c r="C69" s="143" t="s">
        <v>86</v>
      </c>
      <c r="D69" s="132">
        <v>143</v>
      </c>
      <c r="E69" s="132">
        <v>58</v>
      </c>
      <c r="F69" s="132">
        <f t="shared" si="1"/>
        <v>102</v>
      </c>
      <c r="G69" s="132">
        <v>41</v>
      </c>
      <c r="H69" s="132">
        <v>17</v>
      </c>
      <c r="I69" s="132">
        <v>127</v>
      </c>
      <c r="J69" s="132">
        <v>51</v>
      </c>
      <c r="K69" s="132">
        <v>38</v>
      </c>
      <c r="L69" s="132">
        <v>15</v>
      </c>
      <c r="M69" s="132">
        <v>16</v>
      </c>
      <c r="N69" s="132">
        <v>7</v>
      </c>
      <c r="O69" s="132">
        <v>3</v>
      </c>
      <c r="P69" s="144">
        <v>2</v>
      </c>
    </row>
    <row r="70" spans="1:18" ht="15.75" thickBot="1" x14ac:dyDescent="0.3">
      <c r="A70" s="170">
        <v>103</v>
      </c>
      <c r="B70" t="s">
        <v>222</v>
      </c>
      <c r="C70" s="145" t="s">
        <v>87</v>
      </c>
      <c r="D70" s="133">
        <v>49</v>
      </c>
      <c r="E70" s="133">
        <v>25</v>
      </c>
      <c r="F70" s="132">
        <f t="shared" si="1"/>
        <v>38</v>
      </c>
      <c r="G70" s="133">
        <v>11</v>
      </c>
      <c r="H70" s="133">
        <v>7</v>
      </c>
      <c r="I70" s="133">
        <v>48</v>
      </c>
      <c r="J70" s="133">
        <v>25</v>
      </c>
      <c r="K70" s="133">
        <v>10</v>
      </c>
      <c r="L70" s="133">
        <v>7</v>
      </c>
      <c r="M70" s="133">
        <v>1</v>
      </c>
      <c r="N70" s="133">
        <v>0</v>
      </c>
      <c r="O70" s="133">
        <v>1</v>
      </c>
      <c r="P70" s="146">
        <v>0</v>
      </c>
      <c r="Q70">
        <f>G70/G65</f>
        <v>7.8014184397163122E-2</v>
      </c>
      <c r="R70">
        <f>F70/F65</f>
        <v>4.1575492341356671E-2</v>
      </c>
    </row>
    <row r="71" spans="1:18" ht="15.75" thickBot="1" x14ac:dyDescent="0.3">
      <c r="C71" s="143" t="s">
        <v>153</v>
      </c>
      <c r="D71" s="132">
        <v>10</v>
      </c>
      <c r="E71" s="132">
        <v>8</v>
      </c>
      <c r="F71" s="132">
        <f t="shared" si="1"/>
        <v>8</v>
      </c>
      <c r="G71" s="132">
        <v>2</v>
      </c>
      <c r="H71" s="132">
        <v>2</v>
      </c>
      <c r="I71" s="132">
        <v>10</v>
      </c>
      <c r="J71" s="132">
        <v>8</v>
      </c>
      <c r="K71" s="132">
        <v>2</v>
      </c>
      <c r="L71" s="132">
        <v>2</v>
      </c>
      <c r="M71" s="132">
        <v>0</v>
      </c>
      <c r="N71" s="132">
        <v>0</v>
      </c>
      <c r="O71" s="132">
        <v>0</v>
      </c>
      <c r="P71" s="144">
        <v>0</v>
      </c>
    </row>
    <row r="72" spans="1:18" ht="15.75" thickBot="1" x14ac:dyDescent="0.3">
      <c r="C72" s="145" t="s">
        <v>154</v>
      </c>
      <c r="D72" s="133">
        <v>13</v>
      </c>
      <c r="E72" s="133">
        <v>7</v>
      </c>
      <c r="F72" s="132">
        <f t="shared" si="1"/>
        <v>11</v>
      </c>
      <c r="G72" s="133">
        <v>2</v>
      </c>
      <c r="H72" s="133">
        <v>2</v>
      </c>
      <c r="I72" s="133">
        <v>13</v>
      </c>
      <c r="J72" s="133">
        <v>7</v>
      </c>
      <c r="K72" s="133">
        <v>2</v>
      </c>
      <c r="L72" s="133">
        <v>2</v>
      </c>
      <c r="M72" s="133">
        <v>0</v>
      </c>
      <c r="N72" s="133">
        <v>0</v>
      </c>
      <c r="O72" s="133">
        <v>0</v>
      </c>
      <c r="P72" s="146">
        <v>0</v>
      </c>
    </row>
    <row r="73" spans="1:18" ht="15.75" thickBot="1" x14ac:dyDescent="0.3">
      <c r="C73" s="153" t="s">
        <v>92</v>
      </c>
      <c r="D73" s="154"/>
      <c r="E73" s="154"/>
      <c r="F73" s="132">
        <f t="shared" si="1"/>
        <v>0</v>
      </c>
      <c r="G73" s="154"/>
      <c r="H73" s="154"/>
      <c r="I73" s="154"/>
      <c r="J73" s="154"/>
      <c r="K73" s="154"/>
      <c r="L73" s="154"/>
      <c r="M73" s="154"/>
      <c r="N73" s="154"/>
      <c r="O73" s="154"/>
      <c r="P73" s="155"/>
    </row>
    <row r="74" spans="1:18" ht="15.75" thickBot="1" x14ac:dyDescent="0.3">
      <c r="C74" s="156"/>
      <c r="D74" s="157"/>
      <c r="E74" s="157"/>
      <c r="F74" s="132">
        <f t="shared" si="1"/>
        <v>0</v>
      </c>
      <c r="G74" s="157"/>
      <c r="H74" s="157"/>
      <c r="I74" s="157"/>
      <c r="J74" s="157"/>
      <c r="K74" s="157"/>
      <c r="L74" s="157"/>
      <c r="M74" s="157"/>
      <c r="N74" s="157"/>
      <c r="O74" s="157"/>
      <c r="P74" s="158"/>
    </row>
    <row r="75" spans="1:18" ht="15.75" thickBot="1" x14ac:dyDescent="0.3">
      <c r="C75" s="143" t="s">
        <v>83</v>
      </c>
      <c r="D75" s="132">
        <v>1128</v>
      </c>
      <c r="E75" s="132">
        <v>497</v>
      </c>
      <c r="F75" s="132">
        <f t="shared" si="1"/>
        <v>1042</v>
      </c>
      <c r="G75" s="132">
        <v>86</v>
      </c>
      <c r="H75" s="132">
        <v>46</v>
      </c>
      <c r="I75" s="132">
        <v>1110</v>
      </c>
      <c r="J75" s="132">
        <v>493</v>
      </c>
      <c r="K75" s="132">
        <v>85</v>
      </c>
      <c r="L75" s="132">
        <v>46</v>
      </c>
      <c r="M75" s="132">
        <v>18</v>
      </c>
      <c r="N75" s="132">
        <v>4</v>
      </c>
      <c r="O75" s="132">
        <v>1</v>
      </c>
      <c r="P75" s="144">
        <v>0</v>
      </c>
    </row>
    <row r="76" spans="1:18" ht="15.75" thickBot="1" x14ac:dyDescent="0.3">
      <c r="C76" s="145" t="s">
        <v>151</v>
      </c>
      <c r="D76" s="133">
        <v>72</v>
      </c>
      <c r="E76" s="133">
        <v>38</v>
      </c>
      <c r="F76" s="132">
        <f t="shared" si="1"/>
        <v>72</v>
      </c>
      <c r="G76" s="133">
        <v>0</v>
      </c>
      <c r="H76" s="133">
        <v>0</v>
      </c>
      <c r="I76" s="133">
        <v>72</v>
      </c>
      <c r="J76" s="133">
        <v>38</v>
      </c>
      <c r="K76" s="133">
        <v>0</v>
      </c>
      <c r="L76" s="133">
        <v>0</v>
      </c>
      <c r="M76" s="133">
        <v>0</v>
      </c>
      <c r="N76" s="133">
        <v>0</v>
      </c>
      <c r="O76" s="133">
        <v>0</v>
      </c>
      <c r="P76" s="146">
        <v>0</v>
      </c>
    </row>
    <row r="77" spans="1:18" ht="15.75" thickBot="1" x14ac:dyDescent="0.3">
      <c r="C77" s="143" t="s">
        <v>152</v>
      </c>
      <c r="D77" s="132">
        <v>37</v>
      </c>
      <c r="E77" s="132">
        <v>23</v>
      </c>
      <c r="F77" s="132">
        <f t="shared" si="1"/>
        <v>34</v>
      </c>
      <c r="G77" s="132">
        <v>3</v>
      </c>
      <c r="H77" s="132">
        <v>2</v>
      </c>
      <c r="I77" s="132">
        <v>37</v>
      </c>
      <c r="J77" s="132">
        <v>23</v>
      </c>
      <c r="K77" s="132">
        <v>3</v>
      </c>
      <c r="L77" s="132">
        <v>2</v>
      </c>
      <c r="M77" s="132">
        <v>0</v>
      </c>
      <c r="N77" s="132">
        <v>0</v>
      </c>
      <c r="O77" s="132">
        <v>0</v>
      </c>
      <c r="P77" s="144">
        <v>0</v>
      </c>
    </row>
    <row r="78" spans="1:18" ht="15.75" thickBot="1" x14ac:dyDescent="0.3">
      <c r="C78" s="145" t="s">
        <v>85</v>
      </c>
      <c r="D78" s="133">
        <v>774</v>
      </c>
      <c r="E78" s="133">
        <v>347</v>
      </c>
      <c r="F78" s="132">
        <f t="shared" si="1"/>
        <v>731</v>
      </c>
      <c r="G78" s="133">
        <v>43</v>
      </c>
      <c r="H78" s="133">
        <v>20</v>
      </c>
      <c r="I78" s="133">
        <v>763</v>
      </c>
      <c r="J78" s="133">
        <v>343</v>
      </c>
      <c r="K78" s="133">
        <v>42</v>
      </c>
      <c r="L78" s="133">
        <v>20</v>
      </c>
      <c r="M78" s="133">
        <v>11</v>
      </c>
      <c r="N78" s="133">
        <v>4</v>
      </c>
      <c r="O78" s="133">
        <v>1</v>
      </c>
      <c r="P78" s="146">
        <v>0</v>
      </c>
    </row>
    <row r="79" spans="1:18" ht="15.75" thickBot="1" x14ac:dyDescent="0.3">
      <c r="C79" s="143" t="s">
        <v>86</v>
      </c>
      <c r="D79" s="132">
        <v>187</v>
      </c>
      <c r="E79" s="132">
        <v>68</v>
      </c>
      <c r="F79" s="132">
        <f t="shared" si="1"/>
        <v>161</v>
      </c>
      <c r="G79" s="132">
        <v>26</v>
      </c>
      <c r="H79" s="132">
        <v>15</v>
      </c>
      <c r="I79" s="132">
        <v>187</v>
      </c>
      <c r="J79" s="132">
        <v>68</v>
      </c>
      <c r="K79" s="132">
        <v>26</v>
      </c>
      <c r="L79" s="132">
        <v>15</v>
      </c>
      <c r="M79" s="132">
        <v>0</v>
      </c>
      <c r="N79" s="132">
        <v>0</v>
      </c>
      <c r="O79" s="132">
        <v>0</v>
      </c>
      <c r="P79" s="144">
        <v>0</v>
      </c>
    </row>
    <row r="80" spans="1:18" ht="15.75" thickBot="1" x14ac:dyDescent="0.3">
      <c r="A80" s="170">
        <v>151</v>
      </c>
      <c r="B80" t="s">
        <v>15</v>
      </c>
      <c r="C80" s="145" t="s">
        <v>87</v>
      </c>
      <c r="D80" s="133">
        <v>58</v>
      </c>
      <c r="E80" s="133">
        <v>21</v>
      </c>
      <c r="F80" s="132">
        <f t="shared" si="1"/>
        <v>44</v>
      </c>
      <c r="G80" s="133">
        <v>14</v>
      </c>
      <c r="H80" s="133">
        <v>9</v>
      </c>
      <c r="I80" s="133">
        <v>51</v>
      </c>
      <c r="J80" s="133">
        <v>21</v>
      </c>
      <c r="K80" s="133">
        <v>14</v>
      </c>
      <c r="L80" s="133">
        <v>9</v>
      </c>
      <c r="M80" s="133">
        <v>7</v>
      </c>
      <c r="N80" s="133">
        <v>0</v>
      </c>
      <c r="O80" s="133">
        <v>0</v>
      </c>
      <c r="P80" s="146">
        <v>0</v>
      </c>
      <c r="Q80">
        <f>G80/G75</f>
        <v>0.16279069767441862</v>
      </c>
      <c r="R80">
        <f>F80/F75</f>
        <v>4.2226487523992322E-2</v>
      </c>
    </row>
    <row r="81" spans="1:18" ht="15.75" thickBot="1" x14ac:dyDescent="0.3">
      <c r="C81" s="143" t="s">
        <v>153</v>
      </c>
      <c r="D81" s="132">
        <v>22</v>
      </c>
      <c r="E81" s="132">
        <v>8</v>
      </c>
      <c r="F81" s="132">
        <f t="shared" si="1"/>
        <v>20</v>
      </c>
      <c r="G81" s="132">
        <v>2</v>
      </c>
      <c r="H81" s="132">
        <v>1</v>
      </c>
      <c r="I81" s="132">
        <v>22</v>
      </c>
      <c r="J81" s="132">
        <v>8</v>
      </c>
      <c r="K81" s="132">
        <v>2</v>
      </c>
      <c r="L81" s="132">
        <v>1</v>
      </c>
      <c r="M81" s="132">
        <v>0</v>
      </c>
      <c r="N81" s="132">
        <v>0</v>
      </c>
      <c r="O81" s="132">
        <v>0</v>
      </c>
      <c r="P81" s="144">
        <v>0</v>
      </c>
    </row>
    <row r="82" spans="1:18" ht="15.75" thickBot="1" x14ac:dyDescent="0.3">
      <c r="C82" s="156" t="s">
        <v>93</v>
      </c>
      <c r="D82" s="157"/>
      <c r="E82" s="157"/>
      <c r="F82" s="132">
        <f t="shared" si="1"/>
        <v>0</v>
      </c>
      <c r="G82" s="157"/>
      <c r="H82" s="157"/>
      <c r="I82" s="157"/>
      <c r="J82" s="157"/>
      <c r="K82" s="157"/>
      <c r="L82" s="157"/>
      <c r="M82" s="157"/>
      <c r="N82" s="157"/>
      <c r="O82" s="157"/>
      <c r="P82" s="158"/>
    </row>
    <row r="83" spans="1:18" ht="15.75" thickBot="1" x14ac:dyDescent="0.3">
      <c r="C83" s="153"/>
      <c r="D83" s="154"/>
      <c r="E83" s="154"/>
      <c r="F83" s="132">
        <f t="shared" si="1"/>
        <v>0</v>
      </c>
      <c r="G83" s="154"/>
      <c r="H83" s="154"/>
      <c r="I83" s="154"/>
      <c r="J83" s="154"/>
      <c r="K83" s="154"/>
      <c r="L83" s="154"/>
      <c r="M83" s="154"/>
      <c r="N83" s="154"/>
      <c r="O83" s="154"/>
      <c r="P83" s="155"/>
    </row>
    <row r="84" spans="1:18" ht="15.75" thickBot="1" x14ac:dyDescent="0.3">
      <c r="C84" s="145" t="s">
        <v>83</v>
      </c>
      <c r="D84" s="133">
        <v>831</v>
      </c>
      <c r="E84" s="133">
        <v>375</v>
      </c>
      <c r="F84" s="132">
        <f t="shared" si="1"/>
        <v>716</v>
      </c>
      <c r="G84" s="133">
        <v>115</v>
      </c>
      <c r="H84" s="133">
        <v>55</v>
      </c>
      <c r="I84" s="133">
        <v>792</v>
      </c>
      <c r="J84" s="133">
        <v>368</v>
      </c>
      <c r="K84" s="133">
        <v>114</v>
      </c>
      <c r="L84" s="133">
        <v>55</v>
      </c>
      <c r="M84" s="133">
        <v>39</v>
      </c>
      <c r="N84" s="133">
        <v>7</v>
      </c>
      <c r="O84" s="133">
        <v>1</v>
      </c>
      <c r="P84" s="146">
        <v>0</v>
      </c>
    </row>
    <row r="85" spans="1:18" ht="15.75" thickBot="1" x14ac:dyDescent="0.3">
      <c r="C85" s="143" t="s">
        <v>151</v>
      </c>
      <c r="D85" s="132">
        <v>23</v>
      </c>
      <c r="E85" s="132">
        <v>9</v>
      </c>
      <c r="F85" s="132">
        <f t="shared" si="1"/>
        <v>23</v>
      </c>
      <c r="G85" s="132">
        <v>0</v>
      </c>
      <c r="H85" s="132">
        <v>0</v>
      </c>
      <c r="I85" s="132">
        <v>23</v>
      </c>
      <c r="J85" s="132">
        <v>9</v>
      </c>
      <c r="K85" s="132">
        <v>0</v>
      </c>
      <c r="L85" s="132">
        <v>0</v>
      </c>
      <c r="M85" s="132">
        <v>0</v>
      </c>
      <c r="N85" s="132">
        <v>0</v>
      </c>
      <c r="O85" s="132">
        <v>0</v>
      </c>
      <c r="P85" s="144">
        <v>0</v>
      </c>
    </row>
    <row r="86" spans="1:18" ht="15.75" thickBot="1" x14ac:dyDescent="0.3">
      <c r="C86" s="145" t="s">
        <v>152</v>
      </c>
      <c r="D86" s="133">
        <v>16</v>
      </c>
      <c r="E86" s="133">
        <v>10</v>
      </c>
      <c r="F86" s="132">
        <f t="shared" si="1"/>
        <v>16</v>
      </c>
      <c r="G86" s="133">
        <v>0</v>
      </c>
      <c r="H86" s="133">
        <v>0</v>
      </c>
      <c r="I86" s="133">
        <v>15</v>
      </c>
      <c r="J86" s="133">
        <v>10</v>
      </c>
      <c r="K86" s="133">
        <v>0</v>
      </c>
      <c r="L86" s="133">
        <v>0</v>
      </c>
      <c r="M86" s="133">
        <v>1</v>
      </c>
      <c r="N86" s="133">
        <v>0</v>
      </c>
      <c r="O86" s="133">
        <v>0</v>
      </c>
      <c r="P86" s="146">
        <v>0</v>
      </c>
    </row>
    <row r="87" spans="1:18" ht="15.75" thickBot="1" x14ac:dyDescent="0.3">
      <c r="C87" s="143" t="s">
        <v>85</v>
      </c>
      <c r="D87" s="132">
        <v>501</v>
      </c>
      <c r="E87" s="132">
        <v>244</v>
      </c>
      <c r="F87" s="132">
        <f t="shared" si="1"/>
        <v>460</v>
      </c>
      <c r="G87" s="132">
        <v>41</v>
      </c>
      <c r="H87" s="132">
        <v>19</v>
      </c>
      <c r="I87" s="132">
        <v>481</v>
      </c>
      <c r="J87" s="132">
        <v>240</v>
      </c>
      <c r="K87" s="132">
        <v>41</v>
      </c>
      <c r="L87" s="132">
        <v>19</v>
      </c>
      <c r="M87" s="132">
        <v>20</v>
      </c>
      <c r="N87" s="132">
        <v>4</v>
      </c>
      <c r="O87" s="132">
        <v>0</v>
      </c>
      <c r="P87" s="144">
        <v>0</v>
      </c>
    </row>
    <row r="88" spans="1:18" ht="15.75" thickBot="1" x14ac:dyDescent="0.3">
      <c r="C88" s="145" t="s">
        <v>86</v>
      </c>
      <c r="D88" s="133">
        <v>207</v>
      </c>
      <c r="E88" s="133">
        <v>81</v>
      </c>
      <c r="F88" s="132">
        <f t="shared" si="1"/>
        <v>158</v>
      </c>
      <c r="G88" s="133">
        <v>49</v>
      </c>
      <c r="H88" s="133">
        <v>23</v>
      </c>
      <c r="I88" s="133">
        <v>198</v>
      </c>
      <c r="J88" s="133">
        <v>80</v>
      </c>
      <c r="K88" s="133">
        <v>48</v>
      </c>
      <c r="L88" s="133">
        <v>23</v>
      </c>
      <c r="M88" s="133">
        <v>9</v>
      </c>
      <c r="N88" s="133">
        <v>1</v>
      </c>
      <c r="O88" s="133">
        <v>1</v>
      </c>
      <c r="P88" s="146">
        <v>0</v>
      </c>
    </row>
    <row r="89" spans="1:18" ht="15.75" thickBot="1" x14ac:dyDescent="0.3">
      <c r="A89" s="171">
        <v>153</v>
      </c>
      <c r="B89" t="s">
        <v>17</v>
      </c>
      <c r="C89" s="143" t="s">
        <v>87</v>
      </c>
      <c r="D89" s="132">
        <v>84</v>
      </c>
      <c r="E89" s="132">
        <v>31</v>
      </c>
      <c r="F89" s="132">
        <f t="shared" si="1"/>
        <v>59</v>
      </c>
      <c r="G89" s="132">
        <v>25</v>
      </c>
      <c r="H89" s="132">
        <v>13</v>
      </c>
      <c r="I89" s="132">
        <v>75</v>
      </c>
      <c r="J89" s="132">
        <v>29</v>
      </c>
      <c r="K89" s="132">
        <v>25</v>
      </c>
      <c r="L89" s="132">
        <v>13</v>
      </c>
      <c r="M89" s="132">
        <v>9</v>
      </c>
      <c r="N89" s="132">
        <v>2</v>
      </c>
      <c r="O89" s="132">
        <v>0</v>
      </c>
      <c r="P89" s="144">
        <v>0</v>
      </c>
      <c r="Q89">
        <f>G89/G84</f>
        <v>0.21739130434782608</v>
      </c>
      <c r="R89">
        <f>F89/F84</f>
        <v>8.2402234636871505E-2</v>
      </c>
    </row>
    <row r="90" spans="1:18" ht="15.75" thickBot="1" x14ac:dyDescent="0.3">
      <c r="C90" s="145" t="s">
        <v>153</v>
      </c>
      <c r="D90" s="133">
        <v>22</v>
      </c>
      <c r="E90" s="133">
        <v>5</v>
      </c>
      <c r="F90" s="132">
        <f t="shared" si="1"/>
        <v>19</v>
      </c>
      <c r="G90" s="133">
        <v>3</v>
      </c>
      <c r="H90" s="133">
        <v>0</v>
      </c>
      <c r="I90" s="133">
        <v>16</v>
      </c>
      <c r="J90" s="133">
        <v>3</v>
      </c>
      <c r="K90" s="133">
        <v>3</v>
      </c>
      <c r="L90" s="133">
        <v>0</v>
      </c>
      <c r="M90" s="133">
        <v>6</v>
      </c>
      <c r="N90" s="133">
        <v>2</v>
      </c>
      <c r="O90" s="133">
        <v>0</v>
      </c>
      <c r="P90" s="146">
        <v>0</v>
      </c>
    </row>
    <row r="91" spans="1:18" ht="15.75" thickBot="1" x14ac:dyDescent="0.3">
      <c r="C91" s="143" t="s">
        <v>154</v>
      </c>
      <c r="D91" s="132">
        <v>19</v>
      </c>
      <c r="E91" s="132">
        <v>6</v>
      </c>
      <c r="F91" s="132">
        <f t="shared" si="1"/>
        <v>16</v>
      </c>
      <c r="G91" s="132">
        <v>3</v>
      </c>
      <c r="H91" s="132">
        <v>2</v>
      </c>
      <c r="I91" s="132">
        <v>19</v>
      </c>
      <c r="J91" s="132">
        <v>6</v>
      </c>
      <c r="K91" s="132">
        <v>3</v>
      </c>
      <c r="L91" s="132">
        <v>2</v>
      </c>
      <c r="M91" s="132">
        <v>0</v>
      </c>
      <c r="N91" s="132">
        <v>0</v>
      </c>
      <c r="O91" s="132">
        <v>0</v>
      </c>
      <c r="P91" s="144">
        <v>0</v>
      </c>
    </row>
    <row r="92" spans="1:18" ht="15.75" thickBot="1" x14ac:dyDescent="0.3">
      <c r="C92" s="156" t="s">
        <v>94</v>
      </c>
      <c r="D92" s="157"/>
      <c r="E92" s="157"/>
      <c r="F92" s="132">
        <f t="shared" si="1"/>
        <v>0</v>
      </c>
      <c r="G92" s="157"/>
      <c r="H92" s="157"/>
      <c r="I92" s="157"/>
      <c r="J92" s="157"/>
      <c r="K92" s="157"/>
      <c r="L92" s="157"/>
      <c r="M92" s="157"/>
      <c r="N92" s="157"/>
      <c r="O92" s="157"/>
      <c r="P92" s="158"/>
    </row>
    <row r="93" spans="1:18" ht="15.75" thickBot="1" x14ac:dyDescent="0.3">
      <c r="C93" s="153"/>
      <c r="D93" s="154"/>
      <c r="E93" s="154"/>
      <c r="F93" s="132">
        <f t="shared" si="1"/>
        <v>0</v>
      </c>
      <c r="G93" s="154"/>
      <c r="H93" s="154"/>
      <c r="I93" s="154"/>
      <c r="J93" s="154"/>
      <c r="K93" s="154"/>
      <c r="L93" s="154"/>
      <c r="M93" s="154"/>
      <c r="N93" s="154"/>
      <c r="O93" s="154"/>
      <c r="P93" s="155"/>
    </row>
    <row r="94" spans="1:18" ht="15.75" thickBot="1" x14ac:dyDescent="0.3">
      <c r="C94" s="145" t="s">
        <v>83</v>
      </c>
      <c r="D94" s="133">
        <v>454</v>
      </c>
      <c r="E94" s="133">
        <v>198</v>
      </c>
      <c r="F94" s="132">
        <f t="shared" si="1"/>
        <v>428</v>
      </c>
      <c r="G94" s="133">
        <v>26</v>
      </c>
      <c r="H94" s="133">
        <v>11</v>
      </c>
      <c r="I94" s="133">
        <v>454</v>
      </c>
      <c r="J94" s="133">
        <v>198</v>
      </c>
      <c r="K94" s="133">
        <v>26</v>
      </c>
      <c r="L94" s="133">
        <v>11</v>
      </c>
      <c r="M94" s="133">
        <v>0</v>
      </c>
      <c r="N94" s="133">
        <v>0</v>
      </c>
      <c r="O94" s="133">
        <v>0</v>
      </c>
      <c r="P94" s="146">
        <v>0</v>
      </c>
    </row>
    <row r="95" spans="1:18" ht="15.75" thickBot="1" x14ac:dyDescent="0.3">
      <c r="C95" s="143" t="s">
        <v>151</v>
      </c>
      <c r="D95" s="132">
        <v>36</v>
      </c>
      <c r="E95" s="132">
        <v>22</v>
      </c>
      <c r="F95" s="132">
        <f t="shared" si="1"/>
        <v>34</v>
      </c>
      <c r="G95" s="132">
        <v>2</v>
      </c>
      <c r="H95" s="132">
        <v>2</v>
      </c>
      <c r="I95" s="132">
        <v>36</v>
      </c>
      <c r="J95" s="132">
        <v>22</v>
      </c>
      <c r="K95" s="132">
        <v>2</v>
      </c>
      <c r="L95" s="132">
        <v>2</v>
      </c>
      <c r="M95" s="132">
        <v>0</v>
      </c>
      <c r="N95" s="132">
        <v>0</v>
      </c>
      <c r="O95" s="132">
        <v>0</v>
      </c>
      <c r="P95" s="144">
        <v>0</v>
      </c>
    </row>
    <row r="96" spans="1:18" ht="15.75" thickBot="1" x14ac:dyDescent="0.3">
      <c r="C96" s="145" t="s">
        <v>152</v>
      </c>
      <c r="D96" s="133">
        <v>13</v>
      </c>
      <c r="E96" s="133">
        <v>6</v>
      </c>
      <c r="F96" s="132">
        <f t="shared" si="1"/>
        <v>11</v>
      </c>
      <c r="G96" s="133">
        <v>2</v>
      </c>
      <c r="H96" s="133">
        <v>1</v>
      </c>
      <c r="I96" s="133">
        <v>13</v>
      </c>
      <c r="J96" s="133">
        <v>6</v>
      </c>
      <c r="K96" s="133">
        <v>2</v>
      </c>
      <c r="L96" s="133">
        <v>1</v>
      </c>
      <c r="M96" s="133">
        <v>0</v>
      </c>
      <c r="N96" s="133">
        <v>0</v>
      </c>
      <c r="O96" s="133">
        <v>0</v>
      </c>
      <c r="P96" s="146">
        <v>0</v>
      </c>
    </row>
    <row r="97" spans="1:18" ht="15.75" thickBot="1" x14ac:dyDescent="0.3">
      <c r="C97" s="143" t="s">
        <v>85</v>
      </c>
      <c r="D97" s="132">
        <v>269</v>
      </c>
      <c r="E97" s="132">
        <v>111</v>
      </c>
      <c r="F97" s="132">
        <f t="shared" si="1"/>
        <v>259</v>
      </c>
      <c r="G97" s="132">
        <v>10</v>
      </c>
      <c r="H97" s="132">
        <v>4</v>
      </c>
      <c r="I97" s="132">
        <v>269</v>
      </c>
      <c r="J97" s="132">
        <v>111</v>
      </c>
      <c r="K97" s="132">
        <v>10</v>
      </c>
      <c r="L97" s="132">
        <v>4</v>
      </c>
      <c r="M97" s="132">
        <v>0</v>
      </c>
      <c r="N97" s="132">
        <v>0</v>
      </c>
      <c r="O97" s="132">
        <v>0</v>
      </c>
      <c r="P97" s="144">
        <v>0</v>
      </c>
    </row>
    <row r="98" spans="1:18" ht="15.75" thickBot="1" x14ac:dyDescent="0.3">
      <c r="C98" s="145" t="s">
        <v>86</v>
      </c>
      <c r="D98" s="133">
        <v>88</v>
      </c>
      <c r="E98" s="133">
        <v>42</v>
      </c>
      <c r="F98" s="132">
        <f t="shared" si="1"/>
        <v>83</v>
      </c>
      <c r="G98" s="133">
        <v>5</v>
      </c>
      <c r="H98" s="133">
        <v>2</v>
      </c>
      <c r="I98" s="133">
        <v>88</v>
      </c>
      <c r="J98" s="133">
        <v>42</v>
      </c>
      <c r="K98" s="133">
        <v>5</v>
      </c>
      <c r="L98" s="133">
        <v>2</v>
      </c>
      <c r="M98" s="133">
        <v>0</v>
      </c>
      <c r="N98" s="133">
        <v>0</v>
      </c>
      <c r="O98" s="133">
        <v>0</v>
      </c>
      <c r="P98" s="146">
        <v>0</v>
      </c>
    </row>
    <row r="99" spans="1:18" ht="15.75" thickBot="1" x14ac:dyDescent="0.3">
      <c r="A99" s="171">
        <v>154</v>
      </c>
      <c r="B99" t="s">
        <v>18</v>
      </c>
      <c r="C99" s="143" t="s">
        <v>87</v>
      </c>
      <c r="D99" s="132">
        <v>48</v>
      </c>
      <c r="E99" s="132">
        <v>17</v>
      </c>
      <c r="F99" s="132">
        <f t="shared" si="1"/>
        <v>41</v>
      </c>
      <c r="G99" s="132">
        <v>7</v>
      </c>
      <c r="H99" s="132">
        <v>2</v>
      </c>
      <c r="I99" s="132">
        <v>48</v>
      </c>
      <c r="J99" s="132">
        <v>17</v>
      </c>
      <c r="K99" s="132">
        <v>7</v>
      </c>
      <c r="L99" s="132">
        <v>2</v>
      </c>
      <c r="M99" s="132">
        <v>0</v>
      </c>
      <c r="N99" s="132">
        <v>0</v>
      </c>
      <c r="O99" s="132">
        <v>0</v>
      </c>
      <c r="P99" s="144">
        <v>0</v>
      </c>
      <c r="Q99">
        <f>G99/G94</f>
        <v>0.26923076923076922</v>
      </c>
      <c r="R99">
        <f>F99/F94</f>
        <v>9.5794392523364483E-2</v>
      </c>
    </row>
    <row r="100" spans="1:18" ht="15.75" thickBot="1" x14ac:dyDescent="0.3">
      <c r="C100" s="145" t="s">
        <v>153</v>
      </c>
      <c r="D100" s="133">
        <v>7</v>
      </c>
      <c r="E100" s="133">
        <v>2</v>
      </c>
      <c r="F100" s="132">
        <f t="shared" ref="F100:F163" si="2">D100-G100</f>
        <v>7</v>
      </c>
      <c r="G100" s="133">
        <v>0</v>
      </c>
      <c r="H100" s="133">
        <v>0</v>
      </c>
      <c r="I100" s="133">
        <v>7</v>
      </c>
      <c r="J100" s="133">
        <v>2</v>
      </c>
      <c r="K100" s="133">
        <v>0</v>
      </c>
      <c r="L100" s="133">
        <v>0</v>
      </c>
      <c r="M100" s="133">
        <v>0</v>
      </c>
      <c r="N100" s="133">
        <v>0</v>
      </c>
      <c r="O100" s="133">
        <v>0</v>
      </c>
      <c r="P100" s="146">
        <v>0</v>
      </c>
    </row>
    <row r="101" spans="1:18" ht="15.75" thickBot="1" x14ac:dyDescent="0.3">
      <c r="C101" s="143" t="s">
        <v>154</v>
      </c>
      <c r="D101" s="132">
        <v>14</v>
      </c>
      <c r="E101" s="132">
        <v>4</v>
      </c>
      <c r="F101" s="132">
        <f t="shared" si="2"/>
        <v>12</v>
      </c>
      <c r="G101" s="132">
        <v>2</v>
      </c>
      <c r="H101" s="132">
        <v>0</v>
      </c>
      <c r="I101" s="132">
        <v>14</v>
      </c>
      <c r="J101" s="132">
        <v>4</v>
      </c>
      <c r="K101" s="132">
        <v>2</v>
      </c>
      <c r="L101" s="132">
        <v>0</v>
      </c>
      <c r="M101" s="132">
        <v>0</v>
      </c>
      <c r="N101" s="132">
        <v>0</v>
      </c>
      <c r="O101" s="132">
        <v>0</v>
      </c>
      <c r="P101" s="144">
        <v>0</v>
      </c>
    </row>
    <row r="102" spans="1:18" ht="15.75" thickBot="1" x14ac:dyDescent="0.3">
      <c r="C102" s="156" t="s">
        <v>95</v>
      </c>
      <c r="D102" s="157"/>
      <c r="E102" s="157"/>
      <c r="F102" s="132">
        <f t="shared" si="2"/>
        <v>0</v>
      </c>
      <c r="G102" s="157"/>
      <c r="H102" s="157"/>
      <c r="I102" s="157"/>
      <c r="J102" s="157"/>
      <c r="K102" s="157"/>
      <c r="L102" s="157"/>
      <c r="M102" s="157"/>
      <c r="N102" s="157"/>
      <c r="O102" s="157"/>
      <c r="P102" s="158"/>
    </row>
    <row r="103" spans="1:18" ht="15.75" thickBot="1" x14ac:dyDescent="0.3">
      <c r="C103" s="153"/>
      <c r="D103" s="154"/>
      <c r="E103" s="154"/>
      <c r="F103" s="132">
        <f t="shared" si="2"/>
        <v>0</v>
      </c>
      <c r="G103" s="154"/>
      <c r="H103" s="154"/>
      <c r="I103" s="154"/>
      <c r="J103" s="154"/>
      <c r="K103" s="154"/>
      <c r="L103" s="154"/>
      <c r="M103" s="154"/>
      <c r="N103" s="154"/>
      <c r="O103" s="154"/>
      <c r="P103" s="155"/>
    </row>
    <row r="104" spans="1:18" ht="15.75" thickBot="1" x14ac:dyDescent="0.3">
      <c r="C104" s="145" t="s">
        <v>83</v>
      </c>
      <c r="D104" s="133">
        <v>1019</v>
      </c>
      <c r="E104" s="133">
        <v>450</v>
      </c>
      <c r="F104" s="132">
        <f t="shared" si="2"/>
        <v>948</v>
      </c>
      <c r="G104" s="133">
        <v>71</v>
      </c>
      <c r="H104" s="133">
        <v>30</v>
      </c>
      <c r="I104" s="133">
        <v>987</v>
      </c>
      <c r="J104" s="133">
        <v>437</v>
      </c>
      <c r="K104" s="133">
        <v>71</v>
      </c>
      <c r="L104" s="133">
        <v>30</v>
      </c>
      <c r="M104" s="133">
        <v>32</v>
      </c>
      <c r="N104" s="133">
        <v>13</v>
      </c>
      <c r="O104" s="133">
        <v>0</v>
      </c>
      <c r="P104" s="146">
        <v>0</v>
      </c>
    </row>
    <row r="105" spans="1:18" ht="15.75" thickBot="1" x14ac:dyDescent="0.3">
      <c r="C105" s="143" t="s">
        <v>151</v>
      </c>
      <c r="D105" s="132">
        <v>92</v>
      </c>
      <c r="E105" s="132">
        <v>41</v>
      </c>
      <c r="F105" s="132">
        <f t="shared" si="2"/>
        <v>92</v>
      </c>
      <c r="G105" s="132">
        <v>0</v>
      </c>
      <c r="H105" s="132">
        <v>0</v>
      </c>
      <c r="I105" s="132">
        <v>92</v>
      </c>
      <c r="J105" s="132">
        <v>41</v>
      </c>
      <c r="K105" s="132">
        <v>0</v>
      </c>
      <c r="L105" s="132">
        <v>0</v>
      </c>
      <c r="M105" s="132">
        <v>0</v>
      </c>
      <c r="N105" s="132">
        <v>0</v>
      </c>
      <c r="O105" s="132">
        <v>0</v>
      </c>
      <c r="P105" s="144">
        <v>0</v>
      </c>
    </row>
    <row r="106" spans="1:18" ht="15.75" thickBot="1" x14ac:dyDescent="0.3">
      <c r="C106" s="145" t="s">
        <v>152</v>
      </c>
      <c r="D106" s="133">
        <v>9</v>
      </c>
      <c r="E106" s="133">
        <v>6</v>
      </c>
      <c r="F106" s="132">
        <f t="shared" si="2"/>
        <v>9</v>
      </c>
      <c r="G106" s="133">
        <v>0</v>
      </c>
      <c r="H106" s="133">
        <v>0</v>
      </c>
      <c r="I106" s="133">
        <v>7</v>
      </c>
      <c r="J106" s="133">
        <v>5</v>
      </c>
      <c r="K106" s="133">
        <v>0</v>
      </c>
      <c r="L106" s="133">
        <v>0</v>
      </c>
      <c r="M106" s="133">
        <v>2</v>
      </c>
      <c r="N106" s="133">
        <v>1</v>
      </c>
      <c r="O106" s="133">
        <v>0</v>
      </c>
      <c r="P106" s="146">
        <v>0</v>
      </c>
    </row>
    <row r="107" spans="1:18" ht="15.75" thickBot="1" x14ac:dyDescent="0.3">
      <c r="C107" s="143" t="s">
        <v>85</v>
      </c>
      <c r="D107" s="132">
        <v>698</v>
      </c>
      <c r="E107" s="132">
        <v>315</v>
      </c>
      <c r="F107" s="132">
        <f t="shared" si="2"/>
        <v>664</v>
      </c>
      <c r="G107" s="132">
        <v>34</v>
      </c>
      <c r="H107" s="132">
        <v>16</v>
      </c>
      <c r="I107" s="132">
        <v>676</v>
      </c>
      <c r="J107" s="132">
        <v>305</v>
      </c>
      <c r="K107" s="132">
        <v>34</v>
      </c>
      <c r="L107" s="132">
        <v>16</v>
      </c>
      <c r="M107" s="132">
        <v>22</v>
      </c>
      <c r="N107" s="132">
        <v>10</v>
      </c>
      <c r="O107" s="132">
        <v>0</v>
      </c>
      <c r="P107" s="144">
        <v>0</v>
      </c>
    </row>
    <row r="108" spans="1:18" ht="15.75" thickBot="1" x14ac:dyDescent="0.3">
      <c r="C108" s="145" t="s">
        <v>86</v>
      </c>
      <c r="D108" s="133">
        <v>159</v>
      </c>
      <c r="E108" s="133">
        <v>64</v>
      </c>
      <c r="F108" s="132">
        <f t="shared" si="2"/>
        <v>134</v>
      </c>
      <c r="G108" s="133">
        <v>25</v>
      </c>
      <c r="H108" s="133">
        <v>11</v>
      </c>
      <c r="I108" s="133">
        <v>158</v>
      </c>
      <c r="J108" s="133">
        <v>64</v>
      </c>
      <c r="K108" s="133">
        <v>25</v>
      </c>
      <c r="L108" s="133">
        <v>11</v>
      </c>
      <c r="M108" s="133">
        <v>1</v>
      </c>
      <c r="N108" s="133">
        <v>0</v>
      </c>
      <c r="O108" s="133">
        <v>0</v>
      </c>
      <c r="P108" s="146">
        <v>0</v>
      </c>
    </row>
    <row r="109" spans="1:18" ht="15.75" thickBot="1" x14ac:dyDescent="0.3">
      <c r="A109" s="171">
        <v>155</v>
      </c>
      <c r="B109" t="s">
        <v>19</v>
      </c>
      <c r="C109" s="143" t="s">
        <v>87</v>
      </c>
      <c r="D109" s="132">
        <v>61</v>
      </c>
      <c r="E109" s="132">
        <v>24</v>
      </c>
      <c r="F109" s="132">
        <f t="shared" si="2"/>
        <v>49</v>
      </c>
      <c r="G109" s="132">
        <v>12</v>
      </c>
      <c r="H109" s="132">
        <v>3</v>
      </c>
      <c r="I109" s="132">
        <v>54</v>
      </c>
      <c r="J109" s="132">
        <v>22</v>
      </c>
      <c r="K109" s="132">
        <v>12</v>
      </c>
      <c r="L109" s="132">
        <v>3</v>
      </c>
      <c r="M109" s="132">
        <v>7</v>
      </c>
      <c r="N109" s="132">
        <v>2</v>
      </c>
      <c r="O109" s="132">
        <v>0</v>
      </c>
      <c r="P109" s="144">
        <v>0</v>
      </c>
      <c r="Q109">
        <f>G109/G104</f>
        <v>0.16901408450704225</v>
      </c>
      <c r="R109">
        <f>F109/F104</f>
        <v>5.1687763713080169E-2</v>
      </c>
    </row>
    <row r="110" spans="1:18" ht="15.75" thickBot="1" x14ac:dyDescent="0.3">
      <c r="C110" s="145" t="s">
        <v>153</v>
      </c>
      <c r="D110" s="133">
        <v>24</v>
      </c>
      <c r="E110" s="133">
        <v>8</v>
      </c>
      <c r="F110" s="132">
        <f t="shared" si="2"/>
        <v>20</v>
      </c>
      <c r="G110" s="133">
        <v>4</v>
      </c>
      <c r="H110" s="133">
        <v>1</v>
      </c>
      <c r="I110" s="133">
        <v>23</v>
      </c>
      <c r="J110" s="133">
        <v>8</v>
      </c>
      <c r="K110" s="133">
        <v>4</v>
      </c>
      <c r="L110" s="133">
        <v>1</v>
      </c>
      <c r="M110" s="133">
        <v>1</v>
      </c>
      <c r="N110" s="133">
        <v>0</v>
      </c>
      <c r="O110" s="133">
        <v>0</v>
      </c>
      <c r="P110" s="146">
        <v>0</v>
      </c>
    </row>
    <row r="111" spans="1:18" ht="15.75" thickBot="1" x14ac:dyDescent="0.3">
      <c r="C111" s="143" t="s">
        <v>154</v>
      </c>
      <c r="D111" s="132">
        <v>10</v>
      </c>
      <c r="E111" s="132">
        <v>5</v>
      </c>
      <c r="F111" s="132">
        <f t="shared" si="2"/>
        <v>8</v>
      </c>
      <c r="G111" s="132">
        <v>2</v>
      </c>
      <c r="H111" s="132">
        <v>1</v>
      </c>
      <c r="I111" s="132">
        <v>10</v>
      </c>
      <c r="J111" s="132">
        <v>5</v>
      </c>
      <c r="K111" s="132">
        <v>2</v>
      </c>
      <c r="L111" s="132">
        <v>1</v>
      </c>
      <c r="M111" s="132">
        <v>0</v>
      </c>
      <c r="N111" s="132">
        <v>0</v>
      </c>
      <c r="O111" s="132">
        <v>0</v>
      </c>
      <c r="P111" s="144">
        <v>0</v>
      </c>
    </row>
    <row r="112" spans="1:18" ht="15.75" thickBot="1" x14ac:dyDescent="0.3">
      <c r="C112" s="156" t="s">
        <v>96</v>
      </c>
      <c r="D112" s="157"/>
      <c r="E112" s="157"/>
      <c r="F112" s="132">
        <f t="shared" si="2"/>
        <v>0</v>
      </c>
      <c r="G112" s="157"/>
      <c r="H112" s="157"/>
      <c r="I112" s="157"/>
      <c r="J112" s="157"/>
      <c r="K112" s="157"/>
      <c r="L112" s="157"/>
      <c r="M112" s="157"/>
      <c r="N112" s="157"/>
      <c r="O112" s="157"/>
      <c r="P112" s="158"/>
    </row>
    <row r="113" spans="1:18" ht="15.75" thickBot="1" x14ac:dyDescent="0.3">
      <c r="C113" s="153"/>
      <c r="D113" s="154"/>
      <c r="E113" s="154"/>
      <c r="F113" s="132">
        <f t="shared" si="2"/>
        <v>0</v>
      </c>
      <c r="G113" s="154"/>
      <c r="H113" s="154"/>
      <c r="I113" s="154"/>
      <c r="J113" s="154"/>
      <c r="K113" s="154"/>
      <c r="L113" s="154"/>
      <c r="M113" s="154"/>
      <c r="N113" s="154"/>
      <c r="O113" s="154"/>
      <c r="P113" s="155"/>
    </row>
    <row r="114" spans="1:18" ht="15.75" thickBot="1" x14ac:dyDescent="0.3">
      <c r="C114" s="145" t="s">
        <v>83</v>
      </c>
      <c r="D114" s="133">
        <v>997</v>
      </c>
      <c r="E114" s="133">
        <v>477</v>
      </c>
      <c r="F114" s="132">
        <f t="shared" si="2"/>
        <v>880</v>
      </c>
      <c r="G114" s="133">
        <v>117</v>
      </c>
      <c r="H114" s="133">
        <v>63</v>
      </c>
      <c r="I114" s="133">
        <v>997</v>
      </c>
      <c r="J114" s="133">
        <v>477</v>
      </c>
      <c r="K114" s="133">
        <v>117</v>
      </c>
      <c r="L114" s="133">
        <v>63</v>
      </c>
      <c r="M114" s="133">
        <v>0</v>
      </c>
      <c r="N114" s="133">
        <v>0</v>
      </c>
      <c r="O114" s="133">
        <v>0</v>
      </c>
      <c r="P114" s="146">
        <v>0</v>
      </c>
    </row>
    <row r="115" spans="1:18" ht="15.75" thickBot="1" x14ac:dyDescent="0.3">
      <c r="C115" s="143" t="s">
        <v>151</v>
      </c>
      <c r="D115" s="132">
        <v>133</v>
      </c>
      <c r="E115" s="132">
        <v>76</v>
      </c>
      <c r="F115" s="132">
        <f t="shared" si="2"/>
        <v>133</v>
      </c>
      <c r="G115" s="132">
        <v>0</v>
      </c>
      <c r="H115" s="132">
        <v>0</v>
      </c>
      <c r="I115" s="132">
        <v>133</v>
      </c>
      <c r="J115" s="132">
        <v>76</v>
      </c>
      <c r="K115" s="132">
        <v>0</v>
      </c>
      <c r="L115" s="132">
        <v>0</v>
      </c>
      <c r="M115" s="132">
        <v>0</v>
      </c>
      <c r="N115" s="132">
        <v>0</v>
      </c>
      <c r="O115" s="132">
        <v>0</v>
      </c>
      <c r="P115" s="144">
        <v>0</v>
      </c>
    </row>
    <row r="116" spans="1:18" ht="15.75" thickBot="1" x14ac:dyDescent="0.3">
      <c r="C116" s="145" t="s">
        <v>152</v>
      </c>
      <c r="D116" s="133">
        <v>44</v>
      </c>
      <c r="E116" s="133">
        <v>22</v>
      </c>
      <c r="F116" s="132">
        <f t="shared" si="2"/>
        <v>41</v>
      </c>
      <c r="G116" s="133">
        <v>3</v>
      </c>
      <c r="H116" s="133">
        <v>3</v>
      </c>
      <c r="I116" s="133">
        <v>44</v>
      </c>
      <c r="J116" s="133">
        <v>22</v>
      </c>
      <c r="K116" s="133">
        <v>3</v>
      </c>
      <c r="L116" s="133">
        <v>3</v>
      </c>
      <c r="M116" s="133">
        <v>0</v>
      </c>
      <c r="N116" s="133">
        <v>0</v>
      </c>
      <c r="O116" s="133">
        <v>0</v>
      </c>
      <c r="P116" s="146">
        <v>0</v>
      </c>
    </row>
    <row r="117" spans="1:18" ht="15.75" thickBot="1" x14ac:dyDescent="0.3">
      <c r="C117" s="143" t="s">
        <v>85</v>
      </c>
      <c r="D117" s="132">
        <v>652</v>
      </c>
      <c r="E117" s="132">
        <v>307</v>
      </c>
      <c r="F117" s="132">
        <f t="shared" si="2"/>
        <v>559</v>
      </c>
      <c r="G117" s="132">
        <v>93</v>
      </c>
      <c r="H117" s="132">
        <v>49</v>
      </c>
      <c r="I117" s="132">
        <v>652</v>
      </c>
      <c r="J117" s="132">
        <v>307</v>
      </c>
      <c r="K117" s="132">
        <v>93</v>
      </c>
      <c r="L117" s="132">
        <v>49</v>
      </c>
      <c r="M117" s="132">
        <v>0</v>
      </c>
      <c r="N117" s="132">
        <v>0</v>
      </c>
      <c r="O117" s="132">
        <v>0</v>
      </c>
      <c r="P117" s="144">
        <v>0</v>
      </c>
    </row>
    <row r="118" spans="1:18" ht="15.75" thickBot="1" x14ac:dyDescent="0.3">
      <c r="C118" s="145" t="s">
        <v>86</v>
      </c>
      <c r="D118" s="133">
        <v>127</v>
      </c>
      <c r="E118" s="133">
        <v>60</v>
      </c>
      <c r="F118" s="132">
        <f t="shared" si="2"/>
        <v>117</v>
      </c>
      <c r="G118" s="133">
        <v>10</v>
      </c>
      <c r="H118" s="133">
        <v>7</v>
      </c>
      <c r="I118" s="133">
        <v>127</v>
      </c>
      <c r="J118" s="133">
        <v>60</v>
      </c>
      <c r="K118" s="133">
        <v>10</v>
      </c>
      <c r="L118" s="133">
        <v>7</v>
      </c>
      <c r="M118" s="133">
        <v>0</v>
      </c>
      <c r="N118" s="133">
        <v>0</v>
      </c>
      <c r="O118" s="133">
        <v>0</v>
      </c>
      <c r="P118" s="146">
        <v>0</v>
      </c>
    </row>
    <row r="119" spans="1:18" ht="15.75" thickBot="1" x14ac:dyDescent="0.3">
      <c r="A119" s="171">
        <v>157</v>
      </c>
      <c r="B119" t="s">
        <v>20</v>
      </c>
      <c r="C119" s="143" t="s">
        <v>87</v>
      </c>
      <c r="D119" s="132">
        <v>41</v>
      </c>
      <c r="E119" s="132">
        <v>12</v>
      </c>
      <c r="F119" s="132">
        <f t="shared" si="2"/>
        <v>30</v>
      </c>
      <c r="G119" s="132">
        <v>11</v>
      </c>
      <c r="H119" s="132">
        <v>4</v>
      </c>
      <c r="I119" s="132">
        <v>41</v>
      </c>
      <c r="J119" s="132">
        <v>12</v>
      </c>
      <c r="K119" s="132">
        <v>11</v>
      </c>
      <c r="L119" s="132">
        <v>4</v>
      </c>
      <c r="M119" s="132">
        <v>0</v>
      </c>
      <c r="N119" s="132">
        <v>0</v>
      </c>
      <c r="O119" s="132">
        <v>0</v>
      </c>
      <c r="P119" s="144">
        <v>0</v>
      </c>
      <c r="Q119">
        <f>G119/G114</f>
        <v>9.4017094017094016E-2</v>
      </c>
      <c r="R119">
        <f>F119/F114</f>
        <v>3.4090909090909088E-2</v>
      </c>
    </row>
    <row r="120" spans="1:18" ht="15.75" thickBot="1" x14ac:dyDescent="0.3">
      <c r="C120" s="145" t="s">
        <v>153</v>
      </c>
      <c r="D120" s="133">
        <v>2</v>
      </c>
      <c r="E120" s="133">
        <v>1</v>
      </c>
      <c r="F120" s="132">
        <f t="shared" si="2"/>
        <v>1</v>
      </c>
      <c r="G120" s="133">
        <v>1</v>
      </c>
      <c r="H120" s="133">
        <v>1</v>
      </c>
      <c r="I120" s="133">
        <v>2</v>
      </c>
      <c r="J120" s="133">
        <v>1</v>
      </c>
      <c r="K120" s="133">
        <v>1</v>
      </c>
      <c r="L120" s="133">
        <v>1</v>
      </c>
      <c r="M120" s="133">
        <v>0</v>
      </c>
      <c r="N120" s="133">
        <v>0</v>
      </c>
      <c r="O120" s="133">
        <v>0</v>
      </c>
      <c r="P120" s="146">
        <v>0</v>
      </c>
    </row>
    <row r="121" spans="1:18" ht="15.75" thickBot="1" x14ac:dyDescent="0.3">
      <c r="C121" s="143" t="s">
        <v>154</v>
      </c>
      <c r="D121" s="132">
        <v>13</v>
      </c>
      <c r="E121" s="132">
        <v>1</v>
      </c>
      <c r="F121" s="132">
        <f t="shared" si="2"/>
        <v>13</v>
      </c>
      <c r="G121" s="132">
        <v>0</v>
      </c>
      <c r="H121" s="132">
        <v>0</v>
      </c>
      <c r="I121" s="132">
        <v>13</v>
      </c>
      <c r="J121" s="132">
        <v>1</v>
      </c>
      <c r="K121" s="132">
        <v>0</v>
      </c>
      <c r="L121" s="132">
        <v>0</v>
      </c>
      <c r="M121" s="132">
        <v>0</v>
      </c>
      <c r="N121" s="132">
        <v>0</v>
      </c>
      <c r="O121" s="132">
        <v>0</v>
      </c>
      <c r="P121" s="144">
        <v>0</v>
      </c>
    </row>
    <row r="122" spans="1:18" ht="15.75" thickBot="1" x14ac:dyDescent="0.3">
      <c r="C122" s="156" t="s">
        <v>97</v>
      </c>
      <c r="D122" s="157"/>
      <c r="E122" s="157"/>
      <c r="F122" s="132">
        <f t="shared" si="2"/>
        <v>0</v>
      </c>
      <c r="G122" s="157"/>
      <c r="H122" s="157"/>
      <c r="I122" s="157"/>
      <c r="J122" s="157"/>
      <c r="K122" s="157"/>
      <c r="L122" s="157"/>
      <c r="M122" s="157"/>
      <c r="N122" s="157"/>
      <c r="O122" s="157"/>
      <c r="P122" s="158"/>
    </row>
    <row r="123" spans="1:18" ht="15.75" thickBot="1" x14ac:dyDescent="0.3">
      <c r="C123" s="153"/>
      <c r="D123" s="154"/>
      <c r="E123" s="154"/>
      <c r="F123" s="132">
        <f t="shared" si="2"/>
        <v>0</v>
      </c>
      <c r="G123" s="154"/>
      <c r="H123" s="154"/>
      <c r="I123" s="154"/>
      <c r="J123" s="154"/>
      <c r="K123" s="154"/>
      <c r="L123" s="154"/>
      <c r="M123" s="154"/>
      <c r="N123" s="154"/>
      <c r="O123" s="154"/>
      <c r="P123" s="155"/>
    </row>
    <row r="124" spans="1:18" ht="15.75" thickBot="1" x14ac:dyDescent="0.3">
      <c r="C124" s="145" t="s">
        <v>83</v>
      </c>
      <c r="D124" s="133">
        <v>727</v>
      </c>
      <c r="E124" s="133">
        <v>334</v>
      </c>
      <c r="F124" s="132">
        <f t="shared" si="2"/>
        <v>663</v>
      </c>
      <c r="G124" s="133">
        <v>64</v>
      </c>
      <c r="H124" s="133">
        <v>26</v>
      </c>
      <c r="I124" s="133">
        <v>715</v>
      </c>
      <c r="J124" s="133">
        <v>327</v>
      </c>
      <c r="K124" s="133">
        <v>64</v>
      </c>
      <c r="L124" s="133">
        <v>26</v>
      </c>
      <c r="M124" s="133">
        <v>12</v>
      </c>
      <c r="N124" s="133">
        <v>7</v>
      </c>
      <c r="O124" s="133">
        <v>0</v>
      </c>
      <c r="P124" s="146">
        <v>0</v>
      </c>
    </row>
    <row r="125" spans="1:18" ht="15.75" thickBot="1" x14ac:dyDescent="0.3">
      <c r="C125" s="143" t="s">
        <v>151</v>
      </c>
      <c r="D125" s="132">
        <v>87</v>
      </c>
      <c r="E125" s="132">
        <v>47</v>
      </c>
      <c r="F125" s="132">
        <f t="shared" si="2"/>
        <v>87</v>
      </c>
      <c r="G125" s="132">
        <v>0</v>
      </c>
      <c r="H125" s="132">
        <v>0</v>
      </c>
      <c r="I125" s="132">
        <v>87</v>
      </c>
      <c r="J125" s="132">
        <v>47</v>
      </c>
      <c r="K125" s="132">
        <v>0</v>
      </c>
      <c r="L125" s="132">
        <v>0</v>
      </c>
      <c r="M125" s="132">
        <v>0</v>
      </c>
      <c r="N125" s="132">
        <v>0</v>
      </c>
      <c r="O125" s="132">
        <v>0</v>
      </c>
      <c r="P125" s="144">
        <v>0</v>
      </c>
    </row>
    <row r="126" spans="1:18" ht="15.75" thickBot="1" x14ac:dyDescent="0.3">
      <c r="C126" s="145" t="s">
        <v>152</v>
      </c>
      <c r="D126" s="133">
        <v>23</v>
      </c>
      <c r="E126" s="133">
        <v>15</v>
      </c>
      <c r="F126" s="132">
        <f t="shared" si="2"/>
        <v>23</v>
      </c>
      <c r="G126" s="133">
        <v>0</v>
      </c>
      <c r="H126" s="133">
        <v>0</v>
      </c>
      <c r="I126" s="133">
        <v>23</v>
      </c>
      <c r="J126" s="133">
        <v>15</v>
      </c>
      <c r="K126" s="133">
        <v>0</v>
      </c>
      <c r="L126" s="133">
        <v>0</v>
      </c>
      <c r="M126" s="133">
        <v>0</v>
      </c>
      <c r="N126" s="133">
        <v>0</v>
      </c>
      <c r="O126" s="133">
        <v>0</v>
      </c>
      <c r="P126" s="146">
        <v>0</v>
      </c>
    </row>
    <row r="127" spans="1:18" ht="15.75" thickBot="1" x14ac:dyDescent="0.3">
      <c r="C127" s="143" t="s">
        <v>85</v>
      </c>
      <c r="D127" s="132">
        <v>449</v>
      </c>
      <c r="E127" s="132">
        <v>205</v>
      </c>
      <c r="F127" s="132">
        <f t="shared" si="2"/>
        <v>413</v>
      </c>
      <c r="G127" s="132">
        <v>36</v>
      </c>
      <c r="H127" s="132">
        <v>17</v>
      </c>
      <c r="I127" s="132">
        <v>444</v>
      </c>
      <c r="J127" s="132">
        <v>202</v>
      </c>
      <c r="K127" s="132">
        <v>36</v>
      </c>
      <c r="L127" s="132">
        <v>17</v>
      </c>
      <c r="M127" s="132">
        <v>5</v>
      </c>
      <c r="N127" s="132">
        <v>3</v>
      </c>
      <c r="O127" s="132">
        <v>0</v>
      </c>
      <c r="P127" s="144">
        <v>0</v>
      </c>
    </row>
    <row r="128" spans="1:18" ht="15.75" thickBot="1" x14ac:dyDescent="0.3">
      <c r="C128" s="145" t="s">
        <v>86</v>
      </c>
      <c r="D128" s="133">
        <v>128</v>
      </c>
      <c r="E128" s="133">
        <v>53</v>
      </c>
      <c r="F128" s="132">
        <f t="shared" si="2"/>
        <v>106</v>
      </c>
      <c r="G128" s="133">
        <v>22</v>
      </c>
      <c r="H128" s="133">
        <v>8</v>
      </c>
      <c r="I128" s="133">
        <v>124</v>
      </c>
      <c r="J128" s="133">
        <v>50</v>
      </c>
      <c r="K128" s="133">
        <v>22</v>
      </c>
      <c r="L128" s="133">
        <v>8</v>
      </c>
      <c r="M128" s="133">
        <v>4</v>
      </c>
      <c r="N128" s="133">
        <v>3</v>
      </c>
      <c r="O128" s="133">
        <v>0</v>
      </c>
      <c r="P128" s="146">
        <v>0</v>
      </c>
    </row>
    <row r="129" spans="1:18" ht="15.75" thickBot="1" x14ac:dyDescent="0.3">
      <c r="A129" s="171">
        <v>158</v>
      </c>
      <c r="B129" t="s">
        <v>21</v>
      </c>
      <c r="C129" s="143" t="s">
        <v>87</v>
      </c>
      <c r="D129" s="132">
        <v>40</v>
      </c>
      <c r="E129" s="132">
        <v>14</v>
      </c>
      <c r="F129" s="132">
        <f t="shared" si="2"/>
        <v>34</v>
      </c>
      <c r="G129" s="132">
        <v>6</v>
      </c>
      <c r="H129" s="132">
        <v>1</v>
      </c>
      <c r="I129" s="132">
        <v>37</v>
      </c>
      <c r="J129" s="132">
        <v>13</v>
      </c>
      <c r="K129" s="132">
        <v>6</v>
      </c>
      <c r="L129" s="132">
        <v>1</v>
      </c>
      <c r="M129" s="132">
        <v>3</v>
      </c>
      <c r="N129" s="132">
        <v>1</v>
      </c>
      <c r="O129" s="132">
        <v>0</v>
      </c>
      <c r="P129" s="144">
        <v>0</v>
      </c>
      <c r="Q129">
        <f>G129/G124</f>
        <v>9.375E-2</v>
      </c>
      <c r="R129">
        <f>F129/F124</f>
        <v>5.128205128205128E-2</v>
      </c>
    </row>
    <row r="130" spans="1:18" ht="15.75" thickBot="1" x14ac:dyDescent="0.3">
      <c r="C130" s="145" t="s">
        <v>153</v>
      </c>
      <c r="D130" s="133">
        <v>6</v>
      </c>
      <c r="E130" s="133">
        <v>1</v>
      </c>
      <c r="F130" s="132">
        <f t="shared" si="2"/>
        <v>4</v>
      </c>
      <c r="G130" s="133">
        <v>2</v>
      </c>
      <c r="H130" s="133">
        <v>1</v>
      </c>
      <c r="I130" s="133">
        <v>6</v>
      </c>
      <c r="J130" s="133">
        <v>1</v>
      </c>
      <c r="K130" s="133">
        <v>2</v>
      </c>
      <c r="L130" s="133">
        <v>1</v>
      </c>
      <c r="M130" s="133">
        <v>0</v>
      </c>
      <c r="N130" s="133">
        <v>0</v>
      </c>
      <c r="O130" s="133">
        <v>0</v>
      </c>
      <c r="P130" s="146">
        <v>0</v>
      </c>
    </row>
    <row r="131" spans="1:18" ht="15.75" thickBot="1" x14ac:dyDescent="0.3">
      <c r="C131" s="143" t="s">
        <v>154</v>
      </c>
      <c r="D131" s="132">
        <v>15</v>
      </c>
      <c r="E131" s="132">
        <v>7</v>
      </c>
      <c r="F131" s="132">
        <f t="shared" si="2"/>
        <v>15</v>
      </c>
      <c r="G131" s="132">
        <v>0</v>
      </c>
      <c r="H131" s="132">
        <v>0</v>
      </c>
      <c r="I131" s="132">
        <v>15</v>
      </c>
      <c r="J131" s="132">
        <v>7</v>
      </c>
      <c r="K131" s="132">
        <v>0</v>
      </c>
      <c r="L131" s="132">
        <v>0</v>
      </c>
      <c r="M131" s="132">
        <v>0</v>
      </c>
      <c r="N131" s="132">
        <v>0</v>
      </c>
      <c r="O131" s="132">
        <v>0</v>
      </c>
      <c r="P131" s="144">
        <v>0</v>
      </c>
    </row>
    <row r="132" spans="1:18" ht="15.75" thickBot="1" x14ac:dyDescent="0.3">
      <c r="C132" s="156" t="s">
        <v>98</v>
      </c>
      <c r="D132" s="157"/>
      <c r="E132" s="157"/>
      <c r="F132" s="132">
        <f t="shared" si="2"/>
        <v>0</v>
      </c>
      <c r="G132" s="157"/>
      <c r="H132" s="157"/>
      <c r="I132" s="157"/>
      <c r="J132" s="157"/>
      <c r="K132" s="157"/>
      <c r="L132" s="157"/>
      <c r="M132" s="157"/>
      <c r="N132" s="157"/>
      <c r="O132" s="157"/>
      <c r="P132" s="158"/>
    </row>
    <row r="133" spans="1:18" ht="15.75" thickBot="1" x14ac:dyDescent="0.3">
      <c r="C133" s="153"/>
      <c r="D133" s="154"/>
      <c r="E133" s="154"/>
      <c r="F133" s="132">
        <f t="shared" si="2"/>
        <v>0</v>
      </c>
      <c r="G133" s="154"/>
      <c r="H133" s="154"/>
      <c r="I133" s="154"/>
      <c r="J133" s="154"/>
      <c r="K133" s="154"/>
      <c r="L133" s="154"/>
      <c r="M133" s="154"/>
      <c r="N133" s="154"/>
      <c r="O133" s="154"/>
      <c r="P133" s="155"/>
    </row>
    <row r="134" spans="1:18" ht="15.75" thickBot="1" x14ac:dyDescent="0.3">
      <c r="C134" s="145" t="s">
        <v>83</v>
      </c>
      <c r="D134" s="133">
        <v>1813</v>
      </c>
      <c r="E134" s="133">
        <v>833</v>
      </c>
      <c r="F134" s="132">
        <f t="shared" si="2"/>
        <v>1645</v>
      </c>
      <c r="G134" s="133">
        <v>168</v>
      </c>
      <c r="H134" s="133">
        <v>66</v>
      </c>
      <c r="I134" s="133">
        <v>1638</v>
      </c>
      <c r="J134" s="133">
        <v>762</v>
      </c>
      <c r="K134" s="133">
        <v>148</v>
      </c>
      <c r="L134" s="133">
        <v>58</v>
      </c>
      <c r="M134" s="133">
        <v>175</v>
      </c>
      <c r="N134" s="133">
        <v>71</v>
      </c>
      <c r="O134" s="133">
        <v>20</v>
      </c>
      <c r="P134" s="146">
        <v>8</v>
      </c>
    </row>
    <row r="135" spans="1:18" ht="15.75" thickBot="1" x14ac:dyDescent="0.3">
      <c r="C135" s="143" t="s">
        <v>151</v>
      </c>
      <c r="D135" s="132">
        <v>320</v>
      </c>
      <c r="E135" s="132">
        <v>168</v>
      </c>
      <c r="F135" s="132">
        <f t="shared" si="2"/>
        <v>302</v>
      </c>
      <c r="G135" s="132">
        <v>18</v>
      </c>
      <c r="H135" s="132">
        <v>6</v>
      </c>
      <c r="I135" s="132">
        <v>306</v>
      </c>
      <c r="J135" s="132">
        <v>161</v>
      </c>
      <c r="K135" s="132">
        <v>17</v>
      </c>
      <c r="L135" s="132">
        <v>6</v>
      </c>
      <c r="M135" s="132">
        <v>14</v>
      </c>
      <c r="N135" s="132">
        <v>7</v>
      </c>
      <c r="O135" s="132">
        <v>1</v>
      </c>
      <c r="P135" s="144">
        <v>0</v>
      </c>
    </row>
    <row r="136" spans="1:18" ht="15.75" thickBot="1" x14ac:dyDescent="0.3">
      <c r="C136" s="145" t="s">
        <v>152</v>
      </c>
      <c r="D136" s="133">
        <v>52</v>
      </c>
      <c r="E136" s="133">
        <v>29</v>
      </c>
      <c r="F136" s="132">
        <f t="shared" si="2"/>
        <v>46</v>
      </c>
      <c r="G136" s="133">
        <v>6</v>
      </c>
      <c r="H136" s="133">
        <v>2</v>
      </c>
      <c r="I136" s="133">
        <v>48</v>
      </c>
      <c r="J136" s="133">
        <v>26</v>
      </c>
      <c r="K136" s="133">
        <v>4</v>
      </c>
      <c r="L136" s="133">
        <v>1</v>
      </c>
      <c r="M136" s="133">
        <v>4</v>
      </c>
      <c r="N136" s="133">
        <v>3</v>
      </c>
      <c r="O136" s="133">
        <v>2</v>
      </c>
      <c r="P136" s="146">
        <v>1</v>
      </c>
    </row>
    <row r="137" spans="1:18" ht="15.75" thickBot="1" x14ac:dyDescent="0.3">
      <c r="C137" s="143" t="s">
        <v>85</v>
      </c>
      <c r="D137" s="132">
        <v>1005</v>
      </c>
      <c r="E137" s="132">
        <v>472</v>
      </c>
      <c r="F137" s="132">
        <f t="shared" si="2"/>
        <v>935</v>
      </c>
      <c r="G137" s="132">
        <v>70</v>
      </c>
      <c r="H137" s="132">
        <v>30</v>
      </c>
      <c r="I137" s="132">
        <v>908</v>
      </c>
      <c r="J137" s="132">
        <v>421</v>
      </c>
      <c r="K137" s="132">
        <v>59</v>
      </c>
      <c r="L137" s="132">
        <v>24</v>
      </c>
      <c r="M137" s="132">
        <v>97</v>
      </c>
      <c r="N137" s="132">
        <v>51</v>
      </c>
      <c r="O137" s="132">
        <v>11</v>
      </c>
      <c r="P137" s="144">
        <v>6</v>
      </c>
    </row>
    <row r="138" spans="1:18" ht="15.75" thickBot="1" x14ac:dyDescent="0.3">
      <c r="C138" s="145" t="s">
        <v>86</v>
      </c>
      <c r="D138" s="133">
        <v>269</v>
      </c>
      <c r="E138" s="133">
        <v>104</v>
      </c>
      <c r="F138" s="132">
        <f t="shared" si="2"/>
        <v>231</v>
      </c>
      <c r="G138" s="133">
        <v>38</v>
      </c>
      <c r="H138" s="133">
        <v>17</v>
      </c>
      <c r="I138" s="133">
        <v>238</v>
      </c>
      <c r="J138" s="133">
        <v>97</v>
      </c>
      <c r="K138" s="133">
        <v>35</v>
      </c>
      <c r="L138" s="133">
        <v>16</v>
      </c>
      <c r="M138" s="133">
        <v>31</v>
      </c>
      <c r="N138" s="133">
        <v>7</v>
      </c>
      <c r="O138" s="133">
        <v>3</v>
      </c>
      <c r="P138" s="146">
        <v>1</v>
      </c>
    </row>
    <row r="139" spans="1:18" ht="15.75" thickBot="1" x14ac:dyDescent="0.3">
      <c r="A139" s="171">
        <v>159</v>
      </c>
      <c r="B139" t="s">
        <v>16</v>
      </c>
      <c r="C139" s="143" t="s">
        <v>87</v>
      </c>
      <c r="D139" s="132">
        <v>167</v>
      </c>
      <c r="E139" s="132">
        <v>60</v>
      </c>
      <c r="F139" s="132">
        <f t="shared" si="2"/>
        <v>131</v>
      </c>
      <c r="G139" s="132">
        <v>36</v>
      </c>
      <c r="H139" s="132">
        <v>11</v>
      </c>
      <c r="I139" s="132">
        <v>138</v>
      </c>
      <c r="J139" s="132">
        <v>57</v>
      </c>
      <c r="K139" s="132">
        <v>33</v>
      </c>
      <c r="L139" s="132">
        <v>11</v>
      </c>
      <c r="M139" s="132">
        <v>29</v>
      </c>
      <c r="N139" s="132">
        <v>3</v>
      </c>
      <c r="O139" s="132">
        <v>3</v>
      </c>
      <c r="P139" s="144">
        <v>0</v>
      </c>
      <c r="Q139">
        <f>G139/G134</f>
        <v>0.21428571428571427</v>
      </c>
      <c r="R139">
        <f>F139/F134</f>
        <v>7.9635258358662614E-2</v>
      </c>
    </row>
    <row r="140" spans="1:18" ht="15.75" thickBot="1" x14ac:dyDescent="0.3">
      <c r="C140" s="145" t="s">
        <v>153</v>
      </c>
      <c r="D140" s="133">
        <v>56</v>
      </c>
      <c r="E140" s="133">
        <v>23</v>
      </c>
      <c r="F140" s="132">
        <f t="shared" si="2"/>
        <v>49</v>
      </c>
      <c r="G140" s="133">
        <v>7</v>
      </c>
      <c r="H140" s="133">
        <v>2</v>
      </c>
      <c r="I140" s="133">
        <v>43</v>
      </c>
      <c r="J140" s="133">
        <v>21</v>
      </c>
      <c r="K140" s="133">
        <v>5</v>
      </c>
      <c r="L140" s="133">
        <v>2</v>
      </c>
      <c r="M140" s="133">
        <v>13</v>
      </c>
      <c r="N140" s="133">
        <v>2</v>
      </c>
      <c r="O140" s="133">
        <v>2</v>
      </c>
      <c r="P140" s="146">
        <v>0</v>
      </c>
    </row>
    <row r="141" spans="1:18" ht="15.75" thickBot="1" x14ac:dyDescent="0.3">
      <c r="C141" s="143" t="s">
        <v>154</v>
      </c>
      <c r="D141" s="132">
        <v>25</v>
      </c>
      <c r="E141" s="132">
        <v>9</v>
      </c>
      <c r="F141" s="132">
        <f t="shared" si="2"/>
        <v>23</v>
      </c>
      <c r="G141" s="132">
        <v>2</v>
      </c>
      <c r="H141" s="132">
        <v>1</v>
      </c>
      <c r="I141" s="132">
        <v>24</v>
      </c>
      <c r="J141" s="132">
        <v>9</v>
      </c>
      <c r="K141" s="132">
        <v>2</v>
      </c>
      <c r="L141" s="132">
        <v>1</v>
      </c>
      <c r="M141" s="132">
        <v>1</v>
      </c>
      <c r="N141" s="132">
        <v>0</v>
      </c>
      <c r="O141" s="132">
        <v>0</v>
      </c>
      <c r="P141" s="144">
        <v>0</v>
      </c>
    </row>
    <row r="142" spans="1:18" ht="15.75" thickBot="1" x14ac:dyDescent="0.3">
      <c r="C142" s="156" t="s">
        <v>99</v>
      </c>
      <c r="D142" s="157"/>
      <c r="E142" s="157"/>
      <c r="F142" s="132">
        <f t="shared" si="2"/>
        <v>0</v>
      </c>
      <c r="G142" s="157"/>
      <c r="H142" s="157"/>
      <c r="I142" s="157"/>
      <c r="J142" s="157"/>
      <c r="K142" s="157"/>
      <c r="L142" s="157"/>
      <c r="M142" s="157"/>
      <c r="N142" s="157"/>
      <c r="O142" s="157"/>
      <c r="P142" s="158"/>
    </row>
    <row r="143" spans="1:18" ht="15.75" thickBot="1" x14ac:dyDescent="0.3">
      <c r="C143" s="153"/>
      <c r="D143" s="154"/>
      <c r="E143" s="154"/>
      <c r="F143" s="132">
        <f t="shared" si="2"/>
        <v>0</v>
      </c>
      <c r="G143" s="154"/>
      <c r="H143" s="154"/>
      <c r="I143" s="154"/>
      <c r="J143" s="154"/>
      <c r="K143" s="154"/>
      <c r="L143" s="154"/>
      <c r="M143" s="154"/>
      <c r="N143" s="154"/>
      <c r="O143" s="154"/>
      <c r="P143" s="155"/>
    </row>
    <row r="144" spans="1:18" ht="15.75" thickBot="1" x14ac:dyDescent="0.3">
      <c r="C144" s="145" t="s">
        <v>83</v>
      </c>
      <c r="D144" s="133">
        <v>14101</v>
      </c>
      <c r="E144" s="133">
        <v>6405</v>
      </c>
      <c r="F144" s="132">
        <f t="shared" si="2"/>
        <v>12288</v>
      </c>
      <c r="G144" s="133">
        <v>1813</v>
      </c>
      <c r="H144" s="133">
        <v>865</v>
      </c>
      <c r="I144" s="133">
        <v>13188</v>
      </c>
      <c r="J144" s="133">
        <v>5998</v>
      </c>
      <c r="K144" s="133">
        <v>1746</v>
      </c>
      <c r="L144" s="133">
        <v>833</v>
      </c>
      <c r="M144" s="133">
        <v>913</v>
      </c>
      <c r="N144" s="133">
        <v>407</v>
      </c>
      <c r="O144" s="133">
        <v>67</v>
      </c>
      <c r="P144" s="146">
        <v>32</v>
      </c>
    </row>
    <row r="145" spans="1:18" ht="15.75" thickBot="1" x14ac:dyDescent="0.3">
      <c r="C145" s="143" t="s">
        <v>151</v>
      </c>
      <c r="D145" s="132">
        <v>1649</v>
      </c>
      <c r="E145" s="132">
        <v>905</v>
      </c>
      <c r="F145" s="132">
        <f t="shared" si="2"/>
        <v>1581</v>
      </c>
      <c r="G145" s="132">
        <v>68</v>
      </c>
      <c r="H145" s="132">
        <v>31</v>
      </c>
      <c r="I145" s="132">
        <v>1521</v>
      </c>
      <c r="J145" s="132">
        <v>834</v>
      </c>
      <c r="K145" s="132">
        <v>67</v>
      </c>
      <c r="L145" s="132">
        <v>31</v>
      </c>
      <c r="M145" s="132">
        <v>128</v>
      </c>
      <c r="N145" s="132">
        <v>71</v>
      </c>
      <c r="O145" s="132">
        <v>1</v>
      </c>
      <c r="P145" s="144">
        <v>0</v>
      </c>
    </row>
    <row r="146" spans="1:18" ht="15.75" thickBot="1" x14ac:dyDescent="0.3">
      <c r="C146" s="145" t="s">
        <v>152</v>
      </c>
      <c r="D146" s="133">
        <v>506</v>
      </c>
      <c r="E146" s="133">
        <v>254</v>
      </c>
      <c r="F146" s="132">
        <f t="shared" si="2"/>
        <v>463</v>
      </c>
      <c r="G146" s="133">
        <v>43</v>
      </c>
      <c r="H146" s="133">
        <v>21</v>
      </c>
      <c r="I146" s="133">
        <v>489</v>
      </c>
      <c r="J146" s="133">
        <v>246</v>
      </c>
      <c r="K146" s="133">
        <v>43</v>
      </c>
      <c r="L146" s="133">
        <v>21</v>
      </c>
      <c r="M146" s="133">
        <v>17</v>
      </c>
      <c r="N146" s="133">
        <v>8</v>
      </c>
      <c r="O146" s="133">
        <v>0</v>
      </c>
      <c r="P146" s="146">
        <v>0</v>
      </c>
    </row>
    <row r="147" spans="1:18" ht="15.75" thickBot="1" x14ac:dyDescent="0.3">
      <c r="C147" s="143" t="s">
        <v>85</v>
      </c>
      <c r="D147" s="132">
        <v>8310</v>
      </c>
      <c r="E147" s="132">
        <v>3754</v>
      </c>
      <c r="F147" s="132">
        <f t="shared" si="2"/>
        <v>7404</v>
      </c>
      <c r="G147" s="132">
        <v>906</v>
      </c>
      <c r="H147" s="132">
        <v>449</v>
      </c>
      <c r="I147" s="132">
        <v>7751</v>
      </c>
      <c r="J147" s="132">
        <v>3505</v>
      </c>
      <c r="K147" s="132">
        <v>862</v>
      </c>
      <c r="L147" s="132">
        <v>427</v>
      </c>
      <c r="M147" s="132">
        <v>559</v>
      </c>
      <c r="N147" s="132">
        <v>249</v>
      </c>
      <c r="O147" s="132">
        <v>44</v>
      </c>
      <c r="P147" s="144">
        <v>22</v>
      </c>
    </row>
    <row r="148" spans="1:18" ht="15.75" thickBot="1" x14ac:dyDescent="0.3">
      <c r="C148" s="145" t="s">
        <v>86</v>
      </c>
      <c r="D148" s="133">
        <v>2449</v>
      </c>
      <c r="E148" s="133">
        <v>992</v>
      </c>
      <c r="F148" s="132">
        <f t="shared" si="2"/>
        <v>1991</v>
      </c>
      <c r="G148" s="133">
        <v>458</v>
      </c>
      <c r="H148" s="133">
        <v>212</v>
      </c>
      <c r="I148" s="133">
        <v>2326</v>
      </c>
      <c r="J148" s="133">
        <v>952</v>
      </c>
      <c r="K148" s="133">
        <v>445</v>
      </c>
      <c r="L148" s="133">
        <v>205</v>
      </c>
      <c r="M148" s="133">
        <v>123</v>
      </c>
      <c r="N148" s="133">
        <v>40</v>
      </c>
      <c r="O148" s="133">
        <v>13</v>
      </c>
      <c r="P148" s="146">
        <v>7</v>
      </c>
    </row>
    <row r="149" spans="1:18" ht="15.75" thickBot="1" x14ac:dyDescent="0.3">
      <c r="A149" s="171">
        <v>2</v>
      </c>
      <c r="B149" t="s">
        <v>223</v>
      </c>
      <c r="C149" s="143" t="s">
        <v>87</v>
      </c>
      <c r="D149" s="132">
        <v>1187</v>
      </c>
      <c r="E149" s="132">
        <v>500</v>
      </c>
      <c r="F149" s="132">
        <f t="shared" si="2"/>
        <v>849</v>
      </c>
      <c r="G149" s="132">
        <v>338</v>
      </c>
      <c r="H149" s="132">
        <v>152</v>
      </c>
      <c r="I149" s="132">
        <v>1101</v>
      </c>
      <c r="J149" s="132">
        <v>461</v>
      </c>
      <c r="K149" s="132">
        <v>329</v>
      </c>
      <c r="L149" s="132">
        <v>149</v>
      </c>
      <c r="M149" s="132">
        <v>86</v>
      </c>
      <c r="N149" s="132">
        <v>39</v>
      </c>
      <c r="O149" s="132">
        <v>9</v>
      </c>
      <c r="P149" s="144">
        <v>3</v>
      </c>
      <c r="Q149">
        <f>G149/G144</f>
        <v>0.18643132928847214</v>
      </c>
      <c r="R149">
        <f>F149/F144</f>
        <v>6.9091796875E-2</v>
      </c>
    </row>
    <row r="150" spans="1:18" ht="15.75" thickBot="1" x14ac:dyDescent="0.3">
      <c r="C150" s="145" t="s">
        <v>153</v>
      </c>
      <c r="D150" s="133">
        <v>293</v>
      </c>
      <c r="E150" s="133">
        <v>136</v>
      </c>
      <c r="F150" s="132">
        <f t="shared" si="2"/>
        <v>243</v>
      </c>
      <c r="G150" s="133">
        <v>50</v>
      </c>
      <c r="H150" s="133">
        <v>28</v>
      </c>
      <c r="I150" s="133">
        <v>274</v>
      </c>
      <c r="J150" s="133">
        <v>125</v>
      </c>
      <c r="K150" s="133">
        <v>47</v>
      </c>
      <c r="L150" s="133">
        <v>27</v>
      </c>
      <c r="M150" s="133">
        <v>19</v>
      </c>
      <c r="N150" s="133">
        <v>11</v>
      </c>
      <c r="O150" s="133">
        <v>3</v>
      </c>
      <c r="P150" s="146">
        <v>1</v>
      </c>
    </row>
    <row r="151" spans="1:18" ht="15.75" thickBot="1" x14ac:dyDescent="0.3">
      <c r="C151" s="143" t="s">
        <v>154</v>
      </c>
      <c r="D151" s="132">
        <v>194</v>
      </c>
      <c r="E151" s="132">
        <v>78</v>
      </c>
      <c r="F151" s="132">
        <f t="shared" si="2"/>
        <v>164</v>
      </c>
      <c r="G151" s="132">
        <v>30</v>
      </c>
      <c r="H151" s="132">
        <v>12</v>
      </c>
      <c r="I151" s="132">
        <v>176</v>
      </c>
      <c r="J151" s="132">
        <v>69</v>
      </c>
      <c r="K151" s="132">
        <v>30</v>
      </c>
      <c r="L151" s="132">
        <v>12</v>
      </c>
      <c r="M151" s="132">
        <v>18</v>
      </c>
      <c r="N151" s="132">
        <v>9</v>
      </c>
      <c r="O151" s="132">
        <v>0</v>
      </c>
      <c r="P151" s="144">
        <v>0</v>
      </c>
    </row>
    <row r="152" spans="1:18" ht="15.75" thickBot="1" x14ac:dyDescent="0.3">
      <c r="C152" s="156" t="s">
        <v>100</v>
      </c>
      <c r="D152" s="157"/>
      <c r="E152" s="157"/>
      <c r="F152" s="132">
        <f t="shared" si="2"/>
        <v>0</v>
      </c>
      <c r="G152" s="157"/>
      <c r="H152" s="157"/>
      <c r="I152" s="157"/>
      <c r="J152" s="157"/>
      <c r="K152" s="157"/>
      <c r="L152" s="157"/>
      <c r="M152" s="157"/>
      <c r="N152" s="157"/>
      <c r="O152" s="157"/>
      <c r="P152" s="158"/>
    </row>
    <row r="153" spans="1:18" ht="15.75" thickBot="1" x14ac:dyDescent="0.3">
      <c r="C153" s="153"/>
      <c r="D153" s="154"/>
      <c r="E153" s="154"/>
      <c r="F153" s="132">
        <f t="shared" si="2"/>
        <v>0</v>
      </c>
      <c r="G153" s="154"/>
      <c r="H153" s="154"/>
      <c r="I153" s="154"/>
      <c r="J153" s="154"/>
      <c r="K153" s="154"/>
      <c r="L153" s="154"/>
      <c r="M153" s="154"/>
      <c r="N153" s="154"/>
      <c r="O153" s="154"/>
      <c r="P153" s="155"/>
    </row>
    <row r="154" spans="1:18" ht="15.75" thickBot="1" x14ac:dyDescent="0.3">
      <c r="C154" s="145" t="s">
        <v>83</v>
      </c>
      <c r="D154" s="133">
        <v>7346</v>
      </c>
      <c r="E154" s="133">
        <v>3342</v>
      </c>
      <c r="F154" s="132">
        <f t="shared" si="2"/>
        <v>6249</v>
      </c>
      <c r="G154" s="133">
        <v>1097</v>
      </c>
      <c r="H154" s="133">
        <v>513</v>
      </c>
      <c r="I154" s="133">
        <v>6831</v>
      </c>
      <c r="J154" s="133">
        <v>3107</v>
      </c>
      <c r="K154" s="133">
        <v>1049</v>
      </c>
      <c r="L154" s="133">
        <v>491</v>
      </c>
      <c r="M154" s="133">
        <v>515</v>
      </c>
      <c r="N154" s="133">
        <v>235</v>
      </c>
      <c r="O154" s="133">
        <v>48</v>
      </c>
      <c r="P154" s="146">
        <v>22</v>
      </c>
    </row>
    <row r="155" spans="1:18" ht="15.75" thickBot="1" x14ac:dyDescent="0.3">
      <c r="C155" s="143" t="s">
        <v>151</v>
      </c>
      <c r="D155" s="132">
        <v>1197</v>
      </c>
      <c r="E155" s="132">
        <v>663</v>
      </c>
      <c r="F155" s="132">
        <f t="shared" si="2"/>
        <v>1147</v>
      </c>
      <c r="G155" s="132">
        <v>50</v>
      </c>
      <c r="H155" s="132">
        <v>21</v>
      </c>
      <c r="I155" s="132">
        <v>1084</v>
      </c>
      <c r="J155" s="132">
        <v>603</v>
      </c>
      <c r="K155" s="132">
        <v>50</v>
      </c>
      <c r="L155" s="132">
        <v>21</v>
      </c>
      <c r="M155" s="132">
        <v>113</v>
      </c>
      <c r="N155" s="132">
        <v>60</v>
      </c>
      <c r="O155" s="132">
        <v>0</v>
      </c>
      <c r="P155" s="144">
        <v>0</v>
      </c>
    </row>
    <row r="156" spans="1:18" ht="15.75" thickBot="1" x14ac:dyDescent="0.3">
      <c r="C156" s="145" t="s">
        <v>152</v>
      </c>
      <c r="D156" s="133">
        <v>340</v>
      </c>
      <c r="E156" s="133">
        <v>161</v>
      </c>
      <c r="F156" s="132">
        <f t="shared" si="2"/>
        <v>302</v>
      </c>
      <c r="G156" s="133">
        <v>38</v>
      </c>
      <c r="H156" s="133">
        <v>19</v>
      </c>
      <c r="I156" s="133">
        <v>337</v>
      </c>
      <c r="J156" s="133">
        <v>159</v>
      </c>
      <c r="K156" s="133">
        <v>38</v>
      </c>
      <c r="L156" s="133">
        <v>19</v>
      </c>
      <c r="M156" s="133">
        <v>3</v>
      </c>
      <c r="N156" s="133">
        <v>2</v>
      </c>
      <c r="O156" s="133">
        <v>0</v>
      </c>
      <c r="P156" s="146">
        <v>0</v>
      </c>
    </row>
    <row r="157" spans="1:18" ht="15.75" thickBot="1" x14ac:dyDescent="0.3">
      <c r="C157" s="143" t="s">
        <v>85</v>
      </c>
      <c r="D157" s="132">
        <v>4074</v>
      </c>
      <c r="E157" s="132">
        <v>1814</v>
      </c>
      <c r="F157" s="132">
        <f t="shared" si="2"/>
        <v>3512</v>
      </c>
      <c r="G157" s="132">
        <v>562</v>
      </c>
      <c r="H157" s="132">
        <v>283</v>
      </c>
      <c r="I157" s="132">
        <v>3795</v>
      </c>
      <c r="J157" s="132">
        <v>1690</v>
      </c>
      <c r="K157" s="132">
        <v>534</v>
      </c>
      <c r="L157" s="132">
        <v>269</v>
      </c>
      <c r="M157" s="132">
        <v>279</v>
      </c>
      <c r="N157" s="132">
        <v>124</v>
      </c>
      <c r="O157" s="132">
        <v>28</v>
      </c>
      <c r="P157" s="144">
        <v>14</v>
      </c>
    </row>
    <row r="158" spans="1:18" ht="15.75" thickBot="1" x14ac:dyDescent="0.3">
      <c r="C158" s="145" t="s">
        <v>86</v>
      </c>
      <c r="D158" s="133">
        <v>1182</v>
      </c>
      <c r="E158" s="133">
        <v>463</v>
      </c>
      <c r="F158" s="132">
        <f t="shared" si="2"/>
        <v>919</v>
      </c>
      <c r="G158" s="133">
        <v>263</v>
      </c>
      <c r="H158" s="133">
        <v>110</v>
      </c>
      <c r="I158" s="133">
        <v>1108</v>
      </c>
      <c r="J158" s="133">
        <v>437</v>
      </c>
      <c r="K158" s="133">
        <v>250</v>
      </c>
      <c r="L158" s="133">
        <v>103</v>
      </c>
      <c r="M158" s="133">
        <v>74</v>
      </c>
      <c r="N158" s="133">
        <v>26</v>
      </c>
      <c r="O158" s="133">
        <v>13</v>
      </c>
      <c r="P158" s="146">
        <v>7</v>
      </c>
    </row>
    <row r="159" spans="1:18" ht="15.75" thickBot="1" x14ac:dyDescent="0.3">
      <c r="A159" s="171">
        <v>241</v>
      </c>
      <c r="B159" t="s">
        <v>224</v>
      </c>
      <c r="C159" s="143" t="s">
        <v>87</v>
      </c>
      <c r="D159" s="132">
        <v>553</v>
      </c>
      <c r="E159" s="132">
        <v>241</v>
      </c>
      <c r="F159" s="132">
        <f t="shared" si="2"/>
        <v>369</v>
      </c>
      <c r="G159" s="132">
        <v>184</v>
      </c>
      <c r="H159" s="132">
        <v>80</v>
      </c>
      <c r="I159" s="132">
        <v>507</v>
      </c>
      <c r="J159" s="132">
        <v>218</v>
      </c>
      <c r="K159" s="132">
        <v>177</v>
      </c>
      <c r="L159" s="132">
        <v>79</v>
      </c>
      <c r="M159" s="132">
        <v>46</v>
      </c>
      <c r="N159" s="132">
        <v>23</v>
      </c>
      <c r="O159" s="132">
        <v>7</v>
      </c>
      <c r="P159" s="144">
        <v>1</v>
      </c>
      <c r="Q159">
        <f>G159/G154</f>
        <v>0.16773017319963537</v>
      </c>
      <c r="R159">
        <f>F159/F154</f>
        <v>5.9049447911665866E-2</v>
      </c>
    </row>
    <row r="160" spans="1:18" ht="15.75" thickBot="1" x14ac:dyDescent="0.3">
      <c r="C160" s="145" t="s">
        <v>153</v>
      </c>
      <c r="D160" s="133">
        <v>121</v>
      </c>
      <c r="E160" s="133">
        <v>61</v>
      </c>
      <c r="F160" s="132">
        <f t="shared" si="2"/>
        <v>94</v>
      </c>
      <c r="G160" s="133">
        <v>27</v>
      </c>
      <c r="H160" s="133">
        <v>14</v>
      </c>
      <c r="I160" s="133">
        <v>109</v>
      </c>
      <c r="J160" s="133">
        <v>54</v>
      </c>
      <c r="K160" s="133">
        <v>25</v>
      </c>
      <c r="L160" s="133">
        <v>14</v>
      </c>
      <c r="M160" s="133">
        <v>12</v>
      </c>
      <c r="N160" s="133">
        <v>7</v>
      </c>
      <c r="O160" s="133">
        <v>2</v>
      </c>
      <c r="P160" s="146">
        <v>0</v>
      </c>
    </row>
    <row r="161" spans="1:18" ht="15.75" thickBot="1" x14ac:dyDescent="0.3">
      <c r="C161" s="143" t="s">
        <v>154</v>
      </c>
      <c r="D161" s="132">
        <v>76</v>
      </c>
      <c r="E161" s="132">
        <v>29</v>
      </c>
      <c r="F161" s="132">
        <f t="shared" si="2"/>
        <v>60</v>
      </c>
      <c r="G161" s="132">
        <v>16</v>
      </c>
      <c r="H161" s="132">
        <v>6</v>
      </c>
      <c r="I161" s="132">
        <v>69</v>
      </c>
      <c r="J161" s="132">
        <v>26</v>
      </c>
      <c r="K161" s="132">
        <v>16</v>
      </c>
      <c r="L161" s="132">
        <v>6</v>
      </c>
      <c r="M161" s="132">
        <v>7</v>
      </c>
      <c r="N161" s="132">
        <v>3</v>
      </c>
      <c r="O161" s="132">
        <v>0</v>
      </c>
      <c r="P161" s="144">
        <v>0</v>
      </c>
    </row>
    <row r="162" spans="1:18" ht="15.75" thickBot="1" x14ac:dyDescent="0.3">
      <c r="C162" s="156" t="s">
        <v>101</v>
      </c>
      <c r="D162" s="157"/>
      <c r="E162" s="157"/>
      <c r="F162" s="132">
        <f t="shared" si="2"/>
        <v>0</v>
      </c>
      <c r="G162" s="157"/>
      <c r="H162" s="157"/>
      <c r="I162" s="157"/>
      <c r="J162" s="157"/>
      <c r="K162" s="157"/>
      <c r="L162" s="157"/>
      <c r="M162" s="157"/>
      <c r="N162" s="157"/>
      <c r="O162" s="157"/>
      <c r="P162" s="158"/>
    </row>
    <row r="163" spans="1:18" ht="15.75" thickBot="1" x14ac:dyDescent="0.3">
      <c r="C163" s="153"/>
      <c r="D163" s="154"/>
      <c r="E163" s="154"/>
      <c r="F163" s="132">
        <f t="shared" si="2"/>
        <v>0</v>
      </c>
      <c r="G163" s="154"/>
      <c r="H163" s="154"/>
      <c r="I163" s="154"/>
      <c r="J163" s="154"/>
      <c r="K163" s="154"/>
      <c r="L163" s="154"/>
      <c r="M163" s="154"/>
      <c r="N163" s="154"/>
      <c r="O163" s="154"/>
      <c r="P163" s="155"/>
    </row>
    <row r="164" spans="1:18" ht="15.75" thickBot="1" x14ac:dyDescent="0.3">
      <c r="C164" s="145" t="s">
        <v>83</v>
      </c>
      <c r="D164" s="133">
        <v>3119</v>
      </c>
      <c r="E164" s="133">
        <v>1498</v>
      </c>
      <c r="F164" s="132">
        <f t="shared" ref="F164:F231" si="3">D164-G164</f>
        <v>2565</v>
      </c>
      <c r="G164" s="133">
        <v>554</v>
      </c>
      <c r="H164" s="133">
        <v>260</v>
      </c>
      <c r="I164" s="133">
        <v>2729</v>
      </c>
      <c r="J164" s="133">
        <v>1315</v>
      </c>
      <c r="K164" s="133">
        <v>513</v>
      </c>
      <c r="L164" s="133">
        <v>242</v>
      </c>
      <c r="M164" s="133">
        <v>390</v>
      </c>
      <c r="N164" s="133">
        <v>183</v>
      </c>
      <c r="O164" s="133">
        <v>41</v>
      </c>
      <c r="P164" s="146">
        <v>18</v>
      </c>
    </row>
    <row r="165" spans="1:18" ht="15.75" thickBot="1" x14ac:dyDescent="0.3">
      <c r="C165" s="143" t="s">
        <v>151</v>
      </c>
      <c r="D165" s="132">
        <v>707</v>
      </c>
      <c r="E165" s="132">
        <v>401</v>
      </c>
      <c r="F165" s="132">
        <f t="shared" si="3"/>
        <v>673</v>
      </c>
      <c r="G165" s="132">
        <v>34</v>
      </c>
      <c r="H165" s="132">
        <v>13</v>
      </c>
      <c r="I165" s="132">
        <v>628</v>
      </c>
      <c r="J165" s="132">
        <v>359</v>
      </c>
      <c r="K165" s="132">
        <v>34</v>
      </c>
      <c r="L165" s="132">
        <v>13</v>
      </c>
      <c r="M165" s="132">
        <v>79</v>
      </c>
      <c r="N165" s="132">
        <v>42</v>
      </c>
      <c r="O165" s="132">
        <v>0</v>
      </c>
      <c r="P165" s="144">
        <v>0</v>
      </c>
    </row>
    <row r="166" spans="1:18" ht="15.75" thickBot="1" x14ac:dyDescent="0.3">
      <c r="C166" s="145" t="s">
        <v>152</v>
      </c>
      <c r="D166" s="133">
        <v>176</v>
      </c>
      <c r="E166" s="133">
        <v>84</v>
      </c>
      <c r="F166" s="132">
        <f t="shared" si="3"/>
        <v>148</v>
      </c>
      <c r="G166" s="133">
        <v>28</v>
      </c>
      <c r="H166" s="133">
        <v>15</v>
      </c>
      <c r="I166" s="133">
        <v>173</v>
      </c>
      <c r="J166" s="133">
        <v>82</v>
      </c>
      <c r="K166" s="133">
        <v>28</v>
      </c>
      <c r="L166" s="133">
        <v>15</v>
      </c>
      <c r="M166" s="133">
        <v>3</v>
      </c>
      <c r="N166" s="133">
        <v>2</v>
      </c>
      <c r="O166" s="133">
        <v>0</v>
      </c>
      <c r="P166" s="146">
        <v>0</v>
      </c>
    </row>
    <row r="167" spans="1:18" ht="15.75" thickBot="1" x14ac:dyDescent="0.3">
      <c r="C167" s="143" t="s">
        <v>85</v>
      </c>
      <c r="D167" s="132">
        <v>1422</v>
      </c>
      <c r="E167" s="132">
        <v>657</v>
      </c>
      <c r="F167" s="132">
        <f t="shared" si="3"/>
        <v>1161</v>
      </c>
      <c r="G167" s="132">
        <v>261</v>
      </c>
      <c r="H167" s="132">
        <v>127</v>
      </c>
      <c r="I167" s="132">
        <v>1204</v>
      </c>
      <c r="J167" s="132">
        <v>556</v>
      </c>
      <c r="K167" s="132">
        <v>234</v>
      </c>
      <c r="L167" s="132">
        <v>114</v>
      </c>
      <c r="M167" s="132">
        <v>218</v>
      </c>
      <c r="N167" s="132">
        <v>101</v>
      </c>
      <c r="O167" s="132">
        <v>27</v>
      </c>
      <c r="P167" s="144">
        <v>13</v>
      </c>
    </row>
    <row r="168" spans="1:18" ht="15.75" thickBot="1" x14ac:dyDescent="0.3">
      <c r="C168" s="145" t="s">
        <v>86</v>
      </c>
      <c r="D168" s="133">
        <v>531</v>
      </c>
      <c r="E168" s="133">
        <v>220</v>
      </c>
      <c r="F168" s="132">
        <f t="shared" si="3"/>
        <v>398</v>
      </c>
      <c r="G168" s="133">
        <v>133</v>
      </c>
      <c r="H168" s="133">
        <v>59</v>
      </c>
      <c r="I168" s="133">
        <v>477</v>
      </c>
      <c r="J168" s="133">
        <v>202</v>
      </c>
      <c r="K168" s="133">
        <v>124</v>
      </c>
      <c r="L168" s="133">
        <v>55</v>
      </c>
      <c r="M168" s="133">
        <v>54</v>
      </c>
      <c r="N168" s="133">
        <v>18</v>
      </c>
      <c r="O168" s="133">
        <v>9</v>
      </c>
      <c r="P168" s="146">
        <v>4</v>
      </c>
    </row>
    <row r="169" spans="1:18" ht="15.75" thickBot="1" x14ac:dyDescent="0.3">
      <c r="A169" s="171">
        <v>241001</v>
      </c>
      <c r="B169" t="s">
        <v>225</v>
      </c>
      <c r="C169" s="143" t="s">
        <v>87</v>
      </c>
      <c r="D169" s="132">
        <v>283</v>
      </c>
      <c r="E169" s="132">
        <v>136</v>
      </c>
      <c r="F169" s="132">
        <f t="shared" si="3"/>
        <v>185</v>
      </c>
      <c r="G169" s="132">
        <v>98</v>
      </c>
      <c r="H169" s="132">
        <v>46</v>
      </c>
      <c r="I169" s="132">
        <v>247</v>
      </c>
      <c r="J169" s="132">
        <v>116</v>
      </c>
      <c r="K169" s="132">
        <v>93</v>
      </c>
      <c r="L169" s="132">
        <v>45</v>
      </c>
      <c r="M169" s="132">
        <v>36</v>
      </c>
      <c r="N169" s="132">
        <v>20</v>
      </c>
      <c r="O169" s="132">
        <v>5</v>
      </c>
      <c r="P169" s="144">
        <v>1</v>
      </c>
      <c r="Q169">
        <f>G169/G164</f>
        <v>0.17689530685920576</v>
      </c>
      <c r="R169">
        <f>F169/F164</f>
        <v>7.2124756335282647E-2</v>
      </c>
    </row>
    <row r="170" spans="1:18" ht="15.75" thickBot="1" x14ac:dyDescent="0.3">
      <c r="C170" s="145" t="s">
        <v>153</v>
      </c>
      <c r="D170" s="133">
        <v>58</v>
      </c>
      <c r="E170" s="133">
        <v>36</v>
      </c>
      <c r="F170" s="175">
        <f t="shared" si="3"/>
        <v>39</v>
      </c>
      <c r="G170" s="133">
        <v>19</v>
      </c>
      <c r="H170" s="133">
        <v>11</v>
      </c>
      <c r="I170" s="133">
        <v>47</v>
      </c>
      <c r="J170" s="133">
        <v>29</v>
      </c>
      <c r="K170" s="133">
        <v>17</v>
      </c>
      <c r="L170" s="133">
        <v>11</v>
      </c>
      <c r="M170" s="133">
        <v>11</v>
      </c>
      <c r="N170" s="133">
        <v>7</v>
      </c>
      <c r="O170" s="133">
        <v>2</v>
      </c>
      <c r="P170" s="146">
        <v>0</v>
      </c>
    </row>
    <row r="171" spans="1:18" ht="15.75" thickBot="1" x14ac:dyDescent="0.3">
      <c r="C171" s="143" t="s">
        <v>154</v>
      </c>
      <c r="D171" s="132">
        <v>24</v>
      </c>
      <c r="E171" s="181">
        <v>10</v>
      </c>
      <c r="F171" s="180">
        <f t="shared" si="3"/>
        <v>15</v>
      </c>
      <c r="G171" s="182">
        <v>9</v>
      </c>
      <c r="H171" s="132">
        <v>3</v>
      </c>
      <c r="I171" s="132">
        <v>22</v>
      </c>
      <c r="J171" s="132">
        <v>9</v>
      </c>
      <c r="K171" s="132">
        <v>9</v>
      </c>
      <c r="L171" s="132">
        <v>3</v>
      </c>
      <c r="M171" s="132">
        <v>2</v>
      </c>
      <c r="N171" s="132">
        <v>1</v>
      </c>
      <c r="O171" s="132">
        <v>0</v>
      </c>
      <c r="P171" s="144">
        <v>0</v>
      </c>
    </row>
    <row r="172" spans="1:18" ht="15.75" thickBot="1" x14ac:dyDescent="0.3">
      <c r="C172" s="162"/>
      <c r="D172" s="174"/>
      <c r="E172" s="174"/>
      <c r="F172" s="183"/>
      <c r="G172" s="174"/>
      <c r="H172" s="174"/>
      <c r="I172" s="174"/>
      <c r="J172" s="174"/>
      <c r="K172" s="174"/>
      <c r="L172" s="174"/>
      <c r="M172" s="174"/>
      <c r="N172" s="174"/>
      <c r="O172" s="174"/>
      <c r="P172" s="176"/>
    </row>
    <row r="173" spans="1:18" ht="15.75" thickBot="1" x14ac:dyDescent="0.3">
      <c r="C173" s="145" t="s">
        <v>83</v>
      </c>
      <c r="D173" s="184">
        <f>D154-D164</f>
        <v>4227</v>
      </c>
      <c r="E173" s="184">
        <f t="shared" ref="E173:P173" si="4">E154-E164</f>
        <v>1844</v>
      </c>
      <c r="F173" s="184">
        <f t="shared" si="4"/>
        <v>3684</v>
      </c>
      <c r="G173" s="184">
        <f t="shared" si="4"/>
        <v>543</v>
      </c>
      <c r="H173" s="184">
        <f t="shared" si="4"/>
        <v>253</v>
      </c>
      <c r="I173" s="184">
        <f t="shared" si="4"/>
        <v>4102</v>
      </c>
      <c r="J173" s="184">
        <f t="shared" si="4"/>
        <v>1792</v>
      </c>
      <c r="K173" s="184">
        <f t="shared" si="4"/>
        <v>536</v>
      </c>
      <c r="L173" s="184">
        <f t="shared" si="4"/>
        <v>249</v>
      </c>
      <c r="M173" s="184">
        <f t="shared" si="4"/>
        <v>125</v>
      </c>
      <c r="N173" s="184">
        <f t="shared" si="4"/>
        <v>52</v>
      </c>
      <c r="O173" s="184">
        <f t="shared" si="4"/>
        <v>7</v>
      </c>
      <c r="P173" s="184">
        <f t="shared" si="4"/>
        <v>4</v>
      </c>
    </row>
    <row r="174" spans="1:18" ht="15.75" thickBot="1" x14ac:dyDescent="0.3">
      <c r="A174" s="169">
        <v>241999</v>
      </c>
      <c r="B174" t="s">
        <v>232</v>
      </c>
      <c r="C174" s="162" t="s">
        <v>87</v>
      </c>
      <c r="D174" s="180">
        <f>D159-D169</f>
        <v>270</v>
      </c>
      <c r="E174" s="180">
        <f t="shared" ref="E174:P174" si="5">E159-E169</f>
        <v>105</v>
      </c>
      <c r="F174" s="180">
        <f t="shared" si="5"/>
        <v>184</v>
      </c>
      <c r="G174" s="180">
        <f t="shared" si="5"/>
        <v>86</v>
      </c>
      <c r="H174" s="180">
        <f t="shared" si="5"/>
        <v>34</v>
      </c>
      <c r="I174" s="180">
        <f t="shared" si="5"/>
        <v>260</v>
      </c>
      <c r="J174" s="180">
        <f t="shared" si="5"/>
        <v>102</v>
      </c>
      <c r="K174" s="180">
        <f t="shared" si="5"/>
        <v>84</v>
      </c>
      <c r="L174" s="180">
        <f t="shared" si="5"/>
        <v>34</v>
      </c>
      <c r="M174" s="180">
        <f t="shared" si="5"/>
        <v>10</v>
      </c>
      <c r="N174" s="180">
        <f t="shared" si="5"/>
        <v>3</v>
      </c>
      <c r="O174" s="180">
        <f t="shared" si="5"/>
        <v>2</v>
      </c>
      <c r="P174" s="180">
        <f t="shared" si="5"/>
        <v>0</v>
      </c>
      <c r="Q174">
        <f>G174/G173</f>
        <v>0.15837937384898712</v>
      </c>
      <c r="R174">
        <f>F174/F173</f>
        <v>4.9945711183496201E-2</v>
      </c>
    </row>
    <row r="175" spans="1:18" ht="15.75" thickBot="1" x14ac:dyDescent="0.3">
      <c r="C175" s="162"/>
      <c r="D175" s="177"/>
      <c r="E175" s="177"/>
      <c r="F175" s="178"/>
      <c r="G175" s="177"/>
      <c r="H175" s="177"/>
      <c r="I175" s="177"/>
      <c r="J175" s="177"/>
      <c r="K175" s="177"/>
      <c r="L175" s="177"/>
      <c r="M175" s="177"/>
      <c r="N175" s="177"/>
      <c r="O175" s="177"/>
      <c r="P175" s="179"/>
    </row>
    <row r="176" spans="1:18" ht="15.75" thickBot="1" x14ac:dyDescent="0.3">
      <c r="C176" s="156" t="s">
        <v>102</v>
      </c>
      <c r="D176" s="157"/>
      <c r="E176" s="157"/>
      <c r="F176" s="132">
        <f t="shared" si="3"/>
        <v>0</v>
      </c>
      <c r="G176" s="157"/>
      <c r="H176" s="157"/>
      <c r="I176" s="157"/>
      <c r="J176" s="157"/>
      <c r="K176" s="157"/>
      <c r="L176" s="157"/>
      <c r="M176" s="157"/>
      <c r="N176" s="157"/>
      <c r="O176" s="157"/>
      <c r="P176" s="158"/>
    </row>
    <row r="177" spans="1:18" ht="15.75" thickBot="1" x14ac:dyDescent="0.3">
      <c r="C177" s="153"/>
      <c r="D177" s="154"/>
      <c r="E177" s="154"/>
      <c r="F177" s="132">
        <f t="shared" si="3"/>
        <v>0</v>
      </c>
      <c r="G177" s="154"/>
      <c r="H177" s="154"/>
      <c r="I177" s="154"/>
      <c r="J177" s="154"/>
      <c r="K177" s="154"/>
      <c r="L177" s="154"/>
      <c r="M177" s="154"/>
      <c r="N177" s="154"/>
      <c r="O177" s="154"/>
      <c r="P177" s="155"/>
    </row>
    <row r="178" spans="1:18" ht="15.75" thickBot="1" x14ac:dyDescent="0.3">
      <c r="C178" s="145" t="s">
        <v>83</v>
      </c>
      <c r="D178" s="133">
        <v>1492</v>
      </c>
      <c r="E178" s="133">
        <v>652</v>
      </c>
      <c r="F178" s="132">
        <f t="shared" si="3"/>
        <v>1353</v>
      </c>
      <c r="G178" s="133">
        <v>139</v>
      </c>
      <c r="H178" s="133">
        <v>63</v>
      </c>
      <c r="I178" s="133">
        <v>1418</v>
      </c>
      <c r="J178" s="133">
        <v>628</v>
      </c>
      <c r="K178" s="133">
        <v>138</v>
      </c>
      <c r="L178" s="133">
        <v>62</v>
      </c>
      <c r="M178" s="133">
        <v>74</v>
      </c>
      <c r="N178" s="133">
        <v>24</v>
      </c>
      <c r="O178" s="133">
        <v>1</v>
      </c>
      <c r="P178" s="146">
        <v>1</v>
      </c>
    </row>
    <row r="179" spans="1:18" ht="15.75" thickBot="1" x14ac:dyDescent="0.3">
      <c r="C179" s="143" t="s">
        <v>151</v>
      </c>
      <c r="D179" s="132">
        <v>28</v>
      </c>
      <c r="E179" s="132">
        <v>14</v>
      </c>
      <c r="F179" s="132">
        <f t="shared" si="3"/>
        <v>28</v>
      </c>
      <c r="G179" s="132">
        <v>0</v>
      </c>
      <c r="H179" s="132">
        <v>0</v>
      </c>
      <c r="I179" s="132">
        <v>28</v>
      </c>
      <c r="J179" s="132">
        <v>14</v>
      </c>
      <c r="K179" s="132">
        <v>0</v>
      </c>
      <c r="L179" s="132">
        <v>0</v>
      </c>
      <c r="M179" s="132">
        <v>0</v>
      </c>
      <c r="N179" s="132">
        <v>0</v>
      </c>
      <c r="O179" s="132">
        <v>0</v>
      </c>
      <c r="P179" s="144">
        <v>0</v>
      </c>
    </row>
    <row r="180" spans="1:18" ht="15.75" thickBot="1" x14ac:dyDescent="0.3">
      <c r="C180" s="145" t="s">
        <v>152</v>
      </c>
      <c r="D180" s="133">
        <v>23</v>
      </c>
      <c r="E180" s="133">
        <v>10</v>
      </c>
      <c r="F180" s="132">
        <f t="shared" si="3"/>
        <v>22</v>
      </c>
      <c r="G180" s="133">
        <v>1</v>
      </c>
      <c r="H180" s="133">
        <v>1</v>
      </c>
      <c r="I180" s="133">
        <v>20</v>
      </c>
      <c r="J180" s="133">
        <v>9</v>
      </c>
      <c r="K180" s="133">
        <v>1</v>
      </c>
      <c r="L180" s="133">
        <v>1</v>
      </c>
      <c r="M180" s="133">
        <v>3</v>
      </c>
      <c r="N180" s="133">
        <v>1</v>
      </c>
      <c r="O180" s="133">
        <v>0</v>
      </c>
      <c r="P180" s="146">
        <v>0</v>
      </c>
    </row>
    <row r="181" spans="1:18" ht="15.75" thickBot="1" x14ac:dyDescent="0.3">
      <c r="C181" s="143" t="s">
        <v>85</v>
      </c>
      <c r="D181" s="132">
        <v>1085</v>
      </c>
      <c r="E181" s="132">
        <v>489</v>
      </c>
      <c r="F181" s="132">
        <f t="shared" si="3"/>
        <v>1024</v>
      </c>
      <c r="G181" s="132">
        <v>61</v>
      </c>
      <c r="H181" s="132">
        <v>34</v>
      </c>
      <c r="I181" s="132">
        <v>1031</v>
      </c>
      <c r="J181" s="132">
        <v>470</v>
      </c>
      <c r="K181" s="132">
        <v>60</v>
      </c>
      <c r="L181" s="132">
        <v>33</v>
      </c>
      <c r="M181" s="132">
        <v>54</v>
      </c>
      <c r="N181" s="132">
        <v>19</v>
      </c>
      <c r="O181" s="132">
        <v>1</v>
      </c>
      <c r="P181" s="144">
        <v>1</v>
      </c>
    </row>
    <row r="182" spans="1:18" ht="15.75" thickBot="1" x14ac:dyDescent="0.3">
      <c r="C182" s="145" t="s">
        <v>86</v>
      </c>
      <c r="D182" s="133">
        <v>254</v>
      </c>
      <c r="E182" s="133">
        <v>99</v>
      </c>
      <c r="F182" s="132">
        <f t="shared" si="3"/>
        <v>210</v>
      </c>
      <c r="G182" s="133">
        <v>44</v>
      </c>
      <c r="H182" s="133">
        <v>17</v>
      </c>
      <c r="I182" s="133">
        <v>245</v>
      </c>
      <c r="J182" s="133">
        <v>97</v>
      </c>
      <c r="K182" s="133">
        <v>44</v>
      </c>
      <c r="L182" s="133">
        <v>17</v>
      </c>
      <c r="M182" s="133">
        <v>9</v>
      </c>
      <c r="N182" s="133">
        <v>2</v>
      </c>
      <c r="O182" s="133">
        <v>0</v>
      </c>
      <c r="P182" s="146">
        <v>0</v>
      </c>
    </row>
    <row r="183" spans="1:18" ht="15.75" thickBot="1" x14ac:dyDescent="0.3">
      <c r="A183" s="171">
        <v>251</v>
      </c>
      <c r="B183" t="s">
        <v>26</v>
      </c>
      <c r="C183" s="143" t="s">
        <v>87</v>
      </c>
      <c r="D183" s="132">
        <v>102</v>
      </c>
      <c r="E183" s="132">
        <v>40</v>
      </c>
      <c r="F183" s="132">
        <f t="shared" si="3"/>
        <v>69</v>
      </c>
      <c r="G183" s="132">
        <v>33</v>
      </c>
      <c r="H183" s="132">
        <v>11</v>
      </c>
      <c r="I183" s="132">
        <v>94</v>
      </c>
      <c r="J183" s="132">
        <v>38</v>
      </c>
      <c r="K183" s="132">
        <v>33</v>
      </c>
      <c r="L183" s="132">
        <v>11</v>
      </c>
      <c r="M183" s="132">
        <v>8</v>
      </c>
      <c r="N183" s="132">
        <v>2</v>
      </c>
      <c r="O183" s="132">
        <v>0</v>
      </c>
      <c r="P183" s="144">
        <v>0</v>
      </c>
      <c r="Q183">
        <f>G183/G178</f>
        <v>0.23741007194244604</v>
      </c>
      <c r="R183">
        <f>F183/F178</f>
        <v>5.0997782705099776E-2</v>
      </c>
    </row>
    <row r="184" spans="1:18" ht="15.75" thickBot="1" x14ac:dyDescent="0.3">
      <c r="C184" s="145" t="s">
        <v>153</v>
      </c>
      <c r="D184" s="133">
        <v>31</v>
      </c>
      <c r="E184" s="133">
        <v>14</v>
      </c>
      <c r="F184" s="132">
        <f t="shared" si="3"/>
        <v>28</v>
      </c>
      <c r="G184" s="133">
        <v>3</v>
      </c>
      <c r="H184" s="133">
        <v>1</v>
      </c>
      <c r="I184" s="133">
        <v>30</v>
      </c>
      <c r="J184" s="133">
        <v>14</v>
      </c>
      <c r="K184" s="133">
        <v>3</v>
      </c>
      <c r="L184" s="133">
        <v>1</v>
      </c>
      <c r="M184" s="133">
        <v>1</v>
      </c>
      <c r="N184" s="133">
        <v>0</v>
      </c>
      <c r="O184" s="133">
        <v>0</v>
      </c>
      <c r="P184" s="146">
        <v>0</v>
      </c>
    </row>
    <row r="185" spans="1:18" ht="15.75" thickBot="1" x14ac:dyDescent="0.3">
      <c r="C185" s="143" t="s">
        <v>154</v>
      </c>
      <c r="D185" s="132">
        <v>3</v>
      </c>
      <c r="E185" s="132">
        <v>2</v>
      </c>
      <c r="F185" s="132">
        <f t="shared" si="3"/>
        <v>3</v>
      </c>
      <c r="G185" s="132">
        <v>0</v>
      </c>
      <c r="H185" s="132">
        <v>0</v>
      </c>
      <c r="I185" s="132">
        <v>3</v>
      </c>
      <c r="J185" s="132">
        <v>2</v>
      </c>
      <c r="K185" s="132">
        <v>0</v>
      </c>
      <c r="L185" s="132">
        <v>0</v>
      </c>
      <c r="M185" s="132">
        <v>0</v>
      </c>
      <c r="N185" s="132">
        <v>0</v>
      </c>
      <c r="O185" s="132">
        <v>0</v>
      </c>
      <c r="P185" s="144">
        <v>0</v>
      </c>
    </row>
    <row r="186" spans="1:18" ht="15.75" thickBot="1" x14ac:dyDescent="0.3">
      <c r="C186" s="156" t="s">
        <v>103</v>
      </c>
      <c r="D186" s="157"/>
      <c r="E186" s="157"/>
      <c r="F186" s="132">
        <f t="shared" si="3"/>
        <v>0</v>
      </c>
      <c r="G186" s="157"/>
      <c r="H186" s="157"/>
      <c r="I186" s="157"/>
      <c r="J186" s="157"/>
      <c r="K186" s="157"/>
      <c r="L186" s="157"/>
      <c r="M186" s="157"/>
      <c r="N186" s="157"/>
      <c r="O186" s="157"/>
      <c r="P186" s="158"/>
    </row>
    <row r="187" spans="1:18" ht="15.75" thickBot="1" x14ac:dyDescent="0.3">
      <c r="C187" s="153"/>
      <c r="D187" s="154"/>
      <c r="E187" s="154"/>
      <c r="F187" s="132">
        <f t="shared" si="3"/>
        <v>0</v>
      </c>
      <c r="G187" s="154"/>
      <c r="H187" s="154"/>
      <c r="I187" s="154"/>
      <c r="J187" s="154"/>
      <c r="K187" s="154"/>
      <c r="L187" s="154"/>
      <c r="M187" s="154"/>
      <c r="N187" s="154"/>
      <c r="O187" s="154"/>
      <c r="P187" s="155"/>
    </row>
    <row r="188" spans="1:18" ht="15.75" thickBot="1" x14ac:dyDescent="0.3">
      <c r="C188" s="145" t="s">
        <v>83</v>
      </c>
      <c r="D188" s="133">
        <v>1012</v>
      </c>
      <c r="E188" s="133">
        <v>480</v>
      </c>
      <c r="F188" s="132">
        <f t="shared" si="3"/>
        <v>883</v>
      </c>
      <c r="G188" s="133">
        <v>129</v>
      </c>
      <c r="H188" s="133">
        <v>61</v>
      </c>
      <c r="I188" s="133">
        <v>1012</v>
      </c>
      <c r="J188" s="133">
        <v>480</v>
      </c>
      <c r="K188" s="133">
        <v>129</v>
      </c>
      <c r="L188" s="133">
        <v>61</v>
      </c>
      <c r="M188" s="133">
        <v>0</v>
      </c>
      <c r="N188" s="133">
        <v>0</v>
      </c>
      <c r="O188" s="133">
        <v>0</v>
      </c>
      <c r="P188" s="146">
        <v>0</v>
      </c>
    </row>
    <row r="189" spans="1:18" ht="15.75" thickBot="1" x14ac:dyDescent="0.3">
      <c r="C189" s="143" t="s">
        <v>151</v>
      </c>
      <c r="D189" s="132">
        <v>40</v>
      </c>
      <c r="E189" s="132">
        <v>21</v>
      </c>
      <c r="F189" s="132">
        <f t="shared" si="3"/>
        <v>39</v>
      </c>
      <c r="G189" s="132">
        <v>1</v>
      </c>
      <c r="H189" s="132">
        <v>1</v>
      </c>
      <c r="I189" s="132">
        <v>40</v>
      </c>
      <c r="J189" s="132">
        <v>21</v>
      </c>
      <c r="K189" s="132">
        <v>1</v>
      </c>
      <c r="L189" s="132">
        <v>1</v>
      </c>
      <c r="M189" s="132">
        <v>0</v>
      </c>
      <c r="N189" s="132">
        <v>0</v>
      </c>
      <c r="O189" s="132">
        <v>0</v>
      </c>
      <c r="P189" s="144">
        <v>0</v>
      </c>
    </row>
    <row r="190" spans="1:18" ht="15.75" thickBot="1" x14ac:dyDescent="0.3">
      <c r="C190" s="145" t="s">
        <v>152</v>
      </c>
      <c r="D190" s="133">
        <v>13</v>
      </c>
      <c r="E190" s="133">
        <v>7</v>
      </c>
      <c r="F190" s="132">
        <f t="shared" si="3"/>
        <v>13</v>
      </c>
      <c r="G190" s="133">
        <v>0</v>
      </c>
      <c r="H190" s="133">
        <v>0</v>
      </c>
      <c r="I190" s="133">
        <v>13</v>
      </c>
      <c r="J190" s="133">
        <v>7</v>
      </c>
      <c r="K190" s="133">
        <v>0</v>
      </c>
      <c r="L190" s="133">
        <v>0</v>
      </c>
      <c r="M190" s="133">
        <v>0</v>
      </c>
      <c r="N190" s="133">
        <v>0</v>
      </c>
      <c r="O190" s="133">
        <v>0</v>
      </c>
      <c r="P190" s="146">
        <v>0</v>
      </c>
    </row>
    <row r="191" spans="1:18" ht="15.75" thickBot="1" x14ac:dyDescent="0.3">
      <c r="C191" s="143" t="s">
        <v>85</v>
      </c>
      <c r="D191" s="132">
        <v>644</v>
      </c>
      <c r="E191" s="132">
        <v>315</v>
      </c>
      <c r="F191" s="132">
        <f t="shared" si="3"/>
        <v>587</v>
      </c>
      <c r="G191" s="132">
        <v>57</v>
      </c>
      <c r="H191" s="132">
        <v>22</v>
      </c>
      <c r="I191" s="132">
        <v>644</v>
      </c>
      <c r="J191" s="132">
        <v>315</v>
      </c>
      <c r="K191" s="132">
        <v>57</v>
      </c>
      <c r="L191" s="132">
        <v>22</v>
      </c>
      <c r="M191" s="132">
        <v>0</v>
      </c>
      <c r="N191" s="132">
        <v>0</v>
      </c>
      <c r="O191" s="132">
        <v>0</v>
      </c>
      <c r="P191" s="144">
        <v>0</v>
      </c>
    </row>
    <row r="192" spans="1:18" ht="15.75" thickBot="1" x14ac:dyDescent="0.3">
      <c r="C192" s="145" t="s">
        <v>86</v>
      </c>
      <c r="D192" s="133">
        <v>185</v>
      </c>
      <c r="E192" s="133">
        <v>86</v>
      </c>
      <c r="F192" s="132">
        <f t="shared" si="3"/>
        <v>148</v>
      </c>
      <c r="G192" s="133">
        <v>37</v>
      </c>
      <c r="H192" s="133">
        <v>24</v>
      </c>
      <c r="I192" s="133">
        <v>185</v>
      </c>
      <c r="J192" s="133">
        <v>86</v>
      </c>
      <c r="K192" s="133">
        <v>37</v>
      </c>
      <c r="L192" s="133">
        <v>24</v>
      </c>
      <c r="M192" s="133">
        <v>0</v>
      </c>
      <c r="N192" s="133">
        <v>0</v>
      </c>
      <c r="O192" s="133">
        <v>0</v>
      </c>
      <c r="P192" s="146">
        <v>0</v>
      </c>
    </row>
    <row r="193" spans="1:18" ht="15.75" thickBot="1" x14ac:dyDescent="0.3">
      <c r="A193" s="171">
        <v>252</v>
      </c>
      <c r="B193" t="s">
        <v>27</v>
      </c>
      <c r="C193" s="143" t="s">
        <v>87</v>
      </c>
      <c r="D193" s="132">
        <v>130</v>
      </c>
      <c r="E193" s="132">
        <v>51</v>
      </c>
      <c r="F193" s="132">
        <f t="shared" si="3"/>
        <v>96</v>
      </c>
      <c r="G193" s="132">
        <v>34</v>
      </c>
      <c r="H193" s="132">
        <v>14</v>
      </c>
      <c r="I193" s="132">
        <v>130</v>
      </c>
      <c r="J193" s="132">
        <v>51</v>
      </c>
      <c r="K193" s="132">
        <v>34</v>
      </c>
      <c r="L193" s="132">
        <v>14</v>
      </c>
      <c r="M193" s="132">
        <v>0</v>
      </c>
      <c r="N193" s="132">
        <v>0</v>
      </c>
      <c r="O193" s="132">
        <v>0</v>
      </c>
      <c r="P193" s="144">
        <v>0</v>
      </c>
      <c r="Q193">
        <f>G193/G188</f>
        <v>0.26356589147286824</v>
      </c>
      <c r="R193">
        <f>F193/F188</f>
        <v>0.1087202718006795</v>
      </c>
    </row>
    <row r="194" spans="1:18" ht="15.75" thickBot="1" x14ac:dyDescent="0.3">
      <c r="C194" s="145" t="s">
        <v>153</v>
      </c>
      <c r="D194" s="133">
        <v>22</v>
      </c>
      <c r="E194" s="133">
        <v>7</v>
      </c>
      <c r="F194" s="132">
        <f t="shared" si="3"/>
        <v>19</v>
      </c>
      <c r="G194" s="133">
        <v>3</v>
      </c>
      <c r="H194" s="133">
        <v>2</v>
      </c>
      <c r="I194" s="133">
        <v>22</v>
      </c>
      <c r="J194" s="133">
        <v>7</v>
      </c>
      <c r="K194" s="133">
        <v>3</v>
      </c>
      <c r="L194" s="133">
        <v>2</v>
      </c>
      <c r="M194" s="133">
        <v>0</v>
      </c>
      <c r="N194" s="133">
        <v>0</v>
      </c>
      <c r="O194" s="133">
        <v>0</v>
      </c>
      <c r="P194" s="146">
        <v>0</v>
      </c>
    </row>
    <row r="195" spans="1:18" ht="15.75" thickBot="1" x14ac:dyDescent="0.3">
      <c r="C195" s="143" t="s">
        <v>154</v>
      </c>
      <c r="D195" s="132">
        <v>28</v>
      </c>
      <c r="E195" s="132">
        <v>10</v>
      </c>
      <c r="F195" s="132">
        <f t="shared" si="3"/>
        <v>26</v>
      </c>
      <c r="G195" s="132">
        <v>2</v>
      </c>
      <c r="H195" s="132">
        <v>1</v>
      </c>
      <c r="I195" s="132">
        <v>28</v>
      </c>
      <c r="J195" s="132">
        <v>10</v>
      </c>
      <c r="K195" s="132">
        <v>2</v>
      </c>
      <c r="L195" s="132">
        <v>1</v>
      </c>
      <c r="M195" s="132">
        <v>0</v>
      </c>
      <c r="N195" s="132">
        <v>0</v>
      </c>
      <c r="O195" s="132">
        <v>0</v>
      </c>
      <c r="P195" s="144">
        <v>0</v>
      </c>
    </row>
    <row r="196" spans="1:18" ht="15.75" thickBot="1" x14ac:dyDescent="0.3">
      <c r="C196" s="156" t="s">
        <v>104</v>
      </c>
      <c r="D196" s="157"/>
      <c r="E196" s="157"/>
      <c r="F196" s="132">
        <f t="shared" si="3"/>
        <v>0</v>
      </c>
      <c r="G196" s="157"/>
      <c r="H196" s="157"/>
      <c r="I196" s="157"/>
      <c r="J196" s="157"/>
      <c r="K196" s="157"/>
      <c r="L196" s="157"/>
      <c r="M196" s="157"/>
      <c r="N196" s="157"/>
      <c r="O196" s="157"/>
      <c r="P196" s="158"/>
    </row>
    <row r="197" spans="1:18" ht="15.75" thickBot="1" x14ac:dyDescent="0.3">
      <c r="C197" s="153"/>
      <c r="D197" s="154"/>
      <c r="E197" s="154"/>
      <c r="F197" s="132">
        <f t="shared" si="3"/>
        <v>0</v>
      </c>
      <c r="G197" s="154"/>
      <c r="H197" s="154"/>
      <c r="I197" s="154"/>
      <c r="J197" s="154"/>
      <c r="K197" s="154"/>
      <c r="L197" s="154"/>
      <c r="M197" s="154"/>
      <c r="N197" s="154"/>
      <c r="O197" s="154"/>
      <c r="P197" s="155"/>
    </row>
    <row r="198" spans="1:18" ht="15.75" thickBot="1" x14ac:dyDescent="0.3">
      <c r="C198" s="145" t="s">
        <v>83</v>
      </c>
      <c r="D198" s="133">
        <v>1981</v>
      </c>
      <c r="E198" s="133">
        <v>927</v>
      </c>
      <c r="F198" s="132">
        <f t="shared" si="3"/>
        <v>1775</v>
      </c>
      <c r="G198" s="133">
        <v>206</v>
      </c>
      <c r="H198" s="133">
        <v>109</v>
      </c>
      <c r="I198" s="133">
        <v>1693</v>
      </c>
      <c r="J198" s="133">
        <v>789</v>
      </c>
      <c r="K198" s="133">
        <v>191</v>
      </c>
      <c r="L198" s="133">
        <v>101</v>
      </c>
      <c r="M198" s="133">
        <v>288</v>
      </c>
      <c r="N198" s="133">
        <v>138</v>
      </c>
      <c r="O198" s="133">
        <v>15</v>
      </c>
      <c r="P198" s="146">
        <v>8</v>
      </c>
    </row>
    <row r="199" spans="1:18" ht="15.75" thickBot="1" x14ac:dyDescent="0.3">
      <c r="C199" s="143" t="s">
        <v>151</v>
      </c>
      <c r="D199" s="132">
        <v>193</v>
      </c>
      <c r="E199" s="132">
        <v>112</v>
      </c>
      <c r="F199" s="132">
        <f t="shared" si="3"/>
        <v>190</v>
      </c>
      <c r="G199" s="132">
        <v>3</v>
      </c>
      <c r="H199" s="132">
        <v>1</v>
      </c>
      <c r="I199" s="132">
        <v>178</v>
      </c>
      <c r="J199" s="132">
        <v>101</v>
      </c>
      <c r="K199" s="132">
        <v>2</v>
      </c>
      <c r="L199" s="132">
        <v>1</v>
      </c>
      <c r="M199" s="132">
        <v>15</v>
      </c>
      <c r="N199" s="132">
        <v>11</v>
      </c>
      <c r="O199" s="132">
        <v>1</v>
      </c>
      <c r="P199" s="144">
        <v>0</v>
      </c>
    </row>
    <row r="200" spans="1:18" ht="15.75" thickBot="1" x14ac:dyDescent="0.3">
      <c r="C200" s="145" t="s">
        <v>152</v>
      </c>
      <c r="D200" s="133">
        <v>58</v>
      </c>
      <c r="E200" s="133">
        <v>33</v>
      </c>
      <c r="F200" s="132">
        <f t="shared" si="3"/>
        <v>56</v>
      </c>
      <c r="G200" s="133">
        <v>2</v>
      </c>
      <c r="H200" s="133">
        <v>0</v>
      </c>
      <c r="I200" s="133">
        <v>50</v>
      </c>
      <c r="J200" s="133">
        <v>29</v>
      </c>
      <c r="K200" s="133">
        <v>2</v>
      </c>
      <c r="L200" s="133">
        <v>0</v>
      </c>
      <c r="M200" s="133">
        <v>8</v>
      </c>
      <c r="N200" s="133">
        <v>4</v>
      </c>
      <c r="O200" s="133">
        <v>0</v>
      </c>
      <c r="P200" s="146">
        <v>0</v>
      </c>
    </row>
    <row r="201" spans="1:18" ht="15.75" thickBot="1" x14ac:dyDescent="0.3">
      <c r="C201" s="143" t="s">
        <v>85</v>
      </c>
      <c r="D201" s="132">
        <v>1231</v>
      </c>
      <c r="E201" s="132">
        <v>566</v>
      </c>
      <c r="F201" s="132">
        <f t="shared" si="3"/>
        <v>1131</v>
      </c>
      <c r="G201" s="132">
        <v>100</v>
      </c>
      <c r="H201" s="132">
        <v>49</v>
      </c>
      <c r="I201" s="132">
        <v>1020</v>
      </c>
      <c r="J201" s="132">
        <v>464</v>
      </c>
      <c r="K201" s="132">
        <v>88</v>
      </c>
      <c r="L201" s="132">
        <v>43</v>
      </c>
      <c r="M201" s="132">
        <v>211</v>
      </c>
      <c r="N201" s="132">
        <v>102</v>
      </c>
      <c r="O201" s="132">
        <v>12</v>
      </c>
      <c r="P201" s="144">
        <v>6</v>
      </c>
    </row>
    <row r="202" spans="1:18" ht="15.75" thickBot="1" x14ac:dyDescent="0.3">
      <c r="C202" s="145" t="s">
        <v>86</v>
      </c>
      <c r="D202" s="133">
        <v>337</v>
      </c>
      <c r="E202" s="133">
        <v>143</v>
      </c>
      <c r="F202" s="132">
        <f t="shared" si="3"/>
        <v>277</v>
      </c>
      <c r="G202" s="133">
        <v>60</v>
      </c>
      <c r="H202" s="133">
        <v>35</v>
      </c>
      <c r="I202" s="133">
        <v>313</v>
      </c>
      <c r="J202" s="133">
        <v>135</v>
      </c>
      <c r="K202" s="133">
        <v>60</v>
      </c>
      <c r="L202" s="133">
        <v>35</v>
      </c>
      <c r="M202" s="133">
        <v>24</v>
      </c>
      <c r="N202" s="133">
        <v>8</v>
      </c>
      <c r="O202" s="133">
        <v>0</v>
      </c>
      <c r="P202" s="146">
        <v>0</v>
      </c>
    </row>
    <row r="203" spans="1:18" ht="15.75" thickBot="1" x14ac:dyDescent="0.3">
      <c r="A203" s="171">
        <v>254</v>
      </c>
      <c r="B203" t="s">
        <v>28</v>
      </c>
      <c r="C203" s="143" t="s">
        <v>87</v>
      </c>
      <c r="D203" s="132">
        <v>162</v>
      </c>
      <c r="E203" s="132">
        <v>73</v>
      </c>
      <c r="F203" s="132">
        <f t="shared" si="3"/>
        <v>121</v>
      </c>
      <c r="G203" s="132">
        <v>41</v>
      </c>
      <c r="H203" s="132">
        <v>24</v>
      </c>
      <c r="I203" s="132">
        <v>132</v>
      </c>
      <c r="J203" s="132">
        <v>60</v>
      </c>
      <c r="K203" s="132">
        <v>39</v>
      </c>
      <c r="L203" s="132">
        <v>22</v>
      </c>
      <c r="M203" s="132">
        <v>30</v>
      </c>
      <c r="N203" s="132">
        <v>13</v>
      </c>
      <c r="O203" s="132">
        <v>2</v>
      </c>
      <c r="P203" s="144">
        <v>2</v>
      </c>
      <c r="Q203">
        <f>G203/G198</f>
        <v>0.19902912621359223</v>
      </c>
      <c r="R203">
        <f>F203/F198</f>
        <v>6.816901408450704E-2</v>
      </c>
    </row>
    <row r="204" spans="1:18" ht="15.75" thickBot="1" x14ac:dyDescent="0.3">
      <c r="C204" s="145" t="s">
        <v>153</v>
      </c>
      <c r="D204" s="133">
        <v>33</v>
      </c>
      <c r="E204" s="133">
        <v>20</v>
      </c>
      <c r="F204" s="132">
        <f t="shared" si="3"/>
        <v>27</v>
      </c>
      <c r="G204" s="133">
        <v>6</v>
      </c>
      <c r="H204" s="133">
        <v>4</v>
      </c>
      <c r="I204" s="133">
        <v>27</v>
      </c>
      <c r="J204" s="133">
        <v>16</v>
      </c>
      <c r="K204" s="133">
        <v>5</v>
      </c>
      <c r="L204" s="133">
        <v>3</v>
      </c>
      <c r="M204" s="133">
        <v>6</v>
      </c>
      <c r="N204" s="133">
        <v>4</v>
      </c>
      <c r="O204" s="133">
        <v>1</v>
      </c>
      <c r="P204" s="146">
        <v>1</v>
      </c>
    </row>
    <row r="205" spans="1:18" ht="15.75" thickBot="1" x14ac:dyDescent="0.3">
      <c r="C205" s="143" t="s">
        <v>154</v>
      </c>
      <c r="D205" s="132">
        <v>51</v>
      </c>
      <c r="E205" s="132">
        <v>24</v>
      </c>
      <c r="F205" s="132">
        <f t="shared" si="3"/>
        <v>45</v>
      </c>
      <c r="G205" s="132">
        <v>6</v>
      </c>
      <c r="H205" s="132">
        <v>3</v>
      </c>
      <c r="I205" s="132">
        <v>40</v>
      </c>
      <c r="J205" s="132">
        <v>18</v>
      </c>
      <c r="K205" s="132">
        <v>6</v>
      </c>
      <c r="L205" s="132">
        <v>3</v>
      </c>
      <c r="M205" s="132">
        <v>11</v>
      </c>
      <c r="N205" s="132">
        <v>6</v>
      </c>
      <c r="O205" s="132">
        <v>0</v>
      </c>
      <c r="P205" s="144">
        <v>0</v>
      </c>
    </row>
    <row r="206" spans="1:18" ht="15.75" thickBot="1" x14ac:dyDescent="0.3">
      <c r="C206" s="156" t="s">
        <v>105</v>
      </c>
      <c r="D206" s="157"/>
      <c r="E206" s="157"/>
      <c r="F206" s="132">
        <f t="shared" si="3"/>
        <v>0</v>
      </c>
      <c r="G206" s="157"/>
      <c r="H206" s="157"/>
      <c r="I206" s="157"/>
      <c r="J206" s="157"/>
      <c r="K206" s="157"/>
      <c r="L206" s="157"/>
      <c r="M206" s="157"/>
      <c r="N206" s="157"/>
      <c r="O206" s="157"/>
      <c r="P206" s="158"/>
    </row>
    <row r="207" spans="1:18" ht="15.75" thickBot="1" x14ac:dyDescent="0.3">
      <c r="C207" s="153"/>
      <c r="D207" s="154"/>
      <c r="E207" s="154"/>
      <c r="F207" s="132">
        <f t="shared" si="3"/>
        <v>0</v>
      </c>
      <c r="G207" s="154"/>
      <c r="H207" s="154"/>
      <c r="I207" s="154"/>
      <c r="J207" s="154"/>
      <c r="K207" s="154"/>
      <c r="L207" s="154"/>
      <c r="M207" s="154"/>
      <c r="N207" s="154"/>
      <c r="O207" s="154"/>
      <c r="P207" s="155"/>
    </row>
    <row r="208" spans="1:18" ht="15.75" thickBot="1" x14ac:dyDescent="0.3">
      <c r="C208" s="145" t="s">
        <v>83</v>
      </c>
      <c r="D208" s="133">
        <v>383</v>
      </c>
      <c r="E208" s="133">
        <v>171</v>
      </c>
      <c r="F208" s="132">
        <f t="shared" si="3"/>
        <v>344</v>
      </c>
      <c r="G208" s="133">
        <v>39</v>
      </c>
      <c r="H208" s="133">
        <v>20</v>
      </c>
      <c r="I208" s="133">
        <v>375</v>
      </c>
      <c r="J208" s="133">
        <v>168</v>
      </c>
      <c r="K208" s="133">
        <v>36</v>
      </c>
      <c r="L208" s="133">
        <v>19</v>
      </c>
      <c r="M208" s="133">
        <v>8</v>
      </c>
      <c r="N208" s="133">
        <v>3</v>
      </c>
      <c r="O208" s="133">
        <v>3</v>
      </c>
      <c r="P208" s="146">
        <v>1</v>
      </c>
    </row>
    <row r="209" spans="1:18" ht="15.75" thickBot="1" x14ac:dyDescent="0.3">
      <c r="C209" s="143" t="s">
        <v>152</v>
      </c>
      <c r="D209" s="132">
        <v>6</v>
      </c>
      <c r="E209" s="132">
        <v>4</v>
      </c>
      <c r="F209" s="132">
        <f t="shared" si="3"/>
        <v>6</v>
      </c>
      <c r="G209" s="132">
        <v>0</v>
      </c>
      <c r="H209" s="132">
        <v>0</v>
      </c>
      <c r="I209" s="132">
        <v>3</v>
      </c>
      <c r="J209" s="132">
        <v>3</v>
      </c>
      <c r="K209" s="132">
        <v>0</v>
      </c>
      <c r="L209" s="132">
        <v>0</v>
      </c>
      <c r="M209" s="132">
        <v>3</v>
      </c>
      <c r="N209" s="132">
        <v>1</v>
      </c>
      <c r="O209" s="132">
        <v>0</v>
      </c>
      <c r="P209" s="144">
        <v>0</v>
      </c>
    </row>
    <row r="210" spans="1:18" ht="15.75" thickBot="1" x14ac:dyDescent="0.3">
      <c r="C210" s="145" t="s">
        <v>85</v>
      </c>
      <c r="D210" s="133">
        <v>236</v>
      </c>
      <c r="E210" s="133">
        <v>104</v>
      </c>
      <c r="F210" s="132">
        <f t="shared" si="3"/>
        <v>215</v>
      </c>
      <c r="G210" s="133">
        <v>21</v>
      </c>
      <c r="H210" s="133">
        <v>11</v>
      </c>
      <c r="I210" s="133">
        <v>231</v>
      </c>
      <c r="J210" s="133">
        <v>102</v>
      </c>
      <c r="K210" s="133">
        <v>18</v>
      </c>
      <c r="L210" s="133">
        <v>10</v>
      </c>
      <c r="M210" s="133">
        <v>5</v>
      </c>
      <c r="N210" s="133">
        <v>2</v>
      </c>
      <c r="O210" s="133">
        <v>3</v>
      </c>
      <c r="P210" s="146">
        <v>1</v>
      </c>
    </row>
    <row r="211" spans="1:18" ht="15.75" thickBot="1" x14ac:dyDescent="0.3">
      <c r="C211" s="143" t="s">
        <v>86</v>
      </c>
      <c r="D211" s="132">
        <v>78</v>
      </c>
      <c r="E211" s="132">
        <v>37</v>
      </c>
      <c r="F211" s="132">
        <f t="shared" si="3"/>
        <v>67</v>
      </c>
      <c r="G211" s="132">
        <v>11</v>
      </c>
      <c r="H211" s="132">
        <v>5</v>
      </c>
      <c r="I211" s="132">
        <v>78</v>
      </c>
      <c r="J211" s="132">
        <v>37</v>
      </c>
      <c r="K211" s="132">
        <v>11</v>
      </c>
      <c r="L211" s="132">
        <v>5</v>
      </c>
      <c r="M211" s="132">
        <v>0</v>
      </c>
      <c r="N211" s="132">
        <v>0</v>
      </c>
      <c r="O211" s="132">
        <v>0</v>
      </c>
      <c r="P211" s="144">
        <v>0</v>
      </c>
    </row>
    <row r="212" spans="1:18" ht="15.75" thickBot="1" x14ac:dyDescent="0.3">
      <c r="A212" s="171">
        <v>255</v>
      </c>
      <c r="B212" t="s">
        <v>29</v>
      </c>
      <c r="C212" s="145" t="s">
        <v>87</v>
      </c>
      <c r="D212" s="133">
        <v>63</v>
      </c>
      <c r="E212" s="133">
        <v>26</v>
      </c>
      <c r="F212" s="132">
        <f t="shared" si="3"/>
        <v>56</v>
      </c>
      <c r="G212" s="133">
        <v>7</v>
      </c>
      <c r="H212" s="133">
        <v>4</v>
      </c>
      <c r="I212" s="133">
        <v>63</v>
      </c>
      <c r="J212" s="133">
        <v>26</v>
      </c>
      <c r="K212" s="133">
        <v>7</v>
      </c>
      <c r="L212" s="133">
        <v>4</v>
      </c>
      <c r="M212" s="133">
        <v>0</v>
      </c>
      <c r="N212" s="133">
        <v>0</v>
      </c>
      <c r="O212" s="133">
        <v>0</v>
      </c>
      <c r="P212" s="146">
        <v>0</v>
      </c>
      <c r="Q212">
        <f>G212/G208</f>
        <v>0.17948717948717949</v>
      </c>
      <c r="R212">
        <f>F212/F208</f>
        <v>0.16279069767441862</v>
      </c>
    </row>
    <row r="213" spans="1:18" ht="15.75" thickBot="1" x14ac:dyDescent="0.3">
      <c r="C213" s="143" t="s">
        <v>153</v>
      </c>
      <c r="D213" s="132">
        <v>39</v>
      </c>
      <c r="E213" s="132">
        <v>15</v>
      </c>
      <c r="F213" s="132">
        <f t="shared" si="3"/>
        <v>38</v>
      </c>
      <c r="G213" s="132">
        <v>1</v>
      </c>
      <c r="H213" s="132">
        <v>1</v>
      </c>
      <c r="I213" s="132">
        <v>39</v>
      </c>
      <c r="J213" s="132">
        <v>15</v>
      </c>
      <c r="K213" s="132">
        <v>1</v>
      </c>
      <c r="L213" s="132">
        <v>1</v>
      </c>
      <c r="M213" s="132">
        <v>0</v>
      </c>
      <c r="N213" s="132">
        <v>0</v>
      </c>
      <c r="O213" s="132">
        <v>0</v>
      </c>
      <c r="P213" s="144">
        <v>0</v>
      </c>
    </row>
    <row r="214" spans="1:18" ht="15.75" thickBot="1" x14ac:dyDescent="0.3">
      <c r="C214" s="145" t="s">
        <v>154</v>
      </c>
      <c r="D214" s="133">
        <v>7</v>
      </c>
      <c r="E214" s="133">
        <v>3</v>
      </c>
      <c r="F214" s="132">
        <f t="shared" si="3"/>
        <v>7</v>
      </c>
      <c r="G214" s="133">
        <v>0</v>
      </c>
      <c r="H214" s="133">
        <v>0</v>
      </c>
      <c r="I214" s="133">
        <v>7</v>
      </c>
      <c r="J214" s="133">
        <v>3</v>
      </c>
      <c r="K214" s="133">
        <v>0</v>
      </c>
      <c r="L214" s="133">
        <v>0</v>
      </c>
      <c r="M214" s="133">
        <v>0</v>
      </c>
      <c r="N214" s="133">
        <v>0</v>
      </c>
      <c r="O214" s="133">
        <v>0</v>
      </c>
      <c r="P214" s="146">
        <v>0</v>
      </c>
    </row>
    <row r="215" spans="1:18" ht="15.75" thickBot="1" x14ac:dyDescent="0.3">
      <c r="C215" s="153" t="s">
        <v>106</v>
      </c>
      <c r="D215" s="154"/>
      <c r="E215" s="154"/>
      <c r="F215" s="132">
        <f t="shared" si="3"/>
        <v>0</v>
      </c>
      <c r="G215" s="154"/>
      <c r="H215" s="154"/>
      <c r="I215" s="154"/>
      <c r="J215" s="154"/>
      <c r="K215" s="154"/>
      <c r="L215" s="154"/>
      <c r="M215" s="154"/>
      <c r="N215" s="154"/>
      <c r="O215" s="154"/>
      <c r="P215" s="155"/>
    </row>
    <row r="216" spans="1:18" ht="15.75" thickBot="1" x14ac:dyDescent="0.3">
      <c r="C216" s="156"/>
      <c r="D216" s="157"/>
      <c r="E216" s="157"/>
      <c r="F216" s="132">
        <f t="shared" si="3"/>
        <v>0</v>
      </c>
      <c r="G216" s="157"/>
      <c r="H216" s="157"/>
      <c r="I216" s="157"/>
      <c r="J216" s="157"/>
      <c r="K216" s="157"/>
      <c r="L216" s="157"/>
      <c r="M216" s="157"/>
      <c r="N216" s="157"/>
      <c r="O216" s="157"/>
      <c r="P216" s="158"/>
    </row>
    <row r="217" spans="1:18" ht="15.75" thickBot="1" x14ac:dyDescent="0.3">
      <c r="C217" s="143" t="s">
        <v>83</v>
      </c>
      <c r="D217" s="132">
        <v>882</v>
      </c>
      <c r="E217" s="132">
        <v>391</v>
      </c>
      <c r="F217" s="132">
        <f t="shared" si="3"/>
        <v>788</v>
      </c>
      <c r="G217" s="132">
        <v>94</v>
      </c>
      <c r="H217" s="132">
        <v>42</v>
      </c>
      <c r="I217" s="132">
        <v>869</v>
      </c>
      <c r="J217" s="132">
        <v>389</v>
      </c>
      <c r="K217" s="132">
        <v>94</v>
      </c>
      <c r="L217" s="132">
        <v>42</v>
      </c>
      <c r="M217" s="132">
        <v>13</v>
      </c>
      <c r="N217" s="132">
        <v>2</v>
      </c>
      <c r="O217" s="132">
        <v>0</v>
      </c>
      <c r="P217" s="144">
        <v>0</v>
      </c>
    </row>
    <row r="218" spans="1:18" ht="15.75" thickBot="1" x14ac:dyDescent="0.3">
      <c r="C218" s="145" t="s">
        <v>151</v>
      </c>
      <c r="D218" s="133">
        <v>28</v>
      </c>
      <c r="E218" s="133">
        <v>11</v>
      </c>
      <c r="F218" s="132">
        <f t="shared" si="3"/>
        <v>26</v>
      </c>
      <c r="G218" s="133">
        <v>2</v>
      </c>
      <c r="H218" s="133">
        <v>0</v>
      </c>
      <c r="I218" s="133">
        <v>28</v>
      </c>
      <c r="J218" s="133">
        <v>11</v>
      </c>
      <c r="K218" s="133">
        <v>2</v>
      </c>
      <c r="L218" s="133">
        <v>0</v>
      </c>
      <c r="M218" s="133">
        <v>0</v>
      </c>
      <c r="N218" s="133">
        <v>0</v>
      </c>
      <c r="O218" s="133">
        <v>0</v>
      </c>
      <c r="P218" s="146">
        <v>0</v>
      </c>
    </row>
    <row r="219" spans="1:18" ht="15.75" thickBot="1" x14ac:dyDescent="0.3">
      <c r="C219" s="143" t="s">
        <v>152</v>
      </c>
      <c r="D219" s="132">
        <v>26</v>
      </c>
      <c r="E219" s="132">
        <v>17</v>
      </c>
      <c r="F219" s="132">
        <f t="shared" si="3"/>
        <v>25</v>
      </c>
      <c r="G219" s="132">
        <v>1</v>
      </c>
      <c r="H219" s="132">
        <v>1</v>
      </c>
      <c r="I219" s="132">
        <v>26</v>
      </c>
      <c r="J219" s="132">
        <v>17</v>
      </c>
      <c r="K219" s="132">
        <v>1</v>
      </c>
      <c r="L219" s="132">
        <v>1</v>
      </c>
      <c r="M219" s="132">
        <v>0</v>
      </c>
      <c r="N219" s="132">
        <v>0</v>
      </c>
      <c r="O219" s="132">
        <v>0</v>
      </c>
      <c r="P219" s="144">
        <v>0</v>
      </c>
    </row>
    <row r="220" spans="1:18" ht="15.75" thickBot="1" x14ac:dyDescent="0.3">
      <c r="C220" s="145" t="s">
        <v>85</v>
      </c>
      <c r="D220" s="133">
        <v>550</v>
      </c>
      <c r="E220" s="133">
        <v>259</v>
      </c>
      <c r="F220" s="132">
        <f t="shared" si="3"/>
        <v>498</v>
      </c>
      <c r="G220" s="133">
        <v>52</v>
      </c>
      <c r="H220" s="133">
        <v>25</v>
      </c>
      <c r="I220" s="133">
        <v>548</v>
      </c>
      <c r="J220" s="133">
        <v>259</v>
      </c>
      <c r="K220" s="133">
        <v>52</v>
      </c>
      <c r="L220" s="133">
        <v>25</v>
      </c>
      <c r="M220" s="133">
        <v>2</v>
      </c>
      <c r="N220" s="133">
        <v>0</v>
      </c>
      <c r="O220" s="133">
        <v>0</v>
      </c>
      <c r="P220" s="146">
        <v>0</v>
      </c>
    </row>
    <row r="221" spans="1:18" ht="15.75" thickBot="1" x14ac:dyDescent="0.3">
      <c r="C221" s="143" t="s">
        <v>86</v>
      </c>
      <c r="D221" s="132">
        <v>193</v>
      </c>
      <c r="E221" s="132">
        <v>72</v>
      </c>
      <c r="F221" s="132">
        <f t="shared" si="3"/>
        <v>172</v>
      </c>
      <c r="G221" s="132">
        <v>21</v>
      </c>
      <c r="H221" s="132">
        <v>8</v>
      </c>
      <c r="I221" s="132">
        <v>184</v>
      </c>
      <c r="J221" s="132">
        <v>71</v>
      </c>
      <c r="K221" s="132">
        <v>21</v>
      </c>
      <c r="L221" s="132">
        <v>8</v>
      </c>
      <c r="M221" s="132">
        <v>9</v>
      </c>
      <c r="N221" s="132">
        <v>1</v>
      </c>
      <c r="O221" s="132">
        <v>0</v>
      </c>
      <c r="P221" s="144">
        <v>0</v>
      </c>
    </row>
    <row r="222" spans="1:18" ht="15.75" thickBot="1" x14ac:dyDescent="0.3">
      <c r="A222" s="170">
        <v>256</v>
      </c>
      <c r="B222" t="s">
        <v>30</v>
      </c>
      <c r="C222" s="145" t="s">
        <v>87</v>
      </c>
      <c r="D222" s="133">
        <v>85</v>
      </c>
      <c r="E222" s="133">
        <v>32</v>
      </c>
      <c r="F222" s="132">
        <f t="shared" si="3"/>
        <v>67</v>
      </c>
      <c r="G222" s="133">
        <v>18</v>
      </c>
      <c r="H222" s="133">
        <v>8</v>
      </c>
      <c r="I222" s="133">
        <v>83</v>
      </c>
      <c r="J222" s="133">
        <v>31</v>
      </c>
      <c r="K222" s="133">
        <v>18</v>
      </c>
      <c r="L222" s="133">
        <v>8</v>
      </c>
      <c r="M222" s="133">
        <v>2</v>
      </c>
      <c r="N222" s="133">
        <v>1</v>
      </c>
      <c r="O222" s="133">
        <v>0</v>
      </c>
      <c r="P222" s="146">
        <v>0</v>
      </c>
      <c r="Q222">
        <f>G222/G217</f>
        <v>0.19148936170212766</v>
      </c>
      <c r="R222">
        <f>F222/F217</f>
        <v>8.5025380710659904E-2</v>
      </c>
    </row>
    <row r="223" spans="1:18" ht="15.75" thickBot="1" x14ac:dyDescent="0.3">
      <c r="C223" s="143" t="s">
        <v>153</v>
      </c>
      <c r="D223" s="132">
        <v>19</v>
      </c>
      <c r="E223" s="132">
        <v>5</v>
      </c>
      <c r="F223" s="132">
        <f t="shared" si="3"/>
        <v>17</v>
      </c>
      <c r="G223" s="132">
        <v>2</v>
      </c>
      <c r="H223" s="132">
        <v>1</v>
      </c>
      <c r="I223" s="132">
        <v>19</v>
      </c>
      <c r="J223" s="132">
        <v>5</v>
      </c>
      <c r="K223" s="132">
        <v>2</v>
      </c>
      <c r="L223" s="132">
        <v>1</v>
      </c>
      <c r="M223" s="132">
        <v>0</v>
      </c>
      <c r="N223" s="132">
        <v>0</v>
      </c>
      <c r="O223" s="132">
        <v>0</v>
      </c>
      <c r="P223" s="144">
        <v>0</v>
      </c>
    </row>
    <row r="224" spans="1:18" ht="15.75" thickBot="1" x14ac:dyDescent="0.3">
      <c r="C224" s="145" t="s">
        <v>154</v>
      </c>
      <c r="D224" s="133">
        <v>21</v>
      </c>
      <c r="E224" s="133">
        <v>7</v>
      </c>
      <c r="F224" s="132">
        <f t="shared" si="3"/>
        <v>17</v>
      </c>
      <c r="G224" s="133">
        <v>4</v>
      </c>
      <c r="H224" s="133">
        <v>1</v>
      </c>
      <c r="I224" s="133">
        <v>21</v>
      </c>
      <c r="J224" s="133">
        <v>7</v>
      </c>
      <c r="K224" s="133">
        <v>4</v>
      </c>
      <c r="L224" s="133">
        <v>1</v>
      </c>
      <c r="M224" s="133">
        <v>0</v>
      </c>
      <c r="N224" s="133">
        <v>0</v>
      </c>
      <c r="O224" s="133">
        <v>0</v>
      </c>
      <c r="P224" s="146">
        <v>0</v>
      </c>
    </row>
    <row r="225" spans="1:18" ht="15.75" thickBot="1" x14ac:dyDescent="0.3">
      <c r="C225" s="153" t="s">
        <v>107</v>
      </c>
      <c r="D225" s="154"/>
      <c r="E225" s="154"/>
      <c r="F225" s="132">
        <f t="shared" si="3"/>
        <v>0</v>
      </c>
      <c r="G225" s="154"/>
      <c r="H225" s="154"/>
      <c r="I225" s="154"/>
      <c r="J225" s="154"/>
      <c r="K225" s="154"/>
      <c r="L225" s="154"/>
      <c r="M225" s="154"/>
      <c r="N225" s="154"/>
      <c r="O225" s="154"/>
      <c r="P225" s="155"/>
    </row>
    <row r="226" spans="1:18" ht="15.75" thickBot="1" x14ac:dyDescent="0.3">
      <c r="C226" s="156"/>
      <c r="D226" s="157"/>
      <c r="E226" s="157"/>
      <c r="F226" s="132">
        <f t="shared" si="3"/>
        <v>0</v>
      </c>
      <c r="G226" s="157"/>
      <c r="H226" s="157"/>
      <c r="I226" s="157"/>
      <c r="J226" s="157"/>
      <c r="K226" s="157"/>
      <c r="L226" s="157"/>
      <c r="M226" s="157"/>
      <c r="N226" s="157"/>
      <c r="O226" s="157"/>
      <c r="P226" s="158"/>
    </row>
    <row r="227" spans="1:18" ht="15.75" thickBot="1" x14ac:dyDescent="0.3">
      <c r="C227" s="143" t="s">
        <v>83</v>
      </c>
      <c r="D227" s="132">
        <v>1005</v>
      </c>
      <c r="E227" s="132">
        <v>442</v>
      </c>
      <c r="F227" s="132">
        <f t="shared" si="3"/>
        <v>896</v>
      </c>
      <c r="G227" s="132">
        <v>109</v>
      </c>
      <c r="H227" s="132">
        <v>57</v>
      </c>
      <c r="I227" s="132">
        <v>990</v>
      </c>
      <c r="J227" s="132">
        <v>437</v>
      </c>
      <c r="K227" s="132">
        <v>109</v>
      </c>
      <c r="L227" s="132">
        <v>57</v>
      </c>
      <c r="M227" s="132">
        <v>15</v>
      </c>
      <c r="N227" s="132">
        <v>5</v>
      </c>
      <c r="O227" s="132">
        <v>0</v>
      </c>
      <c r="P227" s="144">
        <v>0</v>
      </c>
    </row>
    <row r="228" spans="1:18" ht="15.75" thickBot="1" x14ac:dyDescent="0.3">
      <c r="C228" s="145" t="s">
        <v>151</v>
      </c>
      <c r="D228" s="133">
        <v>163</v>
      </c>
      <c r="E228" s="133">
        <v>84</v>
      </c>
      <c r="F228" s="132">
        <f t="shared" si="3"/>
        <v>151</v>
      </c>
      <c r="G228" s="133">
        <v>12</v>
      </c>
      <c r="H228" s="133">
        <v>8</v>
      </c>
      <c r="I228" s="133">
        <v>163</v>
      </c>
      <c r="J228" s="133">
        <v>84</v>
      </c>
      <c r="K228" s="133">
        <v>12</v>
      </c>
      <c r="L228" s="133">
        <v>8</v>
      </c>
      <c r="M228" s="133">
        <v>0</v>
      </c>
      <c r="N228" s="133">
        <v>0</v>
      </c>
      <c r="O228" s="133">
        <v>0</v>
      </c>
      <c r="P228" s="146">
        <v>0</v>
      </c>
    </row>
    <row r="229" spans="1:18" ht="15.75" thickBot="1" x14ac:dyDescent="0.3">
      <c r="C229" s="143" t="s">
        <v>152</v>
      </c>
      <c r="D229" s="132">
        <v>40</v>
      </c>
      <c r="E229" s="132">
        <v>22</v>
      </c>
      <c r="F229" s="132">
        <f t="shared" si="3"/>
        <v>39</v>
      </c>
      <c r="G229" s="132">
        <v>1</v>
      </c>
      <c r="H229" s="132">
        <v>0</v>
      </c>
      <c r="I229" s="132">
        <v>40</v>
      </c>
      <c r="J229" s="132">
        <v>22</v>
      </c>
      <c r="K229" s="132">
        <v>1</v>
      </c>
      <c r="L229" s="132">
        <v>0</v>
      </c>
      <c r="M229" s="132">
        <v>0</v>
      </c>
      <c r="N229" s="132">
        <v>0</v>
      </c>
      <c r="O229" s="132">
        <v>0</v>
      </c>
      <c r="P229" s="144">
        <v>0</v>
      </c>
    </row>
    <row r="230" spans="1:18" ht="15.75" thickBot="1" x14ac:dyDescent="0.3">
      <c r="C230" s="145" t="s">
        <v>85</v>
      </c>
      <c r="D230" s="133">
        <v>490</v>
      </c>
      <c r="E230" s="133">
        <v>207</v>
      </c>
      <c r="F230" s="132">
        <f t="shared" si="3"/>
        <v>437</v>
      </c>
      <c r="G230" s="133">
        <v>53</v>
      </c>
      <c r="H230" s="133">
        <v>25</v>
      </c>
      <c r="I230" s="133">
        <v>482</v>
      </c>
      <c r="J230" s="133">
        <v>205</v>
      </c>
      <c r="K230" s="133">
        <v>53</v>
      </c>
      <c r="L230" s="133">
        <v>25</v>
      </c>
      <c r="M230" s="133">
        <v>8</v>
      </c>
      <c r="N230" s="133">
        <v>2</v>
      </c>
      <c r="O230" s="133">
        <v>0</v>
      </c>
      <c r="P230" s="146">
        <v>0</v>
      </c>
    </row>
    <row r="231" spans="1:18" ht="15.75" thickBot="1" x14ac:dyDescent="0.3">
      <c r="C231" s="143" t="s">
        <v>86</v>
      </c>
      <c r="D231" s="132">
        <v>220</v>
      </c>
      <c r="E231" s="132">
        <v>92</v>
      </c>
      <c r="F231" s="132">
        <f t="shared" si="3"/>
        <v>198</v>
      </c>
      <c r="G231" s="132">
        <v>22</v>
      </c>
      <c r="H231" s="132">
        <v>13</v>
      </c>
      <c r="I231" s="132">
        <v>213</v>
      </c>
      <c r="J231" s="132">
        <v>89</v>
      </c>
      <c r="K231" s="132">
        <v>22</v>
      </c>
      <c r="L231" s="132">
        <v>13</v>
      </c>
      <c r="M231" s="132">
        <v>7</v>
      </c>
      <c r="N231" s="132">
        <v>3</v>
      </c>
      <c r="O231" s="132">
        <v>0</v>
      </c>
      <c r="P231" s="144">
        <v>0</v>
      </c>
    </row>
    <row r="232" spans="1:18" ht="15.75" thickBot="1" x14ac:dyDescent="0.3">
      <c r="A232" s="170">
        <v>257</v>
      </c>
      <c r="B232" t="s">
        <v>31</v>
      </c>
      <c r="C232" s="145" t="s">
        <v>87</v>
      </c>
      <c r="D232" s="133">
        <v>92</v>
      </c>
      <c r="E232" s="133">
        <v>37</v>
      </c>
      <c r="F232" s="132">
        <f t="shared" ref="F232:F295" si="6">D232-G232</f>
        <v>71</v>
      </c>
      <c r="G232" s="133">
        <v>21</v>
      </c>
      <c r="H232" s="133">
        <v>11</v>
      </c>
      <c r="I232" s="133">
        <v>92</v>
      </c>
      <c r="J232" s="133">
        <v>37</v>
      </c>
      <c r="K232" s="133">
        <v>21</v>
      </c>
      <c r="L232" s="133">
        <v>11</v>
      </c>
      <c r="M232" s="133">
        <v>0</v>
      </c>
      <c r="N232" s="133">
        <v>0</v>
      </c>
      <c r="O232" s="133">
        <v>0</v>
      </c>
      <c r="P232" s="146">
        <v>0</v>
      </c>
      <c r="Q232">
        <f>G232/G227</f>
        <v>0.19266055045871561</v>
      </c>
      <c r="R232">
        <f>F232/F227</f>
        <v>7.9241071428571425E-2</v>
      </c>
    </row>
    <row r="233" spans="1:18" ht="15.75" thickBot="1" x14ac:dyDescent="0.3">
      <c r="C233" s="143" t="s">
        <v>153</v>
      </c>
      <c r="D233" s="132">
        <v>28</v>
      </c>
      <c r="E233" s="132">
        <v>14</v>
      </c>
      <c r="F233" s="132">
        <f t="shared" si="6"/>
        <v>20</v>
      </c>
      <c r="G233" s="132">
        <v>8</v>
      </c>
      <c r="H233" s="132">
        <v>5</v>
      </c>
      <c r="I233" s="132">
        <v>28</v>
      </c>
      <c r="J233" s="132">
        <v>14</v>
      </c>
      <c r="K233" s="132">
        <v>8</v>
      </c>
      <c r="L233" s="132">
        <v>5</v>
      </c>
      <c r="M233" s="132">
        <v>0</v>
      </c>
      <c r="N233" s="132">
        <v>0</v>
      </c>
      <c r="O233" s="132">
        <v>0</v>
      </c>
      <c r="P233" s="144">
        <v>0</v>
      </c>
    </row>
    <row r="234" spans="1:18" ht="15.75" thickBot="1" x14ac:dyDescent="0.3">
      <c r="C234" s="145" t="s">
        <v>154</v>
      </c>
      <c r="D234" s="133">
        <v>8</v>
      </c>
      <c r="E234" s="133">
        <v>3</v>
      </c>
      <c r="F234" s="132">
        <f t="shared" si="6"/>
        <v>6</v>
      </c>
      <c r="G234" s="133">
        <v>2</v>
      </c>
      <c r="H234" s="133">
        <v>1</v>
      </c>
      <c r="I234" s="133">
        <v>8</v>
      </c>
      <c r="J234" s="133">
        <v>3</v>
      </c>
      <c r="K234" s="133">
        <v>2</v>
      </c>
      <c r="L234" s="133">
        <v>1</v>
      </c>
      <c r="M234" s="133">
        <v>0</v>
      </c>
      <c r="N234" s="133">
        <v>0</v>
      </c>
      <c r="O234" s="133">
        <v>0</v>
      </c>
      <c r="P234" s="146">
        <v>0</v>
      </c>
    </row>
    <row r="235" spans="1:18" ht="15.75" thickBot="1" x14ac:dyDescent="0.3">
      <c r="C235" s="153" t="s">
        <v>108</v>
      </c>
      <c r="D235" s="154"/>
      <c r="E235" s="154"/>
      <c r="F235" s="132">
        <f t="shared" si="6"/>
        <v>0</v>
      </c>
      <c r="G235" s="154"/>
      <c r="H235" s="154"/>
      <c r="I235" s="154"/>
      <c r="J235" s="154"/>
      <c r="K235" s="154"/>
      <c r="L235" s="154"/>
      <c r="M235" s="154"/>
      <c r="N235" s="154"/>
      <c r="O235" s="154"/>
      <c r="P235" s="155"/>
    </row>
    <row r="236" spans="1:18" ht="15.75" thickBot="1" x14ac:dyDescent="0.3">
      <c r="C236" s="156"/>
      <c r="D236" s="157"/>
      <c r="E236" s="157"/>
      <c r="F236" s="132">
        <f t="shared" si="6"/>
        <v>0</v>
      </c>
      <c r="G236" s="157"/>
      <c r="H236" s="157"/>
      <c r="I236" s="157"/>
      <c r="J236" s="157"/>
      <c r="K236" s="157"/>
      <c r="L236" s="157"/>
      <c r="M236" s="157"/>
      <c r="N236" s="157"/>
      <c r="O236" s="157"/>
      <c r="P236" s="158"/>
    </row>
    <row r="237" spans="1:18" ht="15.75" thickBot="1" x14ac:dyDescent="0.3">
      <c r="C237" s="143" t="s">
        <v>83</v>
      </c>
      <c r="D237" s="132">
        <v>12694</v>
      </c>
      <c r="E237" s="132">
        <v>5893</v>
      </c>
      <c r="F237" s="132">
        <f t="shared" si="6"/>
        <v>11716</v>
      </c>
      <c r="G237" s="132">
        <v>978</v>
      </c>
      <c r="H237" s="132">
        <v>443</v>
      </c>
      <c r="I237" s="132">
        <v>12305</v>
      </c>
      <c r="J237" s="132">
        <v>5729</v>
      </c>
      <c r="K237" s="132">
        <v>971</v>
      </c>
      <c r="L237" s="132">
        <v>441</v>
      </c>
      <c r="M237" s="132">
        <v>389</v>
      </c>
      <c r="N237" s="132">
        <v>164</v>
      </c>
      <c r="O237" s="132">
        <v>7</v>
      </c>
      <c r="P237" s="144">
        <v>2</v>
      </c>
    </row>
    <row r="238" spans="1:18" ht="15.75" thickBot="1" x14ac:dyDescent="0.3">
      <c r="C238" s="145" t="s">
        <v>151</v>
      </c>
      <c r="D238" s="133">
        <v>751</v>
      </c>
      <c r="E238" s="133">
        <v>434</v>
      </c>
      <c r="F238" s="132">
        <f t="shared" si="6"/>
        <v>739</v>
      </c>
      <c r="G238" s="133">
        <v>12</v>
      </c>
      <c r="H238" s="133">
        <v>9</v>
      </c>
      <c r="I238" s="133">
        <v>648</v>
      </c>
      <c r="J238" s="133">
        <v>377</v>
      </c>
      <c r="K238" s="133">
        <v>11</v>
      </c>
      <c r="L238" s="133">
        <v>9</v>
      </c>
      <c r="M238" s="133">
        <v>103</v>
      </c>
      <c r="N238" s="133">
        <v>57</v>
      </c>
      <c r="O238" s="133">
        <v>1</v>
      </c>
      <c r="P238" s="146">
        <v>0</v>
      </c>
    </row>
    <row r="239" spans="1:18" ht="15.75" thickBot="1" x14ac:dyDescent="0.3">
      <c r="C239" s="143" t="s">
        <v>152</v>
      </c>
      <c r="D239" s="132">
        <v>335</v>
      </c>
      <c r="E239" s="132">
        <v>171</v>
      </c>
      <c r="F239" s="132">
        <f t="shared" si="6"/>
        <v>329</v>
      </c>
      <c r="G239" s="132">
        <v>6</v>
      </c>
      <c r="H239" s="132">
        <v>4</v>
      </c>
      <c r="I239" s="132">
        <v>311</v>
      </c>
      <c r="J239" s="132">
        <v>161</v>
      </c>
      <c r="K239" s="132">
        <v>6</v>
      </c>
      <c r="L239" s="132">
        <v>4</v>
      </c>
      <c r="M239" s="132">
        <v>24</v>
      </c>
      <c r="N239" s="132">
        <v>10</v>
      </c>
      <c r="O239" s="132">
        <v>0</v>
      </c>
      <c r="P239" s="144">
        <v>0</v>
      </c>
    </row>
    <row r="240" spans="1:18" ht="15.75" thickBot="1" x14ac:dyDescent="0.3">
      <c r="C240" s="145" t="s">
        <v>85</v>
      </c>
      <c r="D240" s="133">
        <v>8019</v>
      </c>
      <c r="E240" s="133">
        <v>3952</v>
      </c>
      <c r="F240" s="132">
        <f t="shared" si="6"/>
        <v>7598</v>
      </c>
      <c r="G240" s="133">
        <v>421</v>
      </c>
      <c r="H240" s="133">
        <v>228</v>
      </c>
      <c r="I240" s="133">
        <v>7890</v>
      </c>
      <c r="J240" s="133">
        <v>3898</v>
      </c>
      <c r="K240" s="133">
        <v>420</v>
      </c>
      <c r="L240" s="133">
        <v>228</v>
      </c>
      <c r="M240" s="133">
        <v>129</v>
      </c>
      <c r="N240" s="133">
        <v>54</v>
      </c>
      <c r="O240" s="133">
        <v>1</v>
      </c>
      <c r="P240" s="146">
        <v>0</v>
      </c>
    </row>
    <row r="241" spans="1:18" ht="15.75" thickBot="1" x14ac:dyDescent="0.3">
      <c r="C241" s="143" t="s">
        <v>86</v>
      </c>
      <c r="D241" s="132">
        <v>2537</v>
      </c>
      <c r="E241" s="132">
        <v>963</v>
      </c>
      <c r="F241" s="132">
        <f t="shared" si="6"/>
        <v>2211</v>
      </c>
      <c r="G241" s="132">
        <v>326</v>
      </c>
      <c r="H241" s="132">
        <v>130</v>
      </c>
      <c r="I241" s="132">
        <v>2484</v>
      </c>
      <c r="J241" s="132">
        <v>946</v>
      </c>
      <c r="K241" s="132">
        <v>324</v>
      </c>
      <c r="L241" s="132">
        <v>128</v>
      </c>
      <c r="M241" s="132">
        <v>53</v>
      </c>
      <c r="N241" s="132">
        <v>17</v>
      </c>
      <c r="O241" s="132">
        <v>2</v>
      </c>
      <c r="P241" s="144">
        <v>2</v>
      </c>
    </row>
    <row r="242" spans="1:18" ht="15.75" thickBot="1" x14ac:dyDescent="0.3">
      <c r="A242" s="170">
        <v>3</v>
      </c>
      <c r="B242" t="s">
        <v>37</v>
      </c>
      <c r="C242" s="145" t="s">
        <v>87</v>
      </c>
      <c r="D242" s="133">
        <v>1052</v>
      </c>
      <c r="E242" s="133">
        <v>373</v>
      </c>
      <c r="F242" s="132">
        <f t="shared" si="6"/>
        <v>839</v>
      </c>
      <c r="G242" s="133">
        <v>213</v>
      </c>
      <c r="H242" s="133">
        <v>72</v>
      </c>
      <c r="I242" s="133">
        <v>972</v>
      </c>
      <c r="J242" s="133">
        <v>347</v>
      </c>
      <c r="K242" s="133">
        <v>210</v>
      </c>
      <c r="L242" s="133">
        <v>72</v>
      </c>
      <c r="M242" s="133">
        <v>80</v>
      </c>
      <c r="N242" s="133">
        <v>26</v>
      </c>
      <c r="O242" s="133">
        <v>3</v>
      </c>
      <c r="P242" s="146">
        <v>0</v>
      </c>
      <c r="Q242">
        <f>G242/G237</f>
        <v>0.21779141104294478</v>
      </c>
      <c r="R242">
        <f>F242/F237</f>
        <v>7.1611471491976789E-2</v>
      </c>
    </row>
    <row r="243" spans="1:18" ht="15.75" thickBot="1" x14ac:dyDescent="0.3">
      <c r="C243" s="143" t="s">
        <v>153</v>
      </c>
      <c r="D243" s="132">
        <v>340</v>
      </c>
      <c r="E243" s="132">
        <v>122</v>
      </c>
      <c r="F243" s="132">
        <f t="shared" si="6"/>
        <v>300</v>
      </c>
      <c r="G243" s="132">
        <v>40</v>
      </c>
      <c r="H243" s="132">
        <v>14</v>
      </c>
      <c r="I243" s="132">
        <v>323</v>
      </c>
      <c r="J243" s="132">
        <v>116</v>
      </c>
      <c r="K243" s="132">
        <v>39</v>
      </c>
      <c r="L243" s="132">
        <v>14</v>
      </c>
      <c r="M243" s="132">
        <v>17</v>
      </c>
      <c r="N243" s="132">
        <v>6</v>
      </c>
      <c r="O243" s="132">
        <v>1</v>
      </c>
      <c r="P243" s="144">
        <v>0</v>
      </c>
    </row>
    <row r="244" spans="1:18" ht="15.75" thickBot="1" x14ac:dyDescent="0.3">
      <c r="C244" s="145" t="s">
        <v>154</v>
      </c>
      <c r="D244" s="133">
        <v>165</v>
      </c>
      <c r="E244" s="133">
        <v>67</v>
      </c>
      <c r="F244" s="132">
        <f t="shared" si="6"/>
        <v>154</v>
      </c>
      <c r="G244" s="133">
        <v>11</v>
      </c>
      <c r="H244" s="133">
        <v>7</v>
      </c>
      <c r="I244" s="133">
        <v>116</v>
      </c>
      <c r="J244" s="133">
        <v>48</v>
      </c>
      <c r="K244" s="133">
        <v>9</v>
      </c>
      <c r="L244" s="133">
        <v>7</v>
      </c>
      <c r="M244" s="133">
        <v>49</v>
      </c>
      <c r="N244" s="133">
        <v>19</v>
      </c>
      <c r="O244" s="133">
        <v>2</v>
      </c>
      <c r="P244" s="146">
        <v>0</v>
      </c>
    </row>
    <row r="245" spans="1:18" ht="15.75" thickBot="1" x14ac:dyDescent="0.3">
      <c r="C245" s="153" t="s">
        <v>109</v>
      </c>
      <c r="D245" s="154"/>
      <c r="E245" s="154"/>
      <c r="F245" s="132">
        <f t="shared" si="6"/>
        <v>0</v>
      </c>
      <c r="G245" s="154"/>
      <c r="H245" s="154"/>
      <c r="I245" s="154"/>
      <c r="J245" s="154"/>
      <c r="K245" s="154"/>
      <c r="L245" s="154"/>
      <c r="M245" s="154"/>
      <c r="N245" s="154"/>
      <c r="O245" s="154"/>
      <c r="P245" s="155"/>
    </row>
    <row r="246" spans="1:18" ht="15.75" thickBot="1" x14ac:dyDescent="0.3">
      <c r="C246" s="156"/>
      <c r="D246" s="157"/>
      <c r="E246" s="157"/>
      <c r="F246" s="132">
        <f t="shared" si="6"/>
        <v>0</v>
      </c>
      <c r="G246" s="157"/>
      <c r="H246" s="157"/>
      <c r="I246" s="157"/>
      <c r="J246" s="157"/>
      <c r="K246" s="157"/>
      <c r="L246" s="157"/>
      <c r="M246" s="157"/>
      <c r="N246" s="157"/>
      <c r="O246" s="157"/>
      <c r="P246" s="158"/>
    </row>
    <row r="247" spans="1:18" ht="15.75" thickBot="1" x14ac:dyDescent="0.3">
      <c r="C247" s="143" t="s">
        <v>83</v>
      </c>
      <c r="D247" s="132">
        <v>1377</v>
      </c>
      <c r="E247" s="132">
        <v>623</v>
      </c>
      <c r="F247" s="132">
        <f t="shared" si="6"/>
        <v>1258</v>
      </c>
      <c r="G247" s="132">
        <v>119</v>
      </c>
      <c r="H247" s="132">
        <v>53</v>
      </c>
      <c r="I247" s="132">
        <v>1363</v>
      </c>
      <c r="J247" s="132">
        <v>617</v>
      </c>
      <c r="K247" s="132">
        <v>119</v>
      </c>
      <c r="L247" s="132">
        <v>53</v>
      </c>
      <c r="M247" s="132">
        <v>14</v>
      </c>
      <c r="N247" s="132">
        <v>6</v>
      </c>
      <c r="O247" s="132">
        <v>0</v>
      </c>
      <c r="P247" s="144">
        <v>0</v>
      </c>
    </row>
    <row r="248" spans="1:18" ht="15.75" thickBot="1" x14ac:dyDescent="0.3">
      <c r="C248" s="145" t="s">
        <v>151</v>
      </c>
      <c r="D248" s="133">
        <v>39</v>
      </c>
      <c r="E248" s="133">
        <v>26</v>
      </c>
      <c r="F248" s="132">
        <f t="shared" si="6"/>
        <v>39</v>
      </c>
      <c r="G248" s="133">
        <v>0</v>
      </c>
      <c r="H248" s="133">
        <v>0</v>
      </c>
      <c r="I248" s="133">
        <v>39</v>
      </c>
      <c r="J248" s="133">
        <v>26</v>
      </c>
      <c r="K248" s="133">
        <v>0</v>
      </c>
      <c r="L248" s="133">
        <v>0</v>
      </c>
      <c r="M248" s="133">
        <v>0</v>
      </c>
      <c r="N248" s="133">
        <v>0</v>
      </c>
      <c r="O248" s="133">
        <v>0</v>
      </c>
      <c r="P248" s="146">
        <v>0</v>
      </c>
    </row>
    <row r="249" spans="1:18" ht="15.75" thickBot="1" x14ac:dyDescent="0.3">
      <c r="C249" s="143" t="s">
        <v>152</v>
      </c>
      <c r="D249" s="132">
        <v>46</v>
      </c>
      <c r="E249" s="132">
        <v>17</v>
      </c>
      <c r="F249" s="132">
        <f t="shared" si="6"/>
        <v>46</v>
      </c>
      <c r="G249" s="132">
        <v>0</v>
      </c>
      <c r="H249" s="132">
        <v>0</v>
      </c>
      <c r="I249" s="132">
        <v>46</v>
      </c>
      <c r="J249" s="132">
        <v>17</v>
      </c>
      <c r="K249" s="132">
        <v>0</v>
      </c>
      <c r="L249" s="132">
        <v>0</v>
      </c>
      <c r="M249" s="132">
        <v>0</v>
      </c>
      <c r="N249" s="132">
        <v>0</v>
      </c>
      <c r="O249" s="132">
        <v>0</v>
      </c>
      <c r="P249" s="144">
        <v>0</v>
      </c>
    </row>
    <row r="250" spans="1:18" ht="15.75" thickBot="1" x14ac:dyDescent="0.3">
      <c r="C250" s="145" t="s">
        <v>85</v>
      </c>
      <c r="D250" s="133">
        <v>825</v>
      </c>
      <c r="E250" s="133">
        <v>394</v>
      </c>
      <c r="F250" s="132">
        <f t="shared" si="6"/>
        <v>774</v>
      </c>
      <c r="G250" s="133">
        <v>51</v>
      </c>
      <c r="H250" s="133">
        <v>24</v>
      </c>
      <c r="I250" s="133">
        <v>818</v>
      </c>
      <c r="J250" s="133">
        <v>392</v>
      </c>
      <c r="K250" s="133">
        <v>51</v>
      </c>
      <c r="L250" s="133">
        <v>24</v>
      </c>
      <c r="M250" s="133">
        <v>7</v>
      </c>
      <c r="N250" s="133">
        <v>2</v>
      </c>
      <c r="O250" s="133">
        <v>0</v>
      </c>
      <c r="P250" s="146">
        <v>0</v>
      </c>
    </row>
    <row r="251" spans="1:18" ht="15.75" thickBot="1" x14ac:dyDescent="0.3">
      <c r="C251" s="143" t="s">
        <v>86</v>
      </c>
      <c r="D251" s="132">
        <v>317</v>
      </c>
      <c r="E251" s="132">
        <v>131</v>
      </c>
      <c r="F251" s="132">
        <f t="shared" si="6"/>
        <v>279</v>
      </c>
      <c r="G251" s="132">
        <v>38</v>
      </c>
      <c r="H251" s="132">
        <v>17</v>
      </c>
      <c r="I251" s="132">
        <v>312</v>
      </c>
      <c r="J251" s="132">
        <v>127</v>
      </c>
      <c r="K251" s="132">
        <v>38</v>
      </c>
      <c r="L251" s="132">
        <v>17</v>
      </c>
      <c r="M251" s="132">
        <v>5</v>
      </c>
      <c r="N251" s="132">
        <v>4</v>
      </c>
      <c r="O251" s="132">
        <v>0</v>
      </c>
      <c r="P251" s="144">
        <v>0</v>
      </c>
    </row>
    <row r="252" spans="1:18" ht="15.75" thickBot="1" x14ac:dyDescent="0.3">
      <c r="A252" s="170">
        <v>351</v>
      </c>
      <c r="B252" t="s">
        <v>33</v>
      </c>
      <c r="C252" s="145" t="s">
        <v>87</v>
      </c>
      <c r="D252" s="133">
        <v>150</v>
      </c>
      <c r="E252" s="133">
        <v>55</v>
      </c>
      <c r="F252" s="132">
        <f t="shared" si="6"/>
        <v>120</v>
      </c>
      <c r="G252" s="133">
        <v>30</v>
      </c>
      <c r="H252" s="133">
        <v>12</v>
      </c>
      <c r="I252" s="133">
        <v>148</v>
      </c>
      <c r="J252" s="133">
        <v>55</v>
      </c>
      <c r="K252" s="133">
        <v>30</v>
      </c>
      <c r="L252" s="133">
        <v>12</v>
      </c>
      <c r="M252" s="133">
        <v>2</v>
      </c>
      <c r="N252" s="133">
        <v>0</v>
      </c>
      <c r="O252" s="133">
        <v>0</v>
      </c>
      <c r="P252" s="146">
        <v>0</v>
      </c>
      <c r="Q252">
        <f>G252/G247</f>
        <v>0.25210084033613445</v>
      </c>
      <c r="R252">
        <f>F252/F247</f>
        <v>9.5389507154213043E-2</v>
      </c>
    </row>
    <row r="253" spans="1:18" ht="15.75" thickBot="1" x14ac:dyDescent="0.3">
      <c r="C253" s="143" t="s">
        <v>153</v>
      </c>
      <c r="D253" s="132">
        <v>41</v>
      </c>
      <c r="E253" s="132">
        <v>16</v>
      </c>
      <c r="F253" s="132">
        <f t="shared" si="6"/>
        <v>35</v>
      </c>
      <c r="G253" s="132">
        <v>6</v>
      </c>
      <c r="H253" s="132">
        <v>3</v>
      </c>
      <c r="I253" s="132">
        <v>41</v>
      </c>
      <c r="J253" s="132">
        <v>16</v>
      </c>
      <c r="K253" s="132">
        <v>6</v>
      </c>
      <c r="L253" s="132">
        <v>3</v>
      </c>
      <c r="M253" s="132">
        <v>0</v>
      </c>
      <c r="N253" s="132">
        <v>0</v>
      </c>
      <c r="O253" s="132">
        <v>0</v>
      </c>
      <c r="P253" s="144">
        <v>0</v>
      </c>
    </row>
    <row r="254" spans="1:18" ht="15.75" thickBot="1" x14ac:dyDescent="0.3">
      <c r="C254" s="145" t="s">
        <v>154</v>
      </c>
      <c r="D254" s="133">
        <v>19</v>
      </c>
      <c r="E254" s="133">
        <v>8</v>
      </c>
      <c r="F254" s="132">
        <f t="shared" si="6"/>
        <v>19</v>
      </c>
      <c r="G254" s="133">
        <v>0</v>
      </c>
      <c r="H254" s="133">
        <v>0</v>
      </c>
      <c r="I254" s="133">
        <v>19</v>
      </c>
      <c r="J254" s="133">
        <v>8</v>
      </c>
      <c r="K254" s="133">
        <v>0</v>
      </c>
      <c r="L254" s="133">
        <v>0</v>
      </c>
      <c r="M254" s="133">
        <v>0</v>
      </c>
      <c r="N254" s="133">
        <v>0</v>
      </c>
      <c r="O254" s="133">
        <v>0</v>
      </c>
      <c r="P254" s="146">
        <v>0</v>
      </c>
    </row>
    <row r="255" spans="1:18" ht="15.75" thickBot="1" x14ac:dyDescent="0.3">
      <c r="C255" s="153" t="s">
        <v>110</v>
      </c>
      <c r="D255" s="154"/>
      <c r="E255" s="154"/>
      <c r="F255" s="132">
        <f t="shared" si="6"/>
        <v>0</v>
      </c>
      <c r="G255" s="154"/>
      <c r="H255" s="154"/>
      <c r="I255" s="154"/>
      <c r="J255" s="154"/>
      <c r="K255" s="154"/>
      <c r="L255" s="154"/>
      <c r="M255" s="154"/>
      <c r="N255" s="154"/>
      <c r="O255" s="154"/>
      <c r="P255" s="155"/>
    </row>
    <row r="256" spans="1:18" ht="15.75" thickBot="1" x14ac:dyDescent="0.3">
      <c r="C256" s="156"/>
      <c r="D256" s="157"/>
      <c r="E256" s="157"/>
      <c r="F256" s="132">
        <f t="shared" si="6"/>
        <v>0</v>
      </c>
      <c r="G256" s="157"/>
      <c r="H256" s="157"/>
      <c r="I256" s="157"/>
      <c r="J256" s="157"/>
      <c r="K256" s="157"/>
      <c r="L256" s="157"/>
      <c r="M256" s="157"/>
      <c r="N256" s="157"/>
      <c r="O256" s="157"/>
      <c r="P256" s="158"/>
    </row>
    <row r="257" spans="1:18" ht="15.75" thickBot="1" x14ac:dyDescent="0.3">
      <c r="C257" s="143" t="s">
        <v>83</v>
      </c>
      <c r="D257" s="132">
        <v>1394</v>
      </c>
      <c r="E257" s="132">
        <v>683</v>
      </c>
      <c r="F257" s="132">
        <f t="shared" si="6"/>
        <v>1266</v>
      </c>
      <c r="G257" s="132">
        <v>128</v>
      </c>
      <c r="H257" s="132">
        <v>64</v>
      </c>
      <c r="I257" s="132">
        <v>1369</v>
      </c>
      <c r="J257" s="132">
        <v>673</v>
      </c>
      <c r="K257" s="132">
        <v>128</v>
      </c>
      <c r="L257" s="132">
        <v>64</v>
      </c>
      <c r="M257" s="132">
        <v>25</v>
      </c>
      <c r="N257" s="132">
        <v>10</v>
      </c>
      <c r="O257" s="132">
        <v>0</v>
      </c>
      <c r="P257" s="144">
        <v>0</v>
      </c>
    </row>
    <row r="258" spans="1:18" ht="15.75" thickBot="1" x14ac:dyDescent="0.3">
      <c r="C258" s="145" t="s">
        <v>152</v>
      </c>
      <c r="D258" s="133">
        <v>19</v>
      </c>
      <c r="E258" s="133">
        <v>6</v>
      </c>
      <c r="F258" s="132">
        <f t="shared" si="6"/>
        <v>19</v>
      </c>
      <c r="G258" s="133">
        <v>0</v>
      </c>
      <c r="H258" s="133">
        <v>0</v>
      </c>
      <c r="I258" s="133">
        <v>13</v>
      </c>
      <c r="J258" s="133">
        <v>4</v>
      </c>
      <c r="K258" s="133">
        <v>0</v>
      </c>
      <c r="L258" s="133">
        <v>0</v>
      </c>
      <c r="M258" s="133">
        <v>6</v>
      </c>
      <c r="N258" s="133">
        <v>2</v>
      </c>
      <c r="O258" s="133">
        <v>0</v>
      </c>
      <c r="P258" s="146">
        <v>0</v>
      </c>
    </row>
    <row r="259" spans="1:18" ht="15.75" thickBot="1" x14ac:dyDescent="0.3">
      <c r="C259" s="143" t="s">
        <v>85</v>
      </c>
      <c r="D259" s="132">
        <v>970</v>
      </c>
      <c r="E259" s="132">
        <v>532</v>
      </c>
      <c r="F259" s="132">
        <f t="shared" si="6"/>
        <v>903</v>
      </c>
      <c r="G259" s="132">
        <v>67</v>
      </c>
      <c r="H259" s="132">
        <v>42</v>
      </c>
      <c r="I259" s="132">
        <v>953</v>
      </c>
      <c r="J259" s="132">
        <v>524</v>
      </c>
      <c r="K259" s="132">
        <v>67</v>
      </c>
      <c r="L259" s="132">
        <v>42</v>
      </c>
      <c r="M259" s="132">
        <v>17</v>
      </c>
      <c r="N259" s="132">
        <v>8</v>
      </c>
      <c r="O259" s="132">
        <v>0</v>
      </c>
      <c r="P259" s="144">
        <v>0</v>
      </c>
    </row>
    <row r="260" spans="1:18" ht="15.75" thickBot="1" x14ac:dyDescent="0.3">
      <c r="C260" s="145" t="s">
        <v>86</v>
      </c>
      <c r="D260" s="133">
        <v>298</v>
      </c>
      <c r="E260" s="133">
        <v>104</v>
      </c>
      <c r="F260" s="132">
        <f t="shared" si="6"/>
        <v>263</v>
      </c>
      <c r="G260" s="133">
        <v>35</v>
      </c>
      <c r="H260" s="133">
        <v>11</v>
      </c>
      <c r="I260" s="133">
        <v>297</v>
      </c>
      <c r="J260" s="133">
        <v>104</v>
      </c>
      <c r="K260" s="133">
        <v>35</v>
      </c>
      <c r="L260" s="133">
        <v>11</v>
      </c>
      <c r="M260" s="133">
        <v>1</v>
      </c>
      <c r="N260" s="133">
        <v>0</v>
      </c>
      <c r="O260" s="133">
        <v>0</v>
      </c>
      <c r="P260" s="146">
        <v>0</v>
      </c>
    </row>
    <row r="261" spans="1:18" ht="15.75" thickBot="1" x14ac:dyDescent="0.3">
      <c r="A261" s="170">
        <v>352</v>
      </c>
      <c r="B261" t="s">
        <v>34</v>
      </c>
      <c r="C261" s="143" t="s">
        <v>87</v>
      </c>
      <c r="D261" s="132">
        <v>107</v>
      </c>
      <c r="E261" s="132">
        <v>41</v>
      </c>
      <c r="F261" s="132">
        <f t="shared" si="6"/>
        <v>81</v>
      </c>
      <c r="G261" s="132">
        <v>26</v>
      </c>
      <c r="H261" s="132">
        <v>11</v>
      </c>
      <c r="I261" s="132">
        <v>106</v>
      </c>
      <c r="J261" s="132">
        <v>41</v>
      </c>
      <c r="K261" s="132">
        <v>26</v>
      </c>
      <c r="L261" s="132">
        <v>11</v>
      </c>
      <c r="M261" s="132">
        <v>1</v>
      </c>
      <c r="N261" s="132">
        <v>0</v>
      </c>
      <c r="O261" s="132">
        <v>0</v>
      </c>
      <c r="P261" s="144">
        <v>0</v>
      </c>
      <c r="Q261">
        <f>G261/G257</f>
        <v>0.203125</v>
      </c>
      <c r="R261">
        <f>F261/F257</f>
        <v>6.398104265402843E-2</v>
      </c>
    </row>
    <row r="262" spans="1:18" ht="15.75" thickBot="1" x14ac:dyDescent="0.3">
      <c r="C262" s="145" t="s">
        <v>153</v>
      </c>
      <c r="D262" s="133">
        <v>30</v>
      </c>
      <c r="E262" s="133">
        <v>12</v>
      </c>
      <c r="F262" s="132">
        <f t="shared" si="6"/>
        <v>26</v>
      </c>
      <c r="G262" s="133">
        <v>4</v>
      </c>
      <c r="H262" s="133">
        <v>0</v>
      </c>
      <c r="I262" s="133">
        <v>30</v>
      </c>
      <c r="J262" s="133">
        <v>12</v>
      </c>
      <c r="K262" s="133">
        <v>4</v>
      </c>
      <c r="L262" s="133">
        <v>0</v>
      </c>
      <c r="M262" s="133">
        <v>0</v>
      </c>
      <c r="N262" s="133">
        <v>0</v>
      </c>
      <c r="O262" s="133">
        <v>0</v>
      </c>
      <c r="P262" s="146">
        <v>0</v>
      </c>
    </row>
    <row r="263" spans="1:18" ht="15.75" thickBot="1" x14ac:dyDescent="0.3">
      <c r="C263" s="143" t="s">
        <v>154</v>
      </c>
      <c r="D263" s="132">
        <v>20</v>
      </c>
      <c r="E263" s="132">
        <v>11</v>
      </c>
      <c r="F263" s="132">
        <f t="shared" si="6"/>
        <v>15</v>
      </c>
      <c r="G263" s="132">
        <v>5</v>
      </c>
      <c r="H263" s="132">
        <v>3</v>
      </c>
      <c r="I263" s="132">
        <v>20</v>
      </c>
      <c r="J263" s="132">
        <v>11</v>
      </c>
      <c r="K263" s="132">
        <v>5</v>
      </c>
      <c r="L263" s="132">
        <v>3</v>
      </c>
      <c r="M263" s="132">
        <v>0</v>
      </c>
      <c r="N263" s="132">
        <v>0</v>
      </c>
      <c r="O263" s="132">
        <v>0</v>
      </c>
      <c r="P263" s="144">
        <v>0</v>
      </c>
    </row>
    <row r="264" spans="1:18" ht="15.75" thickBot="1" x14ac:dyDescent="0.3">
      <c r="C264" s="156" t="s">
        <v>111</v>
      </c>
      <c r="D264" s="157"/>
      <c r="E264" s="157"/>
      <c r="F264" s="132">
        <f t="shared" si="6"/>
        <v>0</v>
      </c>
      <c r="G264" s="157"/>
      <c r="H264" s="157"/>
      <c r="I264" s="157"/>
      <c r="J264" s="157"/>
      <c r="K264" s="157"/>
      <c r="L264" s="157"/>
      <c r="M264" s="157"/>
      <c r="N264" s="157"/>
      <c r="O264" s="157"/>
      <c r="P264" s="158"/>
    </row>
    <row r="265" spans="1:18" ht="15.75" thickBot="1" x14ac:dyDescent="0.3">
      <c r="C265" s="153"/>
      <c r="D265" s="154"/>
      <c r="E265" s="154"/>
      <c r="F265" s="132">
        <f t="shared" si="6"/>
        <v>0</v>
      </c>
      <c r="G265" s="154"/>
      <c r="H265" s="154"/>
      <c r="I265" s="154"/>
      <c r="J265" s="154"/>
      <c r="K265" s="154"/>
      <c r="L265" s="154"/>
      <c r="M265" s="154"/>
      <c r="N265" s="154"/>
      <c r="O265" s="154"/>
      <c r="P265" s="155"/>
    </row>
    <row r="266" spans="1:18" ht="15.75" thickBot="1" x14ac:dyDescent="0.3">
      <c r="C266" s="145" t="s">
        <v>83</v>
      </c>
      <c r="D266" s="133">
        <v>1694</v>
      </c>
      <c r="E266" s="133">
        <v>785</v>
      </c>
      <c r="F266" s="132">
        <f t="shared" si="6"/>
        <v>1595</v>
      </c>
      <c r="G266" s="133">
        <v>99</v>
      </c>
      <c r="H266" s="133">
        <v>57</v>
      </c>
      <c r="I266" s="133">
        <v>1636</v>
      </c>
      <c r="J266" s="133">
        <v>754</v>
      </c>
      <c r="K266" s="133">
        <v>98</v>
      </c>
      <c r="L266" s="133">
        <v>56</v>
      </c>
      <c r="M266" s="133">
        <v>58</v>
      </c>
      <c r="N266" s="133">
        <v>31</v>
      </c>
      <c r="O266" s="133">
        <v>1</v>
      </c>
      <c r="P266" s="146">
        <v>1</v>
      </c>
    </row>
    <row r="267" spans="1:18" ht="15.75" thickBot="1" x14ac:dyDescent="0.3">
      <c r="C267" s="143" t="s">
        <v>151</v>
      </c>
      <c r="D267" s="132">
        <v>190</v>
      </c>
      <c r="E267" s="132">
        <v>96</v>
      </c>
      <c r="F267" s="132">
        <f t="shared" si="6"/>
        <v>190</v>
      </c>
      <c r="G267" s="132">
        <v>0</v>
      </c>
      <c r="H267" s="132">
        <v>0</v>
      </c>
      <c r="I267" s="132">
        <v>170</v>
      </c>
      <c r="J267" s="132">
        <v>86</v>
      </c>
      <c r="K267" s="132">
        <v>0</v>
      </c>
      <c r="L267" s="132">
        <v>0</v>
      </c>
      <c r="M267" s="132">
        <v>20</v>
      </c>
      <c r="N267" s="132">
        <v>10</v>
      </c>
      <c r="O267" s="132">
        <v>0</v>
      </c>
      <c r="P267" s="144">
        <v>0</v>
      </c>
    </row>
    <row r="268" spans="1:18" ht="15.75" thickBot="1" x14ac:dyDescent="0.3">
      <c r="C268" s="145" t="s">
        <v>152</v>
      </c>
      <c r="D268" s="133">
        <v>45</v>
      </c>
      <c r="E268" s="133">
        <v>27</v>
      </c>
      <c r="F268" s="132">
        <f t="shared" si="6"/>
        <v>44</v>
      </c>
      <c r="G268" s="133">
        <v>1</v>
      </c>
      <c r="H268" s="133">
        <v>1</v>
      </c>
      <c r="I268" s="133">
        <v>38</v>
      </c>
      <c r="J268" s="133">
        <v>23</v>
      </c>
      <c r="K268" s="133">
        <v>1</v>
      </c>
      <c r="L268" s="133">
        <v>1</v>
      </c>
      <c r="M268" s="133">
        <v>7</v>
      </c>
      <c r="N268" s="133">
        <v>4</v>
      </c>
      <c r="O268" s="133">
        <v>0</v>
      </c>
      <c r="P268" s="146">
        <v>0</v>
      </c>
    </row>
    <row r="269" spans="1:18" ht="15.75" thickBot="1" x14ac:dyDescent="0.3">
      <c r="C269" s="143" t="s">
        <v>85</v>
      </c>
      <c r="D269" s="132">
        <v>1082</v>
      </c>
      <c r="E269" s="132">
        <v>514</v>
      </c>
      <c r="F269" s="132">
        <f t="shared" si="6"/>
        <v>1034</v>
      </c>
      <c r="G269" s="132">
        <v>48</v>
      </c>
      <c r="H269" s="132">
        <v>34</v>
      </c>
      <c r="I269" s="132">
        <v>1059</v>
      </c>
      <c r="J269" s="132">
        <v>503</v>
      </c>
      <c r="K269" s="132">
        <v>48</v>
      </c>
      <c r="L269" s="132">
        <v>34</v>
      </c>
      <c r="M269" s="132">
        <v>23</v>
      </c>
      <c r="N269" s="132">
        <v>11</v>
      </c>
      <c r="O269" s="132">
        <v>0</v>
      </c>
      <c r="P269" s="144">
        <v>0</v>
      </c>
    </row>
    <row r="270" spans="1:18" ht="15.75" thickBot="1" x14ac:dyDescent="0.3">
      <c r="C270" s="145" t="s">
        <v>86</v>
      </c>
      <c r="D270" s="133">
        <v>276</v>
      </c>
      <c r="E270" s="133">
        <v>111</v>
      </c>
      <c r="F270" s="132">
        <f t="shared" si="6"/>
        <v>246</v>
      </c>
      <c r="G270" s="133">
        <v>30</v>
      </c>
      <c r="H270" s="133">
        <v>14</v>
      </c>
      <c r="I270" s="133">
        <v>272</v>
      </c>
      <c r="J270" s="133">
        <v>107</v>
      </c>
      <c r="K270" s="133">
        <v>29</v>
      </c>
      <c r="L270" s="133">
        <v>13</v>
      </c>
      <c r="M270" s="133">
        <v>4</v>
      </c>
      <c r="N270" s="133">
        <v>4</v>
      </c>
      <c r="O270" s="133">
        <v>1</v>
      </c>
      <c r="P270" s="146">
        <v>1</v>
      </c>
    </row>
    <row r="271" spans="1:18" ht="15.75" thickBot="1" x14ac:dyDescent="0.3">
      <c r="A271" s="171">
        <v>353</v>
      </c>
      <c r="B271" t="s">
        <v>35</v>
      </c>
      <c r="C271" s="143" t="s">
        <v>87</v>
      </c>
      <c r="D271" s="132">
        <v>101</v>
      </c>
      <c r="E271" s="132">
        <v>37</v>
      </c>
      <c r="F271" s="132">
        <f t="shared" si="6"/>
        <v>81</v>
      </c>
      <c r="G271" s="132">
        <v>20</v>
      </c>
      <c r="H271" s="132">
        <v>8</v>
      </c>
      <c r="I271" s="132">
        <v>97</v>
      </c>
      <c r="J271" s="132">
        <v>35</v>
      </c>
      <c r="K271" s="132">
        <v>20</v>
      </c>
      <c r="L271" s="132">
        <v>8</v>
      </c>
      <c r="M271" s="132">
        <v>4</v>
      </c>
      <c r="N271" s="132">
        <v>2</v>
      </c>
      <c r="O271" s="132">
        <v>0</v>
      </c>
      <c r="P271" s="144">
        <v>0</v>
      </c>
      <c r="Q271">
        <f>G271/G266</f>
        <v>0.20202020202020202</v>
      </c>
      <c r="R271">
        <f>F271/F266</f>
        <v>5.0783699059561128E-2</v>
      </c>
    </row>
    <row r="272" spans="1:18" ht="15.75" thickBot="1" x14ac:dyDescent="0.3">
      <c r="C272" s="145" t="s">
        <v>153</v>
      </c>
      <c r="D272" s="133">
        <v>30</v>
      </c>
      <c r="E272" s="133">
        <v>11</v>
      </c>
      <c r="F272" s="132">
        <f t="shared" si="6"/>
        <v>27</v>
      </c>
      <c r="G272" s="133">
        <v>3</v>
      </c>
      <c r="H272" s="133">
        <v>1</v>
      </c>
      <c r="I272" s="133">
        <v>28</v>
      </c>
      <c r="J272" s="133">
        <v>10</v>
      </c>
      <c r="K272" s="133">
        <v>3</v>
      </c>
      <c r="L272" s="133">
        <v>1</v>
      </c>
      <c r="M272" s="133">
        <v>2</v>
      </c>
      <c r="N272" s="133">
        <v>1</v>
      </c>
      <c r="O272" s="133">
        <v>0</v>
      </c>
      <c r="P272" s="146">
        <v>0</v>
      </c>
    </row>
    <row r="273" spans="1:18" ht="15.75" thickBot="1" x14ac:dyDescent="0.3">
      <c r="C273" s="143" t="s">
        <v>154</v>
      </c>
      <c r="D273" s="132">
        <v>26</v>
      </c>
      <c r="E273" s="132">
        <v>8</v>
      </c>
      <c r="F273" s="132">
        <f t="shared" si="6"/>
        <v>24</v>
      </c>
      <c r="G273" s="132">
        <v>2</v>
      </c>
      <c r="H273" s="132">
        <v>2</v>
      </c>
      <c r="I273" s="132">
        <v>24</v>
      </c>
      <c r="J273" s="132">
        <v>7</v>
      </c>
      <c r="K273" s="132">
        <v>2</v>
      </c>
      <c r="L273" s="132">
        <v>2</v>
      </c>
      <c r="M273" s="132">
        <v>2</v>
      </c>
      <c r="N273" s="132">
        <v>1</v>
      </c>
      <c r="O273" s="132">
        <v>0</v>
      </c>
      <c r="P273" s="144">
        <v>0</v>
      </c>
    </row>
    <row r="274" spans="1:18" ht="15.75" thickBot="1" x14ac:dyDescent="0.3">
      <c r="C274" s="156" t="s">
        <v>112</v>
      </c>
      <c r="D274" s="157"/>
      <c r="E274" s="157"/>
      <c r="F274" s="132">
        <f t="shared" si="6"/>
        <v>0</v>
      </c>
      <c r="G274" s="157"/>
      <c r="H274" s="157"/>
      <c r="I274" s="157"/>
      <c r="J274" s="157"/>
      <c r="K274" s="157"/>
      <c r="L274" s="157"/>
      <c r="M274" s="157"/>
      <c r="N274" s="157"/>
      <c r="O274" s="157"/>
      <c r="P274" s="158"/>
    </row>
    <row r="275" spans="1:18" ht="15.75" thickBot="1" x14ac:dyDescent="0.3">
      <c r="C275" s="153"/>
      <c r="D275" s="154"/>
      <c r="E275" s="154"/>
      <c r="F275" s="132">
        <f t="shared" si="6"/>
        <v>0</v>
      </c>
      <c r="G275" s="154"/>
      <c r="H275" s="154"/>
      <c r="I275" s="154"/>
      <c r="J275" s="154"/>
      <c r="K275" s="154"/>
      <c r="L275" s="154"/>
      <c r="M275" s="154"/>
      <c r="N275" s="154"/>
      <c r="O275" s="154"/>
      <c r="P275" s="155"/>
    </row>
    <row r="276" spans="1:18" ht="15.75" thickBot="1" x14ac:dyDescent="0.3">
      <c r="C276" s="145" t="s">
        <v>83</v>
      </c>
      <c r="D276" s="133">
        <v>409</v>
      </c>
      <c r="E276" s="133">
        <v>176</v>
      </c>
      <c r="F276" s="132">
        <f t="shared" si="6"/>
        <v>393</v>
      </c>
      <c r="G276" s="133">
        <v>16</v>
      </c>
      <c r="H276" s="133">
        <v>4</v>
      </c>
      <c r="I276" s="133">
        <v>345</v>
      </c>
      <c r="J276" s="133">
        <v>149</v>
      </c>
      <c r="K276" s="133">
        <v>15</v>
      </c>
      <c r="L276" s="133">
        <v>4</v>
      </c>
      <c r="M276" s="133">
        <v>64</v>
      </c>
      <c r="N276" s="133">
        <v>27</v>
      </c>
      <c r="O276" s="133">
        <v>1</v>
      </c>
      <c r="P276" s="146">
        <v>0</v>
      </c>
    </row>
    <row r="277" spans="1:18" ht="15.75" thickBot="1" x14ac:dyDescent="0.3">
      <c r="C277" s="143" t="s">
        <v>151</v>
      </c>
      <c r="D277" s="132">
        <v>10</v>
      </c>
      <c r="E277" s="132">
        <v>3</v>
      </c>
      <c r="F277" s="132">
        <f t="shared" si="6"/>
        <v>10</v>
      </c>
      <c r="G277" s="132">
        <v>0</v>
      </c>
      <c r="H277" s="132">
        <v>0</v>
      </c>
      <c r="I277" s="132">
        <v>0</v>
      </c>
      <c r="J277" s="132">
        <v>0</v>
      </c>
      <c r="K277" s="132">
        <v>0</v>
      </c>
      <c r="L277" s="132">
        <v>0</v>
      </c>
      <c r="M277" s="132">
        <v>10</v>
      </c>
      <c r="N277" s="132">
        <v>3</v>
      </c>
      <c r="O277" s="132">
        <v>0</v>
      </c>
      <c r="P277" s="144">
        <v>0</v>
      </c>
    </row>
    <row r="278" spans="1:18" ht="15.75" thickBot="1" x14ac:dyDescent="0.3">
      <c r="C278" s="145" t="s">
        <v>152</v>
      </c>
      <c r="D278" s="133">
        <v>9</v>
      </c>
      <c r="E278" s="133">
        <v>3</v>
      </c>
      <c r="F278" s="132">
        <f t="shared" si="6"/>
        <v>9</v>
      </c>
      <c r="G278" s="133">
        <v>0</v>
      </c>
      <c r="H278" s="133">
        <v>0</v>
      </c>
      <c r="I278" s="133">
        <v>9</v>
      </c>
      <c r="J278" s="133">
        <v>3</v>
      </c>
      <c r="K278" s="133">
        <v>0</v>
      </c>
      <c r="L278" s="133">
        <v>0</v>
      </c>
      <c r="M278" s="133">
        <v>0</v>
      </c>
      <c r="N278" s="133">
        <v>0</v>
      </c>
      <c r="O278" s="133">
        <v>0</v>
      </c>
      <c r="P278" s="146">
        <v>0</v>
      </c>
    </row>
    <row r="279" spans="1:18" ht="15.75" thickBot="1" x14ac:dyDescent="0.3">
      <c r="C279" s="143" t="s">
        <v>85</v>
      </c>
      <c r="D279" s="132">
        <v>255</v>
      </c>
      <c r="E279" s="132">
        <v>131</v>
      </c>
      <c r="F279" s="132">
        <f t="shared" si="6"/>
        <v>248</v>
      </c>
      <c r="G279" s="132">
        <v>7</v>
      </c>
      <c r="H279" s="132">
        <v>2</v>
      </c>
      <c r="I279" s="132">
        <v>239</v>
      </c>
      <c r="J279" s="132">
        <v>121</v>
      </c>
      <c r="K279" s="132">
        <v>7</v>
      </c>
      <c r="L279" s="132">
        <v>2</v>
      </c>
      <c r="M279" s="132">
        <v>16</v>
      </c>
      <c r="N279" s="132">
        <v>10</v>
      </c>
      <c r="O279" s="132">
        <v>0</v>
      </c>
      <c r="P279" s="144">
        <v>0</v>
      </c>
    </row>
    <row r="280" spans="1:18" ht="15.75" thickBot="1" x14ac:dyDescent="0.3">
      <c r="C280" s="145" t="s">
        <v>86</v>
      </c>
      <c r="D280" s="133">
        <v>97</v>
      </c>
      <c r="E280" s="133">
        <v>25</v>
      </c>
      <c r="F280" s="132">
        <f t="shared" si="6"/>
        <v>93</v>
      </c>
      <c r="G280" s="133">
        <v>4</v>
      </c>
      <c r="H280" s="133">
        <v>1</v>
      </c>
      <c r="I280" s="133">
        <v>80</v>
      </c>
      <c r="J280" s="133">
        <v>19</v>
      </c>
      <c r="K280" s="133">
        <v>4</v>
      </c>
      <c r="L280" s="133">
        <v>1</v>
      </c>
      <c r="M280" s="133">
        <v>17</v>
      </c>
      <c r="N280" s="133">
        <v>6</v>
      </c>
      <c r="O280" s="133">
        <v>0</v>
      </c>
      <c r="P280" s="146">
        <v>0</v>
      </c>
    </row>
    <row r="281" spans="1:18" ht="15.75" thickBot="1" x14ac:dyDescent="0.3">
      <c r="A281" s="171">
        <v>354</v>
      </c>
      <c r="B281" t="s">
        <v>36</v>
      </c>
      <c r="C281" s="143" t="s">
        <v>87</v>
      </c>
      <c r="D281" s="132">
        <v>38</v>
      </c>
      <c r="E281" s="132">
        <v>14</v>
      </c>
      <c r="F281" s="132">
        <f t="shared" si="6"/>
        <v>33</v>
      </c>
      <c r="G281" s="132">
        <v>5</v>
      </c>
      <c r="H281" s="132">
        <v>1</v>
      </c>
      <c r="I281" s="132">
        <v>17</v>
      </c>
      <c r="J281" s="132">
        <v>6</v>
      </c>
      <c r="K281" s="132">
        <v>4</v>
      </c>
      <c r="L281" s="132">
        <v>1</v>
      </c>
      <c r="M281" s="132">
        <v>21</v>
      </c>
      <c r="N281" s="132">
        <v>8</v>
      </c>
      <c r="O281" s="132">
        <v>1</v>
      </c>
      <c r="P281" s="144">
        <v>0</v>
      </c>
      <c r="Q281">
        <f>G281/G276</f>
        <v>0.3125</v>
      </c>
      <c r="R281">
        <f>F281/F276</f>
        <v>8.3969465648854963E-2</v>
      </c>
    </row>
    <row r="282" spans="1:18" ht="15.75" thickBot="1" x14ac:dyDescent="0.3">
      <c r="C282" s="145" t="s">
        <v>153</v>
      </c>
      <c r="D282" s="133">
        <v>14</v>
      </c>
      <c r="E282" s="133">
        <v>6</v>
      </c>
      <c r="F282" s="132">
        <f t="shared" si="6"/>
        <v>12</v>
      </c>
      <c r="G282" s="133">
        <v>2</v>
      </c>
      <c r="H282" s="133">
        <v>1</v>
      </c>
      <c r="I282" s="133">
        <v>7</v>
      </c>
      <c r="J282" s="133">
        <v>3</v>
      </c>
      <c r="K282" s="133">
        <v>1</v>
      </c>
      <c r="L282" s="133">
        <v>1</v>
      </c>
      <c r="M282" s="133">
        <v>7</v>
      </c>
      <c r="N282" s="133">
        <v>3</v>
      </c>
      <c r="O282" s="133">
        <v>1</v>
      </c>
      <c r="P282" s="146">
        <v>0</v>
      </c>
    </row>
    <row r="283" spans="1:18" ht="15.75" thickBot="1" x14ac:dyDescent="0.3">
      <c r="C283" s="143" t="s">
        <v>154</v>
      </c>
      <c r="D283" s="132">
        <v>14</v>
      </c>
      <c r="E283" s="132">
        <v>6</v>
      </c>
      <c r="F283" s="132">
        <f t="shared" si="6"/>
        <v>14</v>
      </c>
      <c r="G283" s="132">
        <v>0</v>
      </c>
      <c r="H283" s="132">
        <v>0</v>
      </c>
      <c r="I283" s="132">
        <v>1</v>
      </c>
      <c r="J283" s="132">
        <v>1</v>
      </c>
      <c r="K283" s="132">
        <v>0</v>
      </c>
      <c r="L283" s="132">
        <v>0</v>
      </c>
      <c r="M283" s="132">
        <v>13</v>
      </c>
      <c r="N283" s="132">
        <v>5</v>
      </c>
      <c r="O283" s="132">
        <v>0</v>
      </c>
      <c r="P283" s="144">
        <v>0</v>
      </c>
    </row>
    <row r="284" spans="1:18" ht="15.75" thickBot="1" x14ac:dyDescent="0.3">
      <c r="C284" s="156" t="s">
        <v>113</v>
      </c>
      <c r="D284" s="157"/>
      <c r="E284" s="157"/>
      <c r="F284" s="132">
        <f t="shared" si="6"/>
        <v>0</v>
      </c>
      <c r="G284" s="157"/>
      <c r="H284" s="157"/>
      <c r="I284" s="157"/>
      <c r="J284" s="157"/>
      <c r="K284" s="157"/>
      <c r="L284" s="157"/>
      <c r="M284" s="157"/>
      <c r="N284" s="157"/>
      <c r="O284" s="157"/>
      <c r="P284" s="158"/>
    </row>
    <row r="285" spans="1:18" ht="15.75" thickBot="1" x14ac:dyDescent="0.3">
      <c r="C285" s="153"/>
      <c r="D285" s="154"/>
      <c r="E285" s="154"/>
      <c r="F285" s="132">
        <f t="shared" si="6"/>
        <v>0</v>
      </c>
      <c r="G285" s="154"/>
      <c r="H285" s="154"/>
      <c r="I285" s="154"/>
      <c r="J285" s="154"/>
      <c r="K285" s="154"/>
      <c r="L285" s="154"/>
      <c r="M285" s="154"/>
      <c r="N285" s="154"/>
      <c r="O285" s="154"/>
      <c r="P285" s="155"/>
    </row>
    <row r="286" spans="1:18" ht="15.75" thickBot="1" x14ac:dyDescent="0.3">
      <c r="C286" s="145" t="s">
        <v>83</v>
      </c>
      <c r="D286" s="133">
        <v>1311</v>
      </c>
      <c r="E286" s="133">
        <v>602</v>
      </c>
      <c r="F286" s="132">
        <f t="shared" si="6"/>
        <v>1170</v>
      </c>
      <c r="G286" s="133">
        <v>141</v>
      </c>
      <c r="H286" s="133">
        <v>66</v>
      </c>
      <c r="I286" s="133">
        <v>1280</v>
      </c>
      <c r="J286" s="133">
        <v>587</v>
      </c>
      <c r="K286" s="133">
        <v>140</v>
      </c>
      <c r="L286" s="133">
        <v>66</v>
      </c>
      <c r="M286" s="133">
        <v>31</v>
      </c>
      <c r="N286" s="133">
        <v>15</v>
      </c>
      <c r="O286" s="133">
        <v>1</v>
      </c>
      <c r="P286" s="146">
        <v>0</v>
      </c>
    </row>
    <row r="287" spans="1:18" ht="15.75" thickBot="1" x14ac:dyDescent="0.3">
      <c r="C287" s="143" t="s">
        <v>151</v>
      </c>
      <c r="D287" s="132">
        <v>95</v>
      </c>
      <c r="E287" s="132">
        <v>59</v>
      </c>
      <c r="F287" s="132">
        <f t="shared" si="6"/>
        <v>89</v>
      </c>
      <c r="G287" s="132">
        <v>6</v>
      </c>
      <c r="H287" s="132">
        <v>5</v>
      </c>
      <c r="I287" s="132">
        <v>83</v>
      </c>
      <c r="J287" s="132">
        <v>49</v>
      </c>
      <c r="K287" s="132">
        <v>6</v>
      </c>
      <c r="L287" s="132">
        <v>5</v>
      </c>
      <c r="M287" s="132">
        <v>12</v>
      </c>
      <c r="N287" s="132">
        <v>10</v>
      </c>
      <c r="O287" s="132">
        <v>0</v>
      </c>
      <c r="P287" s="144">
        <v>0</v>
      </c>
    </row>
    <row r="288" spans="1:18" ht="15.75" thickBot="1" x14ac:dyDescent="0.3">
      <c r="C288" s="145" t="s">
        <v>152</v>
      </c>
      <c r="D288" s="133">
        <v>36</v>
      </c>
      <c r="E288" s="133">
        <v>18</v>
      </c>
      <c r="F288" s="132">
        <f t="shared" si="6"/>
        <v>36</v>
      </c>
      <c r="G288" s="133">
        <v>0</v>
      </c>
      <c r="H288" s="133">
        <v>0</v>
      </c>
      <c r="I288" s="133">
        <v>35</v>
      </c>
      <c r="J288" s="133">
        <v>18</v>
      </c>
      <c r="K288" s="133">
        <v>0</v>
      </c>
      <c r="L288" s="133">
        <v>0</v>
      </c>
      <c r="M288" s="133">
        <v>1</v>
      </c>
      <c r="N288" s="133">
        <v>0</v>
      </c>
      <c r="O288" s="133">
        <v>0</v>
      </c>
      <c r="P288" s="146">
        <v>0</v>
      </c>
    </row>
    <row r="289" spans="1:18" ht="15.75" thickBot="1" x14ac:dyDescent="0.3">
      <c r="C289" s="143" t="s">
        <v>85</v>
      </c>
      <c r="D289" s="132">
        <v>771</v>
      </c>
      <c r="E289" s="132">
        <v>370</v>
      </c>
      <c r="F289" s="132">
        <f t="shared" si="6"/>
        <v>709</v>
      </c>
      <c r="G289" s="132">
        <v>62</v>
      </c>
      <c r="H289" s="132">
        <v>28</v>
      </c>
      <c r="I289" s="132">
        <v>756</v>
      </c>
      <c r="J289" s="132">
        <v>365</v>
      </c>
      <c r="K289" s="132">
        <v>61</v>
      </c>
      <c r="L289" s="132">
        <v>28</v>
      </c>
      <c r="M289" s="132">
        <v>15</v>
      </c>
      <c r="N289" s="132">
        <v>5</v>
      </c>
      <c r="O289" s="132">
        <v>1</v>
      </c>
      <c r="P289" s="144">
        <v>0</v>
      </c>
    </row>
    <row r="290" spans="1:18" ht="15.75" thickBot="1" x14ac:dyDescent="0.3">
      <c r="C290" s="145" t="s">
        <v>86</v>
      </c>
      <c r="D290" s="133">
        <v>296</v>
      </c>
      <c r="E290" s="133">
        <v>113</v>
      </c>
      <c r="F290" s="132">
        <f t="shared" si="6"/>
        <v>240</v>
      </c>
      <c r="G290" s="133">
        <v>56</v>
      </c>
      <c r="H290" s="133">
        <v>24</v>
      </c>
      <c r="I290" s="133">
        <v>293</v>
      </c>
      <c r="J290" s="133">
        <v>113</v>
      </c>
      <c r="K290" s="133">
        <v>56</v>
      </c>
      <c r="L290" s="133">
        <v>24</v>
      </c>
      <c r="M290" s="133">
        <v>3</v>
      </c>
      <c r="N290" s="133">
        <v>0</v>
      </c>
      <c r="O290" s="133">
        <v>0</v>
      </c>
      <c r="P290" s="146">
        <v>0</v>
      </c>
    </row>
    <row r="291" spans="1:18" ht="15.75" thickBot="1" x14ac:dyDescent="0.3">
      <c r="A291" s="171">
        <v>355</v>
      </c>
      <c r="B291" t="s">
        <v>37</v>
      </c>
      <c r="C291" s="143" t="s">
        <v>87</v>
      </c>
      <c r="D291" s="132">
        <v>113</v>
      </c>
      <c r="E291" s="132">
        <v>42</v>
      </c>
      <c r="F291" s="132">
        <f t="shared" si="6"/>
        <v>96</v>
      </c>
      <c r="G291" s="132">
        <v>17</v>
      </c>
      <c r="H291" s="132">
        <v>9</v>
      </c>
      <c r="I291" s="132">
        <v>113</v>
      </c>
      <c r="J291" s="132">
        <v>42</v>
      </c>
      <c r="K291" s="132">
        <v>17</v>
      </c>
      <c r="L291" s="132">
        <v>9</v>
      </c>
      <c r="M291" s="132">
        <v>0</v>
      </c>
      <c r="N291" s="132">
        <v>0</v>
      </c>
      <c r="O291" s="132">
        <v>0</v>
      </c>
      <c r="P291" s="144">
        <v>0</v>
      </c>
      <c r="Q291">
        <f>G291/G286</f>
        <v>0.12056737588652482</v>
      </c>
      <c r="R291">
        <f>F291/F286</f>
        <v>8.2051282051282051E-2</v>
      </c>
    </row>
    <row r="292" spans="1:18" ht="15.75" thickBot="1" x14ac:dyDescent="0.3">
      <c r="C292" s="145" t="s">
        <v>153</v>
      </c>
      <c r="D292" s="133">
        <v>41</v>
      </c>
      <c r="E292" s="133">
        <v>10</v>
      </c>
      <c r="F292" s="132">
        <f t="shared" si="6"/>
        <v>36</v>
      </c>
      <c r="G292" s="133">
        <v>5</v>
      </c>
      <c r="H292" s="133">
        <v>3</v>
      </c>
      <c r="I292" s="133">
        <v>41</v>
      </c>
      <c r="J292" s="133">
        <v>10</v>
      </c>
      <c r="K292" s="133">
        <v>5</v>
      </c>
      <c r="L292" s="133">
        <v>3</v>
      </c>
      <c r="M292" s="133">
        <v>0</v>
      </c>
      <c r="N292" s="133">
        <v>0</v>
      </c>
      <c r="O292" s="133">
        <v>0</v>
      </c>
      <c r="P292" s="146">
        <v>0</v>
      </c>
    </row>
    <row r="293" spans="1:18" ht="15.75" thickBot="1" x14ac:dyDescent="0.3">
      <c r="C293" s="143" t="s">
        <v>154</v>
      </c>
      <c r="D293" s="132">
        <v>16</v>
      </c>
      <c r="E293" s="132">
        <v>5</v>
      </c>
      <c r="F293" s="132">
        <f t="shared" si="6"/>
        <v>16</v>
      </c>
      <c r="G293" s="132">
        <v>0</v>
      </c>
      <c r="H293" s="132">
        <v>0</v>
      </c>
      <c r="I293" s="132">
        <v>16</v>
      </c>
      <c r="J293" s="132">
        <v>5</v>
      </c>
      <c r="K293" s="132">
        <v>0</v>
      </c>
      <c r="L293" s="132">
        <v>0</v>
      </c>
      <c r="M293" s="132">
        <v>0</v>
      </c>
      <c r="N293" s="132">
        <v>0</v>
      </c>
      <c r="O293" s="132">
        <v>0</v>
      </c>
      <c r="P293" s="144">
        <v>0</v>
      </c>
    </row>
    <row r="294" spans="1:18" ht="15.75" thickBot="1" x14ac:dyDescent="0.3">
      <c r="C294" s="156" t="s">
        <v>114</v>
      </c>
      <c r="D294" s="157"/>
      <c r="E294" s="157"/>
      <c r="F294" s="132">
        <f t="shared" si="6"/>
        <v>0</v>
      </c>
      <c r="G294" s="157"/>
      <c r="H294" s="157"/>
      <c r="I294" s="157"/>
      <c r="J294" s="157"/>
      <c r="K294" s="157"/>
      <c r="L294" s="157"/>
      <c r="M294" s="157"/>
      <c r="N294" s="157"/>
      <c r="O294" s="157"/>
      <c r="P294" s="158"/>
    </row>
    <row r="295" spans="1:18" ht="15.75" thickBot="1" x14ac:dyDescent="0.3">
      <c r="C295" s="153"/>
      <c r="D295" s="154"/>
      <c r="E295" s="154"/>
      <c r="F295" s="132">
        <f t="shared" si="6"/>
        <v>0</v>
      </c>
      <c r="G295" s="154"/>
      <c r="H295" s="154"/>
      <c r="I295" s="154"/>
      <c r="J295" s="154"/>
      <c r="K295" s="154"/>
      <c r="L295" s="154"/>
      <c r="M295" s="154"/>
      <c r="N295" s="154"/>
      <c r="O295" s="154"/>
      <c r="P295" s="155"/>
    </row>
    <row r="296" spans="1:18" ht="15.75" thickBot="1" x14ac:dyDescent="0.3">
      <c r="C296" s="145" t="s">
        <v>83</v>
      </c>
      <c r="D296" s="133">
        <v>747</v>
      </c>
      <c r="E296" s="133">
        <v>359</v>
      </c>
      <c r="F296" s="132">
        <f t="shared" ref="F296:F359" si="7">D296-G296</f>
        <v>692</v>
      </c>
      <c r="G296" s="133">
        <v>55</v>
      </c>
      <c r="H296" s="133">
        <v>30</v>
      </c>
      <c r="I296" s="133">
        <v>747</v>
      </c>
      <c r="J296" s="133">
        <v>359</v>
      </c>
      <c r="K296" s="133">
        <v>55</v>
      </c>
      <c r="L296" s="133">
        <v>30</v>
      </c>
      <c r="M296" s="133">
        <v>0</v>
      </c>
      <c r="N296" s="133">
        <v>0</v>
      </c>
      <c r="O296" s="133">
        <v>0</v>
      </c>
      <c r="P296" s="146">
        <v>0</v>
      </c>
    </row>
    <row r="297" spans="1:18" ht="15.75" thickBot="1" x14ac:dyDescent="0.3">
      <c r="C297" s="143" t="s">
        <v>151</v>
      </c>
      <c r="D297" s="132">
        <v>97</v>
      </c>
      <c r="E297" s="132">
        <v>67</v>
      </c>
      <c r="F297" s="132">
        <f t="shared" si="7"/>
        <v>96</v>
      </c>
      <c r="G297" s="132">
        <v>1</v>
      </c>
      <c r="H297" s="132">
        <v>1</v>
      </c>
      <c r="I297" s="132">
        <v>97</v>
      </c>
      <c r="J297" s="132">
        <v>67</v>
      </c>
      <c r="K297" s="132">
        <v>1</v>
      </c>
      <c r="L297" s="132">
        <v>1</v>
      </c>
      <c r="M297" s="132">
        <v>0</v>
      </c>
      <c r="N297" s="132">
        <v>0</v>
      </c>
      <c r="O297" s="132">
        <v>0</v>
      </c>
      <c r="P297" s="144">
        <v>0</v>
      </c>
    </row>
    <row r="298" spans="1:18" ht="15.75" thickBot="1" x14ac:dyDescent="0.3">
      <c r="C298" s="145" t="s">
        <v>152</v>
      </c>
      <c r="D298" s="133">
        <v>7</v>
      </c>
      <c r="E298" s="133">
        <v>5</v>
      </c>
      <c r="F298" s="132">
        <f t="shared" si="7"/>
        <v>7</v>
      </c>
      <c r="G298" s="133">
        <v>0</v>
      </c>
      <c r="H298" s="133">
        <v>0</v>
      </c>
      <c r="I298" s="133">
        <v>7</v>
      </c>
      <c r="J298" s="133">
        <v>5</v>
      </c>
      <c r="K298" s="133">
        <v>0</v>
      </c>
      <c r="L298" s="133">
        <v>0</v>
      </c>
      <c r="M298" s="133">
        <v>0</v>
      </c>
      <c r="N298" s="133">
        <v>0</v>
      </c>
      <c r="O298" s="133">
        <v>0</v>
      </c>
      <c r="P298" s="146">
        <v>0</v>
      </c>
    </row>
    <row r="299" spans="1:18" ht="15.75" thickBot="1" x14ac:dyDescent="0.3">
      <c r="C299" s="143" t="s">
        <v>85</v>
      </c>
      <c r="D299" s="132">
        <v>448</v>
      </c>
      <c r="E299" s="132">
        <v>219</v>
      </c>
      <c r="F299" s="132">
        <f t="shared" si="7"/>
        <v>433</v>
      </c>
      <c r="G299" s="132">
        <v>15</v>
      </c>
      <c r="H299" s="132">
        <v>10</v>
      </c>
      <c r="I299" s="132">
        <v>448</v>
      </c>
      <c r="J299" s="132">
        <v>219</v>
      </c>
      <c r="K299" s="132">
        <v>15</v>
      </c>
      <c r="L299" s="132">
        <v>10</v>
      </c>
      <c r="M299" s="132">
        <v>0</v>
      </c>
      <c r="N299" s="132">
        <v>0</v>
      </c>
      <c r="O299" s="132">
        <v>0</v>
      </c>
      <c r="P299" s="144">
        <v>0</v>
      </c>
    </row>
    <row r="300" spans="1:18" ht="15.75" thickBot="1" x14ac:dyDescent="0.3">
      <c r="C300" s="145" t="s">
        <v>86</v>
      </c>
      <c r="D300" s="133">
        <v>154</v>
      </c>
      <c r="E300" s="133">
        <v>52</v>
      </c>
      <c r="F300" s="132">
        <f t="shared" si="7"/>
        <v>128</v>
      </c>
      <c r="G300" s="133">
        <v>26</v>
      </c>
      <c r="H300" s="133">
        <v>13</v>
      </c>
      <c r="I300" s="133">
        <v>154</v>
      </c>
      <c r="J300" s="133">
        <v>52</v>
      </c>
      <c r="K300" s="133">
        <v>26</v>
      </c>
      <c r="L300" s="133">
        <v>13</v>
      </c>
      <c r="M300" s="133">
        <v>0</v>
      </c>
      <c r="N300" s="133">
        <v>0</v>
      </c>
      <c r="O300" s="133">
        <v>0</v>
      </c>
      <c r="P300" s="146">
        <v>0</v>
      </c>
    </row>
    <row r="301" spans="1:18" ht="15.75" thickBot="1" x14ac:dyDescent="0.3">
      <c r="A301" s="171">
        <v>356</v>
      </c>
      <c r="B301" t="s">
        <v>38</v>
      </c>
      <c r="C301" s="143" t="s">
        <v>87</v>
      </c>
      <c r="D301" s="132">
        <v>41</v>
      </c>
      <c r="E301" s="132">
        <v>16</v>
      </c>
      <c r="F301" s="132">
        <f t="shared" si="7"/>
        <v>28</v>
      </c>
      <c r="G301" s="132">
        <v>13</v>
      </c>
      <c r="H301" s="132">
        <v>6</v>
      </c>
      <c r="I301" s="132">
        <v>41</v>
      </c>
      <c r="J301" s="132">
        <v>16</v>
      </c>
      <c r="K301" s="132">
        <v>13</v>
      </c>
      <c r="L301" s="132">
        <v>6</v>
      </c>
      <c r="M301" s="132">
        <v>0</v>
      </c>
      <c r="N301" s="132">
        <v>0</v>
      </c>
      <c r="O301" s="132">
        <v>0</v>
      </c>
      <c r="P301" s="144">
        <v>0</v>
      </c>
      <c r="Q301">
        <f>G301/G296</f>
        <v>0.23636363636363636</v>
      </c>
      <c r="R301">
        <f>F301/F296</f>
        <v>4.046242774566474E-2</v>
      </c>
    </row>
    <row r="302" spans="1:18" ht="15.75" thickBot="1" x14ac:dyDescent="0.3">
      <c r="C302" s="145" t="s">
        <v>153</v>
      </c>
      <c r="D302" s="133">
        <v>7</v>
      </c>
      <c r="E302" s="133">
        <v>3</v>
      </c>
      <c r="F302" s="132">
        <f t="shared" si="7"/>
        <v>5</v>
      </c>
      <c r="G302" s="133">
        <v>2</v>
      </c>
      <c r="H302" s="133">
        <v>1</v>
      </c>
      <c r="I302" s="133">
        <v>7</v>
      </c>
      <c r="J302" s="133">
        <v>3</v>
      </c>
      <c r="K302" s="133">
        <v>2</v>
      </c>
      <c r="L302" s="133">
        <v>1</v>
      </c>
      <c r="M302" s="133">
        <v>0</v>
      </c>
      <c r="N302" s="133">
        <v>0</v>
      </c>
      <c r="O302" s="133">
        <v>0</v>
      </c>
      <c r="P302" s="146">
        <v>0</v>
      </c>
    </row>
    <row r="303" spans="1:18" ht="15.75" thickBot="1" x14ac:dyDescent="0.3">
      <c r="C303" s="143" t="s">
        <v>154</v>
      </c>
      <c r="D303" s="132">
        <v>12</v>
      </c>
      <c r="E303" s="132">
        <v>6</v>
      </c>
      <c r="F303" s="132">
        <f t="shared" si="7"/>
        <v>12</v>
      </c>
      <c r="G303" s="132">
        <v>0</v>
      </c>
      <c r="H303" s="132">
        <v>0</v>
      </c>
      <c r="I303" s="132">
        <v>12</v>
      </c>
      <c r="J303" s="132">
        <v>6</v>
      </c>
      <c r="K303" s="132">
        <v>0</v>
      </c>
      <c r="L303" s="132">
        <v>0</v>
      </c>
      <c r="M303" s="132">
        <v>0</v>
      </c>
      <c r="N303" s="132">
        <v>0</v>
      </c>
      <c r="O303" s="132">
        <v>0</v>
      </c>
      <c r="P303" s="144">
        <v>0</v>
      </c>
    </row>
    <row r="304" spans="1:18" ht="15.75" thickBot="1" x14ac:dyDescent="0.3">
      <c r="C304" s="156" t="s">
        <v>115</v>
      </c>
      <c r="D304" s="157"/>
      <c r="E304" s="157"/>
      <c r="F304" s="132">
        <f t="shared" si="7"/>
        <v>0</v>
      </c>
      <c r="G304" s="157"/>
      <c r="H304" s="157"/>
      <c r="I304" s="157"/>
      <c r="J304" s="157"/>
      <c r="K304" s="157"/>
      <c r="L304" s="157"/>
      <c r="M304" s="157"/>
      <c r="N304" s="157"/>
      <c r="O304" s="157"/>
      <c r="P304" s="158"/>
    </row>
    <row r="305" spans="1:18" ht="15.75" thickBot="1" x14ac:dyDescent="0.3">
      <c r="C305" s="153"/>
      <c r="D305" s="154"/>
      <c r="E305" s="154"/>
      <c r="F305" s="132">
        <f t="shared" si="7"/>
        <v>0</v>
      </c>
      <c r="G305" s="154"/>
      <c r="H305" s="154"/>
      <c r="I305" s="154"/>
      <c r="J305" s="154"/>
      <c r="K305" s="154"/>
      <c r="L305" s="154"/>
      <c r="M305" s="154"/>
      <c r="N305" s="154"/>
      <c r="O305" s="154"/>
      <c r="P305" s="155"/>
    </row>
    <row r="306" spans="1:18" ht="15.75" thickBot="1" x14ac:dyDescent="0.3">
      <c r="C306" s="145" t="s">
        <v>83</v>
      </c>
      <c r="D306" s="133">
        <v>1393</v>
      </c>
      <c r="E306" s="133">
        <v>648</v>
      </c>
      <c r="F306" s="132">
        <f t="shared" si="7"/>
        <v>1317</v>
      </c>
      <c r="G306" s="133">
        <v>76</v>
      </c>
      <c r="H306" s="133">
        <v>29</v>
      </c>
      <c r="I306" s="133">
        <v>1350</v>
      </c>
      <c r="J306" s="133">
        <v>635</v>
      </c>
      <c r="K306" s="133">
        <v>74</v>
      </c>
      <c r="L306" s="133">
        <v>29</v>
      </c>
      <c r="M306" s="133">
        <v>43</v>
      </c>
      <c r="N306" s="133">
        <v>13</v>
      </c>
      <c r="O306" s="133">
        <v>2</v>
      </c>
      <c r="P306" s="146">
        <v>0</v>
      </c>
    </row>
    <row r="307" spans="1:18" ht="15.75" thickBot="1" x14ac:dyDescent="0.3">
      <c r="C307" s="143" t="s">
        <v>151</v>
      </c>
      <c r="D307" s="132">
        <v>15</v>
      </c>
      <c r="E307" s="132">
        <v>9</v>
      </c>
      <c r="F307" s="132">
        <f t="shared" si="7"/>
        <v>15</v>
      </c>
      <c r="G307" s="132">
        <v>0</v>
      </c>
      <c r="H307" s="132">
        <v>0</v>
      </c>
      <c r="I307" s="132">
        <v>15</v>
      </c>
      <c r="J307" s="132">
        <v>9</v>
      </c>
      <c r="K307" s="132">
        <v>0</v>
      </c>
      <c r="L307" s="132">
        <v>0</v>
      </c>
      <c r="M307" s="132">
        <v>0</v>
      </c>
      <c r="N307" s="132">
        <v>0</v>
      </c>
      <c r="O307" s="132">
        <v>0</v>
      </c>
      <c r="P307" s="144">
        <v>0</v>
      </c>
    </row>
    <row r="308" spans="1:18" ht="15.75" thickBot="1" x14ac:dyDescent="0.3">
      <c r="C308" s="145" t="s">
        <v>152</v>
      </c>
      <c r="D308" s="133">
        <v>30</v>
      </c>
      <c r="E308" s="133">
        <v>13</v>
      </c>
      <c r="F308" s="132">
        <f t="shared" si="7"/>
        <v>30</v>
      </c>
      <c r="G308" s="133">
        <v>0</v>
      </c>
      <c r="H308" s="133">
        <v>0</v>
      </c>
      <c r="I308" s="133">
        <v>22</v>
      </c>
      <c r="J308" s="133">
        <v>10</v>
      </c>
      <c r="K308" s="133">
        <v>0</v>
      </c>
      <c r="L308" s="133">
        <v>0</v>
      </c>
      <c r="M308" s="133">
        <v>8</v>
      </c>
      <c r="N308" s="133">
        <v>3</v>
      </c>
      <c r="O308" s="133">
        <v>0</v>
      </c>
      <c r="P308" s="146">
        <v>0</v>
      </c>
    </row>
    <row r="309" spans="1:18" ht="15.75" thickBot="1" x14ac:dyDescent="0.3">
      <c r="C309" s="143" t="s">
        <v>85</v>
      </c>
      <c r="D309" s="132">
        <v>956</v>
      </c>
      <c r="E309" s="132">
        <v>485</v>
      </c>
      <c r="F309" s="132">
        <f t="shared" si="7"/>
        <v>928</v>
      </c>
      <c r="G309" s="132">
        <v>28</v>
      </c>
      <c r="H309" s="132">
        <v>15</v>
      </c>
      <c r="I309" s="132">
        <v>943</v>
      </c>
      <c r="J309" s="132">
        <v>480</v>
      </c>
      <c r="K309" s="132">
        <v>28</v>
      </c>
      <c r="L309" s="132">
        <v>15</v>
      </c>
      <c r="M309" s="132">
        <v>13</v>
      </c>
      <c r="N309" s="132">
        <v>5</v>
      </c>
      <c r="O309" s="132">
        <v>0</v>
      </c>
      <c r="P309" s="144">
        <v>0</v>
      </c>
    </row>
    <row r="310" spans="1:18" ht="15.75" thickBot="1" x14ac:dyDescent="0.3">
      <c r="C310" s="145" t="s">
        <v>86</v>
      </c>
      <c r="D310" s="133">
        <v>258</v>
      </c>
      <c r="E310" s="133">
        <v>96</v>
      </c>
      <c r="F310" s="132">
        <f t="shared" si="7"/>
        <v>240</v>
      </c>
      <c r="G310" s="133">
        <v>18</v>
      </c>
      <c r="H310" s="133">
        <v>6</v>
      </c>
      <c r="I310" s="133">
        <v>255</v>
      </c>
      <c r="J310" s="133">
        <v>96</v>
      </c>
      <c r="K310" s="133">
        <v>18</v>
      </c>
      <c r="L310" s="133">
        <v>6</v>
      </c>
      <c r="M310" s="133">
        <v>3</v>
      </c>
      <c r="N310" s="133">
        <v>0</v>
      </c>
      <c r="O310" s="133">
        <v>0</v>
      </c>
      <c r="P310" s="146">
        <v>0</v>
      </c>
    </row>
    <row r="311" spans="1:18" ht="15.75" thickBot="1" x14ac:dyDescent="0.3">
      <c r="A311" s="171">
        <v>357</v>
      </c>
      <c r="B311" t="s">
        <v>39</v>
      </c>
      <c r="C311" s="143" t="s">
        <v>87</v>
      </c>
      <c r="D311" s="132">
        <v>134</v>
      </c>
      <c r="E311" s="132">
        <v>45</v>
      </c>
      <c r="F311" s="132">
        <f t="shared" si="7"/>
        <v>104</v>
      </c>
      <c r="G311" s="132">
        <v>30</v>
      </c>
      <c r="H311" s="132">
        <v>8</v>
      </c>
      <c r="I311" s="132">
        <v>115</v>
      </c>
      <c r="J311" s="132">
        <v>40</v>
      </c>
      <c r="K311" s="132">
        <v>28</v>
      </c>
      <c r="L311" s="132">
        <v>8</v>
      </c>
      <c r="M311" s="132">
        <v>19</v>
      </c>
      <c r="N311" s="132">
        <v>5</v>
      </c>
      <c r="O311" s="132">
        <v>2</v>
      </c>
      <c r="P311" s="144">
        <v>0</v>
      </c>
      <c r="Q311">
        <f>G311/G306</f>
        <v>0.39473684210526316</v>
      </c>
      <c r="R311">
        <f>F311/F306</f>
        <v>7.8967350037965067E-2</v>
      </c>
    </row>
    <row r="312" spans="1:18" ht="15.75" thickBot="1" x14ac:dyDescent="0.3">
      <c r="C312" s="145" t="s">
        <v>153</v>
      </c>
      <c r="D312" s="133">
        <v>34</v>
      </c>
      <c r="E312" s="133">
        <v>12</v>
      </c>
      <c r="F312" s="132">
        <f t="shared" si="7"/>
        <v>32</v>
      </c>
      <c r="G312" s="133">
        <v>2</v>
      </c>
      <c r="H312" s="133">
        <v>1</v>
      </c>
      <c r="I312" s="133">
        <v>32</v>
      </c>
      <c r="J312" s="133">
        <v>12</v>
      </c>
      <c r="K312" s="133">
        <v>2</v>
      </c>
      <c r="L312" s="133">
        <v>1</v>
      </c>
      <c r="M312" s="133">
        <v>2</v>
      </c>
      <c r="N312" s="133">
        <v>0</v>
      </c>
      <c r="O312" s="133">
        <v>0</v>
      </c>
      <c r="P312" s="146">
        <v>0</v>
      </c>
    </row>
    <row r="313" spans="1:18" ht="15.75" thickBot="1" x14ac:dyDescent="0.3">
      <c r="C313" s="143" t="s">
        <v>154</v>
      </c>
      <c r="D313" s="132">
        <v>23</v>
      </c>
      <c r="E313" s="132">
        <v>7</v>
      </c>
      <c r="F313" s="132">
        <f t="shared" si="7"/>
        <v>20</v>
      </c>
      <c r="G313" s="132">
        <v>3</v>
      </c>
      <c r="H313" s="132">
        <v>1</v>
      </c>
      <c r="I313" s="132">
        <v>7</v>
      </c>
      <c r="J313" s="132">
        <v>3</v>
      </c>
      <c r="K313" s="132">
        <v>1</v>
      </c>
      <c r="L313" s="132">
        <v>1</v>
      </c>
      <c r="M313" s="132">
        <v>16</v>
      </c>
      <c r="N313" s="132">
        <v>4</v>
      </c>
      <c r="O313" s="132">
        <v>2</v>
      </c>
      <c r="P313" s="144">
        <v>0</v>
      </c>
    </row>
    <row r="314" spans="1:18" ht="15.75" thickBot="1" x14ac:dyDescent="0.3">
      <c r="C314" s="156" t="s">
        <v>116</v>
      </c>
      <c r="D314" s="157"/>
      <c r="E314" s="157"/>
      <c r="F314" s="132">
        <f t="shared" si="7"/>
        <v>0</v>
      </c>
      <c r="G314" s="157"/>
      <c r="H314" s="157"/>
      <c r="I314" s="157"/>
      <c r="J314" s="157"/>
      <c r="K314" s="157"/>
      <c r="L314" s="157"/>
      <c r="M314" s="157"/>
      <c r="N314" s="157"/>
      <c r="O314" s="157"/>
      <c r="P314" s="158"/>
    </row>
    <row r="315" spans="1:18" ht="15.75" thickBot="1" x14ac:dyDescent="0.3">
      <c r="C315" s="153"/>
      <c r="D315" s="154"/>
      <c r="E315" s="154"/>
      <c r="F315" s="132">
        <f t="shared" si="7"/>
        <v>0</v>
      </c>
      <c r="G315" s="154"/>
      <c r="H315" s="154"/>
      <c r="I315" s="154"/>
      <c r="J315" s="154"/>
      <c r="K315" s="154"/>
      <c r="L315" s="154"/>
      <c r="M315" s="154"/>
      <c r="N315" s="154"/>
      <c r="O315" s="154"/>
      <c r="P315" s="155"/>
    </row>
    <row r="316" spans="1:18" ht="15.75" thickBot="1" x14ac:dyDescent="0.3">
      <c r="C316" s="145" t="s">
        <v>83</v>
      </c>
      <c r="D316" s="133">
        <v>1062</v>
      </c>
      <c r="E316" s="133">
        <v>460</v>
      </c>
      <c r="F316" s="132">
        <f t="shared" si="7"/>
        <v>1001</v>
      </c>
      <c r="G316" s="133">
        <v>61</v>
      </c>
      <c r="H316" s="133">
        <v>22</v>
      </c>
      <c r="I316" s="133">
        <v>1002</v>
      </c>
      <c r="J316" s="133">
        <v>437</v>
      </c>
      <c r="K316" s="133">
        <v>61</v>
      </c>
      <c r="L316" s="133">
        <v>22</v>
      </c>
      <c r="M316" s="133">
        <v>60</v>
      </c>
      <c r="N316" s="133">
        <v>23</v>
      </c>
      <c r="O316" s="133">
        <v>0</v>
      </c>
      <c r="P316" s="146">
        <v>0</v>
      </c>
    </row>
    <row r="317" spans="1:18" ht="15.75" thickBot="1" x14ac:dyDescent="0.3">
      <c r="C317" s="143" t="s">
        <v>151</v>
      </c>
      <c r="D317" s="132">
        <v>54</v>
      </c>
      <c r="E317" s="132">
        <v>25</v>
      </c>
      <c r="F317" s="132">
        <f t="shared" si="7"/>
        <v>54</v>
      </c>
      <c r="G317" s="132">
        <v>0</v>
      </c>
      <c r="H317" s="132">
        <v>0</v>
      </c>
      <c r="I317" s="132">
        <v>31</v>
      </c>
      <c r="J317" s="132">
        <v>12</v>
      </c>
      <c r="K317" s="132">
        <v>0</v>
      </c>
      <c r="L317" s="132">
        <v>0</v>
      </c>
      <c r="M317" s="132">
        <v>23</v>
      </c>
      <c r="N317" s="132">
        <v>13</v>
      </c>
      <c r="O317" s="132">
        <v>0</v>
      </c>
      <c r="P317" s="144">
        <v>0</v>
      </c>
    </row>
    <row r="318" spans="1:18" ht="15.75" thickBot="1" x14ac:dyDescent="0.3">
      <c r="C318" s="145" t="s">
        <v>152</v>
      </c>
      <c r="D318" s="133">
        <v>31</v>
      </c>
      <c r="E318" s="133">
        <v>12</v>
      </c>
      <c r="F318" s="132">
        <f t="shared" si="7"/>
        <v>30</v>
      </c>
      <c r="G318" s="133">
        <v>1</v>
      </c>
      <c r="H318" s="133">
        <v>0</v>
      </c>
      <c r="I318" s="133">
        <v>30</v>
      </c>
      <c r="J318" s="133">
        <v>11</v>
      </c>
      <c r="K318" s="133">
        <v>1</v>
      </c>
      <c r="L318" s="133">
        <v>0</v>
      </c>
      <c r="M318" s="133">
        <v>1</v>
      </c>
      <c r="N318" s="133">
        <v>1</v>
      </c>
      <c r="O318" s="133">
        <v>0</v>
      </c>
      <c r="P318" s="146">
        <v>0</v>
      </c>
    </row>
    <row r="319" spans="1:18" ht="15.75" thickBot="1" x14ac:dyDescent="0.3">
      <c r="C319" s="143" t="s">
        <v>85</v>
      </c>
      <c r="D319" s="132">
        <v>673</v>
      </c>
      <c r="E319" s="132">
        <v>312</v>
      </c>
      <c r="F319" s="132">
        <f t="shared" si="7"/>
        <v>642</v>
      </c>
      <c r="G319" s="132">
        <v>31</v>
      </c>
      <c r="H319" s="132">
        <v>13</v>
      </c>
      <c r="I319" s="132">
        <v>660</v>
      </c>
      <c r="J319" s="132">
        <v>309</v>
      </c>
      <c r="K319" s="132">
        <v>31</v>
      </c>
      <c r="L319" s="132">
        <v>13</v>
      </c>
      <c r="M319" s="132">
        <v>13</v>
      </c>
      <c r="N319" s="132">
        <v>3</v>
      </c>
      <c r="O319" s="132">
        <v>0</v>
      </c>
      <c r="P319" s="144">
        <v>0</v>
      </c>
    </row>
    <row r="320" spans="1:18" ht="15.75" thickBot="1" x14ac:dyDescent="0.3">
      <c r="C320" s="145" t="s">
        <v>86</v>
      </c>
      <c r="D320" s="133">
        <v>214</v>
      </c>
      <c r="E320" s="133">
        <v>86</v>
      </c>
      <c r="F320" s="132">
        <f t="shared" si="7"/>
        <v>192</v>
      </c>
      <c r="G320" s="133">
        <v>22</v>
      </c>
      <c r="H320" s="133">
        <v>9</v>
      </c>
      <c r="I320" s="133">
        <v>208</v>
      </c>
      <c r="J320" s="133">
        <v>86</v>
      </c>
      <c r="K320" s="133">
        <v>22</v>
      </c>
      <c r="L320" s="133">
        <v>9</v>
      </c>
      <c r="M320" s="133">
        <v>6</v>
      </c>
      <c r="N320" s="133">
        <v>0</v>
      </c>
      <c r="O320" s="133">
        <v>0</v>
      </c>
      <c r="P320" s="146">
        <v>0</v>
      </c>
    </row>
    <row r="321" spans="1:18" ht="15.75" thickBot="1" x14ac:dyDescent="0.3">
      <c r="A321" s="171">
        <v>358</v>
      </c>
      <c r="B321" t="s">
        <v>40</v>
      </c>
      <c r="C321" s="143" t="s">
        <v>87</v>
      </c>
      <c r="D321" s="132">
        <v>90</v>
      </c>
      <c r="E321" s="132">
        <v>25</v>
      </c>
      <c r="F321" s="132">
        <f t="shared" si="7"/>
        <v>83</v>
      </c>
      <c r="G321" s="132">
        <v>7</v>
      </c>
      <c r="H321" s="132">
        <v>0</v>
      </c>
      <c r="I321" s="132">
        <v>73</v>
      </c>
      <c r="J321" s="132">
        <v>19</v>
      </c>
      <c r="K321" s="132">
        <v>7</v>
      </c>
      <c r="L321" s="132">
        <v>0</v>
      </c>
      <c r="M321" s="132">
        <v>17</v>
      </c>
      <c r="N321" s="132">
        <v>6</v>
      </c>
      <c r="O321" s="132">
        <v>0</v>
      </c>
      <c r="P321" s="144">
        <v>0</v>
      </c>
      <c r="Q321">
        <f>G321/G316</f>
        <v>0.11475409836065574</v>
      </c>
      <c r="R321">
        <f>F321/F316</f>
        <v>8.2917082917082913E-2</v>
      </c>
    </row>
    <row r="322" spans="1:18" ht="15.75" thickBot="1" x14ac:dyDescent="0.3">
      <c r="C322" s="145" t="s">
        <v>153</v>
      </c>
      <c r="D322" s="133">
        <v>41</v>
      </c>
      <c r="E322" s="133">
        <v>12</v>
      </c>
      <c r="F322" s="132">
        <f t="shared" si="7"/>
        <v>39</v>
      </c>
      <c r="G322" s="133">
        <v>2</v>
      </c>
      <c r="H322" s="133">
        <v>0</v>
      </c>
      <c r="I322" s="133">
        <v>39</v>
      </c>
      <c r="J322" s="133">
        <v>11</v>
      </c>
      <c r="K322" s="133">
        <v>2</v>
      </c>
      <c r="L322" s="133">
        <v>0</v>
      </c>
      <c r="M322" s="133">
        <v>2</v>
      </c>
      <c r="N322" s="133">
        <v>1</v>
      </c>
      <c r="O322" s="133">
        <v>0</v>
      </c>
      <c r="P322" s="146">
        <v>0</v>
      </c>
    </row>
    <row r="323" spans="1:18" ht="15.75" thickBot="1" x14ac:dyDescent="0.3">
      <c r="C323" s="143" t="s">
        <v>154</v>
      </c>
      <c r="D323" s="132">
        <v>11</v>
      </c>
      <c r="E323" s="132">
        <v>5</v>
      </c>
      <c r="F323" s="132">
        <f t="shared" si="7"/>
        <v>11</v>
      </c>
      <c r="G323" s="132">
        <v>0</v>
      </c>
      <c r="H323" s="132">
        <v>0</v>
      </c>
      <c r="I323" s="132">
        <v>0</v>
      </c>
      <c r="J323" s="132">
        <v>0</v>
      </c>
      <c r="K323" s="132">
        <v>0</v>
      </c>
      <c r="L323" s="132">
        <v>0</v>
      </c>
      <c r="M323" s="132">
        <v>11</v>
      </c>
      <c r="N323" s="132">
        <v>5</v>
      </c>
      <c r="O323" s="132">
        <v>0</v>
      </c>
      <c r="P323" s="144">
        <v>0</v>
      </c>
    </row>
    <row r="324" spans="1:18" ht="15.75" thickBot="1" x14ac:dyDescent="0.3">
      <c r="C324" s="156" t="s">
        <v>117</v>
      </c>
      <c r="D324" s="157"/>
      <c r="E324" s="157"/>
      <c r="F324" s="132">
        <f t="shared" si="7"/>
        <v>0</v>
      </c>
      <c r="G324" s="157"/>
      <c r="H324" s="157"/>
      <c r="I324" s="157"/>
      <c r="J324" s="157"/>
      <c r="K324" s="157"/>
      <c r="L324" s="157"/>
      <c r="M324" s="157"/>
      <c r="N324" s="157"/>
      <c r="O324" s="157"/>
      <c r="P324" s="158"/>
    </row>
    <row r="325" spans="1:18" ht="15.75" thickBot="1" x14ac:dyDescent="0.3">
      <c r="C325" s="153"/>
      <c r="D325" s="154"/>
      <c r="E325" s="154"/>
      <c r="F325" s="132">
        <f t="shared" si="7"/>
        <v>0</v>
      </c>
      <c r="G325" s="154"/>
      <c r="H325" s="154"/>
      <c r="I325" s="154"/>
      <c r="J325" s="154"/>
      <c r="K325" s="154"/>
      <c r="L325" s="154"/>
      <c r="M325" s="154"/>
      <c r="N325" s="154"/>
      <c r="O325" s="154"/>
      <c r="P325" s="155"/>
    </row>
    <row r="326" spans="1:18" ht="15.75" thickBot="1" x14ac:dyDescent="0.3">
      <c r="C326" s="145" t="s">
        <v>83</v>
      </c>
      <c r="D326" s="133">
        <v>1688</v>
      </c>
      <c r="E326" s="133">
        <v>812</v>
      </c>
      <c r="F326" s="132">
        <f t="shared" si="7"/>
        <v>1520</v>
      </c>
      <c r="G326" s="133">
        <v>168</v>
      </c>
      <c r="H326" s="133">
        <v>73</v>
      </c>
      <c r="I326" s="133">
        <v>1653</v>
      </c>
      <c r="J326" s="133">
        <v>791</v>
      </c>
      <c r="K326" s="133">
        <v>168</v>
      </c>
      <c r="L326" s="133">
        <v>73</v>
      </c>
      <c r="M326" s="133">
        <v>35</v>
      </c>
      <c r="N326" s="133">
        <v>21</v>
      </c>
      <c r="O326" s="133">
        <v>0</v>
      </c>
      <c r="P326" s="146">
        <v>0</v>
      </c>
    </row>
    <row r="327" spans="1:18" ht="15.75" thickBot="1" x14ac:dyDescent="0.3">
      <c r="C327" s="143" t="s">
        <v>151</v>
      </c>
      <c r="D327" s="132">
        <v>151</v>
      </c>
      <c r="E327" s="132">
        <v>92</v>
      </c>
      <c r="F327" s="132">
        <f t="shared" si="7"/>
        <v>148</v>
      </c>
      <c r="G327" s="132">
        <v>3</v>
      </c>
      <c r="H327" s="132">
        <v>2</v>
      </c>
      <c r="I327" s="132">
        <v>134</v>
      </c>
      <c r="J327" s="132">
        <v>80</v>
      </c>
      <c r="K327" s="132">
        <v>3</v>
      </c>
      <c r="L327" s="132">
        <v>2</v>
      </c>
      <c r="M327" s="132">
        <v>17</v>
      </c>
      <c r="N327" s="132">
        <v>12</v>
      </c>
      <c r="O327" s="132">
        <v>0</v>
      </c>
      <c r="P327" s="144">
        <v>0</v>
      </c>
    </row>
    <row r="328" spans="1:18" ht="15.75" thickBot="1" x14ac:dyDescent="0.3">
      <c r="C328" s="145" t="s">
        <v>152</v>
      </c>
      <c r="D328" s="133">
        <v>56</v>
      </c>
      <c r="E328" s="133">
        <v>32</v>
      </c>
      <c r="F328" s="132">
        <f t="shared" si="7"/>
        <v>54</v>
      </c>
      <c r="G328" s="133">
        <v>2</v>
      </c>
      <c r="H328" s="133">
        <v>2</v>
      </c>
      <c r="I328" s="133">
        <v>55</v>
      </c>
      <c r="J328" s="133">
        <v>32</v>
      </c>
      <c r="K328" s="133">
        <v>2</v>
      </c>
      <c r="L328" s="133">
        <v>2</v>
      </c>
      <c r="M328" s="133">
        <v>1</v>
      </c>
      <c r="N328" s="133">
        <v>0</v>
      </c>
      <c r="O328" s="133">
        <v>0</v>
      </c>
      <c r="P328" s="146">
        <v>0</v>
      </c>
    </row>
    <row r="329" spans="1:18" ht="15.75" thickBot="1" x14ac:dyDescent="0.3">
      <c r="C329" s="143" t="s">
        <v>85</v>
      </c>
      <c r="D329" s="132">
        <v>977</v>
      </c>
      <c r="E329" s="132">
        <v>483</v>
      </c>
      <c r="F329" s="132">
        <f t="shared" si="7"/>
        <v>920</v>
      </c>
      <c r="G329" s="132">
        <v>57</v>
      </c>
      <c r="H329" s="132">
        <v>32</v>
      </c>
      <c r="I329" s="132">
        <v>964</v>
      </c>
      <c r="J329" s="132">
        <v>476</v>
      </c>
      <c r="K329" s="132">
        <v>57</v>
      </c>
      <c r="L329" s="132">
        <v>32</v>
      </c>
      <c r="M329" s="132">
        <v>13</v>
      </c>
      <c r="N329" s="132">
        <v>7</v>
      </c>
      <c r="O329" s="132">
        <v>0</v>
      </c>
      <c r="P329" s="144">
        <v>0</v>
      </c>
    </row>
    <row r="330" spans="1:18" ht="15.75" thickBot="1" x14ac:dyDescent="0.3">
      <c r="C330" s="145" t="s">
        <v>86</v>
      </c>
      <c r="D330" s="133">
        <v>343</v>
      </c>
      <c r="E330" s="133">
        <v>140</v>
      </c>
      <c r="F330" s="132">
        <f t="shared" si="7"/>
        <v>288</v>
      </c>
      <c r="G330" s="133">
        <v>55</v>
      </c>
      <c r="H330" s="133">
        <v>20</v>
      </c>
      <c r="I330" s="133">
        <v>339</v>
      </c>
      <c r="J330" s="133">
        <v>138</v>
      </c>
      <c r="K330" s="133">
        <v>55</v>
      </c>
      <c r="L330" s="133">
        <v>20</v>
      </c>
      <c r="M330" s="133">
        <v>4</v>
      </c>
      <c r="N330" s="133">
        <v>2</v>
      </c>
      <c r="O330" s="133">
        <v>0</v>
      </c>
      <c r="P330" s="146">
        <v>0</v>
      </c>
    </row>
    <row r="331" spans="1:18" ht="15.75" thickBot="1" x14ac:dyDescent="0.3">
      <c r="A331" s="171">
        <v>359</v>
      </c>
      <c r="B331" t="s">
        <v>41</v>
      </c>
      <c r="C331" s="143" t="s">
        <v>87</v>
      </c>
      <c r="D331" s="132">
        <v>161</v>
      </c>
      <c r="E331" s="132">
        <v>65</v>
      </c>
      <c r="F331" s="132">
        <f t="shared" si="7"/>
        <v>110</v>
      </c>
      <c r="G331" s="132">
        <v>51</v>
      </c>
      <c r="H331" s="132">
        <v>17</v>
      </c>
      <c r="I331" s="132">
        <v>161</v>
      </c>
      <c r="J331" s="132">
        <v>65</v>
      </c>
      <c r="K331" s="132">
        <v>51</v>
      </c>
      <c r="L331" s="132">
        <v>17</v>
      </c>
      <c r="M331" s="132">
        <v>0</v>
      </c>
      <c r="N331" s="132">
        <v>0</v>
      </c>
      <c r="O331" s="132">
        <v>0</v>
      </c>
      <c r="P331" s="144">
        <v>0</v>
      </c>
      <c r="Q331">
        <f>G331/G326</f>
        <v>0.30357142857142855</v>
      </c>
      <c r="R331">
        <f>F331/F326</f>
        <v>7.2368421052631582E-2</v>
      </c>
    </row>
    <row r="332" spans="1:18" ht="15.75" thickBot="1" x14ac:dyDescent="0.3">
      <c r="C332" s="145" t="s">
        <v>153</v>
      </c>
      <c r="D332" s="133">
        <v>51</v>
      </c>
      <c r="E332" s="133">
        <v>24</v>
      </c>
      <c r="F332" s="132">
        <f t="shared" si="7"/>
        <v>44</v>
      </c>
      <c r="G332" s="133">
        <v>7</v>
      </c>
      <c r="H332" s="133">
        <v>4</v>
      </c>
      <c r="I332" s="133">
        <v>51</v>
      </c>
      <c r="J332" s="133">
        <v>24</v>
      </c>
      <c r="K332" s="133">
        <v>7</v>
      </c>
      <c r="L332" s="133">
        <v>4</v>
      </c>
      <c r="M332" s="133">
        <v>0</v>
      </c>
      <c r="N332" s="133">
        <v>0</v>
      </c>
      <c r="O332" s="133">
        <v>0</v>
      </c>
      <c r="P332" s="146">
        <v>0</v>
      </c>
    </row>
    <row r="333" spans="1:18" ht="15.75" thickBot="1" x14ac:dyDescent="0.3">
      <c r="C333" s="143" t="s">
        <v>154</v>
      </c>
      <c r="D333" s="132">
        <v>15</v>
      </c>
      <c r="E333" s="132">
        <v>6</v>
      </c>
      <c r="F333" s="132">
        <f t="shared" si="7"/>
        <v>14</v>
      </c>
      <c r="G333" s="132">
        <v>1</v>
      </c>
      <c r="H333" s="132">
        <v>1</v>
      </c>
      <c r="I333" s="132">
        <v>15</v>
      </c>
      <c r="J333" s="132">
        <v>6</v>
      </c>
      <c r="K333" s="132">
        <v>1</v>
      </c>
      <c r="L333" s="132">
        <v>1</v>
      </c>
      <c r="M333" s="132">
        <v>0</v>
      </c>
      <c r="N333" s="132">
        <v>0</v>
      </c>
      <c r="O333" s="132">
        <v>0</v>
      </c>
      <c r="P333" s="144">
        <v>0</v>
      </c>
    </row>
    <row r="334" spans="1:18" ht="15.75" thickBot="1" x14ac:dyDescent="0.3">
      <c r="C334" s="156" t="s">
        <v>118</v>
      </c>
      <c r="D334" s="157"/>
      <c r="E334" s="157"/>
      <c r="F334" s="132">
        <f t="shared" si="7"/>
        <v>0</v>
      </c>
      <c r="G334" s="157"/>
      <c r="H334" s="157"/>
      <c r="I334" s="157"/>
      <c r="J334" s="157"/>
      <c r="K334" s="157"/>
      <c r="L334" s="157"/>
      <c r="M334" s="157"/>
      <c r="N334" s="157"/>
      <c r="O334" s="157"/>
      <c r="P334" s="158"/>
    </row>
    <row r="335" spans="1:18" ht="15.75" thickBot="1" x14ac:dyDescent="0.3">
      <c r="C335" s="153"/>
      <c r="D335" s="154"/>
      <c r="E335" s="154"/>
      <c r="F335" s="132">
        <f t="shared" si="7"/>
        <v>0</v>
      </c>
      <c r="G335" s="154"/>
      <c r="H335" s="154"/>
      <c r="I335" s="154"/>
      <c r="J335" s="154"/>
      <c r="K335" s="154"/>
      <c r="L335" s="154"/>
      <c r="M335" s="154"/>
      <c r="N335" s="154"/>
      <c r="O335" s="154"/>
      <c r="P335" s="155"/>
    </row>
    <row r="336" spans="1:18" ht="15.75" thickBot="1" x14ac:dyDescent="0.3">
      <c r="C336" s="145" t="s">
        <v>83</v>
      </c>
      <c r="D336" s="133">
        <v>627</v>
      </c>
      <c r="E336" s="133">
        <v>281</v>
      </c>
      <c r="F336" s="132">
        <f t="shared" si="7"/>
        <v>589</v>
      </c>
      <c r="G336" s="133">
        <v>38</v>
      </c>
      <c r="H336" s="133">
        <v>14</v>
      </c>
      <c r="I336" s="133">
        <v>615</v>
      </c>
      <c r="J336" s="133">
        <v>280</v>
      </c>
      <c r="K336" s="133">
        <v>38</v>
      </c>
      <c r="L336" s="133">
        <v>14</v>
      </c>
      <c r="M336" s="133">
        <v>12</v>
      </c>
      <c r="N336" s="133">
        <v>1</v>
      </c>
      <c r="O336" s="133">
        <v>0</v>
      </c>
      <c r="P336" s="146">
        <v>0</v>
      </c>
    </row>
    <row r="337" spans="1:18" ht="15.75" thickBot="1" x14ac:dyDescent="0.3">
      <c r="C337" s="143" t="s">
        <v>151</v>
      </c>
      <c r="D337" s="132">
        <v>38</v>
      </c>
      <c r="E337" s="132">
        <v>24</v>
      </c>
      <c r="F337" s="132">
        <f t="shared" si="7"/>
        <v>37</v>
      </c>
      <c r="G337" s="132">
        <v>1</v>
      </c>
      <c r="H337" s="132">
        <v>1</v>
      </c>
      <c r="I337" s="132">
        <v>38</v>
      </c>
      <c r="J337" s="132">
        <v>24</v>
      </c>
      <c r="K337" s="132">
        <v>1</v>
      </c>
      <c r="L337" s="132">
        <v>1</v>
      </c>
      <c r="M337" s="132">
        <v>0</v>
      </c>
      <c r="N337" s="132">
        <v>0</v>
      </c>
      <c r="O337" s="132">
        <v>0</v>
      </c>
      <c r="P337" s="144">
        <v>0</v>
      </c>
    </row>
    <row r="338" spans="1:18" ht="15.75" thickBot="1" x14ac:dyDescent="0.3">
      <c r="C338" s="145" t="s">
        <v>152</v>
      </c>
      <c r="D338" s="133">
        <v>27</v>
      </c>
      <c r="E338" s="133">
        <v>16</v>
      </c>
      <c r="F338" s="132">
        <f t="shared" si="7"/>
        <v>26</v>
      </c>
      <c r="G338" s="133">
        <v>1</v>
      </c>
      <c r="H338" s="133">
        <v>0</v>
      </c>
      <c r="I338" s="133">
        <v>27</v>
      </c>
      <c r="J338" s="133">
        <v>16</v>
      </c>
      <c r="K338" s="133">
        <v>1</v>
      </c>
      <c r="L338" s="133">
        <v>0</v>
      </c>
      <c r="M338" s="133">
        <v>0</v>
      </c>
      <c r="N338" s="133">
        <v>0</v>
      </c>
      <c r="O338" s="133">
        <v>0</v>
      </c>
      <c r="P338" s="146">
        <v>0</v>
      </c>
    </row>
    <row r="339" spans="1:18" ht="15.75" thickBot="1" x14ac:dyDescent="0.3">
      <c r="C339" s="143" t="s">
        <v>85</v>
      </c>
      <c r="D339" s="132">
        <v>402</v>
      </c>
      <c r="E339" s="132">
        <v>191</v>
      </c>
      <c r="F339" s="132">
        <f t="shared" si="7"/>
        <v>386</v>
      </c>
      <c r="G339" s="132">
        <v>16</v>
      </c>
      <c r="H339" s="132">
        <v>10</v>
      </c>
      <c r="I339" s="132">
        <v>402</v>
      </c>
      <c r="J339" s="132">
        <v>191</v>
      </c>
      <c r="K339" s="132">
        <v>16</v>
      </c>
      <c r="L339" s="132">
        <v>10</v>
      </c>
      <c r="M339" s="132">
        <v>0</v>
      </c>
      <c r="N339" s="132">
        <v>0</v>
      </c>
      <c r="O339" s="132">
        <v>0</v>
      </c>
      <c r="P339" s="144">
        <v>0</v>
      </c>
    </row>
    <row r="340" spans="1:18" ht="15.75" thickBot="1" x14ac:dyDescent="0.3">
      <c r="C340" s="145" t="s">
        <v>86</v>
      </c>
      <c r="D340" s="133">
        <v>102</v>
      </c>
      <c r="E340" s="133">
        <v>31</v>
      </c>
      <c r="F340" s="132">
        <f t="shared" si="7"/>
        <v>88</v>
      </c>
      <c r="G340" s="133">
        <v>14</v>
      </c>
      <c r="H340" s="133">
        <v>3</v>
      </c>
      <c r="I340" s="133">
        <v>98</v>
      </c>
      <c r="J340" s="133">
        <v>31</v>
      </c>
      <c r="K340" s="133">
        <v>14</v>
      </c>
      <c r="L340" s="133">
        <v>3</v>
      </c>
      <c r="M340" s="133">
        <v>4</v>
      </c>
      <c r="N340" s="133">
        <v>0</v>
      </c>
      <c r="O340" s="133">
        <v>0</v>
      </c>
      <c r="P340" s="146">
        <v>0</v>
      </c>
    </row>
    <row r="341" spans="1:18" ht="15.75" thickBot="1" x14ac:dyDescent="0.3">
      <c r="A341" s="171">
        <v>360</v>
      </c>
      <c r="B341" t="s">
        <v>42</v>
      </c>
      <c r="C341" s="143" t="s">
        <v>87</v>
      </c>
      <c r="D341" s="132">
        <v>58</v>
      </c>
      <c r="E341" s="132">
        <v>19</v>
      </c>
      <c r="F341" s="132">
        <f t="shared" si="7"/>
        <v>52</v>
      </c>
      <c r="G341" s="132">
        <v>6</v>
      </c>
      <c r="H341" s="132">
        <v>0</v>
      </c>
      <c r="I341" s="132">
        <v>50</v>
      </c>
      <c r="J341" s="132">
        <v>18</v>
      </c>
      <c r="K341" s="132">
        <v>6</v>
      </c>
      <c r="L341" s="132">
        <v>0</v>
      </c>
      <c r="M341" s="132">
        <v>8</v>
      </c>
      <c r="N341" s="132">
        <v>1</v>
      </c>
      <c r="O341" s="132">
        <v>0</v>
      </c>
      <c r="P341" s="144">
        <v>0</v>
      </c>
      <c r="Q341">
        <f>G341/G336</f>
        <v>0.15789473684210525</v>
      </c>
      <c r="R341">
        <f>F341/F336</f>
        <v>8.8285229202037352E-2</v>
      </c>
    </row>
    <row r="342" spans="1:18" ht="15.75" thickBot="1" x14ac:dyDescent="0.3">
      <c r="C342" s="145" t="s">
        <v>153</v>
      </c>
      <c r="D342" s="133">
        <v>21</v>
      </c>
      <c r="E342" s="133">
        <v>10</v>
      </c>
      <c r="F342" s="132">
        <f t="shared" si="7"/>
        <v>18</v>
      </c>
      <c r="G342" s="133">
        <v>3</v>
      </c>
      <c r="H342" s="133">
        <v>0</v>
      </c>
      <c r="I342" s="133">
        <v>18</v>
      </c>
      <c r="J342" s="133">
        <v>9</v>
      </c>
      <c r="K342" s="133">
        <v>3</v>
      </c>
      <c r="L342" s="133">
        <v>0</v>
      </c>
      <c r="M342" s="133">
        <v>3</v>
      </c>
      <c r="N342" s="133">
        <v>1</v>
      </c>
      <c r="O342" s="133">
        <v>0</v>
      </c>
      <c r="P342" s="146">
        <v>0</v>
      </c>
    </row>
    <row r="343" spans="1:18" ht="15.75" thickBot="1" x14ac:dyDescent="0.3">
      <c r="C343" s="143" t="s">
        <v>154</v>
      </c>
      <c r="D343" s="132">
        <v>2</v>
      </c>
      <c r="E343" s="132">
        <v>1</v>
      </c>
      <c r="F343" s="132">
        <f t="shared" si="7"/>
        <v>2</v>
      </c>
      <c r="G343" s="132">
        <v>0</v>
      </c>
      <c r="H343" s="132">
        <v>0</v>
      </c>
      <c r="I343" s="132">
        <v>2</v>
      </c>
      <c r="J343" s="132">
        <v>1</v>
      </c>
      <c r="K343" s="132">
        <v>0</v>
      </c>
      <c r="L343" s="132">
        <v>0</v>
      </c>
      <c r="M343" s="132">
        <v>0</v>
      </c>
      <c r="N343" s="132">
        <v>0</v>
      </c>
      <c r="O343" s="132">
        <v>0</v>
      </c>
      <c r="P343" s="144">
        <v>0</v>
      </c>
    </row>
    <row r="344" spans="1:18" ht="15.75" thickBot="1" x14ac:dyDescent="0.3">
      <c r="C344" s="156" t="s">
        <v>119</v>
      </c>
      <c r="D344" s="157"/>
      <c r="E344" s="157"/>
      <c r="F344" s="132">
        <f t="shared" si="7"/>
        <v>0</v>
      </c>
      <c r="G344" s="157"/>
      <c r="H344" s="157"/>
      <c r="I344" s="157"/>
      <c r="J344" s="157"/>
      <c r="K344" s="157"/>
      <c r="L344" s="157"/>
      <c r="M344" s="157"/>
      <c r="N344" s="157"/>
      <c r="O344" s="157"/>
      <c r="P344" s="158"/>
    </row>
    <row r="345" spans="1:18" ht="15.75" thickBot="1" x14ac:dyDescent="0.3">
      <c r="C345" s="153"/>
      <c r="D345" s="154"/>
      <c r="E345" s="154"/>
      <c r="F345" s="132">
        <f t="shared" si="7"/>
        <v>0</v>
      </c>
      <c r="G345" s="154"/>
      <c r="H345" s="154"/>
      <c r="I345" s="154"/>
      <c r="J345" s="154"/>
      <c r="K345" s="154"/>
      <c r="L345" s="154"/>
      <c r="M345" s="154"/>
      <c r="N345" s="154"/>
      <c r="O345" s="154"/>
      <c r="P345" s="155"/>
    </row>
    <row r="346" spans="1:18" ht="15.75" thickBot="1" x14ac:dyDescent="0.3">
      <c r="C346" s="145" t="s">
        <v>83</v>
      </c>
      <c r="D346" s="133">
        <v>992</v>
      </c>
      <c r="E346" s="133">
        <v>464</v>
      </c>
      <c r="F346" s="132">
        <f t="shared" si="7"/>
        <v>915</v>
      </c>
      <c r="G346" s="133">
        <v>77</v>
      </c>
      <c r="H346" s="133">
        <v>31</v>
      </c>
      <c r="I346" s="133">
        <v>945</v>
      </c>
      <c r="J346" s="133">
        <v>447</v>
      </c>
      <c r="K346" s="133">
        <v>75</v>
      </c>
      <c r="L346" s="133">
        <v>30</v>
      </c>
      <c r="M346" s="133">
        <v>47</v>
      </c>
      <c r="N346" s="133">
        <v>17</v>
      </c>
      <c r="O346" s="133">
        <v>2</v>
      </c>
      <c r="P346" s="146">
        <v>1</v>
      </c>
    </row>
    <row r="347" spans="1:18" ht="15.75" thickBot="1" x14ac:dyDescent="0.3">
      <c r="C347" s="143" t="s">
        <v>151</v>
      </c>
      <c r="D347" s="132">
        <v>62</v>
      </c>
      <c r="E347" s="132">
        <v>33</v>
      </c>
      <c r="F347" s="132">
        <f t="shared" si="7"/>
        <v>61</v>
      </c>
      <c r="G347" s="132">
        <v>1</v>
      </c>
      <c r="H347" s="132">
        <v>0</v>
      </c>
      <c r="I347" s="132">
        <v>41</v>
      </c>
      <c r="J347" s="132">
        <v>24</v>
      </c>
      <c r="K347" s="132">
        <v>0</v>
      </c>
      <c r="L347" s="132">
        <v>0</v>
      </c>
      <c r="M347" s="132">
        <v>21</v>
      </c>
      <c r="N347" s="132">
        <v>9</v>
      </c>
      <c r="O347" s="132">
        <v>1</v>
      </c>
      <c r="P347" s="144">
        <v>0</v>
      </c>
    </row>
    <row r="348" spans="1:18" ht="15.75" thickBot="1" x14ac:dyDescent="0.3">
      <c r="C348" s="145" t="s">
        <v>152</v>
      </c>
      <c r="D348" s="133">
        <v>29</v>
      </c>
      <c r="E348" s="133">
        <v>22</v>
      </c>
      <c r="F348" s="132">
        <f t="shared" si="7"/>
        <v>28</v>
      </c>
      <c r="G348" s="133">
        <v>1</v>
      </c>
      <c r="H348" s="133">
        <v>1</v>
      </c>
      <c r="I348" s="133">
        <v>29</v>
      </c>
      <c r="J348" s="133">
        <v>22</v>
      </c>
      <c r="K348" s="133">
        <v>1</v>
      </c>
      <c r="L348" s="133">
        <v>1</v>
      </c>
      <c r="M348" s="133">
        <v>0</v>
      </c>
      <c r="N348" s="133">
        <v>0</v>
      </c>
      <c r="O348" s="133">
        <v>0</v>
      </c>
      <c r="P348" s="146">
        <v>0</v>
      </c>
    </row>
    <row r="349" spans="1:18" ht="15.75" thickBot="1" x14ac:dyDescent="0.3">
      <c r="C349" s="143" t="s">
        <v>85</v>
      </c>
      <c r="D349" s="132">
        <v>660</v>
      </c>
      <c r="E349" s="132">
        <v>321</v>
      </c>
      <c r="F349" s="132">
        <f t="shared" si="7"/>
        <v>621</v>
      </c>
      <c r="G349" s="132">
        <v>39</v>
      </c>
      <c r="H349" s="132">
        <v>18</v>
      </c>
      <c r="I349" s="132">
        <v>648</v>
      </c>
      <c r="J349" s="132">
        <v>318</v>
      </c>
      <c r="K349" s="132">
        <v>39</v>
      </c>
      <c r="L349" s="132">
        <v>18</v>
      </c>
      <c r="M349" s="132">
        <v>12</v>
      </c>
      <c r="N349" s="132">
        <v>3</v>
      </c>
      <c r="O349" s="132">
        <v>0</v>
      </c>
      <c r="P349" s="144">
        <v>0</v>
      </c>
    </row>
    <row r="350" spans="1:18" ht="15.75" thickBot="1" x14ac:dyDescent="0.3">
      <c r="C350" s="145" t="s">
        <v>86</v>
      </c>
      <c r="D350" s="133">
        <v>182</v>
      </c>
      <c r="E350" s="133">
        <v>74</v>
      </c>
      <c r="F350" s="132">
        <f t="shared" si="7"/>
        <v>154</v>
      </c>
      <c r="G350" s="133">
        <v>28</v>
      </c>
      <c r="H350" s="133">
        <v>12</v>
      </c>
      <c r="I350" s="133">
        <v>176</v>
      </c>
      <c r="J350" s="133">
        <v>73</v>
      </c>
      <c r="K350" s="133">
        <v>27</v>
      </c>
      <c r="L350" s="133">
        <v>11</v>
      </c>
      <c r="M350" s="133">
        <v>6</v>
      </c>
      <c r="N350" s="133">
        <v>1</v>
      </c>
      <c r="O350" s="133">
        <v>1</v>
      </c>
      <c r="P350" s="146">
        <v>1</v>
      </c>
    </row>
    <row r="351" spans="1:18" ht="15.75" thickBot="1" x14ac:dyDescent="0.3">
      <c r="A351" s="171">
        <v>361</v>
      </c>
      <c r="B351" t="s">
        <v>43</v>
      </c>
      <c r="C351" s="143" t="s">
        <v>87</v>
      </c>
      <c r="D351" s="132">
        <v>59</v>
      </c>
      <c r="E351" s="132">
        <v>14</v>
      </c>
      <c r="F351" s="132">
        <f t="shared" si="7"/>
        <v>51</v>
      </c>
      <c r="G351" s="132">
        <v>8</v>
      </c>
      <c r="H351" s="132">
        <v>0</v>
      </c>
      <c r="I351" s="132">
        <v>51</v>
      </c>
      <c r="J351" s="132">
        <v>10</v>
      </c>
      <c r="K351" s="132">
        <v>8</v>
      </c>
      <c r="L351" s="132">
        <v>0</v>
      </c>
      <c r="M351" s="132">
        <v>8</v>
      </c>
      <c r="N351" s="132">
        <v>4</v>
      </c>
      <c r="O351" s="132">
        <v>0</v>
      </c>
      <c r="P351" s="144">
        <v>0</v>
      </c>
      <c r="Q351">
        <f>G351/G346</f>
        <v>0.1038961038961039</v>
      </c>
      <c r="R351">
        <f>F351/F346</f>
        <v>5.5737704918032788E-2</v>
      </c>
    </row>
    <row r="352" spans="1:18" ht="15.75" thickBot="1" x14ac:dyDescent="0.3">
      <c r="C352" s="145" t="s">
        <v>153</v>
      </c>
      <c r="D352" s="133">
        <v>30</v>
      </c>
      <c r="E352" s="133">
        <v>6</v>
      </c>
      <c r="F352" s="132">
        <f t="shared" si="7"/>
        <v>26</v>
      </c>
      <c r="G352" s="133">
        <v>4</v>
      </c>
      <c r="H352" s="133">
        <v>0</v>
      </c>
      <c r="I352" s="133">
        <v>29</v>
      </c>
      <c r="J352" s="133">
        <v>6</v>
      </c>
      <c r="K352" s="133">
        <v>4</v>
      </c>
      <c r="L352" s="133">
        <v>0</v>
      </c>
      <c r="M352" s="133">
        <v>1</v>
      </c>
      <c r="N352" s="133">
        <v>0</v>
      </c>
      <c r="O352" s="133">
        <v>0</v>
      </c>
      <c r="P352" s="146">
        <v>0</v>
      </c>
    </row>
    <row r="353" spans="1:18" ht="15.75" thickBot="1" x14ac:dyDescent="0.3">
      <c r="C353" s="143" t="s">
        <v>154</v>
      </c>
      <c r="D353" s="132">
        <v>7</v>
      </c>
      <c r="E353" s="132">
        <v>4</v>
      </c>
      <c r="F353" s="132">
        <f t="shared" si="7"/>
        <v>7</v>
      </c>
      <c r="G353" s="132">
        <v>0</v>
      </c>
      <c r="H353" s="132">
        <v>0</v>
      </c>
      <c r="I353" s="132">
        <v>0</v>
      </c>
      <c r="J353" s="132">
        <v>0</v>
      </c>
      <c r="K353" s="132">
        <v>0</v>
      </c>
      <c r="L353" s="132">
        <v>0</v>
      </c>
      <c r="M353" s="132">
        <v>7</v>
      </c>
      <c r="N353" s="132">
        <v>4</v>
      </c>
      <c r="O353" s="132">
        <v>0</v>
      </c>
      <c r="P353" s="144">
        <v>0</v>
      </c>
    </row>
    <row r="354" spans="1:18" ht="15.75" thickBot="1" x14ac:dyDescent="0.3">
      <c r="C354" s="156" t="s">
        <v>120</v>
      </c>
      <c r="D354" s="157"/>
      <c r="E354" s="157"/>
      <c r="F354" s="132">
        <f t="shared" si="7"/>
        <v>0</v>
      </c>
      <c r="G354" s="157"/>
      <c r="H354" s="157"/>
      <c r="I354" s="157"/>
      <c r="J354" s="157"/>
      <c r="K354" s="157"/>
      <c r="L354" s="157"/>
      <c r="M354" s="157"/>
      <c r="N354" s="157"/>
      <c r="O354" s="157"/>
      <c r="P354" s="158"/>
    </row>
    <row r="355" spans="1:18" ht="15.75" thickBot="1" x14ac:dyDescent="0.3">
      <c r="C355" s="153"/>
      <c r="D355" s="154"/>
      <c r="E355" s="154"/>
      <c r="F355" s="132">
        <f t="shared" si="7"/>
        <v>0</v>
      </c>
      <c r="G355" s="154"/>
      <c r="H355" s="154"/>
      <c r="I355" s="154"/>
      <c r="J355" s="154"/>
      <c r="K355" s="154"/>
      <c r="L355" s="154"/>
      <c r="M355" s="154"/>
      <c r="N355" s="154"/>
      <c r="O355" s="154"/>
      <c r="P355" s="155"/>
    </row>
    <row r="356" spans="1:18" ht="15.75" thickBot="1" x14ac:dyDescent="0.3">
      <c r="C356" s="145" t="s">
        <v>83</v>
      </c>
      <c r="D356" s="133">
        <v>20071</v>
      </c>
      <c r="E356" s="133">
        <v>9417</v>
      </c>
      <c r="F356" s="132">
        <f t="shared" si="7"/>
        <v>18131</v>
      </c>
      <c r="G356" s="133">
        <v>1940</v>
      </c>
      <c r="H356" s="133">
        <v>941</v>
      </c>
      <c r="I356" s="133">
        <v>18198</v>
      </c>
      <c r="J356" s="133">
        <v>8537</v>
      </c>
      <c r="K356" s="133">
        <v>1861</v>
      </c>
      <c r="L356" s="133">
        <v>899</v>
      </c>
      <c r="M356" s="133">
        <v>1873</v>
      </c>
      <c r="N356" s="133">
        <v>880</v>
      </c>
      <c r="O356" s="133">
        <v>79</v>
      </c>
      <c r="P356" s="146">
        <v>42</v>
      </c>
    </row>
    <row r="357" spans="1:18" ht="15.75" thickBot="1" x14ac:dyDescent="0.3">
      <c r="C357" s="143" t="s">
        <v>151</v>
      </c>
      <c r="D357" s="132">
        <v>1369</v>
      </c>
      <c r="E357" s="132">
        <v>790</v>
      </c>
      <c r="F357" s="132">
        <f t="shared" si="7"/>
        <v>1330</v>
      </c>
      <c r="G357" s="132">
        <v>39</v>
      </c>
      <c r="H357" s="132">
        <v>17</v>
      </c>
      <c r="I357" s="132">
        <v>1195</v>
      </c>
      <c r="J357" s="132">
        <v>690</v>
      </c>
      <c r="K357" s="132">
        <v>38</v>
      </c>
      <c r="L357" s="132">
        <v>16</v>
      </c>
      <c r="M357" s="132">
        <v>174</v>
      </c>
      <c r="N357" s="132">
        <v>100</v>
      </c>
      <c r="O357" s="132">
        <v>1</v>
      </c>
      <c r="P357" s="144">
        <v>1</v>
      </c>
    </row>
    <row r="358" spans="1:18" ht="15.75" thickBot="1" x14ac:dyDescent="0.3">
      <c r="C358" s="145" t="s">
        <v>152</v>
      </c>
      <c r="D358" s="133">
        <v>476</v>
      </c>
      <c r="E358" s="133">
        <v>260</v>
      </c>
      <c r="F358" s="132">
        <f t="shared" si="7"/>
        <v>455</v>
      </c>
      <c r="G358" s="133">
        <v>21</v>
      </c>
      <c r="H358" s="133">
        <v>12</v>
      </c>
      <c r="I358" s="133">
        <v>430</v>
      </c>
      <c r="J358" s="133">
        <v>233</v>
      </c>
      <c r="K358" s="133">
        <v>19</v>
      </c>
      <c r="L358" s="133">
        <v>10</v>
      </c>
      <c r="M358" s="133">
        <v>46</v>
      </c>
      <c r="N358" s="133">
        <v>27</v>
      </c>
      <c r="O358" s="133">
        <v>2</v>
      </c>
      <c r="P358" s="146">
        <v>2</v>
      </c>
    </row>
    <row r="359" spans="1:18" ht="15.75" thickBot="1" x14ac:dyDescent="0.3">
      <c r="C359" s="143" t="s">
        <v>85</v>
      </c>
      <c r="D359" s="132">
        <v>12715</v>
      </c>
      <c r="E359" s="132">
        <v>6219</v>
      </c>
      <c r="F359" s="132">
        <f t="shared" si="7"/>
        <v>11866</v>
      </c>
      <c r="G359" s="132">
        <v>849</v>
      </c>
      <c r="H359" s="132">
        <v>449</v>
      </c>
      <c r="I359" s="132">
        <v>11440</v>
      </c>
      <c r="J359" s="132">
        <v>5584</v>
      </c>
      <c r="K359" s="132">
        <v>808</v>
      </c>
      <c r="L359" s="132">
        <v>425</v>
      </c>
      <c r="M359" s="132">
        <v>1275</v>
      </c>
      <c r="N359" s="132">
        <v>635</v>
      </c>
      <c r="O359" s="132">
        <v>41</v>
      </c>
      <c r="P359" s="144">
        <v>24</v>
      </c>
    </row>
    <row r="360" spans="1:18" ht="15.75" thickBot="1" x14ac:dyDescent="0.3">
      <c r="C360" s="145" t="s">
        <v>86</v>
      </c>
      <c r="D360" s="133">
        <v>3892</v>
      </c>
      <c r="E360" s="133">
        <v>1508</v>
      </c>
      <c r="F360" s="132">
        <f t="shared" ref="F360:F423" si="8">D360-G360</f>
        <v>3323</v>
      </c>
      <c r="G360" s="133">
        <v>569</v>
      </c>
      <c r="H360" s="133">
        <v>258</v>
      </c>
      <c r="I360" s="133">
        <v>3626</v>
      </c>
      <c r="J360" s="133">
        <v>1424</v>
      </c>
      <c r="K360" s="133">
        <v>544</v>
      </c>
      <c r="L360" s="133">
        <v>249</v>
      </c>
      <c r="M360" s="133">
        <v>266</v>
      </c>
      <c r="N360" s="133">
        <v>84</v>
      </c>
      <c r="O360" s="133">
        <v>25</v>
      </c>
      <c r="P360" s="146">
        <v>9</v>
      </c>
    </row>
    <row r="361" spans="1:18" ht="15.75" thickBot="1" x14ac:dyDescent="0.3">
      <c r="A361" s="171">
        <v>4</v>
      </c>
      <c r="B361" t="s">
        <v>226</v>
      </c>
      <c r="C361" s="143" t="s">
        <v>87</v>
      </c>
      <c r="D361" s="132">
        <v>1619</v>
      </c>
      <c r="E361" s="132">
        <v>640</v>
      </c>
      <c r="F361" s="132">
        <f t="shared" si="8"/>
        <v>1157</v>
      </c>
      <c r="G361" s="132">
        <v>462</v>
      </c>
      <c r="H361" s="132">
        <v>205</v>
      </c>
      <c r="I361" s="132">
        <v>1507</v>
      </c>
      <c r="J361" s="132">
        <v>606</v>
      </c>
      <c r="K361" s="132">
        <v>452</v>
      </c>
      <c r="L361" s="132">
        <v>199</v>
      </c>
      <c r="M361" s="132">
        <v>112</v>
      </c>
      <c r="N361" s="132">
        <v>34</v>
      </c>
      <c r="O361" s="132">
        <v>10</v>
      </c>
      <c r="P361" s="144">
        <v>6</v>
      </c>
      <c r="Q361">
        <f>G361/G356</f>
        <v>0.2381443298969072</v>
      </c>
      <c r="R361">
        <f>F361/F356</f>
        <v>6.3813358336550663E-2</v>
      </c>
    </row>
    <row r="362" spans="1:18" ht="15.75" thickBot="1" x14ac:dyDescent="0.3">
      <c r="C362" s="145" t="s">
        <v>153</v>
      </c>
      <c r="D362" s="133">
        <v>594</v>
      </c>
      <c r="E362" s="133">
        <v>244</v>
      </c>
      <c r="F362" s="132">
        <f t="shared" si="8"/>
        <v>514</v>
      </c>
      <c r="G362" s="133">
        <v>80</v>
      </c>
      <c r="H362" s="133">
        <v>35</v>
      </c>
      <c r="I362" s="133">
        <v>568</v>
      </c>
      <c r="J362" s="133">
        <v>240</v>
      </c>
      <c r="K362" s="133">
        <v>79</v>
      </c>
      <c r="L362" s="133">
        <v>35</v>
      </c>
      <c r="M362" s="133">
        <v>26</v>
      </c>
      <c r="N362" s="133">
        <v>4</v>
      </c>
      <c r="O362" s="133">
        <v>1</v>
      </c>
      <c r="P362" s="146">
        <v>0</v>
      </c>
    </row>
    <row r="363" spans="1:18" ht="15.75" thickBot="1" x14ac:dyDescent="0.3">
      <c r="C363" s="143" t="s">
        <v>154</v>
      </c>
      <c r="D363" s="132">
        <v>231</v>
      </c>
      <c r="E363" s="132">
        <v>91</v>
      </c>
      <c r="F363" s="132">
        <f t="shared" si="8"/>
        <v>191</v>
      </c>
      <c r="G363" s="132">
        <v>40</v>
      </c>
      <c r="H363" s="132">
        <v>18</v>
      </c>
      <c r="I363" s="132">
        <v>211</v>
      </c>
      <c r="J363" s="132">
        <v>82</v>
      </c>
      <c r="K363" s="132">
        <v>40</v>
      </c>
      <c r="L363" s="132">
        <v>18</v>
      </c>
      <c r="M363" s="132">
        <v>20</v>
      </c>
      <c r="N363" s="132">
        <v>9</v>
      </c>
      <c r="O363" s="132">
        <v>0</v>
      </c>
      <c r="P363" s="144">
        <v>0</v>
      </c>
    </row>
    <row r="364" spans="1:18" ht="15.75" thickBot="1" x14ac:dyDescent="0.3">
      <c r="C364" s="156" t="s">
        <v>121</v>
      </c>
      <c r="D364" s="157"/>
      <c r="E364" s="157"/>
      <c r="F364" s="132">
        <f t="shared" si="8"/>
        <v>0</v>
      </c>
      <c r="G364" s="157"/>
      <c r="H364" s="157"/>
      <c r="I364" s="157"/>
      <c r="J364" s="157"/>
      <c r="K364" s="157"/>
      <c r="L364" s="157"/>
      <c r="M364" s="157"/>
      <c r="N364" s="157"/>
      <c r="O364" s="157"/>
      <c r="P364" s="158"/>
    </row>
    <row r="365" spans="1:18" ht="15.75" thickBot="1" x14ac:dyDescent="0.3">
      <c r="C365" s="153"/>
      <c r="D365" s="154"/>
      <c r="E365" s="154"/>
      <c r="F365" s="132">
        <f t="shared" si="8"/>
        <v>0</v>
      </c>
      <c r="G365" s="154"/>
      <c r="H365" s="154"/>
      <c r="I365" s="154"/>
      <c r="J365" s="154"/>
      <c r="K365" s="154"/>
      <c r="L365" s="154"/>
      <c r="M365" s="154"/>
      <c r="N365" s="154"/>
      <c r="O365" s="154"/>
      <c r="P365" s="155"/>
    </row>
    <row r="366" spans="1:18" ht="15.75" thickBot="1" x14ac:dyDescent="0.3">
      <c r="C366" s="145" t="s">
        <v>83</v>
      </c>
      <c r="D366" s="133">
        <v>561</v>
      </c>
      <c r="E366" s="133">
        <v>248</v>
      </c>
      <c r="F366" s="132">
        <f t="shared" si="8"/>
        <v>471</v>
      </c>
      <c r="G366" s="133">
        <v>90</v>
      </c>
      <c r="H366" s="133">
        <v>48</v>
      </c>
      <c r="I366" s="133">
        <v>561</v>
      </c>
      <c r="J366" s="133">
        <v>248</v>
      </c>
      <c r="K366" s="133">
        <v>90</v>
      </c>
      <c r="L366" s="133">
        <v>48</v>
      </c>
      <c r="M366" s="133">
        <v>0</v>
      </c>
      <c r="N366" s="133">
        <v>0</v>
      </c>
      <c r="O366" s="133">
        <v>0</v>
      </c>
      <c r="P366" s="146">
        <v>0</v>
      </c>
    </row>
    <row r="367" spans="1:18" ht="15.75" thickBot="1" x14ac:dyDescent="0.3">
      <c r="C367" s="143" t="s">
        <v>151</v>
      </c>
      <c r="D367" s="132">
        <v>43</v>
      </c>
      <c r="E367" s="132">
        <v>25</v>
      </c>
      <c r="F367" s="132">
        <f t="shared" si="8"/>
        <v>42</v>
      </c>
      <c r="G367" s="132">
        <v>1</v>
      </c>
      <c r="H367" s="132">
        <v>0</v>
      </c>
      <c r="I367" s="132">
        <v>43</v>
      </c>
      <c r="J367" s="132">
        <v>25</v>
      </c>
      <c r="K367" s="132">
        <v>1</v>
      </c>
      <c r="L367" s="132">
        <v>0</v>
      </c>
      <c r="M367" s="132">
        <v>0</v>
      </c>
      <c r="N367" s="132">
        <v>0</v>
      </c>
      <c r="O367" s="132">
        <v>0</v>
      </c>
      <c r="P367" s="144">
        <v>0</v>
      </c>
    </row>
    <row r="368" spans="1:18" ht="15.75" thickBot="1" x14ac:dyDescent="0.3">
      <c r="C368" s="145" t="s">
        <v>152</v>
      </c>
      <c r="D368" s="133">
        <v>15</v>
      </c>
      <c r="E368" s="133">
        <v>6</v>
      </c>
      <c r="F368" s="132">
        <f t="shared" si="8"/>
        <v>12</v>
      </c>
      <c r="G368" s="133">
        <v>3</v>
      </c>
      <c r="H368" s="133">
        <v>3</v>
      </c>
      <c r="I368" s="133">
        <v>15</v>
      </c>
      <c r="J368" s="133">
        <v>6</v>
      </c>
      <c r="K368" s="133">
        <v>3</v>
      </c>
      <c r="L368" s="133">
        <v>3</v>
      </c>
      <c r="M368" s="133">
        <v>0</v>
      </c>
      <c r="N368" s="133">
        <v>0</v>
      </c>
      <c r="O368" s="133">
        <v>0</v>
      </c>
      <c r="P368" s="146">
        <v>0</v>
      </c>
    </row>
    <row r="369" spans="1:18" ht="15.75" thickBot="1" x14ac:dyDescent="0.3">
      <c r="C369" s="143" t="s">
        <v>85</v>
      </c>
      <c r="D369" s="132">
        <v>344</v>
      </c>
      <c r="E369" s="132">
        <v>161</v>
      </c>
      <c r="F369" s="132">
        <f t="shared" si="8"/>
        <v>300</v>
      </c>
      <c r="G369" s="132">
        <v>44</v>
      </c>
      <c r="H369" s="132">
        <v>28</v>
      </c>
      <c r="I369" s="132">
        <v>344</v>
      </c>
      <c r="J369" s="132">
        <v>161</v>
      </c>
      <c r="K369" s="132">
        <v>44</v>
      </c>
      <c r="L369" s="132">
        <v>28</v>
      </c>
      <c r="M369" s="132">
        <v>0</v>
      </c>
      <c r="N369" s="132">
        <v>0</v>
      </c>
      <c r="O369" s="132">
        <v>0</v>
      </c>
      <c r="P369" s="144">
        <v>0</v>
      </c>
    </row>
    <row r="370" spans="1:18" ht="15.75" thickBot="1" x14ac:dyDescent="0.3">
      <c r="C370" s="145" t="s">
        <v>86</v>
      </c>
      <c r="D370" s="133">
        <v>115</v>
      </c>
      <c r="E370" s="133">
        <v>39</v>
      </c>
      <c r="F370" s="132">
        <f t="shared" si="8"/>
        <v>97</v>
      </c>
      <c r="G370" s="133">
        <v>18</v>
      </c>
      <c r="H370" s="133">
        <v>6</v>
      </c>
      <c r="I370" s="133">
        <v>115</v>
      </c>
      <c r="J370" s="133">
        <v>39</v>
      </c>
      <c r="K370" s="133">
        <v>18</v>
      </c>
      <c r="L370" s="133">
        <v>6</v>
      </c>
      <c r="M370" s="133">
        <v>0</v>
      </c>
      <c r="N370" s="133">
        <v>0</v>
      </c>
      <c r="O370" s="133">
        <v>0</v>
      </c>
      <c r="P370" s="146">
        <v>0</v>
      </c>
    </row>
    <row r="371" spans="1:18" ht="15.75" thickBot="1" x14ac:dyDescent="0.3">
      <c r="A371" s="171">
        <v>401</v>
      </c>
      <c r="B371" t="s">
        <v>227</v>
      </c>
      <c r="C371" s="143" t="s">
        <v>87</v>
      </c>
      <c r="D371" s="132">
        <v>44</v>
      </c>
      <c r="E371" s="132">
        <v>17</v>
      </c>
      <c r="F371" s="132">
        <f t="shared" si="8"/>
        <v>20</v>
      </c>
      <c r="G371" s="132">
        <v>24</v>
      </c>
      <c r="H371" s="132">
        <v>11</v>
      </c>
      <c r="I371" s="132">
        <v>44</v>
      </c>
      <c r="J371" s="132">
        <v>17</v>
      </c>
      <c r="K371" s="132">
        <v>24</v>
      </c>
      <c r="L371" s="132">
        <v>11</v>
      </c>
      <c r="M371" s="132">
        <v>0</v>
      </c>
      <c r="N371" s="132">
        <v>0</v>
      </c>
      <c r="O371" s="132">
        <v>0</v>
      </c>
      <c r="P371" s="144">
        <v>0</v>
      </c>
      <c r="Q371">
        <f>G371/G366</f>
        <v>0.26666666666666666</v>
      </c>
      <c r="R371">
        <f>F371/F366</f>
        <v>4.2462845010615709E-2</v>
      </c>
    </row>
    <row r="372" spans="1:18" ht="15.75" thickBot="1" x14ac:dyDescent="0.3">
      <c r="C372" s="145" t="s">
        <v>153</v>
      </c>
      <c r="D372" s="133">
        <v>4</v>
      </c>
      <c r="E372" s="133">
        <v>1</v>
      </c>
      <c r="F372" s="132">
        <f t="shared" si="8"/>
        <v>3</v>
      </c>
      <c r="G372" s="133">
        <v>1</v>
      </c>
      <c r="H372" s="133">
        <v>0</v>
      </c>
      <c r="I372" s="133">
        <v>4</v>
      </c>
      <c r="J372" s="133">
        <v>1</v>
      </c>
      <c r="K372" s="133">
        <v>1</v>
      </c>
      <c r="L372" s="133">
        <v>0</v>
      </c>
      <c r="M372" s="133">
        <v>0</v>
      </c>
      <c r="N372" s="133">
        <v>0</v>
      </c>
      <c r="O372" s="133">
        <v>0</v>
      </c>
      <c r="P372" s="146">
        <v>0</v>
      </c>
    </row>
    <row r="373" spans="1:18" ht="15.75" thickBot="1" x14ac:dyDescent="0.3">
      <c r="C373" s="143" t="s">
        <v>154</v>
      </c>
      <c r="D373" s="132">
        <v>11</v>
      </c>
      <c r="E373" s="132">
        <v>4</v>
      </c>
      <c r="F373" s="132">
        <f t="shared" si="8"/>
        <v>8</v>
      </c>
      <c r="G373" s="132">
        <v>3</v>
      </c>
      <c r="H373" s="132">
        <v>2</v>
      </c>
      <c r="I373" s="132">
        <v>11</v>
      </c>
      <c r="J373" s="132">
        <v>4</v>
      </c>
      <c r="K373" s="132">
        <v>3</v>
      </c>
      <c r="L373" s="132">
        <v>2</v>
      </c>
      <c r="M373" s="132">
        <v>0</v>
      </c>
      <c r="N373" s="132">
        <v>0</v>
      </c>
      <c r="O373" s="132">
        <v>0</v>
      </c>
      <c r="P373" s="144">
        <v>0</v>
      </c>
    </row>
    <row r="374" spans="1:18" ht="15.75" thickBot="1" x14ac:dyDescent="0.3">
      <c r="C374" s="156" t="s">
        <v>122</v>
      </c>
      <c r="D374" s="157"/>
      <c r="E374" s="157"/>
      <c r="F374" s="132">
        <f t="shared" si="8"/>
        <v>0</v>
      </c>
      <c r="G374" s="157"/>
      <c r="H374" s="157"/>
      <c r="I374" s="157"/>
      <c r="J374" s="157"/>
      <c r="K374" s="157"/>
      <c r="L374" s="157"/>
      <c r="M374" s="157"/>
      <c r="N374" s="157"/>
      <c r="O374" s="157"/>
      <c r="P374" s="158"/>
    </row>
    <row r="375" spans="1:18" ht="15.75" thickBot="1" x14ac:dyDescent="0.3">
      <c r="C375" s="153"/>
      <c r="D375" s="154"/>
      <c r="E375" s="154"/>
      <c r="F375" s="132">
        <f t="shared" si="8"/>
        <v>0</v>
      </c>
      <c r="G375" s="154"/>
      <c r="H375" s="154"/>
      <c r="I375" s="154"/>
      <c r="J375" s="154"/>
      <c r="K375" s="154"/>
      <c r="L375" s="154"/>
      <c r="M375" s="154"/>
      <c r="N375" s="154"/>
      <c r="O375" s="154"/>
      <c r="P375" s="155"/>
    </row>
    <row r="376" spans="1:18" ht="15.75" thickBot="1" x14ac:dyDescent="0.3">
      <c r="C376" s="145" t="s">
        <v>83</v>
      </c>
      <c r="D376" s="133">
        <v>377</v>
      </c>
      <c r="E376" s="133">
        <v>167</v>
      </c>
      <c r="F376" s="132">
        <f t="shared" si="8"/>
        <v>338</v>
      </c>
      <c r="G376" s="133">
        <v>39</v>
      </c>
      <c r="H376" s="133">
        <v>15</v>
      </c>
      <c r="I376" s="133">
        <v>377</v>
      </c>
      <c r="J376" s="133">
        <v>167</v>
      </c>
      <c r="K376" s="133">
        <v>39</v>
      </c>
      <c r="L376" s="133">
        <v>15</v>
      </c>
      <c r="M376" s="133">
        <v>0</v>
      </c>
      <c r="N376" s="133">
        <v>0</v>
      </c>
      <c r="O376" s="133">
        <v>0</v>
      </c>
      <c r="P376" s="146">
        <v>0</v>
      </c>
    </row>
    <row r="377" spans="1:18" ht="15.75" thickBot="1" x14ac:dyDescent="0.3">
      <c r="C377" s="143" t="s">
        <v>151</v>
      </c>
      <c r="D377" s="132">
        <v>32</v>
      </c>
      <c r="E377" s="132">
        <v>11</v>
      </c>
      <c r="F377" s="132">
        <f t="shared" si="8"/>
        <v>32</v>
      </c>
      <c r="G377" s="132">
        <v>0</v>
      </c>
      <c r="H377" s="132">
        <v>0</v>
      </c>
      <c r="I377" s="132">
        <v>32</v>
      </c>
      <c r="J377" s="132">
        <v>11</v>
      </c>
      <c r="K377" s="132">
        <v>0</v>
      </c>
      <c r="L377" s="132">
        <v>0</v>
      </c>
      <c r="M377" s="132">
        <v>0</v>
      </c>
      <c r="N377" s="132">
        <v>0</v>
      </c>
      <c r="O377" s="132">
        <v>0</v>
      </c>
      <c r="P377" s="144">
        <v>0</v>
      </c>
    </row>
    <row r="378" spans="1:18" ht="15.75" thickBot="1" x14ac:dyDescent="0.3">
      <c r="C378" s="145" t="s">
        <v>152</v>
      </c>
      <c r="D378" s="133">
        <v>10</v>
      </c>
      <c r="E378" s="133">
        <v>4</v>
      </c>
      <c r="F378" s="132">
        <f t="shared" si="8"/>
        <v>10</v>
      </c>
      <c r="G378" s="133">
        <v>0</v>
      </c>
      <c r="H378" s="133">
        <v>0</v>
      </c>
      <c r="I378" s="133">
        <v>10</v>
      </c>
      <c r="J378" s="133">
        <v>4</v>
      </c>
      <c r="K378" s="133">
        <v>0</v>
      </c>
      <c r="L378" s="133">
        <v>0</v>
      </c>
      <c r="M378" s="133">
        <v>0</v>
      </c>
      <c r="N378" s="133">
        <v>0</v>
      </c>
      <c r="O378" s="133">
        <v>0</v>
      </c>
      <c r="P378" s="146">
        <v>0</v>
      </c>
    </row>
    <row r="379" spans="1:18" ht="15.75" thickBot="1" x14ac:dyDescent="0.3">
      <c r="C379" s="143" t="s">
        <v>85</v>
      </c>
      <c r="D379" s="132">
        <v>204</v>
      </c>
      <c r="E379" s="132">
        <v>101</v>
      </c>
      <c r="F379" s="132">
        <f t="shared" si="8"/>
        <v>191</v>
      </c>
      <c r="G379" s="132">
        <v>13</v>
      </c>
      <c r="H379" s="132">
        <v>5</v>
      </c>
      <c r="I379" s="132">
        <v>204</v>
      </c>
      <c r="J379" s="132">
        <v>101</v>
      </c>
      <c r="K379" s="132">
        <v>13</v>
      </c>
      <c r="L379" s="132">
        <v>5</v>
      </c>
      <c r="M379" s="132">
        <v>0</v>
      </c>
      <c r="N379" s="132">
        <v>0</v>
      </c>
      <c r="O379" s="132">
        <v>0</v>
      </c>
      <c r="P379" s="144">
        <v>0</v>
      </c>
    </row>
    <row r="380" spans="1:18" ht="15.75" thickBot="1" x14ac:dyDescent="0.3">
      <c r="C380" s="145" t="s">
        <v>86</v>
      </c>
      <c r="D380" s="133">
        <v>78</v>
      </c>
      <c r="E380" s="133">
        <v>33</v>
      </c>
      <c r="F380" s="132">
        <f t="shared" si="8"/>
        <v>70</v>
      </c>
      <c r="G380" s="133">
        <v>8</v>
      </c>
      <c r="H380" s="133">
        <v>2</v>
      </c>
      <c r="I380" s="133">
        <v>78</v>
      </c>
      <c r="J380" s="133">
        <v>33</v>
      </c>
      <c r="K380" s="133">
        <v>8</v>
      </c>
      <c r="L380" s="133">
        <v>2</v>
      </c>
      <c r="M380" s="133">
        <v>0</v>
      </c>
      <c r="N380" s="133">
        <v>0</v>
      </c>
      <c r="O380" s="133">
        <v>0</v>
      </c>
      <c r="P380" s="146">
        <v>0</v>
      </c>
    </row>
    <row r="381" spans="1:18" ht="15.75" thickBot="1" x14ac:dyDescent="0.3">
      <c r="A381" s="171">
        <v>402</v>
      </c>
      <c r="B381" t="s">
        <v>228</v>
      </c>
      <c r="C381" s="143" t="s">
        <v>87</v>
      </c>
      <c r="D381" s="132">
        <v>53</v>
      </c>
      <c r="E381" s="132">
        <v>18</v>
      </c>
      <c r="F381" s="132">
        <f t="shared" si="8"/>
        <v>35</v>
      </c>
      <c r="G381" s="132">
        <v>18</v>
      </c>
      <c r="H381" s="132">
        <v>8</v>
      </c>
      <c r="I381" s="132">
        <v>53</v>
      </c>
      <c r="J381" s="132">
        <v>18</v>
      </c>
      <c r="K381" s="132">
        <v>18</v>
      </c>
      <c r="L381" s="132">
        <v>8</v>
      </c>
      <c r="M381" s="132">
        <v>0</v>
      </c>
      <c r="N381" s="132">
        <v>0</v>
      </c>
      <c r="O381" s="132">
        <v>0</v>
      </c>
      <c r="P381" s="144">
        <v>0</v>
      </c>
      <c r="Q381">
        <f>G381/G376</f>
        <v>0.46153846153846156</v>
      </c>
      <c r="R381">
        <f>F381/F376</f>
        <v>0.10355029585798817</v>
      </c>
    </row>
    <row r="382" spans="1:18" ht="15.75" thickBot="1" x14ac:dyDescent="0.3">
      <c r="C382" s="145" t="s">
        <v>153</v>
      </c>
      <c r="D382" s="133">
        <v>17</v>
      </c>
      <c r="E382" s="133">
        <v>9</v>
      </c>
      <c r="F382" s="132">
        <f t="shared" si="8"/>
        <v>13</v>
      </c>
      <c r="G382" s="133">
        <v>4</v>
      </c>
      <c r="H382" s="133">
        <v>4</v>
      </c>
      <c r="I382" s="133">
        <v>17</v>
      </c>
      <c r="J382" s="133">
        <v>9</v>
      </c>
      <c r="K382" s="133">
        <v>4</v>
      </c>
      <c r="L382" s="133">
        <v>4</v>
      </c>
      <c r="M382" s="133">
        <v>0</v>
      </c>
      <c r="N382" s="133">
        <v>0</v>
      </c>
      <c r="O382" s="133">
        <v>0</v>
      </c>
      <c r="P382" s="146">
        <v>0</v>
      </c>
    </row>
    <row r="383" spans="1:18" ht="15.75" thickBot="1" x14ac:dyDescent="0.3">
      <c r="C383" s="143" t="s">
        <v>154</v>
      </c>
      <c r="D383" s="132">
        <v>4</v>
      </c>
      <c r="E383" s="132">
        <v>1</v>
      </c>
      <c r="F383" s="132">
        <f t="shared" si="8"/>
        <v>3</v>
      </c>
      <c r="G383" s="132">
        <v>1</v>
      </c>
      <c r="H383" s="132">
        <v>0</v>
      </c>
      <c r="I383" s="132">
        <v>4</v>
      </c>
      <c r="J383" s="132">
        <v>1</v>
      </c>
      <c r="K383" s="132">
        <v>1</v>
      </c>
      <c r="L383" s="132">
        <v>0</v>
      </c>
      <c r="M383" s="132">
        <v>0</v>
      </c>
      <c r="N383" s="132">
        <v>0</v>
      </c>
      <c r="O383" s="132">
        <v>0</v>
      </c>
      <c r="P383" s="144">
        <v>0</v>
      </c>
    </row>
    <row r="384" spans="1:18" ht="15.75" thickBot="1" x14ac:dyDescent="0.3">
      <c r="C384" s="156" t="s">
        <v>123</v>
      </c>
      <c r="D384" s="157"/>
      <c r="E384" s="157"/>
      <c r="F384" s="132">
        <f t="shared" si="8"/>
        <v>0</v>
      </c>
      <c r="G384" s="157"/>
      <c r="H384" s="157"/>
      <c r="I384" s="157"/>
      <c r="J384" s="157"/>
      <c r="K384" s="157"/>
      <c r="L384" s="157"/>
      <c r="M384" s="157"/>
      <c r="N384" s="157"/>
      <c r="O384" s="157"/>
      <c r="P384" s="158"/>
    </row>
    <row r="385" spans="1:18" ht="15.75" thickBot="1" x14ac:dyDescent="0.3">
      <c r="C385" s="153"/>
      <c r="D385" s="154"/>
      <c r="E385" s="154"/>
      <c r="F385" s="132">
        <f t="shared" si="8"/>
        <v>0</v>
      </c>
      <c r="G385" s="154"/>
      <c r="H385" s="154"/>
      <c r="I385" s="154"/>
      <c r="J385" s="154"/>
      <c r="K385" s="154"/>
      <c r="L385" s="154"/>
      <c r="M385" s="154"/>
      <c r="N385" s="154"/>
      <c r="O385" s="154"/>
      <c r="P385" s="155"/>
    </row>
    <row r="386" spans="1:18" ht="15.75" thickBot="1" x14ac:dyDescent="0.3">
      <c r="C386" s="145" t="s">
        <v>83</v>
      </c>
      <c r="D386" s="133">
        <v>1186</v>
      </c>
      <c r="E386" s="133">
        <v>552</v>
      </c>
      <c r="F386" s="132">
        <f t="shared" si="8"/>
        <v>1034</v>
      </c>
      <c r="G386" s="133">
        <v>152</v>
      </c>
      <c r="H386" s="133">
        <v>59</v>
      </c>
      <c r="I386" s="133">
        <v>1048</v>
      </c>
      <c r="J386" s="133">
        <v>487</v>
      </c>
      <c r="K386" s="133">
        <v>132</v>
      </c>
      <c r="L386" s="133">
        <v>50</v>
      </c>
      <c r="M386" s="133">
        <v>138</v>
      </c>
      <c r="N386" s="133">
        <v>65</v>
      </c>
      <c r="O386" s="133">
        <v>20</v>
      </c>
      <c r="P386" s="146">
        <v>9</v>
      </c>
    </row>
    <row r="387" spans="1:18" ht="15.75" thickBot="1" x14ac:dyDescent="0.3">
      <c r="C387" s="143" t="s">
        <v>151</v>
      </c>
      <c r="D387" s="132">
        <v>319</v>
      </c>
      <c r="E387" s="132">
        <v>181</v>
      </c>
      <c r="F387" s="132">
        <f t="shared" si="8"/>
        <v>311</v>
      </c>
      <c r="G387" s="132">
        <v>8</v>
      </c>
      <c r="H387" s="132">
        <v>2</v>
      </c>
      <c r="I387" s="132">
        <v>275</v>
      </c>
      <c r="J387" s="132">
        <v>157</v>
      </c>
      <c r="K387" s="132">
        <v>7</v>
      </c>
      <c r="L387" s="132">
        <v>1</v>
      </c>
      <c r="M387" s="132">
        <v>44</v>
      </c>
      <c r="N387" s="132">
        <v>24</v>
      </c>
      <c r="O387" s="132">
        <v>1</v>
      </c>
      <c r="P387" s="144">
        <v>1</v>
      </c>
    </row>
    <row r="388" spans="1:18" ht="15.75" thickBot="1" x14ac:dyDescent="0.3">
      <c r="C388" s="145" t="s">
        <v>152</v>
      </c>
      <c r="D388" s="133">
        <v>71</v>
      </c>
      <c r="E388" s="133">
        <v>37</v>
      </c>
      <c r="F388" s="132">
        <f t="shared" si="8"/>
        <v>68</v>
      </c>
      <c r="G388" s="133">
        <v>3</v>
      </c>
      <c r="H388" s="133">
        <v>0</v>
      </c>
      <c r="I388" s="133">
        <v>71</v>
      </c>
      <c r="J388" s="133">
        <v>37</v>
      </c>
      <c r="K388" s="133">
        <v>3</v>
      </c>
      <c r="L388" s="133">
        <v>0</v>
      </c>
      <c r="M388" s="133">
        <v>0</v>
      </c>
      <c r="N388" s="133">
        <v>0</v>
      </c>
      <c r="O388" s="133">
        <v>0</v>
      </c>
      <c r="P388" s="146">
        <v>0</v>
      </c>
    </row>
    <row r="389" spans="1:18" ht="15.75" thickBot="1" x14ac:dyDescent="0.3">
      <c r="C389" s="143" t="s">
        <v>85</v>
      </c>
      <c r="D389" s="132">
        <v>532</v>
      </c>
      <c r="E389" s="132">
        <v>240</v>
      </c>
      <c r="F389" s="132">
        <f t="shared" si="8"/>
        <v>462</v>
      </c>
      <c r="G389" s="132">
        <v>70</v>
      </c>
      <c r="H389" s="132">
        <v>29</v>
      </c>
      <c r="I389" s="132">
        <v>459</v>
      </c>
      <c r="J389" s="132">
        <v>208</v>
      </c>
      <c r="K389" s="132">
        <v>57</v>
      </c>
      <c r="L389" s="132">
        <v>22</v>
      </c>
      <c r="M389" s="132">
        <v>73</v>
      </c>
      <c r="N389" s="132">
        <v>32</v>
      </c>
      <c r="O389" s="132">
        <v>13</v>
      </c>
      <c r="P389" s="144">
        <v>7</v>
      </c>
    </row>
    <row r="390" spans="1:18" ht="15.75" thickBot="1" x14ac:dyDescent="0.3">
      <c r="C390" s="145" t="s">
        <v>86</v>
      </c>
      <c r="D390" s="133">
        <v>174</v>
      </c>
      <c r="E390" s="133">
        <v>65</v>
      </c>
      <c r="F390" s="132">
        <f t="shared" si="8"/>
        <v>132</v>
      </c>
      <c r="G390" s="133">
        <v>42</v>
      </c>
      <c r="H390" s="133">
        <v>17</v>
      </c>
      <c r="I390" s="133">
        <v>156</v>
      </c>
      <c r="J390" s="133">
        <v>58</v>
      </c>
      <c r="K390" s="133">
        <v>36</v>
      </c>
      <c r="L390" s="133">
        <v>16</v>
      </c>
      <c r="M390" s="133">
        <v>18</v>
      </c>
      <c r="N390" s="133">
        <v>7</v>
      </c>
      <c r="O390" s="133">
        <v>6</v>
      </c>
      <c r="P390" s="146">
        <v>1</v>
      </c>
    </row>
    <row r="391" spans="1:18" ht="15.75" thickBot="1" x14ac:dyDescent="0.3">
      <c r="A391" s="171">
        <v>403</v>
      </c>
      <c r="B391" t="s">
        <v>229</v>
      </c>
      <c r="C391" s="143" t="s">
        <v>87</v>
      </c>
      <c r="D391" s="132">
        <v>90</v>
      </c>
      <c r="E391" s="132">
        <v>29</v>
      </c>
      <c r="F391" s="132">
        <f t="shared" si="8"/>
        <v>61</v>
      </c>
      <c r="G391" s="132">
        <v>29</v>
      </c>
      <c r="H391" s="132">
        <v>11</v>
      </c>
      <c r="I391" s="132">
        <v>87</v>
      </c>
      <c r="J391" s="132">
        <v>27</v>
      </c>
      <c r="K391" s="132">
        <v>29</v>
      </c>
      <c r="L391" s="132">
        <v>11</v>
      </c>
      <c r="M391" s="132">
        <v>3</v>
      </c>
      <c r="N391" s="132">
        <v>2</v>
      </c>
      <c r="O391" s="132">
        <v>0</v>
      </c>
      <c r="P391" s="144">
        <v>0</v>
      </c>
      <c r="Q391">
        <f>G391/G386</f>
        <v>0.19078947368421054</v>
      </c>
      <c r="R391">
        <f>F391/F386</f>
        <v>5.8994197292069631E-2</v>
      </c>
    </row>
    <row r="392" spans="1:18" ht="15.75" thickBot="1" x14ac:dyDescent="0.3">
      <c r="C392" s="145" t="s">
        <v>153</v>
      </c>
      <c r="D392" s="133">
        <v>33</v>
      </c>
      <c r="E392" s="133">
        <v>12</v>
      </c>
      <c r="F392" s="132">
        <f t="shared" si="8"/>
        <v>24</v>
      </c>
      <c r="G392" s="133">
        <v>9</v>
      </c>
      <c r="H392" s="133">
        <v>6</v>
      </c>
      <c r="I392" s="133">
        <v>33</v>
      </c>
      <c r="J392" s="133">
        <v>12</v>
      </c>
      <c r="K392" s="133">
        <v>9</v>
      </c>
      <c r="L392" s="133">
        <v>6</v>
      </c>
      <c r="M392" s="133">
        <v>0</v>
      </c>
      <c r="N392" s="133">
        <v>0</v>
      </c>
      <c r="O392" s="133">
        <v>0</v>
      </c>
      <c r="P392" s="146">
        <v>0</v>
      </c>
    </row>
    <row r="393" spans="1:18" ht="15.75" thickBot="1" x14ac:dyDescent="0.3">
      <c r="C393" s="143" t="s">
        <v>154</v>
      </c>
      <c r="D393" s="132">
        <v>17</v>
      </c>
      <c r="E393" s="132">
        <v>8</v>
      </c>
      <c r="F393" s="132">
        <f t="shared" si="8"/>
        <v>16</v>
      </c>
      <c r="G393" s="132">
        <v>1</v>
      </c>
      <c r="H393" s="132">
        <v>1</v>
      </c>
      <c r="I393" s="132">
        <v>14</v>
      </c>
      <c r="J393" s="132">
        <v>6</v>
      </c>
      <c r="K393" s="132">
        <v>1</v>
      </c>
      <c r="L393" s="132">
        <v>1</v>
      </c>
      <c r="M393" s="132">
        <v>3</v>
      </c>
      <c r="N393" s="132">
        <v>2</v>
      </c>
      <c r="O393" s="132">
        <v>0</v>
      </c>
      <c r="P393" s="144">
        <v>0</v>
      </c>
    </row>
    <row r="394" spans="1:18" ht="15.75" thickBot="1" x14ac:dyDescent="0.3">
      <c r="C394" s="156" t="s">
        <v>124</v>
      </c>
      <c r="D394" s="157"/>
      <c r="E394" s="157"/>
      <c r="F394" s="132">
        <f t="shared" si="8"/>
        <v>0</v>
      </c>
      <c r="G394" s="157"/>
      <c r="H394" s="157"/>
      <c r="I394" s="157"/>
      <c r="J394" s="157"/>
      <c r="K394" s="157"/>
      <c r="L394" s="157"/>
      <c r="M394" s="157"/>
      <c r="N394" s="157"/>
      <c r="O394" s="157"/>
      <c r="P394" s="158"/>
    </row>
    <row r="395" spans="1:18" ht="15.75" thickBot="1" x14ac:dyDescent="0.3">
      <c r="C395" s="153"/>
      <c r="D395" s="154"/>
      <c r="E395" s="154"/>
      <c r="F395" s="132">
        <f t="shared" si="8"/>
        <v>0</v>
      </c>
      <c r="G395" s="154"/>
      <c r="H395" s="154"/>
      <c r="I395" s="154"/>
      <c r="J395" s="154"/>
      <c r="K395" s="154"/>
      <c r="L395" s="154"/>
      <c r="M395" s="154"/>
      <c r="N395" s="154"/>
      <c r="O395" s="154"/>
      <c r="P395" s="155"/>
    </row>
    <row r="396" spans="1:18" ht="15.75" thickBot="1" x14ac:dyDescent="0.3">
      <c r="C396" s="145" t="s">
        <v>83</v>
      </c>
      <c r="D396" s="133">
        <v>1474</v>
      </c>
      <c r="E396" s="133">
        <v>749</v>
      </c>
      <c r="F396" s="132">
        <f t="shared" si="8"/>
        <v>1277</v>
      </c>
      <c r="G396" s="133">
        <v>197</v>
      </c>
      <c r="H396" s="133">
        <v>102</v>
      </c>
      <c r="I396" s="133">
        <v>1117</v>
      </c>
      <c r="J396" s="133">
        <v>556</v>
      </c>
      <c r="K396" s="133">
        <v>188</v>
      </c>
      <c r="L396" s="133">
        <v>95</v>
      </c>
      <c r="M396" s="133">
        <v>357</v>
      </c>
      <c r="N396" s="133">
        <v>193</v>
      </c>
      <c r="O396" s="133">
        <v>9</v>
      </c>
      <c r="P396" s="146">
        <v>7</v>
      </c>
    </row>
    <row r="397" spans="1:18" ht="15.75" thickBot="1" x14ac:dyDescent="0.3">
      <c r="C397" s="143" t="s">
        <v>151</v>
      </c>
      <c r="D397" s="132">
        <v>324</v>
      </c>
      <c r="E397" s="132">
        <v>188</v>
      </c>
      <c r="F397" s="132">
        <f t="shared" si="8"/>
        <v>301</v>
      </c>
      <c r="G397" s="132">
        <v>23</v>
      </c>
      <c r="H397" s="132">
        <v>13</v>
      </c>
      <c r="I397" s="132">
        <v>255</v>
      </c>
      <c r="J397" s="132">
        <v>147</v>
      </c>
      <c r="K397" s="132">
        <v>23</v>
      </c>
      <c r="L397" s="132">
        <v>13</v>
      </c>
      <c r="M397" s="132">
        <v>69</v>
      </c>
      <c r="N397" s="132">
        <v>41</v>
      </c>
      <c r="O397" s="132">
        <v>0</v>
      </c>
      <c r="P397" s="144">
        <v>0</v>
      </c>
    </row>
    <row r="398" spans="1:18" ht="15.75" thickBot="1" x14ac:dyDescent="0.3">
      <c r="C398" s="145" t="s">
        <v>152</v>
      </c>
      <c r="D398" s="133">
        <v>96</v>
      </c>
      <c r="E398" s="133">
        <v>54</v>
      </c>
      <c r="F398" s="132">
        <f t="shared" si="8"/>
        <v>87</v>
      </c>
      <c r="G398" s="133">
        <v>9</v>
      </c>
      <c r="H398" s="133">
        <v>4</v>
      </c>
      <c r="I398" s="133">
        <v>87</v>
      </c>
      <c r="J398" s="133">
        <v>48</v>
      </c>
      <c r="K398" s="133">
        <v>9</v>
      </c>
      <c r="L398" s="133">
        <v>4</v>
      </c>
      <c r="M398" s="133">
        <v>9</v>
      </c>
      <c r="N398" s="133">
        <v>6</v>
      </c>
      <c r="O398" s="133">
        <v>0</v>
      </c>
      <c r="P398" s="146">
        <v>0</v>
      </c>
    </row>
    <row r="399" spans="1:18" ht="15.75" thickBot="1" x14ac:dyDescent="0.3">
      <c r="C399" s="143" t="s">
        <v>85</v>
      </c>
      <c r="D399" s="132">
        <v>809</v>
      </c>
      <c r="E399" s="132">
        <v>411</v>
      </c>
      <c r="F399" s="132">
        <f t="shared" si="8"/>
        <v>712</v>
      </c>
      <c r="G399" s="132">
        <v>97</v>
      </c>
      <c r="H399" s="132">
        <v>57</v>
      </c>
      <c r="I399" s="132">
        <v>558</v>
      </c>
      <c r="J399" s="132">
        <v>278</v>
      </c>
      <c r="K399" s="132">
        <v>91</v>
      </c>
      <c r="L399" s="132">
        <v>52</v>
      </c>
      <c r="M399" s="132">
        <v>251</v>
      </c>
      <c r="N399" s="132">
        <v>133</v>
      </c>
      <c r="O399" s="132">
        <v>6</v>
      </c>
      <c r="P399" s="144">
        <v>5</v>
      </c>
    </row>
    <row r="400" spans="1:18" ht="15.75" thickBot="1" x14ac:dyDescent="0.3">
      <c r="C400" s="145" t="s">
        <v>86</v>
      </c>
      <c r="D400" s="133">
        <v>147</v>
      </c>
      <c r="E400" s="133">
        <v>56</v>
      </c>
      <c r="F400" s="132">
        <f t="shared" si="8"/>
        <v>115</v>
      </c>
      <c r="G400" s="133">
        <v>32</v>
      </c>
      <c r="H400" s="133">
        <v>10</v>
      </c>
      <c r="I400" s="133">
        <v>124</v>
      </c>
      <c r="J400" s="133">
        <v>45</v>
      </c>
      <c r="K400" s="133">
        <v>31</v>
      </c>
      <c r="L400" s="133">
        <v>10</v>
      </c>
      <c r="M400" s="133">
        <v>23</v>
      </c>
      <c r="N400" s="133">
        <v>11</v>
      </c>
      <c r="O400" s="133">
        <v>1</v>
      </c>
      <c r="P400" s="146">
        <v>0</v>
      </c>
    </row>
    <row r="401" spans="1:18" ht="15.75" thickBot="1" x14ac:dyDescent="0.3">
      <c r="A401" s="171">
        <v>404</v>
      </c>
      <c r="B401" t="s">
        <v>230</v>
      </c>
      <c r="C401" s="143" t="s">
        <v>87</v>
      </c>
      <c r="D401" s="132">
        <v>98</v>
      </c>
      <c r="E401" s="132">
        <v>40</v>
      </c>
      <c r="F401" s="132">
        <f t="shared" si="8"/>
        <v>62</v>
      </c>
      <c r="G401" s="132">
        <v>36</v>
      </c>
      <c r="H401" s="132">
        <v>18</v>
      </c>
      <c r="I401" s="132">
        <v>93</v>
      </c>
      <c r="J401" s="132">
        <v>38</v>
      </c>
      <c r="K401" s="132">
        <v>34</v>
      </c>
      <c r="L401" s="132">
        <v>16</v>
      </c>
      <c r="M401" s="132">
        <v>5</v>
      </c>
      <c r="N401" s="132">
        <v>2</v>
      </c>
      <c r="O401" s="132">
        <v>2</v>
      </c>
      <c r="P401" s="144">
        <v>2</v>
      </c>
      <c r="Q401">
        <f>G401/G396</f>
        <v>0.18274111675126903</v>
      </c>
      <c r="R401">
        <f>F401/F396</f>
        <v>4.8551292090837903E-2</v>
      </c>
    </row>
    <row r="402" spans="1:18" ht="15.75" thickBot="1" x14ac:dyDescent="0.3">
      <c r="C402" s="145" t="s">
        <v>153</v>
      </c>
      <c r="D402" s="133">
        <v>24</v>
      </c>
      <c r="E402" s="133">
        <v>13</v>
      </c>
      <c r="F402" s="132">
        <f t="shared" si="8"/>
        <v>17</v>
      </c>
      <c r="G402" s="133">
        <v>7</v>
      </c>
      <c r="H402" s="133">
        <v>5</v>
      </c>
      <c r="I402" s="133">
        <v>24</v>
      </c>
      <c r="J402" s="133">
        <v>13</v>
      </c>
      <c r="K402" s="133">
        <v>7</v>
      </c>
      <c r="L402" s="133">
        <v>5</v>
      </c>
      <c r="M402" s="133">
        <v>0</v>
      </c>
      <c r="N402" s="133">
        <v>0</v>
      </c>
      <c r="O402" s="133">
        <v>0</v>
      </c>
      <c r="P402" s="146">
        <v>0</v>
      </c>
    </row>
    <row r="403" spans="1:18" ht="15.75" thickBot="1" x14ac:dyDescent="0.3">
      <c r="C403" s="143" t="s">
        <v>154</v>
      </c>
      <c r="D403" s="132">
        <v>31</v>
      </c>
      <c r="E403" s="132">
        <v>11</v>
      </c>
      <c r="F403" s="132">
        <f t="shared" si="8"/>
        <v>25</v>
      </c>
      <c r="G403" s="132">
        <v>6</v>
      </c>
      <c r="H403" s="132">
        <v>4</v>
      </c>
      <c r="I403" s="132">
        <v>31</v>
      </c>
      <c r="J403" s="132">
        <v>11</v>
      </c>
      <c r="K403" s="132">
        <v>6</v>
      </c>
      <c r="L403" s="132">
        <v>4</v>
      </c>
      <c r="M403" s="132">
        <v>0</v>
      </c>
      <c r="N403" s="132">
        <v>0</v>
      </c>
      <c r="O403" s="132">
        <v>0</v>
      </c>
      <c r="P403" s="144">
        <v>0</v>
      </c>
    </row>
    <row r="404" spans="1:18" ht="15.75" thickBot="1" x14ac:dyDescent="0.3">
      <c r="C404" s="156" t="s">
        <v>125</v>
      </c>
      <c r="D404" s="157"/>
      <c r="E404" s="157"/>
      <c r="F404" s="132">
        <f t="shared" si="8"/>
        <v>0</v>
      </c>
      <c r="G404" s="157"/>
      <c r="H404" s="157"/>
      <c r="I404" s="157"/>
      <c r="J404" s="157"/>
      <c r="K404" s="157"/>
      <c r="L404" s="157"/>
      <c r="M404" s="157"/>
      <c r="N404" s="157"/>
      <c r="O404" s="157"/>
      <c r="P404" s="158"/>
    </row>
    <row r="405" spans="1:18" ht="15.75" thickBot="1" x14ac:dyDescent="0.3">
      <c r="C405" s="153"/>
      <c r="D405" s="154"/>
      <c r="E405" s="154"/>
      <c r="F405" s="132">
        <f t="shared" si="8"/>
        <v>0</v>
      </c>
      <c r="G405" s="154"/>
      <c r="H405" s="154"/>
      <c r="I405" s="154"/>
      <c r="J405" s="154"/>
      <c r="K405" s="154"/>
      <c r="L405" s="154"/>
      <c r="M405" s="154"/>
      <c r="N405" s="154"/>
      <c r="O405" s="154"/>
      <c r="P405" s="155"/>
    </row>
    <row r="406" spans="1:18" ht="15.75" thickBot="1" x14ac:dyDescent="0.3">
      <c r="C406" s="145" t="s">
        <v>83</v>
      </c>
      <c r="D406" s="133">
        <v>520</v>
      </c>
      <c r="E406" s="133">
        <v>244</v>
      </c>
      <c r="F406" s="132">
        <f t="shared" si="8"/>
        <v>474</v>
      </c>
      <c r="G406" s="133">
        <v>46</v>
      </c>
      <c r="H406" s="133">
        <v>21</v>
      </c>
      <c r="I406" s="133">
        <v>455</v>
      </c>
      <c r="J406" s="133">
        <v>219</v>
      </c>
      <c r="K406" s="133">
        <v>38</v>
      </c>
      <c r="L406" s="133">
        <v>20</v>
      </c>
      <c r="M406" s="133">
        <v>65</v>
      </c>
      <c r="N406" s="133">
        <v>25</v>
      </c>
      <c r="O406" s="133">
        <v>8</v>
      </c>
      <c r="P406" s="146">
        <v>1</v>
      </c>
    </row>
    <row r="407" spans="1:18" ht="15.75" thickBot="1" x14ac:dyDescent="0.3">
      <c r="C407" s="143" t="s">
        <v>151</v>
      </c>
      <c r="D407" s="132">
        <v>115</v>
      </c>
      <c r="E407" s="132">
        <v>62</v>
      </c>
      <c r="F407" s="132">
        <f t="shared" si="8"/>
        <v>113</v>
      </c>
      <c r="G407" s="132">
        <v>2</v>
      </c>
      <c r="H407" s="132">
        <v>0</v>
      </c>
      <c r="I407" s="132">
        <v>115</v>
      </c>
      <c r="J407" s="132">
        <v>62</v>
      </c>
      <c r="K407" s="132">
        <v>2</v>
      </c>
      <c r="L407" s="132">
        <v>0</v>
      </c>
      <c r="M407" s="132">
        <v>0</v>
      </c>
      <c r="N407" s="132">
        <v>0</v>
      </c>
      <c r="O407" s="132">
        <v>0</v>
      </c>
      <c r="P407" s="144">
        <v>0</v>
      </c>
    </row>
    <row r="408" spans="1:18" ht="15.75" thickBot="1" x14ac:dyDescent="0.3">
      <c r="C408" s="145" t="s">
        <v>152</v>
      </c>
      <c r="D408" s="133">
        <v>19</v>
      </c>
      <c r="E408" s="133">
        <v>12</v>
      </c>
      <c r="F408" s="132">
        <f t="shared" si="8"/>
        <v>19</v>
      </c>
      <c r="G408" s="133">
        <v>0</v>
      </c>
      <c r="H408" s="133">
        <v>0</v>
      </c>
      <c r="I408" s="133">
        <v>17</v>
      </c>
      <c r="J408" s="133">
        <v>10</v>
      </c>
      <c r="K408" s="133">
        <v>0</v>
      </c>
      <c r="L408" s="133">
        <v>0</v>
      </c>
      <c r="M408" s="133">
        <v>2</v>
      </c>
      <c r="N408" s="133">
        <v>2</v>
      </c>
      <c r="O408" s="133">
        <v>0</v>
      </c>
      <c r="P408" s="146">
        <v>0</v>
      </c>
    </row>
    <row r="409" spans="1:18" ht="15.75" thickBot="1" x14ac:dyDescent="0.3">
      <c r="C409" s="143" t="s">
        <v>85</v>
      </c>
      <c r="D409" s="132">
        <v>243</v>
      </c>
      <c r="E409" s="132">
        <v>116</v>
      </c>
      <c r="F409" s="132">
        <f t="shared" si="8"/>
        <v>222</v>
      </c>
      <c r="G409" s="132">
        <v>21</v>
      </c>
      <c r="H409" s="132">
        <v>9</v>
      </c>
      <c r="I409" s="132">
        <v>196</v>
      </c>
      <c r="J409" s="132">
        <v>97</v>
      </c>
      <c r="K409" s="132">
        <v>15</v>
      </c>
      <c r="L409" s="132">
        <v>8</v>
      </c>
      <c r="M409" s="132">
        <v>47</v>
      </c>
      <c r="N409" s="132">
        <v>19</v>
      </c>
      <c r="O409" s="132">
        <v>6</v>
      </c>
      <c r="P409" s="144">
        <v>1</v>
      </c>
    </row>
    <row r="410" spans="1:18" ht="15.75" thickBot="1" x14ac:dyDescent="0.3">
      <c r="C410" s="145" t="s">
        <v>86</v>
      </c>
      <c r="D410" s="133">
        <v>105</v>
      </c>
      <c r="E410" s="133">
        <v>37</v>
      </c>
      <c r="F410" s="132">
        <f t="shared" si="8"/>
        <v>90</v>
      </c>
      <c r="G410" s="133">
        <v>15</v>
      </c>
      <c r="H410" s="133">
        <v>7</v>
      </c>
      <c r="I410" s="133">
        <v>93</v>
      </c>
      <c r="J410" s="133">
        <v>35</v>
      </c>
      <c r="K410" s="133">
        <v>13</v>
      </c>
      <c r="L410" s="133">
        <v>7</v>
      </c>
      <c r="M410" s="133">
        <v>12</v>
      </c>
      <c r="N410" s="133">
        <v>2</v>
      </c>
      <c r="O410" s="133">
        <v>2</v>
      </c>
      <c r="P410" s="146">
        <v>0</v>
      </c>
    </row>
    <row r="411" spans="1:18" ht="15.75" thickBot="1" x14ac:dyDescent="0.3">
      <c r="A411" s="171">
        <v>405</v>
      </c>
      <c r="B411" t="s">
        <v>231</v>
      </c>
      <c r="C411" s="143" t="s">
        <v>87</v>
      </c>
      <c r="D411" s="132">
        <v>38</v>
      </c>
      <c r="E411" s="132">
        <v>17</v>
      </c>
      <c r="F411" s="132">
        <f t="shared" si="8"/>
        <v>30</v>
      </c>
      <c r="G411" s="132">
        <v>8</v>
      </c>
      <c r="H411" s="132">
        <v>5</v>
      </c>
      <c r="I411" s="132">
        <v>34</v>
      </c>
      <c r="J411" s="132">
        <v>15</v>
      </c>
      <c r="K411" s="132">
        <v>8</v>
      </c>
      <c r="L411" s="132">
        <v>5</v>
      </c>
      <c r="M411" s="132">
        <v>4</v>
      </c>
      <c r="N411" s="132">
        <v>2</v>
      </c>
      <c r="O411" s="132">
        <v>0</v>
      </c>
      <c r="P411" s="144">
        <v>0</v>
      </c>
      <c r="Q411">
        <f>G411/G406</f>
        <v>0.17391304347826086</v>
      </c>
      <c r="R411">
        <f>F411/F406</f>
        <v>6.3291139240506333E-2</v>
      </c>
    </row>
    <row r="412" spans="1:18" ht="15.75" thickBot="1" x14ac:dyDescent="0.3">
      <c r="C412" s="145" t="s">
        <v>153</v>
      </c>
      <c r="D412" s="133">
        <v>10</v>
      </c>
      <c r="E412" s="133">
        <v>4</v>
      </c>
      <c r="F412" s="132">
        <f t="shared" si="8"/>
        <v>8</v>
      </c>
      <c r="G412" s="133">
        <v>2</v>
      </c>
      <c r="H412" s="133">
        <v>0</v>
      </c>
      <c r="I412" s="133">
        <v>10</v>
      </c>
      <c r="J412" s="133">
        <v>4</v>
      </c>
      <c r="K412" s="133">
        <v>2</v>
      </c>
      <c r="L412" s="133">
        <v>0</v>
      </c>
      <c r="M412" s="133">
        <v>0</v>
      </c>
      <c r="N412" s="133">
        <v>0</v>
      </c>
      <c r="O412" s="133">
        <v>0</v>
      </c>
      <c r="P412" s="146">
        <v>0</v>
      </c>
    </row>
    <row r="413" spans="1:18" ht="15.75" thickBot="1" x14ac:dyDescent="0.3">
      <c r="C413" s="153" t="s">
        <v>126</v>
      </c>
      <c r="D413" s="154"/>
      <c r="E413" s="154"/>
      <c r="F413" s="132">
        <f t="shared" si="8"/>
        <v>0</v>
      </c>
      <c r="G413" s="154"/>
      <c r="H413" s="154"/>
      <c r="I413" s="154"/>
      <c r="J413" s="154"/>
      <c r="K413" s="154"/>
      <c r="L413" s="154"/>
      <c r="M413" s="154"/>
      <c r="N413" s="154"/>
      <c r="O413" s="154"/>
      <c r="P413" s="155"/>
    </row>
    <row r="414" spans="1:18" ht="15.75" thickBot="1" x14ac:dyDescent="0.3">
      <c r="C414" s="156"/>
      <c r="D414" s="157"/>
      <c r="E414" s="157"/>
      <c r="F414" s="132">
        <f t="shared" si="8"/>
        <v>0</v>
      </c>
      <c r="G414" s="157"/>
      <c r="H414" s="157"/>
      <c r="I414" s="157"/>
      <c r="J414" s="157"/>
      <c r="K414" s="157"/>
      <c r="L414" s="157"/>
      <c r="M414" s="157"/>
      <c r="N414" s="157"/>
      <c r="O414" s="157"/>
      <c r="P414" s="158"/>
    </row>
    <row r="415" spans="1:18" ht="15.75" thickBot="1" x14ac:dyDescent="0.3">
      <c r="C415" s="143" t="s">
        <v>83</v>
      </c>
      <c r="D415" s="132">
        <v>896</v>
      </c>
      <c r="E415" s="132">
        <v>422</v>
      </c>
      <c r="F415" s="132">
        <f t="shared" si="8"/>
        <v>821</v>
      </c>
      <c r="G415" s="132">
        <v>75</v>
      </c>
      <c r="H415" s="132">
        <v>32</v>
      </c>
      <c r="I415" s="132">
        <v>881</v>
      </c>
      <c r="J415" s="132">
        <v>416</v>
      </c>
      <c r="K415" s="132">
        <v>75</v>
      </c>
      <c r="L415" s="132">
        <v>32</v>
      </c>
      <c r="M415" s="132">
        <v>15</v>
      </c>
      <c r="N415" s="132">
        <v>6</v>
      </c>
      <c r="O415" s="132">
        <v>0</v>
      </c>
      <c r="P415" s="144">
        <v>0</v>
      </c>
    </row>
    <row r="416" spans="1:18" ht="15.75" thickBot="1" x14ac:dyDescent="0.3">
      <c r="C416" s="145" t="s">
        <v>152</v>
      </c>
      <c r="D416" s="133">
        <v>9</v>
      </c>
      <c r="E416" s="133">
        <v>4</v>
      </c>
      <c r="F416" s="132">
        <f t="shared" si="8"/>
        <v>9</v>
      </c>
      <c r="G416" s="133">
        <v>0</v>
      </c>
      <c r="H416" s="133">
        <v>0</v>
      </c>
      <c r="I416" s="133">
        <v>9</v>
      </c>
      <c r="J416" s="133">
        <v>4</v>
      </c>
      <c r="K416" s="133">
        <v>0</v>
      </c>
      <c r="L416" s="133">
        <v>0</v>
      </c>
      <c r="M416" s="133">
        <v>0</v>
      </c>
      <c r="N416" s="133">
        <v>0</v>
      </c>
      <c r="O416" s="133">
        <v>0</v>
      </c>
      <c r="P416" s="146">
        <v>0</v>
      </c>
    </row>
    <row r="417" spans="1:18" ht="15.75" thickBot="1" x14ac:dyDescent="0.3">
      <c r="C417" s="143" t="s">
        <v>85</v>
      </c>
      <c r="D417" s="132">
        <v>643</v>
      </c>
      <c r="E417" s="132">
        <v>308</v>
      </c>
      <c r="F417" s="132">
        <f t="shared" si="8"/>
        <v>605</v>
      </c>
      <c r="G417" s="132">
        <v>38</v>
      </c>
      <c r="H417" s="132">
        <v>15</v>
      </c>
      <c r="I417" s="132">
        <v>640</v>
      </c>
      <c r="J417" s="132">
        <v>307</v>
      </c>
      <c r="K417" s="132">
        <v>38</v>
      </c>
      <c r="L417" s="132">
        <v>15</v>
      </c>
      <c r="M417" s="132">
        <v>3</v>
      </c>
      <c r="N417" s="132">
        <v>1</v>
      </c>
      <c r="O417" s="132">
        <v>0</v>
      </c>
      <c r="P417" s="144">
        <v>0</v>
      </c>
    </row>
    <row r="418" spans="1:18" ht="15.75" thickBot="1" x14ac:dyDescent="0.3">
      <c r="C418" s="145" t="s">
        <v>86</v>
      </c>
      <c r="D418" s="133">
        <v>189</v>
      </c>
      <c r="E418" s="133">
        <v>85</v>
      </c>
      <c r="F418" s="132">
        <f t="shared" si="8"/>
        <v>161</v>
      </c>
      <c r="G418" s="133">
        <v>28</v>
      </c>
      <c r="H418" s="133">
        <v>11</v>
      </c>
      <c r="I418" s="133">
        <v>184</v>
      </c>
      <c r="J418" s="133">
        <v>82</v>
      </c>
      <c r="K418" s="133">
        <v>28</v>
      </c>
      <c r="L418" s="133">
        <v>11</v>
      </c>
      <c r="M418" s="133">
        <v>5</v>
      </c>
      <c r="N418" s="133">
        <v>3</v>
      </c>
      <c r="O418" s="133">
        <v>0</v>
      </c>
      <c r="P418" s="146">
        <v>0</v>
      </c>
    </row>
    <row r="419" spans="1:18" ht="15.75" thickBot="1" x14ac:dyDescent="0.3">
      <c r="A419" s="170">
        <v>451</v>
      </c>
      <c r="B419" t="s">
        <v>50</v>
      </c>
      <c r="C419" s="143" t="s">
        <v>87</v>
      </c>
      <c r="D419" s="132">
        <v>55</v>
      </c>
      <c r="E419" s="132">
        <v>25</v>
      </c>
      <c r="F419" s="132">
        <f t="shared" si="8"/>
        <v>46</v>
      </c>
      <c r="G419" s="132">
        <v>9</v>
      </c>
      <c r="H419" s="132">
        <v>6</v>
      </c>
      <c r="I419" s="132">
        <v>48</v>
      </c>
      <c r="J419" s="132">
        <v>23</v>
      </c>
      <c r="K419" s="132">
        <v>9</v>
      </c>
      <c r="L419" s="132">
        <v>6</v>
      </c>
      <c r="M419" s="132">
        <v>7</v>
      </c>
      <c r="N419" s="132">
        <v>2</v>
      </c>
      <c r="O419" s="132">
        <v>0</v>
      </c>
      <c r="P419" s="144">
        <v>0</v>
      </c>
    </row>
    <row r="420" spans="1:18" ht="15.75" thickBot="1" x14ac:dyDescent="0.3">
      <c r="C420" s="145" t="s">
        <v>153</v>
      </c>
      <c r="D420" s="133">
        <v>24</v>
      </c>
      <c r="E420" s="133">
        <v>9</v>
      </c>
      <c r="F420" s="132">
        <f t="shared" si="8"/>
        <v>23</v>
      </c>
      <c r="G420" s="133">
        <v>1</v>
      </c>
      <c r="H420" s="133">
        <v>0</v>
      </c>
      <c r="I420" s="133">
        <v>20</v>
      </c>
      <c r="J420" s="133">
        <v>9</v>
      </c>
      <c r="K420" s="133">
        <v>1</v>
      </c>
      <c r="L420" s="133">
        <v>0</v>
      </c>
      <c r="M420" s="133">
        <v>4</v>
      </c>
      <c r="N420" s="133">
        <v>0</v>
      </c>
      <c r="O420" s="133">
        <v>0</v>
      </c>
      <c r="P420" s="146">
        <v>0</v>
      </c>
      <c r="Q420">
        <f>G419/G415</f>
        <v>0.12</v>
      </c>
      <c r="R420">
        <f>F419/F415</f>
        <v>5.6029232643118147E-2</v>
      </c>
    </row>
    <row r="421" spans="1:18" ht="15.75" thickBot="1" x14ac:dyDescent="0.3">
      <c r="C421" s="143" t="s">
        <v>154</v>
      </c>
      <c r="D421" s="132">
        <v>7</v>
      </c>
      <c r="E421" s="132">
        <v>3</v>
      </c>
      <c r="F421" s="132">
        <f t="shared" si="8"/>
        <v>6</v>
      </c>
      <c r="G421" s="132">
        <v>1</v>
      </c>
      <c r="H421" s="132">
        <v>1</v>
      </c>
      <c r="I421" s="132">
        <v>7</v>
      </c>
      <c r="J421" s="132">
        <v>3</v>
      </c>
      <c r="K421" s="132">
        <v>1</v>
      </c>
      <c r="L421" s="132">
        <v>1</v>
      </c>
      <c r="M421" s="132">
        <v>0</v>
      </c>
      <c r="N421" s="132">
        <v>0</v>
      </c>
      <c r="O421" s="132">
        <v>0</v>
      </c>
      <c r="P421" s="144">
        <v>0</v>
      </c>
    </row>
    <row r="422" spans="1:18" ht="15.75" thickBot="1" x14ac:dyDescent="0.3">
      <c r="C422" s="156" t="s">
        <v>127</v>
      </c>
      <c r="D422" s="157"/>
      <c r="E422" s="157"/>
      <c r="F422" s="132">
        <f t="shared" si="8"/>
        <v>0</v>
      </c>
      <c r="G422" s="157"/>
      <c r="H422" s="157"/>
      <c r="I422" s="157"/>
      <c r="J422" s="157"/>
      <c r="K422" s="157"/>
      <c r="L422" s="157"/>
      <c r="M422" s="157"/>
      <c r="N422" s="157"/>
      <c r="O422" s="157"/>
      <c r="P422" s="158"/>
    </row>
    <row r="423" spans="1:18" ht="15.75" thickBot="1" x14ac:dyDescent="0.3">
      <c r="C423" s="153"/>
      <c r="D423" s="154"/>
      <c r="E423" s="154"/>
      <c r="F423" s="132">
        <f t="shared" si="8"/>
        <v>0</v>
      </c>
      <c r="G423" s="154"/>
      <c r="H423" s="154"/>
      <c r="I423" s="154"/>
      <c r="J423" s="154"/>
      <c r="K423" s="154"/>
      <c r="L423" s="154"/>
      <c r="M423" s="154"/>
      <c r="N423" s="154"/>
      <c r="O423" s="154"/>
      <c r="P423" s="155"/>
    </row>
    <row r="424" spans="1:18" ht="15.75" thickBot="1" x14ac:dyDescent="0.3">
      <c r="C424" s="145" t="s">
        <v>83</v>
      </c>
      <c r="D424" s="133">
        <v>1571</v>
      </c>
      <c r="E424" s="133">
        <v>705</v>
      </c>
      <c r="F424" s="132">
        <f t="shared" ref="F424:F487" si="9">D424-G424</f>
        <v>1499</v>
      </c>
      <c r="G424" s="133">
        <v>72</v>
      </c>
      <c r="H424" s="133">
        <v>38</v>
      </c>
      <c r="I424" s="133">
        <v>1552</v>
      </c>
      <c r="J424" s="133">
        <v>703</v>
      </c>
      <c r="K424" s="133">
        <v>72</v>
      </c>
      <c r="L424" s="133">
        <v>38</v>
      </c>
      <c r="M424" s="133">
        <v>19</v>
      </c>
      <c r="N424" s="133">
        <v>2</v>
      </c>
      <c r="O424" s="133">
        <v>0</v>
      </c>
      <c r="P424" s="146">
        <v>0</v>
      </c>
    </row>
    <row r="425" spans="1:18" ht="15.75" thickBot="1" x14ac:dyDescent="0.3">
      <c r="C425" s="143" t="s">
        <v>151</v>
      </c>
      <c r="D425" s="132">
        <v>166</v>
      </c>
      <c r="E425" s="132">
        <v>94</v>
      </c>
      <c r="F425" s="132">
        <f t="shared" si="9"/>
        <v>162</v>
      </c>
      <c r="G425" s="132">
        <v>4</v>
      </c>
      <c r="H425" s="132">
        <v>1</v>
      </c>
      <c r="I425" s="132">
        <v>166</v>
      </c>
      <c r="J425" s="132">
        <v>94</v>
      </c>
      <c r="K425" s="132">
        <v>4</v>
      </c>
      <c r="L425" s="132">
        <v>1</v>
      </c>
      <c r="M425" s="132">
        <v>0</v>
      </c>
      <c r="N425" s="132">
        <v>0</v>
      </c>
      <c r="O425" s="132">
        <v>0</v>
      </c>
      <c r="P425" s="144">
        <v>0</v>
      </c>
    </row>
    <row r="426" spans="1:18" ht="15.75" thickBot="1" x14ac:dyDescent="0.3">
      <c r="C426" s="145" t="s">
        <v>152</v>
      </c>
      <c r="D426" s="133">
        <v>50</v>
      </c>
      <c r="E426" s="133">
        <v>31</v>
      </c>
      <c r="F426" s="132">
        <f t="shared" si="9"/>
        <v>49</v>
      </c>
      <c r="G426" s="133">
        <v>1</v>
      </c>
      <c r="H426" s="133">
        <v>1</v>
      </c>
      <c r="I426" s="133">
        <v>50</v>
      </c>
      <c r="J426" s="133">
        <v>31</v>
      </c>
      <c r="K426" s="133">
        <v>1</v>
      </c>
      <c r="L426" s="133">
        <v>1</v>
      </c>
      <c r="M426" s="133">
        <v>0</v>
      </c>
      <c r="N426" s="133">
        <v>0</v>
      </c>
      <c r="O426" s="133">
        <v>0</v>
      </c>
      <c r="P426" s="146">
        <v>0</v>
      </c>
    </row>
    <row r="427" spans="1:18" ht="15.75" thickBot="1" x14ac:dyDescent="0.3">
      <c r="C427" s="143" t="s">
        <v>85</v>
      </c>
      <c r="D427" s="132">
        <v>923</v>
      </c>
      <c r="E427" s="132">
        <v>410</v>
      </c>
      <c r="F427" s="132">
        <f t="shared" si="9"/>
        <v>893</v>
      </c>
      <c r="G427" s="132">
        <v>30</v>
      </c>
      <c r="H427" s="132">
        <v>18</v>
      </c>
      <c r="I427" s="132">
        <v>920</v>
      </c>
      <c r="J427" s="132">
        <v>410</v>
      </c>
      <c r="K427" s="132">
        <v>30</v>
      </c>
      <c r="L427" s="132">
        <v>18</v>
      </c>
      <c r="M427" s="132">
        <v>3</v>
      </c>
      <c r="N427" s="132">
        <v>0</v>
      </c>
      <c r="O427" s="132">
        <v>0</v>
      </c>
      <c r="P427" s="144">
        <v>0</v>
      </c>
    </row>
    <row r="428" spans="1:18" ht="15.75" thickBot="1" x14ac:dyDescent="0.3">
      <c r="C428" s="145" t="s">
        <v>86</v>
      </c>
      <c r="D428" s="133">
        <v>275</v>
      </c>
      <c r="E428" s="133">
        <v>116</v>
      </c>
      <c r="F428" s="132">
        <f t="shared" si="9"/>
        <v>254</v>
      </c>
      <c r="G428" s="133">
        <v>21</v>
      </c>
      <c r="H428" s="133">
        <v>10</v>
      </c>
      <c r="I428" s="133">
        <v>265</v>
      </c>
      <c r="J428" s="133">
        <v>115</v>
      </c>
      <c r="K428" s="133">
        <v>21</v>
      </c>
      <c r="L428" s="133">
        <v>10</v>
      </c>
      <c r="M428" s="133">
        <v>10</v>
      </c>
      <c r="N428" s="133">
        <v>1</v>
      </c>
      <c r="O428" s="133">
        <v>0</v>
      </c>
      <c r="P428" s="146">
        <v>0</v>
      </c>
    </row>
    <row r="429" spans="1:18" ht="15.75" thickBot="1" x14ac:dyDescent="0.3">
      <c r="A429" s="171">
        <v>452</v>
      </c>
      <c r="B429" t="s">
        <v>51</v>
      </c>
      <c r="C429" s="143" t="s">
        <v>87</v>
      </c>
      <c r="D429" s="132">
        <v>157</v>
      </c>
      <c r="E429" s="132">
        <v>54</v>
      </c>
      <c r="F429" s="132">
        <f t="shared" si="9"/>
        <v>141</v>
      </c>
      <c r="G429" s="132">
        <v>16</v>
      </c>
      <c r="H429" s="132">
        <v>8</v>
      </c>
      <c r="I429" s="132">
        <v>151</v>
      </c>
      <c r="J429" s="132">
        <v>53</v>
      </c>
      <c r="K429" s="132">
        <v>16</v>
      </c>
      <c r="L429" s="132">
        <v>8</v>
      </c>
      <c r="M429" s="132">
        <v>6</v>
      </c>
      <c r="N429" s="132">
        <v>1</v>
      </c>
      <c r="O429" s="132">
        <v>0</v>
      </c>
      <c r="P429" s="144">
        <v>0</v>
      </c>
      <c r="Q429">
        <f>G429/G424</f>
        <v>0.22222222222222221</v>
      </c>
      <c r="R429">
        <f>F429/F424</f>
        <v>9.4062708472314877E-2</v>
      </c>
    </row>
    <row r="430" spans="1:18" ht="15.75" thickBot="1" x14ac:dyDescent="0.3">
      <c r="C430" s="145" t="s">
        <v>153</v>
      </c>
      <c r="D430" s="133">
        <v>77</v>
      </c>
      <c r="E430" s="133">
        <v>29</v>
      </c>
      <c r="F430" s="132">
        <f t="shared" si="9"/>
        <v>75</v>
      </c>
      <c r="G430" s="133">
        <v>2</v>
      </c>
      <c r="H430" s="133">
        <v>2</v>
      </c>
      <c r="I430" s="133">
        <v>76</v>
      </c>
      <c r="J430" s="133">
        <v>29</v>
      </c>
      <c r="K430" s="133">
        <v>2</v>
      </c>
      <c r="L430" s="133">
        <v>2</v>
      </c>
      <c r="M430" s="133">
        <v>1</v>
      </c>
      <c r="N430" s="133">
        <v>0</v>
      </c>
      <c r="O430" s="133">
        <v>0</v>
      </c>
      <c r="P430" s="146">
        <v>0</v>
      </c>
    </row>
    <row r="431" spans="1:18" ht="15.75" thickBot="1" x14ac:dyDescent="0.3">
      <c r="C431" s="143" t="s">
        <v>154</v>
      </c>
      <c r="D431" s="132">
        <v>19</v>
      </c>
      <c r="E431" s="132">
        <v>4</v>
      </c>
      <c r="F431" s="132">
        <f t="shared" si="9"/>
        <v>18</v>
      </c>
      <c r="G431" s="132">
        <v>1</v>
      </c>
      <c r="H431" s="132">
        <v>0</v>
      </c>
      <c r="I431" s="132">
        <v>19</v>
      </c>
      <c r="J431" s="132">
        <v>4</v>
      </c>
      <c r="K431" s="132">
        <v>1</v>
      </c>
      <c r="L431" s="132">
        <v>0</v>
      </c>
      <c r="M431" s="132">
        <v>0</v>
      </c>
      <c r="N431" s="132">
        <v>0</v>
      </c>
      <c r="O431" s="132">
        <v>0</v>
      </c>
      <c r="P431" s="144">
        <v>0</v>
      </c>
    </row>
    <row r="432" spans="1:18" ht="15.75" thickBot="1" x14ac:dyDescent="0.3">
      <c r="C432" s="156" t="s">
        <v>128</v>
      </c>
      <c r="D432" s="157"/>
      <c r="E432" s="157"/>
      <c r="F432" s="132">
        <f t="shared" si="9"/>
        <v>0</v>
      </c>
      <c r="G432" s="157"/>
      <c r="H432" s="157"/>
      <c r="I432" s="157"/>
      <c r="J432" s="157"/>
      <c r="K432" s="157"/>
      <c r="L432" s="157"/>
      <c r="M432" s="157"/>
      <c r="N432" s="157"/>
      <c r="O432" s="157"/>
      <c r="P432" s="158"/>
    </row>
    <row r="433" spans="1:18" ht="15.75" thickBot="1" x14ac:dyDescent="0.3">
      <c r="C433" s="153"/>
      <c r="D433" s="154"/>
      <c r="E433" s="154"/>
      <c r="F433" s="132">
        <f t="shared" si="9"/>
        <v>0</v>
      </c>
      <c r="G433" s="154"/>
      <c r="H433" s="154"/>
      <c r="I433" s="154"/>
      <c r="J433" s="154"/>
      <c r="K433" s="154"/>
      <c r="L433" s="154"/>
      <c r="M433" s="154"/>
      <c r="N433" s="154"/>
      <c r="O433" s="154"/>
      <c r="P433" s="155"/>
    </row>
    <row r="434" spans="1:18" ht="15.75" thickBot="1" x14ac:dyDescent="0.3">
      <c r="C434" s="145" t="s">
        <v>83</v>
      </c>
      <c r="D434" s="133">
        <v>1597</v>
      </c>
      <c r="E434" s="133">
        <v>738</v>
      </c>
      <c r="F434" s="132">
        <f t="shared" si="9"/>
        <v>1456</v>
      </c>
      <c r="G434" s="133">
        <v>141</v>
      </c>
      <c r="H434" s="133">
        <v>73</v>
      </c>
      <c r="I434" s="133">
        <v>1448</v>
      </c>
      <c r="J434" s="133">
        <v>670</v>
      </c>
      <c r="K434" s="133">
        <v>133</v>
      </c>
      <c r="L434" s="133">
        <v>67</v>
      </c>
      <c r="M434" s="133">
        <v>149</v>
      </c>
      <c r="N434" s="133">
        <v>68</v>
      </c>
      <c r="O434" s="133">
        <v>8</v>
      </c>
      <c r="P434" s="146">
        <v>6</v>
      </c>
    </row>
    <row r="435" spans="1:18" ht="15.75" thickBot="1" x14ac:dyDescent="0.3">
      <c r="C435" s="143" t="s">
        <v>151</v>
      </c>
      <c r="D435" s="132">
        <v>1</v>
      </c>
      <c r="E435" s="132">
        <v>1</v>
      </c>
      <c r="F435" s="132">
        <f t="shared" si="9"/>
        <v>1</v>
      </c>
      <c r="G435" s="132">
        <v>0</v>
      </c>
      <c r="H435" s="132">
        <v>0</v>
      </c>
      <c r="I435" s="132">
        <v>1</v>
      </c>
      <c r="J435" s="132">
        <v>1</v>
      </c>
      <c r="K435" s="132">
        <v>0</v>
      </c>
      <c r="L435" s="132">
        <v>0</v>
      </c>
      <c r="M435" s="132">
        <v>0</v>
      </c>
      <c r="N435" s="132">
        <v>0</v>
      </c>
      <c r="O435" s="132">
        <v>0</v>
      </c>
      <c r="P435" s="144">
        <v>0</v>
      </c>
    </row>
    <row r="436" spans="1:18" ht="15.75" thickBot="1" x14ac:dyDescent="0.3">
      <c r="C436" s="145" t="s">
        <v>152</v>
      </c>
      <c r="D436" s="133">
        <v>8</v>
      </c>
      <c r="E436" s="133">
        <v>5</v>
      </c>
      <c r="F436" s="132">
        <f t="shared" si="9"/>
        <v>8</v>
      </c>
      <c r="G436" s="133">
        <v>0</v>
      </c>
      <c r="H436" s="133">
        <v>0</v>
      </c>
      <c r="I436" s="133">
        <v>7</v>
      </c>
      <c r="J436" s="133">
        <v>4</v>
      </c>
      <c r="K436" s="133">
        <v>0</v>
      </c>
      <c r="L436" s="133">
        <v>0</v>
      </c>
      <c r="M436" s="133">
        <v>1</v>
      </c>
      <c r="N436" s="133">
        <v>1</v>
      </c>
      <c r="O436" s="133">
        <v>0</v>
      </c>
      <c r="P436" s="146">
        <v>0</v>
      </c>
    </row>
    <row r="437" spans="1:18" ht="15.75" thickBot="1" x14ac:dyDescent="0.3">
      <c r="C437" s="143" t="s">
        <v>85</v>
      </c>
      <c r="D437" s="132">
        <v>1111</v>
      </c>
      <c r="E437" s="132">
        <v>550</v>
      </c>
      <c r="F437" s="132">
        <f t="shared" si="9"/>
        <v>1047</v>
      </c>
      <c r="G437" s="132">
        <v>64</v>
      </c>
      <c r="H437" s="132">
        <v>37</v>
      </c>
      <c r="I437" s="132">
        <v>985</v>
      </c>
      <c r="J437" s="132">
        <v>493</v>
      </c>
      <c r="K437" s="132">
        <v>58</v>
      </c>
      <c r="L437" s="132">
        <v>33</v>
      </c>
      <c r="M437" s="132">
        <v>126</v>
      </c>
      <c r="N437" s="132">
        <v>57</v>
      </c>
      <c r="O437" s="132">
        <v>6</v>
      </c>
      <c r="P437" s="144">
        <v>4</v>
      </c>
    </row>
    <row r="438" spans="1:18" ht="15.75" thickBot="1" x14ac:dyDescent="0.3">
      <c r="C438" s="145" t="s">
        <v>86</v>
      </c>
      <c r="D438" s="133">
        <v>337</v>
      </c>
      <c r="E438" s="133">
        <v>129</v>
      </c>
      <c r="F438" s="132">
        <f t="shared" si="9"/>
        <v>300</v>
      </c>
      <c r="G438" s="133">
        <v>37</v>
      </c>
      <c r="H438" s="133">
        <v>19</v>
      </c>
      <c r="I438" s="133">
        <v>332</v>
      </c>
      <c r="J438" s="133">
        <v>125</v>
      </c>
      <c r="K438" s="133">
        <v>35</v>
      </c>
      <c r="L438" s="133">
        <v>17</v>
      </c>
      <c r="M438" s="133">
        <v>5</v>
      </c>
      <c r="N438" s="133">
        <v>4</v>
      </c>
      <c r="O438" s="133">
        <v>2</v>
      </c>
      <c r="P438" s="146">
        <v>2</v>
      </c>
    </row>
    <row r="439" spans="1:18" ht="15.75" thickBot="1" x14ac:dyDescent="0.3">
      <c r="A439" s="171">
        <v>453</v>
      </c>
      <c r="B439" t="s">
        <v>52</v>
      </c>
      <c r="C439" s="143" t="s">
        <v>87</v>
      </c>
      <c r="D439" s="132">
        <v>140</v>
      </c>
      <c r="E439" s="132">
        <v>53</v>
      </c>
      <c r="F439" s="132">
        <f t="shared" si="9"/>
        <v>100</v>
      </c>
      <c r="G439" s="132">
        <v>40</v>
      </c>
      <c r="H439" s="132">
        <v>17</v>
      </c>
      <c r="I439" s="132">
        <v>123</v>
      </c>
      <c r="J439" s="132">
        <v>47</v>
      </c>
      <c r="K439" s="132">
        <v>40</v>
      </c>
      <c r="L439" s="132">
        <v>17</v>
      </c>
      <c r="M439" s="132">
        <v>17</v>
      </c>
      <c r="N439" s="132">
        <v>6</v>
      </c>
      <c r="O439" s="132">
        <v>0</v>
      </c>
      <c r="P439" s="144">
        <v>0</v>
      </c>
      <c r="Q439">
        <f>G439/G434</f>
        <v>0.28368794326241137</v>
      </c>
      <c r="R439">
        <f>F439/F434</f>
        <v>6.8681318681318687E-2</v>
      </c>
    </row>
    <row r="440" spans="1:18" ht="15.75" thickBot="1" x14ac:dyDescent="0.3">
      <c r="C440" s="145" t="s">
        <v>153</v>
      </c>
      <c r="D440" s="133">
        <v>38</v>
      </c>
      <c r="E440" s="133">
        <v>13</v>
      </c>
      <c r="F440" s="132">
        <f t="shared" si="9"/>
        <v>33</v>
      </c>
      <c r="G440" s="133">
        <v>5</v>
      </c>
      <c r="H440" s="133">
        <v>2</v>
      </c>
      <c r="I440" s="133">
        <v>37</v>
      </c>
      <c r="J440" s="133">
        <v>13</v>
      </c>
      <c r="K440" s="133">
        <v>5</v>
      </c>
      <c r="L440" s="133">
        <v>2</v>
      </c>
      <c r="M440" s="133">
        <v>1</v>
      </c>
      <c r="N440" s="133">
        <v>0</v>
      </c>
      <c r="O440" s="133">
        <v>0</v>
      </c>
      <c r="P440" s="146">
        <v>0</v>
      </c>
    </row>
    <row r="441" spans="1:18" ht="15.75" thickBot="1" x14ac:dyDescent="0.3">
      <c r="C441" s="143" t="s">
        <v>154</v>
      </c>
      <c r="D441" s="132">
        <v>32</v>
      </c>
      <c r="E441" s="132">
        <v>13</v>
      </c>
      <c r="F441" s="132">
        <f t="shared" si="9"/>
        <v>30</v>
      </c>
      <c r="G441" s="132">
        <v>2</v>
      </c>
      <c r="H441" s="132">
        <v>0</v>
      </c>
      <c r="I441" s="132">
        <v>16</v>
      </c>
      <c r="J441" s="132">
        <v>7</v>
      </c>
      <c r="K441" s="132">
        <v>2</v>
      </c>
      <c r="L441" s="132">
        <v>0</v>
      </c>
      <c r="M441" s="132">
        <v>16</v>
      </c>
      <c r="N441" s="132">
        <v>6</v>
      </c>
      <c r="O441" s="132">
        <v>0</v>
      </c>
      <c r="P441" s="144">
        <v>0</v>
      </c>
    </row>
    <row r="442" spans="1:18" ht="15.75" thickBot="1" x14ac:dyDescent="0.3">
      <c r="C442" s="156" t="s">
        <v>129</v>
      </c>
      <c r="D442" s="157"/>
      <c r="E442" s="157"/>
      <c r="F442" s="132">
        <f t="shared" si="9"/>
        <v>0</v>
      </c>
      <c r="G442" s="157"/>
      <c r="H442" s="157"/>
      <c r="I442" s="157"/>
      <c r="J442" s="157"/>
      <c r="K442" s="157"/>
      <c r="L442" s="157"/>
      <c r="M442" s="157"/>
      <c r="N442" s="157"/>
      <c r="O442" s="157"/>
      <c r="P442" s="158"/>
    </row>
    <row r="443" spans="1:18" ht="15.75" thickBot="1" x14ac:dyDescent="0.3">
      <c r="C443" s="153"/>
      <c r="D443" s="154"/>
      <c r="E443" s="154"/>
      <c r="F443" s="132">
        <f t="shared" si="9"/>
        <v>0</v>
      </c>
      <c r="G443" s="154"/>
      <c r="H443" s="154"/>
      <c r="I443" s="154"/>
      <c r="J443" s="154"/>
      <c r="K443" s="154"/>
      <c r="L443" s="154"/>
      <c r="M443" s="154"/>
      <c r="N443" s="154"/>
      <c r="O443" s="154"/>
      <c r="P443" s="155"/>
    </row>
    <row r="444" spans="1:18" ht="15.75" thickBot="1" x14ac:dyDescent="0.3">
      <c r="C444" s="145" t="s">
        <v>83</v>
      </c>
      <c r="D444" s="133">
        <v>2727</v>
      </c>
      <c r="E444" s="133">
        <v>1253</v>
      </c>
      <c r="F444" s="132">
        <f t="shared" si="9"/>
        <v>2475</v>
      </c>
      <c r="G444" s="133">
        <v>252</v>
      </c>
      <c r="H444" s="133">
        <v>123</v>
      </c>
      <c r="I444" s="133">
        <v>2169</v>
      </c>
      <c r="J444" s="133">
        <v>995</v>
      </c>
      <c r="K444" s="133">
        <v>237</v>
      </c>
      <c r="L444" s="133">
        <v>116</v>
      </c>
      <c r="M444" s="133">
        <v>558</v>
      </c>
      <c r="N444" s="133">
        <v>258</v>
      </c>
      <c r="O444" s="133">
        <v>15</v>
      </c>
      <c r="P444" s="146">
        <v>7</v>
      </c>
    </row>
    <row r="445" spans="1:18" ht="15.75" thickBot="1" x14ac:dyDescent="0.3">
      <c r="C445" s="143" t="s">
        <v>152</v>
      </c>
      <c r="D445" s="132">
        <v>20</v>
      </c>
      <c r="E445" s="132">
        <v>12</v>
      </c>
      <c r="F445" s="132">
        <f t="shared" si="9"/>
        <v>20</v>
      </c>
      <c r="G445" s="132">
        <v>0</v>
      </c>
      <c r="H445" s="132">
        <v>0</v>
      </c>
      <c r="I445" s="132">
        <v>13</v>
      </c>
      <c r="J445" s="132">
        <v>8</v>
      </c>
      <c r="K445" s="132">
        <v>0</v>
      </c>
      <c r="L445" s="132">
        <v>0</v>
      </c>
      <c r="M445" s="132">
        <v>7</v>
      </c>
      <c r="N445" s="132">
        <v>4</v>
      </c>
      <c r="O445" s="132">
        <v>0</v>
      </c>
      <c r="P445" s="144">
        <v>0</v>
      </c>
    </row>
    <row r="446" spans="1:18" ht="15.75" thickBot="1" x14ac:dyDescent="0.3">
      <c r="C446" s="145" t="s">
        <v>85</v>
      </c>
      <c r="D446" s="133">
        <v>1949</v>
      </c>
      <c r="E446" s="133">
        <v>972</v>
      </c>
      <c r="F446" s="132">
        <f t="shared" si="9"/>
        <v>1843</v>
      </c>
      <c r="G446" s="133">
        <v>106</v>
      </c>
      <c r="H446" s="133">
        <v>62</v>
      </c>
      <c r="I446" s="133">
        <v>1535</v>
      </c>
      <c r="J446" s="133">
        <v>762</v>
      </c>
      <c r="K446" s="133">
        <v>102</v>
      </c>
      <c r="L446" s="133">
        <v>59</v>
      </c>
      <c r="M446" s="133">
        <v>414</v>
      </c>
      <c r="N446" s="133">
        <v>210</v>
      </c>
      <c r="O446" s="133">
        <v>4</v>
      </c>
      <c r="P446" s="146">
        <v>3</v>
      </c>
    </row>
    <row r="447" spans="1:18" ht="15.75" thickBot="1" x14ac:dyDescent="0.3">
      <c r="C447" s="143" t="s">
        <v>86</v>
      </c>
      <c r="D447" s="132">
        <v>522</v>
      </c>
      <c r="E447" s="132">
        <v>184</v>
      </c>
      <c r="F447" s="132">
        <f t="shared" si="9"/>
        <v>448</v>
      </c>
      <c r="G447" s="132">
        <v>74</v>
      </c>
      <c r="H447" s="132">
        <v>35</v>
      </c>
      <c r="I447" s="132">
        <v>415</v>
      </c>
      <c r="J447" s="132">
        <v>148</v>
      </c>
      <c r="K447" s="132">
        <v>65</v>
      </c>
      <c r="L447" s="132">
        <v>32</v>
      </c>
      <c r="M447" s="132">
        <v>107</v>
      </c>
      <c r="N447" s="132">
        <v>36</v>
      </c>
      <c r="O447" s="132">
        <v>9</v>
      </c>
      <c r="P447" s="144">
        <v>3</v>
      </c>
    </row>
    <row r="448" spans="1:18" ht="15.75" thickBot="1" x14ac:dyDescent="0.3">
      <c r="A448" s="171">
        <v>454</v>
      </c>
      <c r="B448" t="s">
        <v>53</v>
      </c>
      <c r="C448" s="145" t="s">
        <v>87</v>
      </c>
      <c r="D448" s="133">
        <v>236</v>
      </c>
      <c r="E448" s="133">
        <v>85</v>
      </c>
      <c r="F448" s="132">
        <f t="shared" si="9"/>
        <v>164</v>
      </c>
      <c r="G448" s="133">
        <v>72</v>
      </c>
      <c r="H448" s="133">
        <v>26</v>
      </c>
      <c r="I448" s="133">
        <v>206</v>
      </c>
      <c r="J448" s="133">
        <v>77</v>
      </c>
      <c r="K448" s="133">
        <v>70</v>
      </c>
      <c r="L448" s="133">
        <v>25</v>
      </c>
      <c r="M448" s="133">
        <v>30</v>
      </c>
      <c r="N448" s="133">
        <v>8</v>
      </c>
      <c r="O448" s="133">
        <v>2</v>
      </c>
      <c r="P448" s="146">
        <v>1</v>
      </c>
      <c r="Q448">
        <f>G448/G444</f>
        <v>0.2857142857142857</v>
      </c>
      <c r="R448">
        <f>F448/F444</f>
        <v>6.6262626262626259E-2</v>
      </c>
    </row>
    <row r="449" spans="1:18" ht="15.75" thickBot="1" x14ac:dyDescent="0.3">
      <c r="C449" s="143" t="s">
        <v>153</v>
      </c>
      <c r="D449" s="132">
        <v>109</v>
      </c>
      <c r="E449" s="132">
        <v>44</v>
      </c>
      <c r="F449" s="132">
        <f t="shared" si="9"/>
        <v>98</v>
      </c>
      <c r="G449" s="132">
        <v>11</v>
      </c>
      <c r="H449" s="132">
        <v>3</v>
      </c>
      <c r="I449" s="132">
        <v>102</v>
      </c>
      <c r="J449" s="132">
        <v>42</v>
      </c>
      <c r="K449" s="132">
        <v>11</v>
      </c>
      <c r="L449" s="132">
        <v>3</v>
      </c>
      <c r="M449" s="132">
        <v>7</v>
      </c>
      <c r="N449" s="132">
        <v>2</v>
      </c>
      <c r="O449" s="132">
        <v>0</v>
      </c>
      <c r="P449" s="144">
        <v>0</v>
      </c>
    </row>
    <row r="450" spans="1:18" ht="15.75" thickBot="1" x14ac:dyDescent="0.3">
      <c r="C450" s="156" t="s">
        <v>130</v>
      </c>
      <c r="D450" s="157"/>
      <c r="E450" s="157"/>
      <c r="F450" s="132">
        <f t="shared" si="9"/>
        <v>0</v>
      </c>
      <c r="G450" s="157"/>
      <c r="H450" s="157"/>
      <c r="I450" s="157"/>
      <c r="J450" s="157"/>
      <c r="K450" s="157"/>
      <c r="L450" s="157"/>
      <c r="M450" s="157"/>
      <c r="N450" s="157"/>
      <c r="O450" s="157"/>
      <c r="P450" s="158"/>
    </row>
    <row r="451" spans="1:18" ht="15.75" thickBot="1" x14ac:dyDescent="0.3">
      <c r="C451" s="153"/>
      <c r="D451" s="154"/>
      <c r="E451" s="154"/>
      <c r="F451" s="132">
        <f t="shared" si="9"/>
        <v>0</v>
      </c>
      <c r="G451" s="154"/>
      <c r="H451" s="154"/>
      <c r="I451" s="154"/>
      <c r="J451" s="154"/>
      <c r="K451" s="154"/>
      <c r="L451" s="154"/>
      <c r="M451" s="154"/>
      <c r="N451" s="154"/>
      <c r="O451" s="154"/>
      <c r="P451" s="155"/>
    </row>
    <row r="452" spans="1:18" ht="15.75" thickBot="1" x14ac:dyDescent="0.3">
      <c r="C452" s="145" t="s">
        <v>83</v>
      </c>
      <c r="D452" s="133">
        <v>698</v>
      </c>
      <c r="E452" s="133">
        <v>339</v>
      </c>
      <c r="F452" s="132">
        <f t="shared" si="9"/>
        <v>664</v>
      </c>
      <c r="G452" s="133">
        <v>34</v>
      </c>
      <c r="H452" s="133">
        <v>10</v>
      </c>
      <c r="I452" s="133">
        <v>694</v>
      </c>
      <c r="J452" s="133">
        <v>339</v>
      </c>
      <c r="K452" s="133">
        <v>34</v>
      </c>
      <c r="L452" s="133">
        <v>10</v>
      </c>
      <c r="M452" s="133">
        <v>4</v>
      </c>
      <c r="N452" s="133">
        <v>0</v>
      </c>
      <c r="O452" s="133">
        <v>0</v>
      </c>
      <c r="P452" s="146">
        <v>0</v>
      </c>
    </row>
    <row r="453" spans="1:18" ht="15.75" thickBot="1" x14ac:dyDescent="0.3">
      <c r="C453" s="143" t="s">
        <v>151</v>
      </c>
      <c r="D453" s="132">
        <v>74</v>
      </c>
      <c r="E453" s="132">
        <v>52</v>
      </c>
      <c r="F453" s="132">
        <f t="shared" si="9"/>
        <v>74</v>
      </c>
      <c r="G453" s="132">
        <v>0</v>
      </c>
      <c r="H453" s="132">
        <v>0</v>
      </c>
      <c r="I453" s="132">
        <v>74</v>
      </c>
      <c r="J453" s="132">
        <v>52</v>
      </c>
      <c r="K453" s="132">
        <v>0</v>
      </c>
      <c r="L453" s="132">
        <v>0</v>
      </c>
      <c r="M453" s="132">
        <v>0</v>
      </c>
      <c r="N453" s="132">
        <v>0</v>
      </c>
      <c r="O453" s="132">
        <v>0</v>
      </c>
      <c r="P453" s="144">
        <v>0</v>
      </c>
    </row>
    <row r="454" spans="1:18" ht="15.75" thickBot="1" x14ac:dyDescent="0.3">
      <c r="C454" s="145" t="s">
        <v>152</v>
      </c>
      <c r="D454" s="133">
        <v>11</v>
      </c>
      <c r="E454" s="133">
        <v>6</v>
      </c>
      <c r="F454" s="132">
        <f t="shared" si="9"/>
        <v>10</v>
      </c>
      <c r="G454" s="133">
        <v>1</v>
      </c>
      <c r="H454" s="133">
        <v>0</v>
      </c>
      <c r="I454" s="133">
        <v>11</v>
      </c>
      <c r="J454" s="133">
        <v>6</v>
      </c>
      <c r="K454" s="133">
        <v>1</v>
      </c>
      <c r="L454" s="133">
        <v>0</v>
      </c>
      <c r="M454" s="133">
        <v>0</v>
      </c>
      <c r="N454" s="133">
        <v>0</v>
      </c>
      <c r="O454" s="133">
        <v>0</v>
      </c>
      <c r="P454" s="146">
        <v>0</v>
      </c>
    </row>
    <row r="455" spans="1:18" ht="15.75" thickBot="1" x14ac:dyDescent="0.3">
      <c r="C455" s="143" t="s">
        <v>85</v>
      </c>
      <c r="D455" s="132">
        <v>431</v>
      </c>
      <c r="E455" s="132">
        <v>214</v>
      </c>
      <c r="F455" s="132">
        <f t="shared" si="9"/>
        <v>417</v>
      </c>
      <c r="G455" s="132">
        <v>14</v>
      </c>
      <c r="H455" s="132">
        <v>6</v>
      </c>
      <c r="I455" s="132">
        <v>431</v>
      </c>
      <c r="J455" s="132">
        <v>214</v>
      </c>
      <c r="K455" s="132">
        <v>14</v>
      </c>
      <c r="L455" s="132">
        <v>6</v>
      </c>
      <c r="M455" s="132">
        <v>0</v>
      </c>
      <c r="N455" s="132">
        <v>0</v>
      </c>
      <c r="O455" s="132">
        <v>0</v>
      </c>
      <c r="P455" s="144">
        <v>0</v>
      </c>
    </row>
    <row r="456" spans="1:18" ht="15.75" thickBot="1" x14ac:dyDescent="0.3">
      <c r="C456" s="145" t="s">
        <v>86</v>
      </c>
      <c r="D456" s="133">
        <v>144</v>
      </c>
      <c r="E456" s="133">
        <v>55</v>
      </c>
      <c r="F456" s="132">
        <f t="shared" si="9"/>
        <v>135</v>
      </c>
      <c r="G456" s="133">
        <v>9</v>
      </c>
      <c r="H456" s="133">
        <v>3</v>
      </c>
      <c r="I456" s="133">
        <v>140</v>
      </c>
      <c r="J456" s="133">
        <v>55</v>
      </c>
      <c r="K456" s="133">
        <v>9</v>
      </c>
      <c r="L456" s="133">
        <v>3</v>
      </c>
      <c r="M456" s="133">
        <v>4</v>
      </c>
      <c r="N456" s="133">
        <v>0</v>
      </c>
      <c r="O456" s="133">
        <v>0</v>
      </c>
      <c r="P456" s="146">
        <v>0</v>
      </c>
    </row>
    <row r="457" spans="1:18" ht="15.75" thickBot="1" x14ac:dyDescent="0.3">
      <c r="A457" s="163">
        <v>455</v>
      </c>
      <c r="B457" t="s">
        <v>54</v>
      </c>
      <c r="C457" s="143" t="s">
        <v>87</v>
      </c>
      <c r="D457" s="132">
        <v>38</v>
      </c>
      <c r="E457" s="132">
        <v>12</v>
      </c>
      <c r="F457" s="132">
        <f t="shared" si="9"/>
        <v>28</v>
      </c>
      <c r="G457" s="132">
        <v>10</v>
      </c>
      <c r="H457" s="132">
        <v>1</v>
      </c>
      <c r="I457" s="132">
        <v>38</v>
      </c>
      <c r="J457" s="132">
        <v>12</v>
      </c>
      <c r="K457" s="132">
        <v>10</v>
      </c>
      <c r="L457" s="132">
        <v>1</v>
      </c>
      <c r="M457" s="132">
        <v>0</v>
      </c>
      <c r="N457" s="132">
        <v>0</v>
      </c>
      <c r="O457" s="132">
        <v>0</v>
      </c>
      <c r="P457" s="144">
        <v>0</v>
      </c>
      <c r="Q457">
        <f>G457/G452</f>
        <v>0.29411764705882354</v>
      </c>
      <c r="R457">
        <f>F457/F452</f>
        <v>4.2168674698795178E-2</v>
      </c>
    </row>
    <row r="458" spans="1:18" ht="15.75" thickBot="1" x14ac:dyDescent="0.3">
      <c r="C458" s="145" t="s">
        <v>153</v>
      </c>
      <c r="D458" s="133">
        <v>15</v>
      </c>
      <c r="E458" s="133">
        <v>6</v>
      </c>
      <c r="F458" s="132">
        <f t="shared" si="9"/>
        <v>13</v>
      </c>
      <c r="G458" s="133">
        <v>2</v>
      </c>
      <c r="H458" s="133">
        <v>0</v>
      </c>
      <c r="I458" s="133">
        <v>15</v>
      </c>
      <c r="J458" s="133">
        <v>6</v>
      </c>
      <c r="K458" s="133">
        <v>2</v>
      </c>
      <c r="L458" s="133">
        <v>0</v>
      </c>
      <c r="M458" s="133">
        <v>0</v>
      </c>
      <c r="N458" s="133">
        <v>0</v>
      </c>
      <c r="O458" s="133">
        <v>0</v>
      </c>
      <c r="P458" s="146">
        <v>0</v>
      </c>
    </row>
    <row r="459" spans="1:18" ht="15.75" thickBot="1" x14ac:dyDescent="0.3">
      <c r="C459" s="143" t="s">
        <v>154</v>
      </c>
      <c r="D459" s="132">
        <v>6</v>
      </c>
      <c r="E459" s="132">
        <v>1</v>
      </c>
      <c r="F459" s="132">
        <f t="shared" si="9"/>
        <v>4</v>
      </c>
      <c r="G459" s="132">
        <v>2</v>
      </c>
      <c r="H459" s="132">
        <v>1</v>
      </c>
      <c r="I459" s="132">
        <v>6</v>
      </c>
      <c r="J459" s="132">
        <v>1</v>
      </c>
      <c r="K459" s="132">
        <v>2</v>
      </c>
      <c r="L459" s="132">
        <v>1</v>
      </c>
      <c r="M459" s="132">
        <v>0</v>
      </c>
      <c r="N459" s="132">
        <v>0</v>
      </c>
      <c r="O459" s="132">
        <v>0</v>
      </c>
      <c r="P459" s="144">
        <v>0</v>
      </c>
    </row>
    <row r="460" spans="1:18" ht="15.75" thickBot="1" x14ac:dyDescent="0.3">
      <c r="C460" s="156" t="s">
        <v>131</v>
      </c>
      <c r="D460" s="157"/>
      <c r="E460" s="157"/>
      <c r="F460" s="132">
        <f t="shared" si="9"/>
        <v>0</v>
      </c>
      <c r="G460" s="157"/>
      <c r="H460" s="157"/>
      <c r="I460" s="157"/>
      <c r="J460" s="157"/>
      <c r="K460" s="157"/>
      <c r="L460" s="157"/>
      <c r="M460" s="157"/>
      <c r="N460" s="157"/>
      <c r="O460" s="157"/>
      <c r="P460" s="158"/>
    </row>
    <row r="461" spans="1:18" ht="15.75" thickBot="1" x14ac:dyDescent="0.3">
      <c r="C461" s="153"/>
      <c r="D461" s="154"/>
      <c r="E461" s="154"/>
      <c r="F461" s="132">
        <f t="shared" si="9"/>
        <v>0</v>
      </c>
      <c r="G461" s="154"/>
      <c r="H461" s="154"/>
      <c r="I461" s="154"/>
      <c r="J461" s="154"/>
      <c r="K461" s="154"/>
      <c r="L461" s="154"/>
      <c r="M461" s="154"/>
      <c r="N461" s="154"/>
      <c r="O461" s="154"/>
      <c r="P461" s="155"/>
    </row>
    <row r="462" spans="1:18" ht="15.75" thickBot="1" x14ac:dyDescent="0.3">
      <c r="C462" s="145" t="s">
        <v>83</v>
      </c>
      <c r="D462" s="133">
        <v>1129</v>
      </c>
      <c r="E462" s="133">
        <v>503</v>
      </c>
      <c r="F462" s="132">
        <f t="shared" si="9"/>
        <v>1002</v>
      </c>
      <c r="G462" s="133">
        <v>127</v>
      </c>
      <c r="H462" s="133">
        <v>60</v>
      </c>
      <c r="I462" s="133">
        <v>1089</v>
      </c>
      <c r="J462" s="133">
        <v>486</v>
      </c>
      <c r="K462" s="133">
        <v>124</v>
      </c>
      <c r="L462" s="133">
        <v>57</v>
      </c>
      <c r="M462" s="133">
        <v>40</v>
      </c>
      <c r="N462" s="133">
        <v>17</v>
      </c>
      <c r="O462" s="133">
        <v>3</v>
      </c>
      <c r="P462" s="146">
        <v>3</v>
      </c>
    </row>
    <row r="463" spans="1:18" ht="15.75" thickBot="1" x14ac:dyDescent="0.3">
      <c r="C463" s="143" t="s">
        <v>151</v>
      </c>
      <c r="D463" s="132">
        <v>2</v>
      </c>
      <c r="E463" s="132">
        <v>1</v>
      </c>
      <c r="F463" s="132">
        <f t="shared" si="9"/>
        <v>2</v>
      </c>
      <c r="G463" s="132">
        <v>0</v>
      </c>
      <c r="H463" s="132">
        <v>0</v>
      </c>
      <c r="I463" s="132">
        <v>2</v>
      </c>
      <c r="J463" s="132">
        <v>1</v>
      </c>
      <c r="K463" s="132">
        <v>0</v>
      </c>
      <c r="L463" s="132">
        <v>0</v>
      </c>
      <c r="M463" s="132">
        <v>0</v>
      </c>
      <c r="N463" s="132">
        <v>0</v>
      </c>
      <c r="O463" s="132">
        <v>0</v>
      </c>
      <c r="P463" s="144">
        <v>0</v>
      </c>
    </row>
    <row r="464" spans="1:18" ht="15.75" thickBot="1" x14ac:dyDescent="0.3">
      <c r="C464" s="145" t="s">
        <v>152</v>
      </c>
      <c r="D464" s="133">
        <v>14</v>
      </c>
      <c r="E464" s="133">
        <v>8</v>
      </c>
      <c r="F464" s="132">
        <f t="shared" si="9"/>
        <v>13</v>
      </c>
      <c r="G464" s="133">
        <v>1</v>
      </c>
      <c r="H464" s="133">
        <v>1</v>
      </c>
      <c r="I464" s="133">
        <v>7</v>
      </c>
      <c r="J464" s="133">
        <v>6</v>
      </c>
      <c r="K464" s="133">
        <v>0</v>
      </c>
      <c r="L464" s="133">
        <v>0</v>
      </c>
      <c r="M464" s="133">
        <v>7</v>
      </c>
      <c r="N464" s="133">
        <v>2</v>
      </c>
      <c r="O464" s="133">
        <v>1</v>
      </c>
      <c r="P464" s="146">
        <v>1</v>
      </c>
    </row>
    <row r="465" spans="1:18" ht="15.75" thickBot="1" x14ac:dyDescent="0.3">
      <c r="C465" s="143" t="s">
        <v>85</v>
      </c>
      <c r="D465" s="132">
        <v>792</v>
      </c>
      <c r="E465" s="132">
        <v>374</v>
      </c>
      <c r="F465" s="132">
        <f t="shared" si="9"/>
        <v>728</v>
      </c>
      <c r="G465" s="132">
        <v>64</v>
      </c>
      <c r="H465" s="132">
        <v>28</v>
      </c>
      <c r="I465" s="132">
        <v>772</v>
      </c>
      <c r="J465" s="132">
        <v>363</v>
      </c>
      <c r="K465" s="132">
        <v>64</v>
      </c>
      <c r="L465" s="132">
        <v>28</v>
      </c>
      <c r="M465" s="132">
        <v>20</v>
      </c>
      <c r="N465" s="132">
        <v>11</v>
      </c>
      <c r="O465" s="132">
        <v>0</v>
      </c>
      <c r="P465" s="144">
        <v>0</v>
      </c>
    </row>
    <row r="466" spans="1:18" ht="15.75" thickBot="1" x14ac:dyDescent="0.3">
      <c r="C466" s="145" t="s">
        <v>86</v>
      </c>
      <c r="D466" s="133">
        <v>208</v>
      </c>
      <c r="E466" s="133">
        <v>71</v>
      </c>
      <c r="F466" s="132">
        <f t="shared" si="9"/>
        <v>172</v>
      </c>
      <c r="G466" s="133">
        <v>36</v>
      </c>
      <c r="H466" s="133">
        <v>18</v>
      </c>
      <c r="I466" s="133">
        <v>201</v>
      </c>
      <c r="J466" s="133">
        <v>70</v>
      </c>
      <c r="K466" s="133">
        <v>36</v>
      </c>
      <c r="L466" s="133">
        <v>18</v>
      </c>
      <c r="M466" s="133">
        <v>7</v>
      </c>
      <c r="N466" s="133">
        <v>1</v>
      </c>
      <c r="O466" s="133">
        <v>0</v>
      </c>
      <c r="P466" s="146">
        <v>0</v>
      </c>
    </row>
    <row r="467" spans="1:18" ht="15.75" thickBot="1" x14ac:dyDescent="0.3">
      <c r="A467" s="171">
        <v>456</v>
      </c>
      <c r="B467" t="s">
        <v>55</v>
      </c>
      <c r="C467" s="143" t="s">
        <v>87</v>
      </c>
      <c r="D467" s="132">
        <v>113</v>
      </c>
      <c r="E467" s="132">
        <v>49</v>
      </c>
      <c r="F467" s="132">
        <f t="shared" si="9"/>
        <v>87</v>
      </c>
      <c r="G467" s="132">
        <v>26</v>
      </c>
      <c r="H467" s="132">
        <v>13</v>
      </c>
      <c r="I467" s="132">
        <v>107</v>
      </c>
      <c r="J467" s="132">
        <v>46</v>
      </c>
      <c r="K467" s="132">
        <v>24</v>
      </c>
      <c r="L467" s="132">
        <v>11</v>
      </c>
      <c r="M467" s="132">
        <v>6</v>
      </c>
      <c r="N467" s="132">
        <v>3</v>
      </c>
      <c r="O467" s="132">
        <v>2</v>
      </c>
      <c r="P467" s="144">
        <v>2</v>
      </c>
      <c r="Q467">
        <f>G467/G462</f>
        <v>0.20472440944881889</v>
      </c>
      <c r="R467">
        <f>F467/F462</f>
        <v>8.6826347305389226E-2</v>
      </c>
    </row>
    <row r="468" spans="1:18" ht="15.75" thickBot="1" x14ac:dyDescent="0.3">
      <c r="C468" s="145" t="s">
        <v>153</v>
      </c>
      <c r="D468" s="133">
        <v>60</v>
      </c>
      <c r="E468" s="133">
        <v>27</v>
      </c>
      <c r="F468" s="132">
        <f t="shared" si="9"/>
        <v>54</v>
      </c>
      <c r="G468" s="133">
        <v>6</v>
      </c>
      <c r="H468" s="133">
        <v>3</v>
      </c>
      <c r="I468" s="133">
        <v>58</v>
      </c>
      <c r="J468" s="133">
        <v>27</v>
      </c>
      <c r="K468" s="133">
        <v>6</v>
      </c>
      <c r="L468" s="133">
        <v>3</v>
      </c>
      <c r="M468" s="133">
        <v>2</v>
      </c>
      <c r="N468" s="133">
        <v>0</v>
      </c>
      <c r="O468" s="133">
        <v>0</v>
      </c>
      <c r="P468" s="146">
        <v>0</v>
      </c>
    </row>
    <row r="469" spans="1:18" ht="15.75" thickBot="1" x14ac:dyDescent="0.3">
      <c r="C469" s="143" t="s">
        <v>154</v>
      </c>
      <c r="D469" s="132">
        <v>20</v>
      </c>
      <c r="E469" s="132">
        <v>6</v>
      </c>
      <c r="F469" s="132">
        <f t="shared" si="9"/>
        <v>17</v>
      </c>
      <c r="G469" s="132">
        <v>3</v>
      </c>
      <c r="H469" s="132">
        <v>2</v>
      </c>
      <c r="I469" s="132">
        <v>20</v>
      </c>
      <c r="J469" s="132">
        <v>6</v>
      </c>
      <c r="K469" s="132">
        <v>3</v>
      </c>
      <c r="L469" s="132">
        <v>2</v>
      </c>
      <c r="M469" s="132">
        <v>0</v>
      </c>
      <c r="N469" s="132">
        <v>0</v>
      </c>
      <c r="O469" s="132">
        <v>0</v>
      </c>
      <c r="P469" s="144">
        <v>0</v>
      </c>
    </row>
    <row r="470" spans="1:18" ht="15.75" thickBot="1" x14ac:dyDescent="0.3">
      <c r="C470" s="156" t="s">
        <v>132</v>
      </c>
      <c r="D470" s="157"/>
      <c r="E470" s="157"/>
      <c r="F470" s="132">
        <f t="shared" si="9"/>
        <v>0</v>
      </c>
      <c r="G470" s="157"/>
      <c r="H470" s="157"/>
      <c r="I470" s="157"/>
      <c r="J470" s="157"/>
      <c r="K470" s="157"/>
      <c r="L470" s="157"/>
      <c r="M470" s="157"/>
      <c r="N470" s="157"/>
      <c r="O470" s="157"/>
      <c r="P470" s="158"/>
    </row>
    <row r="471" spans="1:18" ht="15.75" thickBot="1" x14ac:dyDescent="0.3">
      <c r="C471" s="153"/>
      <c r="D471" s="154"/>
      <c r="E471" s="154"/>
      <c r="F471" s="132">
        <f t="shared" si="9"/>
        <v>0</v>
      </c>
      <c r="G471" s="154"/>
      <c r="H471" s="154"/>
      <c r="I471" s="154"/>
      <c r="J471" s="154"/>
      <c r="K471" s="154"/>
      <c r="L471" s="154"/>
      <c r="M471" s="154"/>
      <c r="N471" s="154"/>
      <c r="O471" s="154"/>
      <c r="P471" s="155"/>
    </row>
    <row r="472" spans="1:18" ht="15.75" thickBot="1" x14ac:dyDescent="0.3">
      <c r="C472" s="145" t="s">
        <v>83</v>
      </c>
      <c r="D472" s="133">
        <v>1330</v>
      </c>
      <c r="E472" s="133">
        <v>676</v>
      </c>
      <c r="F472" s="132">
        <f t="shared" si="9"/>
        <v>1225</v>
      </c>
      <c r="G472" s="133">
        <v>105</v>
      </c>
      <c r="H472" s="133">
        <v>60</v>
      </c>
      <c r="I472" s="133">
        <v>1174</v>
      </c>
      <c r="J472" s="133">
        <v>596</v>
      </c>
      <c r="K472" s="133">
        <v>105</v>
      </c>
      <c r="L472" s="133">
        <v>60</v>
      </c>
      <c r="M472" s="133">
        <v>156</v>
      </c>
      <c r="N472" s="133">
        <v>80</v>
      </c>
      <c r="O472" s="133">
        <v>0</v>
      </c>
      <c r="P472" s="146">
        <v>0</v>
      </c>
    </row>
    <row r="473" spans="1:18" ht="15.75" thickBot="1" x14ac:dyDescent="0.3">
      <c r="C473" s="143" t="s">
        <v>151</v>
      </c>
      <c r="D473" s="132">
        <v>93</v>
      </c>
      <c r="E473" s="132">
        <v>58</v>
      </c>
      <c r="F473" s="132">
        <f t="shared" si="9"/>
        <v>92</v>
      </c>
      <c r="G473" s="132">
        <v>1</v>
      </c>
      <c r="H473" s="132">
        <v>1</v>
      </c>
      <c r="I473" s="132">
        <v>40</v>
      </c>
      <c r="J473" s="132">
        <v>25</v>
      </c>
      <c r="K473" s="132">
        <v>1</v>
      </c>
      <c r="L473" s="132">
        <v>1</v>
      </c>
      <c r="M473" s="132">
        <v>53</v>
      </c>
      <c r="N473" s="132">
        <v>33</v>
      </c>
      <c r="O473" s="132">
        <v>0</v>
      </c>
      <c r="P473" s="144">
        <v>0</v>
      </c>
    </row>
    <row r="474" spans="1:18" ht="15.75" thickBot="1" x14ac:dyDescent="0.3">
      <c r="C474" s="145" t="s">
        <v>152</v>
      </c>
      <c r="D474" s="133">
        <v>27</v>
      </c>
      <c r="E474" s="133">
        <v>12</v>
      </c>
      <c r="F474" s="132">
        <f t="shared" si="9"/>
        <v>27</v>
      </c>
      <c r="G474" s="133">
        <v>0</v>
      </c>
      <c r="H474" s="133">
        <v>0</v>
      </c>
      <c r="I474" s="133">
        <v>20</v>
      </c>
      <c r="J474" s="133">
        <v>7</v>
      </c>
      <c r="K474" s="133">
        <v>0</v>
      </c>
      <c r="L474" s="133">
        <v>0</v>
      </c>
      <c r="M474" s="133">
        <v>7</v>
      </c>
      <c r="N474" s="133">
        <v>5</v>
      </c>
      <c r="O474" s="133">
        <v>0</v>
      </c>
      <c r="P474" s="146">
        <v>0</v>
      </c>
    </row>
    <row r="475" spans="1:18" ht="15.75" thickBot="1" x14ac:dyDescent="0.3">
      <c r="C475" s="143" t="s">
        <v>85</v>
      </c>
      <c r="D475" s="132">
        <v>854</v>
      </c>
      <c r="E475" s="132">
        <v>455</v>
      </c>
      <c r="F475" s="132">
        <f t="shared" si="9"/>
        <v>810</v>
      </c>
      <c r="G475" s="132">
        <v>44</v>
      </c>
      <c r="H475" s="132">
        <v>31</v>
      </c>
      <c r="I475" s="132">
        <v>777</v>
      </c>
      <c r="J475" s="132">
        <v>418</v>
      </c>
      <c r="K475" s="132">
        <v>44</v>
      </c>
      <c r="L475" s="132">
        <v>31</v>
      </c>
      <c r="M475" s="132">
        <v>77</v>
      </c>
      <c r="N475" s="132">
        <v>37</v>
      </c>
      <c r="O475" s="132">
        <v>0</v>
      </c>
      <c r="P475" s="144">
        <v>0</v>
      </c>
    </row>
    <row r="476" spans="1:18" ht="15.75" thickBot="1" x14ac:dyDescent="0.3">
      <c r="C476" s="145" t="s">
        <v>86</v>
      </c>
      <c r="D476" s="133">
        <v>235</v>
      </c>
      <c r="E476" s="133">
        <v>97</v>
      </c>
      <c r="F476" s="132">
        <f t="shared" si="9"/>
        <v>206</v>
      </c>
      <c r="G476" s="133">
        <v>29</v>
      </c>
      <c r="H476" s="133">
        <v>14</v>
      </c>
      <c r="I476" s="133">
        <v>220</v>
      </c>
      <c r="J476" s="133">
        <v>93</v>
      </c>
      <c r="K476" s="133">
        <v>29</v>
      </c>
      <c r="L476" s="133">
        <v>14</v>
      </c>
      <c r="M476" s="133">
        <v>15</v>
      </c>
      <c r="N476" s="133">
        <v>4</v>
      </c>
      <c r="O476" s="133">
        <v>0</v>
      </c>
      <c r="P476" s="146">
        <v>0</v>
      </c>
    </row>
    <row r="477" spans="1:18" ht="15.75" thickBot="1" x14ac:dyDescent="0.3">
      <c r="A477" s="171">
        <v>457</v>
      </c>
      <c r="B477" t="s">
        <v>56</v>
      </c>
      <c r="C477" s="143" t="s">
        <v>87</v>
      </c>
      <c r="D477" s="132">
        <v>121</v>
      </c>
      <c r="E477" s="132">
        <v>54</v>
      </c>
      <c r="F477" s="132">
        <f t="shared" si="9"/>
        <v>90</v>
      </c>
      <c r="G477" s="132">
        <v>31</v>
      </c>
      <c r="H477" s="132">
        <v>14</v>
      </c>
      <c r="I477" s="132">
        <v>117</v>
      </c>
      <c r="J477" s="132">
        <v>53</v>
      </c>
      <c r="K477" s="132">
        <v>31</v>
      </c>
      <c r="L477" s="132">
        <v>14</v>
      </c>
      <c r="M477" s="132">
        <v>4</v>
      </c>
      <c r="N477" s="132">
        <v>1</v>
      </c>
      <c r="O477" s="132">
        <v>0</v>
      </c>
      <c r="P477" s="144">
        <v>0</v>
      </c>
      <c r="Q477">
        <f>G477/G472</f>
        <v>0.29523809523809524</v>
      </c>
      <c r="R477">
        <f>F477/F472</f>
        <v>7.3469387755102047E-2</v>
      </c>
    </row>
    <row r="478" spans="1:18" ht="15.75" thickBot="1" x14ac:dyDescent="0.3">
      <c r="C478" s="145" t="s">
        <v>153</v>
      </c>
      <c r="D478" s="133">
        <v>42</v>
      </c>
      <c r="E478" s="133">
        <v>21</v>
      </c>
      <c r="F478" s="132">
        <f t="shared" si="9"/>
        <v>39</v>
      </c>
      <c r="G478" s="133">
        <v>3</v>
      </c>
      <c r="H478" s="133">
        <v>1</v>
      </c>
      <c r="I478" s="133">
        <v>40</v>
      </c>
      <c r="J478" s="133">
        <v>21</v>
      </c>
      <c r="K478" s="133">
        <v>3</v>
      </c>
      <c r="L478" s="133">
        <v>1</v>
      </c>
      <c r="M478" s="133">
        <v>2</v>
      </c>
      <c r="N478" s="133">
        <v>0</v>
      </c>
      <c r="O478" s="133">
        <v>0</v>
      </c>
      <c r="P478" s="146">
        <v>0</v>
      </c>
    </row>
    <row r="479" spans="1:18" ht="15.75" thickBot="1" x14ac:dyDescent="0.3">
      <c r="C479" s="143" t="s">
        <v>154</v>
      </c>
      <c r="D479" s="132">
        <v>28</v>
      </c>
      <c r="E479" s="132">
        <v>13</v>
      </c>
      <c r="F479" s="132">
        <f t="shared" si="9"/>
        <v>24</v>
      </c>
      <c r="G479" s="132">
        <v>4</v>
      </c>
      <c r="H479" s="132">
        <v>2</v>
      </c>
      <c r="I479" s="132">
        <v>27</v>
      </c>
      <c r="J479" s="132">
        <v>12</v>
      </c>
      <c r="K479" s="132">
        <v>4</v>
      </c>
      <c r="L479" s="132">
        <v>2</v>
      </c>
      <c r="M479" s="132">
        <v>1</v>
      </c>
      <c r="N479" s="132">
        <v>1</v>
      </c>
      <c r="O479" s="132">
        <v>0</v>
      </c>
      <c r="P479" s="144">
        <v>0</v>
      </c>
    </row>
    <row r="480" spans="1:18" ht="15.75" thickBot="1" x14ac:dyDescent="0.3">
      <c r="C480" s="156" t="s">
        <v>133</v>
      </c>
      <c r="D480" s="157"/>
      <c r="E480" s="157"/>
      <c r="F480" s="132">
        <f t="shared" si="9"/>
        <v>0</v>
      </c>
      <c r="G480" s="157"/>
      <c r="H480" s="157"/>
      <c r="I480" s="157"/>
      <c r="J480" s="157"/>
      <c r="K480" s="157"/>
      <c r="L480" s="157"/>
      <c r="M480" s="157"/>
      <c r="N480" s="157"/>
      <c r="O480" s="157"/>
      <c r="P480" s="158"/>
    </row>
    <row r="481" spans="1:18" ht="15.75" thickBot="1" x14ac:dyDescent="0.3">
      <c r="C481" s="153"/>
      <c r="D481" s="154"/>
      <c r="E481" s="154"/>
      <c r="F481" s="132">
        <f t="shared" si="9"/>
        <v>0</v>
      </c>
      <c r="G481" s="154"/>
      <c r="H481" s="154"/>
      <c r="I481" s="154"/>
      <c r="J481" s="154"/>
      <c r="K481" s="154"/>
      <c r="L481" s="154"/>
      <c r="M481" s="154"/>
      <c r="N481" s="154"/>
      <c r="O481" s="154"/>
      <c r="P481" s="155"/>
    </row>
    <row r="482" spans="1:18" ht="15.75" thickBot="1" x14ac:dyDescent="0.3">
      <c r="C482" s="145" t="s">
        <v>83</v>
      </c>
      <c r="D482" s="133">
        <v>973</v>
      </c>
      <c r="E482" s="133">
        <v>455</v>
      </c>
      <c r="F482" s="132">
        <f t="shared" si="9"/>
        <v>887</v>
      </c>
      <c r="G482" s="133">
        <v>86</v>
      </c>
      <c r="H482" s="133">
        <v>43</v>
      </c>
      <c r="I482" s="133">
        <v>925</v>
      </c>
      <c r="J482" s="133">
        <v>443</v>
      </c>
      <c r="K482" s="133">
        <v>84</v>
      </c>
      <c r="L482" s="133">
        <v>43</v>
      </c>
      <c r="M482" s="133">
        <v>48</v>
      </c>
      <c r="N482" s="133">
        <v>12</v>
      </c>
      <c r="O482" s="133">
        <v>2</v>
      </c>
      <c r="P482" s="146">
        <v>0</v>
      </c>
    </row>
    <row r="483" spans="1:18" ht="15.75" thickBot="1" x14ac:dyDescent="0.3">
      <c r="C483" s="143" t="s">
        <v>151</v>
      </c>
      <c r="D483" s="132">
        <v>8</v>
      </c>
      <c r="E483" s="132">
        <v>2</v>
      </c>
      <c r="F483" s="132">
        <f t="shared" si="9"/>
        <v>8</v>
      </c>
      <c r="G483" s="132">
        <v>0</v>
      </c>
      <c r="H483" s="132">
        <v>0</v>
      </c>
      <c r="I483" s="132">
        <v>0</v>
      </c>
      <c r="J483" s="132">
        <v>0</v>
      </c>
      <c r="K483" s="132">
        <v>0</v>
      </c>
      <c r="L483" s="132">
        <v>0</v>
      </c>
      <c r="M483" s="132">
        <v>8</v>
      </c>
      <c r="N483" s="132">
        <v>2</v>
      </c>
      <c r="O483" s="132">
        <v>0</v>
      </c>
      <c r="P483" s="144">
        <v>0</v>
      </c>
    </row>
    <row r="484" spans="1:18" ht="15.75" thickBot="1" x14ac:dyDescent="0.3">
      <c r="C484" s="145" t="s">
        <v>152</v>
      </c>
      <c r="D484" s="133">
        <v>7</v>
      </c>
      <c r="E484" s="133">
        <v>6</v>
      </c>
      <c r="F484" s="132">
        <f t="shared" si="9"/>
        <v>7</v>
      </c>
      <c r="G484" s="133">
        <v>0</v>
      </c>
      <c r="H484" s="133">
        <v>0</v>
      </c>
      <c r="I484" s="133">
        <v>7</v>
      </c>
      <c r="J484" s="133">
        <v>6</v>
      </c>
      <c r="K484" s="133">
        <v>0</v>
      </c>
      <c r="L484" s="133">
        <v>0</v>
      </c>
      <c r="M484" s="133">
        <v>0</v>
      </c>
      <c r="N484" s="133">
        <v>0</v>
      </c>
      <c r="O484" s="133">
        <v>0</v>
      </c>
      <c r="P484" s="146">
        <v>0</v>
      </c>
    </row>
    <row r="485" spans="1:18" ht="15.75" thickBot="1" x14ac:dyDescent="0.3">
      <c r="C485" s="143" t="s">
        <v>85</v>
      </c>
      <c r="D485" s="132">
        <v>700</v>
      </c>
      <c r="E485" s="132">
        <v>355</v>
      </c>
      <c r="F485" s="132">
        <f t="shared" si="9"/>
        <v>663</v>
      </c>
      <c r="G485" s="132">
        <v>37</v>
      </c>
      <c r="H485" s="132">
        <v>24</v>
      </c>
      <c r="I485" s="132">
        <v>676</v>
      </c>
      <c r="J485" s="132">
        <v>346</v>
      </c>
      <c r="K485" s="132">
        <v>37</v>
      </c>
      <c r="L485" s="132">
        <v>24</v>
      </c>
      <c r="M485" s="132">
        <v>24</v>
      </c>
      <c r="N485" s="132">
        <v>9</v>
      </c>
      <c r="O485" s="132">
        <v>0</v>
      </c>
      <c r="P485" s="144">
        <v>0</v>
      </c>
    </row>
    <row r="486" spans="1:18" ht="15.75" thickBot="1" x14ac:dyDescent="0.3">
      <c r="C486" s="145" t="s">
        <v>86</v>
      </c>
      <c r="D486" s="133">
        <v>191</v>
      </c>
      <c r="E486" s="133">
        <v>70</v>
      </c>
      <c r="F486" s="132">
        <f t="shared" si="9"/>
        <v>160</v>
      </c>
      <c r="G486" s="133">
        <v>31</v>
      </c>
      <c r="H486" s="133">
        <v>11</v>
      </c>
      <c r="I486" s="133">
        <v>183</v>
      </c>
      <c r="J486" s="133">
        <v>69</v>
      </c>
      <c r="K486" s="133">
        <v>30</v>
      </c>
      <c r="L486" s="133">
        <v>11</v>
      </c>
      <c r="M486" s="133">
        <v>8</v>
      </c>
      <c r="N486" s="133">
        <v>1</v>
      </c>
      <c r="O486" s="133">
        <v>1</v>
      </c>
      <c r="P486" s="146">
        <v>0</v>
      </c>
    </row>
    <row r="487" spans="1:18" ht="15.75" thickBot="1" x14ac:dyDescent="0.3">
      <c r="A487" s="171">
        <v>458</v>
      </c>
      <c r="B487" t="s">
        <v>57</v>
      </c>
      <c r="C487" s="143" t="s">
        <v>87</v>
      </c>
      <c r="D487" s="132">
        <v>67</v>
      </c>
      <c r="E487" s="132">
        <v>22</v>
      </c>
      <c r="F487" s="132">
        <f t="shared" si="9"/>
        <v>49</v>
      </c>
      <c r="G487" s="132">
        <v>18</v>
      </c>
      <c r="H487" s="132">
        <v>8</v>
      </c>
      <c r="I487" s="132">
        <v>59</v>
      </c>
      <c r="J487" s="132">
        <v>22</v>
      </c>
      <c r="K487" s="132">
        <v>17</v>
      </c>
      <c r="L487" s="132">
        <v>8</v>
      </c>
      <c r="M487" s="132">
        <v>8</v>
      </c>
      <c r="N487" s="132">
        <v>0</v>
      </c>
      <c r="O487" s="132">
        <v>1</v>
      </c>
      <c r="P487" s="144">
        <v>0</v>
      </c>
      <c r="Q487">
        <f>G487/G482</f>
        <v>0.20930232558139536</v>
      </c>
      <c r="R487">
        <f>F487/F482</f>
        <v>5.5242390078917701E-2</v>
      </c>
    </row>
    <row r="488" spans="1:18" ht="15.75" thickBot="1" x14ac:dyDescent="0.3">
      <c r="C488" s="145" t="s">
        <v>153</v>
      </c>
      <c r="D488" s="133">
        <v>24</v>
      </c>
      <c r="E488" s="133">
        <v>6</v>
      </c>
      <c r="F488" s="132">
        <f t="shared" ref="F488:F529" si="10">D488-G488</f>
        <v>20</v>
      </c>
      <c r="G488" s="133">
        <v>4</v>
      </c>
      <c r="H488" s="133">
        <v>2</v>
      </c>
      <c r="I488" s="133">
        <v>20</v>
      </c>
      <c r="J488" s="133">
        <v>6</v>
      </c>
      <c r="K488" s="133">
        <v>3</v>
      </c>
      <c r="L488" s="133">
        <v>2</v>
      </c>
      <c r="M488" s="133">
        <v>4</v>
      </c>
      <c r="N488" s="133">
        <v>0</v>
      </c>
      <c r="O488" s="133">
        <v>1</v>
      </c>
      <c r="P488" s="146">
        <v>0</v>
      </c>
    </row>
    <row r="489" spans="1:18" ht="15.75" thickBot="1" x14ac:dyDescent="0.3">
      <c r="C489" s="143" t="s">
        <v>154</v>
      </c>
      <c r="D489" s="132">
        <v>7</v>
      </c>
      <c r="E489" s="132">
        <v>4</v>
      </c>
      <c r="F489" s="132">
        <f t="shared" si="10"/>
        <v>5</v>
      </c>
      <c r="G489" s="132">
        <v>2</v>
      </c>
      <c r="H489" s="132">
        <v>0</v>
      </c>
      <c r="I489" s="132">
        <v>7</v>
      </c>
      <c r="J489" s="132">
        <v>4</v>
      </c>
      <c r="K489" s="132">
        <v>2</v>
      </c>
      <c r="L489" s="132">
        <v>0</v>
      </c>
      <c r="M489" s="132">
        <v>0</v>
      </c>
      <c r="N489" s="132">
        <v>0</v>
      </c>
      <c r="O489" s="132">
        <v>0</v>
      </c>
      <c r="P489" s="144">
        <v>0</v>
      </c>
    </row>
    <row r="490" spans="1:18" ht="15.75" thickBot="1" x14ac:dyDescent="0.3">
      <c r="C490" s="156" t="s">
        <v>134</v>
      </c>
      <c r="D490" s="157"/>
      <c r="E490" s="157"/>
      <c r="F490" s="132">
        <f t="shared" si="10"/>
        <v>0</v>
      </c>
      <c r="G490" s="157"/>
      <c r="H490" s="157"/>
      <c r="I490" s="157"/>
      <c r="J490" s="157"/>
      <c r="K490" s="157"/>
      <c r="L490" s="157"/>
      <c r="M490" s="157"/>
      <c r="N490" s="157"/>
      <c r="O490" s="157"/>
      <c r="P490" s="158"/>
    </row>
    <row r="491" spans="1:18" ht="15.75" thickBot="1" x14ac:dyDescent="0.3">
      <c r="C491" s="153"/>
      <c r="D491" s="154"/>
      <c r="E491" s="154"/>
      <c r="F491" s="132">
        <f t="shared" si="10"/>
        <v>0</v>
      </c>
      <c r="G491" s="154"/>
      <c r="H491" s="154"/>
      <c r="I491" s="154"/>
      <c r="J491" s="154"/>
      <c r="K491" s="154"/>
      <c r="L491" s="154"/>
      <c r="M491" s="154"/>
      <c r="N491" s="154"/>
      <c r="O491" s="154"/>
      <c r="P491" s="155"/>
    </row>
    <row r="492" spans="1:18" ht="15.75" thickBot="1" x14ac:dyDescent="0.3">
      <c r="C492" s="145" t="s">
        <v>83</v>
      </c>
      <c r="D492" s="133">
        <v>2513</v>
      </c>
      <c r="E492" s="133">
        <v>1198</v>
      </c>
      <c r="F492" s="132">
        <f t="shared" si="10"/>
        <v>2280</v>
      </c>
      <c r="G492" s="133">
        <v>233</v>
      </c>
      <c r="H492" s="133">
        <v>119</v>
      </c>
      <c r="I492" s="133">
        <v>2419</v>
      </c>
      <c r="J492" s="133">
        <v>1145</v>
      </c>
      <c r="K492" s="133">
        <v>233</v>
      </c>
      <c r="L492" s="133">
        <v>119</v>
      </c>
      <c r="M492" s="133">
        <v>94</v>
      </c>
      <c r="N492" s="133">
        <v>53</v>
      </c>
      <c r="O492" s="133">
        <v>0</v>
      </c>
      <c r="P492" s="146">
        <v>0</v>
      </c>
    </row>
    <row r="493" spans="1:18" ht="15.75" thickBot="1" x14ac:dyDescent="0.3">
      <c r="C493" s="143" t="s">
        <v>151</v>
      </c>
      <c r="D493" s="132">
        <v>149</v>
      </c>
      <c r="E493" s="132">
        <v>95</v>
      </c>
      <c r="F493" s="132">
        <f t="shared" si="10"/>
        <v>149</v>
      </c>
      <c r="G493" s="132">
        <v>0</v>
      </c>
      <c r="H493" s="132">
        <v>0</v>
      </c>
      <c r="I493" s="132">
        <v>149</v>
      </c>
      <c r="J493" s="132">
        <v>95</v>
      </c>
      <c r="K493" s="132">
        <v>0</v>
      </c>
      <c r="L493" s="132">
        <v>0</v>
      </c>
      <c r="M493" s="132">
        <v>0</v>
      </c>
      <c r="N493" s="132">
        <v>0</v>
      </c>
      <c r="O493" s="132">
        <v>0</v>
      </c>
      <c r="P493" s="144">
        <v>0</v>
      </c>
    </row>
    <row r="494" spans="1:18" ht="15.75" thickBot="1" x14ac:dyDescent="0.3">
      <c r="C494" s="145" t="s">
        <v>152</v>
      </c>
      <c r="D494" s="133">
        <v>56</v>
      </c>
      <c r="E494" s="133">
        <v>26</v>
      </c>
      <c r="F494" s="132">
        <f t="shared" si="10"/>
        <v>55</v>
      </c>
      <c r="G494" s="133">
        <v>1</v>
      </c>
      <c r="H494" s="133">
        <v>1</v>
      </c>
      <c r="I494" s="133">
        <v>56</v>
      </c>
      <c r="J494" s="133">
        <v>26</v>
      </c>
      <c r="K494" s="133">
        <v>1</v>
      </c>
      <c r="L494" s="133">
        <v>1</v>
      </c>
      <c r="M494" s="133">
        <v>0</v>
      </c>
      <c r="N494" s="133">
        <v>0</v>
      </c>
      <c r="O494" s="133">
        <v>0</v>
      </c>
      <c r="P494" s="146">
        <v>0</v>
      </c>
    </row>
    <row r="495" spans="1:18" ht="15.75" thickBot="1" x14ac:dyDescent="0.3">
      <c r="C495" s="143" t="s">
        <v>85</v>
      </c>
      <c r="D495" s="132">
        <v>1589</v>
      </c>
      <c r="E495" s="132">
        <v>772</v>
      </c>
      <c r="F495" s="132">
        <f t="shared" si="10"/>
        <v>1503</v>
      </c>
      <c r="G495" s="132">
        <v>86</v>
      </c>
      <c r="H495" s="132">
        <v>40</v>
      </c>
      <c r="I495" s="132">
        <v>1507</v>
      </c>
      <c r="J495" s="132">
        <v>724</v>
      </c>
      <c r="K495" s="132">
        <v>86</v>
      </c>
      <c r="L495" s="132">
        <v>40</v>
      </c>
      <c r="M495" s="132">
        <v>82</v>
      </c>
      <c r="N495" s="132">
        <v>48</v>
      </c>
      <c r="O495" s="132">
        <v>0</v>
      </c>
      <c r="P495" s="144">
        <v>0</v>
      </c>
    </row>
    <row r="496" spans="1:18" ht="15.75" thickBot="1" x14ac:dyDescent="0.3">
      <c r="C496" s="145" t="s">
        <v>86</v>
      </c>
      <c r="D496" s="133">
        <v>532</v>
      </c>
      <c r="E496" s="133">
        <v>217</v>
      </c>
      <c r="F496" s="132">
        <f t="shared" si="10"/>
        <v>455</v>
      </c>
      <c r="G496" s="133">
        <v>77</v>
      </c>
      <c r="H496" s="133">
        <v>47</v>
      </c>
      <c r="I496" s="133">
        <v>522</v>
      </c>
      <c r="J496" s="133">
        <v>213</v>
      </c>
      <c r="K496" s="133">
        <v>77</v>
      </c>
      <c r="L496" s="133">
        <v>47</v>
      </c>
      <c r="M496" s="133">
        <v>10</v>
      </c>
      <c r="N496" s="133">
        <v>4</v>
      </c>
      <c r="O496" s="133">
        <v>0</v>
      </c>
      <c r="P496" s="146">
        <v>0</v>
      </c>
    </row>
    <row r="497" spans="1:18" ht="15.75" thickBot="1" x14ac:dyDescent="0.3">
      <c r="A497" s="171">
        <v>459</v>
      </c>
      <c r="B497" t="s">
        <v>58</v>
      </c>
      <c r="C497" s="143" t="s">
        <v>87</v>
      </c>
      <c r="D497" s="132">
        <v>187</v>
      </c>
      <c r="E497" s="132">
        <v>88</v>
      </c>
      <c r="F497" s="132">
        <f t="shared" si="10"/>
        <v>118</v>
      </c>
      <c r="G497" s="132">
        <v>69</v>
      </c>
      <c r="H497" s="132">
        <v>31</v>
      </c>
      <c r="I497" s="132">
        <v>185</v>
      </c>
      <c r="J497" s="132">
        <v>87</v>
      </c>
      <c r="K497" s="132">
        <v>69</v>
      </c>
      <c r="L497" s="132">
        <v>31</v>
      </c>
      <c r="M497" s="132">
        <v>2</v>
      </c>
      <c r="N497" s="132">
        <v>1</v>
      </c>
      <c r="O497" s="132">
        <v>0</v>
      </c>
      <c r="P497" s="144">
        <v>0</v>
      </c>
      <c r="Q497">
        <f>G497/G492</f>
        <v>0.29613733905579398</v>
      </c>
      <c r="R497">
        <f>F497/F492</f>
        <v>5.1754385964912282E-2</v>
      </c>
    </row>
    <row r="498" spans="1:18" ht="15.75" thickBot="1" x14ac:dyDescent="0.3">
      <c r="C498" s="145" t="s">
        <v>153</v>
      </c>
      <c r="D498" s="133">
        <v>45</v>
      </c>
      <c r="E498" s="133">
        <v>16</v>
      </c>
      <c r="F498" s="132">
        <f t="shared" si="10"/>
        <v>37</v>
      </c>
      <c r="G498" s="133">
        <v>8</v>
      </c>
      <c r="H498" s="133">
        <v>1</v>
      </c>
      <c r="I498" s="133">
        <v>44</v>
      </c>
      <c r="J498" s="133">
        <v>15</v>
      </c>
      <c r="K498" s="133">
        <v>8</v>
      </c>
      <c r="L498" s="133">
        <v>1</v>
      </c>
      <c r="M498" s="133">
        <v>1</v>
      </c>
      <c r="N498" s="133">
        <v>1</v>
      </c>
      <c r="O498" s="133">
        <v>0</v>
      </c>
      <c r="P498" s="146">
        <v>0</v>
      </c>
    </row>
    <row r="499" spans="1:18" ht="15.75" thickBot="1" x14ac:dyDescent="0.3">
      <c r="C499" s="143" t="s">
        <v>154</v>
      </c>
      <c r="D499" s="132">
        <v>30</v>
      </c>
      <c r="E499" s="132">
        <v>18</v>
      </c>
      <c r="F499" s="132">
        <f t="shared" si="10"/>
        <v>21</v>
      </c>
      <c r="G499" s="132">
        <v>9</v>
      </c>
      <c r="H499" s="132">
        <v>4</v>
      </c>
      <c r="I499" s="132">
        <v>30</v>
      </c>
      <c r="J499" s="132">
        <v>18</v>
      </c>
      <c r="K499" s="132">
        <v>9</v>
      </c>
      <c r="L499" s="132">
        <v>4</v>
      </c>
      <c r="M499" s="132">
        <v>0</v>
      </c>
      <c r="N499" s="132">
        <v>0</v>
      </c>
      <c r="O499" s="132">
        <v>0</v>
      </c>
      <c r="P499" s="144">
        <v>0</v>
      </c>
    </row>
    <row r="500" spans="1:18" ht="15.75" thickBot="1" x14ac:dyDescent="0.3">
      <c r="C500" s="156" t="s">
        <v>135</v>
      </c>
      <c r="D500" s="157"/>
      <c r="E500" s="157"/>
      <c r="F500" s="132">
        <f t="shared" si="10"/>
        <v>0</v>
      </c>
      <c r="G500" s="157"/>
      <c r="H500" s="157"/>
      <c r="I500" s="157"/>
      <c r="J500" s="157"/>
      <c r="K500" s="157"/>
      <c r="L500" s="157"/>
      <c r="M500" s="157"/>
      <c r="N500" s="157"/>
      <c r="O500" s="157"/>
      <c r="P500" s="158"/>
    </row>
    <row r="501" spans="1:18" ht="15.75" thickBot="1" x14ac:dyDescent="0.3">
      <c r="C501" s="153"/>
      <c r="D501" s="154"/>
      <c r="E501" s="154"/>
      <c r="F501" s="132">
        <f t="shared" si="10"/>
        <v>0</v>
      </c>
      <c r="G501" s="154"/>
      <c r="H501" s="154"/>
      <c r="I501" s="154"/>
      <c r="J501" s="154"/>
      <c r="K501" s="154"/>
      <c r="L501" s="154"/>
      <c r="M501" s="154"/>
      <c r="N501" s="154"/>
      <c r="O501" s="154"/>
      <c r="P501" s="155"/>
    </row>
    <row r="502" spans="1:18" ht="15.75" thickBot="1" x14ac:dyDescent="0.3">
      <c r="C502" s="145" t="s">
        <v>83</v>
      </c>
      <c r="D502" s="133">
        <v>1282</v>
      </c>
      <c r="E502" s="133">
        <v>604</v>
      </c>
      <c r="F502" s="132">
        <f t="shared" si="10"/>
        <v>1104</v>
      </c>
      <c r="G502" s="133">
        <v>178</v>
      </c>
      <c r="H502" s="133">
        <v>88</v>
      </c>
      <c r="I502" s="133">
        <v>1143</v>
      </c>
      <c r="J502" s="133">
        <v>541</v>
      </c>
      <c r="K502" s="133">
        <v>166</v>
      </c>
      <c r="L502" s="133">
        <v>80</v>
      </c>
      <c r="M502" s="133">
        <v>139</v>
      </c>
      <c r="N502" s="133">
        <v>63</v>
      </c>
      <c r="O502" s="133">
        <v>12</v>
      </c>
      <c r="P502" s="146">
        <v>8</v>
      </c>
    </row>
    <row r="503" spans="1:18" ht="15.75" thickBot="1" x14ac:dyDescent="0.3">
      <c r="C503" s="143" t="s">
        <v>151</v>
      </c>
      <c r="D503" s="132">
        <v>1</v>
      </c>
      <c r="E503" s="132">
        <v>0</v>
      </c>
      <c r="F503" s="132">
        <f t="shared" si="10"/>
        <v>1</v>
      </c>
      <c r="G503" s="132">
        <v>0</v>
      </c>
      <c r="H503" s="132">
        <v>0</v>
      </c>
      <c r="I503" s="132">
        <v>1</v>
      </c>
      <c r="J503" s="132">
        <v>0</v>
      </c>
      <c r="K503" s="132">
        <v>0</v>
      </c>
      <c r="L503" s="132">
        <v>0</v>
      </c>
      <c r="M503" s="132">
        <v>0</v>
      </c>
      <c r="N503" s="132">
        <v>0</v>
      </c>
      <c r="O503" s="132">
        <v>0</v>
      </c>
      <c r="P503" s="144">
        <v>0</v>
      </c>
    </row>
    <row r="504" spans="1:18" ht="15.75" thickBot="1" x14ac:dyDescent="0.3">
      <c r="C504" s="145" t="s">
        <v>152</v>
      </c>
      <c r="D504" s="133">
        <v>18</v>
      </c>
      <c r="E504" s="133">
        <v>9</v>
      </c>
      <c r="F504" s="132">
        <f t="shared" si="10"/>
        <v>17</v>
      </c>
      <c r="G504" s="133">
        <v>1</v>
      </c>
      <c r="H504" s="133">
        <v>1</v>
      </c>
      <c r="I504" s="133">
        <v>14</v>
      </c>
      <c r="J504" s="133">
        <v>5</v>
      </c>
      <c r="K504" s="133">
        <v>0</v>
      </c>
      <c r="L504" s="133">
        <v>0</v>
      </c>
      <c r="M504" s="133">
        <v>4</v>
      </c>
      <c r="N504" s="133">
        <v>4</v>
      </c>
      <c r="O504" s="133">
        <v>1</v>
      </c>
      <c r="P504" s="146">
        <v>1</v>
      </c>
    </row>
    <row r="505" spans="1:18" ht="15.75" thickBot="1" x14ac:dyDescent="0.3">
      <c r="C505" s="143" t="s">
        <v>85</v>
      </c>
      <c r="D505" s="132">
        <v>869</v>
      </c>
      <c r="E505" s="132">
        <v>436</v>
      </c>
      <c r="F505" s="132">
        <f t="shared" si="10"/>
        <v>793</v>
      </c>
      <c r="G505" s="132">
        <v>76</v>
      </c>
      <c r="H505" s="132">
        <v>43</v>
      </c>
      <c r="I505" s="132">
        <v>770</v>
      </c>
      <c r="J505" s="132">
        <v>386</v>
      </c>
      <c r="K505" s="132">
        <v>70</v>
      </c>
      <c r="L505" s="132">
        <v>39</v>
      </c>
      <c r="M505" s="132">
        <v>99</v>
      </c>
      <c r="N505" s="132">
        <v>50</v>
      </c>
      <c r="O505" s="132">
        <v>6</v>
      </c>
      <c r="P505" s="144">
        <v>4</v>
      </c>
    </row>
    <row r="506" spans="1:18" ht="15.75" thickBot="1" x14ac:dyDescent="0.3">
      <c r="C506" s="145" t="s">
        <v>86</v>
      </c>
      <c r="D506" s="133">
        <v>294</v>
      </c>
      <c r="E506" s="133">
        <v>114</v>
      </c>
      <c r="F506" s="132">
        <f t="shared" si="10"/>
        <v>232</v>
      </c>
      <c r="G506" s="133">
        <v>62</v>
      </c>
      <c r="H506" s="133">
        <v>24</v>
      </c>
      <c r="I506" s="133">
        <v>270</v>
      </c>
      <c r="J506" s="133">
        <v>109</v>
      </c>
      <c r="K506" s="133">
        <v>59</v>
      </c>
      <c r="L506" s="133">
        <v>22</v>
      </c>
      <c r="M506" s="133">
        <v>24</v>
      </c>
      <c r="N506" s="133">
        <v>5</v>
      </c>
      <c r="O506" s="133">
        <v>3</v>
      </c>
      <c r="P506" s="146">
        <v>2</v>
      </c>
    </row>
    <row r="507" spans="1:18" ht="15.75" thickBot="1" x14ac:dyDescent="0.3">
      <c r="A507" s="171">
        <v>460</v>
      </c>
      <c r="B507" t="s">
        <v>59</v>
      </c>
      <c r="C507" s="143" t="s">
        <v>87</v>
      </c>
      <c r="D507" s="132">
        <v>100</v>
      </c>
      <c r="E507" s="132">
        <v>45</v>
      </c>
      <c r="F507" s="132">
        <f t="shared" si="10"/>
        <v>61</v>
      </c>
      <c r="G507" s="132">
        <v>39</v>
      </c>
      <c r="H507" s="132">
        <v>20</v>
      </c>
      <c r="I507" s="132">
        <v>88</v>
      </c>
      <c r="J507" s="132">
        <v>41</v>
      </c>
      <c r="K507" s="132">
        <v>37</v>
      </c>
      <c r="L507" s="132">
        <v>19</v>
      </c>
      <c r="M507" s="132">
        <v>12</v>
      </c>
      <c r="N507" s="132">
        <v>4</v>
      </c>
      <c r="O507" s="132">
        <v>2</v>
      </c>
      <c r="P507" s="144">
        <v>1</v>
      </c>
      <c r="Q507">
        <f>G507/G502</f>
        <v>0.21910112359550563</v>
      </c>
      <c r="R507">
        <f>F507/F502</f>
        <v>5.52536231884058E-2</v>
      </c>
    </row>
    <row r="508" spans="1:18" ht="15.75" thickBot="1" x14ac:dyDescent="0.3">
      <c r="C508" s="145" t="s">
        <v>153</v>
      </c>
      <c r="D508" s="133">
        <v>48</v>
      </c>
      <c r="E508" s="133">
        <v>23</v>
      </c>
      <c r="F508" s="132">
        <f t="shared" si="10"/>
        <v>35</v>
      </c>
      <c r="G508" s="133">
        <v>13</v>
      </c>
      <c r="H508" s="133">
        <v>6</v>
      </c>
      <c r="I508" s="133">
        <v>46</v>
      </c>
      <c r="J508" s="133">
        <v>23</v>
      </c>
      <c r="K508" s="133">
        <v>13</v>
      </c>
      <c r="L508" s="133">
        <v>6</v>
      </c>
      <c r="M508" s="133">
        <v>2</v>
      </c>
      <c r="N508" s="133">
        <v>0</v>
      </c>
      <c r="O508" s="133">
        <v>0</v>
      </c>
      <c r="P508" s="146">
        <v>0</v>
      </c>
    </row>
    <row r="509" spans="1:18" ht="15.75" thickBot="1" x14ac:dyDescent="0.3">
      <c r="C509" s="143" t="s">
        <v>154</v>
      </c>
      <c r="D509" s="132">
        <v>9</v>
      </c>
      <c r="E509" s="132">
        <v>3</v>
      </c>
      <c r="F509" s="132">
        <f t="shared" si="10"/>
        <v>6</v>
      </c>
      <c r="G509" s="132">
        <v>3</v>
      </c>
      <c r="H509" s="132">
        <v>0</v>
      </c>
      <c r="I509" s="132">
        <v>9</v>
      </c>
      <c r="J509" s="132">
        <v>3</v>
      </c>
      <c r="K509" s="132">
        <v>3</v>
      </c>
      <c r="L509" s="132">
        <v>0</v>
      </c>
      <c r="M509" s="132">
        <v>0</v>
      </c>
      <c r="N509" s="132">
        <v>0</v>
      </c>
      <c r="O509" s="132">
        <v>0</v>
      </c>
      <c r="P509" s="144">
        <v>0</v>
      </c>
    </row>
    <row r="510" spans="1:18" ht="15.75" thickBot="1" x14ac:dyDescent="0.3">
      <c r="C510" s="156" t="s">
        <v>136</v>
      </c>
      <c r="D510" s="157"/>
      <c r="E510" s="157"/>
      <c r="F510" s="132">
        <f t="shared" si="10"/>
        <v>0</v>
      </c>
      <c r="G510" s="157"/>
      <c r="H510" s="157"/>
      <c r="I510" s="157"/>
      <c r="J510" s="157"/>
      <c r="K510" s="157"/>
      <c r="L510" s="157"/>
      <c r="M510" s="157"/>
      <c r="N510" s="157"/>
      <c r="O510" s="157"/>
      <c r="P510" s="158"/>
    </row>
    <row r="511" spans="1:18" ht="15.75" thickBot="1" x14ac:dyDescent="0.3">
      <c r="C511" s="153"/>
      <c r="D511" s="154"/>
      <c r="E511" s="154"/>
      <c r="F511" s="132">
        <f t="shared" si="10"/>
        <v>0</v>
      </c>
      <c r="G511" s="154"/>
      <c r="H511" s="154"/>
      <c r="I511" s="154"/>
      <c r="J511" s="154"/>
      <c r="K511" s="154"/>
      <c r="L511" s="154"/>
      <c r="M511" s="154"/>
      <c r="N511" s="154"/>
      <c r="O511" s="154"/>
      <c r="P511" s="155"/>
    </row>
    <row r="512" spans="1:18" ht="15.75" thickBot="1" x14ac:dyDescent="0.3">
      <c r="C512" s="145" t="s">
        <v>83</v>
      </c>
      <c r="D512" s="133">
        <v>729</v>
      </c>
      <c r="E512" s="133">
        <v>329</v>
      </c>
      <c r="F512" s="132">
        <f t="shared" si="10"/>
        <v>642</v>
      </c>
      <c r="G512" s="133">
        <v>87</v>
      </c>
      <c r="H512" s="133">
        <v>33</v>
      </c>
      <c r="I512" s="133">
        <v>641</v>
      </c>
      <c r="J512" s="133">
        <v>291</v>
      </c>
      <c r="K512" s="133">
        <v>85</v>
      </c>
      <c r="L512" s="133">
        <v>32</v>
      </c>
      <c r="M512" s="133">
        <v>88</v>
      </c>
      <c r="N512" s="133">
        <v>38</v>
      </c>
      <c r="O512" s="133">
        <v>2</v>
      </c>
      <c r="P512" s="146">
        <v>1</v>
      </c>
    </row>
    <row r="513" spans="1:18" ht="15.75" thickBot="1" x14ac:dyDescent="0.3">
      <c r="C513" s="143" t="s">
        <v>151</v>
      </c>
      <c r="D513" s="132">
        <v>2</v>
      </c>
      <c r="E513" s="132">
        <v>1</v>
      </c>
      <c r="F513" s="132">
        <f t="shared" si="10"/>
        <v>2</v>
      </c>
      <c r="G513" s="132">
        <v>0</v>
      </c>
      <c r="H513" s="132">
        <v>0</v>
      </c>
      <c r="I513" s="132">
        <v>2</v>
      </c>
      <c r="J513" s="132">
        <v>1</v>
      </c>
      <c r="K513" s="132">
        <v>0</v>
      </c>
      <c r="L513" s="132">
        <v>0</v>
      </c>
      <c r="M513" s="132">
        <v>0</v>
      </c>
      <c r="N513" s="132">
        <v>0</v>
      </c>
      <c r="O513" s="132">
        <v>0</v>
      </c>
      <c r="P513" s="144">
        <v>0</v>
      </c>
    </row>
    <row r="514" spans="1:18" ht="15.75" thickBot="1" x14ac:dyDescent="0.3">
      <c r="C514" s="145" t="s">
        <v>152</v>
      </c>
      <c r="D514" s="133">
        <v>22</v>
      </c>
      <c r="E514" s="133">
        <v>13</v>
      </c>
      <c r="F514" s="132">
        <f t="shared" si="10"/>
        <v>22</v>
      </c>
      <c r="G514" s="133">
        <v>0</v>
      </c>
      <c r="H514" s="133">
        <v>0</v>
      </c>
      <c r="I514" s="133">
        <v>16</v>
      </c>
      <c r="J514" s="133">
        <v>10</v>
      </c>
      <c r="K514" s="133">
        <v>0</v>
      </c>
      <c r="L514" s="133">
        <v>0</v>
      </c>
      <c r="M514" s="133">
        <v>6</v>
      </c>
      <c r="N514" s="133">
        <v>3</v>
      </c>
      <c r="O514" s="133">
        <v>0</v>
      </c>
      <c r="P514" s="146">
        <v>0</v>
      </c>
    </row>
    <row r="515" spans="1:18" ht="15.75" thickBot="1" x14ac:dyDescent="0.3">
      <c r="C515" s="143" t="s">
        <v>85</v>
      </c>
      <c r="D515" s="132">
        <v>448</v>
      </c>
      <c r="E515" s="132">
        <v>220</v>
      </c>
      <c r="F515" s="132">
        <f t="shared" si="10"/>
        <v>411</v>
      </c>
      <c r="G515" s="132">
        <v>37</v>
      </c>
      <c r="H515" s="132">
        <v>14</v>
      </c>
      <c r="I515" s="132">
        <v>392</v>
      </c>
      <c r="J515" s="132">
        <v>192</v>
      </c>
      <c r="K515" s="132">
        <v>37</v>
      </c>
      <c r="L515" s="132">
        <v>14</v>
      </c>
      <c r="M515" s="132">
        <v>56</v>
      </c>
      <c r="N515" s="132">
        <v>28</v>
      </c>
      <c r="O515" s="132">
        <v>0</v>
      </c>
      <c r="P515" s="144">
        <v>0</v>
      </c>
    </row>
    <row r="516" spans="1:18" ht="15.75" thickBot="1" x14ac:dyDescent="0.3">
      <c r="C516" s="145" t="s">
        <v>86</v>
      </c>
      <c r="D516" s="133">
        <v>202</v>
      </c>
      <c r="E516" s="133">
        <v>73</v>
      </c>
      <c r="F516" s="132">
        <f t="shared" si="10"/>
        <v>163</v>
      </c>
      <c r="G516" s="133">
        <v>39</v>
      </c>
      <c r="H516" s="133">
        <v>16</v>
      </c>
      <c r="I516" s="133">
        <v>184</v>
      </c>
      <c r="J516" s="133">
        <v>68</v>
      </c>
      <c r="K516" s="133">
        <v>38</v>
      </c>
      <c r="L516" s="133">
        <v>15</v>
      </c>
      <c r="M516" s="133">
        <v>18</v>
      </c>
      <c r="N516" s="133">
        <v>5</v>
      </c>
      <c r="O516" s="133">
        <v>1</v>
      </c>
      <c r="P516" s="146">
        <v>1</v>
      </c>
    </row>
    <row r="517" spans="1:18" ht="15.75" thickBot="1" x14ac:dyDescent="0.3">
      <c r="A517" s="171">
        <v>461</v>
      </c>
      <c r="B517" t="s">
        <v>60</v>
      </c>
      <c r="C517" s="143" t="s">
        <v>87</v>
      </c>
      <c r="D517" s="132">
        <v>55</v>
      </c>
      <c r="E517" s="132">
        <v>22</v>
      </c>
      <c r="F517" s="132">
        <f t="shared" si="10"/>
        <v>44</v>
      </c>
      <c r="G517" s="132">
        <v>11</v>
      </c>
      <c r="H517" s="132">
        <v>3</v>
      </c>
      <c r="I517" s="132">
        <v>47</v>
      </c>
      <c r="J517" s="132">
        <v>20</v>
      </c>
      <c r="K517" s="132">
        <v>10</v>
      </c>
      <c r="L517" s="132">
        <v>3</v>
      </c>
      <c r="M517" s="132">
        <v>8</v>
      </c>
      <c r="N517" s="132">
        <v>2</v>
      </c>
      <c r="O517" s="132">
        <v>1</v>
      </c>
      <c r="P517" s="144">
        <v>0</v>
      </c>
      <c r="Q517">
        <f>G517/G512</f>
        <v>0.12643678160919541</v>
      </c>
      <c r="R517">
        <f>F517/F512</f>
        <v>6.8535825545171333E-2</v>
      </c>
    </row>
    <row r="518" spans="1:18" ht="15.75" thickBot="1" x14ac:dyDescent="0.3">
      <c r="C518" s="145" t="s">
        <v>153</v>
      </c>
      <c r="D518" s="133">
        <v>19</v>
      </c>
      <c r="E518" s="133">
        <v>10</v>
      </c>
      <c r="F518" s="132">
        <f t="shared" si="10"/>
        <v>17</v>
      </c>
      <c r="G518" s="133">
        <v>2</v>
      </c>
      <c r="H518" s="133">
        <v>0</v>
      </c>
      <c r="I518" s="133">
        <v>17</v>
      </c>
      <c r="J518" s="133">
        <v>9</v>
      </c>
      <c r="K518" s="133">
        <v>2</v>
      </c>
      <c r="L518" s="133">
        <v>0</v>
      </c>
      <c r="M518" s="133">
        <v>2</v>
      </c>
      <c r="N518" s="133">
        <v>1</v>
      </c>
      <c r="O518" s="133">
        <v>0</v>
      </c>
      <c r="P518" s="146">
        <v>0</v>
      </c>
    </row>
    <row r="519" spans="1:18" ht="15.75" thickBot="1" x14ac:dyDescent="0.3">
      <c r="C519" s="143" t="s">
        <v>154</v>
      </c>
      <c r="D519" s="132">
        <v>5</v>
      </c>
      <c r="E519" s="132">
        <v>1</v>
      </c>
      <c r="F519" s="132">
        <f t="shared" si="10"/>
        <v>3</v>
      </c>
      <c r="G519" s="132">
        <v>2</v>
      </c>
      <c r="H519" s="132">
        <v>1</v>
      </c>
      <c r="I519" s="132">
        <v>5</v>
      </c>
      <c r="J519" s="132">
        <v>1</v>
      </c>
      <c r="K519" s="132">
        <v>2</v>
      </c>
      <c r="L519" s="132">
        <v>1</v>
      </c>
      <c r="M519" s="132">
        <v>0</v>
      </c>
      <c r="N519" s="132">
        <v>0</v>
      </c>
      <c r="O519" s="132">
        <v>0</v>
      </c>
      <c r="P519" s="144">
        <v>0</v>
      </c>
    </row>
    <row r="520" spans="1:18" ht="15.75" thickBot="1" x14ac:dyDescent="0.3">
      <c r="C520" s="156" t="s">
        <v>137</v>
      </c>
      <c r="D520" s="157"/>
      <c r="E520" s="157"/>
      <c r="F520" s="132">
        <f t="shared" si="10"/>
        <v>0</v>
      </c>
      <c r="G520" s="157"/>
      <c r="H520" s="157"/>
      <c r="I520" s="157"/>
      <c r="J520" s="157"/>
      <c r="K520" s="157"/>
      <c r="L520" s="157"/>
      <c r="M520" s="157"/>
      <c r="N520" s="157"/>
      <c r="O520" s="157"/>
      <c r="P520" s="158"/>
    </row>
    <row r="521" spans="1:18" ht="15.75" thickBot="1" x14ac:dyDescent="0.3">
      <c r="C521" s="153"/>
      <c r="D521" s="154"/>
      <c r="E521" s="154"/>
      <c r="F521" s="132">
        <f t="shared" si="10"/>
        <v>0</v>
      </c>
      <c r="G521" s="154"/>
      <c r="H521" s="154"/>
      <c r="I521" s="154"/>
      <c r="J521" s="154"/>
      <c r="K521" s="154"/>
      <c r="L521" s="154"/>
      <c r="M521" s="154"/>
      <c r="N521" s="154"/>
      <c r="O521" s="154"/>
      <c r="P521" s="155"/>
    </row>
    <row r="522" spans="1:18" ht="15.75" thickBot="1" x14ac:dyDescent="0.3">
      <c r="C522" s="145" t="s">
        <v>83</v>
      </c>
      <c r="D522" s="133">
        <v>508</v>
      </c>
      <c r="E522" s="133">
        <v>235</v>
      </c>
      <c r="F522" s="132">
        <f t="shared" si="10"/>
        <v>482</v>
      </c>
      <c r="G522" s="133">
        <v>26</v>
      </c>
      <c r="H522" s="133">
        <v>17</v>
      </c>
      <c r="I522" s="133">
        <v>505</v>
      </c>
      <c r="J522" s="133">
        <v>235</v>
      </c>
      <c r="K522" s="133">
        <v>26</v>
      </c>
      <c r="L522" s="133">
        <v>17</v>
      </c>
      <c r="M522" s="133">
        <v>3</v>
      </c>
      <c r="N522" s="133">
        <v>0</v>
      </c>
      <c r="O522" s="133">
        <v>0</v>
      </c>
      <c r="P522" s="146">
        <v>0</v>
      </c>
    </row>
    <row r="523" spans="1:18" ht="15.75" thickBot="1" x14ac:dyDescent="0.3">
      <c r="C523" s="143" t="s">
        <v>151</v>
      </c>
      <c r="D523" s="132">
        <v>40</v>
      </c>
      <c r="E523" s="132">
        <v>19</v>
      </c>
      <c r="F523" s="132">
        <f t="shared" si="10"/>
        <v>40</v>
      </c>
      <c r="G523" s="132">
        <v>0</v>
      </c>
      <c r="H523" s="132">
        <v>0</v>
      </c>
      <c r="I523" s="132">
        <v>40</v>
      </c>
      <c r="J523" s="132">
        <v>19</v>
      </c>
      <c r="K523" s="132">
        <v>0</v>
      </c>
      <c r="L523" s="132">
        <v>0</v>
      </c>
      <c r="M523" s="132">
        <v>0</v>
      </c>
      <c r="N523" s="132">
        <v>0</v>
      </c>
      <c r="O523" s="132">
        <v>0</v>
      </c>
      <c r="P523" s="144">
        <v>0</v>
      </c>
    </row>
    <row r="524" spans="1:18" ht="15.75" thickBot="1" x14ac:dyDescent="0.3">
      <c r="C524" s="145" t="s">
        <v>152</v>
      </c>
      <c r="D524" s="133">
        <v>23</v>
      </c>
      <c r="E524" s="133">
        <v>15</v>
      </c>
      <c r="F524" s="132">
        <f t="shared" si="10"/>
        <v>22</v>
      </c>
      <c r="G524" s="133">
        <v>1</v>
      </c>
      <c r="H524" s="133">
        <v>1</v>
      </c>
      <c r="I524" s="133">
        <v>20</v>
      </c>
      <c r="J524" s="133">
        <v>15</v>
      </c>
      <c r="K524" s="133">
        <v>1</v>
      </c>
      <c r="L524" s="133">
        <v>1</v>
      </c>
      <c r="M524" s="133">
        <v>3</v>
      </c>
      <c r="N524" s="133">
        <v>0</v>
      </c>
      <c r="O524" s="133">
        <v>0</v>
      </c>
      <c r="P524" s="146">
        <v>0</v>
      </c>
    </row>
    <row r="525" spans="1:18" ht="15.75" thickBot="1" x14ac:dyDescent="0.3">
      <c r="C525" s="143" t="s">
        <v>85</v>
      </c>
      <c r="D525" s="132">
        <v>274</v>
      </c>
      <c r="E525" s="132">
        <v>124</v>
      </c>
      <c r="F525" s="132">
        <f t="shared" si="10"/>
        <v>266</v>
      </c>
      <c r="G525" s="132">
        <v>8</v>
      </c>
      <c r="H525" s="132">
        <v>3</v>
      </c>
      <c r="I525" s="132">
        <v>274</v>
      </c>
      <c r="J525" s="132">
        <v>124</v>
      </c>
      <c r="K525" s="132">
        <v>8</v>
      </c>
      <c r="L525" s="132">
        <v>3</v>
      </c>
      <c r="M525" s="132">
        <v>0</v>
      </c>
      <c r="N525" s="132">
        <v>0</v>
      </c>
      <c r="O525" s="132">
        <v>0</v>
      </c>
      <c r="P525" s="144">
        <v>0</v>
      </c>
    </row>
    <row r="526" spans="1:18" ht="15.75" thickBot="1" x14ac:dyDescent="0.3">
      <c r="C526" s="145" t="s">
        <v>86</v>
      </c>
      <c r="D526" s="133">
        <v>144</v>
      </c>
      <c r="E526" s="133">
        <v>67</v>
      </c>
      <c r="F526" s="132">
        <f t="shared" si="10"/>
        <v>133</v>
      </c>
      <c r="G526" s="133">
        <v>11</v>
      </c>
      <c r="H526" s="133">
        <v>8</v>
      </c>
      <c r="I526" s="133">
        <v>144</v>
      </c>
      <c r="J526" s="133">
        <v>67</v>
      </c>
      <c r="K526" s="133">
        <v>11</v>
      </c>
      <c r="L526" s="133">
        <v>8</v>
      </c>
      <c r="M526" s="133">
        <v>0</v>
      </c>
      <c r="N526" s="133">
        <v>0</v>
      </c>
      <c r="O526" s="133">
        <v>0</v>
      </c>
      <c r="P526" s="146">
        <v>0</v>
      </c>
    </row>
    <row r="527" spans="1:18" ht="15.75" thickBot="1" x14ac:dyDescent="0.3">
      <c r="A527" s="171">
        <v>462</v>
      </c>
      <c r="B527" t="s">
        <v>61</v>
      </c>
      <c r="C527" s="143" t="s">
        <v>87</v>
      </c>
      <c r="D527" s="132">
        <v>27</v>
      </c>
      <c r="E527" s="132">
        <v>10</v>
      </c>
      <c r="F527" s="132">
        <f t="shared" si="10"/>
        <v>21</v>
      </c>
      <c r="G527" s="132">
        <v>6</v>
      </c>
      <c r="H527" s="132">
        <v>5</v>
      </c>
      <c r="I527" s="132">
        <v>27</v>
      </c>
      <c r="J527" s="132">
        <v>10</v>
      </c>
      <c r="K527" s="132">
        <v>6</v>
      </c>
      <c r="L527" s="132">
        <v>5</v>
      </c>
      <c r="M527" s="132">
        <v>0</v>
      </c>
      <c r="N527" s="132">
        <v>0</v>
      </c>
      <c r="O527" s="132">
        <v>0</v>
      </c>
      <c r="P527" s="144">
        <v>0</v>
      </c>
      <c r="Q527">
        <f>G527/G522</f>
        <v>0.23076923076923078</v>
      </c>
      <c r="R527">
        <f>F527/F522</f>
        <v>4.3568464730290454E-2</v>
      </c>
    </row>
    <row r="528" spans="1:18" ht="15.75" thickBot="1" x14ac:dyDescent="0.3">
      <c r="C528" s="145" t="s">
        <v>153</v>
      </c>
      <c r="D528" s="133">
        <v>5</v>
      </c>
      <c r="E528" s="133">
        <v>1</v>
      </c>
      <c r="F528" s="132">
        <f t="shared" si="10"/>
        <v>5</v>
      </c>
      <c r="G528" s="133">
        <v>0</v>
      </c>
      <c r="H528" s="133">
        <v>0</v>
      </c>
      <c r="I528" s="133">
        <v>5</v>
      </c>
      <c r="J528" s="133">
        <v>1</v>
      </c>
      <c r="K528" s="133">
        <v>0</v>
      </c>
      <c r="L528" s="133">
        <v>0</v>
      </c>
      <c r="M528" s="133">
        <v>0</v>
      </c>
      <c r="N528" s="133">
        <v>0</v>
      </c>
      <c r="O528" s="133">
        <v>0</v>
      </c>
      <c r="P528" s="146">
        <v>0</v>
      </c>
    </row>
    <row r="529" spans="3:16" ht="15.75" thickBot="1" x14ac:dyDescent="0.3">
      <c r="C529" s="147" t="s">
        <v>154</v>
      </c>
      <c r="D529" s="148">
        <v>5</v>
      </c>
      <c r="E529" s="148">
        <v>1</v>
      </c>
      <c r="F529" s="132">
        <f t="shared" si="10"/>
        <v>5</v>
      </c>
      <c r="G529" s="148">
        <v>0</v>
      </c>
      <c r="H529" s="148">
        <v>0</v>
      </c>
      <c r="I529" s="148">
        <v>5</v>
      </c>
      <c r="J529" s="148">
        <v>1</v>
      </c>
      <c r="K529" s="148">
        <v>0</v>
      </c>
      <c r="L529" s="148">
        <v>0</v>
      </c>
      <c r="M529" s="148">
        <v>0</v>
      </c>
      <c r="N529" s="148">
        <v>0</v>
      </c>
      <c r="O529" s="148">
        <v>0</v>
      </c>
      <c r="P529" s="149">
        <v>0</v>
      </c>
    </row>
    <row r="531" spans="3:16" x14ac:dyDescent="0.25">
      <c r="C531" s="127" t="s">
        <v>138</v>
      </c>
    </row>
    <row r="532" spans="3:16" x14ac:dyDescent="0.25">
      <c r="C532" s="127" t="s">
        <v>139</v>
      </c>
    </row>
    <row r="533" spans="3:16" x14ac:dyDescent="0.25">
      <c r="C533" s="127" t="s">
        <v>140</v>
      </c>
    </row>
    <row r="534" spans="3:16" x14ac:dyDescent="0.25">
      <c r="C534" s="127" t="s">
        <v>175</v>
      </c>
    </row>
    <row r="536" spans="3:16" x14ac:dyDescent="0.25">
      <c r="C536" s="28"/>
    </row>
    <row r="537" spans="3:16" x14ac:dyDescent="0.25">
      <c r="C537" s="127" t="s">
        <v>142</v>
      </c>
    </row>
    <row r="538" spans="3:16" x14ac:dyDescent="0.25">
      <c r="C538" s="127" t="s">
        <v>217</v>
      </c>
    </row>
    <row r="539" spans="3:16" x14ac:dyDescent="0.25">
      <c r="C539" s="127" t="s">
        <v>176</v>
      </c>
    </row>
    <row r="540" spans="3:16" x14ac:dyDescent="0.25">
      <c r="C540" s="127" t="s">
        <v>144</v>
      </c>
    </row>
    <row r="541" spans="3:16" x14ac:dyDescent="0.25">
      <c r="C541" s="28"/>
    </row>
    <row r="542" spans="3:16" x14ac:dyDescent="0.25">
      <c r="C542" s="127" t="s">
        <v>145</v>
      </c>
    </row>
    <row r="543" spans="3:16" x14ac:dyDescent="0.25">
      <c r="C543" s="28"/>
    </row>
    <row r="544" spans="3:16" x14ac:dyDescent="0.25">
      <c r="C544" s="127" t="s">
        <v>146</v>
      </c>
    </row>
  </sheetData>
  <mergeCells count="16">
    <mergeCell ref="Q15:R17"/>
    <mergeCell ref="Q18:Q20"/>
    <mergeCell ref="R18:R20"/>
    <mergeCell ref="M18:M20"/>
    <mergeCell ref="N18:N20"/>
    <mergeCell ref="O18:O20"/>
    <mergeCell ref="D15:P16"/>
    <mergeCell ref="D17:H17"/>
    <mergeCell ref="I17:L17"/>
    <mergeCell ref="M17:P17"/>
    <mergeCell ref="D18:D20"/>
    <mergeCell ref="E18:E20"/>
    <mergeCell ref="G18:G20"/>
    <mergeCell ref="I18:I20"/>
    <mergeCell ref="J18:J20"/>
    <mergeCell ref="K18:K20"/>
  </mergeCells>
  <hyperlinks>
    <hyperlink ref="C1" r:id="rId1" display="https://www1.nls.niedersachsen.de/Statistik/pool/K3002519/K3002519_000017C2FB34213E0355246ED02A8B9E448423D614F9E6D3370A.zip" xr:uid="{D3EB5BA5-76AE-4775-84A1-E35D636FC90C}"/>
  </hyperlinks>
  <pageMargins left="0.7" right="0.7" top="0.78740157499999996" bottom="0.78740157499999996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951A-1385-422A-BCB9-C86042516BE0}">
  <sheetPr codeName="Tabelle13"/>
  <dimension ref="C1:P540"/>
  <sheetViews>
    <sheetView workbookViewId="0"/>
  </sheetViews>
  <sheetFormatPr baseColWidth="10" defaultRowHeight="15" x14ac:dyDescent="0.25"/>
  <cols>
    <col min="3" max="3" width="43.85546875" customWidth="1"/>
  </cols>
  <sheetData>
    <row r="1" spans="3:16" x14ac:dyDescent="0.25">
      <c r="C1" s="19" t="s">
        <v>147</v>
      </c>
    </row>
    <row r="3" spans="3:16" x14ac:dyDescent="0.25">
      <c r="C3" s="20" t="s">
        <v>214</v>
      </c>
    </row>
    <row r="4" spans="3:16" x14ac:dyDescent="0.25">
      <c r="C4" s="20" t="s">
        <v>149</v>
      </c>
    </row>
    <row r="6" spans="3:16" x14ac:dyDescent="0.25">
      <c r="C6" s="126" t="s">
        <v>66</v>
      </c>
    </row>
    <row r="7" spans="3:16" x14ac:dyDescent="0.25">
      <c r="C7" s="28"/>
    </row>
    <row r="8" spans="3:16" x14ac:dyDescent="0.25">
      <c r="C8" s="127" t="s">
        <v>67</v>
      </c>
    </row>
    <row r="9" spans="3:16" x14ac:dyDescent="0.25">
      <c r="C9" s="127" t="s">
        <v>172</v>
      </c>
    </row>
    <row r="10" spans="3:16" x14ac:dyDescent="0.25">
      <c r="C10" s="127" t="s">
        <v>215</v>
      </c>
    </row>
    <row r="11" spans="3:16" x14ac:dyDescent="0.25">
      <c r="C11" s="28"/>
    </row>
    <row r="12" spans="3:16" x14ac:dyDescent="0.25">
      <c r="C12" s="127" t="s">
        <v>150</v>
      </c>
    </row>
    <row r="13" spans="3:16" x14ac:dyDescent="0.25">
      <c r="C13" s="127" t="s">
        <v>216</v>
      </c>
    </row>
    <row r="14" spans="3:16" ht="15.75" thickBot="1" x14ac:dyDescent="0.3"/>
    <row r="15" spans="3:16" x14ac:dyDescent="0.25">
      <c r="C15" s="134" t="s">
        <v>63</v>
      </c>
      <c r="D15" s="231" t="s">
        <v>174</v>
      </c>
      <c r="E15" s="232"/>
      <c r="F15" s="232"/>
      <c r="G15" s="232"/>
      <c r="H15" s="232"/>
      <c r="I15" s="232"/>
      <c r="J15" s="232"/>
      <c r="K15" s="232"/>
      <c r="L15" s="232"/>
      <c r="M15" s="232"/>
      <c r="N15" s="232"/>
      <c r="O15" s="232"/>
      <c r="P15" s="233"/>
    </row>
    <row r="16" spans="3:16" ht="15.75" thickBot="1" x14ac:dyDescent="0.3">
      <c r="C16" s="135" t="s">
        <v>70</v>
      </c>
      <c r="D16" s="234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6"/>
    </row>
    <row r="17" spans="3:16" ht="15.75" thickBot="1" x14ac:dyDescent="0.3">
      <c r="C17" s="135" t="s">
        <v>71</v>
      </c>
      <c r="D17" s="237" t="s">
        <v>75</v>
      </c>
      <c r="E17" s="238"/>
      <c r="F17" s="238"/>
      <c r="G17" s="238"/>
      <c r="H17" s="239"/>
      <c r="I17" s="237" t="s">
        <v>76</v>
      </c>
      <c r="J17" s="238"/>
      <c r="K17" s="238"/>
      <c r="L17" s="239"/>
      <c r="M17" s="237" t="s">
        <v>77</v>
      </c>
      <c r="N17" s="238"/>
      <c r="O17" s="238"/>
      <c r="P17" s="240"/>
    </row>
    <row r="18" spans="3:16" x14ac:dyDescent="0.25">
      <c r="C18" s="135" t="s">
        <v>72</v>
      </c>
      <c r="D18" s="228" t="s">
        <v>78</v>
      </c>
      <c r="E18" s="228" t="s">
        <v>79</v>
      </c>
      <c r="F18" s="150"/>
      <c r="G18" s="228" t="s">
        <v>80</v>
      </c>
      <c r="H18" s="150" t="s">
        <v>80</v>
      </c>
      <c r="I18" s="228" t="s">
        <v>78</v>
      </c>
      <c r="J18" s="228" t="s">
        <v>79</v>
      </c>
      <c r="K18" s="228" t="s">
        <v>80</v>
      </c>
      <c r="L18" s="150" t="s">
        <v>80</v>
      </c>
      <c r="M18" s="228" t="s">
        <v>78</v>
      </c>
      <c r="N18" s="228" t="s">
        <v>79</v>
      </c>
      <c r="O18" s="228" t="s">
        <v>80</v>
      </c>
      <c r="P18" s="136" t="s">
        <v>80</v>
      </c>
    </row>
    <row r="19" spans="3:16" x14ac:dyDescent="0.25">
      <c r="C19" s="135" t="s">
        <v>73</v>
      </c>
      <c r="D19" s="229"/>
      <c r="E19" s="229"/>
      <c r="F19" s="151" t="s">
        <v>218</v>
      </c>
      <c r="G19" s="229"/>
      <c r="H19" s="151" t="s">
        <v>79</v>
      </c>
      <c r="I19" s="229"/>
      <c r="J19" s="229"/>
      <c r="K19" s="229"/>
      <c r="L19" s="151" t="s">
        <v>79</v>
      </c>
      <c r="M19" s="229"/>
      <c r="N19" s="229"/>
      <c r="O19" s="229"/>
      <c r="P19" s="137" t="s">
        <v>79</v>
      </c>
    </row>
    <row r="20" spans="3:16" ht="15.75" thickBot="1" x14ac:dyDescent="0.3">
      <c r="C20" s="135"/>
      <c r="D20" s="230"/>
      <c r="E20" s="230"/>
      <c r="F20" s="152"/>
      <c r="G20" s="230"/>
      <c r="H20" s="152" t="s">
        <v>81</v>
      </c>
      <c r="I20" s="230"/>
      <c r="J20" s="230"/>
      <c r="K20" s="230"/>
      <c r="L20" s="152" t="s">
        <v>81</v>
      </c>
      <c r="M20" s="230"/>
      <c r="N20" s="230"/>
      <c r="O20" s="230"/>
      <c r="P20" s="138" t="s">
        <v>81</v>
      </c>
    </row>
    <row r="21" spans="3:16" ht="15.75" thickBot="1" x14ac:dyDescent="0.3">
      <c r="C21" s="139"/>
      <c r="D21" s="131">
        <v>1</v>
      </c>
      <c r="E21" s="131">
        <v>2</v>
      </c>
      <c r="F21" s="131"/>
      <c r="G21" s="131">
        <v>3</v>
      </c>
      <c r="H21" s="131">
        <v>4</v>
      </c>
      <c r="I21" s="131">
        <v>5</v>
      </c>
      <c r="J21" s="131">
        <v>6</v>
      </c>
      <c r="K21" s="131">
        <v>7</v>
      </c>
      <c r="L21" s="131">
        <v>8</v>
      </c>
      <c r="M21" s="131">
        <v>9</v>
      </c>
      <c r="N21" s="131">
        <v>10</v>
      </c>
      <c r="O21" s="131">
        <v>11</v>
      </c>
      <c r="P21" s="140">
        <v>12</v>
      </c>
    </row>
    <row r="22" spans="3:16" ht="15.75" thickBot="1" x14ac:dyDescent="0.3">
      <c r="C22" s="141"/>
      <c r="P22" s="142"/>
    </row>
    <row r="23" spans="3:16" ht="15.75" thickBot="1" x14ac:dyDescent="0.3">
      <c r="C23" s="222" t="s">
        <v>82</v>
      </c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/>
      <c r="O23" s="223"/>
      <c r="P23" s="224"/>
    </row>
    <row r="24" spans="3:16" ht="15.75" thickBot="1" x14ac:dyDescent="0.3">
      <c r="C24" s="159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3:16" ht="15.75" thickBot="1" x14ac:dyDescent="0.3">
      <c r="C25" s="143" t="s">
        <v>83</v>
      </c>
      <c r="D25" s="132">
        <v>57318</v>
      </c>
      <c r="E25" s="132">
        <v>26484</v>
      </c>
      <c r="F25" s="132">
        <f>D25-G25</f>
        <v>51375</v>
      </c>
      <c r="G25" s="132">
        <v>5943</v>
      </c>
      <c r="H25" s="132">
        <v>2800</v>
      </c>
      <c r="I25" s="132">
        <v>53593</v>
      </c>
      <c r="J25" s="132">
        <v>24812</v>
      </c>
      <c r="K25" s="132">
        <v>5755</v>
      </c>
      <c r="L25" s="132">
        <v>2710</v>
      </c>
      <c r="M25" s="132">
        <v>3725</v>
      </c>
      <c r="N25" s="132">
        <v>1672</v>
      </c>
      <c r="O25" s="132">
        <v>188</v>
      </c>
      <c r="P25" s="144">
        <v>90</v>
      </c>
    </row>
    <row r="26" spans="3:16" ht="15.75" thickBot="1" x14ac:dyDescent="0.3">
      <c r="C26" s="145" t="s">
        <v>151</v>
      </c>
      <c r="D26" s="133">
        <v>5198</v>
      </c>
      <c r="E26" s="133">
        <v>2889</v>
      </c>
      <c r="F26" s="132">
        <f t="shared" ref="F26:F32" si="0">D26-G26</f>
        <v>5039</v>
      </c>
      <c r="G26" s="133">
        <v>159</v>
      </c>
      <c r="H26" s="133">
        <v>78</v>
      </c>
      <c r="I26" s="133">
        <v>4674</v>
      </c>
      <c r="J26" s="133">
        <v>2604</v>
      </c>
      <c r="K26" s="133">
        <v>155</v>
      </c>
      <c r="L26" s="133">
        <v>77</v>
      </c>
      <c r="M26" s="133">
        <v>524</v>
      </c>
      <c r="N26" s="133">
        <v>285</v>
      </c>
      <c r="O26" s="133">
        <v>4</v>
      </c>
      <c r="P26" s="146">
        <v>1</v>
      </c>
    </row>
    <row r="27" spans="3:16" ht="15.75" thickBot="1" x14ac:dyDescent="0.3">
      <c r="C27" s="143" t="s">
        <v>152</v>
      </c>
      <c r="D27" s="132">
        <v>1693</v>
      </c>
      <c r="E27" s="132">
        <v>894</v>
      </c>
      <c r="F27" s="132">
        <f t="shared" si="0"/>
        <v>1592</v>
      </c>
      <c r="G27" s="132">
        <v>101</v>
      </c>
      <c r="H27" s="132">
        <v>55</v>
      </c>
      <c r="I27" s="132">
        <v>1588</v>
      </c>
      <c r="J27" s="132">
        <v>840</v>
      </c>
      <c r="K27" s="132">
        <v>97</v>
      </c>
      <c r="L27" s="132">
        <v>52</v>
      </c>
      <c r="M27" s="132">
        <v>105</v>
      </c>
      <c r="N27" s="132">
        <v>54</v>
      </c>
      <c r="O27" s="132">
        <v>4</v>
      </c>
      <c r="P27" s="144">
        <v>3</v>
      </c>
    </row>
    <row r="28" spans="3:16" ht="15.75" thickBot="1" x14ac:dyDescent="0.3">
      <c r="C28" s="145" t="s">
        <v>85</v>
      </c>
      <c r="D28" s="133">
        <v>35249</v>
      </c>
      <c r="E28" s="133">
        <v>16763</v>
      </c>
      <c r="F28" s="132">
        <f t="shared" si="0"/>
        <v>32466</v>
      </c>
      <c r="G28" s="133">
        <v>2783</v>
      </c>
      <c r="H28" s="133">
        <v>1416</v>
      </c>
      <c r="I28" s="133">
        <v>33006</v>
      </c>
      <c r="J28" s="133">
        <v>15700</v>
      </c>
      <c r="K28" s="133">
        <v>2676</v>
      </c>
      <c r="L28" s="133">
        <v>1360</v>
      </c>
      <c r="M28" s="133">
        <v>2243</v>
      </c>
      <c r="N28" s="133">
        <v>1063</v>
      </c>
      <c r="O28" s="133">
        <v>107</v>
      </c>
      <c r="P28" s="146">
        <v>56</v>
      </c>
    </row>
    <row r="29" spans="3:16" ht="15.75" thickBot="1" x14ac:dyDescent="0.3">
      <c r="C29" s="143" t="s">
        <v>86</v>
      </c>
      <c r="D29" s="132">
        <v>10566</v>
      </c>
      <c r="E29" s="132">
        <v>4152</v>
      </c>
      <c r="F29" s="132">
        <f t="shared" si="0"/>
        <v>8882</v>
      </c>
      <c r="G29" s="132">
        <v>1684</v>
      </c>
      <c r="H29" s="132">
        <v>751</v>
      </c>
      <c r="I29" s="132">
        <v>10052</v>
      </c>
      <c r="J29" s="132">
        <v>3991</v>
      </c>
      <c r="K29" s="132">
        <v>1637</v>
      </c>
      <c r="L29" s="132">
        <v>730</v>
      </c>
      <c r="M29" s="132">
        <v>514</v>
      </c>
      <c r="N29" s="132">
        <v>161</v>
      </c>
      <c r="O29" s="132">
        <v>47</v>
      </c>
      <c r="P29" s="144">
        <v>21</v>
      </c>
    </row>
    <row r="30" spans="3:16" ht="15.75" thickBot="1" x14ac:dyDescent="0.3">
      <c r="C30" s="145" t="s">
        <v>87</v>
      </c>
      <c r="D30" s="133">
        <v>4612</v>
      </c>
      <c r="E30" s="133">
        <v>1786</v>
      </c>
      <c r="F30" s="132">
        <f t="shared" si="0"/>
        <v>3396</v>
      </c>
      <c r="G30" s="133">
        <v>1216</v>
      </c>
      <c r="H30" s="133">
        <v>500</v>
      </c>
      <c r="I30" s="133">
        <v>4273</v>
      </c>
      <c r="J30" s="133">
        <v>1677</v>
      </c>
      <c r="K30" s="133">
        <v>1190</v>
      </c>
      <c r="L30" s="133">
        <v>491</v>
      </c>
      <c r="M30" s="133">
        <v>339</v>
      </c>
      <c r="N30" s="133">
        <v>109</v>
      </c>
      <c r="O30" s="133">
        <v>26</v>
      </c>
      <c r="P30" s="146">
        <v>9</v>
      </c>
    </row>
    <row r="31" spans="3:16" ht="15.75" thickBot="1" x14ac:dyDescent="0.3">
      <c r="C31" s="143" t="s">
        <v>153</v>
      </c>
      <c r="D31" s="132">
        <v>1426</v>
      </c>
      <c r="E31" s="132">
        <v>583</v>
      </c>
      <c r="F31" s="132">
        <f t="shared" si="0"/>
        <v>1221</v>
      </c>
      <c r="G31" s="132">
        <v>205</v>
      </c>
      <c r="H31" s="132">
        <v>90</v>
      </c>
      <c r="I31" s="132">
        <v>1344</v>
      </c>
      <c r="J31" s="132">
        <v>558</v>
      </c>
      <c r="K31" s="132">
        <v>198</v>
      </c>
      <c r="L31" s="132">
        <v>89</v>
      </c>
      <c r="M31" s="132">
        <v>82</v>
      </c>
      <c r="N31" s="132">
        <v>25</v>
      </c>
      <c r="O31" s="132">
        <v>7</v>
      </c>
      <c r="P31" s="144">
        <v>1</v>
      </c>
    </row>
    <row r="32" spans="3:16" ht="15.75" thickBot="1" x14ac:dyDescent="0.3">
      <c r="C32" s="145" t="s">
        <v>154</v>
      </c>
      <c r="D32" s="133">
        <v>731</v>
      </c>
      <c r="E32" s="133">
        <v>286</v>
      </c>
      <c r="F32" s="132">
        <f t="shared" si="0"/>
        <v>632</v>
      </c>
      <c r="G32" s="133">
        <v>99</v>
      </c>
      <c r="H32" s="133">
        <v>46</v>
      </c>
      <c r="I32" s="133">
        <v>643</v>
      </c>
      <c r="J32" s="133">
        <v>249</v>
      </c>
      <c r="K32" s="133">
        <v>97</v>
      </c>
      <c r="L32" s="133">
        <v>46</v>
      </c>
      <c r="M32" s="133">
        <v>88</v>
      </c>
      <c r="N32" s="133">
        <v>37</v>
      </c>
      <c r="O32" s="133">
        <v>2</v>
      </c>
      <c r="P32" s="146">
        <v>0</v>
      </c>
    </row>
    <row r="33" spans="3:16" ht="15.75" thickBot="1" x14ac:dyDescent="0.3">
      <c r="C33" s="153" t="s">
        <v>88</v>
      </c>
      <c r="D33" s="154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5"/>
    </row>
    <row r="34" spans="3:16" ht="15.75" thickBot="1" x14ac:dyDescent="0.3">
      <c r="C34" s="156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8"/>
    </row>
    <row r="35" spans="3:16" ht="15.75" thickBot="1" x14ac:dyDescent="0.3">
      <c r="C35" s="143" t="s">
        <v>83</v>
      </c>
      <c r="D35" s="132">
        <v>10452</v>
      </c>
      <c r="E35" s="132">
        <v>4769</v>
      </c>
      <c r="F35" s="132">
        <f>D35-G35</f>
        <v>9240</v>
      </c>
      <c r="G35" s="132">
        <v>1212</v>
      </c>
      <c r="H35" s="132">
        <v>551</v>
      </c>
      <c r="I35" s="132">
        <v>9902</v>
      </c>
      <c r="J35" s="132">
        <v>4548</v>
      </c>
      <c r="K35" s="132">
        <v>1177</v>
      </c>
      <c r="L35" s="132">
        <v>537</v>
      </c>
      <c r="M35" s="132">
        <v>550</v>
      </c>
      <c r="N35" s="132">
        <v>221</v>
      </c>
      <c r="O35" s="132">
        <v>35</v>
      </c>
      <c r="P35" s="144">
        <v>14</v>
      </c>
    </row>
    <row r="36" spans="3:16" ht="15.75" thickBot="1" x14ac:dyDescent="0.3">
      <c r="C36" s="145" t="s">
        <v>151</v>
      </c>
      <c r="D36" s="133">
        <v>1429</v>
      </c>
      <c r="E36" s="133">
        <v>760</v>
      </c>
      <c r="F36" s="132">
        <f t="shared" ref="F36:F99" si="1">D36-G36</f>
        <v>1389</v>
      </c>
      <c r="G36" s="133">
        <v>40</v>
      </c>
      <c r="H36" s="133">
        <v>21</v>
      </c>
      <c r="I36" s="133">
        <v>1310</v>
      </c>
      <c r="J36" s="133">
        <v>703</v>
      </c>
      <c r="K36" s="133">
        <v>39</v>
      </c>
      <c r="L36" s="133">
        <v>21</v>
      </c>
      <c r="M36" s="133">
        <v>119</v>
      </c>
      <c r="N36" s="133">
        <v>57</v>
      </c>
      <c r="O36" s="133">
        <v>1</v>
      </c>
      <c r="P36" s="146">
        <v>0</v>
      </c>
    </row>
    <row r="37" spans="3:16" ht="15.75" thickBot="1" x14ac:dyDescent="0.3">
      <c r="C37" s="143" t="s">
        <v>152</v>
      </c>
      <c r="D37" s="132">
        <v>376</v>
      </c>
      <c r="E37" s="132">
        <v>209</v>
      </c>
      <c r="F37" s="132">
        <f t="shared" si="1"/>
        <v>345</v>
      </c>
      <c r="G37" s="132">
        <v>31</v>
      </c>
      <c r="H37" s="132">
        <v>18</v>
      </c>
      <c r="I37" s="132">
        <v>358</v>
      </c>
      <c r="J37" s="132">
        <v>200</v>
      </c>
      <c r="K37" s="132">
        <v>29</v>
      </c>
      <c r="L37" s="132">
        <v>17</v>
      </c>
      <c r="M37" s="132">
        <v>18</v>
      </c>
      <c r="N37" s="132">
        <v>9</v>
      </c>
      <c r="O37" s="132">
        <v>2</v>
      </c>
      <c r="P37" s="144">
        <v>1</v>
      </c>
    </row>
    <row r="38" spans="3:16" ht="15.75" thickBot="1" x14ac:dyDescent="0.3">
      <c r="C38" s="145" t="s">
        <v>85</v>
      </c>
      <c r="D38" s="133">
        <v>6205</v>
      </c>
      <c r="E38" s="133">
        <v>2838</v>
      </c>
      <c r="F38" s="132">
        <f t="shared" si="1"/>
        <v>5598</v>
      </c>
      <c r="G38" s="133">
        <v>607</v>
      </c>
      <c r="H38" s="133">
        <v>290</v>
      </c>
      <c r="I38" s="133">
        <v>5925</v>
      </c>
      <c r="J38" s="133">
        <v>2713</v>
      </c>
      <c r="K38" s="133">
        <v>586</v>
      </c>
      <c r="L38" s="133">
        <v>280</v>
      </c>
      <c r="M38" s="133">
        <v>280</v>
      </c>
      <c r="N38" s="133">
        <v>125</v>
      </c>
      <c r="O38" s="133">
        <v>21</v>
      </c>
      <c r="P38" s="146">
        <v>10</v>
      </c>
    </row>
    <row r="39" spans="3:16" ht="15.75" thickBot="1" x14ac:dyDescent="0.3">
      <c r="C39" s="143" t="s">
        <v>86</v>
      </c>
      <c r="D39" s="132">
        <v>1688</v>
      </c>
      <c r="E39" s="132">
        <v>689</v>
      </c>
      <c r="F39" s="132">
        <f t="shared" si="1"/>
        <v>1357</v>
      </c>
      <c r="G39" s="132">
        <v>331</v>
      </c>
      <c r="H39" s="132">
        <v>151</v>
      </c>
      <c r="I39" s="132">
        <v>1616</v>
      </c>
      <c r="J39" s="132">
        <v>669</v>
      </c>
      <c r="K39" s="132">
        <v>324</v>
      </c>
      <c r="L39" s="132">
        <v>148</v>
      </c>
      <c r="M39" s="132">
        <v>72</v>
      </c>
      <c r="N39" s="132">
        <v>20</v>
      </c>
      <c r="O39" s="132">
        <v>7</v>
      </c>
      <c r="P39" s="144">
        <v>3</v>
      </c>
    </row>
    <row r="40" spans="3:16" ht="15.75" thickBot="1" x14ac:dyDescent="0.3">
      <c r="C40" s="145" t="s">
        <v>87</v>
      </c>
      <c r="D40" s="133">
        <v>754</v>
      </c>
      <c r="E40" s="133">
        <v>273</v>
      </c>
      <c r="F40" s="132">
        <f t="shared" si="1"/>
        <v>551</v>
      </c>
      <c r="G40" s="133">
        <v>203</v>
      </c>
      <c r="H40" s="133">
        <v>71</v>
      </c>
      <c r="I40" s="133">
        <v>693</v>
      </c>
      <c r="J40" s="133">
        <v>263</v>
      </c>
      <c r="K40" s="133">
        <v>199</v>
      </c>
      <c r="L40" s="133">
        <v>71</v>
      </c>
      <c r="M40" s="133">
        <v>61</v>
      </c>
      <c r="N40" s="133">
        <v>10</v>
      </c>
      <c r="O40" s="133">
        <v>4</v>
      </c>
      <c r="P40" s="146">
        <v>0</v>
      </c>
    </row>
    <row r="41" spans="3:16" ht="15.75" thickBot="1" x14ac:dyDescent="0.3">
      <c r="C41" s="143" t="s">
        <v>153</v>
      </c>
      <c r="D41" s="132">
        <v>199</v>
      </c>
      <c r="E41" s="132">
        <v>81</v>
      </c>
      <c r="F41" s="132">
        <f t="shared" si="1"/>
        <v>164</v>
      </c>
      <c r="G41" s="132">
        <v>35</v>
      </c>
      <c r="H41" s="132">
        <v>13</v>
      </c>
      <c r="I41" s="132">
        <v>179</v>
      </c>
      <c r="J41" s="132">
        <v>77</v>
      </c>
      <c r="K41" s="132">
        <v>33</v>
      </c>
      <c r="L41" s="132">
        <v>13</v>
      </c>
      <c r="M41" s="132">
        <v>20</v>
      </c>
      <c r="N41" s="132">
        <v>4</v>
      </c>
      <c r="O41" s="132">
        <v>2</v>
      </c>
      <c r="P41" s="144">
        <v>0</v>
      </c>
    </row>
    <row r="42" spans="3:16" ht="15.75" thickBot="1" x14ac:dyDescent="0.3">
      <c r="C42" s="145" t="s">
        <v>154</v>
      </c>
      <c r="D42" s="133">
        <v>141</v>
      </c>
      <c r="E42" s="133">
        <v>50</v>
      </c>
      <c r="F42" s="132">
        <f t="shared" si="1"/>
        <v>123</v>
      </c>
      <c r="G42" s="133">
        <v>18</v>
      </c>
      <c r="H42" s="133">
        <v>9</v>
      </c>
      <c r="I42" s="133">
        <v>140</v>
      </c>
      <c r="J42" s="133">
        <v>50</v>
      </c>
      <c r="K42" s="133">
        <v>18</v>
      </c>
      <c r="L42" s="133">
        <v>9</v>
      </c>
      <c r="M42" s="133">
        <v>1</v>
      </c>
      <c r="N42" s="133">
        <v>0</v>
      </c>
      <c r="O42" s="133">
        <v>0</v>
      </c>
      <c r="P42" s="146">
        <v>0</v>
      </c>
    </row>
    <row r="43" spans="3:16" ht="15.75" thickBot="1" x14ac:dyDescent="0.3">
      <c r="C43" s="153" t="s">
        <v>89</v>
      </c>
      <c r="D43" s="154"/>
      <c r="E43" s="154"/>
      <c r="F43" s="132">
        <f t="shared" si="1"/>
        <v>0</v>
      </c>
      <c r="G43" s="154"/>
      <c r="H43" s="154"/>
      <c r="I43" s="154"/>
      <c r="J43" s="154"/>
      <c r="K43" s="154"/>
      <c r="L43" s="154"/>
      <c r="M43" s="154"/>
      <c r="N43" s="154"/>
      <c r="O43" s="154"/>
      <c r="P43" s="155"/>
    </row>
    <row r="44" spans="3:16" ht="15.75" thickBot="1" x14ac:dyDescent="0.3">
      <c r="C44" s="156"/>
      <c r="D44" s="157"/>
      <c r="E44" s="157"/>
      <c r="F44" s="132">
        <f t="shared" si="1"/>
        <v>0</v>
      </c>
      <c r="G44" s="157"/>
      <c r="H44" s="157"/>
      <c r="I44" s="157"/>
      <c r="J44" s="157"/>
      <c r="K44" s="157"/>
      <c r="L44" s="157"/>
      <c r="M44" s="157"/>
      <c r="N44" s="157"/>
      <c r="O44" s="157"/>
      <c r="P44" s="158"/>
    </row>
    <row r="45" spans="3:16" ht="15.75" thickBot="1" x14ac:dyDescent="0.3">
      <c r="C45" s="143" t="s">
        <v>83</v>
      </c>
      <c r="D45" s="132">
        <v>1620</v>
      </c>
      <c r="E45" s="132">
        <v>746</v>
      </c>
      <c r="F45" s="132">
        <f t="shared" si="1"/>
        <v>1435</v>
      </c>
      <c r="G45" s="132">
        <v>185</v>
      </c>
      <c r="H45" s="132">
        <v>73</v>
      </c>
      <c r="I45" s="132">
        <v>1551</v>
      </c>
      <c r="J45" s="132">
        <v>722</v>
      </c>
      <c r="K45" s="132">
        <v>184</v>
      </c>
      <c r="L45" s="132">
        <v>73</v>
      </c>
      <c r="M45" s="132">
        <v>69</v>
      </c>
      <c r="N45" s="132">
        <v>24</v>
      </c>
      <c r="O45" s="132">
        <v>1</v>
      </c>
      <c r="P45" s="144">
        <v>0</v>
      </c>
    </row>
    <row r="46" spans="3:16" ht="15.75" thickBot="1" x14ac:dyDescent="0.3">
      <c r="C46" s="145" t="s">
        <v>151</v>
      </c>
      <c r="D46" s="133">
        <v>376</v>
      </c>
      <c r="E46" s="133">
        <v>207</v>
      </c>
      <c r="F46" s="132">
        <f t="shared" si="1"/>
        <v>367</v>
      </c>
      <c r="G46" s="133">
        <v>9</v>
      </c>
      <c r="H46" s="133">
        <v>3</v>
      </c>
      <c r="I46" s="133">
        <v>363</v>
      </c>
      <c r="J46" s="133">
        <v>200</v>
      </c>
      <c r="K46" s="133">
        <v>9</v>
      </c>
      <c r="L46" s="133">
        <v>3</v>
      </c>
      <c r="M46" s="133">
        <v>13</v>
      </c>
      <c r="N46" s="133">
        <v>7</v>
      </c>
      <c r="O46" s="133">
        <v>0</v>
      </c>
      <c r="P46" s="146">
        <v>0</v>
      </c>
    </row>
    <row r="47" spans="3:16" ht="15.75" thickBot="1" x14ac:dyDescent="0.3">
      <c r="C47" s="143" t="s">
        <v>152</v>
      </c>
      <c r="D47" s="132">
        <v>107</v>
      </c>
      <c r="E47" s="132">
        <v>61</v>
      </c>
      <c r="F47" s="132">
        <f t="shared" si="1"/>
        <v>101</v>
      </c>
      <c r="G47" s="132">
        <v>6</v>
      </c>
      <c r="H47" s="132">
        <v>3</v>
      </c>
      <c r="I47" s="132">
        <v>106</v>
      </c>
      <c r="J47" s="132">
        <v>60</v>
      </c>
      <c r="K47" s="132">
        <v>6</v>
      </c>
      <c r="L47" s="132">
        <v>3</v>
      </c>
      <c r="M47" s="132">
        <v>1</v>
      </c>
      <c r="N47" s="132">
        <v>1</v>
      </c>
      <c r="O47" s="132">
        <v>0</v>
      </c>
      <c r="P47" s="144">
        <v>0</v>
      </c>
    </row>
    <row r="48" spans="3:16" ht="15.75" thickBot="1" x14ac:dyDescent="0.3">
      <c r="C48" s="145" t="s">
        <v>85</v>
      </c>
      <c r="D48" s="133">
        <v>805</v>
      </c>
      <c r="E48" s="133">
        <v>356</v>
      </c>
      <c r="F48" s="132">
        <f t="shared" si="1"/>
        <v>696</v>
      </c>
      <c r="G48" s="133">
        <v>109</v>
      </c>
      <c r="H48" s="133">
        <v>47</v>
      </c>
      <c r="I48" s="133">
        <v>766</v>
      </c>
      <c r="J48" s="133">
        <v>344</v>
      </c>
      <c r="K48" s="133">
        <v>108</v>
      </c>
      <c r="L48" s="133">
        <v>47</v>
      </c>
      <c r="M48" s="133">
        <v>39</v>
      </c>
      <c r="N48" s="133">
        <v>12</v>
      </c>
      <c r="O48" s="133">
        <v>1</v>
      </c>
      <c r="P48" s="146">
        <v>0</v>
      </c>
    </row>
    <row r="49" spans="3:16" ht="15.75" thickBot="1" x14ac:dyDescent="0.3">
      <c r="C49" s="143" t="s">
        <v>86</v>
      </c>
      <c r="D49" s="132">
        <v>217</v>
      </c>
      <c r="E49" s="132">
        <v>83</v>
      </c>
      <c r="F49" s="132">
        <f t="shared" si="1"/>
        <v>181</v>
      </c>
      <c r="G49" s="132">
        <v>36</v>
      </c>
      <c r="H49" s="132">
        <v>13</v>
      </c>
      <c r="I49" s="132">
        <v>206</v>
      </c>
      <c r="J49" s="132">
        <v>81</v>
      </c>
      <c r="K49" s="132">
        <v>36</v>
      </c>
      <c r="L49" s="132">
        <v>13</v>
      </c>
      <c r="M49" s="132">
        <v>11</v>
      </c>
      <c r="N49" s="132">
        <v>2</v>
      </c>
      <c r="O49" s="132">
        <v>0</v>
      </c>
      <c r="P49" s="144">
        <v>0</v>
      </c>
    </row>
    <row r="50" spans="3:16" ht="15.75" thickBot="1" x14ac:dyDescent="0.3">
      <c r="C50" s="145" t="s">
        <v>87</v>
      </c>
      <c r="D50" s="133">
        <v>115</v>
      </c>
      <c r="E50" s="133">
        <v>39</v>
      </c>
      <c r="F50" s="132">
        <f t="shared" si="1"/>
        <v>90</v>
      </c>
      <c r="G50" s="133">
        <v>25</v>
      </c>
      <c r="H50" s="133">
        <v>7</v>
      </c>
      <c r="I50" s="133">
        <v>110</v>
      </c>
      <c r="J50" s="133">
        <v>37</v>
      </c>
      <c r="K50" s="133">
        <v>25</v>
      </c>
      <c r="L50" s="133">
        <v>7</v>
      </c>
      <c r="M50" s="133">
        <v>5</v>
      </c>
      <c r="N50" s="133">
        <v>2</v>
      </c>
      <c r="O50" s="133">
        <v>0</v>
      </c>
      <c r="P50" s="146">
        <v>0</v>
      </c>
    </row>
    <row r="51" spans="3:16" ht="15.75" thickBot="1" x14ac:dyDescent="0.3">
      <c r="C51" s="143" t="s">
        <v>153</v>
      </c>
      <c r="D51" s="132">
        <v>24</v>
      </c>
      <c r="E51" s="132">
        <v>12</v>
      </c>
      <c r="F51" s="132">
        <f t="shared" si="1"/>
        <v>21</v>
      </c>
      <c r="G51" s="132">
        <v>3</v>
      </c>
      <c r="H51" s="132">
        <v>2</v>
      </c>
      <c r="I51" s="132">
        <v>24</v>
      </c>
      <c r="J51" s="132">
        <v>12</v>
      </c>
      <c r="K51" s="132">
        <v>3</v>
      </c>
      <c r="L51" s="132">
        <v>2</v>
      </c>
      <c r="M51" s="132">
        <v>0</v>
      </c>
      <c r="N51" s="132">
        <v>0</v>
      </c>
      <c r="O51" s="132">
        <v>0</v>
      </c>
      <c r="P51" s="144">
        <v>0</v>
      </c>
    </row>
    <row r="52" spans="3:16" ht="15.75" thickBot="1" x14ac:dyDescent="0.3">
      <c r="C52" s="145" t="s">
        <v>154</v>
      </c>
      <c r="D52" s="133">
        <v>22</v>
      </c>
      <c r="E52" s="133">
        <v>8</v>
      </c>
      <c r="F52" s="132">
        <f t="shared" si="1"/>
        <v>19</v>
      </c>
      <c r="G52" s="133">
        <v>3</v>
      </c>
      <c r="H52" s="133">
        <v>2</v>
      </c>
      <c r="I52" s="133">
        <v>22</v>
      </c>
      <c r="J52" s="133">
        <v>8</v>
      </c>
      <c r="K52" s="133">
        <v>3</v>
      </c>
      <c r="L52" s="133">
        <v>2</v>
      </c>
      <c r="M52" s="133">
        <v>0</v>
      </c>
      <c r="N52" s="133">
        <v>0</v>
      </c>
      <c r="O52" s="133">
        <v>0</v>
      </c>
      <c r="P52" s="146">
        <v>0</v>
      </c>
    </row>
    <row r="53" spans="3:16" ht="15.75" thickBot="1" x14ac:dyDescent="0.3">
      <c r="C53" s="153" t="s">
        <v>90</v>
      </c>
      <c r="D53" s="154"/>
      <c r="E53" s="154"/>
      <c r="F53" s="132">
        <f t="shared" si="1"/>
        <v>0</v>
      </c>
      <c r="G53" s="154"/>
      <c r="H53" s="154"/>
      <c r="I53" s="154"/>
      <c r="J53" s="154"/>
      <c r="K53" s="154"/>
      <c r="L53" s="154"/>
      <c r="M53" s="154"/>
      <c r="N53" s="154"/>
      <c r="O53" s="154"/>
      <c r="P53" s="155"/>
    </row>
    <row r="54" spans="3:16" ht="15.75" thickBot="1" x14ac:dyDescent="0.3">
      <c r="C54" s="156"/>
      <c r="D54" s="157"/>
      <c r="E54" s="157"/>
      <c r="F54" s="132">
        <f t="shared" si="1"/>
        <v>0</v>
      </c>
      <c r="G54" s="157"/>
      <c r="H54" s="157"/>
      <c r="I54" s="157"/>
      <c r="J54" s="157"/>
      <c r="K54" s="157"/>
      <c r="L54" s="157"/>
      <c r="M54" s="157"/>
      <c r="N54" s="157"/>
      <c r="O54" s="157"/>
      <c r="P54" s="158"/>
    </row>
    <row r="55" spans="3:16" ht="15.75" thickBot="1" x14ac:dyDescent="0.3">
      <c r="C55" s="143" t="s">
        <v>83</v>
      </c>
      <c r="D55" s="132">
        <v>808</v>
      </c>
      <c r="E55" s="132">
        <v>369</v>
      </c>
      <c r="F55" s="132">
        <f t="shared" si="1"/>
        <v>569</v>
      </c>
      <c r="G55" s="132">
        <v>239</v>
      </c>
      <c r="H55" s="132">
        <v>108</v>
      </c>
      <c r="I55" s="132">
        <v>808</v>
      </c>
      <c r="J55" s="132">
        <v>369</v>
      </c>
      <c r="K55" s="132">
        <v>239</v>
      </c>
      <c r="L55" s="132">
        <v>108</v>
      </c>
      <c r="M55" s="132">
        <v>0</v>
      </c>
      <c r="N55" s="132">
        <v>0</v>
      </c>
      <c r="O55" s="132">
        <v>0</v>
      </c>
      <c r="P55" s="144">
        <v>0</v>
      </c>
    </row>
    <row r="56" spans="3:16" ht="15.75" thickBot="1" x14ac:dyDescent="0.3">
      <c r="C56" s="145" t="s">
        <v>151</v>
      </c>
      <c r="D56" s="133">
        <v>39</v>
      </c>
      <c r="E56" s="133">
        <v>20</v>
      </c>
      <c r="F56" s="132">
        <f t="shared" si="1"/>
        <v>39</v>
      </c>
      <c r="G56" s="133">
        <v>0</v>
      </c>
      <c r="H56" s="133">
        <v>0</v>
      </c>
      <c r="I56" s="133">
        <v>39</v>
      </c>
      <c r="J56" s="133">
        <v>20</v>
      </c>
      <c r="K56" s="133">
        <v>0</v>
      </c>
      <c r="L56" s="133">
        <v>0</v>
      </c>
      <c r="M56" s="133">
        <v>0</v>
      </c>
      <c r="N56" s="133">
        <v>0</v>
      </c>
      <c r="O56" s="133">
        <v>0</v>
      </c>
      <c r="P56" s="146">
        <v>0</v>
      </c>
    </row>
    <row r="57" spans="3:16" ht="15.75" thickBot="1" x14ac:dyDescent="0.3">
      <c r="C57" s="143" t="s">
        <v>152</v>
      </c>
      <c r="D57" s="132">
        <v>12</v>
      </c>
      <c r="E57" s="132">
        <v>4</v>
      </c>
      <c r="F57" s="132">
        <f t="shared" si="1"/>
        <v>11</v>
      </c>
      <c r="G57" s="132">
        <v>1</v>
      </c>
      <c r="H57" s="132">
        <v>1</v>
      </c>
      <c r="I57" s="132">
        <v>12</v>
      </c>
      <c r="J57" s="132">
        <v>4</v>
      </c>
      <c r="K57" s="132">
        <v>1</v>
      </c>
      <c r="L57" s="132">
        <v>1</v>
      </c>
      <c r="M57" s="132">
        <v>0</v>
      </c>
      <c r="N57" s="132">
        <v>0</v>
      </c>
      <c r="O57" s="132">
        <v>0</v>
      </c>
      <c r="P57" s="144">
        <v>0</v>
      </c>
    </row>
    <row r="58" spans="3:16" ht="15.75" thickBot="1" x14ac:dyDescent="0.3">
      <c r="C58" s="145" t="s">
        <v>85</v>
      </c>
      <c r="D58" s="133">
        <v>503</v>
      </c>
      <c r="E58" s="133">
        <v>239</v>
      </c>
      <c r="F58" s="132">
        <f t="shared" si="1"/>
        <v>400</v>
      </c>
      <c r="G58" s="133">
        <v>103</v>
      </c>
      <c r="H58" s="133">
        <v>55</v>
      </c>
      <c r="I58" s="133">
        <v>503</v>
      </c>
      <c r="J58" s="133">
        <v>239</v>
      </c>
      <c r="K58" s="133">
        <v>103</v>
      </c>
      <c r="L58" s="133">
        <v>55</v>
      </c>
      <c r="M58" s="133">
        <v>0</v>
      </c>
      <c r="N58" s="133">
        <v>0</v>
      </c>
      <c r="O58" s="133">
        <v>0</v>
      </c>
      <c r="P58" s="146">
        <v>0</v>
      </c>
    </row>
    <row r="59" spans="3:16" ht="15.75" thickBot="1" x14ac:dyDescent="0.3">
      <c r="C59" s="143" t="s">
        <v>86</v>
      </c>
      <c r="D59" s="132">
        <v>163</v>
      </c>
      <c r="E59" s="132">
        <v>76</v>
      </c>
      <c r="F59" s="132">
        <f t="shared" si="1"/>
        <v>84</v>
      </c>
      <c r="G59" s="132">
        <v>79</v>
      </c>
      <c r="H59" s="132">
        <v>38</v>
      </c>
      <c r="I59" s="132">
        <v>163</v>
      </c>
      <c r="J59" s="132">
        <v>76</v>
      </c>
      <c r="K59" s="132">
        <v>79</v>
      </c>
      <c r="L59" s="132">
        <v>38</v>
      </c>
      <c r="M59" s="132">
        <v>0</v>
      </c>
      <c r="N59" s="132">
        <v>0</v>
      </c>
      <c r="O59" s="132">
        <v>0</v>
      </c>
      <c r="P59" s="144">
        <v>0</v>
      </c>
    </row>
    <row r="60" spans="3:16" ht="15.75" thickBot="1" x14ac:dyDescent="0.3">
      <c r="C60" s="145" t="s">
        <v>87</v>
      </c>
      <c r="D60" s="133">
        <v>91</v>
      </c>
      <c r="E60" s="133">
        <v>30</v>
      </c>
      <c r="F60" s="132">
        <f t="shared" si="1"/>
        <v>35</v>
      </c>
      <c r="G60" s="133">
        <v>56</v>
      </c>
      <c r="H60" s="133">
        <v>14</v>
      </c>
      <c r="I60" s="133">
        <v>91</v>
      </c>
      <c r="J60" s="133">
        <v>30</v>
      </c>
      <c r="K60" s="133">
        <v>56</v>
      </c>
      <c r="L60" s="133">
        <v>14</v>
      </c>
      <c r="M60" s="133">
        <v>0</v>
      </c>
      <c r="N60" s="133">
        <v>0</v>
      </c>
      <c r="O60" s="133">
        <v>0</v>
      </c>
      <c r="P60" s="146">
        <v>0</v>
      </c>
    </row>
    <row r="61" spans="3:16" ht="15.75" thickBot="1" x14ac:dyDescent="0.3">
      <c r="C61" s="143" t="s">
        <v>153</v>
      </c>
      <c r="D61" s="132">
        <v>26</v>
      </c>
      <c r="E61" s="132">
        <v>13</v>
      </c>
      <c r="F61" s="132">
        <f t="shared" si="1"/>
        <v>15</v>
      </c>
      <c r="G61" s="132">
        <v>11</v>
      </c>
      <c r="H61" s="132">
        <v>3</v>
      </c>
      <c r="I61" s="132">
        <v>26</v>
      </c>
      <c r="J61" s="132">
        <v>13</v>
      </c>
      <c r="K61" s="132">
        <v>11</v>
      </c>
      <c r="L61" s="132">
        <v>3</v>
      </c>
      <c r="M61" s="132">
        <v>0</v>
      </c>
      <c r="N61" s="132">
        <v>0</v>
      </c>
      <c r="O61" s="132">
        <v>0</v>
      </c>
      <c r="P61" s="144">
        <v>0</v>
      </c>
    </row>
    <row r="62" spans="3:16" ht="15.75" thickBot="1" x14ac:dyDescent="0.3">
      <c r="C62" s="145" t="s">
        <v>154</v>
      </c>
      <c r="D62" s="133">
        <v>10</v>
      </c>
      <c r="E62" s="133">
        <v>3</v>
      </c>
      <c r="F62" s="132">
        <f t="shared" si="1"/>
        <v>6</v>
      </c>
      <c r="G62" s="133">
        <v>4</v>
      </c>
      <c r="H62" s="133">
        <v>1</v>
      </c>
      <c r="I62" s="133">
        <v>10</v>
      </c>
      <c r="J62" s="133">
        <v>3</v>
      </c>
      <c r="K62" s="133">
        <v>4</v>
      </c>
      <c r="L62" s="133">
        <v>1</v>
      </c>
      <c r="M62" s="133">
        <v>0</v>
      </c>
      <c r="N62" s="133">
        <v>0</v>
      </c>
      <c r="O62" s="133">
        <v>0</v>
      </c>
      <c r="P62" s="146">
        <v>0</v>
      </c>
    </row>
    <row r="63" spans="3:16" ht="15.75" thickBot="1" x14ac:dyDescent="0.3">
      <c r="C63" s="153" t="s">
        <v>91</v>
      </c>
      <c r="D63" s="154"/>
      <c r="E63" s="154"/>
      <c r="F63" s="132">
        <f t="shared" si="1"/>
        <v>0</v>
      </c>
      <c r="G63" s="154"/>
      <c r="H63" s="154"/>
      <c r="I63" s="154"/>
      <c r="J63" s="154"/>
      <c r="K63" s="154"/>
      <c r="L63" s="154"/>
      <c r="M63" s="154"/>
      <c r="N63" s="154"/>
      <c r="O63" s="154"/>
      <c r="P63" s="155"/>
    </row>
    <row r="64" spans="3:16" ht="15.75" thickBot="1" x14ac:dyDescent="0.3">
      <c r="C64" s="156"/>
      <c r="D64" s="157"/>
      <c r="E64" s="157"/>
      <c r="F64" s="132">
        <f t="shared" si="1"/>
        <v>0</v>
      </c>
      <c r="G64" s="157"/>
      <c r="H64" s="157"/>
      <c r="I64" s="157"/>
      <c r="J64" s="157"/>
      <c r="K64" s="157"/>
      <c r="L64" s="157"/>
      <c r="M64" s="157"/>
      <c r="N64" s="157"/>
      <c r="O64" s="157"/>
      <c r="P64" s="158"/>
    </row>
    <row r="65" spans="3:16" ht="15.75" thickBot="1" x14ac:dyDescent="0.3">
      <c r="C65" s="143" t="s">
        <v>83</v>
      </c>
      <c r="D65" s="132">
        <v>1055</v>
      </c>
      <c r="E65" s="132">
        <v>490</v>
      </c>
      <c r="F65" s="132">
        <f t="shared" si="1"/>
        <v>914</v>
      </c>
      <c r="G65" s="132">
        <v>141</v>
      </c>
      <c r="H65" s="132">
        <v>73</v>
      </c>
      <c r="I65" s="132">
        <v>850</v>
      </c>
      <c r="J65" s="132">
        <v>395</v>
      </c>
      <c r="K65" s="132">
        <v>129</v>
      </c>
      <c r="L65" s="132">
        <v>67</v>
      </c>
      <c r="M65" s="132">
        <v>205</v>
      </c>
      <c r="N65" s="132">
        <v>95</v>
      </c>
      <c r="O65" s="132">
        <v>12</v>
      </c>
      <c r="P65" s="144">
        <v>6</v>
      </c>
    </row>
    <row r="66" spans="3:16" ht="15.75" thickBot="1" x14ac:dyDescent="0.3">
      <c r="C66" s="145" t="s">
        <v>151</v>
      </c>
      <c r="D66" s="133">
        <v>251</v>
      </c>
      <c r="E66" s="133">
        <v>132</v>
      </c>
      <c r="F66" s="132">
        <f t="shared" si="1"/>
        <v>240</v>
      </c>
      <c r="G66" s="133">
        <v>11</v>
      </c>
      <c r="H66" s="133">
        <v>10</v>
      </c>
      <c r="I66" s="133">
        <v>159</v>
      </c>
      <c r="J66" s="133">
        <v>89</v>
      </c>
      <c r="K66" s="133">
        <v>11</v>
      </c>
      <c r="L66" s="133">
        <v>10</v>
      </c>
      <c r="M66" s="133">
        <v>92</v>
      </c>
      <c r="N66" s="133">
        <v>43</v>
      </c>
      <c r="O66" s="133">
        <v>0</v>
      </c>
      <c r="P66" s="146">
        <v>0</v>
      </c>
    </row>
    <row r="67" spans="3:16" ht="15.75" thickBot="1" x14ac:dyDescent="0.3">
      <c r="C67" s="143" t="s">
        <v>152</v>
      </c>
      <c r="D67" s="132">
        <v>63</v>
      </c>
      <c r="E67" s="132">
        <v>33</v>
      </c>
      <c r="F67" s="132">
        <f t="shared" si="1"/>
        <v>53</v>
      </c>
      <c r="G67" s="132">
        <v>10</v>
      </c>
      <c r="H67" s="132">
        <v>6</v>
      </c>
      <c r="I67" s="132">
        <v>53</v>
      </c>
      <c r="J67" s="132">
        <v>29</v>
      </c>
      <c r="K67" s="132">
        <v>10</v>
      </c>
      <c r="L67" s="132">
        <v>6</v>
      </c>
      <c r="M67" s="132">
        <v>10</v>
      </c>
      <c r="N67" s="132">
        <v>4</v>
      </c>
      <c r="O67" s="132">
        <v>0</v>
      </c>
      <c r="P67" s="144">
        <v>0</v>
      </c>
    </row>
    <row r="68" spans="3:16" ht="15.75" thickBot="1" x14ac:dyDescent="0.3">
      <c r="C68" s="145" t="s">
        <v>85</v>
      </c>
      <c r="D68" s="133">
        <v>549</v>
      </c>
      <c r="E68" s="133">
        <v>242</v>
      </c>
      <c r="F68" s="132">
        <f t="shared" si="1"/>
        <v>481</v>
      </c>
      <c r="G68" s="133">
        <v>68</v>
      </c>
      <c r="H68" s="133">
        <v>33</v>
      </c>
      <c r="I68" s="133">
        <v>463</v>
      </c>
      <c r="J68" s="133">
        <v>201</v>
      </c>
      <c r="K68" s="133">
        <v>60</v>
      </c>
      <c r="L68" s="133">
        <v>29</v>
      </c>
      <c r="M68" s="133">
        <v>86</v>
      </c>
      <c r="N68" s="133">
        <v>41</v>
      </c>
      <c r="O68" s="133">
        <v>8</v>
      </c>
      <c r="P68" s="146">
        <v>4</v>
      </c>
    </row>
    <row r="69" spans="3:16" ht="15.75" thickBot="1" x14ac:dyDescent="0.3">
      <c r="C69" s="143" t="s">
        <v>86</v>
      </c>
      <c r="D69" s="132">
        <v>143</v>
      </c>
      <c r="E69" s="132">
        <v>58</v>
      </c>
      <c r="F69" s="132">
        <f t="shared" si="1"/>
        <v>102</v>
      </c>
      <c r="G69" s="132">
        <v>41</v>
      </c>
      <c r="H69" s="132">
        <v>17</v>
      </c>
      <c r="I69" s="132">
        <v>127</v>
      </c>
      <c r="J69" s="132">
        <v>51</v>
      </c>
      <c r="K69" s="132">
        <v>38</v>
      </c>
      <c r="L69" s="132">
        <v>15</v>
      </c>
      <c r="M69" s="132">
        <v>16</v>
      </c>
      <c r="N69" s="132">
        <v>7</v>
      </c>
      <c r="O69" s="132">
        <v>3</v>
      </c>
      <c r="P69" s="144">
        <v>2</v>
      </c>
    </row>
    <row r="70" spans="3:16" ht="15.75" thickBot="1" x14ac:dyDescent="0.3">
      <c r="C70" s="145" t="s">
        <v>87</v>
      </c>
      <c r="D70" s="133">
        <v>49</v>
      </c>
      <c r="E70" s="133">
        <v>25</v>
      </c>
      <c r="F70" s="132">
        <f t="shared" si="1"/>
        <v>38</v>
      </c>
      <c r="G70" s="133">
        <v>11</v>
      </c>
      <c r="H70" s="133">
        <v>7</v>
      </c>
      <c r="I70" s="133">
        <v>48</v>
      </c>
      <c r="J70" s="133">
        <v>25</v>
      </c>
      <c r="K70" s="133">
        <v>10</v>
      </c>
      <c r="L70" s="133">
        <v>7</v>
      </c>
      <c r="M70" s="133">
        <v>1</v>
      </c>
      <c r="N70" s="133">
        <v>0</v>
      </c>
      <c r="O70" s="133">
        <v>1</v>
      </c>
      <c r="P70" s="146">
        <v>0</v>
      </c>
    </row>
    <row r="71" spans="3:16" ht="15.75" thickBot="1" x14ac:dyDescent="0.3">
      <c r="C71" s="143" t="s">
        <v>153</v>
      </c>
      <c r="D71" s="132">
        <v>10</v>
      </c>
      <c r="E71" s="132">
        <v>8</v>
      </c>
      <c r="F71" s="132">
        <f t="shared" si="1"/>
        <v>8</v>
      </c>
      <c r="G71" s="132">
        <v>2</v>
      </c>
      <c r="H71" s="132">
        <v>2</v>
      </c>
      <c r="I71" s="132">
        <v>10</v>
      </c>
      <c r="J71" s="132">
        <v>8</v>
      </c>
      <c r="K71" s="132">
        <v>2</v>
      </c>
      <c r="L71" s="132">
        <v>2</v>
      </c>
      <c r="M71" s="132">
        <v>0</v>
      </c>
      <c r="N71" s="132">
        <v>0</v>
      </c>
      <c r="O71" s="132">
        <v>0</v>
      </c>
      <c r="P71" s="144">
        <v>0</v>
      </c>
    </row>
    <row r="72" spans="3:16" ht="15.75" thickBot="1" x14ac:dyDescent="0.3">
      <c r="C72" s="145" t="s">
        <v>154</v>
      </c>
      <c r="D72" s="133">
        <v>13</v>
      </c>
      <c r="E72" s="133">
        <v>7</v>
      </c>
      <c r="F72" s="132">
        <f t="shared" si="1"/>
        <v>11</v>
      </c>
      <c r="G72" s="133">
        <v>2</v>
      </c>
      <c r="H72" s="133">
        <v>2</v>
      </c>
      <c r="I72" s="133">
        <v>13</v>
      </c>
      <c r="J72" s="133">
        <v>7</v>
      </c>
      <c r="K72" s="133">
        <v>2</v>
      </c>
      <c r="L72" s="133">
        <v>2</v>
      </c>
      <c r="M72" s="133">
        <v>0</v>
      </c>
      <c r="N72" s="133">
        <v>0</v>
      </c>
      <c r="O72" s="133">
        <v>0</v>
      </c>
      <c r="P72" s="146">
        <v>0</v>
      </c>
    </row>
    <row r="73" spans="3:16" ht="15.75" thickBot="1" x14ac:dyDescent="0.3">
      <c r="C73" s="153" t="s">
        <v>92</v>
      </c>
      <c r="D73" s="154"/>
      <c r="E73" s="154"/>
      <c r="F73" s="132">
        <f t="shared" si="1"/>
        <v>0</v>
      </c>
      <c r="G73" s="154"/>
      <c r="H73" s="154"/>
      <c r="I73" s="154"/>
      <c r="J73" s="154"/>
      <c r="K73" s="154"/>
      <c r="L73" s="154"/>
      <c r="M73" s="154"/>
      <c r="N73" s="154"/>
      <c r="O73" s="154"/>
      <c r="P73" s="155"/>
    </row>
    <row r="74" spans="3:16" ht="15.75" thickBot="1" x14ac:dyDescent="0.3">
      <c r="C74" s="156"/>
      <c r="D74" s="157"/>
      <c r="E74" s="157"/>
      <c r="F74" s="132">
        <f t="shared" si="1"/>
        <v>0</v>
      </c>
      <c r="G74" s="157"/>
      <c r="H74" s="157"/>
      <c r="I74" s="157"/>
      <c r="J74" s="157"/>
      <c r="K74" s="157"/>
      <c r="L74" s="157"/>
      <c r="M74" s="157"/>
      <c r="N74" s="157"/>
      <c r="O74" s="157"/>
      <c r="P74" s="158"/>
    </row>
    <row r="75" spans="3:16" ht="15.75" thickBot="1" x14ac:dyDescent="0.3">
      <c r="C75" s="143" t="s">
        <v>83</v>
      </c>
      <c r="D75" s="132">
        <v>1128</v>
      </c>
      <c r="E75" s="132">
        <v>497</v>
      </c>
      <c r="F75" s="132">
        <f t="shared" si="1"/>
        <v>1042</v>
      </c>
      <c r="G75" s="132">
        <v>86</v>
      </c>
      <c r="H75" s="132">
        <v>46</v>
      </c>
      <c r="I75" s="132">
        <v>1110</v>
      </c>
      <c r="J75" s="132">
        <v>493</v>
      </c>
      <c r="K75" s="132">
        <v>85</v>
      </c>
      <c r="L75" s="132">
        <v>46</v>
      </c>
      <c r="M75" s="132">
        <v>18</v>
      </c>
      <c r="N75" s="132">
        <v>4</v>
      </c>
      <c r="O75" s="132">
        <v>1</v>
      </c>
      <c r="P75" s="144">
        <v>0</v>
      </c>
    </row>
    <row r="76" spans="3:16" ht="15.75" thickBot="1" x14ac:dyDescent="0.3">
      <c r="C76" s="145" t="s">
        <v>151</v>
      </c>
      <c r="D76" s="133">
        <v>72</v>
      </c>
      <c r="E76" s="133">
        <v>38</v>
      </c>
      <c r="F76" s="132">
        <f t="shared" si="1"/>
        <v>72</v>
      </c>
      <c r="G76" s="133">
        <v>0</v>
      </c>
      <c r="H76" s="133">
        <v>0</v>
      </c>
      <c r="I76" s="133">
        <v>72</v>
      </c>
      <c r="J76" s="133">
        <v>38</v>
      </c>
      <c r="K76" s="133">
        <v>0</v>
      </c>
      <c r="L76" s="133">
        <v>0</v>
      </c>
      <c r="M76" s="133">
        <v>0</v>
      </c>
      <c r="N76" s="133">
        <v>0</v>
      </c>
      <c r="O76" s="133">
        <v>0</v>
      </c>
      <c r="P76" s="146">
        <v>0</v>
      </c>
    </row>
    <row r="77" spans="3:16" ht="15.75" thickBot="1" x14ac:dyDescent="0.3">
      <c r="C77" s="143" t="s">
        <v>152</v>
      </c>
      <c r="D77" s="132">
        <v>37</v>
      </c>
      <c r="E77" s="132">
        <v>23</v>
      </c>
      <c r="F77" s="132">
        <f t="shared" si="1"/>
        <v>34</v>
      </c>
      <c r="G77" s="132">
        <v>3</v>
      </c>
      <c r="H77" s="132">
        <v>2</v>
      </c>
      <c r="I77" s="132">
        <v>37</v>
      </c>
      <c r="J77" s="132">
        <v>23</v>
      </c>
      <c r="K77" s="132">
        <v>3</v>
      </c>
      <c r="L77" s="132">
        <v>2</v>
      </c>
      <c r="M77" s="132">
        <v>0</v>
      </c>
      <c r="N77" s="132">
        <v>0</v>
      </c>
      <c r="O77" s="132">
        <v>0</v>
      </c>
      <c r="P77" s="144">
        <v>0</v>
      </c>
    </row>
    <row r="78" spans="3:16" ht="15.75" thickBot="1" x14ac:dyDescent="0.3">
      <c r="C78" s="145" t="s">
        <v>85</v>
      </c>
      <c r="D78" s="133">
        <v>774</v>
      </c>
      <c r="E78" s="133">
        <v>347</v>
      </c>
      <c r="F78" s="132">
        <f t="shared" si="1"/>
        <v>731</v>
      </c>
      <c r="G78" s="133">
        <v>43</v>
      </c>
      <c r="H78" s="133">
        <v>20</v>
      </c>
      <c r="I78" s="133">
        <v>763</v>
      </c>
      <c r="J78" s="133">
        <v>343</v>
      </c>
      <c r="K78" s="133">
        <v>42</v>
      </c>
      <c r="L78" s="133">
        <v>20</v>
      </c>
      <c r="M78" s="133">
        <v>11</v>
      </c>
      <c r="N78" s="133">
        <v>4</v>
      </c>
      <c r="O78" s="133">
        <v>1</v>
      </c>
      <c r="P78" s="146">
        <v>0</v>
      </c>
    </row>
    <row r="79" spans="3:16" ht="15.75" thickBot="1" x14ac:dyDescent="0.3">
      <c r="C79" s="143" t="s">
        <v>86</v>
      </c>
      <c r="D79" s="132">
        <v>187</v>
      </c>
      <c r="E79" s="132">
        <v>68</v>
      </c>
      <c r="F79" s="132">
        <f t="shared" si="1"/>
        <v>161</v>
      </c>
      <c r="G79" s="132">
        <v>26</v>
      </c>
      <c r="H79" s="132">
        <v>15</v>
      </c>
      <c r="I79" s="132">
        <v>187</v>
      </c>
      <c r="J79" s="132">
        <v>68</v>
      </c>
      <c r="K79" s="132">
        <v>26</v>
      </c>
      <c r="L79" s="132">
        <v>15</v>
      </c>
      <c r="M79" s="132">
        <v>0</v>
      </c>
      <c r="N79" s="132">
        <v>0</v>
      </c>
      <c r="O79" s="132">
        <v>0</v>
      </c>
      <c r="P79" s="144">
        <v>0</v>
      </c>
    </row>
    <row r="80" spans="3:16" ht="15.75" thickBot="1" x14ac:dyDescent="0.3">
      <c r="C80" s="145" t="s">
        <v>87</v>
      </c>
      <c r="D80" s="133">
        <v>58</v>
      </c>
      <c r="E80" s="133">
        <v>21</v>
      </c>
      <c r="F80" s="132">
        <f t="shared" si="1"/>
        <v>44</v>
      </c>
      <c r="G80" s="133">
        <v>14</v>
      </c>
      <c r="H80" s="133">
        <v>9</v>
      </c>
      <c r="I80" s="133">
        <v>51</v>
      </c>
      <c r="J80" s="133">
        <v>21</v>
      </c>
      <c r="K80" s="133">
        <v>14</v>
      </c>
      <c r="L80" s="133">
        <v>9</v>
      </c>
      <c r="M80" s="133">
        <v>7</v>
      </c>
      <c r="N80" s="133">
        <v>0</v>
      </c>
      <c r="O80" s="133">
        <v>0</v>
      </c>
      <c r="P80" s="146">
        <v>0</v>
      </c>
    </row>
    <row r="81" spans="3:16" ht="15.75" thickBot="1" x14ac:dyDescent="0.3">
      <c r="C81" s="143" t="s">
        <v>153</v>
      </c>
      <c r="D81" s="132">
        <v>22</v>
      </c>
      <c r="E81" s="132">
        <v>8</v>
      </c>
      <c r="F81" s="132">
        <f t="shared" si="1"/>
        <v>20</v>
      </c>
      <c r="G81" s="132">
        <v>2</v>
      </c>
      <c r="H81" s="132">
        <v>1</v>
      </c>
      <c r="I81" s="132">
        <v>22</v>
      </c>
      <c r="J81" s="132">
        <v>8</v>
      </c>
      <c r="K81" s="132">
        <v>2</v>
      </c>
      <c r="L81" s="132">
        <v>1</v>
      </c>
      <c r="M81" s="132">
        <v>0</v>
      </c>
      <c r="N81" s="132">
        <v>0</v>
      </c>
      <c r="O81" s="132">
        <v>0</v>
      </c>
      <c r="P81" s="144">
        <v>0</v>
      </c>
    </row>
    <row r="82" spans="3:16" ht="15.75" thickBot="1" x14ac:dyDescent="0.3">
      <c r="C82" s="156" t="s">
        <v>93</v>
      </c>
      <c r="D82" s="157"/>
      <c r="E82" s="157"/>
      <c r="F82" s="132">
        <f t="shared" si="1"/>
        <v>0</v>
      </c>
      <c r="G82" s="157"/>
      <c r="H82" s="157"/>
      <c r="I82" s="157"/>
      <c r="J82" s="157"/>
      <c r="K82" s="157"/>
      <c r="L82" s="157"/>
      <c r="M82" s="157"/>
      <c r="N82" s="157"/>
      <c r="O82" s="157"/>
      <c r="P82" s="158"/>
    </row>
    <row r="83" spans="3:16" ht="15.75" thickBot="1" x14ac:dyDescent="0.3">
      <c r="C83" s="153"/>
      <c r="D83" s="154"/>
      <c r="E83" s="154"/>
      <c r="F83" s="132">
        <f t="shared" si="1"/>
        <v>0</v>
      </c>
      <c r="G83" s="154"/>
      <c r="H83" s="154"/>
      <c r="I83" s="154"/>
      <c r="J83" s="154"/>
      <c r="K83" s="154"/>
      <c r="L83" s="154"/>
      <c r="M83" s="154"/>
      <c r="N83" s="154"/>
      <c r="O83" s="154"/>
      <c r="P83" s="155"/>
    </row>
    <row r="84" spans="3:16" ht="15.75" thickBot="1" x14ac:dyDescent="0.3">
      <c r="C84" s="145" t="s">
        <v>83</v>
      </c>
      <c r="D84" s="133">
        <v>831</v>
      </c>
      <c r="E84" s="133">
        <v>375</v>
      </c>
      <c r="F84" s="132">
        <f t="shared" si="1"/>
        <v>716</v>
      </c>
      <c r="G84" s="133">
        <v>115</v>
      </c>
      <c r="H84" s="133">
        <v>55</v>
      </c>
      <c r="I84" s="133">
        <v>792</v>
      </c>
      <c r="J84" s="133">
        <v>368</v>
      </c>
      <c r="K84" s="133">
        <v>114</v>
      </c>
      <c r="L84" s="133">
        <v>55</v>
      </c>
      <c r="M84" s="133">
        <v>39</v>
      </c>
      <c r="N84" s="133">
        <v>7</v>
      </c>
      <c r="O84" s="133">
        <v>1</v>
      </c>
      <c r="P84" s="146">
        <v>0</v>
      </c>
    </row>
    <row r="85" spans="3:16" ht="15.75" thickBot="1" x14ac:dyDescent="0.3">
      <c r="C85" s="143" t="s">
        <v>151</v>
      </c>
      <c r="D85" s="132">
        <v>23</v>
      </c>
      <c r="E85" s="132">
        <v>9</v>
      </c>
      <c r="F85" s="132">
        <f t="shared" si="1"/>
        <v>23</v>
      </c>
      <c r="G85" s="132">
        <v>0</v>
      </c>
      <c r="H85" s="132">
        <v>0</v>
      </c>
      <c r="I85" s="132">
        <v>23</v>
      </c>
      <c r="J85" s="132">
        <v>9</v>
      </c>
      <c r="K85" s="132">
        <v>0</v>
      </c>
      <c r="L85" s="132">
        <v>0</v>
      </c>
      <c r="M85" s="132">
        <v>0</v>
      </c>
      <c r="N85" s="132">
        <v>0</v>
      </c>
      <c r="O85" s="132">
        <v>0</v>
      </c>
      <c r="P85" s="144">
        <v>0</v>
      </c>
    </row>
    <row r="86" spans="3:16" ht="15.75" thickBot="1" x14ac:dyDescent="0.3">
      <c r="C86" s="145" t="s">
        <v>152</v>
      </c>
      <c r="D86" s="133">
        <v>16</v>
      </c>
      <c r="E86" s="133">
        <v>10</v>
      </c>
      <c r="F86" s="132">
        <f t="shared" si="1"/>
        <v>16</v>
      </c>
      <c r="G86" s="133">
        <v>0</v>
      </c>
      <c r="H86" s="133">
        <v>0</v>
      </c>
      <c r="I86" s="133">
        <v>15</v>
      </c>
      <c r="J86" s="133">
        <v>10</v>
      </c>
      <c r="K86" s="133">
        <v>0</v>
      </c>
      <c r="L86" s="133">
        <v>0</v>
      </c>
      <c r="M86" s="133">
        <v>1</v>
      </c>
      <c r="N86" s="133">
        <v>0</v>
      </c>
      <c r="O86" s="133">
        <v>0</v>
      </c>
      <c r="P86" s="146">
        <v>0</v>
      </c>
    </row>
    <row r="87" spans="3:16" ht="15.75" thickBot="1" x14ac:dyDescent="0.3">
      <c r="C87" s="143" t="s">
        <v>85</v>
      </c>
      <c r="D87" s="132">
        <v>501</v>
      </c>
      <c r="E87" s="132">
        <v>244</v>
      </c>
      <c r="F87" s="132">
        <f t="shared" si="1"/>
        <v>460</v>
      </c>
      <c r="G87" s="132">
        <v>41</v>
      </c>
      <c r="H87" s="132">
        <v>19</v>
      </c>
      <c r="I87" s="132">
        <v>481</v>
      </c>
      <c r="J87" s="132">
        <v>240</v>
      </c>
      <c r="K87" s="132">
        <v>41</v>
      </c>
      <c r="L87" s="132">
        <v>19</v>
      </c>
      <c r="M87" s="132">
        <v>20</v>
      </c>
      <c r="N87" s="132">
        <v>4</v>
      </c>
      <c r="O87" s="132">
        <v>0</v>
      </c>
      <c r="P87" s="144">
        <v>0</v>
      </c>
    </row>
    <row r="88" spans="3:16" ht="15.75" thickBot="1" x14ac:dyDescent="0.3">
      <c r="C88" s="145" t="s">
        <v>86</v>
      </c>
      <c r="D88" s="133">
        <v>207</v>
      </c>
      <c r="E88" s="133">
        <v>81</v>
      </c>
      <c r="F88" s="132">
        <f t="shared" si="1"/>
        <v>158</v>
      </c>
      <c r="G88" s="133">
        <v>49</v>
      </c>
      <c r="H88" s="133">
        <v>23</v>
      </c>
      <c r="I88" s="133">
        <v>198</v>
      </c>
      <c r="J88" s="133">
        <v>80</v>
      </c>
      <c r="K88" s="133">
        <v>48</v>
      </c>
      <c r="L88" s="133">
        <v>23</v>
      </c>
      <c r="M88" s="133">
        <v>9</v>
      </c>
      <c r="N88" s="133">
        <v>1</v>
      </c>
      <c r="O88" s="133">
        <v>1</v>
      </c>
      <c r="P88" s="146">
        <v>0</v>
      </c>
    </row>
    <row r="89" spans="3:16" ht="15.75" thickBot="1" x14ac:dyDescent="0.3">
      <c r="C89" s="143" t="s">
        <v>87</v>
      </c>
      <c r="D89" s="132">
        <v>84</v>
      </c>
      <c r="E89" s="132">
        <v>31</v>
      </c>
      <c r="F89" s="132">
        <f t="shared" si="1"/>
        <v>59</v>
      </c>
      <c r="G89" s="132">
        <v>25</v>
      </c>
      <c r="H89" s="132">
        <v>13</v>
      </c>
      <c r="I89" s="132">
        <v>75</v>
      </c>
      <c r="J89" s="132">
        <v>29</v>
      </c>
      <c r="K89" s="132">
        <v>25</v>
      </c>
      <c r="L89" s="132">
        <v>13</v>
      </c>
      <c r="M89" s="132">
        <v>9</v>
      </c>
      <c r="N89" s="132">
        <v>2</v>
      </c>
      <c r="O89" s="132">
        <v>0</v>
      </c>
      <c r="P89" s="144">
        <v>0</v>
      </c>
    </row>
    <row r="90" spans="3:16" ht="15.75" thickBot="1" x14ac:dyDescent="0.3">
      <c r="C90" s="145" t="s">
        <v>153</v>
      </c>
      <c r="D90" s="133">
        <v>22</v>
      </c>
      <c r="E90" s="133">
        <v>5</v>
      </c>
      <c r="F90" s="132">
        <f t="shared" si="1"/>
        <v>19</v>
      </c>
      <c r="G90" s="133">
        <v>3</v>
      </c>
      <c r="H90" s="133">
        <v>0</v>
      </c>
      <c r="I90" s="133">
        <v>16</v>
      </c>
      <c r="J90" s="133">
        <v>3</v>
      </c>
      <c r="K90" s="133">
        <v>3</v>
      </c>
      <c r="L90" s="133">
        <v>0</v>
      </c>
      <c r="M90" s="133">
        <v>6</v>
      </c>
      <c r="N90" s="133">
        <v>2</v>
      </c>
      <c r="O90" s="133">
        <v>0</v>
      </c>
      <c r="P90" s="146">
        <v>0</v>
      </c>
    </row>
    <row r="91" spans="3:16" ht="15.75" thickBot="1" x14ac:dyDescent="0.3">
      <c r="C91" s="143" t="s">
        <v>154</v>
      </c>
      <c r="D91" s="132">
        <v>19</v>
      </c>
      <c r="E91" s="132">
        <v>6</v>
      </c>
      <c r="F91" s="132">
        <f t="shared" si="1"/>
        <v>16</v>
      </c>
      <c r="G91" s="132">
        <v>3</v>
      </c>
      <c r="H91" s="132">
        <v>2</v>
      </c>
      <c r="I91" s="132">
        <v>19</v>
      </c>
      <c r="J91" s="132">
        <v>6</v>
      </c>
      <c r="K91" s="132">
        <v>3</v>
      </c>
      <c r="L91" s="132">
        <v>2</v>
      </c>
      <c r="M91" s="132">
        <v>0</v>
      </c>
      <c r="N91" s="132">
        <v>0</v>
      </c>
      <c r="O91" s="132">
        <v>0</v>
      </c>
      <c r="P91" s="144">
        <v>0</v>
      </c>
    </row>
    <row r="92" spans="3:16" ht="15.75" thickBot="1" x14ac:dyDescent="0.3">
      <c r="C92" s="156" t="s">
        <v>94</v>
      </c>
      <c r="D92" s="157"/>
      <c r="E92" s="157"/>
      <c r="F92" s="132">
        <f t="shared" si="1"/>
        <v>0</v>
      </c>
      <c r="G92" s="157"/>
      <c r="H92" s="157"/>
      <c r="I92" s="157"/>
      <c r="J92" s="157"/>
      <c r="K92" s="157"/>
      <c r="L92" s="157"/>
      <c r="M92" s="157"/>
      <c r="N92" s="157"/>
      <c r="O92" s="157"/>
      <c r="P92" s="158"/>
    </row>
    <row r="93" spans="3:16" ht="15.75" thickBot="1" x14ac:dyDescent="0.3">
      <c r="C93" s="153"/>
      <c r="D93" s="154"/>
      <c r="E93" s="154"/>
      <c r="F93" s="132">
        <f t="shared" si="1"/>
        <v>0</v>
      </c>
      <c r="G93" s="154"/>
      <c r="H93" s="154"/>
      <c r="I93" s="154"/>
      <c r="J93" s="154"/>
      <c r="K93" s="154"/>
      <c r="L93" s="154"/>
      <c r="M93" s="154"/>
      <c r="N93" s="154"/>
      <c r="O93" s="154"/>
      <c r="P93" s="155"/>
    </row>
    <row r="94" spans="3:16" ht="15.75" thickBot="1" x14ac:dyDescent="0.3">
      <c r="C94" s="145" t="s">
        <v>83</v>
      </c>
      <c r="D94" s="133">
        <v>454</v>
      </c>
      <c r="E94" s="133">
        <v>198</v>
      </c>
      <c r="F94" s="132">
        <f t="shared" si="1"/>
        <v>428</v>
      </c>
      <c r="G94" s="133">
        <v>26</v>
      </c>
      <c r="H94" s="133">
        <v>11</v>
      </c>
      <c r="I94" s="133">
        <v>454</v>
      </c>
      <c r="J94" s="133">
        <v>198</v>
      </c>
      <c r="K94" s="133">
        <v>26</v>
      </c>
      <c r="L94" s="133">
        <v>11</v>
      </c>
      <c r="M94" s="133">
        <v>0</v>
      </c>
      <c r="N94" s="133">
        <v>0</v>
      </c>
      <c r="O94" s="133">
        <v>0</v>
      </c>
      <c r="P94" s="146">
        <v>0</v>
      </c>
    </row>
    <row r="95" spans="3:16" ht="15.75" thickBot="1" x14ac:dyDescent="0.3">
      <c r="C95" s="143" t="s">
        <v>151</v>
      </c>
      <c r="D95" s="132">
        <v>36</v>
      </c>
      <c r="E95" s="132">
        <v>22</v>
      </c>
      <c r="F95" s="132">
        <f t="shared" si="1"/>
        <v>34</v>
      </c>
      <c r="G95" s="132">
        <v>2</v>
      </c>
      <c r="H95" s="132">
        <v>2</v>
      </c>
      <c r="I95" s="132">
        <v>36</v>
      </c>
      <c r="J95" s="132">
        <v>22</v>
      </c>
      <c r="K95" s="132">
        <v>2</v>
      </c>
      <c r="L95" s="132">
        <v>2</v>
      </c>
      <c r="M95" s="132">
        <v>0</v>
      </c>
      <c r="N95" s="132">
        <v>0</v>
      </c>
      <c r="O95" s="132">
        <v>0</v>
      </c>
      <c r="P95" s="144">
        <v>0</v>
      </c>
    </row>
    <row r="96" spans="3:16" ht="15.75" thickBot="1" x14ac:dyDescent="0.3">
      <c r="C96" s="145" t="s">
        <v>152</v>
      </c>
      <c r="D96" s="133">
        <v>13</v>
      </c>
      <c r="E96" s="133">
        <v>6</v>
      </c>
      <c r="F96" s="132">
        <f t="shared" si="1"/>
        <v>11</v>
      </c>
      <c r="G96" s="133">
        <v>2</v>
      </c>
      <c r="H96" s="133">
        <v>1</v>
      </c>
      <c r="I96" s="133">
        <v>13</v>
      </c>
      <c r="J96" s="133">
        <v>6</v>
      </c>
      <c r="K96" s="133">
        <v>2</v>
      </c>
      <c r="L96" s="133">
        <v>1</v>
      </c>
      <c r="M96" s="133">
        <v>0</v>
      </c>
      <c r="N96" s="133">
        <v>0</v>
      </c>
      <c r="O96" s="133">
        <v>0</v>
      </c>
      <c r="P96" s="146">
        <v>0</v>
      </c>
    </row>
    <row r="97" spans="3:16" ht="15.75" thickBot="1" x14ac:dyDescent="0.3">
      <c r="C97" s="143" t="s">
        <v>85</v>
      </c>
      <c r="D97" s="132">
        <v>269</v>
      </c>
      <c r="E97" s="132">
        <v>111</v>
      </c>
      <c r="F97" s="132">
        <f t="shared" si="1"/>
        <v>259</v>
      </c>
      <c r="G97" s="132">
        <v>10</v>
      </c>
      <c r="H97" s="132">
        <v>4</v>
      </c>
      <c r="I97" s="132">
        <v>269</v>
      </c>
      <c r="J97" s="132">
        <v>111</v>
      </c>
      <c r="K97" s="132">
        <v>10</v>
      </c>
      <c r="L97" s="132">
        <v>4</v>
      </c>
      <c r="M97" s="132">
        <v>0</v>
      </c>
      <c r="N97" s="132">
        <v>0</v>
      </c>
      <c r="O97" s="132">
        <v>0</v>
      </c>
      <c r="P97" s="144">
        <v>0</v>
      </c>
    </row>
    <row r="98" spans="3:16" ht="15.75" thickBot="1" x14ac:dyDescent="0.3">
      <c r="C98" s="145" t="s">
        <v>86</v>
      </c>
      <c r="D98" s="133">
        <v>88</v>
      </c>
      <c r="E98" s="133">
        <v>42</v>
      </c>
      <c r="F98" s="132">
        <f t="shared" si="1"/>
        <v>83</v>
      </c>
      <c r="G98" s="133">
        <v>5</v>
      </c>
      <c r="H98" s="133">
        <v>2</v>
      </c>
      <c r="I98" s="133">
        <v>88</v>
      </c>
      <c r="J98" s="133">
        <v>42</v>
      </c>
      <c r="K98" s="133">
        <v>5</v>
      </c>
      <c r="L98" s="133">
        <v>2</v>
      </c>
      <c r="M98" s="133">
        <v>0</v>
      </c>
      <c r="N98" s="133">
        <v>0</v>
      </c>
      <c r="O98" s="133">
        <v>0</v>
      </c>
      <c r="P98" s="146">
        <v>0</v>
      </c>
    </row>
    <row r="99" spans="3:16" ht="15.75" thickBot="1" x14ac:dyDescent="0.3">
      <c r="C99" s="143" t="s">
        <v>87</v>
      </c>
      <c r="D99" s="132">
        <v>48</v>
      </c>
      <c r="E99" s="132">
        <v>17</v>
      </c>
      <c r="F99" s="132">
        <f t="shared" si="1"/>
        <v>41</v>
      </c>
      <c r="G99" s="132">
        <v>7</v>
      </c>
      <c r="H99" s="132">
        <v>2</v>
      </c>
      <c r="I99" s="132">
        <v>48</v>
      </c>
      <c r="J99" s="132">
        <v>17</v>
      </c>
      <c r="K99" s="132">
        <v>7</v>
      </c>
      <c r="L99" s="132">
        <v>2</v>
      </c>
      <c r="M99" s="132">
        <v>0</v>
      </c>
      <c r="N99" s="132">
        <v>0</v>
      </c>
      <c r="O99" s="132">
        <v>0</v>
      </c>
      <c r="P99" s="144">
        <v>0</v>
      </c>
    </row>
    <row r="100" spans="3:16" ht="15.75" thickBot="1" x14ac:dyDescent="0.3">
      <c r="C100" s="145" t="s">
        <v>153</v>
      </c>
      <c r="D100" s="133">
        <v>7</v>
      </c>
      <c r="E100" s="133">
        <v>2</v>
      </c>
      <c r="F100" s="132">
        <f t="shared" ref="F100:F163" si="2">D100-G100</f>
        <v>7</v>
      </c>
      <c r="G100" s="133">
        <v>0</v>
      </c>
      <c r="H100" s="133">
        <v>0</v>
      </c>
      <c r="I100" s="133">
        <v>7</v>
      </c>
      <c r="J100" s="133">
        <v>2</v>
      </c>
      <c r="K100" s="133">
        <v>0</v>
      </c>
      <c r="L100" s="133">
        <v>0</v>
      </c>
      <c r="M100" s="133">
        <v>0</v>
      </c>
      <c r="N100" s="133">
        <v>0</v>
      </c>
      <c r="O100" s="133">
        <v>0</v>
      </c>
      <c r="P100" s="146">
        <v>0</v>
      </c>
    </row>
    <row r="101" spans="3:16" ht="15.75" thickBot="1" x14ac:dyDescent="0.3">
      <c r="C101" s="143" t="s">
        <v>154</v>
      </c>
      <c r="D101" s="132">
        <v>14</v>
      </c>
      <c r="E101" s="132">
        <v>4</v>
      </c>
      <c r="F101" s="132">
        <f t="shared" si="2"/>
        <v>12</v>
      </c>
      <c r="G101" s="132">
        <v>2</v>
      </c>
      <c r="H101" s="132">
        <v>0</v>
      </c>
      <c r="I101" s="132">
        <v>14</v>
      </c>
      <c r="J101" s="132">
        <v>4</v>
      </c>
      <c r="K101" s="132">
        <v>2</v>
      </c>
      <c r="L101" s="132">
        <v>0</v>
      </c>
      <c r="M101" s="132">
        <v>0</v>
      </c>
      <c r="N101" s="132">
        <v>0</v>
      </c>
      <c r="O101" s="132">
        <v>0</v>
      </c>
      <c r="P101" s="144">
        <v>0</v>
      </c>
    </row>
    <row r="102" spans="3:16" ht="15.75" thickBot="1" x14ac:dyDescent="0.3">
      <c r="C102" s="156" t="s">
        <v>95</v>
      </c>
      <c r="D102" s="157"/>
      <c r="E102" s="157"/>
      <c r="F102" s="132">
        <f t="shared" si="2"/>
        <v>0</v>
      </c>
      <c r="G102" s="157"/>
      <c r="H102" s="157"/>
      <c r="I102" s="157"/>
      <c r="J102" s="157"/>
      <c r="K102" s="157"/>
      <c r="L102" s="157"/>
      <c r="M102" s="157"/>
      <c r="N102" s="157"/>
      <c r="O102" s="157"/>
      <c r="P102" s="158"/>
    </row>
    <row r="103" spans="3:16" ht="15.75" thickBot="1" x14ac:dyDescent="0.3">
      <c r="C103" s="153"/>
      <c r="D103" s="154"/>
      <c r="E103" s="154"/>
      <c r="F103" s="132">
        <f t="shared" si="2"/>
        <v>0</v>
      </c>
      <c r="G103" s="154"/>
      <c r="H103" s="154"/>
      <c r="I103" s="154"/>
      <c r="J103" s="154"/>
      <c r="K103" s="154"/>
      <c r="L103" s="154"/>
      <c r="M103" s="154"/>
      <c r="N103" s="154"/>
      <c r="O103" s="154"/>
      <c r="P103" s="155"/>
    </row>
    <row r="104" spans="3:16" ht="15.75" thickBot="1" x14ac:dyDescent="0.3">
      <c r="C104" s="145" t="s">
        <v>83</v>
      </c>
      <c r="D104" s="133">
        <v>1019</v>
      </c>
      <c r="E104" s="133">
        <v>450</v>
      </c>
      <c r="F104" s="132">
        <f t="shared" si="2"/>
        <v>948</v>
      </c>
      <c r="G104" s="133">
        <v>71</v>
      </c>
      <c r="H104" s="133">
        <v>30</v>
      </c>
      <c r="I104" s="133">
        <v>987</v>
      </c>
      <c r="J104" s="133">
        <v>437</v>
      </c>
      <c r="K104" s="133">
        <v>71</v>
      </c>
      <c r="L104" s="133">
        <v>30</v>
      </c>
      <c r="M104" s="133">
        <v>32</v>
      </c>
      <c r="N104" s="133">
        <v>13</v>
      </c>
      <c r="O104" s="133">
        <v>0</v>
      </c>
      <c r="P104" s="146">
        <v>0</v>
      </c>
    </row>
    <row r="105" spans="3:16" ht="15.75" thickBot="1" x14ac:dyDescent="0.3">
      <c r="C105" s="143" t="s">
        <v>151</v>
      </c>
      <c r="D105" s="132">
        <v>92</v>
      </c>
      <c r="E105" s="132">
        <v>41</v>
      </c>
      <c r="F105" s="132">
        <f t="shared" si="2"/>
        <v>92</v>
      </c>
      <c r="G105" s="132">
        <v>0</v>
      </c>
      <c r="H105" s="132">
        <v>0</v>
      </c>
      <c r="I105" s="132">
        <v>92</v>
      </c>
      <c r="J105" s="132">
        <v>41</v>
      </c>
      <c r="K105" s="132">
        <v>0</v>
      </c>
      <c r="L105" s="132">
        <v>0</v>
      </c>
      <c r="M105" s="132">
        <v>0</v>
      </c>
      <c r="N105" s="132">
        <v>0</v>
      </c>
      <c r="O105" s="132">
        <v>0</v>
      </c>
      <c r="P105" s="144">
        <v>0</v>
      </c>
    </row>
    <row r="106" spans="3:16" ht="15.75" thickBot="1" x14ac:dyDescent="0.3">
      <c r="C106" s="145" t="s">
        <v>152</v>
      </c>
      <c r="D106" s="133">
        <v>9</v>
      </c>
      <c r="E106" s="133">
        <v>6</v>
      </c>
      <c r="F106" s="132">
        <f t="shared" si="2"/>
        <v>9</v>
      </c>
      <c r="G106" s="133">
        <v>0</v>
      </c>
      <c r="H106" s="133">
        <v>0</v>
      </c>
      <c r="I106" s="133">
        <v>7</v>
      </c>
      <c r="J106" s="133">
        <v>5</v>
      </c>
      <c r="K106" s="133">
        <v>0</v>
      </c>
      <c r="L106" s="133">
        <v>0</v>
      </c>
      <c r="M106" s="133">
        <v>2</v>
      </c>
      <c r="N106" s="133">
        <v>1</v>
      </c>
      <c r="O106" s="133">
        <v>0</v>
      </c>
      <c r="P106" s="146">
        <v>0</v>
      </c>
    </row>
    <row r="107" spans="3:16" ht="15.75" thickBot="1" x14ac:dyDescent="0.3">
      <c r="C107" s="143" t="s">
        <v>85</v>
      </c>
      <c r="D107" s="132">
        <v>698</v>
      </c>
      <c r="E107" s="132">
        <v>315</v>
      </c>
      <c r="F107" s="132">
        <f t="shared" si="2"/>
        <v>664</v>
      </c>
      <c r="G107" s="132">
        <v>34</v>
      </c>
      <c r="H107" s="132">
        <v>16</v>
      </c>
      <c r="I107" s="132">
        <v>676</v>
      </c>
      <c r="J107" s="132">
        <v>305</v>
      </c>
      <c r="K107" s="132">
        <v>34</v>
      </c>
      <c r="L107" s="132">
        <v>16</v>
      </c>
      <c r="M107" s="132">
        <v>22</v>
      </c>
      <c r="N107" s="132">
        <v>10</v>
      </c>
      <c r="O107" s="132">
        <v>0</v>
      </c>
      <c r="P107" s="144">
        <v>0</v>
      </c>
    </row>
    <row r="108" spans="3:16" ht="15.75" thickBot="1" x14ac:dyDescent="0.3">
      <c r="C108" s="145" t="s">
        <v>86</v>
      </c>
      <c r="D108" s="133">
        <v>159</v>
      </c>
      <c r="E108" s="133">
        <v>64</v>
      </c>
      <c r="F108" s="132">
        <f t="shared" si="2"/>
        <v>134</v>
      </c>
      <c r="G108" s="133">
        <v>25</v>
      </c>
      <c r="H108" s="133">
        <v>11</v>
      </c>
      <c r="I108" s="133">
        <v>158</v>
      </c>
      <c r="J108" s="133">
        <v>64</v>
      </c>
      <c r="K108" s="133">
        <v>25</v>
      </c>
      <c r="L108" s="133">
        <v>11</v>
      </c>
      <c r="M108" s="133">
        <v>1</v>
      </c>
      <c r="N108" s="133">
        <v>0</v>
      </c>
      <c r="O108" s="133">
        <v>0</v>
      </c>
      <c r="P108" s="146">
        <v>0</v>
      </c>
    </row>
    <row r="109" spans="3:16" ht="15.75" thickBot="1" x14ac:dyDescent="0.3">
      <c r="C109" s="143" t="s">
        <v>87</v>
      </c>
      <c r="D109" s="132">
        <v>61</v>
      </c>
      <c r="E109" s="132">
        <v>24</v>
      </c>
      <c r="F109" s="132">
        <f t="shared" si="2"/>
        <v>49</v>
      </c>
      <c r="G109" s="132">
        <v>12</v>
      </c>
      <c r="H109" s="132">
        <v>3</v>
      </c>
      <c r="I109" s="132">
        <v>54</v>
      </c>
      <c r="J109" s="132">
        <v>22</v>
      </c>
      <c r="K109" s="132">
        <v>12</v>
      </c>
      <c r="L109" s="132">
        <v>3</v>
      </c>
      <c r="M109" s="132">
        <v>7</v>
      </c>
      <c r="N109" s="132">
        <v>2</v>
      </c>
      <c r="O109" s="132">
        <v>0</v>
      </c>
      <c r="P109" s="144">
        <v>0</v>
      </c>
    </row>
    <row r="110" spans="3:16" ht="15.75" thickBot="1" x14ac:dyDescent="0.3">
      <c r="C110" s="145" t="s">
        <v>153</v>
      </c>
      <c r="D110" s="133">
        <v>24</v>
      </c>
      <c r="E110" s="133">
        <v>8</v>
      </c>
      <c r="F110" s="132">
        <f t="shared" si="2"/>
        <v>20</v>
      </c>
      <c r="G110" s="133">
        <v>4</v>
      </c>
      <c r="H110" s="133">
        <v>1</v>
      </c>
      <c r="I110" s="133">
        <v>23</v>
      </c>
      <c r="J110" s="133">
        <v>8</v>
      </c>
      <c r="K110" s="133">
        <v>4</v>
      </c>
      <c r="L110" s="133">
        <v>1</v>
      </c>
      <c r="M110" s="133">
        <v>1</v>
      </c>
      <c r="N110" s="133">
        <v>0</v>
      </c>
      <c r="O110" s="133">
        <v>0</v>
      </c>
      <c r="P110" s="146">
        <v>0</v>
      </c>
    </row>
    <row r="111" spans="3:16" ht="15.75" thickBot="1" x14ac:dyDescent="0.3">
      <c r="C111" s="143" t="s">
        <v>154</v>
      </c>
      <c r="D111" s="132">
        <v>10</v>
      </c>
      <c r="E111" s="132">
        <v>5</v>
      </c>
      <c r="F111" s="132">
        <f t="shared" si="2"/>
        <v>8</v>
      </c>
      <c r="G111" s="132">
        <v>2</v>
      </c>
      <c r="H111" s="132">
        <v>1</v>
      </c>
      <c r="I111" s="132">
        <v>10</v>
      </c>
      <c r="J111" s="132">
        <v>5</v>
      </c>
      <c r="K111" s="132">
        <v>2</v>
      </c>
      <c r="L111" s="132">
        <v>1</v>
      </c>
      <c r="M111" s="132">
        <v>0</v>
      </c>
      <c r="N111" s="132">
        <v>0</v>
      </c>
      <c r="O111" s="132">
        <v>0</v>
      </c>
      <c r="P111" s="144">
        <v>0</v>
      </c>
    </row>
    <row r="112" spans="3:16" ht="15.75" thickBot="1" x14ac:dyDescent="0.3">
      <c r="C112" s="156" t="s">
        <v>96</v>
      </c>
      <c r="D112" s="157"/>
      <c r="E112" s="157"/>
      <c r="F112" s="132">
        <f t="shared" si="2"/>
        <v>0</v>
      </c>
      <c r="G112" s="157"/>
      <c r="H112" s="157"/>
      <c r="I112" s="157"/>
      <c r="J112" s="157"/>
      <c r="K112" s="157"/>
      <c r="L112" s="157"/>
      <c r="M112" s="157"/>
      <c r="N112" s="157"/>
      <c r="O112" s="157"/>
      <c r="P112" s="158"/>
    </row>
    <row r="113" spans="3:16" ht="15.75" thickBot="1" x14ac:dyDescent="0.3">
      <c r="C113" s="153"/>
      <c r="D113" s="154"/>
      <c r="E113" s="154"/>
      <c r="F113" s="132">
        <f t="shared" si="2"/>
        <v>0</v>
      </c>
      <c r="G113" s="154"/>
      <c r="H113" s="154"/>
      <c r="I113" s="154"/>
      <c r="J113" s="154"/>
      <c r="K113" s="154"/>
      <c r="L113" s="154"/>
      <c r="M113" s="154"/>
      <c r="N113" s="154"/>
      <c r="O113" s="154"/>
      <c r="P113" s="155"/>
    </row>
    <row r="114" spans="3:16" ht="15.75" thickBot="1" x14ac:dyDescent="0.3">
      <c r="C114" s="145" t="s">
        <v>83</v>
      </c>
      <c r="D114" s="133">
        <v>997</v>
      </c>
      <c r="E114" s="133">
        <v>477</v>
      </c>
      <c r="F114" s="132">
        <f t="shared" si="2"/>
        <v>880</v>
      </c>
      <c r="G114" s="133">
        <v>117</v>
      </c>
      <c r="H114" s="133">
        <v>63</v>
      </c>
      <c r="I114" s="133">
        <v>997</v>
      </c>
      <c r="J114" s="133">
        <v>477</v>
      </c>
      <c r="K114" s="133">
        <v>117</v>
      </c>
      <c r="L114" s="133">
        <v>63</v>
      </c>
      <c r="M114" s="133">
        <v>0</v>
      </c>
      <c r="N114" s="133">
        <v>0</v>
      </c>
      <c r="O114" s="133">
        <v>0</v>
      </c>
      <c r="P114" s="146">
        <v>0</v>
      </c>
    </row>
    <row r="115" spans="3:16" ht="15.75" thickBot="1" x14ac:dyDescent="0.3">
      <c r="C115" s="143" t="s">
        <v>151</v>
      </c>
      <c r="D115" s="132">
        <v>133</v>
      </c>
      <c r="E115" s="132">
        <v>76</v>
      </c>
      <c r="F115" s="132">
        <f t="shared" si="2"/>
        <v>133</v>
      </c>
      <c r="G115" s="132">
        <v>0</v>
      </c>
      <c r="H115" s="132">
        <v>0</v>
      </c>
      <c r="I115" s="132">
        <v>133</v>
      </c>
      <c r="J115" s="132">
        <v>76</v>
      </c>
      <c r="K115" s="132">
        <v>0</v>
      </c>
      <c r="L115" s="132">
        <v>0</v>
      </c>
      <c r="M115" s="132">
        <v>0</v>
      </c>
      <c r="N115" s="132">
        <v>0</v>
      </c>
      <c r="O115" s="132">
        <v>0</v>
      </c>
      <c r="P115" s="144">
        <v>0</v>
      </c>
    </row>
    <row r="116" spans="3:16" ht="15.75" thickBot="1" x14ac:dyDescent="0.3">
      <c r="C116" s="145" t="s">
        <v>152</v>
      </c>
      <c r="D116" s="133">
        <v>44</v>
      </c>
      <c r="E116" s="133">
        <v>22</v>
      </c>
      <c r="F116" s="132">
        <f t="shared" si="2"/>
        <v>41</v>
      </c>
      <c r="G116" s="133">
        <v>3</v>
      </c>
      <c r="H116" s="133">
        <v>3</v>
      </c>
      <c r="I116" s="133">
        <v>44</v>
      </c>
      <c r="J116" s="133">
        <v>22</v>
      </c>
      <c r="K116" s="133">
        <v>3</v>
      </c>
      <c r="L116" s="133">
        <v>3</v>
      </c>
      <c r="M116" s="133">
        <v>0</v>
      </c>
      <c r="N116" s="133">
        <v>0</v>
      </c>
      <c r="O116" s="133">
        <v>0</v>
      </c>
      <c r="P116" s="146">
        <v>0</v>
      </c>
    </row>
    <row r="117" spans="3:16" ht="15.75" thickBot="1" x14ac:dyDescent="0.3">
      <c r="C117" s="143" t="s">
        <v>85</v>
      </c>
      <c r="D117" s="132">
        <v>652</v>
      </c>
      <c r="E117" s="132">
        <v>307</v>
      </c>
      <c r="F117" s="132">
        <f t="shared" si="2"/>
        <v>559</v>
      </c>
      <c r="G117" s="132">
        <v>93</v>
      </c>
      <c r="H117" s="132">
        <v>49</v>
      </c>
      <c r="I117" s="132">
        <v>652</v>
      </c>
      <c r="J117" s="132">
        <v>307</v>
      </c>
      <c r="K117" s="132">
        <v>93</v>
      </c>
      <c r="L117" s="132">
        <v>49</v>
      </c>
      <c r="M117" s="132">
        <v>0</v>
      </c>
      <c r="N117" s="132">
        <v>0</v>
      </c>
      <c r="O117" s="132">
        <v>0</v>
      </c>
      <c r="P117" s="144">
        <v>0</v>
      </c>
    </row>
    <row r="118" spans="3:16" ht="15.75" thickBot="1" x14ac:dyDescent="0.3">
      <c r="C118" s="145" t="s">
        <v>86</v>
      </c>
      <c r="D118" s="133">
        <v>127</v>
      </c>
      <c r="E118" s="133">
        <v>60</v>
      </c>
      <c r="F118" s="132">
        <f t="shared" si="2"/>
        <v>117</v>
      </c>
      <c r="G118" s="133">
        <v>10</v>
      </c>
      <c r="H118" s="133">
        <v>7</v>
      </c>
      <c r="I118" s="133">
        <v>127</v>
      </c>
      <c r="J118" s="133">
        <v>60</v>
      </c>
      <c r="K118" s="133">
        <v>10</v>
      </c>
      <c r="L118" s="133">
        <v>7</v>
      </c>
      <c r="M118" s="133">
        <v>0</v>
      </c>
      <c r="N118" s="133">
        <v>0</v>
      </c>
      <c r="O118" s="133">
        <v>0</v>
      </c>
      <c r="P118" s="146">
        <v>0</v>
      </c>
    </row>
    <row r="119" spans="3:16" ht="15.75" thickBot="1" x14ac:dyDescent="0.3">
      <c r="C119" s="143" t="s">
        <v>87</v>
      </c>
      <c r="D119" s="132">
        <v>41</v>
      </c>
      <c r="E119" s="132">
        <v>12</v>
      </c>
      <c r="F119" s="132">
        <f t="shared" si="2"/>
        <v>30</v>
      </c>
      <c r="G119" s="132">
        <v>11</v>
      </c>
      <c r="H119" s="132">
        <v>4</v>
      </c>
      <c r="I119" s="132">
        <v>41</v>
      </c>
      <c r="J119" s="132">
        <v>12</v>
      </c>
      <c r="K119" s="132">
        <v>11</v>
      </c>
      <c r="L119" s="132">
        <v>4</v>
      </c>
      <c r="M119" s="132">
        <v>0</v>
      </c>
      <c r="N119" s="132">
        <v>0</v>
      </c>
      <c r="O119" s="132">
        <v>0</v>
      </c>
      <c r="P119" s="144">
        <v>0</v>
      </c>
    </row>
    <row r="120" spans="3:16" ht="15.75" thickBot="1" x14ac:dyDescent="0.3">
      <c r="C120" s="145" t="s">
        <v>153</v>
      </c>
      <c r="D120" s="133">
        <v>2</v>
      </c>
      <c r="E120" s="133">
        <v>1</v>
      </c>
      <c r="F120" s="132">
        <f t="shared" si="2"/>
        <v>1</v>
      </c>
      <c r="G120" s="133">
        <v>1</v>
      </c>
      <c r="H120" s="133">
        <v>1</v>
      </c>
      <c r="I120" s="133">
        <v>2</v>
      </c>
      <c r="J120" s="133">
        <v>1</v>
      </c>
      <c r="K120" s="133">
        <v>1</v>
      </c>
      <c r="L120" s="133">
        <v>1</v>
      </c>
      <c r="M120" s="133">
        <v>0</v>
      </c>
      <c r="N120" s="133">
        <v>0</v>
      </c>
      <c r="O120" s="133">
        <v>0</v>
      </c>
      <c r="P120" s="146">
        <v>0</v>
      </c>
    </row>
    <row r="121" spans="3:16" ht="15.75" thickBot="1" x14ac:dyDescent="0.3">
      <c r="C121" s="143" t="s">
        <v>154</v>
      </c>
      <c r="D121" s="132">
        <v>13</v>
      </c>
      <c r="E121" s="132">
        <v>1</v>
      </c>
      <c r="F121" s="132">
        <f t="shared" si="2"/>
        <v>13</v>
      </c>
      <c r="G121" s="132">
        <v>0</v>
      </c>
      <c r="H121" s="132">
        <v>0</v>
      </c>
      <c r="I121" s="132">
        <v>13</v>
      </c>
      <c r="J121" s="132">
        <v>1</v>
      </c>
      <c r="K121" s="132">
        <v>0</v>
      </c>
      <c r="L121" s="132">
        <v>0</v>
      </c>
      <c r="M121" s="132">
        <v>0</v>
      </c>
      <c r="N121" s="132">
        <v>0</v>
      </c>
      <c r="O121" s="132">
        <v>0</v>
      </c>
      <c r="P121" s="144">
        <v>0</v>
      </c>
    </row>
    <row r="122" spans="3:16" ht="15.75" thickBot="1" x14ac:dyDescent="0.3">
      <c r="C122" s="156" t="s">
        <v>97</v>
      </c>
      <c r="D122" s="157"/>
      <c r="E122" s="157"/>
      <c r="F122" s="132">
        <f t="shared" si="2"/>
        <v>0</v>
      </c>
      <c r="G122" s="157"/>
      <c r="H122" s="157"/>
      <c r="I122" s="157"/>
      <c r="J122" s="157"/>
      <c r="K122" s="157"/>
      <c r="L122" s="157"/>
      <c r="M122" s="157"/>
      <c r="N122" s="157"/>
      <c r="O122" s="157"/>
      <c r="P122" s="158"/>
    </row>
    <row r="123" spans="3:16" ht="15.75" thickBot="1" x14ac:dyDescent="0.3">
      <c r="C123" s="153"/>
      <c r="D123" s="154"/>
      <c r="E123" s="154"/>
      <c r="F123" s="132">
        <f t="shared" si="2"/>
        <v>0</v>
      </c>
      <c r="G123" s="154"/>
      <c r="H123" s="154"/>
      <c r="I123" s="154"/>
      <c r="J123" s="154"/>
      <c r="K123" s="154"/>
      <c r="L123" s="154"/>
      <c r="M123" s="154"/>
      <c r="N123" s="154"/>
      <c r="O123" s="154"/>
      <c r="P123" s="155"/>
    </row>
    <row r="124" spans="3:16" ht="15.75" thickBot="1" x14ac:dyDescent="0.3">
      <c r="C124" s="145" t="s">
        <v>83</v>
      </c>
      <c r="D124" s="133">
        <v>727</v>
      </c>
      <c r="E124" s="133">
        <v>334</v>
      </c>
      <c r="F124" s="132">
        <f t="shared" si="2"/>
        <v>663</v>
      </c>
      <c r="G124" s="133">
        <v>64</v>
      </c>
      <c r="H124" s="133">
        <v>26</v>
      </c>
      <c r="I124" s="133">
        <v>715</v>
      </c>
      <c r="J124" s="133">
        <v>327</v>
      </c>
      <c r="K124" s="133">
        <v>64</v>
      </c>
      <c r="L124" s="133">
        <v>26</v>
      </c>
      <c r="M124" s="133">
        <v>12</v>
      </c>
      <c r="N124" s="133">
        <v>7</v>
      </c>
      <c r="O124" s="133">
        <v>0</v>
      </c>
      <c r="P124" s="146">
        <v>0</v>
      </c>
    </row>
    <row r="125" spans="3:16" ht="15.75" thickBot="1" x14ac:dyDescent="0.3">
      <c r="C125" s="143" t="s">
        <v>151</v>
      </c>
      <c r="D125" s="132">
        <v>87</v>
      </c>
      <c r="E125" s="132">
        <v>47</v>
      </c>
      <c r="F125" s="132">
        <f t="shared" si="2"/>
        <v>87</v>
      </c>
      <c r="G125" s="132">
        <v>0</v>
      </c>
      <c r="H125" s="132">
        <v>0</v>
      </c>
      <c r="I125" s="132">
        <v>87</v>
      </c>
      <c r="J125" s="132">
        <v>47</v>
      </c>
      <c r="K125" s="132">
        <v>0</v>
      </c>
      <c r="L125" s="132">
        <v>0</v>
      </c>
      <c r="M125" s="132">
        <v>0</v>
      </c>
      <c r="N125" s="132">
        <v>0</v>
      </c>
      <c r="O125" s="132">
        <v>0</v>
      </c>
      <c r="P125" s="144">
        <v>0</v>
      </c>
    </row>
    <row r="126" spans="3:16" ht="15.75" thickBot="1" x14ac:dyDescent="0.3">
      <c r="C126" s="145" t="s">
        <v>152</v>
      </c>
      <c r="D126" s="133">
        <v>23</v>
      </c>
      <c r="E126" s="133">
        <v>15</v>
      </c>
      <c r="F126" s="132">
        <f t="shared" si="2"/>
        <v>23</v>
      </c>
      <c r="G126" s="133">
        <v>0</v>
      </c>
      <c r="H126" s="133">
        <v>0</v>
      </c>
      <c r="I126" s="133">
        <v>23</v>
      </c>
      <c r="J126" s="133">
        <v>15</v>
      </c>
      <c r="K126" s="133">
        <v>0</v>
      </c>
      <c r="L126" s="133">
        <v>0</v>
      </c>
      <c r="M126" s="133">
        <v>0</v>
      </c>
      <c r="N126" s="133">
        <v>0</v>
      </c>
      <c r="O126" s="133">
        <v>0</v>
      </c>
      <c r="P126" s="146">
        <v>0</v>
      </c>
    </row>
    <row r="127" spans="3:16" ht="15.75" thickBot="1" x14ac:dyDescent="0.3">
      <c r="C127" s="143" t="s">
        <v>85</v>
      </c>
      <c r="D127" s="132">
        <v>449</v>
      </c>
      <c r="E127" s="132">
        <v>205</v>
      </c>
      <c r="F127" s="132">
        <f t="shared" si="2"/>
        <v>413</v>
      </c>
      <c r="G127" s="132">
        <v>36</v>
      </c>
      <c r="H127" s="132">
        <v>17</v>
      </c>
      <c r="I127" s="132">
        <v>444</v>
      </c>
      <c r="J127" s="132">
        <v>202</v>
      </c>
      <c r="K127" s="132">
        <v>36</v>
      </c>
      <c r="L127" s="132">
        <v>17</v>
      </c>
      <c r="M127" s="132">
        <v>5</v>
      </c>
      <c r="N127" s="132">
        <v>3</v>
      </c>
      <c r="O127" s="132">
        <v>0</v>
      </c>
      <c r="P127" s="144">
        <v>0</v>
      </c>
    </row>
    <row r="128" spans="3:16" ht="15.75" thickBot="1" x14ac:dyDescent="0.3">
      <c r="C128" s="145" t="s">
        <v>86</v>
      </c>
      <c r="D128" s="133">
        <v>128</v>
      </c>
      <c r="E128" s="133">
        <v>53</v>
      </c>
      <c r="F128" s="132">
        <f t="shared" si="2"/>
        <v>106</v>
      </c>
      <c r="G128" s="133">
        <v>22</v>
      </c>
      <c r="H128" s="133">
        <v>8</v>
      </c>
      <c r="I128" s="133">
        <v>124</v>
      </c>
      <c r="J128" s="133">
        <v>50</v>
      </c>
      <c r="K128" s="133">
        <v>22</v>
      </c>
      <c r="L128" s="133">
        <v>8</v>
      </c>
      <c r="M128" s="133">
        <v>4</v>
      </c>
      <c r="N128" s="133">
        <v>3</v>
      </c>
      <c r="O128" s="133">
        <v>0</v>
      </c>
      <c r="P128" s="146">
        <v>0</v>
      </c>
    </row>
    <row r="129" spans="3:16" ht="15.75" thickBot="1" x14ac:dyDescent="0.3">
      <c r="C129" s="143" t="s">
        <v>87</v>
      </c>
      <c r="D129" s="132">
        <v>40</v>
      </c>
      <c r="E129" s="132">
        <v>14</v>
      </c>
      <c r="F129" s="132">
        <f t="shared" si="2"/>
        <v>34</v>
      </c>
      <c r="G129" s="132">
        <v>6</v>
      </c>
      <c r="H129" s="132">
        <v>1</v>
      </c>
      <c r="I129" s="132">
        <v>37</v>
      </c>
      <c r="J129" s="132">
        <v>13</v>
      </c>
      <c r="K129" s="132">
        <v>6</v>
      </c>
      <c r="L129" s="132">
        <v>1</v>
      </c>
      <c r="M129" s="132">
        <v>3</v>
      </c>
      <c r="N129" s="132">
        <v>1</v>
      </c>
      <c r="O129" s="132">
        <v>0</v>
      </c>
      <c r="P129" s="144">
        <v>0</v>
      </c>
    </row>
    <row r="130" spans="3:16" ht="15.75" thickBot="1" x14ac:dyDescent="0.3">
      <c r="C130" s="145" t="s">
        <v>153</v>
      </c>
      <c r="D130" s="133">
        <v>6</v>
      </c>
      <c r="E130" s="133">
        <v>1</v>
      </c>
      <c r="F130" s="132">
        <f t="shared" si="2"/>
        <v>4</v>
      </c>
      <c r="G130" s="133">
        <v>2</v>
      </c>
      <c r="H130" s="133">
        <v>1</v>
      </c>
      <c r="I130" s="133">
        <v>6</v>
      </c>
      <c r="J130" s="133">
        <v>1</v>
      </c>
      <c r="K130" s="133">
        <v>2</v>
      </c>
      <c r="L130" s="133">
        <v>1</v>
      </c>
      <c r="M130" s="133">
        <v>0</v>
      </c>
      <c r="N130" s="133">
        <v>0</v>
      </c>
      <c r="O130" s="133">
        <v>0</v>
      </c>
      <c r="P130" s="146">
        <v>0</v>
      </c>
    </row>
    <row r="131" spans="3:16" ht="15.75" thickBot="1" x14ac:dyDescent="0.3">
      <c r="C131" s="143" t="s">
        <v>154</v>
      </c>
      <c r="D131" s="132">
        <v>15</v>
      </c>
      <c r="E131" s="132">
        <v>7</v>
      </c>
      <c r="F131" s="132">
        <f t="shared" si="2"/>
        <v>15</v>
      </c>
      <c r="G131" s="132">
        <v>0</v>
      </c>
      <c r="H131" s="132">
        <v>0</v>
      </c>
      <c r="I131" s="132">
        <v>15</v>
      </c>
      <c r="J131" s="132">
        <v>7</v>
      </c>
      <c r="K131" s="132">
        <v>0</v>
      </c>
      <c r="L131" s="132">
        <v>0</v>
      </c>
      <c r="M131" s="132">
        <v>0</v>
      </c>
      <c r="N131" s="132">
        <v>0</v>
      </c>
      <c r="O131" s="132">
        <v>0</v>
      </c>
      <c r="P131" s="144">
        <v>0</v>
      </c>
    </row>
    <row r="132" spans="3:16" ht="15.75" thickBot="1" x14ac:dyDescent="0.3">
      <c r="C132" s="156" t="s">
        <v>98</v>
      </c>
      <c r="D132" s="157"/>
      <c r="E132" s="157"/>
      <c r="F132" s="132">
        <f t="shared" si="2"/>
        <v>0</v>
      </c>
      <c r="G132" s="157"/>
      <c r="H132" s="157"/>
      <c r="I132" s="157"/>
      <c r="J132" s="157"/>
      <c r="K132" s="157"/>
      <c r="L132" s="157"/>
      <c r="M132" s="157"/>
      <c r="N132" s="157"/>
      <c r="O132" s="157"/>
      <c r="P132" s="158"/>
    </row>
    <row r="133" spans="3:16" ht="15.75" thickBot="1" x14ac:dyDescent="0.3">
      <c r="C133" s="153"/>
      <c r="D133" s="154"/>
      <c r="E133" s="154"/>
      <c r="F133" s="132">
        <f t="shared" si="2"/>
        <v>0</v>
      </c>
      <c r="G133" s="154"/>
      <c r="H133" s="154"/>
      <c r="I133" s="154"/>
      <c r="J133" s="154"/>
      <c r="K133" s="154"/>
      <c r="L133" s="154"/>
      <c r="M133" s="154"/>
      <c r="N133" s="154"/>
      <c r="O133" s="154"/>
      <c r="P133" s="155"/>
    </row>
    <row r="134" spans="3:16" ht="15.75" thickBot="1" x14ac:dyDescent="0.3">
      <c r="C134" s="145" t="s">
        <v>83</v>
      </c>
      <c r="D134" s="133">
        <v>1813</v>
      </c>
      <c r="E134" s="133">
        <v>833</v>
      </c>
      <c r="F134" s="132">
        <f t="shared" si="2"/>
        <v>1645</v>
      </c>
      <c r="G134" s="133">
        <v>168</v>
      </c>
      <c r="H134" s="133">
        <v>66</v>
      </c>
      <c r="I134" s="133">
        <v>1638</v>
      </c>
      <c r="J134" s="133">
        <v>762</v>
      </c>
      <c r="K134" s="133">
        <v>148</v>
      </c>
      <c r="L134" s="133">
        <v>58</v>
      </c>
      <c r="M134" s="133">
        <v>175</v>
      </c>
      <c r="N134" s="133">
        <v>71</v>
      </c>
      <c r="O134" s="133">
        <v>20</v>
      </c>
      <c r="P134" s="146">
        <v>8</v>
      </c>
    </row>
    <row r="135" spans="3:16" ht="15.75" thickBot="1" x14ac:dyDescent="0.3">
      <c r="C135" s="143" t="s">
        <v>151</v>
      </c>
      <c r="D135" s="132">
        <v>320</v>
      </c>
      <c r="E135" s="132">
        <v>168</v>
      </c>
      <c r="F135" s="132">
        <f t="shared" si="2"/>
        <v>302</v>
      </c>
      <c r="G135" s="132">
        <v>18</v>
      </c>
      <c r="H135" s="132">
        <v>6</v>
      </c>
      <c r="I135" s="132">
        <v>306</v>
      </c>
      <c r="J135" s="132">
        <v>161</v>
      </c>
      <c r="K135" s="132">
        <v>17</v>
      </c>
      <c r="L135" s="132">
        <v>6</v>
      </c>
      <c r="M135" s="132">
        <v>14</v>
      </c>
      <c r="N135" s="132">
        <v>7</v>
      </c>
      <c r="O135" s="132">
        <v>1</v>
      </c>
      <c r="P135" s="144">
        <v>0</v>
      </c>
    </row>
    <row r="136" spans="3:16" ht="15.75" thickBot="1" x14ac:dyDescent="0.3">
      <c r="C136" s="145" t="s">
        <v>152</v>
      </c>
      <c r="D136" s="133">
        <v>52</v>
      </c>
      <c r="E136" s="133">
        <v>29</v>
      </c>
      <c r="F136" s="132">
        <f t="shared" si="2"/>
        <v>46</v>
      </c>
      <c r="G136" s="133">
        <v>6</v>
      </c>
      <c r="H136" s="133">
        <v>2</v>
      </c>
      <c r="I136" s="133">
        <v>48</v>
      </c>
      <c r="J136" s="133">
        <v>26</v>
      </c>
      <c r="K136" s="133">
        <v>4</v>
      </c>
      <c r="L136" s="133">
        <v>1</v>
      </c>
      <c r="M136" s="133">
        <v>4</v>
      </c>
      <c r="N136" s="133">
        <v>3</v>
      </c>
      <c r="O136" s="133">
        <v>2</v>
      </c>
      <c r="P136" s="146">
        <v>1</v>
      </c>
    </row>
    <row r="137" spans="3:16" ht="15.75" thickBot="1" x14ac:dyDescent="0.3">
      <c r="C137" s="143" t="s">
        <v>85</v>
      </c>
      <c r="D137" s="132">
        <v>1005</v>
      </c>
      <c r="E137" s="132">
        <v>472</v>
      </c>
      <c r="F137" s="132">
        <f t="shared" si="2"/>
        <v>935</v>
      </c>
      <c r="G137" s="132">
        <v>70</v>
      </c>
      <c r="H137" s="132">
        <v>30</v>
      </c>
      <c r="I137" s="132">
        <v>908</v>
      </c>
      <c r="J137" s="132">
        <v>421</v>
      </c>
      <c r="K137" s="132">
        <v>59</v>
      </c>
      <c r="L137" s="132">
        <v>24</v>
      </c>
      <c r="M137" s="132">
        <v>97</v>
      </c>
      <c r="N137" s="132">
        <v>51</v>
      </c>
      <c r="O137" s="132">
        <v>11</v>
      </c>
      <c r="P137" s="144">
        <v>6</v>
      </c>
    </row>
    <row r="138" spans="3:16" ht="15.75" thickBot="1" x14ac:dyDescent="0.3">
      <c r="C138" s="145" t="s">
        <v>86</v>
      </c>
      <c r="D138" s="133">
        <v>269</v>
      </c>
      <c r="E138" s="133">
        <v>104</v>
      </c>
      <c r="F138" s="132">
        <f t="shared" si="2"/>
        <v>231</v>
      </c>
      <c r="G138" s="133">
        <v>38</v>
      </c>
      <c r="H138" s="133">
        <v>17</v>
      </c>
      <c r="I138" s="133">
        <v>238</v>
      </c>
      <c r="J138" s="133">
        <v>97</v>
      </c>
      <c r="K138" s="133">
        <v>35</v>
      </c>
      <c r="L138" s="133">
        <v>16</v>
      </c>
      <c r="M138" s="133">
        <v>31</v>
      </c>
      <c r="N138" s="133">
        <v>7</v>
      </c>
      <c r="O138" s="133">
        <v>3</v>
      </c>
      <c r="P138" s="146">
        <v>1</v>
      </c>
    </row>
    <row r="139" spans="3:16" ht="15.75" thickBot="1" x14ac:dyDescent="0.3">
      <c r="C139" s="143" t="s">
        <v>87</v>
      </c>
      <c r="D139" s="132">
        <v>167</v>
      </c>
      <c r="E139" s="132">
        <v>60</v>
      </c>
      <c r="F139" s="132">
        <f t="shared" si="2"/>
        <v>131</v>
      </c>
      <c r="G139" s="132">
        <v>36</v>
      </c>
      <c r="H139" s="132">
        <v>11</v>
      </c>
      <c r="I139" s="132">
        <v>138</v>
      </c>
      <c r="J139" s="132">
        <v>57</v>
      </c>
      <c r="K139" s="132">
        <v>33</v>
      </c>
      <c r="L139" s="132">
        <v>11</v>
      </c>
      <c r="M139" s="132">
        <v>29</v>
      </c>
      <c r="N139" s="132">
        <v>3</v>
      </c>
      <c r="O139" s="132">
        <v>3</v>
      </c>
      <c r="P139" s="144">
        <v>0</v>
      </c>
    </row>
    <row r="140" spans="3:16" ht="15.75" thickBot="1" x14ac:dyDescent="0.3">
      <c r="C140" s="145" t="s">
        <v>153</v>
      </c>
      <c r="D140" s="133">
        <v>56</v>
      </c>
      <c r="E140" s="133">
        <v>23</v>
      </c>
      <c r="F140" s="132">
        <f t="shared" si="2"/>
        <v>49</v>
      </c>
      <c r="G140" s="133">
        <v>7</v>
      </c>
      <c r="H140" s="133">
        <v>2</v>
      </c>
      <c r="I140" s="133">
        <v>43</v>
      </c>
      <c r="J140" s="133">
        <v>21</v>
      </c>
      <c r="K140" s="133">
        <v>5</v>
      </c>
      <c r="L140" s="133">
        <v>2</v>
      </c>
      <c r="M140" s="133">
        <v>13</v>
      </c>
      <c r="N140" s="133">
        <v>2</v>
      </c>
      <c r="O140" s="133">
        <v>2</v>
      </c>
      <c r="P140" s="146">
        <v>0</v>
      </c>
    </row>
    <row r="141" spans="3:16" ht="15.75" thickBot="1" x14ac:dyDescent="0.3">
      <c r="C141" s="143" t="s">
        <v>154</v>
      </c>
      <c r="D141" s="132">
        <v>25</v>
      </c>
      <c r="E141" s="132">
        <v>9</v>
      </c>
      <c r="F141" s="132">
        <f t="shared" si="2"/>
        <v>23</v>
      </c>
      <c r="G141" s="132">
        <v>2</v>
      </c>
      <c r="H141" s="132">
        <v>1</v>
      </c>
      <c r="I141" s="132">
        <v>24</v>
      </c>
      <c r="J141" s="132">
        <v>9</v>
      </c>
      <c r="K141" s="132">
        <v>2</v>
      </c>
      <c r="L141" s="132">
        <v>1</v>
      </c>
      <c r="M141" s="132">
        <v>1</v>
      </c>
      <c r="N141" s="132">
        <v>0</v>
      </c>
      <c r="O141" s="132">
        <v>0</v>
      </c>
      <c r="P141" s="144">
        <v>0</v>
      </c>
    </row>
    <row r="142" spans="3:16" ht="15.75" thickBot="1" x14ac:dyDescent="0.3">
      <c r="C142" s="156" t="s">
        <v>99</v>
      </c>
      <c r="D142" s="157"/>
      <c r="E142" s="157"/>
      <c r="F142" s="132">
        <f t="shared" si="2"/>
        <v>0</v>
      </c>
      <c r="G142" s="157"/>
      <c r="H142" s="157"/>
      <c r="I142" s="157"/>
      <c r="J142" s="157"/>
      <c r="K142" s="157"/>
      <c r="L142" s="157"/>
      <c r="M142" s="157"/>
      <c r="N142" s="157"/>
      <c r="O142" s="157"/>
      <c r="P142" s="158"/>
    </row>
    <row r="143" spans="3:16" ht="15.75" thickBot="1" x14ac:dyDescent="0.3">
      <c r="C143" s="153"/>
      <c r="D143" s="154"/>
      <c r="E143" s="154"/>
      <c r="F143" s="132">
        <f t="shared" si="2"/>
        <v>0</v>
      </c>
      <c r="G143" s="154"/>
      <c r="H143" s="154"/>
      <c r="I143" s="154"/>
      <c r="J143" s="154"/>
      <c r="K143" s="154"/>
      <c r="L143" s="154"/>
      <c r="M143" s="154"/>
      <c r="N143" s="154"/>
      <c r="O143" s="154"/>
      <c r="P143" s="155"/>
    </row>
    <row r="144" spans="3:16" ht="15.75" thickBot="1" x14ac:dyDescent="0.3">
      <c r="C144" s="145" t="s">
        <v>83</v>
      </c>
      <c r="D144" s="133">
        <v>14101</v>
      </c>
      <c r="E144" s="133">
        <v>6405</v>
      </c>
      <c r="F144" s="132">
        <f t="shared" si="2"/>
        <v>12288</v>
      </c>
      <c r="G144" s="133">
        <v>1813</v>
      </c>
      <c r="H144" s="133">
        <v>865</v>
      </c>
      <c r="I144" s="133">
        <v>13188</v>
      </c>
      <c r="J144" s="133">
        <v>5998</v>
      </c>
      <c r="K144" s="133">
        <v>1746</v>
      </c>
      <c r="L144" s="133">
        <v>833</v>
      </c>
      <c r="M144" s="133">
        <v>913</v>
      </c>
      <c r="N144" s="133">
        <v>407</v>
      </c>
      <c r="O144" s="133">
        <v>67</v>
      </c>
      <c r="P144" s="146">
        <v>32</v>
      </c>
    </row>
    <row r="145" spans="3:16" ht="15.75" thickBot="1" x14ac:dyDescent="0.3">
      <c r="C145" s="143" t="s">
        <v>151</v>
      </c>
      <c r="D145" s="132">
        <v>1649</v>
      </c>
      <c r="E145" s="132">
        <v>905</v>
      </c>
      <c r="F145" s="132">
        <f t="shared" si="2"/>
        <v>1581</v>
      </c>
      <c r="G145" s="132">
        <v>68</v>
      </c>
      <c r="H145" s="132">
        <v>31</v>
      </c>
      <c r="I145" s="132">
        <v>1521</v>
      </c>
      <c r="J145" s="132">
        <v>834</v>
      </c>
      <c r="K145" s="132">
        <v>67</v>
      </c>
      <c r="L145" s="132">
        <v>31</v>
      </c>
      <c r="M145" s="132">
        <v>128</v>
      </c>
      <c r="N145" s="132">
        <v>71</v>
      </c>
      <c r="O145" s="132">
        <v>1</v>
      </c>
      <c r="P145" s="144">
        <v>0</v>
      </c>
    </row>
    <row r="146" spans="3:16" ht="15.75" thickBot="1" x14ac:dyDescent="0.3">
      <c r="C146" s="145" t="s">
        <v>152</v>
      </c>
      <c r="D146" s="133">
        <v>506</v>
      </c>
      <c r="E146" s="133">
        <v>254</v>
      </c>
      <c r="F146" s="132">
        <f t="shared" si="2"/>
        <v>463</v>
      </c>
      <c r="G146" s="133">
        <v>43</v>
      </c>
      <c r="H146" s="133">
        <v>21</v>
      </c>
      <c r="I146" s="133">
        <v>489</v>
      </c>
      <c r="J146" s="133">
        <v>246</v>
      </c>
      <c r="K146" s="133">
        <v>43</v>
      </c>
      <c r="L146" s="133">
        <v>21</v>
      </c>
      <c r="M146" s="133">
        <v>17</v>
      </c>
      <c r="N146" s="133">
        <v>8</v>
      </c>
      <c r="O146" s="133">
        <v>0</v>
      </c>
      <c r="P146" s="146">
        <v>0</v>
      </c>
    </row>
    <row r="147" spans="3:16" ht="15.75" thickBot="1" x14ac:dyDescent="0.3">
      <c r="C147" s="143" t="s">
        <v>85</v>
      </c>
      <c r="D147" s="132">
        <v>8310</v>
      </c>
      <c r="E147" s="132">
        <v>3754</v>
      </c>
      <c r="F147" s="132">
        <f t="shared" si="2"/>
        <v>7404</v>
      </c>
      <c r="G147" s="132">
        <v>906</v>
      </c>
      <c r="H147" s="132">
        <v>449</v>
      </c>
      <c r="I147" s="132">
        <v>7751</v>
      </c>
      <c r="J147" s="132">
        <v>3505</v>
      </c>
      <c r="K147" s="132">
        <v>862</v>
      </c>
      <c r="L147" s="132">
        <v>427</v>
      </c>
      <c r="M147" s="132">
        <v>559</v>
      </c>
      <c r="N147" s="132">
        <v>249</v>
      </c>
      <c r="O147" s="132">
        <v>44</v>
      </c>
      <c r="P147" s="144">
        <v>22</v>
      </c>
    </row>
    <row r="148" spans="3:16" ht="15.75" thickBot="1" x14ac:dyDescent="0.3">
      <c r="C148" s="145" t="s">
        <v>86</v>
      </c>
      <c r="D148" s="133">
        <v>2449</v>
      </c>
      <c r="E148" s="133">
        <v>992</v>
      </c>
      <c r="F148" s="132">
        <f t="shared" si="2"/>
        <v>1991</v>
      </c>
      <c r="G148" s="133">
        <v>458</v>
      </c>
      <c r="H148" s="133">
        <v>212</v>
      </c>
      <c r="I148" s="133">
        <v>2326</v>
      </c>
      <c r="J148" s="133">
        <v>952</v>
      </c>
      <c r="K148" s="133">
        <v>445</v>
      </c>
      <c r="L148" s="133">
        <v>205</v>
      </c>
      <c r="M148" s="133">
        <v>123</v>
      </c>
      <c r="N148" s="133">
        <v>40</v>
      </c>
      <c r="O148" s="133">
        <v>13</v>
      </c>
      <c r="P148" s="146">
        <v>7</v>
      </c>
    </row>
    <row r="149" spans="3:16" ht="15.75" thickBot="1" x14ac:dyDescent="0.3">
      <c r="C149" s="143" t="s">
        <v>87</v>
      </c>
      <c r="D149" s="132">
        <v>1187</v>
      </c>
      <c r="E149" s="132">
        <v>500</v>
      </c>
      <c r="F149" s="132">
        <f t="shared" si="2"/>
        <v>849</v>
      </c>
      <c r="G149" s="132">
        <v>338</v>
      </c>
      <c r="H149" s="132">
        <v>152</v>
      </c>
      <c r="I149" s="132">
        <v>1101</v>
      </c>
      <c r="J149" s="132">
        <v>461</v>
      </c>
      <c r="K149" s="132">
        <v>329</v>
      </c>
      <c r="L149" s="132">
        <v>149</v>
      </c>
      <c r="M149" s="132">
        <v>86</v>
      </c>
      <c r="N149" s="132">
        <v>39</v>
      </c>
      <c r="O149" s="132">
        <v>9</v>
      </c>
      <c r="P149" s="144">
        <v>3</v>
      </c>
    </row>
    <row r="150" spans="3:16" ht="15.75" thickBot="1" x14ac:dyDescent="0.3">
      <c r="C150" s="145" t="s">
        <v>153</v>
      </c>
      <c r="D150" s="133">
        <v>293</v>
      </c>
      <c r="E150" s="133">
        <v>136</v>
      </c>
      <c r="F150" s="132">
        <f t="shared" si="2"/>
        <v>243</v>
      </c>
      <c r="G150" s="133">
        <v>50</v>
      </c>
      <c r="H150" s="133">
        <v>28</v>
      </c>
      <c r="I150" s="133">
        <v>274</v>
      </c>
      <c r="J150" s="133">
        <v>125</v>
      </c>
      <c r="K150" s="133">
        <v>47</v>
      </c>
      <c r="L150" s="133">
        <v>27</v>
      </c>
      <c r="M150" s="133">
        <v>19</v>
      </c>
      <c r="N150" s="133">
        <v>11</v>
      </c>
      <c r="O150" s="133">
        <v>3</v>
      </c>
      <c r="P150" s="146">
        <v>1</v>
      </c>
    </row>
    <row r="151" spans="3:16" ht="15.75" thickBot="1" x14ac:dyDescent="0.3">
      <c r="C151" s="143" t="s">
        <v>154</v>
      </c>
      <c r="D151" s="132">
        <v>194</v>
      </c>
      <c r="E151" s="132">
        <v>78</v>
      </c>
      <c r="F151" s="132">
        <f t="shared" si="2"/>
        <v>164</v>
      </c>
      <c r="G151" s="132">
        <v>30</v>
      </c>
      <c r="H151" s="132">
        <v>12</v>
      </c>
      <c r="I151" s="132">
        <v>176</v>
      </c>
      <c r="J151" s="132">
        <v>69</v>
      </c>
      <c r="K151" s="132">
        <v>30</v>
      </c>
      <c r="L151" s="132">
        <v>12</v>
      </c>
      <c r="M151" s="132">
        <v>18</v>
      </c>
      <c r="N151" s="132">
        <v>9</v>
      </c>
      <c r="O151" s="132">
        <v>0</v>
      </c>
      <c r="P151" s="144">
        <v>0</v>
      </c>
    </row>
    <row r="152" spans="3:16" ht="15.75" thickBot="1" x14ac:dyDescent="0.3">
      <c r="C152" s="156" t="s">
        <v>100</v>
      </c>
      <c r="D152" s="157"/>
      <c r="E152" s="157"/>
      <c r="F152" s="132">
        <f t="shared" si="2"/>
        <v>0</v>
      </c>
      <c r="G152" s="157"/>
      <c r="H152" s="157"/>
      <c r="I152" s="157"/>
      <c r="J152" s="157"/>
      <c r="K152" s="157"/>
      <c r="L152" s="157"/>
      <c r="M152" s="157"/>
      <c r="N152" s="157"/>
      <c r="O152" s="157"/>
      <c r="P152" s="158"/>
    </row>
    <row r="153" spans="3:16" ht="15.75" thickBot="1" x14ac:dyDescent="0.3">
      <c r="C153" s="153"/>
      <c r="D153" s="154"/>
      <c r="E153" s="154"/>
      <c r="F153" s="132">
        <f t="shared" si="2"/>
        <v>0</v>
      </c>
      <c r="G153" s="154"/>
      <c r="H153" s="154"/>
      <c r="I153" s="154"/>
      <c r="J153" s="154"/>
      <c r="K153" s="154"/>
      <c r="L153" s="154"/>
      <c r="M153" s="154"/>
      <c r="N153" s="154"/>
      <c r="O153" s="154"/>
      <c r="P153" s="155"/>
    </row>
    <row r="154" spans="3:16" ht="15.75" thickBot="1" x14ac:dyDescent="0.3">
      <c r="C154" s="145" t="s">
        <v>83</v>
      </c>
      <c r="D154" s="133">
        <v>7346</v>
      </c>
      <c r="E154" s="133">
        <v>3342</v>
      </c>
      <c r="F154" s="132">
        <f t="shared" si="2"/>
        <v>6249</v>
      </c>
      <c r="G154" s="133">
        <v>1097</v>
      </c>
      <c r="H154" s="133">
        <v>513</v>
      </c>
      <c r="I154" s="133">
        <v>6831</v>
      </c>
      <c r="J154" s="133">
        <v>3107</v>
      </c>
      <c r="K154" s="133">
        <v>1049</v>
      </c>
      <c r="L154" s="133">
        <v>491</v>
      </c>
      <c r="M154" s="133">
        <v>515</v>
      </c>
      <c r="N154" s="133">
        <v>235</v>
      </c>
      <c r="O154" s="133">
        <v>48</v>
      </c>
      <c r="P154" s="146">
        <v>22</v>
      </c>
    </row>
    <row r="155" spans="3:16" ht="15.75" thickBot="1" x14ac:dyDescent="0.3">
      <c r="C155" s="143" t="s">
        <v>151</v>
      </c>
      <c r="D155" s="132">
        <v>1197</v>
      </c>
      <c r="E155" s="132">
        <v>663</v>
      </c>
      <c r="F155" s="132">
        <f t="shared" si="2"/>
        <v>1147</v>
      </c>
      <c r="G155" s="132">
        <v>50</v>
      </c>
      <c r="H155" s="132">
        <v>21</v>
      </c>
      <c r="I155" s="132">
        <v>1084</v>
      </c>
      <c r="J155" s="132">
        <v>603</v>
      </c>
      <c r="K155" s="132">
        <v>50</v>
      </c>
      <c r="L155" s="132">
        <v>21</v>
      </c>
      <c r="M155" s="132">
        <v>113</v>
      </c>
      <c r="N155" s="132">
        <v>60</v>
      </c>
      <c r="O155" s="132">
        <v>0</v>
      </c>
      <c r="P155" s="144">
        <v>0</v>
      </c>
    </row>
    <row r="156" spans="3:16" ht="15.75" thickBot="1" x14ac:dyDescent="0.3">
      <c r="C156" s="145" t="s">
        <v>152</v>
      </c>
      <c r="D156" s="133">
        <v>340</v>
      </c>
      <c r="E156" s="133">
        <v>161</v>
      </c>
      <c r="F156" s="132">
        <f t="shared" si="2"/>
        <v>302</v>
      </c>
      <c r="G156" s="133">
        <v>38</v>
      </c>
      <c r="H156" s="133">
        <v>19</v>
      </c>
      <c r="I156" s="133">
        <v>337</v>
      </c>
      <c r="J156" s="133">
        <v>159</v>
      </c>
      <c r="K156" s="133">
        <v>38</v>
      </c>
      <c r="L156" s="133">
        <v>19</v>
      </c>
      <c r="M156" s="133">
        <v>3</v>
      </c>
      <c r="N156" s="133">
        <v>2</v>
      </c>
      <c r="O156" s="133">
        <v>0</v>
      </c>
      <c r="P156" s="146">
        <v>0</v>
      </c>
    </row>
    <row r="157" spans="3:16" ht="15.75" thickBot="1" x14ac:dyDescent="0.3">
      <c r="C157" s="143" t="s">
        <v>85</v>
      </c>
      <c r="D157" s="132">
        <v>4074</v>
      </c>
      <c r="E157" s="132">
        <v>1814</v>
      </c>
      <c r="F157" s="132">
        <f t="shared" si="2"/>
        <v>3512</v>
      </c>
      <c r="G157" s="132">
        <v>562</v>
      </c>
      <c r="H157" s="132">
        <v>283</v>
      </c>
      <c r="I157" s="132">
        <v>3795</v>
      </c>
      <c r="J157" s="132">
        <v>1690</v>
      </c>
      <c r="K157" s="132">
        <v>534</v>
      </c>
      <c r="L157" s="132">
        <v>269</v>
      </c>
      <c r="M157" s="132">
        <v>279</v>
      </c>
      <c r="N157" s="132">
        <v>124</v>
      </c>
      <c r="O157" s="132">
        <v>28</v>
      </c>
      <c r="P157" s="144">
        <v>14</v>
      </c>
    </row>
    <row r="158" spans="3:16" ht="15.75" thickBot="1" x14ac:dyDescent="0.3">
      <c r="C158" s="145" t="s">
        <v>86</v>
      </c>
      <c r="D158" s="133">
        <v>1182</v>
      </c>
      <c r="E158" s="133">
        <v>463</v>
      </c>
      <c r="F158" s="132">
        <f t="shared" si="2"/>
        <v>919</v>
      </c>
      <c r="G158" s="133">
        <v>263</v>
      </c>
      <c r="H158" s="133">
        <v>110</v>
      </c>
      <c r="I158" s="133">
        <v>1108</v>
      </c>
      <c r="J158" s="133">
        <v>437</v>
      </c>
      <c r="K158" s="133">
        <v>250</v>
      </c>
      <c r="L158" s="133">
        <v>103</v>
      </c>
      <c r="M158" s="133">
        <v>74</v>
      </c>
      <c r="N158" s="133">
        <v>26</v>
      </c>
      <c r="O158" s="133">
        <v>13</v>
      </c>
      <c r="P158" s="146">
        <v>7</v>
      </c>
    </row>
    <row r="159" spans="3:16" ht="15.75" thickBot="1" x14ac:dyDescent="0.3">
      <c r="C159" s="143" t="s">
        <v>87</v>
      </c>
      <c r="D159" s="132">
        <v>553</v>
      </c>
      <c r="E159" s="132">
        <v>241</v>
      </c>
      <c r="F159" s="132">
        <f t="shared" si="2"/>
        <v>369</v>
      </c>
      <c r="G159" s="132">
        <v>184</v>
      </c>
      <c r="H159" s="132">
        <v>80</v>
      </c>
      <c r="I159" s="132">
        <v>507</v>
      </c>
      <c r="J159" s="132">
        <v>218</v>
      </c>
      <c r="K159" s="132">
        <v>177</v>
      </c>
      <c r="L159" s="132">
        <v>79</v>
      </c>
      <c r="M159" s="132">
        <v>46</v>
      </c>
      <c r="N159" s="132">
        <v>23</v>
      </c>
      <c r="O159" s="132">
        <v>7</v>
      </c>
      <c r="P159" s="144">
        <v>1</v>
      </c>
    </row>
    <row r="160" spans="3:16" ht="15.75" thickBot="1" x14ac:dyDescent="0.3">
      <c r="C160" s="145" t="s">
        <v>153</v>
      </c>
      <c r="D160" s="133">
        <v>121</v>
      </c>
      <c r="E160" s="133">
        <v>61</v>
      </c>
      <c r="F160" s="132">
        <f t="shared" si="2"/>
        <v>94</v>
      </c>
      <c r="G160" s="133">
        <v>27</v>
      </c>
      <c r="H160" s="133">
        <v>14</v>
      </c>
      <c r="I160" s="133">
        <v>109</v>
      </c>
      <c r="J160" s="133">
        <v>54</v>
      </c>
      <c r="K160" s="133">
        <v>25</v>
      </c>
      <c r="L160" s="133">
        <v>14</v>
      </c>
      <c r="M160" s="133">
        <v>12</v>
      </c>
      <c r="N160" s="133">
        <v>7</v>
      </c>
      <c r="O160" s="133">
        <v>2</v>
      </c>
      <c r="P160" s="146">
        <v>0</v>
      </c>
    </row>
    <row r="161" spans="3:16" ht="15.75" thickBot="1" x14ac:dyDescent="0.3">
      <c r="C161" s="143" t="s">
        <v>154</v>
      </c>
      <c r="D161" s="132">
        <v>76</v>
      </c>
      <c r="E161" s="132">
        <v>29</v>
      </c>
      <c r="F161" s="132">
        <f t="shared" si="2"/>
        <v>60</v>
      </c>
      <c r="G161" s="132">
        <v>16</v>
      </c>
      <c r="H161" s="132">
        <v>6</v>
      </c>
      <c r="I161" s="132">
        <v>69</v>
      </c>
      <c r="J161" s="132">
        <v>26</v>
      </c>
      <c r="K161" s="132">
        <v>16</v>
      </c>
      <c r="L161" s="132">
        <v>6</v>
      </c>
      <c r="M161" s="132">
        <v>7</v>
      </c>
      <c r="N161" s="132">
        <v>3</v>
      </c>
      <c r="O161" s="132">
        <v>0</v>
      </c>
      <c r="P161" s="144">
        <v>0</v>
      </c>
    </row>
    <row r="162" spans="3:16" ht="15.75" thickBot="1" x14ac:dyDescent="0.3">
      <c r="C162" s="156" t="s">
        <v>101</v>
      </c>
      <c r="D162" s="157"/>
      <c r="E162" s="157"/>
      <c r="F162" s="132">
        <f t="shared" si="2"/>
        <v>0</v>
      </c>
      <c r="G162" s="157"/>
      <c r="H162" s="157"/>
      <c r="I162" s="157"/>
      <c r="J162" s="157"/>
      <c r="K162" s="157"/>
      <c r="L162" s="157"/>
      <c r="M162" s="157"/>
      <c r="N162" s="157"/>
      <c r="O162" s="157"/>
      <c r="P162" s="158"/>
    </row>
    <row r="163" spans="3:16" ht="15.75" thickBot="1" x14ac:dyDescent="0.3">
      <c r="C163" s="153"/>
      <c r="D163" s="154"/>
      <c r="E163" s="154"/>
      <c r="F163" s="132">
        <f t="shared" si="2"/>
        <v>0</v>
      </c>
      <c r="G163" s="154"/>
      <c r="H163" s="154"/>
      <c r="I163" s="154"/>
      <c r="J163" s="154"/>
      <c r="K163" s="154"/>
      <c r="L163" s="154"/>
      <c r="M163" s="154"/>
      <c r="N163" s="154"/>
      <c r="O163" s="154"/>
      <c r="P163" s="155"/>
    </row>
    <row r="164" spans="3:16" ht="15.75" thickBot="1" x14ac:dyDescent="0.3">
      <c r="C164" s="145" t="s">
        <v>83</v>
      </c>
      <c r="D164" s="133">
        <v>3119</v>
      </c>
      <c r="E164" s="133">
        <v>1498</v>
      </c>
      <c r="F164" s="132">
        <f t="shared" ref="F164:F227" si="3">D164-G164</f>
        <v>2565</v>
      </c>
      <c r="G164" s="133">
        <v>554</v>
      </c>
      <c r="H164" s="133">
        <v>260</v>
      </c>
      <c r="I164" s="133">
        <v>2729</v>
      </c>
      <c r="J164" s="133">
        <v>1315</v>
      </c>
      <c r="K164" s="133">
        <v>513</v>
      </c>
      <c r="L164" s="133">
        <v>242</v>
      </c>
      <c r="M164" s="133">
        <v>390</v>
      </c>
      <c r="N164" s="133">
        <v>183</v>
      </c>
      <c r="O164" s="133">
        <v>41</v>
      </c>
      <c r="P164" s="146">
        <v>18</v>
      </c>
    </row>
    <row r="165" spans="3:16" ht="15.75" thickBot="1" x14ac:dyDescent="0.3">
      <c r="C165" s="143" t="s">
        <v>151</v>
      </c>
      <c r="D165" s="132">
        <v>707</v>
      </c>
      <c r="E165" s="132">
        <v>401</v>
      </c>
      <c r="F165" s="132">
        <f t="shared" si="3"/>
        <v>673</v>
      </c>
      <c r="G165" s="132">
        <v>34</v>
      </c>
      <c r="H165" s="132">
        <v>13</v>
      </c>
      <c r="I165" s="132">
        <v>628</v>
      </c>
      <c r="J165" s="132">
        <v>359</v>
      </c>
      <c r="K165" s="132">
        <v>34</v>
      </c>
      <c r="L165" s="132">
        <v>13</v>
      </c>
      <c r="M165" s="132">
        <v>79</v>
      </c>
      <c r="N165" s="132">
        <v>42</v>
      </c>
      <c r="O165" s="132">
        <v>0</v>
      </c>
      <c r="P165" s="144">
        <v>0</v>
      </c>
    </row>
    <row r="166" spans="3:16" ht="15.75" thickBot="1" x14ac:dyDescent="0.3">
      <c r="C166" s="145" t="s">
        <v>152</v>
      </c>
      <c r="D166" s="133">
        <v>176</v>
      </c>
      <c r="E166" s="133">
        <v>84</v>
      </c>
      <c r="F166" s="132">
        <f t="shared" si="3"/>
        <v>148</v>
      </c>
      <c r="G166" s="133">
        <v>28</v>
      </c>
      <c r="H166" s="133">
        <v>15</v>
      </c>
      <c r="I166" s="133">
        <v>173</v>
      </c>
      <c r="J166" s="133">
        <v>82</v>
      </c>
      <c r="K166" s="133">
        <v>28</v>
      </c>
      <c r="L166" s="133">
        <v>15</v>
      </c>
      <c r="M166" s="133">
        <v>3</v>
      </c>
      <c r="N166" s="133">
        <v>2</v>
      </c>
      <c r="O166" s="133">
        <v>0</v>
      </c>
      <c r="P166" s="146">
        <v>0</v>
      </c>
    </row>
    <row r="167" spans="3:16" ht="15.75" thickBot="1" x14ac:dyDescent="0.3">
      <c r="C167" s="143" t="s">
        <v>85</v>
      </c>
      <c r="D167" s="132">
        <v>1422</v>
      </c>
      <c r="E167" s="132">
        <v>657</v>
      </c>
      <c r="F167" s="132">
        <f t="shared" si="3"/>
        <v>1161</v>
      </c>
      <c r="G167" s="132">
        <v>261</v>
      </c>
      <c r="H167" s="132">
        <v>127</v>
      </c>
      <c r="I167" s="132">
        <v>1204</v>
      </c>
      <c r="J167" s="132">
        <v>556</v>
      </c>
      <c r="K167" s="132">
        <v>234</v>
      </c>
      <c r="L167" s="132">
        <v>114</v>
      </c>
      <c r="M167" s="132">
        <v>218</v>
      </c>
      <c r="N167" s="132">
        <v>101</v>
      </c>
      <c r="O167" s="132">
        <v>27</v>
      </c>
      <c r="P167" s="144">
        <v>13</v>
      </c>
    </row>
    <row r="168" spans="3:16" ht="15.75" thickBot="1" x14ac:dyDescent="0.3">
      <c r="C168" s="145" t="s">
        <v>86</v>
      </c>
      <c r="D168" s="133">
        <v>531</v>
      </c>
      <c r="E168" s="133">
        <v>220</v>
      </c>
      <c r="F168" s="132">
        <f t="shared" si="3"/>
        <v>398</v>
      </c>
      <c r="G168" s="133">
        <v>133</v>
      </c>
      <c r="H168" s="133">
        <v>59</v>
      </c>
      <c r="I168" s="133">
        <v>477</v>
      </c>
      <c r="J168" s="133">
        <v>202</v>
      </c>
      <c r="K168" s="133">
        <v>124</v>
      </c>
      <c r="L168" s="133">
        <v>55</v>
      </c>
      <c r="M168" s="133">
        <v>54</v>
      </c>
      <c r="N168" s="133">
        <v>18</v>
      </c>
      <c r="O168" s="133">
        <v>9</v>
      </c>
      <c r="P168" s="146">
        <v>4</v>
      </c>
    </row>
    <row r="169" spans="3:16" ht="15.75" thickBot="1" x14ac:dyDescent="0.3">
      <c r="C169" s="143" t="s">
        <v>87</v>
      </c>
      <c r="D169" s="132">
        <v>283</v>
      </c>
      <c r="E169" s="132">
        <v>136</v>
      </c>
      <c r="F169" s="132">
        <f t="shared" si="3"/>
        <v>185</v>
      </c>
      <c r="G169" s="132">
        <v>98</v>
      </c>
      <c r="H169" s="132">
        <v>46</v>
      </c>
      <c r="I169" s="132">
        <v>247</v>
      </c>
      <c r="J169" s="132">
        <v>116</v>
      </c>
      <c r="K169" s="132">
        <v>93</v>
      </c>
      <c r="L169" s="132">
        <v>45</v>
      </c>
      <c r="M169" s="132">
        <v>36</v>
      </c>
      <c r="N169" s="132">
        <v>20</v>
      </c>
      <c r="O169" s="132">
        <v>5</v>
      </c>
      <c r="P169" s="144">
        <v>1</v>
      </c>
    </row>
    <row r="170" spans="3:16" ht="15.75" thickBot="1" x14ac:dyDescent="0.3">
      <c r="C170" s="145" t="s">
        <v>153</v>
      </c>
      <c r="D170" s="133">
        <v>58</v>
      </c>
      <c r="E170" s="133">
        <v>36</v>
      </c>
      <c r="F170" s="132">
        <f t="shared" si="3"/>
        <v>39</v>
      </c>
      <c r="G170" s="133">
        <v>19</v>
      </c>
      <c r="H170" s="133">
        <v>11</v>
      </c>
      <c r="I170" s="133">
        <v>47</v>
      </c>
      <c r="J170" s="133">
        <v>29</v>
      </c>
      <c r="K170" s="133">
        <v>17</v>
      </c>
      <c r="L170" s="133">
        <v>11</v>
      </c>
      <c r="M170" s="133">
        <v>11</v>
      </c>
      <c r="N170" s="133">
        <v>7</v>
      </c>
      <c r="O170" s="133">
        <v>2</v>
      </c>
      <c r="P170" s="146">
        <v>0</v>
      </c>
    </row>
    <row r="171" spans="3:16" ht="15.75" thickBot="1" x14ac:dyDescent="0.3">
      <c r="C171" s="143" t="s">
        <v>154</v>
      </c>
      <c r="D171" s="132">
        <v>24</v>
      </c>
      <c r="E171" s="132">
        <v>10</v>
      </c>
      <c r="F171" s="132">
        <f t="shared" si="3"/>
        <v>15</v>
      </c>
      <c r="G171" s="132">
        <v>9</v>
      </c>
      <c r="H171" s="132">
        <v>3</v>
      </c>
      <c r="I171" s="132">
        <v>22</v>
      </c>
      <c r="J171" s="132">
        <v>9</v>
      </c>
      <c r="K171" s="132">
        <v>9</v>
      </c>
      <c r="L171" s="132">
        <v>3</v>
      </c>
      <c r="M171" s="132">
        <v>2</v>
      </c>
      <c r="N171" s="132">
        <v>1</v>
      </c>
      <c r="O171" s="132">
        <v>0</v>
      </c>
      <c r="P171" s="144">
        <v>0</v>
      </c>
    </row>
    <row r="172" spans="3:16" ht="15.75" thickBot="1" x14ac:dyDescent="0.3">
      <c r="C172" s="156" t="s">
        <v>102</v>
      </c>
      <c r="D172" s="157"/>
      <c r="E172" s="157"/>
      <c r="F172" s="132">
        <f t="shared" si="3"/>
        <v>0</v>
      </c>
      <c r="G172" s="157"/>
      <c r="H172" s="157"/>
      <c r="I172" s="157"/>
      <c r="J172" s="157"/>
      <c r="K172" s="157"/>
      <c r="L172" s="157"/>
      <c r="M172" s="157"/>
      <c r="N172" s="157"/>
      <c r="O172" s="157"/>
      <c r="P172" s="158"/>
    </row>
    <row r="173" spans="3:16" ht="15.75" thickBot="1" x14ac:dyDescent="0.3">
      <c r="C173" s="153"/>
      <c r="D173" s="154"/>
      <c r="E173" s="154"/>
      <c r="F173" s="132">
        <f t="shared" si="3"/>
        <v>0</v>
      </c>
      <c r="G173" s="154"/>
      <c r="H173" s="154"/>
      <c r="I173" s="154"/>
      <c r="J173" s="154"/>
      <c r="K173" s="154"/>
      <c r="L173" s="154"/>
      <c r="M173" s="154"/>
      <c r="N173" s="154"/>
      <c r="O173" s="154"/>
      <c r="P173" s="155"/>
    </row>
    <row r="174" spans="3:16" ht="15.75" thickBot="1" x14ac:dyDescent="0.3">
      <c r="C174" s="145" t="s">
        <v>83</v>
      </c>
      <c r="D174" s="133">
        <v>1492</v>
      </c>
      <c r="E174" s="133">
        <v>652</v>
      </c>
      <c r="F174" s="132">
        <f t="shared" si="3"/>
        <v>1353</v>
      </c>
      <c r="G174" s="133">
        <v>139</v>
      </c>
      <c r="H174" s="133">
        <v>63</v>
      </c>
      <c r="I174" s="133">
        <v>1418</v>
      </c>
      <c r="J174" s="133">
        <v>628</v>
      </c>
      <c r="K174" s="133">
        <v>138</v>
      </c>
      <c r="L174" s="133">
        <v>62</v>
      </c>
      <c r="M174" s="133">
        <v>74</v>
      </c>
      <c r="N174" s="133">
        <v>24</v>
      </c>
      <c r="O174" s="133">
        <v>1</v>
      </c>
      <c r="P174" s="146">
        <v>1</v>
      </c>
    </row>
    <row r="175" spans="3:16" ht="15.75" thickBot="1" x14ac:dyDescent="0.3">
      <c r="C175" s="143" t="s">
        <v>151</v>
      </c>
      <c r="D175" s="132">
        <v>28</v>
      </c>
      <c r="E175" s="132">
        <v>14</v>
      </c>
      <c r="F175" s="132">
        <f t="shared" si="3"/>
        <v>28</v>
      </c>
      <c r="G175" s="132">
        <v>0</v>
      </c>
      <c r="H175" s="132">
        <v>0</v>
      </c>
      <c r="I175" s="132">
        <v>28</v>
      </c>
      <c r="J175" s="132">
        <v>14</v>
      </c>
      <c r="K175" s="132">
        <v>0</v>
      </c>
      <c r="L175" s="132">
        <v>0</v>
      </c>
      <c r="M175" s="132">
        <v>0</v>
      </c>
      <c r="N175" s="132">
        <v>0</v>
      </c>
      <c r="O175" s="132">
        <v>0</v>
      </c>
      <c r="P175" s="144">
        <v>0</v>
      </c>
    </row>
    <row r="176" spans="3:16" ht="15.75" thickBot="1" x14ac:dyDescent="0.3">
      <c r="C176" s="145" t="s">
        <v>152</v>
      </c>
      <c r="D176" s="133">
        <v>23</v>
      </c>
      <c r="E176" s="133">
        <v>10</v>
      </c>
      <c r="F176" s="132">
        <f t="shared" si="3"/>
        <v>22</v>
      </c>
      <c r="G176" s="133">
        <v>1</v>
      </c>
      <c r="H176" s="133">
        <v>1</v>
      </c>
      <c r="I176" s="133">
        <v>20</v>
      </c>
      <c r="J176" s="133">
        <v>9</v>
      </c>
      <c r="K176" s="133">
        <v>1</v>
      </c>
      <c r="L176" s="133">
        <v>1</v>
      </c>
      <c r="M176" s="133">
        <v>3</v>
      </c>
      <c r="N176" s="133">
        <v>1</v>
      </c>
      <c r="O176" s="133">
        <v>0</v>
      </c>
      <c r="P176" s="146">
        <v>0</v>
      </c>
    </row>
    <row r="177" spans="3:16" ht="15.75" thickBot="1" x14ac:dyDescent="0.3">
      <c r="C177" s="143" t="s">
        <v>85</v>
      </c>
      <c r="D177" s="132">
        <v>1085</v>
      </c>
      <c r="E177" s="132">
        <v>489</v>
      </c>
      <c r="F177" s="132">
        <f t="shared" si="3"/>
        <v>1024</v>
      </c>
      <c r="G177" s="132">
        <v>61</v>
      </c>
      <c r="H177" s="132">
        <v>34</v>
      </c>
      <c r="I177" s="132">
        <v>1031</v>
      </c>
      <c r="J177" s="132">
        <v>470</v>
      </c>
      <c r="K177" s="132">
        <v>60</v>
      </c>
      <c r="L177" s="132">
        <v>33</v>
      </c>
      <c r="M177" s="132">
        <v>54</v>
      </c>
      <c r="N177" s="132">
        <v>19</v>
      </c>
      <c r="O177" s="132">
        <v>1</v>
      </c>
      <c r="P177" s="144">
        <v>1</v>
      </c>
    </row>
    <row r="178" spans="3:16" ht="15.75" thickBot="1" x14ac:dyDescent="0.3">
      <c r="C178" s="145" t="s">
        <v>86</v>
      </c>
      <c r="D178" s="133">
        <v>254</v>
      </c>
      <c r="E178" s="133">
        <v>99</v>
      </c>
      <c r="F178" s="132">
        <f t="shared" si="3"/>
        <v>210</v>
      </c>
      <c r="G178" s="133">
        <v>44</v>
      </c>
      <c r="H178" s="133">
        <v>17</v>
      </c>
      <c r="I178" s="133">
        <v>245</v>
      </c>
      <c r="J178" s="133">
        <v>97</v>
      </c>
      <c r="K178" s="133">
        <v>44</v>
      </c>
      <c r="L178" s="133">
        <v>17</v>
      </c>
      <c r="M178" s="133">
        <v>9</v>
      </c>
      <c r="N178" s="133">
        <v>2</v>
      </c>
      <c r="O178" s="133">
        <v>0</v>
      </c>
      <c r="P178" s="146">
        <v>0</v>
      </c>
    </row>
    <row r="179" spans="3:16" ht="15.75" thickBot="1" x14ac:dyDescent="0.3">
      <c r="C179" s="143" t="s">
        <v>87</v>
      </c>
      <c r="D179" s="132">
        <v>102</v>
      </c>
      <c r="E179" s="132">
        <v>40</v>
      </c>
      <c r="F179" s="132">
        <f t="shared" si="3"/>
        <v>69</v>
      </c>
      <c r="G179" s="132">
        <v>33</v>
      </c>
      <c r="H179" s="132">
        <v>11</v>
      </c>
      <c r="I179" s="132">
        <v>94</v>
      </c>
      <c r="J179" s="132">
        <v>38</v>
      </c>
      <c r="K179" s="132">
        <v>33</v>
      </c>
      <c r="L179" s="132">
        <v>11</v>
      </c>
      <c r="M179" s="132">
        <v>8</v>
      </c>
      <c r="N179" s="132">
        <v>2</v>
      </c>
      <c r="O179" s="132">
        <v>0</v>
      </c>
      <c r="P179" s="144">
        <v>0</v>
      </c>
    </row>
    <row r="180" spans="3:16" ht="15.75" thickBot="1" x14ac:dyDescent="0.3">
      <c r="C180" s="145" t="s">
        <v>153</v>
      </c>
      <c r="D180" s="133">
        <v>31</v>
      </c>
      <c r="E180" s="133">
        <v>14</v>
      </c>
      <c r="F180" s="132">
        <f t="shared" si="3"/>
        <v>28</v>
      </c>
      <c r="G180" s="133">
        <v>3</v>
      </c>
      <c r="H180" s="133">
        <v>1</v>
      </c>
      <c r="I180" s="133">
        <v>30</v>
      </c>
      <c r="J180" s="133">
        <v>14</v>
      </c>
      <c r="K180" s="133">
        <v>3</v>
      </c>
      <c r="L180" s="133">
        <v>1</v>
      </c>
      <c r="M180" s="133">
        <v>1</v>
      </c>
      <c r="N180" s="133">
        <v>0</v>
      </c>
      <c r="O180" s="133">
        <v>0</v>
      </c>
      <c r="P180" s="146">
        <v>0</v>
      </c>
    </row>
    <row r="181" spans="3:16" ht="15.75" thickBot="1" x14ac:dyDescent="0.3">
      <c r="C181" s="143" t="s">
        <v>154</v>
      </c>
      <c r="D181" s="132">
        <v>3</v>
      </c>
      <c r="E181" s="132">
        <v>2</v>
      </c>
      <c r="F181" s="132">
        <f t="shared" si="3"/>
        <v>3</v>
      </c>
      <c r="G181" s="132">
        <v>0</v>
      </c>
      <c r="H181" s="132">
        <v>0</v>
      </c>
      <c r="I181" s="132">
        <v>3</v>
      </c>
      <c r="J181" s="132">
        <v>2</v>
      </c>
      <c r="K181" s="132">
        <v>0</v>
      </c>
      <c r="L181" s="132">
        <v>0</v>
      </c>
      <c r="M181" s="132">
        <v>0</v>
      </c>
      <c r="N181" s="132">
        <v>0</v>
      </c>
      <c r="O181" s="132">
        <v>0</v>
      </c>
      <c r="P181" s="144">
        <v>0</v>
      </c>
    </row>
    <row r="182" spans="3:16" ht="15.75" thickBot="1" x14ac:dyDescent="0.3">
      <c r="C182" s="156" t="s">
        <v>103</v>
      </c>
      <c r="D182" s="157"/>
      <c r="E182" s="157"/>
      <c r="F182" s="132">
        <f t="shared" si="3"/>
        <v>0</v>
      </c>
      <c r="G182" s="157"/>
      <c r="H182" s="157"/>
      <c r="I182" s="157"/>
      <c r="J182" s="157"/>
      <c r="K182" s="157"/>
      <c r="L182" s="157"/>
      <c r="M182" s="157"/>
      <c r="N182" s="157"/>
      <c r="O182" s="157"/>
      <c r="P182" s="158"/>
    </row>
    <row r="183" spans="3:16" ht="15.75" thickBot="1" x14ac:dyDescent="0.3">
      <c r="C183" s="153"/>
      <c r="D183" s="154"/>
      <c r="E183" s="154"/>
      <c r="F183" s="132">
        <f t="shared" si="3"/>
        <v>0</v>
      </c>
      <c r="G183" s="154"/>
      <c r="H183" s="154"/>
      <c r="I183" s="154"/>
      <c r="J183" s="154"/>
      <c r="K183" s="154"/>
      <c r="L183" s="154"/>
      <c r="M183" s="154"/>
      <c r="N183" s="154"/>
      <c r="O183" s="154"/>
      <c r="P183" s="155"/>
    </row>
    <row r="184" spans="3:16" ht="15.75" thickBot="1" x14ac:dyDescent="0.3">
      <c r="C184" s="145" t="s">
        <v>83</v>
      </c>
      <c r="D184" s="133">
        <v>1012</v>
      </c>
      <c r="E184" s="133">
        <v>480</v>
      </c>
      <c r="F184" s="132">
        <f t="shared" si="3"/>
        <v>883</v>
      </c>
      <c r="G184" s="133">
        <v>129</v>
      </c>
      <c r="H184" s="133">
        <v>61</v>
      </c>
      <c r="I184" s="133">
        <v>1012</v>
      </c>
      <c r="J184" s="133">
        <v>480</v>
      </c>
      <c r="K184" s="133">
        <v>129</v>
      </c>
      <c r="L184" s="133">
        <v>61</v>
      </c>
      <c r="M184" s="133">
        <v>0</v>
      </c>
      <c r="N184" s="133">
        <v>0</v>
      </c>
      <c r="O184" s="133">
        <v>0</v>
      </c>
      <c r="P184" s="146">
        <v>0</v>
      </c>
    </row>
    <row r="185" spans="3:16" ht="15.75" thickBot="1" x14ac:dyDescent="0.3">
      <c r="C185" s="143" t="s">
        <v>151</v>
      </c>
      <c r="D185" s="132">
        <v>40</v>
      </c>
      <c r="E185" s="132">
        <v>21</v>
      </c>
      <c r="F185" s="132">
        <f t="shared" si="3"/>
        <v>39</v>
      </c>
      <c r="G185" s="132">
        <v>1</v>
      </c>
      <c r="H185" s="132">
        <v>1</v>
      </c>
      <c r="I185" s="132">
        <v>40</v>
      </c>
      <c r="J185" s="132">
        <v>21</v>
      </c>
      <c r="K185" s="132">
        <v>1</v>
      </c>
      <c r="L185" s="132">
        <v>1</v>
      </c>
      <c r="M185" s="132">
        <v>0</v>
      </c>
      <c r="N185" s="132">
        <v>0</v>
      </c>
      <c r="O185" s="132">
        <v>0</v>
      </c>
      <c r="P185" s="144">
        <v>0</v>
      </c>
    </row>
    <row r="186" spans="3:16" ht="15.75" thickBot="1" x14ac:dyDescent="0.3">
      <c r="C186" s="145" t="s">
        <v>152</v>
      </c>
      <c r="D186" s="133">
        <v>13</v>
      </c>
      <c r="E186" s="133">
        <v>7</v>
      </c>
      <c r="F186" s="132">
        <f t="shared" si="3"/>
        <v>13</v>
      </c>
      <c r="G186" s="133">
        <v>0</v>
      </c>
      <c r="H186" s="133">
        <v>0</v>
      </c>
      <c r="I186" s="133">
        <v>13</v>
      </c>
      <c r="J186" s="133">
        <v>7</v>
      </c>
      <c r="K186" s="133">
        <v>0</v>
      </c>
      <c r="L186" s="133">
        <v>0</v>
      </c>
      <c r="M186" s="133">
        <v>0</v>
      </c>
      <c r="N186" s="133">
        <v>0</v>
      </c>
      <c r="O186" s="133">
        <v>0</v>
      </c>
      <c r="P186" s="146">
        <v>0</v>
      </c>
    </row>
    <row r="187" spans="3:16" ht="15.75" thickBot="1" x14ac:dyDescent="0.3">
      <c r="C187" s="143" t="s">
        <v>85</v>
      </c>
      <c r="D187" s="132">
        <v>644</v>
      </c>
      <c r="E187" s="132">
        <v>315</v>
      </c>
      <c r="F187" s="132">
        <f t="shared" si="3"/>
        <v>587</v>
      </c>
      <c r="G187" s="132">
        <v>57</v>
      </c>
      <c r="H187" s="132">
        <v>22</v>
      </c>
      <c r="I187" s="132">
        <v>644</v>
      </c>
      <c r="J187" s="132">
        <v>315</v>
      </c>
      <c r="K187" s="132">
        <v>57</v>
      </c>
      <c r="L187" s="132">
        <v>22</v>
      </c>
      <c r="M187" s="132">
        <v>0</v>
      </c>
      <c r="N187" s="132">
        <v>0</v>
      </c>
      <c r="O187" s="132">
        <v>0</v>
      </c>
      <c r="P187" s="144">
        <v>0</v>
      </c>
    </row>
    <row r="188" spans="3:16" ht="15.75" thickBot="1" x14ac:dyDescent="0.3">
      <c r="C188" s="145" t="s">
        <v>86</v>
      </c>
      <c r="D188" s="133">
        <v>185</v>
      </c>
      <c r="E188" s="133">
        <v>86</v>
      </c>
      <c r="F188" s="132">
        <f t="shared" si="3"/>
        <v>148</v>
      </c>
      <c r="G188" s="133">
        <v>37</v>
      </c>
      <c r="H188" s="133">
        <v>24</v>
      </c>
      <c r="I188" s="133">
        <v>185</v>
      </c>
      <c r="J188" s="133">
        <v>86</v>
      </c>
      <c r="K188" s="133">
        <v>37</v>
      </c>
      <c r="L188" s="133">
        <v>24</v>
      </c>
      <c r="M188" s="133">
        <v>0</v>
      </c>
      <c r="N188" s="133">
        <v>0</v>
      </c>
      <c r="O188" s="133">
        <v>0</v>
      </c>
      <c r="P188" s="146">
        <v>0</v>
      </c>
    </row>
    <row r="189" spans="3:16" ht="15.75" thickBot="1" x14ac:dyDescent="0.3">
      <c r="C189" s="143" t="s">
        <v>87</v>
      </c>
      <c r="D189" s="132">
        <v>130</v>
      </c>
      <c r="E189" s="132">
        <v>51</v>
      </c>
      <c r="F189" s="132">
        <f t="shared" si="3"/>
        <v>96</v>
      </c>
      <c r="G189" s="132">
        <v>34</v>
      </c>
      <c r="H189" s="132">
        <v>14</v>
      </c>
      <c r="I189" s="132">
        <v>130</v>
      </c>
      <c r="J189" s="132">
        <v>51</v>
      </c>
      <c r="K189" s="132">
        <v>34</v>
      </c>
      <c r="L189" s="132">
        <v>14</v>
      </c>
      <c r="M189" s="132">
        <v>0</v>
      </c>
      <c r="N189" s="132">
        <v>0</v>
      </c>
      <c r="O189" s="132">
        <v>0</v>
      </c>
      <c r="P189" s="144">
        <v>0</v>
      </c>
    </row>
    <row r="190" spans="3:16" ht="15.75" thickBot="1" x14ac:dyDescent="0.3">
      <c r="C190" s="145" t="s">
        <v>153</v>
      </c>
      <c r="D190" s="133">
        <v>22</v>
      </c>
      <c r="E190" s="133">
        <v>7</v>
      </c>
      <c r="F190" s="132">
        <f t="shared" si="3"/>
        <v>19</v>
      </c>
      <c r="G190" s="133">
        <v>3</v>
      </c>
      <c r="H190" s="133">
        <v>2</v>
      </c>
      <c r="I190" s="133">
        <v>22</v>
      </c>
      <c r="J190" s="133">
        <v>7</v>
      </c>
      <c r="K190" s="133">
        <v>3</v>
      </c>
      <c r="L190" s="133">
        <v>2</v>
      </c>
      <c r="M190" s="133">
        <v>0</v>
      </c>
      <c r="N190" s="133">
        <v>0</v>
      </c>
      <c r="O190" s="133">
        <v>0</v>
      </c>
      <c r="P190" s="146">
        <v>0</v>
      </c>
    </row>
    <row r="191" spans="3:16" ht="15.75" thickBot="1" x14ac:dyDescent="0.3">
      <c r="C191" s="143" t="s">
        <v>154</v>
      </c>
      <c r="D191" s="132">
        <v>28</v>
      </c>
      <c r="E191" s="132">
        <v>10</v>
      </c>
      <c r="F191" s="132">
        <f t="shared" si="3"/>
        <v>26</v>
      </c>
      <c r="G191" s="132">
        <v>2</v>
      </c>
      <c r="H191" s="132">
        <v>1</v>
      </c>
      <c r="I191" s="132">
        <v>28</v>
      </c>
      <c r="J191" s="132">
        <v>10</v>
      </c>
      <c r="K191" s="132">
        <v>2</v>
      </c>
      <c r="L191" s="132">
        <v>1</v>
      </c>
      <c r="M191" s="132">
        <v>0</v>
      </c>
      <c r="N191" s="132">
        <v>0</v>
      </c>
      <c r="O191" s="132">
        <v>0</v>
      </c>
      <c r="P191" s="144">
        <v>0</v>
      </c>
    </row>
    <row r="192" spans="3:16" ht="15.75" thickBot="1" x14ac:dyDescent="0.3">
      <c r="C192" s="156" t="s">
        <v>104</v>
      </c>
      <c r="D192" s="157"/>
      <c r="E192" s="157"/>
      <c r="F192" s="132">
        <f t="shared" si="3"/>
        <v>0</v>
      </c>
      <c r="G192" s="157"/>
      <c r="H192" s="157"/>
      <c r="I192" s="157"/>
      <c r="J192" s="157"/>
      <c r="K192" s="157"/>
      <c r="L192" s="157"/>
      <c r="M192" s="157"/>
      <c r="N192" s="157"/>
      <c r="O192" s="157"/>
      <c r="P192" s="158"/>
    </row>
    <row r="193" spans="3:16" ht="15.75" thickBot="1" x14ac:dyDescent="0.3">
      <c r="C193" s="153"/>
      <c r="D193" s="154"/>
      <c r="E193" s="154"/>
      <c r="F193" s="132">
        <f t="shared" si="3"/>
        <v>0</v>
      </c>
      <c r="G193" s="154"/>
      <c r="H193" s="154"/>
      <c r="I193" s="154"/>
      <c r="J193" s="154"/>
      <c r="K193" s="154"/>
      <c r="L193" s="154"/>
      <c r="M193" s="154"/>
      <c r="N193" s="154"/>
      <c r="O193" s="154"/>
      <c r="P193" s="155"/>
    </row>
    <row r="194" spans="3:16" ht="15.75" thickBot="1" x14ac:dyDescent="0.3">
      <c r="C194" s="145" t="s">
        <v>83</v>
      </c>
      <c r="D194" s="133">
        <v>1981</v>
      </c>
      <c r="E194" s="133">
        <v>927</v>
      </c>
      <c r="F194" s="132">
        <f t="shared" si="3"/>
        <v>1775</v>
      </c>
      <c r="G194" s="133">
        <v>206</v>
      </c>
      <c r="H194" s="133">
        <v>109</v>
      </c>
      <c r="I194" s="133">
        <v>1693</v>
      </c>
      <c r="J194" s="133">
        <v>789</v>
      </c>
      <c r="K194" s="133">
        <v>191</v>
      </c>
      <c r="L194" s="133">
        <v>101</v>
      </c>
      <c r="M194" s="133">
        <v>288</v>
      </c>
      <c r="N194" s="133">
        <v>138</v>
      </c>
      <c r="O194" s="133">
        <v>15</v>
      </c>
      <c r="P194" s="146">
        <v>8</v>
      </c>
    </row>
    <row r="195" spans="3:16" ht="15.75" thickBot="1" x14ac:dyDescent="0.3">
      <c r="C195" s="143" t="s">
        <v>151</v>
      </c>
      <c r="D195" s="132">
        <v>193</v>
      </c>
      <c r="E195" s="132">
        <v>112</v>
      </c>
      <c r="F195" s="132">
        <f t="shared" si="3"/>
        <v>190</v>
      </c>
      <c r="G195" s="132">
        <v>3</v>
      </c>
      <c r="H195" s="132">
        <v>1</v>
      </c>
      <c r="I195" s="132">
        <v>178</v>
      </c>
      <c r="J195" s="132">
        <v>101</v>
      </c>
      <c r="K195" s="132">
        <v>2</v>
      </c>
      <c r="L195" s="132">
        <v>1</v>
      </c>
      <c r="M195" s="132">
        <v>15</v>
      </c>
      <c r="N195" s="132">
        <v>11</v>
      </c>
      <c r="O195" s="132">
        <v>1</v>
      </c>
      <c r="P195" s="144">
        <v>0</v>
      </c>
    </row>
    <row r="196" spans="3:16" ht="15.75" thickBot="1" x14ac:dyDescent="0.3">
      <c r="C196" s="145" t="s">
        <v>152</v>
      </c>
      <c r="D196" s="133">
        <v>58</v>
      </c>
      <c r="E196" s="133">
        <v>33</v>
      </c>
      <c r="F196" s="132">
        <f t="shared" si="3"/>
        <v>56</v>
      </c>
      <c r="G196" s="133">
        <v>2</v>
      </c>
      <c r="H196" s="133">
        <v>0</v>
      </c>
      <c r="I196" s="133">
        <v>50</v>
      </c>
      <c r="J196" s="133">
        <v>29</v>
      </c>
      <c r="K196" s="133">
        <v>2</v>
      </c>
      <c r="L196" s="133">
        <v>0</v>
      </c>
      <c r="M196" s="133">
        <v>8</v>
      </c>
      <c r="N196" s="133">
        <v>4</v>
      </c>
      <c r="O196" s="133">
        <v>0</v>
      </c>
      <c r="P196" s="146">
        <v>0</v>
      </c>
    </row>
    <row r="197" spans="3:16" ht="15.75" thickBot="1" x14ac:dyDescent="0.3">
      <c r="C197" s="143" t="s">
        <v>85</v>
      </c>
      <c r="D197" s="132">
        <v>1231</v>
      </c>
      <c r="E197" s="132">
        <v>566</v>
      </c>
      <c r="F197" s="132">
        <f t="shared" si="3"/>
        <v>1131</v>
      </c>
      <c r="G197" s="132">
        <v>100</v>
      </c>
      <c r="H197" s="132">
        <v>49</v>
      </c>
      <c r="I197" s="132">
        <v>1020</v>
      </c>
      <c r="J197" s="132">
        <v>464</v>
      </c>
      <c r="K197" s="132">
        <v>88</v>
      </c>
      <c r="L197" s="132">
        <v>43</v>
      </c>
      <c r="M197" s="132">
        <v>211</v>
      </c>
      <c r="N197" s="132">
        <v>102</v>
      </c>
      <c r="O197" s="132">
        <v>12</v>
      </c>
      <c r="P197" s="144">
        <v>6</v>
      </c>
    </row>
    <row r="198" spans="3:16" ht="15.75" thickBot="1" x14ac:dyDescent="0.3">
      <c r="C198" s="145" t="s">
        <v>86</v>
      </c>
      <c r="D198" s="133">
        <v>337</v>
      </c>
      <c r="E198" s="133">
        <v>143</v>
      </c>
      <c r="F198" s="132">
        <f t="shared" si="3"/>
        <v>277</v>
      </c>
      <c r="G198" s="133">
        <v>60</v>
      </c>
      <c r="H198" s="133">
        <v>35</v>
      </c>
      <c r="I198" s="133">
        <v>313</v>
      </c>
      <c r="J198" s="133">
        <v>135</v>
      </c>
      <c r="K198" s="133">
        <v>60</v>
      </c>
      <c r="L198" s="133">
        <v>35</v>
      </c>
      <c r="M198" s="133">
        <v>24</v>
      </c>
      <c r="N198" s="133">
        <v>8</v>
      </c>
      <c r="O198" s="133">
        <v>0</v>
      </c>
      <c r="P198" s="146">
        <v>0</v>
      </c>
    </row>
    <row r="199" spans="3:16" ht="15.75" thickBot="1" x14ac:dyDescent="0.3">
      <c r="C199" s="143" t="s">
        <v>87</v>
      </c>
      <c r="D199" s="132">
        <v>162</v>
      </c>
      <c r="E199" s="132">
        <v>73</v>
      </c>
      <c r="F199" s="132">
        <f t="shared" si="3"/>
        <v>121</v>
      </c>
      <c r="G199" s="132">
        <v>41</v>
      </c>
      <c r="H199" s="132">
        <v>24</v>
      </c>
      <c r="I199" s="132">
        <v>132</v>
      </c>
      <c r="J199" s="132">
        <v>60</v>
      </c>
      <c r="K199" s="132">
        <v>39</v>
      </c>
      <c r="L199" s="132">
        <v>22</v>
      </c>
      <c r="M199" s="132">
        <v>30</v>
      </c>
      <c r="N199" s="132">
        <v>13</v>
      </c>
      <c r="O199" s="132">
        <v>2</v>
      </c>
      <c r="P199" s="144">
        <v>2</v>
      </c>
    </row>
    <row r="200" spans="3:16" ht="15.75" thickBot="1" x14ac:dyDescent="0.3">
      <c r="C200" s="145" t="s">
        <v>153</v>
      </c>
      <c r="D200" s="133">
        <v>33</v>
      </c>
      <c r="E200" s="133">
        <v>20</v>
      </c>
      <c r="F200" s="132">
        <f t="shared" si="3"/>
        <v>27</v>
      </c>
      <c r="G200" s="133">
        <v>6</v>
      </c>
      <c r="H200" s="133">
        <v>4</v>
      </c>
      <c r="I200" s="133">
        <v>27</v>
      </c>
      <c r="J200" s="133">
        <v>16</v>
      </c>
      <c r="K200" s="133">
        <v>5</v>
      </c>
      <c r="L200" s="133">
        <v>3</v>
      </c>
      <c r="M200" s="133">
        <v>6</v>
      </c>
      <c r="N200" s="133">
        <v>4</v>
      </c>
      <c r="O200" s="133">
        <v>1</v>
      </c>
      <c r="P200" s="146">
        <v>1</v>
      </c>
    </row>
    <row r="201" spans="3:16" ht="15.75" thickBot="1" x14ac:dyDescent="0.3">
      <c r="C201" s="143" t="s">
        <v>154</v>
      </c>
      <c r="D201" s="132">
        <v>51</v>
      </c>
      <c r="E201" s="132">
        <v>24</v>
      </c>
      <c r="F201" s="132">
        <f t="shared" si="3"/>
        <v>45</v>
      </c>
      <c r="G201" s="132">
        <v>6</v>
      </c>
      <c r="H201" s="132">
        <v>3</v>
      </c>
      <c r="I201" s="132">
        <v>40</v>
      </c>
      <c r="J201" s="132">
        <v>18</v>
      </c>
      <c r="K201" s="132">
        <v>6</v>
      </c>
      <c r="L201" s="132">
        <v>3</v>
      </c>
      <c r="M201" s="132">
        <v>11</v>
      </c>
      <c r="N201" s="132">
        <v>6</v>
      </c>
      <c r="O201" s="132">
        <v>0</v>
      </c>
      <c r="P201" s="144">
        <v>0</v>
      </c>
    </row>
    <row r="202" spans="3:16" ht="15.75" thickBot="1" x14ac:dyDescent="0.3">
      <c r="C202" s="156" t="s">
        <v>105</v>
      </c>
      <c r="D202" s="157"/>
      <c r="E202" s="157"/>
      <c r="F202" s="132">
        <f t="shared" si="3"/>
        <v>0</v>
      </c>
      <c r="G202" s="157"/>
      <c r="H202" s="157"/>
      <c r="I202" s="157"/>
      <c r="J202" s="157"/>
      <c r="K202" s="157"/>
      <c r="L202" s="157"/>
      <c r="M202" s="157"/>
      <c r="N202" s="157"/>
      <c r="O202" s="157"/>
      <c r="P202" s="158"/>
    </row>
    <row r="203" spans="3:16" ht="15.75" thickBot="1" x14ac:dyDescent="0.3">
      <c r="C203" s="153"/>
      <c r="D203" s="154"/>
      <c r="E203" s="154"/>
      <c r="F203" s="132">
        <f t="shared" si="3"/>
        <v>0</v>
      </c>
      <c r="G203" s="154"/>
      <c r="H203" s="154"/>
      <c r="I203" s="154"/>
      <c r="J203" s="154"/>
      <c r="K203" s="154"/>
      <c r="L203" s="154"/>
      <c r="M203" s="154"/>
      <c r="N203" s="154"/>
      <c r="O203" s="154"/>
      <c r="P203" s="155"/>
    </row>
    <row r="204" spans="3:16" ht="15.75" thickBot="1" x14ac:dyDescent="0.3">
      <c r="C204" s="145" t="s">
        <v>83</v>
      </c>
      <c r="D204" s="133">
        <v>383</v>
      </c>
      <c r="E204" s="133">
        <v>171</v>
      </c>
      <c r="F204" s="132">
        <f t="shared" si="3"/>
        <v>344</v>
      </c>
      <c r="G204" s="133">
        <v>39</v>
      </c>
      <c r="H204" s="133">
        <v>20</v>
      </c>
      <c r="I204" s="133">
        <v>375</v>
      </c>
      <c r="J204" s="133">
        <v>168</v>
      </c>
      <c r="K204" s="133">
        <v>36</v>
      </c>
      <c r="L204" s="133">
        <v>19</v>
      </c>
      <c r="M204" s="133">
        <v>8</v>
      </c>
      <c r="N204" s="133">
        <v>3</v>
      </c>
      <c r="O204" s="133">
        <v>3</v>
      </c>
      <c r="P204" s="146">
        <v>1</v>
      </c>
    </row>
    <row r="205" spans="3:16" ht="15.75" thickBot="1" x14ac:dyDescent="0.3">
      <c r="C205" s="143" t="s">
        <v>152</v>
      </c>
      <c r="D205" s="132">
        <v>6</v>
      </c>
      <c r="E205" s="132">
        <v>4</v>
      </c>
      <c r="F205" s="132">
        <f t="shared" si="3"/>
        <v>6</v>
      </c>
      <c r="G205" s="132">
        <v>0</v>
      </c>
      <c r="H205" s="132">
        <v>0</v>
      </c>
      <c r="I205" s="132">
        <v>3</v>
      </c>
      <c r="J205" s="132">
        <v>3</v>
      </c>
      <c r="K205" s="132">
        <v>0</v>
      </c>
      <c r="L205" s="132">
        <v>0</v>
      </c>
      <c r="M205" s="132">
        <v>3</v>
      </c>
      <c r="N205" s="132">
        <v>1</v>
      </c>
      <c r="O205" s="132">
        <v>0</v>
      </c>
      <c r="P205" s="144">
        <v>0</v>
      </c>
    </row>
    <row r="206" spans="3:16" ht="15.75" thickBot="1" x14ac:dyDescent="0.3">
      <c r="C206" s="145" t="s">
        <v>85</v>
      </c>
      <c r="D206" s="133">
        <v>236</v>
      </c>
      <c r="E206" s="133">
        <v>104</v>
      </c>
      <c r="F206" s="132">
        <f t="shared" si="3"/>
        <v>215</v>
      </c>
      <c r="G206" s="133">
        <v>21</v>
      </c>
      <c r="H206" s="133">
        <v>11</v>
      </c>
      <c r="I206" s="133">
        <v>231</v>
      </c>
      <c r="J206" s="133">
        <v>102</v>
      </c>
      <c r="K206" s="133">
        <v>18</v>
      </c>
      <c r="L206" s="133">
        <v>10</v>
      </c>
      <c r="M206" s="133">
        <v>5</v>
      </c>
      <c r="N206" s="133">
        <v>2</v>
      </c>
      <c r="O206" s="133">
        <v>3</v>
      </c>
      <c r="P206" s="146">
        <v>1</v>
      </c>
    </row>
    <row r="207" spans="3:16" ht="15.75" thickBot="1" x14ac:dyDescent="0.3">
      <c r="C207" s="143" t="s">
        <v>86</v>
      </c>
      <c r="D207" s="132">
        <v>78</v>
      </c>
      <c r="E207" s="132">
        <v>37</v>
      </c>
      <c r="F207" s="132">
        <f t="shared" si="3"/>
        <v>67</v>
      </c>
      <c r="G207" s="132">
        <v>11</v>
      </c>
      <c r="H207" s="132">
        <v>5</v>
      </c>
      <c r="I207" s="132">
        <v>78</v>
      </c>
      <c r="J207" s="132">
        <v>37</v>
      </c>
      <c r="K207" s="132">
        <v>11</v>
      </c>
      <c r="L207" s="132">
        <v>5</v>
      </c>
      <c r="M207" s="132">
        <v>0</v>
      </c>
      <c r="N207" s="132">
        <v>0</v>
      </c>
      <c r="O207" s="132">
        <v>0</v>
      </c>
      <c r="P207" s="144">
        <v>0</v>
      </c>
    </row>
    <row r="208" spans="3:16" ht="15.75" thickBot="1" x14ac:dyDescent="0.3">
      <c r="C208" s="145" t="s">
        <v>87</v>
      </c>
      <c r="D208" s="133">
        <v>63</v>
      </c>
      <c r="E208" s="133">
        <v>26</v>
      </c>
      <c r="F208" s="132">
        <f t="shared" si="3"/>
        <v>56</v>
      </c>
      <c r="G208" s="133">
        <v>7</v>
      </c>
      <c r="H208" s="133">
        <v>4</v>
      </c>
      <c r="I208" s="133">
        <v>63</v>
      </c>
      <c r="J208" s="133">
        <v>26</v>
      </c>
      <c r="K208" s="133">
        <v>7</v>
      </c>
      <c r="L208" s="133">
        <v>4</v>
      </c>
      <c r="M208" s="133">
        <v>0</v>
      </c>
      <c r="N208" s="133">
        <v>0</v>
      </c>
      <c r="O208" s="133">
        <v>0</v>
      </c>
      <c r="P208" s="146">
        <v>0</v>
      </c>
    </row>
    <row r="209" spans="3:16" ht="15.75" thickBot="1" x14ac:dyDescent="0.3">
      <c r="C209" s="143" t="s">
        <v>153</v>
      </c>
      <c r="D209" s="132">
        <v>39</v>
      </c>
      <c r="E209" s="132">
        <v>15</v>
      </c>
      <c r="F209" s="132">
        <f t="shared" si="3"/>
        <v>38</v>
      </c>
      <c r="G209" s="132">
        <v>1</v>
      </c>
      <c r="H209" s="132">
        <v>1</v>
      </c>
      <c r="I209" s="132">
        <v>39</v>
      </c>
      <c r="J209" s="132">
        <v>15</v>
      </c>
      <c r="K209" s="132">
        <v>1</v>
      </c>
      <c r="L209" s="132">
        <v>1</v>
      </c>
      <c r="M209" s="132">
        <v>0</v>
      </c>
      <c r="N209" s="132">
        <v>0</v>
      </c>
      <c r="O209" s="132">
        <v>0</v>
      </c>
      <c r="P209" s="144">
        <v>0</v>
      </c>
    </row>
    <row r="210" spans="3:16" ht="15.75" thickBot="1" x14ac:dyDescent="0.3">
      <c r="C210" s="145" t="s">
        <v>154</v>
      </c>
      <c r="D210" s="133">
        <v>7</v>
      </c>
      <c r="E210" s="133">
        <v>3</v>
      </c>
      <c r="F210" s="132">
        <f t="shared" si="3"/>
        <v>7</v>
      </c>
      <c r="G210" s="133">
        <v>0</v>
      </c>
      <c r="H210" s="133">
        <v>0</v>
      </c>
      <c r="I210" s="133">
        <v>7</v>
      </c>
      <c r="J210" s="133">
        <v>3</v>
      </c>
      <c r="K210" s="133">
        <v>0</v>
      </c>
      <c r="L210" s="133">
        <v>0</v>
      </c>
      <c r="M210" s="133">
        <v>0</v>
      </c>
      <c r="N210" s="133">
        <v>0</v>
      </c>
      <c r="O210" s="133">
        <v>0</v>
      </c>
      <c r="P210" s="146">
        <v>0</v>
      </c>
    </row>
    <row r="211" spans="3:16" ht="15.75" thickBot="1" x14ac:dyDescent="0.3">
      <c r="C211" s="153" t="s">
        <v>106</v>
      </c>
      <c r="D211" s="154"/>
      <c r="E211" s="154"/>
      <c r="F211" s="132">
        <f t="shared" si="3"/>
        <v>0</v>
      </c>
      <c r="G211" s="154"/>
      <c r="H211" s="154"/>
      <c r="I211" s="154"/>
      <c r="J211" s="154"/>
      <c r="K211" s="154"/>
      <c r="L211" s="154"/>
      <c r="M211" s="154"/>
      <c r="N211" s="154"/>
      <c r="O211" s="154"/>
      <c r="P211" s="155"/>
    </row>
    <row r="212" spans="3:16" ht="15.75" thickBot="1" x14ac:dyDescent="0.3">
      <c r="C212" s="156"/>
      <c r="D212" s="157"/>
      <c r="E212" s="157"/>
      <c r="F212" s="132">
        <f t="shared" si="3"/>
        <v>0</v>
      </c>
      <c r="G212" s="157"/>
      <c r="H212" s="157"/>
      <c r="I212" s="157"/>
      <c r="J212" s="157"/>
      <c r="K212" s="157"/>
      <c r="L212" s="157"/>
      <c r="M212" s="157"/>
      <c r="N212" s="157"/>
      <c r="O212" s="157"/>
      <c r="P212" s="158"/>
    </row>
    <row r="213" spans="3:16" ht="15.75" thickBot="1" x14ac:dyDescent="0.3">
      <c r="C213" s="143" t="s">
        <v>83</v>
      </c>
      <c r="D213" s="132">
        <v>882</v>
      </c>
      <c r="E213" s="132">
        <v>391</v>
      </c>
      <c r="F213" s="132">
        <f t="shared" si="3"/>
        <v>788</v>
      </c>
      <c r="G213" s="132">
        <v>94</v>
      </c>
      <c r="H213" s="132">
        <v>42</v>
      </c>
      <c r="I213" s="132">
        <v>869</v>
      </c>
      <c r="J213" s="132">
        <v>389</v>
      </c>
      <c r="K213" s="132">
        <v>94</v>
      </c>
      <c r="L213" s="132">
        <v>42</v>
      </c>
      <c r="M213" s="132">
        <v>13</v>
      </c>
      <c r="N213" s="132">
        <v>2</v>
      </c>
      <c r="O213" s="132">
        <v>0</v>
      </c>
      <c r="P213" s="144">
        <v>0</v>
      </c>
    </row>
    <row r="214" spans="3:16" ht="15.75" thickBot="1" x14ac:dyDescent="0.3">
      <c r="C214" s="145" t="s">
        <v>151</v>
      </c>
      <c r="D214" s="133">
        <v>28</v>
      </c>
      <c r="E214" s="133">
        <v>11</v>
      </c>
      <c r="F214" s="132">
        <f t="shared" si="3"/>
        <v>26</v>
      </c>
      <c r="G214" s="133">
        <v>2</v>
      </c>
      <c r="H214" s="133">
        <v>0</v>
      </c>
      <c r="I214" s="133">
        <v>28</v>
      </c>
      <c r="J214" s="133">
        <v>11</v>
      </c>
      <c r="K214" s="133">
        <v>2</v>
      </c>
      <c r="L214" s="133">
        <v>0</v>
      </c>
      <c r="M214" s="133">
        <v>0</v>
      </c>
      <c r="N214" s="133">
        <v>0</v>
      </c>
      <c r="O214" s="133">
        <v>0</v>
      </c>
      <c r="P214" s="146">
        <v>0</v>
      </c>
    </row>
    <row r="215" spans="3:16" ht="15.75" thickBot="1" x14ac:dyDescent="0.3">
      <c r="C215" s="143" t="s">
        <v>152</v>
      </c>
      <c r="D215" s="132">
        <v>26</v>
      </c>
      <c r="E215" s="132">
        <v>17</v>
      </c>
      <c r="F215" s="132">
        <f t="shared" si="3"/>
        <v>25</v>
      </c>
      <c r="G215" s="132">
        <v>1</v>
      </c>
      <c r="H215" s="132">
        <v>1</v>
      </c>
      <c r="I215" s="132">
        <v>26</v>
      </c>
      <c r="J215" s="132">
        <v>17</v>
      </c>
      <c r="K215" s="132">
        <v>1</v>
      </c>
      <c r="L215" s="132">
        <v>1</v>
      </c>
      <c r="M215" s="132">
        <v>0</v>
      </c>
      <c r="N215" s="132">
        <v>0</v>
      </c>
      <c r="O215" s="132">
        <v>0</v>
      </c>
      <c r="P215" s="144">
        <v>0</v>
      </c>
    </row>
    <row r="216" spans="3:16" ht="15.75" thickBot="1" x14ac:dyDescent="0.3">
      <c r="C216" s="145" t="s">
        <v>85</v>
      </c>
      <c r="D216" s="133">
        <v>550</v>
      </c>
      <c r="E216" s="133">
        <v>259</v>
      </c>
      <c r="F216" s="132">
        <f t="shared" si="3"/>
        <v>498</v>
      </c>
      <c r="G216" s="133">
        <v>52</v>
      </c>
      <c r="H216" s="133">
        <v>25</v>
      </c>
      <c r="I216" s="133">
        <v>548</v>
      </c>
      <c r="J216" s="133">
        <v>259</v>
      </c>
      <c r="K216" s="133">
        <v>52</v>
      </c>
      <c r="L216" s="133">
        <v>25</v>
      </c>
      <c r="M216" s="133">
        <v>2</v>
      </c>
      <c r="N216" s="133">
        <v>0</v>
      </c>
      <c r="O216" s="133">
        <v>0</v>
      </c>
      <c r="P216" s="146">
        <v>0</v>
      </c>
    </row>
    <row r="217" spans="3:16" ht="15.75" thickBot="1" x14ac:dyDescent="0.3">
      <c r="C217" s="143" t="s">
        <v>86</v>
      </c>
      <c r="D217" s="132">
        <v>193</v>
      </c>
      <c r="E217" s="132">
        <v>72</v>
      </c>
      <c r="F217" s="132">
        <f t="shared" si="3"/>
        <v>172</v>
      </c>
      <c r="G217" s="132">
        <v>21</v>
      </c>
      <c r="H217" s="132">
        <v>8</v>
      </c>
      <c r="I217" s="132">
        <v>184</v>
      </c>
      <c r="J217" s="132">
        <v>71</v>
      </c>
      <c r="K217" s="132">
        <v>21</v>
      </c>
      <c r="L217" s="132">
        <v>8</v>
      </c>
      <c r="M217" s="132">
        <v>9</v>
      </c>
      <c r="N217" s="132">
        <v>1</v>
      </c>
      <c r="O217" s="132">
        <v>0</v>
      </c>
      <c r="P217" s="144">
        <v>0</v>
      </c>
    </row>
    <row r="218" spans="3:16" ht="15.75" thickBot="1" x14ac:dyDescent="0.3">
      <c r="C218" s="145" t="s">
        <v>87</v>
      </c>
      <c r="D218" s="133">
        <v>85</v>
      </c>
      <c r="E218" s="133">
        <v>32</v>
      </c>
      <c r="F218" s="132">
        <f t="shared" si="3"/>
        <v>67</v>
      </c>
      <c r="G218" s="133">
        <v>18</v>
      </c>
      <c r="H218" s="133">
        <v>8</v>
      </c>
      <c r="I218" s="133">
        <v>83</v>
      </c>
      <c r="J218" s="133">
        <v>31</v>
      </c>
      <c r="K218" s="133">
        <v>18</v>
      </c>
      <c r="L218" s="133">
        <v>8</v>
      </c>
      <c r="M218" s="133">
        <v>2</v>
      </c>
      <c r="N218" s="133">
        <v>1</v>
      </c>
      <c r="O218" s="133">
        <v>0</v>
      </c>
      <c r="P218" s="146">
        <v>0</v>
      </c>
    </row>
    <row r="219" spans="3:16" ht="15.75" thickBot="1" x14ac:dyDescent="0.3">
      <c r="C219" s="143" t="s">
        <v>153</v>
      </c>
      <c r="D219" s="132">
        <v>19</v>
      </c>
      <c r="E219" s="132">
        <v>5</v>
      </c>
      <c r="F219" s="132">
        <f t="shared" si="3"/>
        <v>17</v>
      </c>
      <c r="G219" s="132">
        <v>2</v>
      </c>
      <c r="H219" s="132">
        <v>1</v>
      </c>
      <c r="I219" s="132">
        <v>19</v>
      </c>
      <c r="J219" s="132">
        <v>5</v>
      </c>
      <c r="K219" s="132">
        <v>2</v>
      </c>
      <c r="L219" s="132">
        <v>1</v>
      </c>
      <c r="M219" s="132">
        <v>0</v>
      </c>
      <c r="N219" s="132">
        <v>0</v>
      </c>
      <c r="O219" s="132">
        <v>0</v>
      </c>
      <c r="P219" s="144">
        <v>0</v>
      </c>
    </row>
    <row r="220" spans="3:16" ht="15.75" thickBot="1" x14ac:dyDescent="0.3">
      <c r="C220" s="145" t="s">
        <v>154</v>
      </c>
      <c r="D220" s="133">
        <v>21</v>
      </c>
      <c r="E220" s="133">
        <v>7</v>
      </c>
      <c r="F220" s="132">
        <f t="shared" si="3"/>
        <v>17</v>
      </c>
      <c r="G220" s="133">
        <v>4</v>
      </c>
      <c r="H220" s="133">
        <v>1</v>
      </c>
      <c r="I220" s="133">
        <v>21</v>
      </c>
      <c r="J220" s="133">
        <v>7</v>
      </c>
      <c r="K220" s="133">
        <v>4</v>
      </c>
      <c r="L220" s="133">
        <v>1</v>
      </c>
      <c r="M220" s="133">
        <v>0</v>
      </c>
      <c r="N220" s="133">
        <v>0</v>
      </c>
      <c r="O220" s="133">
        <v>0</v>
      </c>
      <c r="P220" s="146">
        <v>0</v>
      </c>
    </row>
    <row r="221" spans="3:16" ht="15.75" thickBot="1" x14ac:dyDescent="0.3">
      <c r="C221" s="153" t="s">
        <v>107</v>
      </c>
      <c r="D221" s="154"/>
      <c r="E221" s="154"/>
      <c r="F221" s="132">
        <f t="shared" si="3"/>
        <v>0</v>
      </c>
      <c r="G221" s="154"/>
      <c r="H221" s="154"/>
      <c r="I221" s="154"/>
      <c r="J221" s="154"/>
      <c r="K221" s="154"/>
      <c r="L221" s="154"/>
      <c r="M221" s="154"/>
      <c r="N221" s="154"/>
      <c r="O221" s="154"/>
      <c r="P221" s="155"/>
    </row>
    <row r="222" spans="3:16" ht="15.75" thickBot="1" x14ac:dyDescent="0.3">
      <c r="C222" s="156"/>
      <c r="D222" s="157"/>
      <c r="E222" s="157"/>
      <c r="F222" s="132">
        <f t="shared" si="3"/>
        <v>0</v>
      </c>
      <c r="G222" s="157"/>
      <c r="H222" s="157"/>
      <c r="I222" s="157"/>
      <c r="J222" s="157"/>
      <c r="K222" s="157"/>
      <c r="L222" s="157"/>
      <c r="M222" s="157"/>
      <c r="N222" s="157"/>
      <c r="O222" s="157"/>
      <c r="P222" s="158"/>
    </row>
    <row r="223" spans="3:16" ht="15.75" thickBot="1" x14ac:dyDescent="0.3">
      <c r="C223" s="143" t="s">
        <v>83</v>
      </c>
      <c r="D223" s="132">
        <v>1005</v>
      </c>
      <c r="E223" s="132">
        <v>442</v>
      </c>
      <c r="F223" s="132">
        <f t="shared" si="3"/>
        <v>896</v>
      </c>
      <c r="G223" s="132">
        <v>109</v>
      </c>
      <c r="H223" s="132">
        <v>57</v>
      </c>
      <c r="I223" s="132">
        <v>990</v>
      </c>
      <c r="J223" s="132">
        <v>437</v>
      </c>
      <c r="K223" s="132">
        <v>109</v>
      </c>
      <c r="L223" s="132">
        <v>57</v>
      </c>
      <c r="M223" s="132">
        <v>15</v>
      </c>
      <c r="N223" s="132">
        <v>5</v>
      </c>
      <c r="O223" s="132">
        <v>0</v>
      </c>
      <c r="P223" s="144">
        <v>0</v>
      </c>
    </row>
    <row r="224" spans="3:16" ht="15.75" thickBot="1" x14ac:dyDescent="0.3">
      <c r="C224" s="145" t="s">
        <v>151</v>
      </c>
      <c r="D224" s="133">
        <v>163</v>
      </c>
      <c r="E224" s="133">
        <v>84</v>
      </c>
      <c r="F224" s="132">
        <f t="shared" si="3"/>
        <v>151</v>
      </c>
      <c r="G224" s="133">
        <v>12</v>
      </c>
      <c r="H224" s="133">
        <v>8</v>
      </c>
      <c r="I224" s="133">
        <v>163</v>
      </c>
      <c r="J224" s="133">
        <v>84</v>
      </c>
      <c r="K224" s="133">
        <v>12</v>
      </c>
      <c r="L224" s="133">
        <v>8</v>
      </c>
      <c r="M224" s="133">
        <v>0</v>
      </c>
      <c r="N224" s="133">
        <v>0</v>
      </c>
      <c r="O224" s="133">
        <v>0</v>
      </c>
      <c r="P224" s="146">
        <v>0</v>
      </c>
    </row>
    <row r="225" spans="3:16" ht="15.75" thickBot="1" x14ac:dyDescent="0.3">
      <c r="C225" s="143" t="s">
        <v>152</v>
      </c>
      <c r="D225" s="132">
        <v>40</v>
      </c>
      <c r="E225" s="132">
        <v>22</v>
      </c>
      <c r="F225" s="132">
        <f t="shared" si="3"/>
        <v>39</v>
      </c>
      <c r="G225" s="132">
        <v>1</v>
      </c>
      <c r="H225" s="132">
        <v>0</v>
      </c>
      <c r="I225" s="132">
        <v>40</v>
      </c>
      <c r="J225" s="132">
        <v>22</v>
      </c>
      <c r="K225" s="132">
        <v>1</v>
      </c>
      <c r="L225" s="132">
        <v>0</v>
      </c>
      <c r="M225" s="132">
        <v>0</v>
      </c>
      <c r="N225" s="132">
        <v>0</v>
      </c>
      <c r="O225" s="132">
        <v>0</v>
      </c>
      <c r="P225" s="144">
        <v>0</v>
      </c>
    </row>
    <row r="226" spans="3:16" ht="15.75" thickBot="1" x14ac:dyDescent="0.3">
      <c r="C226" s="145" t="s">
        <v>85</v>
      </c>
      <c r="D226" s="133">
        <v>490</v>
      </c>
      <c r="E226" s="133">
        <v>207</v>
      </c>
      <c r="F226" s="132">
        <f t="shared" si="3"/>
        <v>437</v>
      </c>
      <c r="G226" s="133">
        <v>53</v>
      </c>
      <c r="H226" s="133">
        <v>25</v>
      </c>
      <c r="I226" s="133">
        <v>482</v>
      </c>
      <c r="J226" s="133">
        <v>205</v>
      </c>
      <c r="K226" s="133">
        <v>53</v>
      </c>
      <c r="L226" s="133">
        <v>25</v>
      </c>
      <c r="M226" s="133">
        <v>8</v>
      </c>
      <c r="N226" s="133">
        <v>2</v>
      </c>
      <c r="O226" s="133">
        <v>0</v>
      </c>
      <c r="P226" s="146">
        <v>0</v>
      </c>
    </row>
    <row r="227" spans="3:16" ht="15.75" thickBot="1" x14ac:dyDescent="0.3">
      <c r="C227" s="143" t="s">
        <v>86</v>
      </c>
      <c r="D227" s="132">
        <v>220</v>
      </c>
      <c r="E227" s="132">
        <v>92</v>
      </c>
      <c r="F227" s="132">
        <f t="shared" si="3"/>
        <v>198</v>
      </c>
      <c r="G227" s="132">
        <v>22</v>
      </c>
      <c r="H227" s="132">
        <v>13</v>
      </c>
      <c r="I227" s="132">
        <v>213</v>
      </c>
      <c r="J227" s="132">
        <v>89</v>
      </c>
      <c r="K227" s="132">
        <v>22</v>
      </c>
      <c r="L227" s="132">
        <v>13</v>
      </c>
      <c r="M227" s="132">
        <v>7</v>
      </c>
      <c r="N227" s="132">
        <v>3</v>
      </c>
      <c r="O227" s="132">
        <v>0</v>
      </c>
      <c r="P227" s="144">
        <v>0</v>
      </c>
    </row>
    <row r="228" spans="3:16" ht="15.75" thickBot="1" x14ac:dyDescent="0.3">
      <c r="C228" s="145" t="s">
        <v>87</v>
      </c>
      <c r="D228" s="133">
        <v>92</v>
      </c>
      <c r="E228" s="133">
        <v>37</v>
      </c>
      <c r="F228" s="132">
        <f t="shared" ref="F228:F291" si="4">D228-G228</f>
        <v>71</v>
      </c>
      <c r="G228" s="133">
        <v>21</v>
      </c>
      <c r="H228" s="133">
        <v>11</v>
      </c>
      <c r="I228" s="133">
        <v>92</v>
      </c>
      <c r="J228" s="133">
        <v>37</v>
      </c>
      <c r="K228" s="133">
        <v>21</v>
      </c>
      <c r="L228" s="133">
        <v>11</v>
      </c>
      <c r="M228" s="133">
        <v>0</v>
      </c>
      <c r="N228" s="133">
        <v>0</v>
      </c>
      <c r="O228" s="133">
        <v>0</v>
      </c>
      <c r="P228" s="146">
        <v>0</v>
      </c>
    </row>
    <row r="229" spans="3:16" ht="15.75" thickBot="1" x14ac:dyDescent="0.3">
      <c r="C229" s="143" t="s">
        <v>153</v>
      </c>
      <c r="D229" s="132">
        <v>28</v>
      </c>
      <c r="E229" s="132">
        <v>14</v>
      </c>
      <c r="F229" s="132">
        <f t="shared" si="4"/>
        <v>20</v>
      </c>
      <c r="G229" s="132">
        <v>8</v>
      </c>
      <c r="H229" s="132">
        <v>5</v>
      </c>
      <c r="I229" s="132">
        <v>28</v>
      </c>
      <c r="J229" s="132">
        <v>14</v>
      </c>
      <c r="K229" s="132">
        <v>8</v>
      </c>
      <c r="L229" s="132">
        <v>5</v>
      </c>
      <c r="M229" s="132">
        <v>0</v>
      </c>
      <c r="N229" s="132">
        <v>0</v>
      </c>
      <c r="O229" s="132">
        <v>0</v>
      </c>
      <c r="P229" s="144">
        <v>0</v>
      </c>
    </row>
    <row r="230" spans="3:16" ht="15.75" thickBot="1" x14ac:dyDescent="0.3">
      <c r="C230" s="145" t="s">
        <v>154</v>
      </c>
      <c r="D230" s="133">
        <v>8</v>
      </c>
      <c r="E230" s="133">
        <v>3</v>
      </c>
      <c r="F230" s="132">
        <f t="shared" si="4"/>
        <v>6</v>
      </c>
      <c r="G230" s="133">
        <v>2</v>
      </c>
      <c r="H230" s="133">
        <v>1</v>
      </c>
      <c r="I230" s="133">
        <v>8</v>
      </c>
      <c r="J230" s="133">
        <v>3</v>
      </c>
      <c r="K230" s="133">
        <v>2</v>
      </c>
      <c r="L230" s="133">
        <v>1</v>
      </c>
      <c r="M230" s="133">
        <v>0</v>
      </c>
      <c r="N230" s="133">
        <v>0</v>
      </c>
      <c r="O230" s="133">
        <v>0</v>
      </c>
      <c r="P230" s="146">
        <v>0</v>
      </c>
    </row>
    <row r="231" spans="3:16" ht="15.75" thickBot="1" x14ac:dyDescent="0.3">
      <c r="C231" s="153" t="s">
        <v>108</v>
      </c>
      <c r="D231" s="154"/>
      <c r="E231" s="154"/>
      <c r="F231" s="132">
        <f t="shared" si="4"/>
        <v>0</v>
      </c>
      <c r="G231" s="154"/>
      <c r="H231" s="154"/>
      <c r="I231" s="154"/>
      <c r="J231" s="154"/>
      <c r="K231" s="154"/>
      <c r="L231" s="154"/>
      <c r="M231" s="154"/>
      <c r="N231" s="154"/>
      <c r="O231" s="154"/>
      <c r="P231" s="155"/>
    </row>
    <row r="232" spans="3:16" ht="15.75" thickBot="1" x14ac:dyDescent="0.3">
      <c r="C232" s="156"/>
      <c r="D232" s="157"/>
      <c r="E232" s="157"/>
      <c r="F232" s="132">
        <f t="shared" si="4"/>
        <v>0</v>
      </c>
      <c r="G232" s="157"/>
      <c r="H232" s="157"/>
      <c r="I232" s="157"/>
      <c r="J232" s="157"/>
      <c r="K232" s="157"/>
      <c r="L232" s="157"/>
      <c r="M232" s="157"/>
      <c r="N232" s="157"/>
      <c r="O232" s="157"/>
      <c r="P232" s="158"/>
    </row>
    <row r="233" spans="3:16" ht="15.75" thickBot="1" x14ac:dyDescent="0.3">
      <c r="C233" s="143" t="s">
        <v>83</v>
      </c>
      <c r="D233" s="132">
        <v>12694</v>
      </c>
      <c r="E233" s="132">
        <v>5893</v>
      </c>
      <c r="F233" s="132">
        <f t="shared" si="4"/>
        <v>11716</v>
      </c>
      <c r="G233" s="132">
        <v>978</v>
      </c>
      <c r="H233" s="132">
        <v>443</v>
      </c>
      <c r="I233" s="132">
        <v>12305</v>
      </c>
      <c r="J233" s="132">
        <v>5729</v>
      </c>
      <c r="K233" s="132">
        <v>971</v>
      </c>
      <c r="L233" s="132">
        <v>441</v>
      </c>
      <c r="M233" s="132">
        <v>389</v>
      </c>
      <c r="N233" s="132">
        <v>164</v>
      </c>
      <c r="O233" s="132">
        <v>7</v>
      </c>
      <c r="P233" s="144">
        <v>2</v>
      </c>
    </row>
    <row r="234" spans="3:16" ht="15.75" thickBot="1" x14ac:dyDescent="0.3">
      <c r="C234" s="145" t="s">
        <v>151</v>
      </c>
      <c r="D234" s="133">
        <v>751</v>
      </c>
      <c r="E234" s="133">
        <v>434</v>
      </c>
      <c r="F234" s="132">
        <f t="shared" si="4"/>
        <v>739</v>
      </c>
      <c r="G234" s="133">
        <v>12</v>
      </c>
      <c r="H234" s="133">
        <v>9</v>
      </c>
      <c r="I234" s="133">
        <v>648</v>
      </c>
      <c r="J234" s="133">
        <v>377</v>
      </c>
      <c r="K234" s="133">
        <v>11</v>
      </c>
      <c r="L234" s="133">
        <v>9</v>
      </c>
      <c r="M234" s="133">
        <v>103</v>
      </c>
      <c r="N234" s="133">
        <v>57</v>
      </c>
      <c r="O234" s="133">
        <v>1</v>
      </c>
      <c r="P234" s="146">
        <v>0</v>
      </c>
    </row>
    <row r="235" spans="3:16" ht="15.75" thickBot="1" x14ac:dyDescent="0.3">
      <c r="C235" s="143" t="s">
        <v>152</v>
      </c>
      <c r="D235" s="132">
        <v>335</v>
      </c>
      <c r="E235" s="132">
        <v>171</v>
      </c>
      <c r="F235" s="132">
        <f t="shared" si="4"/>
        <v>329</v>
      </c>
      <c r="G235" s="132">
        <v>6</v>
      </c>
      <c r="H235" s="132">
        <v>4</v>
      </c>
      <c r="I235" s="132">
        <v>311</v>
      </c>
      <c r="J235" s="132">
        <v>161</v>
      </c>
      <c r="K235" s="132">
        <v>6</v>
      </c>
      <c r="L235" s="132">
        <v>4</v>
      </c>
      <c r="M235" s="132">
        <v>24</v>
      </c>
      <c r="N235" s="132">
        <v>10</v>
      </c>
      <c r="O235" s="132">
        <v>0</v>
      </c>
      <c r="P235" s="144">
        <v>0</v>
      </c>
    </row>
    <row r="236" spans="3:16" ht="15.75" thickBot="1" x14ac:dyDescent="0.3">
      <c r="C236" s="145" t="s">
        <v>85</v>
      </c>
      <c r="D236" s="133">
        <v>8019</v>
      </c>
      <c r="E236" s="133">
        <v>3952</v>
      </c>
      <c r="F236" s="132">
        <f t="shared" si="4"/>
        <v>7598</v>
      </c>
      <c r="G236" s="133">
        <v>421</v>
      </c>
      <c r="H236" s="133">
        <v>228</v>
      </c>
      <c r="I236" s="133">
        <v>7890</v>
      </c>
      <c r="J236" s="133">
        <v>3898</v>
      </c>
      <c r="K236" s="133">
        <v>420</v>
      </c>
      <c r="L236" s="133">
        <v>228</v>
      </c>
      <c r="M236" s="133">
        <v>129</v>
      </c>
      <c r="N236" s="133">
        <v>54</v>
      </c>
      <c r="O236" s="133">
        <v>1</v>
      </c>
      <c r="P236" s="146">
        <v>0</v>
      </c>
    </row>
    <row r="237" spans="3:16" ht="15.75" thickBot="1" x14ac:dyDescent="0.3">
      <c r="C237" s="143" t="s">
        <v>86</v>
      </c>
      <c r="D237" s="132">
        <v>2537</v>
      </c>
      <c r="E237" s="132">
        <v>963</v>
      </c>
      <c r="F237" s="132">
        <f t="shared" si="4"/>
        <v>2211</v>
      </c>
      <c r="G237" s="132">
        <v>326</v>
      </c>
      <c r="H237" s="132">
        <v>130</v>
      </c>
      <c r="I237" s="132">
        <v>2484</v>
      </c>
      <c r="J237" s="132">
        <v>946</v>
      </c>
      <c r="K237" s="132">
        <v>324</v>
      </c>
      <c r="L237" s="132">
        <v>128</v>
      </c>
      <c r="M237" s="132">
        <v>53</v>
      </c>
      <c r="N237" s="132">
        <v>17</v>
      </c>
      <c r="O237" s="132">
        <v>2</v>
      </c>
      <c r="P237" s="144">
        <v>2</v>
      </c>
    </row>
    <row r="238" spans="3:16" ht="15.75" thickBot="1" x14ac:dyDescent="0.3">
      <c r="C238" s="145" t="s">
        <v>87</v>
      </c>
      <c r="D238" s="133">
        <v>1052</v>
      </c>
      <c r="E238" s="133">
        <v>373</v>
      </c>
      <c r="F238" s="132">
        <f t="shared" si="4"/>
        <v>839</v>
      </c>
      <c r="G238" s="133">
        <v>213</v>
      </c>
      <c r="H238" s="133">
        <v>72</v>
      </c>
      <c r="I238" s="133">
        <v>972</v>
      </c>
      <c r="J238" s="133">
        <v>347</v>
      </c>
      <c r="K238" s="133">
        <v>210</v>
      </c>
      <c r="L238" s="133">
        <v>72</v>
      </c>
      <c r="M238" s="133">
        <v>80</v>
      </c>
      <c r="N238" s="133">
        <v>26</v>
      </c>
      <c r="O238" s="133">
        <v>3</v>
      </c>
      <c r="P238" s="146">
        <v>0</v>
      </c>
    </row>
    <row r="239" spans="3:16" ht="15.75" thickBot="1" x14ac:dyDescent="0.3">
      <c r="C239" s="143" t="s">
        <v>153</v>
      </c>
      <c r="D239" s="132">
        <v>340</v>
      </c>
      <c r="E239" s="132">
        <v>122</v>
      </c>
      <c r="F239" s="132">
        <f t="shared" si="4"/>
        <v>300</v>
      </c>
      <c r="G239" s="132">
        <v>40</v>
      </c>
      <c r="H239" s="132">
        <v>14</v>
      </c>
      <c r="I239" s="132">
        <v>323</v>
      </c>
      <c r="J239" s="132">
        <v>116</v>
      </c>
      <c r="K239" s="132">
        <v>39</v>
      </c>
      <c r="L239" s="132">
        <v>14</v>
      </c>
      <c r="M239" s="132">
        <v>17</v>
      </c>
      <c r="N239" s="132">
        <v>6</v>
      </c>
      <c r="O239" s="132">
        <v>1</v>
      </c>
      <c r="P239" s="144">
        <v>0</v>
      </c>
    </row>
    <row r="240" spans="3:16" ht="15.75" thickBot="1" x14ac:dyDescent="0.3">
      <c r="C240" s="145" t="s">
        <v>154</v>
      </c>
      <c r="D240" s="133">
        <v>165</v>
      </c>
      <c r="E240" s="133">
        <v>67</v>
      </c>
      <c r="F240" s="132">
        <f t="shared" si="4"/>
        <v>154</v>
      </c>
      <c r="G240" s="133">
        <v>11</v>
      </c>
      <c r="H240" s="133">
        <v>7</v>
      </c>
      <c r="I240" s="133">
        <v>116</v>
      </c>
      <c r="J240" s="133">
        <v>48</v>
      </c>
      <c r="K240" s="133">
        <v>9</v>
      </c>
      <c r="L240" s="133">
        <v>7</v>
      </c>
      <c r="M240" s="133">
        <v>49</v>
      </c>
      <c r="N240" s="133">
        <v>19</v>
      </c>
      <c r="O240" s="133">
        <v>2</v>
      </c>
      <c r="P240" s="146">
        <v>0</v>
      </c>
    </row>
    <row r="241" spans="3:16" ht="15.75" thickBot="1" x14ac:dyDescent="0.3">
      <c r="C241" s="153" t="s">
        <v>109</v>
      </c>
      <c r="D241" s="154"/>
      <c r="E241" s="154"/>
      <c r="F241" s="132">
        <f t="shared" si="4"/>
        <v>0</v>
      </c>
      <c r="G241" s="154"/>
      <c r="H241" s="154"/>
      <c r="I241" s="154"/>
      <c r="J241" s="154"/>
      <c r="K241" s="154"/>
      <c r="L241" s="154"/>
      <c r="M241" s="154"/>
      <c r="N241" s="154"/>
      <c r="O241" s="154"/>
      <c r="P241" s="155"/>
    </row>
    <row r="242" spans="3:16" ht="15.75" thickBot="1" x14ac:dyDescent="0.3">
      <c r="C242" s="156"/>
      <c r="D242" s="157"/>
      <c r="E242" s="157"/>
      <c r="F242" s="132">
        <f t="shared" si="4"/>
        <v>0</v>
      </c>
      <c r="G242" s="157"/>
      <c r="H242" s="157"/>
      <c r="I242" s="157"/>
      <c r="J242" s="157"/>
      <c r="K242" s="157"/>
      <c r="L242" s="157"/>
      <c r="M242" s="157"/>
      <c r="N242" s="157"/>
      <c r="O242" s="157"/>
      <c r="P242" s="158"/>
    </row>
    <row r="243" spans="3:16" ht="15.75" thickBot="1" x14ac:dyDescent="0.3">
      <c r="C243" s="143" t="s">
        <v>83</v>
      </c>
      <c r="D243" s="132">
        <v>1377</v>
      </c>
      <c r="E243" s="132">
        <v>623</v>
      </c>
      <c r="F243" s="132">
        <f t="shared" si="4"/>
        <v>1258</v>
      </c>
      <c r="G243" s="132">
        <v>119</v>
      </c>
      <c r="H243" s="132">
        <v>53</v>
      </c>
      <c r="I243" s="132">
        <v>1363</v>
      </c>
      <c r="J243" s="132">
        <v>617</v>
      </c>
      <c r="K243" s="132">
        <v>119</v>
      </c>
      <c r="L243" s="132">
        <v>53</v>
      </c>
      <c r="M243" s="132">
        <v>14</v>
      </c>
      <c r="N243" s="132">
        <v>6</v>
      </c>
      <c r="O243" s="132">
        <v>0</v>
      </c>
      <c r="P243" s="144">
        <v>0</v>
      </c>
    </row>
    <row r="244" spans="3:16" ht="15.75" thickBot="1" x14ac:dyDescent="0.3">
      <c r="C244" s="145" t="s">
        <v>151</v>
      </c>
      <c r="D244" s="133">
        <v>39</v>
      </c>
      <c r="E244" s="133">
        <v>26</v>
      </c>
      <c r="F244" s="132">
        <f t="shared" si="4"/>
        <v>39</v>
      </c>
      <c r="G244" s="133">
        <v>0</v>
      </c>
      <c r="H244" s="133">
        <v>0</v>
      </c>
      <c r="I244" s="133">
        <v>39</v>
      </c>
      <c r="J244" s="133">
        <v>26</v>
      </c>
      <c r="K244" s="133">
        <v>0</v>
      </c>
      <c r="L244" s="133">
        <v>0</v>
      </c>
      <c r="M244" s="133">
        <v>0</v>
      </c>
      <c r="N244" s="133">
        <v>0</v>
      </c>
      <c r="O244" s="133">
        <v>0</v>
      </c>
      <c r="P244" s="146">
        <v>0</v>
      </c>
    </row>
    <row r="245" spans="3:16" ht="15.75" thickBot="1" x14ac:dyDescent="0.3">
      <c r="C245" s="143" t="s">
        <v>152</v>
      </c>
      <c r="D245" s="132">
        <v>46</v>
      </c>
      <c r="E245" s="132">
        <v>17</v>
      </c>
      <c r="F245" s="132">
        <f t="shared" si="4"/>
        <v>46</v>
      </c>
      <c r="G245" s="132">
        <v>0</v>
      </c>
      <c r="H245" s="132">
        <v>0</v>
      </c>
      <c r="I245" s="132">
        <v>46</v>
      </c>
      <c r="J245" s="132">
        <v>17</v>
      </c>
      <c r="K245" s="132">
        <v>0</v>
      </c>
      <c r="L245" s="132">
        <v>0</v>
      </c>
      <c r="M245" s="132">
        <v>0</v>
      </c>
      <c r="N245" s="132">
        <v>0</v>
      </c>
      <c r="O245" s="132">
        <v>0</v>
      </c>
      <c r="P245" s="144">
        <v>0</v>
      </c>
    </row>
    <row r="246" spans="3:16" ht="15.75" thickBot="1" x14ac:dyDescent="0.3">
      <c r="C246" s="145" t="s">
        <v>85</v>
      </c>
      <c r="D246" s="133">
        <v>825</v>
      </c>
      <c r="E246" s="133">
        <v>394</v>
      </c>
      <c r="F246" s="132">
        <f t="shared" si="4"/>
        <v>774</v>
      </c>
      <c r="G246" s="133">
        <v>51</v>
      </c>
      <c r="H246" s="133">
        <v>24</v>
      </c>
      <c r="I246" s="133">
        <v>818</v>
      </c>
      <c r="J246" s="133">
        <v>392</v>
      </c>
      <c r="K246" s="133">
        <v>51</v>
      </c>
      <c r="L246" s="133">
        <v>24</v>
      </c>
      <c r="M246" s="133">
        <v>7</v>
      </c>
      <c r="N246" s="133">
        <v>2</v>
      </c>
      <c r="O246" s="133">
        <v>0</v>
      </c>
      <c r="P246" s="146">
        <v>0</v>
      </c>
    </row>
    <row r="247" spans="3:16" ht="15.75" thickBot="1" x14ac:dyDescent="0.3">
      <c r="C247" s="143" t="s">
        <v>86</v>
      </c>
      <c r="D247" s="132">
        <v>317</v>
      </c>
      <c r="E247" s="132">
        <v>131</v>
      </c>
      <c r="F247" s="132">
        <f t="shared" si="4"/>
        <v>279</v>
      </c>
      <c r="G247" s="132">
        <v>38</v>
      </c>
      <c r="H247" s="132">
        <v>17</v>
      </c>
      <c r="I247" s="132">
        <v>312</v>
      </c>
      <c r="J247" s="132">
        <v>127</v>
      </c>
      <c r="K247" s="132">
        <v>38</v>
      </c>
      <c r="L247" s="132">
        <v>17</v>
      </c>
      <c r="M247" s="132">
        <v>5</v>
      </c>
      <c r="N247" s="132">
        <v>4</v>
      </c>
      <c r="O247" s="132">
        <v>0</v>
      </c>
      <c r="P247" s="144">
        <v>0</v>
      </c>
    </row>
    <row r="248" spans="3:16" ht="15.75" thickBot="1" x14ac:dyDescent="0.3">
      <c r="C248" s="145" t="s">
        <v>87</v>
      </c>
      <c r="D248" s="133">
        <v>150</v>
      </c>
      <c r="E248" s="133">
        <v>55</v>
      </c>
      <c r="F248" s="132">
        <f t="shared" si="4"/>
        <v>120</v>
      </c>
      <c r="G248" s="133">
        <v>30</v>
      </c>
      <c r="H248" s="133">
        <v>12</v>
      </c>
      <c r="I248" s="133">
        <v>148</v>
      </c>
      <c r="J248" s="133">
        <v>55</v>
      </c>
      <c r="K248" s="133">
        <v>30</v>
      </c>
      <c r="L248" s="133">
        <v>12</v>
      </c>
      <c r="M248" s="133">
        <v>2</v>
      </c>
      <c r="N248" s="133">
        <v>0</v>
      </c>
      <c r="O248" s="133">
        <v>0</v>
      </c>
      <c r="P248" s="146">
        <v>0</v>
      </c>
    </row>
    <row r="249" spans="3:16" ht="15.75" thickBot="1" x14ac:dyDescent="0.3">
      <c r="C249" s="143" t="s">
        <v>153</v>
      </c>
      <c r="D249" s="132">
        <v>41</v>
      </c>
      <c r="E249" s="132">
        <v>16</v>
      </c>
      <c r="F249" s="132">
        <f t="shared" si="4"/>
        <v>35</v>
      </c>
      <c r="G249" s="132">
        <v>6</v>
      </c>
      <c r="H249" s="132">
        <v>3</v>
      </c>
      <c r="I249" s="132">
        <v>41</v>
      </c>
      <c r="J249" s="132">
        <v>16</v>
      </c>
      <c r="K249" s="132">
        <v>6</v>
      </c>
      <c r="L249" s="132">
        <v>3</v>
      </c>
      <c r="M249" s="132">
        <v>0</v>
      </c>
      <c r="N249" s="132">
        <v>0</v>
      </c>
      <c r="O249" s="132">
        <v>0</v>
      </c>
      <c r="P249" s="144">
        <v>0</v>
      </c>
    </row>
    <row r="250" spans="3:16" ht="15.75" thickBot="1" x14ac:dyDescent="0.3">
      <c r="C250" s="145" t="s">
        <v>154</v>
      </c>
      <c r="D250" s="133">
        <v>19</v>
      </c>
      <c r="E250" s="133">
        <v>8</v>
      </c>
      <c r="F250" s="132">
        <f t="shared" si="4"/>
        <v>19</v>
      </c>
      <c r="G250" s="133">
        <v>0</v>
      </c>
      <c r="H250" s="133">
        <v>0</v>
      </c>
      <c r="I250" s="133">
        <v>19</v>
      </c>
      <c r="J250" s="133">
        <v>8</v>
      </c>
      <c r="K250" s="133">
        <v>0</v>
      </c>
      <c r="L250" s="133">
        <v>0</v>
      </c>
      <c r="M250" s="133">
        <v>0</v>
      </c>
      <c r="N250" s="133">
        <v>0</v>
      </c>
      <c r="O250" s="133">
        <v>0</v>
      </c>
      <c r="P250" s="146">
        <v>0</v>
      </c>
    </row>
    <row r="251" spans="3:16" ht="15.75" thickBot="1" x14ac:dyDescent="0.3">
      <c r="C251" s="153" t="s">
        <v>110</v>
      </c>
      <c r="D251" s="154"/>
      <c r="E251" s="154"/>
      <c r="F251" s="132">
        <f t="shared" si="4"/>
        <v>0</v>
      </c>
      <c r="G251" s="154"/>
      <c r="H251" s="154"/>
      <c r="I251" s="154"/>
      <c r="J251" s="154"/>
      <c r="K251" s="154"/>
      <c r="L251" s="154"/>
      <c r="M251" s="154"/>
      <c r="N251" s="154"/>
      <c r="O251" s="154"/>
      <c r="P251" s="155"/>
    </row>
    <row r="252" spans="3:16" ht="15.75" thickBot="1" x14ac:dyDescent="0.3">
      <c r="C252" s="156"/>
      <c r="D252" s="157"/>
      <c r="E252" s="157"/>
      <c r="F252" s="132">
        <f t="shared" si="4"/>
        <v>0</v>
      </c>
      <c r="G252" s="157"/>
      <c r="H252" s="157"/>
      <c r="I252" s="157"/>
      <c r="J252" s="157"/>
      <c r="K252" s="157"/>
      <c r="L252" s="157"/>
      <c r="M252" s="157"/>
      <c r="N252" s="157"/>
      <c r="O252" s="157"/>
      <c r="P252" s="158"/>
    </row>
    <row r="253" spans="3:16" ht="15.75" thickBot="1" x14ac:dyDescent="0.3">
      <c r="C253" s="143" t="s">
        <v>83</v>
      </c>
      <c r="D253" s="132">
        <v>1394</v>
      </c>
      <c r="E253" s="132">
        <v>683</v>
      </c>
      <c r="F253" s="132">
        <f t="shared" si="4"/>
        <v>1266</v>
      </c>
      <c r="G253" s="132">
        <v>128</v>
      </c>
      <c r="H253" s="132">
        <v>64</v>
      </c>
      <c r="I253" s="132">
        <v>1369</v>
      </c>
      <c r="J253" s="132">
        <v>673</v>
      </c>
      <c r="K253" s="132">
        <v>128</v>
      </c>
      <c r="L253" s="132">
        <v>64</v>
      </c>
      <c r="M253" s="132">
        <v>25</v>
      </c>
      <c r="N253" s="132">
        <v>10</v>
      </c>
      <c r="O253" s="132">
        <v>0</v>
      </c>
      <c r="P253" s="144">
        <v>0</v>
      </c>
    </row>
    <row r="254" spans="3:16" ht="15.75" thickBot="1" x14ac:dyDescent="0.3">
      <c r="C254" s="145" t="s">
        <v>152</v>
      </c>
      <c r="D254" s="133">
        <v>19</v>
      </c>
      <c r="E254" s="133">
        <v>6</v>
      </c>
      <c r="F254" s="132">
        <f t="shared" si="4"/>
        <v>19</v>
      </c>
      <c r="G254" s="133">
        <v>0</v>
      </c>
      <c r="H254" s="133">
        <v>0</v>
      </c>
      <c r="I254" s="133">
        <v>13</v>
      </c>
      <c r="J254" s="133">
        <v>4</v>
      </c>
      <c r="K254" s="133">
        <v>0</v>
      </c>
      <c r="L254" s="133">
        <v>0</v>
      </c>
      <c r="M254" s="133">
        <v>6</v>
      </c>
      <c r="N254" s="133">
        <v>2</v>
      </c>
      <c r="O254" s="133">
        <v>0</v>
      </c>
      <c r="P254" s="146">
        <v>0</v>
      </c>
    </row>
    <row r="255" spans="3:16" ht="15.75" thickBot="1" x14ac:dyDescent="0.3">
      <c r="C255" s="143" t="s">
        <v>85</v>
      </c>
      <c r="D255" s="132">
        <v>970</v>
      </c>
      <c r="E255" s="132">
        <v>532</v>
      </c>
      <c r="F255" s="132">
        <f t="shared" si="4"/>
        <v>903</v>
      </c>
      <c r="G255" s="132">
        <v>67</v>
      </c>
      <c r="H255" s="132">
        <v>42</v>
      </c>
      <c r="I255" s="132">
        <v>953</v>
      </c>
      <c r="J255" s="132">
        <v>524</v>
      </c>
      <c r="K255" s="132">
        <v>67</v>
      </c>
      <c r="L255" s="132">
        <v>42</v>
      </c>
      <c r="M255" s="132">
        <v>17</v>
      </c>
      <c r="N255" s="132">
        <v>8</v>
      </c>
      <c r="O255" s="132">
        <v>0</v>
      </c>
      <c r="P255" s="144">
        <v>0</v>
      </c>
    </row>
    <row r="256" spans="3:16" ht="15.75" thickBot="1" x14ac:dyDescent="0.3">
      <c r="C256" s="145" t="s">
        <v>86</v>
      </c>
      <c r="D256" s="133">
        <v>298</v>
      </c>
      <c r="E256" s="133">
        <v>104</v>
      </c>
      <c r="F256" s="132">
        <f t="shared" si="4"/>
        <v>263</v>
      </c>
      <c r="G256" s="133">
        <v>35</v>
      </c>
      <c r="H256" s="133">
        <v>11</v>
      </c>
      <c r="I256" s="133">
        <v>297</v>
      </c>
      <c r="J256" s="133">
        <v>104</v>
      </c>
      <c r="K256" s="133">
        <v>35</v>
      </c>
      <c r="L256" s="133">
        <v>11</v>
      </c>
      <c r="M256" s="133">
        <v>1</v>
      </c>
      <c r="N256" s="133">
        <v>0</v>
      </c>
      <c r="O256" s="133">
        <v>0</v>
      </c>
      <c r="P256" s="146">
        <v>0</v>
      </c>
    </row>
    <row r="257" spans="3:16" ht="15.75" thickBot="1" x14ac:dyDescent="0.3">
      <c r="C257" s="143" t="s">
        <v>87</v>
      </c>
      <c r="D257" s="132">
        <v>107</v>
      </c>
      <c r="E257" s="132">
        <v>41</v>
      </c>
      <c r="F257" s="132">
        <f t="shared" si="4"/>
        <v>81</v>
      </c>
      <c r="G257" s="132">
        <v>26</v>
      </c>
      <c r="H257" s="132">
        <v>11</v>
      </c>
      <c r="I257" s="132">
        <v>106</v>
      </c>
      <c r="J257" s="132">
        <v>41</v>
      </c>
      <c r="K257" s="132">
        <v>26</v>
      </c>
      <c r="L257" s="132">
        <v>11</v>
      </c>
      <c r="M257" s="132">
        <v>1</v>
      </c>
      <c r="N257" s="132">
        <v>0</v>
      </c>
      <c r="O257" s="132">
        <v>0</v>
      </c>
      <c r="P257" s="144">
        <v>0</v>
      </c>
    </row>
    <row r="258" spans="3:16" ht="15.75" thickBot="1" x14ac:dyDescent="0.3">
      <c r="C258" s="145" t="s">
        <v>153</v>
      </c>
      <c r="D258" s="133">
        <v>30</v>
      </c>
      <c r="E258" s="133">
        <v>12</v>
      </c>
      <c r="F258" s="132">
        <f t="shared" si="4"/>
        <v>26</v>
      </c>
      <c r="G258" s="133">
        <v>4</v>
      </c>
      <c r="H258" s="133">
        <v>0</v>
      </c>
      <c r="I258" s="133">
        <v>30</v>
      </c>
      <c r="J258" s="133">
        <v>12</v>
      </c>
      <c r="K258" s="133">
        <v>4</v>
      </c>
      <c r="L258" s="133">
        <v>0</v>
      </c>
      <c r="M258" s="133">
        <v>0</v>
      </c>
      <c r="N258" s="133">
        <v>0</v>
      </c>
      <c r="O258" s="133">
        <v>0</v>
      </c>
      <c r="P258" s="146">
        <v>0</v>
      </c>
    </row>
    <row r="259" spans="3:16" ht="15.75" thickBot="1" x14ac:dyDescent="0.3">
      <c r="C259" s="143" t="s">
        <v>154</v>
      </c>
      <c r="D259" s="132">
        <v>20</v>
      </c>
      <c r="E259" s="132">
        <v>11</v>
      </c>
      <c r="F259" s="132">
        <f t="shared" si="4"/>
        <v>15</v>
      </c>
      <c r="G259" s="132">
        <v>5</v>
      </c>
      <c r="H259" s="132">
        <v>3</v>
      </c>
      <c r="I259" s="132">
        <v>20</v>
      </c>
      <c r="J259" s="132">
        <v>11</v>
      </c>
      <c r="K259" s="132">
        <v>5</v>
      </c>
      <c r="L259" s="132">
        <v>3</v>
      </c>
      <c r="M259" s="132">
        <v>0</v>
      </c>
      <c r="N259" s="132">
        <v>0</v>
      </c>
      <c r="O259" s="132">
        <v>0</v>
      </c>
      <c r="P259" s="144">
        <v>0</v>
      </c>
    </row>
    <row r="260" spans="3:16" ht="15.75" thickBot="1" x14ac:dyDescent="0.3">
      <c r="C260" s="156" t="s">
        <v>111</v>
      </c>
      <c r="D260" s="157"/>
      <c r="E260" s="157"/>
      <c r="F260" s="132">
        <f t="shared" si="4"/>
        <v>0</v>
      </c>
      <c r="G260" s="157"/>
      <c r="H260" s="157"/>
      <c r="I260" s="157"/>
      <c r="J260" s="157"/>
      <c r="K260" s="157"/>
      <c r="L260" s="157"/>
      <c r="M260" s="157"/>
      <c r="N260" s="157"/>
      <c r="O260" s="157"/>
      <c r="P260" s="158"/>
    </row>
    <row r="261" spans="3:16" ht="15.75" thickBot="1" x14ac:dyDescent="0.3">
      <c r="C261" s="153"/>
      <c r="D261" s="154"/>
      <c r="E261" s="154"/>
      <c r="F261" s="132">
        <f t="shared" si="4"/>
        <v>0</v>
      </c>
      <c r="G261" s="154"/>
      <c r="H261" s="154"/>
      <c r="I261" s="154"/>
      <c r="J261" s="154"/>
      <c r="K261" s="154"/>
      <c r="L261" s="154"/>
      <c r="M261" s="154"/>
      <c r="N261" s="154"/>
      <c r="O261" s="154"/>
      <c r="P261" s="155"/>
    </row>
    <row r="262" spans="3:16" ht="15.75" thickBot="1" x14ac:dyDescent="0.3">
      <c r="C262" s="145" t="s">
        <v>83</v>
      </c>
      <c r="D262" s="133">
        <v>1694</v>
      </c>
      <c r="E262" s="133">
        <v>785</v>
      </c>
      <c r="F262" s="132">
        <f t="shared" si="4"/>
        <v>1595</v>
      </c>
      <c r="G262" s="133">
        <v>99</v>
      </c>
      <c r="H262" s="133">
        <v>57</v>
      </c>
      <c r="I262" s="133">
        <v>1636</v>
      </c>
      <c r="J262" s="133">
        <v>754</v>
      </c>
      <c r="K262" s="133">
        <v>98</v>
      </c>
      <c r="L262" s="133">
        <v>56</v>
      </c>
      <c r="M262" s="133">
        <v>58</v>
      </c>
      <c r="N262" s="133">
        <v>31</v>
      </c>
      <c r="O262" s="133">
        <v>1</v>
      </c>
      <c r="P262" s="146">
        <v>1</v>
      </c>
    </row>
    <row r="263" spans="3:16" ht="15.75" thickBot="1" x14ac:dyDescent="0.3">
      <c r="C263" s="143" t="s">
        <v>151</v>
      </c>
      <c r="D263" s="132">
        <v>190</v>
      </c>
      <c r="E263" s="132">
        <v>96</v>
      </c>
      <c r="F263" s="132">
        <f t="shared" si="4"/>
        <v>190</v>
      </c>
      <c r="G263" s="132">
        <v>0</v>
      </c>
      <c r="H263" s="132">
        <v>0</v>
      </c>
      <c r="I263" s="132">
        <v>170</v>
      </c>
      <c r="J263" s="132">
        <v>86</v>
      </c>
      <c r="K263" s="132">
        <v>0</v>
      </c>
      <c r="L263" s="132">
        <v>0</v>
      </c>
      <c r="M263" s="132">
        <v>20</v>
      </c>
      <c r="N263" s="132">
        <v>10</v>
      </c>
      <c r="O263" s="132">
        <v>0</v>
      </c>
      <c r="P263" s="144">
        <v>0</v>
      </c>
    </row>
    <row r="264" spans="3:16" ht="15.75" thickBot="1" x14ac:dyDescent="0.3">
      <c r="C264" s="145" t="s">
        <v>152</v>
      </c>
      <c r="D264" s="133">
        <v>45</v>
      </c>
      <c r="E264" s="133">
        <v>27</v>
      </c>
      <c r="F264" s="132">
        <f t="shared" si="4"/>
        <v>44</v>
      </c>
      <c r="G264" s="133">
        <v>1</v>
      </c>
      <c r="H264" s="133">
        <v>1</v>
      </c>
      <c r="I264" s="133">
        <v>38</v>
      </c>
      <c r="J264" s="133">
        <v>23</v>
      </c>
      <c r="K264" s="133">
        <v>1</v>
      </c>
      <c r="L264" s="133">
        <v>1</v>
      </c>
      <c r="M264" s="133">
        <v>7</v>
      </c>
      <c r="N264" s="133">
        <v>4</v>
      </c>
      <c r="O264" s="133">
        <v>0</v>
      </c>
      <c r="P264" s="146">
        <v>0</v>
      </c>
    </row>
    <row r="265" spans="3:16" ht="15.75" thickBot="1" x14ac:dyDescent="0.3">
      <c r="C265" s="143" t="s">
        <v>85</v>
      </c>
      <c r="D265" s="132">
        <v>1082</v>
      </c>
      <c r="E265" s="132">
        <v>514</v>
      </c>
      <c r="F265" s="132">
        <f t="shared" si="4"/>
        <v>1034</v>
      </c>
      <c r="G265" s="132">
        <v>48</v>
      </c>
      <c r="H265" s="132">
        <v>34</v>
      </c>
      <c r="I265" s="132">
        <v>1059</v>
      </c>
      <c r="J265" s="132">
        <v>503</v>
      </c>
      <c r="K265" s="132">
        <v>48</v>
      </c>
      <c r="L265" s="132">
        <v>34</v>
      </c>
      <c r="M265" s="132">
        <v>23</v>
      </c>
      <c r="N265" s="132">
        <v>11</v>
      </c>
      <c r="O265" s="132">
        <v>0</v>
      </c>
      <c r="P265" s="144">
        <v>0</v>
      </c>
    </row>
    <row r="266" spans="3:16" ht="15.75" thickBot="1" x14ac:dyDescent="0.3">
      <c r="C266" s="145" t="s">
        <v>86</v>
      </c>
      <c r="D266" s="133">
        <v>276</v>
      </c>
      <c r="E266" s="133">
        <v>111</v>
      </c>
      <c r="F266" s="132">
        <f t="shared" si="4"/>
        <v>246</v>
      </c>
      <c r="G266" s="133">
        <v>30</v>
      </c>
      <c r="H266" s="133">
        <v>14</v>
      </c>
      <c r="I266" s="133">
        <v>272</v>
      </c>
      <c r="J266" s="133">
        <v>107</v>
      </c>
      <c r="K266" s="133">
        <v>29</v>
      </c>
      <c r="L266" s="133">
        <v>13</v>
      </c>
      <c r="M266" s="133">
        <v>4</v>
      </c>
      <c r="N266" s="133">
        <v>4</v>
      </c>
      <c r="O266" s="133">
        <v>1</v>
      </c>
      <c r="P266" s="146">
        <v>1</v>
      </c>
    </row>
    <row r="267" spans="3:16" ht="15.75" thickBot="1" x14ac:dyDescent="0.3">
      <c r="C267" s="143" t="s">
        <v>87</v>
      </c>
      <c r="D267" s="132">
        <v>101</v>
      </c>
      <c r="E267" s="132">
        <v>37</v>
      </c>
      <c r="F267" s="132">
        <f t="shared" si="4"/>
        <v>81</v>
      </c>
      <c r="G267" s="132">
        <v>20</v>
      </c>
      <c r="H267" s="132">
        <v>8</v>
      </c>
      <c r="I267" s="132">
        <v>97</v>
      </c>
      <c r="J267" s="132">
        <v>35</v>
      </c>
      <c r="K267" s="132">
        <v>20</v>
      </c>
      <c r="L267" s="132">
        <v>8</v>
      </c>
      <c r="M267" s="132">
        <v>4</v>
      </c>
      <c r="N267" s="132">
        <v>2</v>
      </c>
      <c r="O267" s="132">
        <v>0</v>
      </c>
      <c r="P267" s="144">
        <v>0</v>
      </c>
    </row>
    <row r="268" spans="3:16" ht="15.75" thickBot="1" x14ac:dyDescent="0.3">
      <c r="C268" s="145" t="s">
        <v>153</v>
      </c>
      <c r="D268" s="133">
        <v>30</v>
      </c>
      <c r="E268" s="133">
        <v>11</v>
      </c>
      <c r="F268" s="132">
        <f t="shared" si="4"/>
        <v>27</v>
      </c>
      <c r="G268" s="133">
        <v>3</v>
      </c>
      <c r="H268" s="133">
        <v>1</v>
      </c>
      <c r="I268" s="133">
        <v>28</v>
      </c>
      <c r="J268" s="133">
        <v>10</v>
      </c>
      <c r="K268" s="133">
        <v>3</v>
      </c>
      <c r="L268" s="133">
        <v>1</v>
      </c>
      <c r="M268" s="133">
        <v>2</v>
      </c>
      <c r="N268" s="133">
        <v>1</v>
      </c>
      <c r="O268" s="133">
        <v>0</v>
      </c>
      <c r="P268" s="146">
        <v>0</v>
      </c>
    </row>
    <row r="269" spans="3:16" ht="15.75" thickBot="1" x14ac:dyDescent="0.3">
      <c r="C269" s="143" t="s">
        <v>154</v>
      </c>
      <c r="D269" s="132">
        <v>26</v>
      </c>
      <c r="E269" s="132">
        <v>8</v>
      </c>
      <c r="F269" s="132">
        <f t="shared" si="4"/>
        <v>24</v>
      </c>
      <c r="G269" s="132">
        <v>2</v>
      </c>
      <c r="H269" s="132">
        <v>2</v>
      </c>
      <c r="I269" s="132">
        <v>24</v>
      </c>
      <c r="J269" s="132">
        <v>7</v>
      </c>
      <c r="K269" s="132">
        <v>2</v>
      </c>
      <c r="L269" s="132">
        <v>2</v>
      </c>
      <c r="M269" s="132">
        <v>2</v>
      </c>
      <c r="N269" s="132">
        <v>1</v>
      </c>
      <c r="O269" s="132">
        <v>0</v>
      </c>
      <c r="P269" s="144">
        <v>0</v>
      </c>
    </row>
    <row r="270" spans="3:16" ht="15.75" thickBot="1" x14ac:dyDescent="0.3">
      <c r="C270" s="156" t="s">
        <v>112</v>
      </c>
      <c r="D270" s="157"/>
      <c r="E270" s="157"/>
      <c r="F270" s="132">
        <f t="shared" si="4"/>
        <v>0</v>
      </c>
      <c r="G270" s="157"/>
      <c r="H270" s="157"/>
      <c r="I270" s="157"/>
      <c r="J270" s="157"/>
      <c r="K270" s="157"/>
      <c r="L270" s="157"/>
      <c r="M270" s="157"/>
      <c r="N270" s="157"/>
      <c r="O270" s="157"/>
      <c r="P270" s="158"/>
    </row>
    <row r="271" spans="3:16" ht="15.75" thickBot="1" x14ac:dyDescent="0.3">
      <c r="C271" s="153"/>
      <c r="D271" s="154"/>
      <c r="E271" s="154"/>
      <c r="F271" s="132">
        <f t="shared" si="4"/>
        <v>0</v>
      </c>
      <c r="G271" s="154"/>
      <c r="H271" s="154"/>
      <c r="I271" s="154"/>
      <c r="J271" s="154"/>
      <c r="K271" s="154"/>
      <c r="L271" s="154"/>
      <c r="M271" s="154"/>
      <c r="N271" s="154"/>
      <c r="O271" s="154"/>
      <c r="P271" s="155"/>
    </row>
    <row r="272" spans="3:16" ht="15.75" thickBot="1" x14ac:dyDescent="0.3">
      <c r="C272" s="145" t="s">
        <v>83</v>
      </c>
      <c r="D272" s="133">
        <v>409</v>
      </c>
      <c r="E272" s="133">
        <v>176</v>
      </c>
      <c r="F272" s="132">
        <f t="shared" si="4"/>
        <v>393</v>
      </c>
      <c r="G272" s="133">
        <v>16</v>
      </c>
      <c r="H272" s="133">
        <v>4</v>
      </c>
      <c r="I272" s="133">
        <v>345</v>
      </c>
      <c r="J272" s="133">
        <v>149</v>
      </c>
      <c r="K272" s="133">
        <v>15</v>
      </c>
      <c r="L272" s="133">
        <v>4</v>
      </c>
      <c r="M272" s="133">
        <v>64</v>
      </c>
      <c r="N272" s="133">
        <v>27</v>
      </c>
      <c r="O272" s="133">
        <v>1</v>
      </c>
      <c r="P272" s="146">
        <v>0</v>
      </c>
    </row>
    <row r="273" spans="3:16" ht="15.75" thickBot="1" x14ac:dyDescent="0.3">
      <c r="C273" s="143" t="s">
        <v>151</v>
      </c>
      <c r="D273" s="132">
        <v>10</v>
      </c>
      <c r="E273" s="132">
        <v>3</v>
      </c>
      <c r="F273" s="132">
        <f t="shared" si="4"/>
        <v>10</v>
      </c>
      <c r="G273" s="132">
        <v>0</v>
      </c>
      <c r="H273" s="132">
        <v>0</v>
      </c>
      <c r="I273" s="132">
        <v>0</v>
      </c>
      <c r="J273" s="132">
        <v>0</v>
      </c>
      <c r="K273" s="132">
        <v>0</v>
      </c>
      <c r="L273" s="132">
        <v>0</v>
      </c>
      <c r="M273" s="132">
        <v>10</v>
      </c>
      <c r="N273" s="132">
        <v>3</v>
      </c>
      <c r="O273" s="132">
        <v>0</v>
      </c>
      <c r="P273" s="144">
        <v>0</v>
      </c>
    </row>
    <row r="274" spans="3:16" ht="15.75" thickBot="1" x14ac:dyDescent="0.3">
      <c r="C274" s="145" t="s">
        <v>152</v>
      </c>
      <c r="D274" s="133">
        <v>9</v>
      </c>
      <c r="E274" s="133">
        <v>3</v>
      </c>
      <c r="F274" s="132">
        <f t="shared" si="4"/>
        <v>9</v>
      </c>
      <c r="G274" s="133">
        <v>0</v>
      </c>
      <c r="H274" s="133">
        <v>0</v>
      </c>
      <c r="I274" s="133">
        <v>9</v>
      </c>
      <c r="J274" s="133">
        <v>3</v>
      </c>
      <c r="K274" s="133">
        <v>0</v>
      </c>
      <c r="L274" s="133">
        <v>0</v>
      </c>
      <c r="M274" s="133">
        <v>0</v>
      </c>
      <c r="N274" s="133">
        <v>0</v>
      </c>
      <c r="O274" s="133">
        <v>0</v>
      </c>
      <c r="P274" s="146">
        <v>0</v>
      </c>
    </row>
    <row r="275" spans="3:16" ht="15.75" thickBot="1" x14ac:dyDescent="0.3">
      <c r="C275" s="143" t="s">
        <v>85</v>
      </c>
      <c r="D275" s="132">
        <v>255</v>
      </c>
      <c r="E275" s="132">
        <v>131</v>
      </c>
      <c r="F275" s="132">
        <f t="shared" si="4"/>
        <v>248</v>
      </c>
      <c r="G275" s="132">
        <v>7</v>
      </c>
      <c r="H275" s="132">
        <v>2</v>
      </c>
      <c r="I275" s="132">
        <v>239</v>
      </c>
      <c r="J275" s="132">
        <v>121</v>
      </c>
      <c r="K275" s="132">
        <v>7</v>
      </c>
      <c r="L275" s="132">
        <v>2</v>
      </c>
      <c r="M275" s="132">
        <v>16</v>
      </c>
      <c r="N275" s="132">
        <v>10</v>
      </c>
      <c r="O275" s="132">
        <v>0</v>
      </c>
      <c r="P275" s="144">
        <v>0</v>
      </c>
    </row>
    <row r="276" spans="3:16" ht="15.75" thickBot="1" x14ac:dyDescent="0.3">
      <c r="C276" s="145" t="s">
        <v>86</v>
      </c>
      <c r="D276" s="133">
        <v>97</v>
      </c>
      <c r="E276" s="133">
        <v>25</v>
      </c>
      <c r="F276" s="132">
        <f t="shared" si="4"/>
        <v>93</v>
      </c>
      <c r="G276" s="133">
        <v>4</v>
      </c>
      <c r="H276" s="133">
        <v>1</v>
      </c>
      <c r="I276" s="133">
        <v>80</v>
      </c>
      <c r="J276" s="133">
        <v>19</v>
      </c>
      <c r="K276" s="133">
        <v>4</v>
      </c>
      <c r="L276" s="133">
        <v>1</v>
      </c>
      <c r="M276" s="133">
        <v>17</v>
      </c>
      <c r="N276" s="133">
        <v>6</v>
      </c>
      <c r="O276" s="133">
        <v>0</v>
      </c>
      <c r="P276" s="146">
        <v>0</v>
      </c>
    </row>
    <row r="277" spans="3:16" ht="15.75" thickBot="1" x14ac:dyDescent="0.3">
      <c r="C277" s="143" t="s">
        <v>87</v>
      </c>
      <c r="D277" s="132">
        <v>38</v>
      </c>
      <c r="E277" s="132">
        <v>14</v>
      </c>
      <c r="F277" s="132">
        <f t="shared" si="4"/>
        <v>33</v>
      </c>
      <c r="G277" s="132">
        <v>5</v>
      </c>
      <c r="H277" s="132">
        <v>1</v>
      </c>
      <c r="I277" s="132">
        <v>17</v>
      </c>
      <c r="J277" s="132">
        <v>6</v>
      </c>
      <c r="K277" s="132">
        <v>4</v>
      </c>
      <c r="L277" s="132">
        <v>1</v>
      </c>
      <c r="M277" s="132">
        <v>21</v>
      </c>
      <c r="N277" s="132">
        <v>8</v>
      </c>
      <c r="O277" s="132">
        <v>1</v>
      </c>
      <c r="P277" s="144">
        <v>0</v>
      </c>
    </row>
    <row r="278" spans="3:16" ht="15.75" thickBot="1" x14ac:dyDescent="0.3">
      <c r="C278" s="145" t="s">
        <v>153</v>
      </c>
      <c r="D278" s="133">
        <v>14</v>
      </c>
      <c r="E278" s="133">
        <v>6</v>
      </c>
      <c r="F278" s="132">
        <f t="shared" si="4"/>
        <v>12</v>
      </c>
      <c r="G278" s="133">
        <v>2</v>
      </c>
      <c r="H278" s="133">
        <v>1</v>
      </c>
      <c r="I278" s="133">
        <v>7</v>
      </c>
      <c r="J278" s="133">
        <v>3</v>
      </c>
      <c r="K278" s="133">
        <v>1</v>
      </c>
      <c r="L278" s="133">
        <v>1</v>
      </c>
      <c r="M278" s="133">
        <v>7</v>
      </c>
      <c r="N278" s="133">
        <v>3</v>
      </c>
      <c r="O278" s="133">
        <v>1</v>
      </c>
      <c r="P278" s="146">
        <v>0</v>
      </c>
    </row>
    <row r="279" spans="3:16" ht="15.75" thickBot="1" x14ac:dyDescent="0.3">
      <c r="C279" s="143" t="s">
        <v>154</v>
      </c>
      <c r="D279" s="132">
        <v>14</v>
      </c>
      <c r="E279" s="132">
        <v>6</v>
      </c>
      <c r="F279" s="132">
        <f t="shared" si="4"/>
        <v>14</v>
      </c>
      <c r="G279" s="132">
        <v>0</v>
      </c>
      <c r="H279" s="132">
        <v>0</v>
      </c>
      <c r="I279" s="132">
        <v>1</v>
      </c>
      <c r="J279" s="132">
        <v>1</v>
      </c>
      <c r="K279" s="132">
        <v>0</v>
      </c>
      <c r="L279" s="132">
        <v>0</v>
      </c>
      <c r="M279" s="132">
        <v>13</v>
      </c>
      <c r="N279" s="132">
        <v>5</v>
      </c>
      <c r="O279" s="132">
        <v>0</v>
      </c>
      <c r="P279" s="144">
        <v>0</v>
      </c>
    </row>
    <row r="280" spans="3:16" ht="15.75" thickBot="1" x14ac:dyDescent="0.3">
      <c r="C280" s="156" t="s">
        <v>113</v>
      </c>
      <c r="D280" s="157"/>
      <c r="E280" s="157"/>
      <c r="F280" s="132">
        <f t="shared" si="4"/>
        <v>0</v>
      </c>
      <c r="G280" s="157"/>
      <c r="H280" s="157"/>
      <c r="I280" s="157"/>
      <c r="J280" s="157"/>
      <c r="K280" s="157"/>
      <c r="L280" s="157"/>
      <c r="M280" s="157"/>
      <c r="N280" s="157"/>
      <c r="O280" s="157"/>
      <c r="P280" s="158"/>
    </row>
    <row r="281" spans="3:16" ht="15.75" thickBot="1" x14ac:dyDescent="0.3">
      <c r="C281" s="153"/>
      <c r="D281" s="154"/>
      <c r="E281" s="154"/>
      <c r="F281" s="132">
        <f t="shared" si="4"/>
        <v>0</v>
      </c>
      <c r="G281" s="154"/>
      <c r="H281" s="154"/>
      <c r="I281" s="154"/>
      <c r="J281" s="154"/>
      <c r="K281" s="154"/>
      <c r="L281" s="154"/>
      <c r="M281" s="154"/>
      <c r="N281" s="154"/>
      <c r="O281" s="154"/>
      <c r="P281" s="155"/>
    </row>
    <row r="282" spans="3:16" ht="15.75" thickBot="1" x14ac:dyDescent="0.3">
      <c r="C282" s="145" t="s">
        <v>83</v>
      </c>
      <c r="D282" s="133">
        <v>1311</v>
      </c>
      <c r="E282" s="133">
        <v>602</v>
      </c>
      <c r="F282" s="132">
        <f t="shared" si="4"/>
        <v>1170</v>
      </c>
      <c r="G282" s="133">
        <v>141</v>
      </c>
      <c r="H282" s="133">
        <v>66</v>
      </c>
      <c r="I282" s="133">
        <v>1280</v>
      </c>
      <c r="J282" s="133">
        <v>587</v>
      </c>
      <c r="K282" s="133">
        <v>140</v>
      </c>
      <c r="L282" s="133">
        <v>66</v>
      </c>
      <c r="M282" s="133">
        <v>31</v>
      </c>
      <c r="N282" s="133">
        <v>15</v>
      </c>
      <c r="O282" s="133">
        <v>1</v>
      </c>
      <c r="P282" s="146">
        <v>0</v>
      </c>
    </row>
    <row r="283" spans="3:16" ht="15.75" thickBot="1" x14ac:dyDescent="0.3">
      <c r="C283" s="143" t="s">
        <v>151</v>
      </c>
      <c r="D283" s="132">
        <v>95</v>
      </c>
      <c r="E283" s="132">
        <v>59</v>
      </c>
      <c r="F283" s="132">
        <f t="shared" si="4"/>
        <v>89</v>
      </c>
      <c r="G283" s="132">
        <v>6</v>
      </c>
      <c r="H283" s="132">
        <v>5</v>
      </c>
      <c r="I283" s="132">
        <v>83</v>
      </c>
      <c r="J283" s="132">
        <v>49</v>
      </c>
      <c r="K283" s="132">
        <v>6</v>
      </c>
      <c r="L283" s="132">
        <v>5</v>
      </c>
      <c r="M283" s="132">
        <v>12</v>
      </c>
      <c r="N283" s="132">
        <v>10</v>
      </c>
      <c r="O283" s="132">
        <v>0</v>
      </c>
      <c r="P283" s="144">
        <v>0</v>
      </c>
    </row>
    <row r="284" spans="3:16" ht="15.75" thickBot="1" x14ac:dyDescent="0.3">
      <c r="C284" s="145" t="s">
        <v>152</v>
      </c>
      <c r="D284" s="133">
        <v>36</v>
      </c>
      <c r="E284" s="133">
        <v>18</v>
      </c>
      <c r="F284" s="132">
        <f t="shared" si="4"/>
        <v>36</v>
      </c>
      <c r="G284" s="133">
        <v>0</v>
      </c>
      <c r="H284" s="133">
        <v>0</v>
      </c>
      <c r="I284" s="133">
        <v>35</v>
      </c>
      <c r="J284" s="133">
        <v>18</v>
      </c>
      <c r="K284" s="133">
        <v>0</v>
      </c>
      <c r="L284" s="133">
        <v>0</v>
      </c>
      <c r="M284" s="133">
        <v>1</v>
      </c>
      <c r="N284" s="133">
        <v>0</v>
      </c>
      <c r="O284" s="133">
        <v>0</v>
      </c>
      <c r="P284" s="146">
        <v>0</v>
      </c>
    </row>
    <row r="285" spans="3:16" ht="15.75" thickBot="1" x14ac:dyDescent="0.3">
      <c r="C285" s="143" t="s">
        <v>85</v>
      </c>
      <c r="D285" s="132">
        <v>771</v>
      </c>
      <c r="E285" s="132">
        <v>370</v>
      </c>
      <c r="F285" s="132">
        <f t="shared" si="4"/>
        <v>709</v>
      </c>
      <c r="G285" s="132">
        <v>62</v>
      </c>
      <c r="H285" s="132">
        <v>28</v>
      </c>
      <c r="I285" s="132">
        <v>756</v>
      </c>
      <c r="J285" s="132">
        <v>365</v>
      </c>
      <c r="K285" s="132">
        <v>61</v>
      </c>
      <c r="L285" s="132">
        <v>28</v>
      </c>
      <c r="M285" s="132">
        <v>15</v>
      </c>
      <c r="N285" s="132">
        <v>5</v>
      </c>
      <c r="O285" s="132">
        <v>1</v>
      </c>
      <c r="P285" s="144">
        <v>0</v>
      </c>
    </row>
    <row r="286" spans="3:16" ht="15.75" thickBot="1" x14ac:dyDescent="0.3">
      <c r="C286" s="145" t="s">
        <v>86</v>
      </c>
      <c r="D286" s="133">
        <v>296</v>
      </c>
      <c r="E286" s="133">
        <v>113</v>
      </c>
      <c r="F286" s="132">
        <f t="shared" si="4"/>
        <v>240</v>
      </c>
      <c r="G286" s="133">
        <v>56</v>
      </c>
      <c r="H286" s="133">
        <v>24</v>
      </c>
      <c r="I286" s="133">
        <v>293</v>
      </c>
      <c r="J286" s="133">
        <v>113</v>
      </c>
      <c r="K286" s="133">
        <v>56</v>
      </c>
      <c r="L286" s="133">
        <v>24</v>
      </c>
      <c r="M286" s="133">
        <v>3</v>
      </c>
      <c r="N286" s="133">
        <v>0</v>
      </c>
      <c r="O286" s="133">
        <v>0</v>
      </c>
      <c r="P286" s="146">
        <v>0</v>
      </c>
    </row>
    <row r="287" spans="3:16" ht="15.75" thickBot="1" x14ac:dyDescent="0.3">
      <c r="C287" s="143" t="s">
        <v>87</v>
      </c>
      <c r="D287" s="132">
        <v>113</v>
      </c>
      <c r="E287" s="132">
        <v>42</v>
      </c>
      <c r="F287" s="132">
        <f t="shared" si="4"/>
        <v>96</v>
      </c>
      <c r="G287" s="132">
        <v>17</v>
      </c>
      <c r="H287" s="132">
        <v>9</v>
      </c>
      <c r="I287" s="132">
        <v>113</v>
      </c>
      <c r="J287" s="132">
        <v>42</v>
      </c>
      <c r="K287" s="132">
        <v>17</v>
      </c>
      <c r="L287" s="132">
        <v>9</v>
      </c>
      <c r="M287" s="132">
        <v>0</v>
      </c>
      <c r="N287" s="132">
        <v>0</v>
      </c>
      <c r="O287" s="132">
        <v>0</v>
      </c>
      <c r="P287" s="144">
        <v>0</v>
      </c>
    </row>
    <row r="288" spans="3:16" ht="15.75" thickBot="1" x14ac:dyDescent="0.3">
      <c r="C288" s="145" t="s">
        <v>153</v>
      </c>
      <c r="D288" s="133">
        <v>41</v>
      </c>
      <c r="E288" s="133">
        <v>10</v>
      </c>
      <c r="F288" s="132">
        <f t="shared" si="4"/>
        <v>36</v>
      </c>
      <c r="G288" s="133">
        <v>5</v>
      </c>
      <c r="H288" s="133">
        <v>3</v>
      </c>
      <c r="I288" s="133">
        <v>41</v>
      </c>
      <c r="J288" s="133">
        <v>10</v>
      </c>
      <c r="K288" s="133">
        <v>5</v>
      </c>
      <c r="L288" s="133">
        <v>3</v>
      </c>
      <c r="M288" s="133">
        <v>0</v>
      </c>
      <c r="N288" s="133">
        <v>0</v>
      </c>
      <c r="O288" s="133">
        <v>0</v>
      </c>
      <c r="P288" s="146">
        <v>0</v>
      </c>
    </row>
    <row r="289" spans="3:16" ht="15.75" thickBot="1" x14ac:dyDescent="0.3">
      <c r="C289" s="143" t="s">
        <v>154</v>
      </c>
      <c r="D289" s="132">
        <v>16</v>
      </c>
      <c r="E289" s="132">
        <v>5</v>
      </c>
      <c r="F289" s="132">
        <f t="shared" si="4"/>
        <v>16</v>
      </c>
      <c r="G289" s="132">
        <v>0</v>
      </c>
      <c r="H289" s="132">
        <v>0</v>
      </c>
      <c r="I289" s="132">
        <v>16</v>
      </c>
      <c r="J289" s="132">
        <v>5</v>
      </c>
      <c r="K289" s="132">
        <v>0</v>
      </c>
      <c r="L289" s="132">
        <v>0</v>
      </c>
      <c r="M289" s="132">
        <v>0</v>
      </c>
      <c r="N289" s="132">
        <v>0</v>
      </c>
      <c r="O289" s="132">
        <v>0</v>
      </c>
      <c r="P289" s="144">
        <v>0</v>
      </c>
    </row>
    <row r="290" spans="3:16" ht="15.75" thickBot="1" x14ac:dyDescent="0.3">
      <c r="C290" s="156" t="s">
        <v>114</v>
      </c>
      <c r="D290" s="157"/>
      <c r="E290" s="157"/>
      <c r="F290" s="132">
        <f t="shared" si="4"/>
        <v>0</v>
      </c>
      <c r="G290" s="157"/>
      <c r="H290" s="157"/>
      <c r="I290" s="157"/>
      <c r="J290" s="157"/>
      <c r="K290" s="157"/>
      <c r="L290" s="157"/>
      <c r="M290" s="157"/>
      <c r="N290" s="157"/>
      <c r="O290" s="157"/>
      <c r="P290" s="158"/>
    </row>
    <row r="291" spans="3:16" ht="15.75" thickBot="1" x14ac:dyDescent="0.3">
      <c r="C291" s="153"/>
      <c r="D291" s="154"/>
      <c r="E291" s="154"/>
      <c r="F291" s="132">
        <f t="shared" si="4"/>
        <v>0</v>
      </c>
      <c r="G291" s="154"/>
      <c r="H291" s="154"/>
      <c r="I291" s="154"/>
      <c r="J291" s="154"/>
      <c r="K291" s="154"/>
      <c r="L291" s="154"/>
      <c r="M291" s="154"/>
      <c r="N291" s="154"/>
      <c r="O291" s="154"/>
      <c r="P291" s="155"/>
    </row>
    <row r="292" spans="3:16" ht="15.75" thickBot="1" x14ac:dyDescent="0.3">
      <c r="C292" s="145" t="s">
        <v>83</v>
      </c>
      <c r="D292" s="133">
        <v>747</v>
      </c>
      <c r="E292" s="133">
        <v>359</v>
      </c>
      <c r="F292" s="132">
        <f t="shared" ref="F292:F355" si="5">D292-G292</f>
        <v>692</v>
      </c>
      <c r="G292" s="133">
        <v>55</v>
      </c>
      <c r="H292" s="133">
        <v>30</v>
      </c>
      <c r="I292" s="133">
        <v>747</v>
      </c>
      <c r="J292" s="133">
        <v>359</v>
      </c>
      <c r="K292" s="133">
        <v>55</v>
      </c>
      <c r="L292" s="133">
        <v>30</v>
      </c>
      <c r="M292" s="133">
        <v>0</v>
      </c>
      <c r="N292" s="133">
        <v>0</v>
      </c>
      <c r="O292" s="133">
        <v>0</v>
      </c>
      <c r="P292" s="146">
        <v>0</v>
      </c>
    </row>
    <row r="293" spans="3:16" ht="15.75" thickBot="1" x14ac:dyDescent="0.3">
      <c r="C293" s="143" t="s">
        <v>151</v>
      </c>
      <c r="D293" s="132">
        <v>97</v>
      </c>
      <c r="E293" s="132">
        <v>67</v>
      </c>
      <c r="F293" s="132">
        <f t="shared" si="5"/>
        <v>96</v>
      </c>
      <c r="G293" s="132">
        <v>1</v>
      </c>
      <c r="H293" s="132">
        <v>1</v>
      </c>
      <c r="I293" s="132">
        <v>97</v>
      </c>
      <c r="J293" s="132">
        <v>67</v>
      </c>
      <c r="K293" s="132">
        <v>1</v>
      </c>
      <c r="L293" s="132">
        <v>1</v>
      </c>
      <c r="M293" s="132">
        <v>0</v>
      </c>
      <c r="N293" s="132">
        <v>0</v>
      </c>
      <c r="O293" s="132">
        <v>0</v>
      </c>
      <c r="P293" s="144">
        <v>0</v>
      </c>
    </row>
    <row r="294" spans="3:16" ht="15.75" thickBot="1" x14ac:dyDescent="0.3">
      <c r="C294" s="145" t="s">
        <v>152</v>
      </c>
      <c r="D294" s="133">
        <v>7</v>
      </c>
      <c r="E294" s="133">
        <v>5</v>
      </c>
      <c r="F294" s="132">
        <f t="shared" si="5"/>
        <v>7</v>
      </c>
      <c r="G294" s="133">
        <v>0</v>
      </c>
      <c r="H294" s="133">
        <v>0</v>
      </c>
      <c r="I294" s="133">
        <v>7</v>
      </c>
      <c r="J294" s="133">
        <v>5</v>
      </c>
      <c r="K294" s="133">
        <v>0</v>
      </c>
      <c r="L294" s="133">
        <v>0</v>
      </c>
      <c r="M294" s="133">
        <v>0</v>
      </c>
      <c r="N294" s="133">
        <v>0</v>
      </c>
      <c r="O294" s="133">
        <v>0</v>
      </c>
      <c r="P294" s="146">
        <v>0</v>
      </c>
    </row>
    <row r="295" spans="3:16" ht="15.75" thickBot="1" x14ac:dyDescent="0.3">
      <c r="C295" s="143" t="s">
        <v>85</v>
      </c>
      <c r="D295" s="132">
        <v>448</v>
      </c>
      <c r="E295" s="132">
        <v>219</v>
      </c>
      <c r="F295" s="132">
        <f t="shared" si="5"/>
        <v>433</v>
      </c>
      <c r="G295" s="132">
        <v>15</v>
      </c>
      <c r="H295" s="132">
        <v>10</v>
      </c>
      <c r="I295" s="132">
        <v>448</v>
      </c>
      <c r="J295" s="132">
        <v>219</v>
      </c>
      <c r="K295" s="132">
        <v>15</v>
      </c>
      <c r="L295" s="132">
        <v>10</v>
      </c>
      <c r="M295" s="132">
        <v>0</v>
      </c>
      <c r="N295" s="132">
        <v>0</v>
      </c>
      <c r="O295" s="132">
        <v>0</v>
      </c>
      <c r="P295" s="144">
        <v>0</v>
      </c>
    </row>
    <row r="296" spans="3:16" ht="15.75" thickBot="1" x14ac:dyDescent="0.3">
      <c r="C296" s="145" t="s">
        <v>86</v>
      </c>
      <c r="D296" s="133">
        <v>154</v>
      </c>
      <c r="E296" s="133">
        <v>52</v>
      </c>
      <c r="F296" s="132">
        <f t="shared" si="5"/>
        <v>128</v>
      </c>
      <c r="G296" s="133">
        <v>26</v>
      </c>
      <c r="H296" s="133">
        <v>13</v>
      </c>
      <c r="I296" s="133">
        <v>154</v>
      </c>
      <c r="J296" s="133">
        <v>52</v>
      </c>
      <c r="K296" s="133">
        <v>26</v>
      </c>
      <c r="L296" s="133">
        <v>13</v>
      </c>
      <c r="M296" s="133">
        <v>0</v>
      </c>
      <c r="N296" s="133">
        <v>0</v>
      </c>
      <c r="O296" s="133">
        <v>0</v>
      </c>
      <c r="P296" s="146">
        <v>0</v>
      </c>
    </row>
    <row r="297" spans="3:16" ht="15.75" thickBot="1" x14ac:dyDescent="0.3">
      <c r="C297" s="143" t="s">
        <v>87</v>
      </c>
      <c r="D297" s="132">
        <v>41</v>
      </c>
      <c r="E297" s="132">
        <v>16</v>
      </c>
      <c r="F297" s="132">
        <f t="shared" si="5"/>
        <v>28</v>
      </c>
      <c r="G297" s="132">
        <v>13</v>
      </c>
      <c r="H297" s="132">
        <v>6</v>
      </c>
      <c r="I297" s="132">
        <v>41</v>
      </c>
      <c r="J297" s="132">
        <v>16</v>
      </c>
      <c r="K297" s="132">
        <v>13</v>
      </c>
      <c r="L297" s="132">
        <v>6</v>
      </c>
      <c r="M297" s="132">
        <v>0</v>
      </c>
      <c r="N297" s="132">
        <v>0</v>
      </c>
      <c r="O297" s="132">
        <v>0</v>
      </c>
      <c r="P297" s="144">
        <v>0</v>
      </c>
    </row>
    <row r="298" spans="3:16" ht="15.75" thickBot="1" x14ac:dyDescent="0.3">
      <c r="C298" s="145" t="s">
        <v>153</v>
      </c>
      <c r="D298" s="133">
        <v>7</v>
      </c>
      <c r="E298" s="133">
        <v>3</v>
      </c>
      <c r="F298" s="132">
        <f t="shared" si="5"/>
        <v>5</v>
      </c>
      <c r="G298" s="133">
        <v>2</v>
      </c>
      <c r="H298" s="133">
        <v>1</v>
      </c>
      <c r="I298" s="133">
        <v>7</v>
      </c>
      <c r="J298" s="133">
        <v>3</v>
      </c>
      <c r="K298" s="133">
        <v>2</v>
      </c>
      <c r="L298" s="133">
        <v>1</v>
      </c>
      <c r="M298" s="133">
        <v>0</v>
      </c>
      <c r="N298" s="133">
        <v>0</v>
      </c>
      <c r="O298" s="133">
        <v>0</v>
      </c>
      <c r="P298" s="146">
        <v>0</v>
      </c>
    </row>
    <row r="299" spans="3:16" ht="15.75" thickBot="1" x14ac:dyDescent="0.3">
      <c r="C299" s="143" t="s">
        <v>154</v>
      </c>
      <c r="D299" s="132">
        <v>12</v>
      </c>
      <c r="E299" s="132">
        <v>6</v>
      </c>
      <c r="F299" s="132">
        <f t="shared" si="5"/>
        <v>12</v>
      </c>
      <c r="G299" s="132">
        <v>0</v>
      </c>
      <c r="H299" s="132">
        <v>0</v>
      </c>
      <c r="I299" s="132">
        <v>12</v>
      </c>
      <c r="J299" s="132">
        <v>6</v>
      </c>
      <c r="K299" s="132">
        <v>0</v>
      </c>
      <c r="L299" s="132">
        <v>0</v>
      </c>
      <c r="M299" s="132">
        <v>0</v>
      </c>
      <c r="N299" s="132">
        <v>0</v>
      </c>
      <c r="O299" s="132">
        <v>0</v>
      </c>
      <c r="P299" s="144">
        <v>0</v>
      </c>
    </row>
    <row r="300" spans="3:16" ht="15.75" thickBot="1" x14ac:dyDescent="0.3">
      <c r="C300" s="156" t="s">
        <v>115</v>
      </c>
      <c r="D300" s="157"/>
      <c r="E300" s="157"/>
      <c r="F300" s="132">
        <f t="shared" si="5"/>
        <v>0</v>
      </c>
      <c r="G300" s="157"/>
      <c r="H300" s="157"/>
      <c r="I300" s="157"/>
      <c r="J300" s="157"/>
      <c r="K300" s="157"/>
      <c r="L300" s="157"/>
      <c r="M300" s="157"/>
      <c r="N300" s="157"/>
      <c r="O300" s="157"/>
      <c r="P300" s="158"/>
    </row>
    <row r="301" spans="3:16" ht="15.75" thickBot="1" x14ac:dyDescent="0.3">
      <c r="C301" s="153"/>
      <c r="D301" s="154"/>
      <c r="E301" s="154"/>
      <c r="F301" s="132">
        <f t="shared" si="5"/>
        <v>0</v>
      </c>
      <c r="G301" s="154"/>
      <c r="H301" s="154"/>
      <c r="I301" s="154"/>
      <c r="J301" s="154"/>
      <c r="K301" s="154"/>
      <c r="L301" s="154"/>
      <c r="M301" s="154"/>
      <c r="N301" s="154"/>
      <c r="O301" s="154"/>
      <c r="P301" s="155"/>
    </row>
    <row r="302" spans="3:16" ht="15.75" thickBot="1" x14ac:dyDescent="0.3">
      <c r="C302" s="145" t="s">
        <v>83</v>
      </c>
      <c r="D302" s="133">
        <v>1393</v>
      </c>
      <c r="E302" s="133">
        <v>648</v>
      </c>
      <c r="F302" s="132">
        <f t="shared" si="5"/>
        <v>1317</v>
      </c>
      <c r="G302" s="133">
        <v>76</v>
      </c>
      <c r="H302" s="133">
        <v>29</v>
      </c>
      <c r="I302" s="133">
        <v>1350</v>
      </c>
      <c r="J302" s="133">
        <v>635</v>
      </c>
      <c r="K302" s="133">
        <v>74</v>
      </c>
      <c r="L302" s="133">
        <v>29</v>
      </c>
      <c r="M302" s="133">
        <v>43</v>
      </c>
      <c r="N302" s="133">
        <v>13</v>
      </c>
      <c r="O302" s="133">
        <v>2</v>
      </c>
      <c r="P302" s="146">
        <v>0</v>
      </c>
    </row>
    <row r="303" spans="3:16" ht="15.75" thickBot="1" x14ac:dyDescent="0.3">
      <c r="C303" s="143" t="s">
        <v>151</v>
      </c>
      <c r="D303" s="132">
        <v>15</v>
      </c>
      <c r="E303" s="132">
        <v>9</v>
      </c>
      <c r="F303" s="132">
        <f t="shared" si="5"/>
        <v>15</v>
      </c>
      <c r="G303" s="132">
        <v>0</v>
      </c>
      <c r="H303" s="132">
        <v>0</v>
      </c>
      <c r="I303" s="132">
        <v>15</v>
      </c>
      <c r="J303" s="132">
        <v>9</v>
      </c>
      <c r="K303" s="132">
        <v>0</v>
      </c>
      <c r="L303" s="132">
        <v>0</v>
      </c>
      <c r="M303" s="132">
        <v>0</v>
      </c>
      <c r="N303" s="132">
        <v>0</v>
      </c>
      <c r="O303" s="132">
        <v>0</v>
      </c>
      <c r="P303" s="144">
        <v>0</v>
      </c>
    </row>
    <row r="304" spans="3:16" ht="15.75" thickBot="1" x14ac:dyDescent="0.3">
      <c r="C304" s="145" t="s">
        <v>152</v>
      </c>
      <c r="D304" s="133">
        <v>30</v>
      </c>
      <c r="E304" s="133">
        <v>13</v>
      </c>
      <c r="F304" s="132">
        <f t="shared" si="5"/>
        <v>30</v>
      </c>
      <c r="G304" s="133">
        <v>0</v>
      </c>
      <c r="H304" s="133">
        <v>0</v>
      </c>
      <c r="I304" s="133">
        <v>22</v>
      </c>
      <c r="J304" s="133">
        <v>10</v>
      </c>
      <c r="K304" s="133">
        <v>0</v>
      </c>
      <c r="L304" s="133">
        <v>0</v>
      </c>
      <c r="M304" s="133">
        <v>8</v>
      </c>
      <c r="N304" s="133">
        <v>3</v>
      </c>
      <c r="O304" s="133">
        <v>0</v>
      </c>
      <c r="P304" s="146">
        <v>0</v>
      </c>
    </row>
    <row r="305" spans="3:16" ht="15.75" thickBot="1" x14ac:dyDescent="0.3">
      <c r="C305" s="143" t="s">
        <v>85</v>
      </c>
      <c r="D305" s="132">
        <v>956</v>
      </c>
      <c r="E305" s="132">
        <v>485</v>
      </c>
      <c r="F305" s="132">
        <f t="shared" si="5"/>
        <v>928</v>
      </c>
      <c r="G305" s="132">
        <v>28</v>
      </c>
      <c r="H305" s="132">
        <v>15</v>
      </c>
      <c r="I305" s="132">
        <v>943</v>
      </c>
      <c r="J305" s="132">
        <v>480</v>
      </c>
      <c r="K305" s="132">
        <v>28</v>
      </c>
      <c r="L305" s="132">
        <v>15</v>
      </c>
      <c r="M305" s="132">
        <v>13</v>
      </c>
      <c r="N305" s="132">
        <v>5</v>
      </c>
      <c r="O305" s="132">
        <v>0</v>
      </c>
      <c r="P305" s="144">
        <v>0</v>
      </c>
    </row>
    <row r="306" spans="3:16" ht="15.75" thickBot="1" x14ac:dyDescent="0.3">
      <c r="C306" s="145" t="s">
        <v>86</v>
      </c>
      <c r="D306" s="133">
        <v>258</v>
      </c>
      <c r="E306" s="133">
        <v>96</v>
      </c>
      <c r="F306" s="132">
        <f t="shared" si="5"/>
        <v>240</v>
      </c>
      <c r="G306" s="133">
        <v>18</v>
      </c>
      <c r="H306" s="133">
        <v>6</v>
      </c>
      <c r="I306" s="133">
        <v>255</v>
      </c>
      <c r="J306" s="133">
        <v>96</v>
      </c>
      <c r="K306" s="133">
        <v>18</v>
      </c>
      <c r="L306" s="133">
        <v>6</v>
      </c>
      <c r="M306" s="133">
        <v>3</v>
      </c>
      <c r="N306" s="133">
        <v>0</v>
      </c>
      <c r="O306" s="133">
        <v>0</v>
      </c>
      <c r="P306" s="146">
        <v>0</v>
      </c>
    </row>
    <row r="307" spans="3:16" ht="15.75" thickBot="1" x14ac:dyDescent="0.3">
      <c r="C307" s="143" t="s">
        <v>87</v>
      </c>
      <c r="D307" s="132">
        <v>134</v>
      </c>
      <c r="E307" s="132">
        <v>45</v>
      </c>
      <c r="F307" s="132">
        <f t="shared" si="5"/>
        <v>104</v>
      </c>
      <c r="G307" s="132">
        <v>30</v>
      </c>
      <c r="H307" s="132">
        <v>8</v>
      </c>
      <c r="I307" s="132">
        <v>115</v>
      </c>
      <c r="J307" s="132">
        <v>40</v>
      </c>
      <c r="K307" s="132">
        <v>28</v>
      </c>
      <c r="L307" s="132">
        <v>8</v>
      </c>
      <c r="M307" s="132">
        <v>19</v>
      </c>
      <c r="N307" s="132">
        <v>5</v>
      </c>
      <c r="O307" s="132">
        <v>2</v>
      </c>
      <c r="P307" s="144">
        <v>0</v>
      </c>
    </row>
    <row r="308" spans="3:16" ht="15.75" thickBot="1" x14ac:dyDescent="0.3">
      <c r="C308" s="145" t="s">
        <v>153</v>
      </c>
      <c r="D308" s="133">
        <v>34</v>
      </c>
      <c r="E308" s="133">
        <v>12</v>
      </c>
      <c r="F308" s="132">
        <f t="shared" si="5"/>
        <v>32</v>
      </c>
      <c r="G308" s="133">
        <v>2</v>
      </c>
      <c r="H308" s="133">
        <v>1</v>
      </c>
      <c r="I308" s="133">
        <v>32</v>
      </c>
      <c r="J308" s="133">
        <v>12</v>
      </c>
      <c r="K308" s="133">
        <v>2</v>
      </c>
      <c r="L308" s="133">
        <v>1</v>
      </c>
      <c r="M308" s="133">
        <v>2</v>
      </c>
      <c r="N308" s="133">
        <v>0</v>
      </c>
      <c r="O308" s="133">
        <v>0</v>
      </c>
      <c r="P308" s="146">
        <v>0</v>
      </c>
    </row>
    <row r="309" spans="3:16" ht="15.75" thickBot="1" x14ac:dyDescent="0.3">
      <c r="C309" s="143" t="s">
        <v>154</v>
      </c>
      <c r="D309" s="132">
        <v>23</v>
      </c>
      <c r="E309" s="132">
        <v>7</v>
      </c>
      <c r="F309" s="132">
        <f t="shared" si="5"/>
        <v>20</v>
      </c>
      <c r="G309" s="132">
        <v>3</v>
      </c>
      <c r="H309" s="132">
        <v>1</v>
      </c>
      <c r="I309" s="132">
        <v>7</v>
      </c>
      <c r="J309" s="132">
        <v>3</v>
      </c>
      <c r="K309" s="132">
        <v>1</v>
      </c>
      <c r="L309" s="132">
        <v>1</v>
      </c>
      <c r="M309" s="132">
        <v>16</v>
      </c>
      <c r="N309" s="132">
        <v>4</v>
      </c>
      <c r="O309" s="132">
        <v>2</v>
      </c>
      <c r="P309" s="144">
        <v>0</v>
      </c>
    </row>
    <row r="310" spans="3:16" ht="15.75" thickBot="1" x14ac:dyDescent="0.3">
      <c r="C310" s="156" t="s">
        <v>116</v>
      </c>
      <c r="D310" s="157"/>
      <c r="E310" s="157"/>
      <c r="F310" s="132">
        <f t="shared" si="5"/>
        <v>0</v>
      </c>
      <c r="G310" s="157"/>
      <c r="H310" s="157"/>
      <c r="I310" s="157"/>
      <c r="J310" s="157"/>
      <c r="K310" s="157"/>
      <c r="L310" s="157"/>
      <c r="M310" s="157"/>
      <c r="N310" s="157"/>
      <c r="O310" s="157"/>
      <c r="P310" s="158"/>
    </row>
    <row r="311" spans="3:16" ht="15.75" thickBot="1" x14ac:dyDescent="0.3">
      <c r="C311" s="153"/>
      <c r="D311" s="154"/>
      <c r="E311" s="154"/>
      <c r="F311" s="132">
        <f t="shared" si="5"/>
        <v>0</v>
      </c>
      <c r="G311" s="154"/>
      <c r="H311" s="154"/>
      <c r="I311" s="154"/>
      <c r="J311" s="154"/>
      <c r="K311" s="154"/>
      <c r="L311" s="154"/>
      <c r="M311" s="154"/>
      <c r="N311" s="154"/>
      <c r="O311" s="154"/>
      <c r="P311" s="155"/>
    </row>
    <row r="312" spans="3:16" ht="15.75" thickBot="1" x14ac:dyDescent="0.3">
      <c r="C312" s="145" t="s">
        <v>83</v>
      </c>
      <c r="D312" s="133">
        <v>1062</v>
      </c>
      <c r="E312" s="133">
        <v>460</v>
      </c>
      <c r="F312" s="132">
        <f t="shared" si="5"/>
        <v>1001</v>
      </c>
      <c r="G312" s="133">
        <v>61</v>
      </c>
      <c r="H312" s="133">
        <v>22</v>
      </c>
      <c r="I312" s="133">
        <v>1002</v>
      </c>
      <c r="J312" s="133">
        <v>437</v>
      </c>
      <c r="K312" s="133">
        <v>61</v>
      </c>
      <c r="L312" s="133">
        <v>22</v>
      </c>
      <c r="M312" s="133">
        <v>60</v>
      </c>
      <c r="N312" s="133">
        <v>23</v>
      </c>
      <c r="O312" s="133">
        <v>0</v>
      </c>
      <c r="P312" s="146">
        <v>0</v>
      </c>
    </row>
    <row r="313" spans="3:16" ht="15.75" thickBot="1" x14ac:dyDescent="0.3">
      <c r="C313" s="143" t="s">
        <v>151</v>
      </c>
      <c r="D313" s="132">
        <v>54</v>
      </c>
      <c r="E313" s="132">
        <v>25</v>
      </c>
      <c r="F313" s="132">
        <f t="shared" si="5"/>
        <v>54</v>
      </c>
      <c r="G313" s="132">
        <v>0</v>
      </c>
      <c r="H313" s="132">
        <v>0</v>
      </c>
      <c r="I313" s="132">
        <v>31</v>
      </c>
      <c r="J313" s="132">
        <v>12</v>
      </c>
      <c r="K313" s="132">
        <v>0</v>
      </c>
      <c r="L313" s="132">
        <v>0</v>
      </c>
      <c r="M313" s="132">
        <v>23</v>
      </c>
      <c r="N313" s="132">
        <v>13</v>
      </c>
      <c r="O313" s="132">
        <v>0</v>
      </c>
      <c r="P313" s="144">
        <v>0</v>
      </c>
    </row>
    <row r="314" spans="3:16" ht="15.75" thickBot="1" x14ac:dyDescent="0.3">
      <c r="C314" s="145" t="s">
        <v>152</v>
      </c>
      <c r="D314" s="133">
        <v>31</v>
      </c>
      <c r="E314" s="133">
        <v>12</v>
      </c>
      <c r="F314" s="132">
        <f t="shared" si="5"/>
        <v>30</v>
      </c>
      <c r="G314" s="133">
        <v>1</v>
      </c>
      <c r="H314" s="133">
        <v>0</v>
      </c>
      <c r="I314" s="133">
        <v>30</v>
      </c>
      <c r="J314" s="133">
        <v>11</v>
      </c>
      <c r="K314" s="133">
        <v>1</v>
      </c>
      <c r="L314" s="133">
        <v>0</v>
      </c>
      <c r="M314" s="133">
        <v>1</v>
      </c>
      <c r="N314" s="133">
        <v>1</v>
      </c>
      <c r="O314" s="133">
        <v>0</v>
      </c>
      <c r="P314" s="146">
        <v>0</v>
      </c>
    </row>
    <row r="315" spans="3:16" ht="15.75" thickBot="1" x14ac:dyDescent="0.3">
      <c r="C315" s="143" t="s">
        <v>85</v>
      </c>
      <c r="D315" s="132">
        <v>673</v>
      </c>
      <c r="E315" s="132">
        <v>312</v>
      </c>
      <c r="F315" s="132">
        <f t="shared" si="5"/>
        <v>642</v>
      </c>
      <c r="G315" s="132">
        <v>31</v>
      </c>
      <c r="H315" s="132">
        <v>13</v>
      </c>
      <c r="I315" s="132">
        <v>660</v>
      </c>
      <c r="J315" s="132">
        <v>309</v>
      </c>
      <c r="K315" s="132">
        <v>31</v>
      </c>
      <c r="L315" s="132">
        <v>13</v>
      </c>
      <c r="M315" s="132">
        <v>13</v>
      </c>
      <c r="N315" s="132">
        <v>3</v>
      </c>
      <c r="O315" s="132">
        <v>0</v>
      </c>
      <c r="P315" s="144">
        <v>0</v>
      </c>
    </row>
    <row r="316" spans="3:16" ht="15.75" thickBot="1" x14ac:dyDescent="0.3">
      <c r="C316" s="145" t="s">
        <v>86</v>
      </c>
      <c r="D316" s="133">
        <v>214</v>
      </c>
      <c r="E316" s="133">
        <v>86</v>
      </c>
      <c r="F316" s="132">
        <f t="shared" si="5"/>
        <v>192</v>
      </c>
      <c r="G316" s="133">
        <v>22</v>
      </c>
      <c r="H316" s="133">
        <v>9</v>
      </c>
      <c r="I316" s="133">
        <v>208</v>
      </c>
      <c r="J316" s="133">
        <v>86</v>
      </c>
      <c r="K316" s="133">
        <v>22</v>
      </c>
      <c r="L316" s="133">
        <v>9</v>
      </c>
      <c r="M316" s="133">
        <v>6</v>
      </c>
      <c r="N316" s="133">
        <v>0</v>
      </c>
      <c r="O316" s="133">
        <v>0</v>
      </c>
      <c r="P316" s="146">
        <v>0</v>
      </c>
    </row>
    <row r="317" spans="3:16" ht="15.75" thickBot="1" x14ac:dyDescent="0.3">
      <c r="C317" s="143" t="s">
        <v>87</v>
      </c>
      <c r="D317" s="132">
        <v>90</v>
      </c>
      <c r="E317" s="132">
        <v>25</v>
      </c>
      <c r="F317" s="132">
        <f t="shared" si="5"/>
        <v>83</v>
      </c>
      <c r="G317" s="132">
        <v>7</v>
      </c>
      <c r="H317" s="132">
        <v>0</v>
      </c>
      <c r="I317" s="132">
        <v>73</v>
      </c>
      <c r="J317" s="132">
        <v>19</v>
      </c>
      <c r="K317" s="132">
        <v>7</v>
      </c>
      <c r="L317" s="132">
        <v>0</v>
      </c>
      <c r="M317" s="132">
        <v>17</v>
      </c>
      <c r="N317" s="132">
        <v>6</v>
      </c>
      <c r="O317" s="132">
        <v>0</v>
      </c>
      <c r="P317" s="144">
        <v>0</v>
      </c>
    </row>
    <row r="318" spans="3:16" ht="15.75" thickBot="1" x14ac:dyDescent="0.3">
      <c r="C318" s="145" t="s">
        <v>153</v>
      </c>
      <c r="D318" s="133">
        <v>41</v>
      </c>
      <c r="E318" s="133">
        <v>12</v>
      </c>
      <c r="F318" s="132">
        <f t="shared" si="5"/>
        <v>39</v>
      </c>
      <c r="G318" s="133">
        <v>2</v>
      </c>
      <c r="H318" s="133">
        <v>0</v>
      </c>
      <c r="I318" s="133">
        <v>39</v>
      </c>
      <c r="J318" s="133">
        <v>11</v>
      </c>
      <c r="K318" s="133">
        <v>2</v>
      </c>
      <c r="L318" s="133">
        <v>0</v>
      </c>
      <c r="M318" s="133">
        <v>2</v>
      </c>
      <c r="N318" s="133">
        <v>1</v>
      </c>
      <c r="O318" s="133">
        <v>0</v>
      </c>
      <c r="P318" s="146">
        <v>0</v>
      </c>
    </row>
    <row r="319" spans="3:16" ht="15.75" thickBot="1" x14ac:dyDescent="0.3">
      <c r="C319" s="143" t="s">
        <v>154</v>
      </c>
      <c r="D319" s="132">
        <v>11</v>
      </c>
      <c r="E319" s="132">
        <v>5</v>
      </c>
      <c r="F319" s="132">
        <f t="shared" si="5"/>
        <v>11</v>
      </c>
      <c r="G319" s="132">
        <v>0</v>
      </c>
      <c r="H319" s="132">
        <v>0</v>
      </c>
      <c r="I319" s="132">
        <v>0</v>
      </c>
      <c r="J319" s="132">
        <v>0</v>
      </c>
      <c r="K319" s="132">
        <v>0</v>
      </c>
      <c r="L319" s="132">
        <v>0</v>
      </c>
      <c r="M319" s="132">
        <v>11</v>
      </c>
      <c r="N319" s="132">
        <v>5</v>
      </c>
      <c r="O319" s="132">
        <v>0</v>
      </c>
      <c r="P319" s="144">
        <v>0</v>
      </c>
    </row>
    <row r="320" spans="3:16" ht="15.75" thickBot="1" x14ac:dyDescent="0.3">
      <c r="C320" s="156" t="s">
        <v>117</v>
      </c>
      <c r="D320" s="157"/>
      <c r="E320" s="157"/>
      <c r="F320" s="132">
        <f t="shared" si="5"/>
        <v>0</v>
      </c>
      <c r="G320" s="157"/>
      <c r="H320" s="157"/>
      <c r="I320" s="157"/>
      <c r="J320" s="157"/>
      <c r="K320" s="157"/>
      <c r="L320" s="157"/>
      <c r="M320" s="157"/>
      <c r="N320" s="157"/>
      <c r="O320" s="157"/>
      <c r="P320" s="158"/>
    </row>
    <row r="321" spans="3:16" ht="15.75" thickBot="1" x14ac:dyDescent="0.3">
      <c r="C321" s="153"/>
      <c r="D321" s="154"/>
      <c r="E321" s="154"/>
      <c r="F321" s="132">
        <f t="shared" si="5"/>
        <v>0</v>
      </c>
      <c r="G321" s="154"/>
      <c r="H321" s="154"/>
      <c r="I321" s="154"/>
      <c r="J321" s="154"/>
      <c r="K321" s="154"/>
      <c r="L321" s="154"/>
      <c r="M321" s="154"/>
      <c r="N321" s="154"/>
      <c r="O321" s="154"/>
      <c r="P321" s="155"/>
    </row>
    <row r="322" spans="3:16" ht="15.75" thickBot="1" x14ac:dyDescent="0.3">
      <c r="C322" s="145" t="s">
        <v>83</v>
      </c>
      <c r="D322" s="133">
        <v>1688</v>
      </c>
      <c r="E322" s="133">
        <v>812</v>
      </c>
      <c r="F322" s="132">
        <f t="shared" si="5"/>
        <v>1520</v>
      </c>
      <c r="G322" s="133">
        <v>168</v>
      </c>
      <c r="H322" s="133">
        <v>73</v>
      </c>
      <c r="I322" s="133">
        <v>1653</v>
      </c>
      <c r="J322" s="133">
        <v>791</v>
      </c>
      <c r="K322" s="133">
        <v>168</v>
      </c>
      <c r="L322" s="133">
        <v>73</v>
      </c>
      <c r="M322" s="133">
        <v>35</v>
      </c>
      <c r="N322" s="133">
        <v>21</v>
      </c>
      <c r="O322" s="133">
        <v>0</v>
      </c>
      <c r="P322" s="146">
        <v>0</v>
      </c>
    </row>
    <row r="323" spans="3:16" ht="15.75" thickBot="1" x14ac:dyDescent="0.3">
      <c r="C323" s="143" t="s">
        <v>151</v>
      </c>
      <c r="D323" s="132">
        <v>151</v>
      </c>
      <c r="E323" s="132">
        <v>92</v>
      </c>
      <c r="F323" s="132">
        <f t="shared" si="5"/>
        <v>148</v>
      </c>
      <c r="G323" s="132">
        <v>3</v>
      </c>
      <c r="H323" s="132">
        <v>2</v>
      </c>
      <c r="I323" s="132">
        <v>134</v>
      </c>
      <c r="J323" s="132">
        <v>80</v>
      </c>
      <c r="K323" s="132">
        <v>3</v>
      </c>
      <c r="L323" s="132">
        <v>2</v>
      </c>
      <c r="M323" s="132">
        <v>17</v>
      </c>
      <c r="N323" s="132">
        <v>12</v>
      </c>
      <c r="O323" s="132">
        <v>0</v>
      </c>
      <c r="P323" s="144">
        <v>0</v>
      </c>
    </row>
    <row r="324" spans="3:16" ht="15.75" thickBot="1" x14ac:dyDescent="0.3">
      <c r="C324" s="145" t="s">
        <v>152</v>
      </c>
      <c r="D324" s="133">
        <v>56</v>
      </c>
      <c r="E324" s="133">
        <v>32</v>
      </c>
      <c r="F324" s="132">
        <f t="shared" si="5"/>
        <v>54</v>
      </c>
      <c r="G324" s="133">
        <v>2</v>
      </c>
      <c r="H324" s="133">
        <v>2</v>
      </c>
      <c r="I324" s="133">
        <v>55</v>
      </c>
      <c r="J324" s="133">
        <v>32</v>
      </c>
      <c r="K324" s="133">
        <v>2</v>
      </c>
      <c r="L324" s="133">
        <v>2</v>
      </c>
      <c r="M324" s="133">
        <v>1</v>
      </c>
      <c r="N324" s="133">
        <v>0</v>
      </c>
      <c r="O324" s="133">
        <v>0</v>
      </c>
      <c r="P324" s="146">
        <v>0</v>
      </c>
    </row>
    <row r="325" spans="3:16" ht="15.75" thickBot="1" x14ac:dyDescent="0.3">
      <c r="C325" s="143" t="s">
        <v>85</v>
      </c>
      <c r="D325" s="132">
        <v>977</v>
      </c>
      <c r="E325" s="132">
        <v>483</v>
      </c>
      <c r="F325" s="132">
        <f t="shared" si="5"/>
        <v>920</v>
      </c>
      <c r="G325" s="132">
        <v>57</v>
      </c>
      <c r="H325" s="132">
        <v>32</v>
      </c>
      <c r="I325" s="132">
        <v>964</v>
      </c>
      <c r="J325" s="132">
        <v>476</v>
      </c>
      <c r="K325" s="132">
        <v>57</v>
      </c>
      <c r="L325" s="132">
        <v>32</v>
      </c>
      <c r="M325" s="132">
        <v>13</v>
      </c>
      <c r="N325" s="132">
        <v>7</v>
      </c>
      <c r="O325" s="132">
        <v>0</v>
      </c>
      <c r="P325" s="144">
        <v>0</v>
      </c>
    </row>
    <row r="326" spans="3:16" ht="15.75" thickBot="1" x14ac:dyDescent="0.3">
      <c r="C326" s="145" t="s">
        <v>86</v>
      </c>
      <c r="D326" s="133">
        <v>343</v>
      </c>
      <c r="E326" s="133">
        <v>140</v>
      </c>
      <c r="F326" s="132">
        <f t="shared" si="5"/>
        <v>288</v>
      </c>
      <c r="G326" s="133">
        <v>55</v>
      </c>
      <c r="H326" s="133">
        <v>20</v>
      </c>
      <c r="I326" s="133">
        <v>339</v>
      </c>
      <c r="J326" s="133">
        <v>138</v>
      </c>
      <c r="K326" s="133">
        <v>55</v>
      </c>
      <c r="L326" s="133">
        <v>20</v>
      </c>
      <c r="M326" s="133">
        <v>4</v>
      </c>
      <c r="N326" s="133">
        <v>2</v>
      </c>
      <c r="O326" s="133">
        <v>0</v>
      </c>
      <c r="P326" s="146">
        <v>0</v>
      </c>
    </row>
    <row r="327" spans="3:16" ht="15.75" thickBot="1" x14ac:dyDescent="0.3">
      <c r="C327" s="143" t="s">
        <v>87</v>
      </c>
      <c r="D327" s="132">
        <v>161</v>
      </c>
      <c r="E327" s="132">
        <v>65</v>
      </c>
      <c r="F327" s="132">
        <f t="shared" si="5"/>
        <v>110</v>
      </c>
      <c r="G327" s="132">
        <v>51</v>
      </c>
      <c r="H327" s="132">
        <v>17</v>
      </c>
      <c r="I327" s="132">
        <v>161</v>
      </c>
      <c r="J327" s="132">
        <v>65</v>
      </c>
      <c r="K327" s="132">
        <v>51</v>
      </c>
      <c r="L327" s="132">
        <v>17</v>
      </c>
      <c r="M327" s="132">
        <v>0</v>
      </c>
      <c r="N327" s="132">
        <v>0</v>
      </c>
      <c r="O327" s="132">
        <v>0</v>
      </c>
      <c r="P327" s="144">
        <v>0</v>
      </c>
    </row>
    <row r="328" spans="3:16" ht="15.75" thickBot="1" x14ac:dyDescent="0.3">
      <c r="C328" s="145" t="s">
        <v>153</v>
      </c>
      <c r="D328" s="133">
        <v>51</v>
      </c>
      <c r="E328" s="133">
        <v>24</v>
      </c>
      <c r="F328" s="132">
        <f t="shared" si="5"/>
        <v>44</v>
      </c>
      <c r="G328" s="133">
        <v>7</v>
      </c>
      <c r="H328" s="133">
        <v>4</v>
      </c>
      <c r="I328" s="133">
        <v>51</v>
      </c>
      <c r="J328" s="133">
        <v>24</v>
      </c>
      <c r="K328" s="133">
        <v>7</v>
      </c>
      <c r="L328" s="133">
        <v>4</v>
      </c>
      <c r="M328" s="133">
        <v>0</v>
      </c>
      <c r="N328" s="133">
        <v>0</v>
      </c>
      <c r="O328" s="133">
        <v>0</v>
      </c>
      <c r="P328" s="146">
        <v>0</v>
      </c>
    </row>
    <row r="329" spans="3:16" ht="15.75" thickBot="1" x14ac:dyDescent="0.3">
      <c r="C329" s="143" t="s">
        <v>154</v>
      </c>
      <c r="D329" s="132">
        <v>15</v>
      </c>
      <c r="E329" s="132">
        <v>6</v>
      </c>
      <c r="F329" s="132">
        <f t="shared" si="5"/>
        <v>14</v>
      </c>
      <c r="G329" s="132">
        <v>1</v>
      </c>
      <c r="H329" s="132">
        <v>1</v>
      </c>
      <c r="I329" s="132">
        <v>15</v>
      </c>
      <c r="J329" s="132">
        <v>6</v>
      </c>
      <c r="K329" s="132">
        <v>1</v>
      </c>
      <c r="L329" s="132">
        <v>1</v>
      </c>
      <c r="M329" s="132">
        <v>0</v>
      </c>
      <c r="N329" s="132">
        <v>0</v>
      </c>
      <c r="O329" s="132">
        <v>0</v>
      </c>
      <c r="P329" s="144">
        <v>0</v>
      </c>
    </row>
    <row r="330" spans="3:16" ht="15.75" thickBot="1" x14ac:dyDescent="0.3">
      <c r="C330" s="156" t="s">
        <v>118</v>
      </c>
      <c r="D330" s="157"/>
      <c r="E330" s="157"/>
      <c r="F330" s="132">
        <f t="shared" si="5"/>
        <v>0</v>
      </c>
      <c r="G330" s="157"/>
      <c r="H330" s="157"/>
      <c r="I330" s="157"/>
      <c r="J330" s="157"/>
      <c r="K330" s="157"/>
      <c r="L330" s="157"/>
      <c r="M330" s="157"/>
      <c r="N330" s="157"/>
      <c r="O330" s="157"/>
      <c r="P330" s="158"/>
    </row>
    <row r="331" spans="3:16" ht="15.75" thickBot="1" x14ac:dyDescent="0.3">
      <c r="C331" s="153"/>
      <c r="D331" s="154"/>
      <c r="E331" s="154"/>
      <c r="F331" s="132">
        <f t="shared" si="5"/>
        <v>0</v>
      </c>
      <c r="G331" s="154"/>
      <c r="H331" s="154"/>
      <c r="I331" s="154"/>
      <c r="J331" s="154"/>
      <c r="K331" s="154"/>
      <c r="L331" s="154"/>
      <c r="M331" s="154"/>
      <c r="N331" s="154"/>
      <c r="O331" s="154"/>
      <c r="P331" s="155"/>
    </row>
    <row r="332" spans="3:16" ht="15.75" thickBot="1" x14ac:dyDescent="0.3">
      <c r="C332" s="145" t="s">
        <v>83</v>
      </c>
      <c r="D332" s="133">
        <v>627</v>
      </c>
      <c r="E332" s="133">
        <v>281</v>
      </c>
      <c r="F332" s="132">
        <f t="shared" si="5"/>
        <v>589</v>
      </c>
      <c r="G332" s="133">
        <v>38</v>
      </c>
      <c r="H332" s="133">
        <v>14</v>
      </c>
      <c r="I332" s="133">
        <v>615</v>
      </c>
      <c r="J332" s="133">
        <v>280</v>
      </c>
      <c r="K332" s="133">
        <v>38</v>
      </c>
      <c r="L332" s="133">
        <v>14</v>
      </c>
      <c r="M332" s="133">
        <v>12</v>
      </c>
      <c r="N332" s="133">
        <v>1</v>
      </c>
      <c r="O332" s="133">
        <v>0</v>
      </c>
      <c r="P332" s="146">
        <v>0</v>
      </c>
    </row>
    <row r="333" spans="3:16" ht="15.75" thickBot="1" x14ac:dyDescent="0.3">
      <c r="C333" s="143" t="s">
        <v>151</v>
      </c>
      <c r="D333" s="132">
        <v>38</v>
      </c>
      <c r="E333" s="132">
        <v>24</v>
      </c>
      <c r="F333" s="132">
        <f t="shared" si="5"/>
        <v>37</v>
      </c>
      <c r="G333" s="132">
        <v>1</v>
      </c>
      <c r="H333" s="132">
        <v>1</v>
      </c>
      <c r="I333" s="132">
        <v>38</v>
      </c>
      <c r="J333" s="132">
        <v>24</v>
      </c>
      <c r="K333" s="132">
        <v>1</v>
      </c>
      <c r="L333" s="132">
        <v>1</v>
      </c>
      <c r="M333" s="132">
        <v>0</v>
      </c>
      <c r="N333" s="132">
        <v>0</v>
      </c>
      <c r="O333" s="132">
        <v>0</v>
      </c>
      <c r="P333" s="144">
        <v>0</v>
      </c>
    </row>
    <row r="334" spans="3:16" ht="15.75" thickBot="1" x14ac:dyDescent="0.3">
      <c r="C334" s="145" t="s">
        <v>152</v>
      </c>
      <c r="D334" s="133">
        <v>27</v>
      </c>
      <c r="E334" s="133">
        <v>16</v>
      </c>
      <c r="F334" s="132">
        <f t="shared" si="5"/>
        <v>26</v>
      </c>
      <c r="G334" s="133">
        <v>1</v>
      </c>
      <c r="H334" s="133">
        <v>0</v>
      </c>
      <c r="I334" s="133">
        <v>27</v>
      </c>
      <c r="J334" s="133">
        <v>16</v>
      </c>
      <c r="K334" s="133">
        <v>1</v>
      </c>
      <c r="L334" s="133">
        <v>0</v>
      </c>
      <c r="M334" s="133">
        <v>0</v>
      </c>
      <c r="N334" s="133">
        <v>0</v>
      </c>
      <c r="O334" s="133">
        <v>0</v>
      </c>
      <c r="P334" s="146">
        <v>0</v>
      </c>
    </row>
    <row r="335" spans="3:16" ht="15.75" thickBot="1" x14ac:dyDescent="0.3">
      <c r="C335" s="143" t="s">
        <v>85</v>
      </c>
      <c r="D335" s="132">
        <v>402</v>
      </c>
      <c r="E335" s="132">
        <v>191</v>
      </c>
      <c r="F335" s="132">
        <f t="shared" si="5"/>
        <v>386</v>
      </c>
      <c r="G335" s="132">
        <v>16</v>
      </c>
      <c r="H335" s="132">
        <v>10</v>
      </c>
      <c r="I335" s="132">
        <v>402</v>
      </c>
      <c r="J335" s="132">
        <v>191</v>
      </c>
      <c r="K335" s="132">
        <v>16</v>
      </c>
      <c r="L335" s="132">
        <v>10</v>
      </c>
      <c r="M335" s="132">
        <v>0</v>
      </c>
      <c r="N335" s="132">
        <v>0</v>
      </c>
      <c r="O335" s="132">
        <v>0</v>
      </c>
      <c r="P335" s="144">
        <v>0</v>
      </c>
    </row>
    <row r="336" spans="3:16" ht="15.75" thickBot="1" x14ac:dyDescent="0.3">
      <c r="C336" s="145" t="s">
        <v>86</v>
      </c>
      <c r="D336" s="133">
        <v>102</v>
      </c>
      <c r="E336" s="133">
        <v>31</v>
      </c>
      <c r="F336" s="132">
        <f t="shared" si="5"/>
        <v>88</v>
      </c>
      <c r="G336" s="133">
        <v>14</v>
      </c>
      <c r="H336" s="133">
        <v>3</v>
      </c>
      <c r="I336" s="133">
        <v>98</v>
      </c>
      <c r="J336" s="133">
        <v>31</v>
      </c>
      <c r="K336" s="133">
        <v>14</v>
      </c>
      <c r="L336" s="133">
        <v>3</v>
      </c>
      <c r="M336" s="133">
        <v>4</v>
      </c>
      <c r="N336" s="133">
        <v>0</v>
      </c>
      <c r="O336" s="133">
        <v>0</v>
      </c>
      <c r="P336" s="146">
        <v>0</v>
      </c>
    </row>
    <row r="337" spans="3:16" ht="15.75" thickBot="1" x14ac:dyDescent="0.3">
      <c r="C337" s="143" t="s">
        <v>87</v>
      </c>
      <c r="D337" s="132">
        <v>58</v>
      </c>
      <c r="E337" s="132">
        <v>19</v>
      </c>
      <c r="F337" s="132">
        <f t="shared" si="5"/>
        <v>52</v>
      </c>
      <c r="G337" s="132">
        <v>6</v>
      </c>
      <c r="H337" s="132">
        <v>0</v>
      </c>
      <c r="I337" s="132">
        <v>50</v>
      </c>
      <c r="J337" s="132">
        <v>18</v>
      </c>
      <c r="K337" s="132">
        <v>6</v>
      </c>
      <c r="L337" s="132">
        <v>0</v>
      </c>
      <c r="M337" s="132">
        <v>8</v>
      </c>
      <c r="N337" s="132">
        <v>1</v>
      </c>
      <c r="O337" s="132">
        <v>0</v>
      </c>
      <c r="P337" s="144">
        <v>0</v>
      </c>
    </row>
    <row r="338" spans="3:16" ht="15.75" thickBot="1" x14ac:dyDescent="0.3">
      <c r="C338" s="145" t="s">
        <v>153</v>
      </c>
      <c r="D338" s="133">
        <v>21</v>
      </c>
      <c r="E338" s="133">
        <v>10</v>
      </c>
      <c r="F338" s="132">
        <f t="shared" si="5"/>
        <v>18</v>
      </c>
      <c r="G338" s="133">
        <v>3</v>
      </c>
      <c r="H338" s="133">
        <v>0</v>
      </c>
      <c r="I338" s="133">
        <v>18</v>
      </c>
      <c r="J338" s="133">
        <v>9</v>
      </c>
      <c r="K338" s="133">
        <v>3</v>
      </c>
      <c r="L338" s="133">
        <v>0</v>
      </c>
      <c r="M338" s="133">
        <v>3</v>
      </c>
      <c r="N338" s="133">
        <v>1</v>
      </c>
      <c r="O338" s="133">
        <v>0</v>
      </c>
      <c r="P338" s="146">
        <v>0</v>
      </c>
    </row>
    <row r="339" spans="3:16" ht="15.75" thickBot="1" x14ac:dyDescent="0.3">
      <c r="C339" s="143" t="s">
        <v>154</v>
      </c>
      <c r="D339" s="132">
        <v>2</v>
      </c>
      <c r="E339" s="132">
        <v>1</v>
      </c>
      <c r="F339" s="132">
        <f t="shared" si="5"/>
        <v>2</v>
      </c>
      <c r="G339" s="132">
        <v>0</v>
      </c>
      <c r="H339" s="132">
        <v>0</v>
      </c>
      <c r="I339" s="132">
        <v>2</v>
      </c>
      <c r="J339" s="132">
        <v>1</v>
      </c>
      <c r="K339" s="132">
        <v>0</v>
      </c>
      <c r="L339" s="132">
        <v>0</v>
      </c>
      <c r="M339" s="132">
        <v>0</v>
      </c>
      <c r="N339" s="132">
        <v>0</v>
      </c>
      <c r="O339" s="132">
        <v>0</v>
      </c>
      <c r="P339" s="144">
        <v>0</v>
      </c>
    </row>
    <row r="340" spans="3:16" ht="15.75" thickBot="1" x14ac:dyDescent="0.3">
      <c r="C340" s="156" t="s">
        <v>119</v>
      </c>
      <c r="D340" s="157"/>
      <c r="E340" s="157"/>
      <c r="F340" s="132">
        <f t="shared" si="5"/>
        <v>0</v>
      </c>
      <c r="G340" s="157"/>
      <c r="H340" s="157"/>
      <c r="I340" s="157"/>
      <c r="J340" s="157"/>
      <c r="K340" s="157"/>
      <c r="L340" s="157"/>
      <c r="M340" s="157"/>
      <c r="N340" s="157"/>
      <c r="O340" s="157"/>
      <c r="P340" s="158"/>
    </row>
    <row r="341" spans="3:16" ht="15.75" thickBot="1" x14ac:dyDescent="0.3">
      <c r="C341" s="153"/>
      <c r="D341" s="154"/>
      <c r="E341" s="154"/>
      <c r="F341" s="132">
        <f t="shared" si="5"/>
        <v>0</v>
      </c>
      <c r="G341" s="154"/>
      <c r="H341" s="154"/>
      <c r="I341" s="154"/>
      <c r="J341" s="154"/>
      <c r="K341" s="154"/>
      <c r="L341" s="154"/>
      <c r="M341" s="154"/>
      <c r="N341" s="154"/>
      <c r="O341" s="154"/>
      <c r="P341" s="155"/>
    </row>
    <row r="342" spans="3:16" ht="15.75" thickBot="1" x14ac:dyDescent="0.3">
      <c r="C342" s="145" t="s">
        <v>83</v>
      </c>
      <c r="D342" s="133">
        <v>992</v>
      </c>
      <c r="E342" s="133">
        <v>464</v>
      </c>
      <c r="F342" s="132">
        <f t="shared" si="5"/>
        <v>915</v>
      </c>
      <c r="G342" s="133">
        <v>77</v>
      </c>
      <c r="H342" s="133">
        <v>31</v>
      </c>
      <c r="I342" s="133">
        <v>945</v>
      </c>
      <c r="J342" s="133">
        <v>447</v>
      </c>
      <c r="K342" s="133">
        <v>75</v>
      </c>
      <c r="L342" s="133">
        <v>30</v>
      </c>
      <c r="M342" s="133">
        <v>47</v>
      </c>
      <c r="N342" s="133">
        <v>17</v>
      </c>
      <c r="O342" s="133">
        <v>2</v>
      </c>
      <c r="P342" s="146">
        <v>1</v>
      </c>
    </row>
    <row r="343" spans="3:16" ht="15.75" thickBot="1" x14ac:dyDescent="0.3">
      <c r="C343" s="143" t="s">
        <v>151</v>
      </c>
      <c r="D343" s="132">
        <v>62</v>
      </c>
      <c r="E343" s="132">
        <v>33</v>
      </c>
      <c r="F343" s="132">
        <f t="shared" si="5"/>
        <v>61</v>
      </c>
      <c r="G343" s="132">
        <v>1</v>
      </c>
      <c r="H343" s="132">
        <v>0</v>
      </c>
      <c r="I343" s="132">
        <v>41</v>
      </c>
      <c r="J343" s="132">
        <v>24</v>
      </c>
      <c r="K343" s="132">
        <v>0</v>
      </c>
      <c r="L343" s="132">
        <v>0</v>
      </c>
      <c r="M343" s="132">
        <v>21</v>
      </c>
      <c r="N343" s="132">
        <v>9</v>
      </c>
      <c r="O343" s="132">
        <v>1</v>
      </c>
      <c r="P343" s="144">
        <v>0</v>
      </c>
    </row>
    <row r="344" spans="3:16" ht="15.75" thickBot="1" x14ac:dyDescent="0.3">
      <c r="C344" s="145" t="s">
        <v>152</v>
      </c>
      <c r="D344" s="133">
        <v>29</v>
      </c>
      <c r="E344" s="133">
        <v>22</v>
      </c>
      <c r="F344" s="132">
        <f t="shared" si="5"/>
        <v>28</v>
      </c>
      <c r="G344" s="133">
        <v>1</v>
      </c>
      <c r="H344" s="133">
        <v>1</v>
      </c>
      <c r="I344" s="133">
        <v>29</v>
      </c>
      <c r="J344" s="133">
        <v>22</v>
      </c>
      <c r="K344" s="133">
        <v>1</v>
      </c>
      <c r="L344" s="133">
        <v>1</v>
      </c>
      <c r="M344" s="133">
        <v>0</v>
      </c>
      <c r="N344" s="133">
        <v>0</v>
      </c>
      <c r="O344" s="133">
        <v>0</v>
      </c>
      <c r="P344" s="146">
        <v>0</v>
      </c>
    </row>
    <row r="345" spans="3:16" ht="15.75" thickBot="1" x14ac:dyDescent="0.3">
      <c r="C345" s="143" t="s">
        <v>85</v>
      </c>
      <c r="D345" s="132">
        <v>660</v>
      </c>
      <c r="E345" s="132">
        <v>321</v>
      </c>
      <c r="F345" s="132">
        <f t="shared" si="5"/>
        <v>621</v>
      </c>
      <c r="G345" s="132">
        <v>39</v>
      </c>
      <c r="H345" s="132">
        <v>18</v>
      </c>
      <c r="I345" s="132">
        <v>648</v>
      </c>
      <c r="J345" s="132">
        <v>318</v>
      </c>
      <c r="K345" s="132">
        <v>39</v>
      </c>
      <c r="L345" s="132">
        <v>18</v>
      </c>
      <c r="M345" s="132">
        <v>12</v>
      </c>
      <c r="N345" s="132">
        <v>3</v>
      </c>
      <c r="O345" s="132">
        <v>0</v>
      </c>
      <c r="P345" s="144">
        <v>0</v>
      </c>
    </row>
    <row r="346" spans="3:16" ht="15.75" thickBot="1" x14ac:dyDescent="0.3">
      <c r="C346" s="145" t="s">
        <v>86</v>
      </c>
      <c r="D346" s="133">
        <v>182</v>
      </c>
      <c r="E346" s="133">
        <v>74</v>
      </c>
      <c r="F346" s="132">
        <f t="shared" si="5"/>
        <v>154</v>
      </c>
      <c r="G346" s="133">
        <v>28</v>
      </c>
      <c r="H346" s="133">
        <v>12</v>
      </c>
      <c r="I346" s="133">
        <v>176</v>
      </c>
      <c r="J346" s="133">
        <v>73</v>
      </c>
      <c r="K346" s="133">
        <v>27</v>
      </c>
      <c r="L346" s="133">
        <v>11</v>
      </c>
      <c r="M346" s="133">
        <v>6</v>
      </c>
      <c r="N346" s="133">
        <v>1</v>
      </c>
      <c r="O346" s="133">
        <v>1</v>
      </c>
      <c r="P346" s="146">
        <v>1</v>
      </c>
    </row>
    <row r="347" spans="3:16" ht="15.75" thickBot="1" x14ac:dyDescent="0.3">
      <c r="C347" s="143" t="s">
        <v>87</v>
      </c>
      <c r="D347" s="132">
        <v>59</v>
      </c>
      <c r="E347" s="132">
        <v>14</v>
      </c>
      <c r="F347" s="132">
        <f t="shared" si="5"/>
        <v>51</v>
      </c>
      <c r="G347" s="132">
        <v>8</v>
      </c>
      <c r="H347" s="132">
        <v>0</v>
      </c>
      <c r="I347" s="132">
        <v>51</v>
      </c>
      <c r="J347" s="132">
        <v>10</v>
      </c>
      <c r="K347" s="132">
        <v>8</v>
      </c>
      <c r="L347" s="132">
        <v>0</v>
      </c>
      <c r="M347" s="132">
        <v>8</v>
      </c>
      <c r="N347" s="132">
        <v>4</v>
      </c>
      <c r="O347" s="132">
        <v>0</v>
      </c>
      <c r="P347" s="144">
        <v>0</v>
      </c>
    </row>
    <row r="348" spans="3:16" ht="15.75" thickBot="1" x14ac:dyDescent="0.3">
      <c r="C348" s="145" t="s">
        <v>153</v>
      </c>
      <c r="D348" s="133">
        <v>30</v>
      </c>
      <c r="E348" s="133">
        <v>6</v>
      </c>
      <c r="F348" s="132">
        <f t="shared" si="5"/>
        <v>26</v>
      </c>
      <c r="G348" s="133">
        <v>4</v>
      </c>
      <c r="H348" s="133">
        <v>0</v>
      </c>
      <c r="I348" s="133">
        <v>29</v>
      </c>
      <c r="J348" s="133">
        <v>6</v>
      </c>
      <c r="K348" s="133">
        <v>4</v>
      </c>
      <c r="L348" s="133">
        <v>0</v>
      </c>
      <c r="M348" s="133">
        <v>1</v>
      </c>
      <c r="N348" s="133">
        <v>0</v>
      </c>
      <c r="O348" s="133">
        <v>0</v>
      </c>
      <c r="P348" s="146">
        <v>0</v>
      </c>
    </row>
    <row r="349" spans="3:16" ht="15.75" thickBot="1" x14ac:dyDescent="0.3">
      <c r="C349" s="143" t="s">
        <v>154</v>
      </c>
      <c r="D349" s="132">
        <v>7</v>
      </c>
      <c r="E349" s="132">
        <v>4</v>
      </c>
      <c r="F349" s="132">
        <f t="shared" si="5"/>
        <v>7</v>
      </c>
      <c r="G349" s="132">
        <v>0</v>
      </c>
      <c r="H349" s="132">
        <v>0</v>
      </c>
      <c r="I349" s="132">
        <v>0</v>
      </c>
      <c r="J349" s="132">
        <v>0</v>
      </c>
      <c r="K349" s="132">
        <v>0</v>
      </c>
      <c r="L349" s="132">
        <v>0</v>
      </c>
      <c r="M349" s="132">
        <v>7</v>
      </c>
      <c r="N349" s="132">
        <v>4</v>
      </c>
      <c r="O349" s="132">
        <v>0</v>
      </c>
      <c r="P349" s="144">
        <v>0</v>
      </c>
    </row>
    <row r="350" spans="3:16" ht="15.75" thickBot="1" x14ac:dyDescent="0.3">
      <c r="C350" s="156" t="s">
        <v>120</v>
      </c>
      <c r="D350" s="157"/>
      <c r="E350" s="157"/>
      <c r="F350" s="132">
        <f t="shared" si="5"/>
        <v>0</v>
      </c>
      <c r="G350" s="157"/>
      <c r="H350" s="157"/>
      <c r="I350" s="157"/>
      <c r="J350" s="157"/>
      <c r="K350" s="157"/>
      <c r="L350" s="157"/>
      <c r="M350" s="157"/>
      <c r="N350" s="157"/>
      <c r="O350" s="157"/>
      <c r="P350" s="158"/>
    </row>
    <row r="351" spans="3:16" ht="15.75" thickBot="1" x14ac:dyDescent="0.3">
      <c r="C351" s="153"/>
      <c r="D351" s="154"/>
      <c r="E351" s="154"/>
      <c r="F351" s="132">
        <f t="shared" si="5"/>
        <v>0</v>
      </c>
      <c r="G351" s="154"/>
      <c r="H351" s="154"/>
      <c r="I351" s="154"/>
      <c r="J351" s="154"/>
      <c r="K351" s="154"/>
      <c r="L351" s="154"/>
      <c r="M351" s="154"/>
      <c r="N351" s="154"/>
      <c r="O351" s="154"/>
      <c r="P351" s="155"/>
    </row>
    <row r="352" spans="3:16" ht="15.75" thickBot="1" x14ac:dyDescent="0.3">
      <c r="C352" s="145" t="s">
        <v>83</v>
      </c>
      <c r="D352" s="133">
        <v>20071</v>
      </c>
      <c r="E352" s="133">
        <v>9417</v>
      </c>
      <c r="F352" s="132">
        <f t="shared" si="5"/>
        <v>18131</v>
      </c>
      <c r="G352" s="133">
        <v>1940</v>
      </c>
      <c r="H352" s="133">
        <v>941</v>
      </c>
      <c r="I352" s="133">
        <v>18198</v>
      </c>
      <c r="J352" s="133">
        <v>8537</v>
      </c>
      <c r="K352" s="133">
        <v>1861</v>
      </c>
      <c r="L352" s="133">
        <v>899</v>
      </c>
      <c r="M352" s="133">
        <v>1873</v>
      </c>
      <c r="N352" s="133">
        <v>880</v>
      </c>
      <c r="O352" s="133">
        <v>79</v>
      </c>
      <c r="P352" s="146">
        <v>42</v>
      </c>
    </row>
    <row r="353" spans="3:16" ht="15.75" thickBot="1" x14ac:dyDescent="0.3">
      <c r="C353" s="143" t="s">
        <v>151</v>
      </c>
      <c r="D353" s="132">
        <v>1369</v>
      </c>
      <c r="E353" s="132">
        <v>790</v>
      </c>
      <c r="F353" s="132">
        <f t="shared" si="5"/>
        <v>1330</v>
      </c>
      <c r="G353" s="132">
        <v>39</v>
      </c>
      <c r="H353" s="132">
        <v>17</v>
      </c>
      <c r="I353" s="132">
        <v>1195</v>
      </c>
      <c r="J353" s="132">
        <v>690</v>
      </c>
      <c r="K353" s="132">
        <v>38</v>
      </c>
      <c r="L353" s="132">
        <v>16</v>
      </c>
      <c r="M353" s="132">
        <v>174</v>
      </c>
      <c r="N353" s="132">
        <v>100</v>
      </c>
      <c r="O353" s="132">
        <v>1</v>
      </c>
      <c r="P353" s="144">
        <v>1</v>
      </c>
    </row>
    <row r="354" spans="3:16" ht="15.75" thickBot="1" x14ac:dyDescent="0.3">
      <c r="C354" s="145" t="s">
        <v>152</v>
      </c>
      <c r="D354" s="133">
        <v>476</v>
      </c>
      <c r="E354" s="133">
        <v>260</v>
      </c>
      <c r="F354" s="132">
        <f t="shared" si="5"/>
        <v>455</v>
      </c>
      <c r="G354" s="133">
        <v>21</v>
      </c>
      <c r="H354" s="133">
        <v>12</v>
      </c>
      <c r="I354" s="133">
        <v>430</v>
      </c>
      <c r="J354" s="133">
        <v>233</v>
      </c>
      <c r="K354" s="133">
        <v>19</v>
      </c>
      <c r="L354" s="133">
        <v>10</v>
      </c>
      <c r="M354" s="133">
        <v>46</v>
      </c>
      <c r="N354" s="133">
        <v>27</v>
      </c>
      <c r="O354" s="133">
        <v>2</v>
      </c>
      <c r="P354" s="146">
        <v>2</v>
      </c>
    </row>
    <row r="355" spans="3:16" ht="15.75" thickBot="1" x14ac:dyDescent="0.3">
      <c r="C355" s="143" t="s">
        <v>85</v>
      </c>
      <c r="D355" s="132">
        <v>12715</v>
      </c>
      <c r="E355" s="132">
        <v>6219</v>
      </c>
      <c r="F355" s="132">
        <f t="shared" si="5"/>
        <v>11866</v>
      </c>
      <c r="G355" s="132">
        <v>849</v>
      </c>
      <c r="H355" s="132">
        <v>449</v>
      </c>
      <c r="I355" s="132">
        <v>11440</v>
      </c>
      <c r="J355" s="132">
        <v>5584</v>
      </c>
      <c r="K355" s="132">
        <v>808</v>
      </c>
      <c r="L355" s="132">
        <v>425</v>
      </c>
      <c r="M355" s="132">
        <v>1275</v>
      </c>
      <c r="N355" s="132">
        <v>635</v>
      </c>
      <c r="O355" s="132">
        <v>41</v>
      </c>
      <c r="P355" s="144">
        <v>24</v>
      </c>
    </row>
    <row r="356" spans="3:16" ht="15.75" thickBot="1" x14ac:dyDescent="0.3">
      <c r="C356" s="145" t="s">
        <v>86</v>
      </c>
      <c r="D356" s="133">
        <v>3892</v>
      </c>
      <c r="E356" s="133">
        <v>1508</v>
      </c>
      <c r="F356" s="132">
        <f t="shared" ref="F356:F419" si="6">D356-G356</f>
        <v>3323</v>
      </c>
      <c r="G356" s="133">
        <v>569</v>
      </c>
      <c r="H356" s="133">
        <v>258</v>
      </c>
      <c r="I356" s="133">
        <v>3626</v>
      </c>
      <c r="J356" s="133">
        <v>1424</v>
      </c>
      <c r="K356" s="133">
        <v>544</v>
      </c>
      <c r="L356" s="133">
        <v>249</v>
      </c>
      <c r="M356" s="133">
        <v>266</v>
      </c>
      <c r="N356" s="133">
        <v>84</v>
      </c>
      <c r="O356" s="133">
        <v>25</v>
      </c>
      <c r="P356" s="146">
        <v>9</v>
      </c>
    </row>
    <row r="357" spans="3:16" ht="15.75" thickBot="1" x14ac:dyDescent="0.3">
      <c r="C357" s="143" t="s">
        <v>87</v>
      </c>
      <c r="D357" s="132">
        <v>1619</v>
      </c>
      <c r="E357" s="132">
        <v>640</v>
      </c>
      <c r="F357" s="132">
        <f t="shared" si="6"/>
        <v>1157</v>
      </c>
      <c r="G357" s="132">
        <v>462</v>
      </c>
      <c r="H357" s="132">
        <v>205</v>
      </c>
      <c r="I357" s="132">
        <v>1507</v>
      </c>
      <c r="J357" s="132">
        <v>606</v>
      </c>
      <c r="K357" s="132">
        <v>452</v>
      </c>
      <c r="L357" s="132">
        <v>199</v>
      </c>
      <c r="M357" s="132">
        <v>112</v>
      </c>
      <c r="N357" s="132">
        <v>34</v>
      </c>
      <c r="O357" s="132">
        <v>10</v>
      </c>
      <c r="P357" s="144">
        <v>6</v>
      </c>
    </row>
    <row r="358" spans="3:16" ht="15.75" thickBot="1" x14ac:dyDescent="0.3">
      <c r="C358" s="145" t="s">
        <v>153</v>
      </c>
      <c r="D358" s="133">
        <v>594</v>
      </c>
      <c r="E358" s="133">
        <v>244</v>
      </c>
      <c r="F358" s="132">
        <f t="shared" si="6"/>
        <v>514</v>
      </c>
      <c r="G358" s="133">
        <v>80</v>
      </c>
      <c r="H358" s="133">
        <v>35</v>
      </c>
      <c r="I358" s="133">
        <v>568</v>
      </c>
      <c r="J358" s="133">
        <v>240</v>
      </c>
      <c r="K358" s="133">
        <v>79</v>
      </c>
      <c r="L358" s="133">
        <v>35</v>
      </c>
      <c r="M358" s="133">
        <v>26</v>
      </c>
      <c r="N358" s="133">
        <v>4</v>
      </c>
      <c r="O358" s="133">
        <v>1</v>
      </c>
      <c r="P358" s="146">
        <v>0</v>
      </c>
    </row>
    <row r="359" spans="3:16" ht="15.75" thickBot="1" x14ac:dyDescent="0.3">
      <c r="C359" s="143" t="s">
        <v>154</v>
      </c>
      <c r="D359" s="132">
        <v>231</v>
      </c>
      <c r="E359" s="132">
        <v>91</v>
      </c>
      <c r="F359" s="132">
        <f t="shared" si="6"/>
        <v>191</v>
      </c>
      <c r="G359" s="132">
        <v>40</v>
      </c>
      <c r="H359" s="132">
        <v>18</v>
      </c>
      <c r="I359" s="132">
        <v>211</v>
      </c>
      <c r="J359" s="132">
        <v>82</v>
      </c>
      <c r="K359" s="132">
        <v>40</v>
      </c>
      <c r="L359" s="132">
        <v>18</v>
      </c>
      <c r="M359" s="132">
        <v>20</v>
      </c>
      <c r="N359" s="132">
        <v>9</v>
      </c>
      <c r="O359" s="132">
        <v>0</v>
      </c>
      <c r="P359" s="144">
        <v>0</v>
      </c>
    </row>
    <row r="360" spans="3:16" ht="15.75" thickBot="1" x14ac:dyDescent="0.3">
      <c r="C360" s="156" t="s">
        <v>121</v>
      </c>
      <c r="D360" s="157"/>
      <c r="E360" s="157"/>
      <c r="F360" s="132">
        <f t="shared" si="6"/>
        <v>0</v>
      </c>
      <c r="G360" s="157"/>
      <c r="H360" s="157"/>
      <c r="I360" s="157"/>
      <c r="J360" s="157"/>
      <c r="K360" s="157"/>
      <c r="L360" s="157"/>
      <c r="M360" s="157"/>
      <c r="N360" s="157"/>
      <c r="O360" s="157"/>
      <c r="P360" s="158"/>
    </row>
    <row r="361" spans="3:16" ht="15.75" thickBot="1" x14ac:dyDescent="0.3">
      <c r="C361" s="153"/>
      <c r="D361" s="154"/>
      <c r="E361" s="154"/>
      <c r="F361" s="132">
        <f t="shared" si="6"/>
        <v>0</v>
      </c>
      <c r="G361" s="154"/>
      <c r="H361" s="154"/>
      <c r="I361" s="154"/>
      <c r="J361" s="154"/>
      <c r="K361" s="154"/>
      <c r="L361" s="154"/>
      <c r="M361" s="154"/>
      <c r="N361" s="154"/>
      <c r="O361" s="154"/>
      <c r="P361" s="155"/>
    </row>
    <row r="362" spans="3:16" ht="15.75" thickBot="1" x14ac:dyDescent="0.3">
      <c r="C362" s="145" t="s">
        <v>83</v>
      </c>
      <c r="D362" s="133">
        <v>561</v>
      </c>
      <c r="E362" s="133">
        <v>248</v>
      </c>
      <c r="F362" s="132">
        <f t="shared" si="6"/>
        <v>471</v>
      </c>
      <c r="G362" s="133">
        <v>90</v>
      </c>
      <c r="H362" s="133">
        <v>48</v>
      </c>
      <c r="I362" s="133">
        <v>561</v>
      </c>
      <c r="J362" s="133">
        <v>248</v>
      </c>
      <c r="K362" s="133">
        <v>90</v>
      </c>
      <c r="L362" s="133">
        <v>48</v>
      </c>
      <c r="M362" s="133">
        <v>0</v>
      </c>
      <c r="N362" s="133">
        <v>0</v>
      </c>
      <c r="O362" s="133">
        <v>0</v>
      </c>
      <c r="P362" s="146">
        <v>0</v>
      </c>
    </row>
    <row r="363" spans="3:16" ht="15.75" thickBot="1" x14ac:dyDescent="0.3">
      <c r="C363" s="143" t="s">
        <v>151</v>
      </c>
      <c r="D363" s="132">
        <v>43</v>
      </c>
      <c r="E363" s="132">
        <v>25</v>
      </c>
      <c r="F363" s="132">
        <f t="shared" si="6"/>
        <v>42</v>
      </c>
      <c r="G363" s="132">
        <v>1</v>
      </c>
      <c r="H363" s="132">
        <v>0</v>
      </c>
      <c r="I363" s="132">
        <v>43</v>
      </c>
      <c r="J363" s="132">
        <v>25</v>
      </c>
      <c r="K363" s="132">
        <v>1</v>
      </c>
      <c r="L363" s="132">
        <v>0</v>
      </c>
      <c r="M363" s="132">
        <v>0</v>
      </c>
      <c r="N363" s="132">
        <v>0</v>
      </c>
      <c r="O363" s="132">
        <v>0</v>
      </c>
      <c r="P363" s="144">
        <v>0</v>
      </c>
    </row>
    <row r="364" spans="3:16" ht="15.75" thickBot="1" x14ac:dyDescent="0.3">
      <c r="C364" s="145" t="s">
        <v>152</v>
      </c>
      <c r="D364" s="133">
        <v>15</v>
      </c>
      <c r="E364" s="133">
        <v>6</v>
      </c>
      <c r="F364" s="132">
        <f t="shared" si="6"/>
        <v>12</v>
      </c>
      <c r="G364" s="133">
        <v>3</v>
      </c>
      <c r="H364" s="133">
        <v>3</v>
      </c>
      <c r="I364" s="133">
        <v>15</v>
      </c>
      <c r="J364" s="133">
        <v>6</v>
      </c>
      <c r="K364" s="133">
        <v>3</v>
      </c>
      <c r="L364" s="133">
        <v>3</v>
      </c>
      <c r="M364" s="133">
        <v>0</v>
      </c>
      <c r="N364" s="133">
        <v>0</v>
      </c>
      <c r="O364" s="133">
        <v>0</v>
      </c>
      <c r="P364" s="146">
        <v>0</v>
      </c>
    </row>
    <row r="365" spans="3:16" ht="15.75" thickBot="1" x14ac:dyDescent="0.3">
      <c r="C365" s="143" t="s">
        <v>85</v>
      </c>
      <c r="D365" s="132">
        <v>344</v>
      </c>
      <c r="E365" s="132">
        <v>161</v>
      </c>
      <c r="F365" s="132">
        <f t="shared" si="6"/>
        <v>300</v>
      </c>
      <c r="G365" s="132">
        <v>44</v>
      </c>
      <c r="H365" s="132">
        <v>28</v>
      </c>
      <c r="I365" s="132">
        <v>344</v>
      </c>
      <c r="J365" s="132">
        <v>161</v>
      </c>
      <c r="K365" s="132">
        <v>44</v>
      </c>
      <c r="L365" s="132">
        <v>28</v>
      </c>
      <c r="M365" s="132">
        <v>0</v>
      </c>
      <c r="N365" s="132">
        <v>0</v>
      </c>
      <c r="O365" s="132">
        <v>0</v>
      </c>
      <c r="P365" s="144">
        <v>0</v>
      </c>
    </row>
    <row r="366" spans="3:16" ht="15.75" thickBot="1" x14ac:dyDescent="0.3">
      <c r="C366" s="145" t="s">
        <v>86</v>
      </c>
      <c r="D366" s="133">
        <v>115</v>
      </c>
      <c r="E366" s="133">
        <v>39</v>
      </c>
      <c r="F366" s="132">
        <f t="shared" si="6"/>
        <v>97</v>
      </c>
      <c r="G366" s="133">
        <v>18</v>
      </c>
      <c r="H366" s="133">
        <v>6</v>
      </c>
      <c r="I366" s="133">
        <v>115</v>
      </c>
      <c r="J366" s="133">
        <v>39</v>
      </c>
      <c r="K366" s="133">
        <v>18</v>
      </c>
      <c r="L366" s="133">
        <v>6</v>
      </c>
      <c r="M366" s="133">
        <v>0</v>
      </c>
      <c r="N366" s="133">
        <v>0</v>
      </c>
      <c r="O366" s="133">
        <v>0</v>
      </c>
      <c r="P366" s="146">
        <v>0</v>
      </c>
    </row>
    <row r="367" spans="3:16" ht="15.75" thickBot="1" x14ac:dyDescent="0.3">
      <c r="C367" s="143" t="s">
        <v>87</v>
      </c>
      <c r="D367" s="132">
        <v>44</v>
      </c>
      <c r="E367" s="132">
        <v>17</v>
      </c>
      <c r="F367" s="132">
        <f t="shared" si="6"/>
        <v>20</v>
      </c>
      <c r="G367" s="132">
        <v>24</v>
      </c>
      <c r="H367" s="132">
        <v>11</v>
      </c>
      <c r="I367" s="132">
        <v>44</v>
      </c>
      <c r="J367" s="132">
        <v>17</v>
      </c>
      <c r="K367" s="132">
        <v>24</v>
      </c>
      <c r="L367" s="132">
        <v>11</v>
      </c>
      <c r="M367" s="132">
        <v>0</v>
      </c>
      <c r="N367" s="132">
        <v>0</v>
      </c>
      <c r="O367" s="132">
        <v>0</v>
      </c>
      <c r="P367" s="144">
        <v>0</v>
      </c>
    </row>
    <row r="368" spans="3:16" ht="15.75" thickBot="1" x14ac:dyDescent="0.3">
      <c r="C368" s="145" t="s">
        <v>153</v>
      </c>
      <c r="D368" s="133">
        <v>4</v>
      </c>
      <c r="E368" s="133">
        <v>1</v>
      </c>
      <c r="F368" s="132">
        <f t="shared" si="6"/>
        <v>3</v>
      </c>
      <c r="G368" s="133">
        <v>1</v>
      </c>
      <c r="H368" s="133">
        <v>0</v>
      </c>
      <c r="I368" s="133">
        <v>4</v>
      </c>
      <c r="J368" s="133">
        <v>1</v>
      </c>
      <c r="K368" s="133">
        <v>1</v>
      </c>
      <c r="L368" s="133">
        <v>0</v>
      </c>
      <c r="M368" s="133">
        <v>0</v>
      </c>
      <c r="N368" s="133">
        <v>0</v>
      </c>
      <c r="O368" s="133">
        <v>0</v>
      </c>
      <c r="P368" s="146">
        <v>0</v>
      </c>
    </row>
    <row r="369" spans="3:16" ht="15.75" thickBot="1" x14ac:dyDescent="0.3">
      <c r="C369" s="143" t="s">
        <v>154</v>
      </c>
      <c r="D369" s="132">
        <v>11</v>
      </c>
      <c r="E369" s="132">
        <v>4</v>
      </c>
      <c r="F369" s="132">
        <f t="shared" si="6"/>
        <v>8</v>
      </c>
      <c r="G369" s="132">
        <v>3</v>
      </c>
      <c r="H369" s="132">
        <v>2</v>
      </c>
      <c r="I369" s="132">
        <v>11</v>
      </c>
      <c r="J369" s="132">
        <v>4</v>
      </c>
      <c r="K369" s="132">
        <v>3</v>
      </c>
      <c r="L369" s="132">
        <v>2</v>
      </c>
      <c r="M369" s="132">
        <v>0</v>
      </c>
      <c r="N369" s="132">
        <v>0</v>
      </c>
      <c r="O369" s="132">
        <v>0</v>
      </c>
      <c r="P369" s="144">
        <v>0</v>
      </c>
    </row>
    <row r="370" spans="3:16" ht="15.75" thickBot="1" x14ac:dyDescent="0.3">
      <c r="C370" s="156" t="s">
        <v>122</v>
      </c>
      <c r="D370" s="157"/>
      <c r="E370" s="157"/>
      <c r="F370" s="132">
        <f t="shared" si="6"/>
        <v>0</v>
      </c>
      <c r="G370" s="157"/>
      <c r="H370" s="157"/>
      <c r="I370" s="157"/>
      <c r="J370" s="157"/>
      <c r="K370" s="157"/>
      <c r="L370" s="157"/>
      <c r="M370" s="157"/>
      <c r="N370" s="157"/>
      <c r="O370" s="157"/>
      <c r="P370" s="158"/>
    </row>
    <row r="371" spans="3:16" ht="15.75" thickBot="1" x14ac:dyDescent="0.3">
      <c r="C371" s="153"/>
      <c r="D371" s="154"/>
      <c r="E371" s="154"/>
      <c r="F371" s="132">
        <f t="shared" si="6"/>
        <v>0</v>
      </c>
      <c r="G371" s="154"/>
      <c r="H371" s="154"/>
      <c r="I371" s="154"/>
      <c r="J371" s="154"/>
      <c r="K371" s="154"/>
      <c r="L371" s="154"/>
      <c r="M371" s="154"/>
      <c r="N371" s="154"/>
      <c r="O371" s="154"/>
      <c r="P371" s="155"/>
    </row>
    <row r="372" spans="3:16" ht="15.75" thickBot="1" x14ac:dyDescent="0.3">
      <c r="C372" s="145" t="s">
        <v>83</v>
      </c>
      <c r="D372" s="133">
        <v>377</v>
      </c>
      <c r="E372" s="133">
        <v>167</v>
      </c>
      <c r="F372" s="132">
        <f t="shared" si="6"/>
        <v>338</v>
      </c>
      <c r="G372" s="133">
        <v>39</v>
      </c>
      <c r="H372" s="133">
        <v>15</v>
      </c>
      <c r="I372" s="133">
        <v>377</v>
      </c>
      <c r="J372" s="133">
        <v>167</v>
      </c>
      <c r="K372" s="133">
        <v>39</v>
      </c>
      <c r="L372" s="133">
        <v>15</v>
      </c>
      <c r="M372" s="133">
        <v>0</v>
      </c>
      <c r="N372" s="133">
        <v>0</v>
      </c>
      <c r="O372" s="133">
        <v>0</v>
      </c>
      <c r="P372" s="146">
        <v>0</v>
      </c>
    </row>
    <row r="373" spans="3:16" ht="15.75" thickBot="1" x14ac:dyDescent="0.3">
      <c r="C373" s="143" t="s">
        <v>151</v>
      </c>
      <c r="D373" s="132">
        <v>32</v>
      </c>
      <c r="E373" s="132">
        <v>11</v>
      </c>
      <c r="F373" s="132">
        <f t="shared" si="6"/>
        <v>32</v>
      </c>
      <c r="G373" s="132">
        <v>0</v>
      </c>
      <c r="H373" s="132">
        <v>0</v>
      </c>
      <c r="I373" s="132">
        <v>32</v>
      </c>
      <c r="J373" s="132">
        <v>11</v>
      </c>
      <c r="K373" s="132">
        <v>0</v>
      </c>
      <c r="L373" s="132">
        <v>0</v>
      </c>
      <c r="M373" s="132">
        <v>0</v>
      </c>
      <c r="N373" s="132">
        <v>0</v>
      </c>
      <c r="O373" s="132">
        <v>0</v>
      </c>
      <c r="P373" s="144">
        <v>0</v>
      </c>
    </row>
    <row r="374" spans="3:16" ht="15.75" thickBot="1" x14ac:dyDescent="0.3">
      <c r="C374" s="145" t="s">
        <v>152</v>
      </c>
      <c r="D374" s="133">
        <v>10</v>
      </c>
      <c r="E374" s="133">
        <v>4</v>
      </c>
      <c r="F374" s="132">
        <f t="shared" si="6"/>
        <v>10</v>
      </c>
      <c r="G374" s="133">
        <v>0</v>
      </c>
      <c r="H374" s="133">
        <v>0</v>
      </c>
      <c r="I374" s="133">
        <v>10</v>
      </c>
      <c r="J374" s="133">
        <v>4</v>
      </c>
      <c r="K374" s="133">
        <v>0</v>
      </c>
      <c r="L374" s="133">
        <v>0</v>
      </c>
      <c r="M374" s="133">
        <v>0</v>
      </c>
      <c r="N374" s="133">
        <v>0</v>
      </c>
      <c r="O374" s="133">
        <v>0</v>
      </c>
      <c r="P374" s="146">
        <v>0</v>
      </c>
    </row>
    <row r="375" spans="3:16" ht="15.75" thickBot="1" x14ac:dyDescent="0.3">
      <c r="C375" s="143" t="s">
        <v>85</v>
      </c>
      <c r="D375" s="132">
        <v>204</v>
      </c>
      <c r="E375" s="132">
        <v>101</v>
      </c>
      <c r="F375" s="132">
        <f t="shared" si="6"/>
        <v>191</v>
      </c>
      <c r="G375" s="132">
        <v>13</v>
      </c>
      <c r="H375" s="132">
        <v>5</v>
      </c>
      <c r="I375" s="132">
        <v>204</v>
      </c>
      <c r="J375" s="132">
        <v>101</v>
      </c>
      <c r="K375" s="132">
        <v>13</v>
      </c>
      <c r="L375" s="132">
        <v>5</v>
      </c>
      <c r="M375" s="132">
        <v>0</v>
      </c>
      <c r="N375" s="132">
        <v>0</v>
      </c>
      <c r="O375" s="132">
        <v>0</v>
      </c>
      <c r="P375" s="144">
        <v>0</v>
      </c>
    </row>
    <row r="376" spans="3:16" ht="15.75" thickBot="1" x14ac:dyDescent="0.3">
      <c r="C376" s="145" t="s">
        <v>86</v>
      </c>
      <c r="D376" s="133">
        <v>78</v>
      </c>
      <c r="E376" s="133">
        <v>33</v>
      </c>
      <c r="F376" s="132">
        <f t="shared" si="6"/>
        <v>70</v>
      </c>
      <c r="G376" s="133">
        <v>8</v>
      </c>
      <c r="H376" s="133">
        <v>2</v>
      </c>
      <c r="I376" s="133">
        <v>78</v>
      </c>
      <c r="J376" s="133">
        <v>33</v>
      </c>
      <c r="K376" s="133">
        <v>8</v>
      </c>
      <c r="L376" s="133">
        <v>2</v>
      </c>
      <c r="M376" s="133">
        <v>0</v>
      </c>
      <c r="N376" s="133">
        <v>0</v>
      </c>
      <c r="O376" s="133">
        <v>0</v>
      </c>
      <c r="P376" s="146">
        <v>0</v>
      </c>
    </row>
    <row r="377" spans="3:16" ht="15.75" thickBot="1" x14ac:dyDescent="0.3">
      <c r="C377" s="143" t="s">
        <v>87</v>
      </c>
      <c r="D377" s="132">
        <v>53</v>
      </c>
      <c r="E377" s="132">
        <v>18</v>
      </c>
      <c r="F377" s="132">
        <f t="shared" si="6"/>
        <v>35</v>
      </c>
      <c r="G377" s="132">
        <v>18</v>
      </c>
      <c r="H377" s="132">
        <v>8</v>
      </c>
      <c r="I377" s="132">
        <v>53</v>
      </c>
      <c r="J377" s="132">
        <v>18</v>
      </c>
      <c r="K377" s="132">
        <v>18</v>
      </c>
      <c r="L377" s="132">
        <v>8</v>
      </c>
      <c r="M377" s="132">
        <v>0</v>
      </c>
      <c r="N377" s="132">
        <v>0</v>
      </c>
      <c r="O377" s="132">
        <v>0</v>
      </c>
      <c r="P377" s="144">
        <v>0</v>
      </c>
    </row>
    <row r="378" spans="3:16" ht="15.75" thickBot="1" x14ac:dyDescent="0.3">
      <c r="C378" s="145" t="s">
        <v>153</v>
      </c>
      <c r="D378" s="133">
        <v>17</v>
      </c>
      <c r="E378" s="133">
        <v>9</v>
      </c>
      <c r="F378" s="132">
        <f t="shared" si="6"/>
        <v>13</v>
      </c>
      <c r="G378" s="133">
        <v>4</v>
      </c>
      <c r="H378" s="133">
        <v>4</v>
      </c>
      <c r="I378" s="133">
        <v>17</v>
      </c>
      <c r="J378" s="133">
        <v>9</v>
      </c>
      <c r="K378" s="133">
        <v>4</v>
      </c>
      <c r="L378" s="133">
        <v>4</v>
      </c>
      <c r="M378" s="133">
        <v>0</v>
      </c>
      <c r="N378" s="133">
        <v>0</v>
      </c>
      <c r="O378" s="133">
        <v>0</v>
      </c>
      <c r="P378" s="146">
        <v>0</v>
      </c>
    </row>
    <row r="379" spans="3:16" ht="15.75" thickBot="1" x14ac:dyDescent="0.3">
      <c r="C379" s="143" t="s">
        <v>154</v>
      </c>
      <c r="D379" s="132">
        <v>4</v>
      </c>
      <c r="E379" s="132">
        <v>1</v>
      </c>
      <c r="F379" s="132">
        <f t="shared" si="6"/>
        <v>3</v>
      </c>
      <c r="G379" s="132">
        <v>1</v>
      </c>
      <c r="H379" s="132">
        <v>0</v>
      </c>
      <c r="I379" s="132">
        <v>4</v>
      </c>
      <c r="J379" s="132">
        <v>1</v>
      </c>
      <c r="K379" s="132">
        <v>1</v>
      </c>
      <c r="L379" s="132">
        <v>0</v>
      </c>
      <c r="M379" s="132">
        <v>0</v>
      </c>
      <c r="N379" s="132">
        <v>0</v>
      </c>
      <c r="O379" s="132">
        <v>0</v>
      </c>
      <c r="P379" s="144">
        <v>0</v>
      </c>
    </row>
    <row r="380" spans="3:16" ht="15.75" thickBot="1" x14ac:dyDescent="0.3">
      <c r="C380" s="156" t="s">
        <v>123</v>
      </c>
      <c r="D380" s="157"/>
      <c r="E380" s="157"/>
      <c r="F380" s="132">
        <f t="shared" si="6"/>
        <v>0</v>
      </c>
      <c r="G380" s="157"/>
      <c r="H380" s="157"/>
      <c r="I380" s="157"/>
      <c r="J380" s="157"/>
      <c r="K380" s="157"/>
      <c r="L380" s="157"/>
      <c r="M380" s="157"/>
      <c r="N380" s="157"/>
      <c r="O380" s="157"/>
      <c r="P380" s="158"/>
    </row>
    <row r="381" spans="3:16" ht="15.75" thickBot="1" x14ac:dyDescent="0.3">
      <c r="C381" s="153"/>
      <c r="D381" s="154"/>
      <c r="E381" s="154"/>
      <c r="F381" s="132">
        <f t="shared" si="6"/>
        <v>0</v>
      </c>
      <c r="G381" s="154"/>
      <c r="H381" s="154"/>
      <c r="I381" s="154"/>
      <c r="J381" s="154"/>
      <c r="K381" s="154"/>
      <c r="L381" s="154"/>
      <c r="M381" s="154"/>
      <c r="N381" s="154"/>
      <c r="O381" s="154"/>
      <c r="P381" s="155"/>
    </row>
    <row r="382" spans="3:16" ht="15.75" thickBot="1" x14ac:dyDescent="0.3">
      <c r="C382" s="145" t="s">
        <v>83</v>
      </c>
      <c r="D382" s="133">
        <v>1186</v>
      </c>
      <c r="E382" s="133">
        <v>552</v>
      </c>
      <c r="F382" s="132">
        <f t="shared" si="6"/>
        <v>1034</v>
      </c>
      <c r="G382" s="133">
        <v>152</v>
      </c>
      <c r="H382" s="133">
        <v>59</v>
      </c>
      <c r="I382" s="133">
        <v>1048</v>
      </c>
      <c r="J382" s="133">
        <v>487</v>
      </c>
      <c r="K382" s="133">
        <v>132</v>
      </c>
      <c r="L382" s="133">
        <v>50</v>
      </c>
      <c r="M382" s="133">
        <v>138</v>
      </c>
      <c r="N382" s="133">
        <v>65</v>
      </c>
      <c r="O382" s="133">
        <v>20</v>
      </c>
      <c r="P382" s="146">
        <v>9</v>
      </c>
    </row>
    <row r="383" spans="3:16" ht="15.75" thickBot="1" x14ac:dyDescent="0.3">
      <c r="C383" s="143" t="s">
        <v>151</v>
      </c>
      <c r="D383" s="132">
        <v>319</v>
      </c>
      <c r="E383" s="132">
        <v>181</v>
      </c>
      <c r="F383" s="132">
        <f t="shared" si="6"/>
        <v>311</v>
      </c>
      <c r="G383" s="132">
        <v>8</v>
      </c>
      <c r="H383" s="132">
        <v>2</v>
      </c>
      <c r="I383" s="132">
        <v>275</v>
      </c>
      <c r="J383" s="132">
        <v>157</v>
      </c>
      <c r="K383" s="132">
        <v>7</v>
      </c>
      <c r="L383" s="132">
        <v>1</v>
      </c>
      <c r="M383" s="132">
        <v>44</v>
      </c>
      <c r="N383" s="132">
        <v>24</v>
      </c>
      <c r="O383" s="132">
        <v>1</v>
      </c>
      <c r="P383" s="144">
        <v>1</v>
      </c>
    </row>
    <row r="384" spans="3:16" ht="15.75" thickBot="1" x14ac:dyDescent="0.3">
      <c r="C384" s="145" t="s">
        <v>152</v>
      </c>
      <c r="D384" s="133">
        <v>71</v>
      </c>
      <c r="E384" s="133">
        <v>37</v>
      </c>
      <c r="F384" s="132">
        <f t="shared" si="6"/>
        <v>68</v>
      </c>
      <c r="G384" s="133">
        <v>3</v>
      </c>
      <c r="H384" s="133">
        <v>0</v>
      </c>
      <c r="I384" s="133">
        <v>71</v>
      </c>
      <c r="J384" s="133">
        <v>37</v>
      </c>
      <c r="K384" s="133">
        <v>3</v>
      </c>
      <c r="L384" s="133">
        <v>0</v>
      </c>
      <c r="M384" s="133">
        <v>0</v>
      </c>
      <c r="N384" s="133">
        <v>0</v>
      </c>
      <c r="O384" s="133">
        <v>0</v>
      </c>
      <c r="P384" s="146">
        <v>0</v>
      </c>
    </row>
    <row r="385" spans="3:16" ht="15.75" thickBot="1" x14ac:dyDescent="0.3">
      <c r="C385" s="143" t="s">
        <v>85</v>
      </c>
      <c r="D385" s="132">
        <v>532</v>
      </c>
      <c r="E385" s="132">
        <v>240</v>
      </c>
      <c r="F385" s="132">
        <f t="shared" si="6"/>
        <v>462</v>
      </c>
      <c r="G385" s="132">
        <v>70</v>
      </c>
      <c r="H385" s="132">
        <v>29</v>
      </c>
      <c r="I385" s="132">
        <v>459</v>
      </c>
      <c r="J385" s="132">
        <v>208</v>
      </c>
      <c r="K385" s="132">
        <v>57</v>
      </c>
      <c r="L385" s="132">
        <v>22</v>
      </c>
      <c r="M385" s="132">
        <v>73</v>
      </c>
      <c r="N385" s="132">
        <v>32</v>
      </c>
      <c r="O385" s="132">
        <v>13</v>
      </c>
      <c r="P385" s="144">
        <v>7</v>
      </c>
    </row>
    <row r="386" spans="3:16" ht="15.75" thickBot="1" x14ac:dyDescent="0.3">
      <c r="C386" s="145" t="s">
        <v>86</v>
      </c>
      <c r="D386" s="133">
        <v>174</v>
      </c>
      <c r="E386" s="133">
        <v>65</v>
      </c>
      <c r="F386" s="132">
        <f t="shared" si="6"/>
        <v>132</v>
      </c>
      <c r="G386" s="133">
        <v>42</v>
      </c>
      <c r="H386" s="133">
        <v>17</v>
      </c>
      <c r="I386" s="133">
        <v>156</v>
      </c>
      <c r="J386" s="133">
        <v>58</v>
      </c>
      <c r="K386" s="133">
        <v>36</v>
      </c>
      <c r="L386" s="133">
        <v>16</v>
      </c>
      <c r="M386" s="133">
        <v>18</v>
      </c>
      <c r="N386" s="133">
        <v>7</v>
      </c>
      <c r="O386" s="133">
        <v>6</v>
      </c>
      <c r="P386" s="146">
        <v>1</v>
      </c>
    </row>
    <row r="387" spans="3:16" ht="15.75" thickBot="1" x14ac:dyDescent="0.3">
      <c r="C387" s="143" t="s">
        <v>87</v>
      </c>
      <c r="D387" s="132">
        <v>90</v>
      </c>
      <c r="E387" s="132">
        <v>29</v>
      </c>
      <c r="F387" s="132">
        <f t="shared" si="6"/>
        <v>61</v>
      </c>
      <c r="G387" s="132">
        <v>29</v>
      </c>
      <c r="H387" s="132">
        <v>11</v>
      </c>
      <c r="I387" s="132">
        <v>87</v>
      </c>
      <c r="J387" s="132">
        <v>27</v>
      </c>
      <c r="K387" s="132">
        <v>29</v>
      </c>
      <c r="L387" s="132">
        <v>11</v>
      </c>
      <c r="M387" s="132">
        <v>3</v>
      </c>
      <c r="N387" s="132">
        <v>2</v>
      </c>
      <c r="O387" s="132">
        <v>0</v>
      </c>
      <c r="P387" s="144">
        <v>0</v>
      </c>
    </row>
    <row r="388" spans="3:16" ht="15.75" thickBot="1" x14ac:dyDescent="0.3">
      <c r="C388" s="145" t="s">
        <v>153</v>
      </c>
      <c r="D388" s="133">
        <v>33</v>
      </c>
      <c r="E388" s="133">
        <v>12</v>
      </c>
      <c r="F388" s="132">
        <f t="shared" si="6"/>
        <v>24</v>
      </c>
      <c r="G388" s="133">
        <v>9</v>
      </c>
      <c r="H388" s="133">
        <v>6</v>
      </c>
      <c r="I388" s="133">
        <v>33</v>
      </c>
      <c r="J388" s="133">
        <v>12</v>
      </c>
      <c r="K388" s="133">
        <v>9</v>
      </c>
      <c r="L388" s="133">
        <v>6</v>
      </c>
      <c r="M388" s="133">
        <v>0</v>
      </c>
      <c r="N388" s="133">
        <v>0</v>
      </c>
      <c r="O388" s="133">
        <v>0</v>
      </c>
      <c r="P388" s="146">
        <v>0</v>
      </c>
    </row>
    <row r="389" spans="3:16" ht="15.75" thickBot="1" x14ac:dyDescent="0.3">
      <c r="C389" s="143" t="s">
        <v>154</v>
      </c>
      <c r="D389" s="132">
        <v>17</v>
      </c>
      <c r="E389" s="132">
        <v>8</v>
      </c>
      <c r="F389" s="132">
        <f t="shared" si="6"/>
        <v>16</v>
      </c>
      <c r="G389" s="132">
        <v>1</v>
      </c>
      <c r="H389" s="132">
        <v>1</v>
      </c>
      <c r="I389" s="132">
        <v>14</v>
      </c>
      <c r="J389" s="132">
        <v>6</v>
      </c>
      <c r="K389" s="132">
        <v>1</v>
      </c>
      <c r="L389" s="132">
        <v>1</v>
      </c>
      <c r="M389" s="132">
        <v>3</v>
      </c>
      <c r="N389" s="132">
        <v>2</v>
      </c>
      <c r="O389" s="132">
        <v>0</v>
      </c>
      <c r="P389" s="144">
        <v>0</v>
      </c>
    </row>
    <row r="390" spans="3:16" ht="15.75" thickBot="1" x14ac:dyDescent="0.3">
      <c r="C390" s="156" t="s">
        <v>124</v>
      </c>
      <c r="D390" s="157"/>
      <c r="E390" s="157"/>
      <c r="F390" s="132">
        <f t="shared" si="6"/>
        <v>0</v>
      </c>
      <c r="G390" s="157"/>
      <c r="H390" s="157"/>
      <c r="I390" s="157"/>
      <c r="J390" s="157"/>
      <c r="K390" s="157"/>
      <c r="L390" s="157"/>
      <c r="M390" s="157"/>
      <c r="N390" s="157"/>
      <c r="O390" s="157"/>
      <c r="P390" s="158"/>
    </row>
    <row r="391" spans="3:16" ht="15.75" thickBot="1" x14ac:dyDescent="0.3">
      <c r="C391" s="153"/>
      <c r="D391" s="154"/>
      <c r="E391" s="154"/>
      <c r="F391" s="132">
        <f t="shared" si="6"/>
        <v>0</v>
      </c>
      <c r="G391" s="154"/>
      <c r="H391" s="154"/>
      <c r="I391" s="154"/>
      <c r="J391" s="154"/>
      <c r="K391" s="154"/>
      <c r="L391" s="154"/>
      <c r="M391" s="154"/>
      <c r="N391" s="154"/>
      <c r="O391" s="154"/>
      <c r="P391" s="155"/>
    </row>
    <row r="392" spans="3:16" ht="15.75" thickBot="1" x14ac:dyDescent="0.3">
      <c r="C392" s="145" t="s">
        <v>83</v>
      </c>
      <c r="D392" s="133">
        <v>1474</v>
      </c>
      <c r="E392" s="133">
        <v>749</v>
      </c>
      <c r="F392" s="132">
        <f t="shared" si="6"/>
        <v>1277</v>
      </c>
      <c r="G392" s="133">
        <v>197</v>
      </c>
      <c r="H392" s="133">
        <v>102</v>
      </c>
      <c r="I392" s="133">
        <v>1117</v>
      </c>
      <c r="J392" s="133">
        <v>556</v>
      </c>
      <c r="K392" s="133">
        <v>188</v>
      </c>
      <c r="L392" s="133">
        <v>95</v>
      </c>
      <c r="M392" s="133">
        <v>357</v>
      </c>
      <c r="N392" s="133">
        <v>193</v>
      </c>
      <c r="O392" s="133">
        <v>9</v>
      </c>
      <c r="P392" s="146">
        <v>7</v>
      </c>
    </row>
    <row r="393" spans="3:16" ht="15.75" thickBot="1" x14ac:dyDescent="0.3">
      <c r="C393" s="143" t="s">
        <v>151</v>
      </c>
      <c r="D393" s="132">
        <v>324</v>
      </c>
      <c r="E393" s="132">
        <v>188</v>
      </c>
      <c r="F393" s="132">
        <f t="shared" si="6"/>
        <v>301</v>
      </c>
      <c r="G393" s="132">
        <v>23</v>
      </c>
      <c r="H393" s="132">
        <v>13</v>
      </c>
      <c r="I393" s="132">
        <v>255</v>
      </c>
      <c r="J393" s="132">
        <v>147</v>
      </c>
      <c r="K393" s="132">
        <v>23</v>
      </c>
      <c r="L393" s="132">
        <v>13</v>
      </c>
      <c r="M393" s="132">
        <v>69</v>
      </c>
      <c r="N393" s="132">
        <v>41</v>
      </c>
      <c r="O393" s="132">
        <v>0</v>
      </c>
      <c r="P393" s="144">
        <v>0</v>
      </c>
    </row>
    <row r="394" spans="3:16" ht="15.75" thickBot="1" x14ac:dyDescent="0.3">
      <c r="C394" s="145" t="s">
        <v>152</v>
      </c>
      <c r="D394" s="133">
        <v>96</v>
      </c>
      <c r="E394" s="133">
        <v>54</v>
      </c>
      <c r="F394" s="132">
        <f t="shared" si="6"/>
        <v>87</v>
      </c>
      <c r="G394" s="133">
        <v>9</v>
      </c>
      <c r="H394" s="133">
        <v>4</v>
      </c>
      <c r="I394" s="133">
        <v>87</v>
      </c>
      <c r="J394" s="133">
        <v>48</v>
      </c>
      <c r="K394" s="133">
        <v>9</v>
      </c>
      <c r="L394" s="133">
        <v>4</v>
      </c>
      <c r="M394" s="133">
        <v>9</v>
      </c>
      <c r="N394" s="133">
        <v>6</v>
      </c>
      <c r="O394" s="133">
        <v>0</v>
      </c>
      <c r="P394" s="146">
        <v>0</v>
      </c>
    </row>
    <row r="395" spans="3:16" ht="15.75" thickBot="1" x14ac:dyDescent="0.3">
      <c r="C395" s="143" t="s">
        <v>85</v>
      </c>
      <c r="D395" s="132">
        <v>809</v>
      </c>
      <c r="E395" s="132">
        <v>411</v>
      </c>
      <c r="F395" s="132">
        <f t="shared" si="6"/>
        <v>712</v>
      </c>
      <c r="G395" s="132">
        <v>97</v>
      </c>
      <c r="H395" s="132">
        <v>57</v>
      </c>
      <c r="I395" s="132">
        <v>558</v>
      </c>
      <c r="J395" s="132">
        <v>278</v>
      </c>
      <c r="K395" s="132">
        <v>91</v>
      </c>
      <c r="L395" s="132">
        <v>52</v>
      </c>
      <c r="M395" s="132">
        <v>251</v>
      </c>
      <c r="N395" s="132">
        <v>133</v>
      </c>
      <c r="O395" s="132">
        <v>6</v>
      </c>
      <c r="P395" s="144">
        <v>5</v>
      </c>
    </row>
    <row r="396" spans="3:16" ht="15.75" thickBot="1" x14ac:dyDescent="0.3">
      <c r="C396" s="145" t="s">
        <v>86</v>
      </c>
      <c r="D396" s="133">
        <v>147</v>
      </c>
      <c r="E396" s="133">
        <v>56</v>
      </c>
      <c r="F396" s="132">
        <f t="shared" si="6"/>
        <v>115</v>
      </c>
      <c r="G396" s="133">
        <v>32</v>
      </c>
      <c r="H396" s="133">
        <v>10</v>
      </c>
      <c r="I396" s="133">
        <v>124</v>
      </c>
      <c r="J396" s="133">
        <v>45</v>
      </c>
      <c r="K396" s="133">
        <v>31</v>
      </c>
      <c r="L396" s="133">
        <v>10</v>
      </c>
      <c r="M396" s="133">
        <v>23</v>
      </c>
      <c r="N396" s="133">
        <v>11</v>
      </c>
      <c r="O396" s="133">
        <v>1</v>
      </c>
      <c r="P396" s="146">
        <v>0</v>
      </c>
    </row>
    <row r="397" spans="3:16" ht="15.75" thickBot="1" x14ac:dyDescent="0.3">
      <c r="C397" s="143" t="s">
        <v>87</v>
      </c>
      <c r="D397" s="132">
        <v>98</v>
      </c>
      <c r="E397" s="132">
        <v>40</v>
      </c>
      <c r="F397" s="132">
        <f t="shared" si="6"/>
        <v>62</v>
      </c>
      <c r="G397" s="132">
        <v>36</v>
      </c>
      <c r="H397" s="132">
        <v>18</v>
      </c>
      <c r="I397" s="132">
        <v>93</v>
      </c>
      <c r="J397" s="132">
        <v>38</v>
      </c>
      <c r="K397" s="132">
        <v>34</v>
      </c>
      <c r="L397" s="132">
        <v>16</v>
      </c>
      <c r="M397" s="132">
        <v>5</v>
      </c>
      <c r="N397" s="132">
        <v>2</v>
      </c>
      <c r="O397" s="132">
        <v>2</v>
      </c>
      <c r="P397" s="144">
        <v>2</v>
      </c>
    </row>
    <row r="398" spans="3:16" ht="15.75" thickBot="1" x14ac:dyDescent="0.3">
      <c r="C398" s="145" t="s">
        <v>153</v>
      </c>
      <c r="D398" s="133">
        <v>24</v>
      </c>
      <c r="E398" s="133">
        <v>13</v>
      </c>
      <c r="F398" s="132">
        <f t="shared" si="6"/>
        <v>17</v>
      </c>
      <c r="G398" s="133">
        <v>7</v>
      </c>
      <c r="H398" s="133">
        <v>5</v>
      </c>
      <c r="I398" s="133">
        <v>24</v>
      </c>
      <c r="J398" s="133">
        <v>13</v>
      </c>
      <c r="K398" s="133">
        <v>7</v>
      </c>
      <c r="L398" s="133">
        <v>5</v>
      </c>
      <c r="M398" s="133">
        <v>0</v>
      </c>
      <c r="N398" s="133">
        <v>0</v>
      </c>
      <c r="O398" s="133">
        <v>0</v>
      </c>
      <c r="P398" s="146">
        <v>0</v>
      </c>
    </row>
    <row r="399" spans="3:16" ht="15.75" thickBot="1" x14ac:dyDescent="0.3">
      <c r="C399" s="143" t="s">
        <v>154</v>
      </c>
      <c r="D399" s="132">
        <v>31</v>
      </c>
      <c r="E399" s="132">
        <v>11</v>
      </c>
      <c r="F399" s="132">
        <f t="shared" si="6"/>
        <v>25</v>
      </c>
      <c r="G399" s="132">
        <v>6</v>
      </c>
      <c r="H399" s="132">
        <v>4</v>
      </c>
      <c r="I399" s="132">
        <v>31</v>
      </c>
      <c r="J399" s="132">
        <v>11</v>
      </c>
      <c r="K399" s="132">
        <v>6</v>
      </c>
      <c r="L399" s="132">
        <v>4</v>
      </c>
      <c r="M399" s="132">
        <v>0</v>
      </c>
      <c r="N399" s="132">
        <v>0</v>
      </c>
      <c r="O399" s="132">
        <v>0</v>
      </c>
      <c r="P399" s="144">
        <v>0</v>
      </c>
    </row>
    <row r="400" spans="3:16" ht="15.75" thickBot="1" x14ac:dyDescent="0.3">
      <c r="C400" s="156" t="s">
        <v>125</v>
      </c>
      <c r="D400" s="157"/>
      <c r="E400" s="157"/>
      <c r="F400" s="132">
        <f t="shared" si="6"/>
        <v>0</v>
      </c>
      <c r="G400" s="157"/>
      <c r="H400" s="157"/>
      <c r="I400" s="157"/>
      <c r="J400" s="157"/>
      <c r="K400" s="157"/>
      <c r="L400" s="157"/>
      <c r="M400" s="157"/>
      <c r="N400" s="157"/>
      <c r="O400" s="157"/>
      <c r="P400" s="158"/>
    </row>
    <row r="401" spans="3:16" ht="15.75" thickBot="1" x14ac:dyDescent="0.3">
      <c r="C401" s="153"/>
      <c r="D401" s="154"/>
      <c r="E401" s="154"/>
      <c r="F401" s="132">
        <f t="shared" si="6"/>
        <v>0</v>
      </c>
      <c r="G401" s="154"/>
      <c r="H401" s="154"/>
      <c r="I401" s="154"/>
      <c r="J401" s="154"/>
      <c r="K401" s="154"/>
      <c r="L401" s="154"/>
      <c r="M401" s="154"/>
      <c r="N401" s="154"/>
      <c r="O401" s="154"/>
      <c r="P401" s="155"/>
    </row>
    <row r="402" spans="3:16" ht="15.75" thickBot="1" x14ac:dyDescent="0.3">
      <c r="C402" s="145" t="s">
        <v>83</v>
      </c>
      <c r="D402" s="133">
        <v>520</v>
      </c>
      <c r="E402" s="133">
        <v>244</v>
      </c>
      <c r="F402" s="132">
        <f t="shared" si="6"/>
        <v>474</v>
      </c>
      <c r="G402" s="133">
        <v>46</v>
      </c>
      <c r="H402" s="133">
        <v>21</v>
      </c>
      <c r="I402" s="133">
        <v>455</v>
      </c>
      <c r="J402" s="133">
        <v>219</v>
      </c>
      <c r="K402" s="133">
        <v>38</v>
      </c>
      <c r="L402" s="133">
        <v>20</v>
      </c>
      <c r="M402" s="133">
        <v>65</v>
      </c>
      <c r="N402" s="133">
        <v>25</v>
      </c>
      <c r="O402" s="133">
        <v>8</v>
      </c>
      <c r="P402" s="146">
        <v>1</v>
      </c>
    </row>
    <row r="403" spans="3:16" ht="15.75" thickBot="1" x14ac:dyDescent="0.3">
      <c r="C403" s="143" t="s">
        <v>151</v>
      </c>
      <c r="D403" s="132">
        <v>115</v>
      </c>
      <c r="E403" s="132">
        <v>62</v>
      </c>
      <c r="F403" s="132">
        <f t="shared" si="6"/>
        <v>113</v>
      </c>
      <c r="G403" s="132">
        <v>2</v>
      </c>
      <c r="H403" s="132">
        <v>0</v>
      </c>
      <c r="I403" s="132">
        <v>115</v>
      </c>
      <c r="J403" s="132">
        <v>62</v>
      </c>
      <c r="K403" s="132">
        <v>2</v>
      </c>
      <c r="L403" s="132">
        <v>0</v>
      </c>
      <c r="M403" s="132">
        <v>0</v>
      </c>
      <c r="N403" s="132">
        <v>0</v>
      </c>
      <c r="O403" s="132">
        <v>0</v>
      </c>
      <c r="P403" s="144">
        <v>0</v>
      </c>
    </row>
    <row r="404" spans="3:16" ht="15.75" thickBot="1" x14ac:dyDescent="0.3">
      <c r="C404" s="145" t="s">
        <v>152</v>
      </c>
      <c r="D404" s="133">
        <v>19</v>
      </c>
      <c r="E404" s="133">
        <v>12</v>
      </c>
      <c r="F404" s="132">
        <f t="shared" si="6"/>
        <v>19</v>
      </c>
      <c r="G404" s="133">
        <v>0</v>
      </c>
      <c r="H404" s="133">
        <v>0</v>
      </c>
      <c r="I404" s="133">
        <v>17</v>
      </c>
      <c r="J404" s="133">
        <v>10</v>
      </c>
      <c r="K404" s="133">
        <v>0</v>
      </c>
      <c r="L404" s="133">
        <v>0</v>
      </c>
      <c r="M404" s="133">
        <v>2</v>
      </c>
      <c r="N404" s="133">
        <v>2</v>
      </c>
      <c r="O404" s="133">
        <v>0</v>
      </c>
      <c r="P404" s="146">
        <v>0</v>
      </c>
    </row>
    <row r="405" spans="3:16" ht="15.75" thickBot="1" x14ac:dyDescent="0.3">
      <c r="C405" s="143" t="s">
        <v>85</v>
      </c>
      <c r="D405" s="132">
        <v>243</v>
      </c>
      <c r="E405" s="132">
        <v>116</v>
      </c>
      <c r="F405" s="132">
        <f t="shared" si="6"/>
        <v>222</v>
      </c>
      <c r="G405" s="132">
        <v>21</v>
      </c>
      <c r="H405" s="132">
        <v>9</v>
      </c>
      <c r="I405" s="132">
        <v>196</v>
      </c>
      <c r="J405" s="132">
        <v>97</v>
      </c>
      <c r="K405" s="132">
        <v>15</v>
      </c>
      <c r="L405" s="132">
        <v>8</v>
      </c>
      <c r="M405" s="132">
        <v>47</v>
      </c>
      <c r="N405" s="132">
        <v>19</v>
      </c>
      <c r="O405" s="132">
        <v>6</v>
      </c>
      <c r="P405" s="144">
        <v>1</v>
      </c>
    </row>
    <row r="406" spans="3:16" ht="15.75" thickBot="1" x14ac:dyDescent="0.3">
      <c r="C406" s="145" t="s">
        <v>86</v>
      </c>
      <c r="D406" s="133">
        <v>105</v>
      </c>
      <c r="E406" s="133">
        <v>37</v>
      </c>
      <c r="F406" s="132">
        <f t="shared" si="6"/>
        <v>90</v>
      </c>
      <c r="G406" s="133">
        <v>15</v>
      </c>
      <c r="H406" s="133">
        <v>7</v>
      </c>
      <c r="I406" s="133">
        <v>93</v>
      </c>
      <c r="J406" s="133">
        <v>35</v>
      </c>
      <c r="K406" s="133">
        <v>13</v>
      </c>
      <c r="L406" s="133">
        <v>7</v>
      </c>
      <c r="M406" s="133">
        <v>12</v>
      </c>
      <c r="N406" s="133">
        <v>2</v>
      </c>
      <c r="O406" s="133">
        <v>2</v>
      </c>
      <c r="P406" s="146">
        <v>0</v>
      </c>
    </row>
    <row r="407" spans="3:16" ht="15.75" thickBot="1" x14ac:dyDescent="0.3">
      <c r="C407" s="143" t="s">
        <v>87</v>
      </c>
      <c r="D407" s="132">
        <v>38</v>
      </c>
      <c r="E407" s="132">
        <v>17</v>
      </c>
      <c r="F407" s="132">
        <f t="shared" si="6"/>
        <v>30</v>
      </c>
      <c r="G407" s="132">
        <v>8</v>
      </c>
      <c r="H407" s="132">
        <v>5</v>
      </c>
      <c r="I407" s="132">
        <v>34</v>
      </c>
      <c r="J407" s="132">
        <v>15</v>
      </c>
      <c r="K407" s="132">
        <v>8</v>
      </c>
      <c r="L407" s="132">
        <v>5</v>
      </c>
      <c r="M407" s="132">
        <v>4</v>
      </c>
      <c r="N407" s="132">
        <v>2</v>
      </c>
      <c r="O407" s="132">
        <v>0</v>
      </c>
      <c r="P407" s="144">
        <v>0</v>
      </c>
    </row>
    <row r="408" spans="3:16" ht="15.75" thickBot="1" x14ac:dyDescent="0.3">
      <c r="C408" s="145" t="s">
        <v>153</v>
      </c>
      <c r="D408" s="133">
        <v>10</v>
      </c>
      <c r="E408" s="133">
        <v>4</v>
      </c>
      <c r="F408" s="132">
        <f t="shared" si="6"/>
        <v>8</v>
      </c>
      <c r="G408" s="133">
        <v>2</v>
      </c>
      <c r="H408" s="133">
        <v>0</v>
      </c>
      <c r="I408" s="133">
        <v>10</v>
      </c>
      <c r="J408" s="133">
        <v>4</v>
      </c>
      <c r="K408" s="133">
        <v>2</v>
      </c>
      <c r="L408" s="133">
        <v>0</v>
      </c>
      <c r="M408" s="133">
        <v>0</v>
      </c>
      <c r="N408" s="133">
        <v>0</v>
      </c>
      <c r="O408" s="133">
        <v>0</v>
      </c>
      <c r="P408" s="146">
        <v>0</v>
      </c>
    </row>
    <row r="409" spans="3:16" ht="15.75" thickBot="1" x14ac:dyDescent="0.3">
      <c r="C409" s="153" t="s">
        <v>126</v>
      </c>
      <c r="D409" s="154"/>
      <c r="E409" s="154"/>
      <c r="F409" s="132">
        <f t="shared" si="6"/>
        <v>0</v>
      </c>
      <c r="G409" s="154"/>
      <c r="H409" s="154"/>
      <c r="I409" s="154"/>
      <c r="J409" s="154"/>
      <c r="K409" s="154"/>
      <c r="L409" s="154"/>
      <c r="M409" s="154"/>
      <c r="N409" s="154"/>
      <c r="O409" s="154"/>
      <c r="P409" s="155"/>
    </row>
    <row r="410" spans="3:16" ht="15.75" thickBot="1" x14ac:dyDescent="0.3">
      <c r="C410" s="156"/>
      <c r="D410" s="157"/>
      <c r="E410" s="157"/>
      <c r="F410" s="132">
        <f t="shared" si="6"/>
        <v>0</v>
      </c>
      <c r="G410" s="157"/>
      <c r="H410" s="157"/>
      <c r="I410" s="157"/>
      <c r="J410" s="157"/>
      <c r="K410" s="157"/>
      <c r="L410" s="157"/>
      <c r="M410" s="157"/>
      <c r="N410" s="157"/>
      <c r="O410" s="157"/>
      <c r="P410" s="158"/>
    </row>
    <row r="411" spans="3:16" ht="15.75" thickBot="1" x14ac:dyDescent="0.3">
      <c r="C411" s="143" t="s">
        <v>83</v>
      </c>
      <c r="D411" s="132">
        <v>896</v>
      </c>
      <c r="E411" s="132">
        <v>422</v>
      </c>
      <c r="F411" s="132">
        <f t="shared" si="6"/>
        <v>821</v>
      </c>
      <c r="G411" s="132">
        <v>75</v>
      </c>
      <c r="H411" s="132">
        <v>32</v>
      </c>
      <c r="I411" s="132">
        <v>881</v>
      </c>
      <c r="J411" s="132">
        <v>416</v>
      </c>
      <c r="K411" s="132">
        <v>75</v>
      </c>
      <c r="L411" s="132">
        <v>32</v>
      </c>
      <c r="M411" s="132">
        <v>15</v>
      </c>
      <c r="N411" s="132">
        <v>6</v>
      </c>
      <c r="O411" s="132">
        <v>0</v>
      </c>
      <c r="P411" s="144">
        <v>0</v>
      </c>
    </row>
    <row r="412" spans="3:16" ht="15.75" thickBot="1" x14ac:dyDescent="0.3">
      <c r="C412" s="145" t="s">
        <v>152</v>
      </c>
      <c r="D412" s="133">
        <v>9</v>
      </c>
      <c r="E412" s="133">
        <v>4</v>
      </c>
      <c r="F412" s="132">
        <f t="shared" si="6"/>
        <v>9</v>
      </c>
      <c r="G412" s="133">
        <v>0</v>
      </c>
      <c r="H412" s="133">
        <v>0</v>
      </c>
      <c r="I412" s="133">
        <v>9</v>
      </c>
      <c r="J412" s="133">
        <v>4</v>
      </c>
      <c r="K412" s="133">
        <v>0</v>
      </c>
      <c r="L412" s="133">
        <v>0</v>
      </c>
      <c r="M412" s="133">
        <v>0</v>
      </c>
      <c r="N412" s="133">
        <v>0</v>
      </c>
      <c r="O412" s="133">
        <v>0</v>
      </c>
      <c r="P412" s="146">
        <v>0</v>
      </c>
    </row>
    <row r="413" spans="3:16" ht="15.75" thickBot="1" x14ac:dyDescent="0.3">
      <c r="C413" s="143" t="s">
        <v>85</v>
      </c>
      <c r="D413" s="132">
        <v>643</v>
      </c>
      <c r="E413" s="132">
        <v>308</v>
      </c>
      <c r="F413" s="132">
        <f t="shared" si="6"/>
        <v>605</v>
      </c>
      <c r="G413" s="132">
        <v>38</v>
      </c>
      <c r="H413" s="132">
        <v>15</v>
      </c>
      <c r="I413" s="132">
        <v>640</v>
      </c>
      <c r="J413" s="132">
        <v>307</v>
      </c>
      <c r="K413" s="132">
        <v>38</v>
      </c>
      <c r="L413" s="132">
        <v>15</v>
      </c>
      <c r="M413" s="132">
        <v>3</v>
      </c>
      <c r="N413" s="132">
        <v>1</v>
      </c>
      <c r="O413" s="132">
        <v>0</v>
      </c>
      <c r="P413" s="144">
        <v>0</v>
      </c>
    </row>
    <row r="414" spans="3:16" ht="15.75" thickBot="1" x14ac:dyDescent="0.3">
      <c r="C414" s="145" t="s">
        <v>86</v>
      </c>
      <c r="D414" s="133">
        <v>189</v>
      </c>
      <c r="E414" s="133">
        <v>85</v>
      </c>
      <c r="F414" s="132">
        <f t="shared" si="6"/>
        <v>161</v>
      </c>
      <c r="G414" s="133">
        <v>28</v>
      </c>
      <c r="H414" s="133">
        <v>11</v>
      </c>
      <c r="I414" s="133">
        <v>184</v>
      </c>
      <c r="J414" s="133">
        <v>82</v>
      </c>
      <c r="K414" s="133">
        <v>28</v>
      </c>
      <c r="L414" s="133">
        <v>11</v>
      </c>
      <c r="M414" s="133">
        <v>5</v>
      </c>
      <c r="N414" s="133">
        <v>3</v>
      </c>
      <c r="O414" s="133">
        <v>0</v>
      </c>
      <c r="P414" s="146">
        <v>0</v>
      </c>
    </row>
    <row r="415" spans="3:16" ht="15.75" thickBot="1" x14ac:dyDescent="0.3">
      <c r="C415" s="143" t="s">
        <v>87</v>
      </c>
      <c r="D415" s="132">
        <v>55</v>
      </c>
      <c r="E415" s="132">
        <v>25</v>
      </c>
      <c r="F415" s="132">
        <f t="shared" si="6"/>
        <v>46</v>
      </c>
      <c r="G415" s="132">
        <v>9</v>
      </c>
      <c r="H415" s="132">
        <v>6</v>
      </c>
      <c r="I415" s="132">
        <v>48</v>
      </c>
      <c r="J415" s="132">
        <v>23</v>
      </c>
      <c r="K415" s="132">
        <v>9</v>
      </c>
      <c r="L415" s="132">
        <v>6</v>
      </c>
      <c r="M415" s="132">
        <v>7</v>
      </c>
      <c r="N415" s="132">
        <v>2</v>
      </c>
      <c r="O415" s="132">
        <v>0</v>
      </c>
      <c r="P415" s="144">
        <v>0</v>
      </c>
    </row>
    <row r="416" spans="3:16" ht="15.75" thickBot="1" x14ac:dyDescent="0.3">
      <c r="C416" s="145" t="s">
        <v>153</v>
      </c>
      <c r="D416" s="133">
        <v>24</v>
      </c>
      <c r="E416" s="133">
        <v>9</v>
      </c>
      <c r="F416" s="132">
        <f t="shared" si="6"/>
        <v>23</v>
      </c>
      <c r="G416" s="133">
        <v>1</v>
      </c>
      <c r="H416" s="133">
        <v>0</v>
      </c>
      <c r="I416" s="133">
        <v>20</v>
      </c>
      <c r="J416" s="133">
        <v>9</v>
      </c>
      <c r="K416" s="133">
        <v>1</v>
      </c>
      <c r="L416" s="133">
        <v>0</v>
      </c>
      <c r="M416" s="133">
        <v>4</v>
      </c>
      <c r="N416" s="133">
        <v>0</v>
      </c>
      <c r="O416" s="133">
        <v>0</v>
      </c>
      <c r="P416" s="146">
        <v>0</v>
      </c>
    </row>
    <row r="417" spans="3:16" ht="15.75" thickBot="1" x14ac:dyDescent="0.3">
      <c r="C417" s="143" t="s">
        <v>154</v>
      </c>
      <c r="D417" s="132">
        <v>7</v>
      </c>
      <c r="E417" s="132">
        <v>3</v>
      </c>
      <c r="F417" s="132">
        <f t="shared" si="6"/>
        <v>6</v>
      </c>
      <c r="G417" s="132">
        <v>1</v>
      </c>
      <c r="H417" s="132">
        <v>1</v>
      </c>
      <c r="I417" s="132">
        <v>7</v>
      </c>
      <c r="J417" s="132">
        <v>3</v>
      </c>
      <c r="K417" s="132">
        <v>1</v>
      </c>
      <c r="L417" s="132">
        <v>1</v>
      </c>
      <c r="M417" s="132">
        <v>0</v>
      </c>
      <c r="N417" s="132">
        <v>0</v>
      </c>
      <c r="O417" s="132">
        <v>0</v>
      </c>
      <c r="P417" s="144">
        <v>0</v>
      </c>
    </row>
    <row r="418" spans="3:16" ht="15.75" thickBot="1" x14ac:dyDescent="0.3">
      <c r="C418" s="156" t="s">
        <v>127</v>
      </c>
      <c r="D418" s="157"/>
      <c r="E418" s="157"/>
      <c r="F418" s="132">
        <f t="shared" si="6"/>
        <v>0</v>
      </c>
      <c r="G418" s="157"/>
      <c r="H418" s="157"/>
      <c r="I418" s="157"/>
      <c r="J418" s="157"/>
      <c r="K418" s="157"/>
      <c r="L418" s="157"/>
      <c r="M418" s="157"/>
      <c r="N418" s="157"/>
      <c r="O418" s="157"/>
      <c r="P418" s="158"/>
    </row>
    <row r="419" spans="3:16" ht="15.75" thickBot="1" x14ac:dyDescent="0.3">
      <c r="C419" s="153"/>
      <c r="D419" s="154"/>
      <c r="E419" s="154"/>
      <c r="F419" s="132">
        <f t="shared" si="6"/>
        <v>0</v>
      </c>
      <c r="G419" s="154"/>
      <c r="H419" s="154"/>
      <c r="I419" s="154"/>
      <c r="J419" s="154"/>
      <c r="K419" s="154"/>
      <c r="L419" s="154"/>
      <c r="M419" s="154"/>
      <c r="N419" s="154"/>
      <c r="O419" s="154"/>
      <c r="P419" s="155"/>
    </row>
    <row r="420" spans="3:16" ht="15.75" thickBot="1" x14ac:dyDescent="0.3">
      <c r="C420" s="145" t="s">
        <v>83</v>
      </c>
      <c r="D420" s="133">
        <v>1571</v>
      </c>
      <c r="E420" s="133">
        <v>705</v>
      </c>
      <c r="F420" s="132">
        <f t="shared" ref="F420:F483" si="7">D420-G420</f>
        <v>1499</v>
      </c>
      <c r="G420" s="133">
        <v>72</v>
      </c>
      <c r="H420" s="133">
        <v>38</v>
      </c>
      <c r="I420" s="133">
        <v>1552</v>
      </c>
      <c r="J420" s="133">
        <v>703</v>
      </c>
      <c r="K420" s="133">
        <v>72</v>
      </c>
      <c r="L420" s="133">
        <v>38</v>
      </c>
      <c r="M420" s="133">
        <v>19</v>
      </c>
      <c r="N420" s="133">
        <v>2</v>
      </c>
      <c r="O420" s="133">
        <v>0</v>
      </c>
      <c r="P420" s="146">
        <v>0</v>
      </c>
    </row>
    <row r="421" spans="3:16" ht="15.75" thickBot="1" x14ac:dyDescent="0.3">
      <c r="C421" s="143" t="s">
        <v>151</v>
      </c>
      <c r="D421" s="132">
        <v>166</v>
      </c>
      <c r="E421" s="132">
        <v>94</v>
      </c>
      <c r="F421" s="132">
        <f t="shared" si="7"/>
        <v>162</v>
      </c>
      <c r="G421" s="132">
        <v>4</v>
      </c>
      <c r="H421" s="132">
        <v>1</v>
      </c>
      <c r="I421" s="132">
        <v>166</v>
      </c>
      <c r="J421" s="132">
        <v>94</v>
      </c>
      <c r="K421" s="132">
        <v>4</v>
      </c>
      <c r="L421" s="132">
        <v>1</v>
      </c>
      <c r="M421" s="132">
        <v>0</v>
      </c>
      <c r="N421" s="132">
        <v>0</v>
      </c>
      <c r="O421" s="132">
        <v>0</v>
      </c>
      <c r="P421" s="144">
        <v>0</v>
      </c>
    </row>
    <row r="422" spans="3:16" ht="15.75" thickBot="1" x14ac:dyDescent="0.3">
      <c r="C422" s="145" t="s">
        <v>152</v>
      </c>
      <c r="D422" s="133">
        <v>50</v>
      </c>
      <c r="E422" s="133">
        <v>31</v>
      </c>
      <c r="F422" s="132">
        <f t="shared" si="7"/>
        <v>49</v>
      </c>
      <c r="G422" s="133">
        <v>1</v>
      </c>
      <c r="H422" s="133">
        <v>1</v>
      </c>
      <c r="I422" s="133">
        <v>50</v>
      </c>
      <c r="J422" s="133">
        <v>31</v>
      </c>
      <c r="K422" s="133">
        <v>1</v>
      </c>
      <c r="L422" s="133">
        <v>1</v>
      </c>
      <c r="M422" s="133">
        <v>0</v>
      </c>
      <c r="N422" s="133">
        <v>0</v>
      </c>
      <c r="O422" s="133">
        <v>0</v>
      </c>
      <c r="P422" s="146">
        <v>0</v>
      </c>
    </row>
    <row r="423" spans="3:16" ht="15.75" thickBot="1" x14ac:dyDescent="0.3">
      <c r="C423" s="143" t="s">
        <v>85</v>
      </c>
      <c r="D423" s="132">
        <v>923</v>
      </c>
      <c r="E423" s="132">
        <v>410</v>
      </c>
      <c r="F423" s="132">
        <f t="shared" si="7"/>
        <v>893</v>
      </c>
      <c r="G423" s="132">
        <v>30</v>
      </c>
      <c r="H423" s="132">
        <v>18</v>
      </c>
      <c r="I423" s="132">
        <v>920</v>
      </c>
      <c r="J423" s="132">
        <v>410</v>
      </c>
      <c r="K423" s="132">
        <v>30</v>
      </c>
      <c r="L423" s="132">
        <v>18</v>
      </c>
      <c r="M423" s="132">
        <v>3</v>
      </c>
      <c r="N423" s="132">
        <v>0</v>
      </c>
      <c r="O423" s="132">
        <v>0</v>
      </c>
      <c r="P423" s="144">
        <v>0</v>
      </c>
    </row>
    <row r="424" spans="3:16" ht="15.75" thickBot="1" x14ac:dyDescent="0.3">
      <c r="C424" s="145" t="s">
        <v>86</v>
      </c>
      <c r="D424" s="133">
        <v>275</v>
      </c>
      <c r="E424" s="133">
        <v>116</v>
      </c>
      <c r="F424" s="132">
        <f t="shared" si="7"/>
        <v>254</v>
      </c>
      <c r="G424" s="133">
        <v>21</v>
      </c>
      <c r="H424" s="133">
        <v>10</v>
      </c>
      <c r="I424" s="133">
        <v>265</v>
      </c>
      <c r="J424" s="133">
        <v>115</v>
      </c>
      <c r="K424" s="133">
        <v>21</v>
      </c>
      <c r="L424" s="133">
        <v>10</v>
      </c>
      <c r="M424" s="133">
        <v>10</v>
      </c>
      <c r="N424" s="133">
        <v>1</v>
      </c>
      <c r="O424" s="133">
        <v>0</v>
      </c>
      <c r="P424" s="146">
        <v>0</v>
      </c>
    </row>
    <row r="425" spans="3:16" ht="15.75" thickBot="1" x14ac:dyDescent="0.3">
      <c r="C425" s="143" t="s">
        <v>87</v>
      </c>
      <c r="D425" s="132">
        <v>157</v>
      </c>
      <c r="E425" s="132">
        <v>54</v>
      </c>
      <c r="F425" s="132">
        <f t="shared" si="7"/>
        <v>141</v>
      </c>
      <c r="G425" s="132">
        <v>16</v>
      </c>
      <c r="H425" s="132">
        <v>8</v>
      </c>
      <c r="I425" s="132">
        <v>151</v>
      </c>
      <c r="J425" s="132">
        <v>53</v>
      </c>
      <c r="K425" s="132">
        <v>16</v>
      </c>
      <c r="L425" s="132">
        <v>8</v>
      </c>
      <c r="M425" s="132">
        <v>6</v>
      </c>
      <c r="N425" s="132">
        <v>1</v>
      </c>
      <c r="O425" s="132">
        <v>0</v>
      </c>
      <c r="P425" s="144">
        <v>0</v>
      </c>
    </row>
    <row r="426" spans="3:16" ht="15.75" thickBot="1" x14ac:dyDescent="0.3">
      <c r="C426" s="145" t="s">
        <v>153</v>
      </c>
      <c r="D426" s="133">
        <v>77</v>
      </c>
      <c r="E426" s="133">
        <v>29</v>
      </c>
      <c r="F426" s="132">
        <f t="shared" si="7"/>
        <v>75</v>
      </c>
      <c r="G426" s="133">
        <v>2</v>
      </c>
      <c r="H426" s="133">
        <v>2</v>
      </c>
      <c r="I426" s="133">
        <v>76</v>
      </c>
      <c r="J426" s="133">
        <v>29</v>
      </c>
      <c r="K426" s="133">
        <v>2</v>
      </c>
      <c r="L426" s="133">
        <v>2</v>
      </c>
      <c r="M426" s="133">
        <v>1</v>
      </c>
      <c r="N426" s="133">
        <v>0</v>
      </c>
      <c r="O426" s="133">
        <v>0</v>
      </c>
      <c r="P426" s="146">
        <v>0</v>
      </c>
    </row>
    <row r="427" spans="3:16" ht="15.75" thickBot="1" x14ac:dyDescent="0.3">
      <c r="C427" s="143" t="s">
        <v>154</v>
      </c>
      <c r="D427" s="132">
        <v>19</v>
      </c>
      <c r="E427" s="132">
        <v>4</v>
      </c>
      <c r="F427" s="132">
        <f t="shared" si="7"/>
        <v>18</v>
      </c>
      <c r="G427" s="132">
        <v>1</v>
      </c>
      <c r="H427" s="132">
        <v>0</v>
      </c>
      <c r="I427" s="132">
        <v>19</v>
      </c>
      <c r="J427" s="132">
        <v>4</v>
      </c>
      <c r="K427" s="132">
        <v>1</v>
      </c>
      <c r="L427" s="132">
        <v>0</v>
      </c>
      <c r="M427" s="132">
        <v>0</v>
      </c>
      <c r="N427" s="132">
        <v>0</v>
      </c>
      <c r="O427" s="132">
        <v>0</v>
      </c>
      <c r="P427" s="144">
        <v>0</v>
      </c>
    </row>
    <row r="428" spans="3:16" ht="15.75" thickBot="1" x14ac:dyDescent="0.3">
      <c r="C428" s="156" t="s">
        <v>128</v>
      </c>
      <c r="D428" s="157"/>
      <c r="E428" s="157"/>
      <c r="F428" s="132">
        <f t="shared" si="7"/>
        <v>0</v>
      </c>
      <c r="G428" s="157"/>
      <c r="H428" s="157"/>
      <c r="I428" s="157"/>
      <c r="J428" s="157"/>
      <c r="K428" s="157"/>
      <c r="L428" s="157"/>
      <c r="M428" s="157"/>
      <c r="N428" s="157"/>
      <c r="O428" s="157"/>
      <c r="P428" s="158"/>
    </row>
    <row r="429" spans="3:16" ht="15.75" thickBot="1" x14ac:dyDescent="0.3">
      <c r="C429" s="153"/>
      <c r="D429" s="154"/>
      <c r="E429" s="154"/>
      <c r="F429" s="132">
        <f t="shared" si="7"/>
        <v>0</v>
      </c>
      <c r="G429" s="154"/>
      <c r="H429" s="154"/>
      <c r="I429" s="154"/>
      <c r="J429" s="154"/>
      <c r="K429" s="154"/>
      <c r="L429" s="154"/>
      <c r="M429" s="154"/>
      <c r="N429" s="154"/>
      <c r="O429" s="154"/>
      <c r="P429" s="155"/>
    </row>
    <row r="430" spans="3:16" ht="15.75" thickBot="1" x14ac:dyDescent="0.3">
      <c r="C430" s="145" t="s">
        <v>83</v>
      </c>
      <c r="D430" s="133">
        <v>1597</v>
      </c>
      <c r="E430" s="133">
        <v>738</v>
      </c>
      <c r="F430" s="132">
        <f t="shared" si="7"/>
        <v>1456</v>
      </c>
      <c r="G430" s="133">
        <v>141</v>
      </c>
      <c r="H430" s="133">
        <v>73</v>
      </c>
      <c r="I430" s="133">
        <v>1448</v>
      </c>
      <c r="J430" s="133">
        <v>670</v>
      </c>
      <c r="K430" s="133">
        <v>133</v>
      </c>
      <c r="L430" s="133">
        <v>67</v>
      </c>
      <c r="M430" s="133">
        <v>149</v>
      </c>
      <c r="N430" s="133">
        <v>68</v>
      </c>
      <c r="O430" s="133">
        <v>8</v>
      </c>
      <c r="P430" s="146">
        <v>6</v>
      </c>
    </row>
    <row r="431" spans="3:16" ht="15.75" thickBot="1" x14ac:dyDescent="0.3">
      <c r="C431" s="143" t="s">
        <v>151</v>
      </c>
      <c r="D431" s="132">
        <v>1</v>
      </c>
      <c r="E431" s="132">
        <v>1</v>
      </c>
      <c r="F431" s="132">
        <f t="shared" si="7"/>
        <v>1</v>
      </c>
      <c r="G431" s="132">
        <v>0</v>
      </c>
      <c r="H431" s="132">
        <v>0</v>
      </c>
      <c r="I431" s="132">
        <v>1</v>
      </c>
      <c r="J431" s="132">
        <v>1</v>
      </c>
      <c r="K431" s="132">
        <v>0</v>
      </c>
      <c r="L431" s="132">
        <v>0</v>
      </c>
      <c r="M431" s="132">
        <v>0</v>
      </c>
      <c r="N431" s="132">
        <v>0</v>
      </c>
      <c r="O431" s="132">
        <v>0</v>
      </c>
      <c r="P431" s="144">
        <v>0</v>
      </c>
    </row>
    <row r="432" spans="3:16" ht="15.75" thickBot="1" x14ac:dyDescent="0.3">
      <c r="C432" s="145" t="s">
        <v>152</v>
      </c>
      <c r="D432" s="133">
        <v>8</v>
      </c>
      <c r="E432" s="133">
        <v>5</v>
      </c>
      <c r="F432" s="132">
        <f t="shared" si="7"/>
        <v>8</v>
      </c>
      <c r="G432" s="133">
        <v>0</v>
      </c>
      <c r="H432" s="133">
        <v>0</v>
      </c>
      <c r="I432" s="133">
        <v>7</v>
      </c>
      <c r="J432" s="133">
        <v>4</v>
      </c>
      <c r="K432" s="133">
        <v>0</v>
      </c>
      <c r="L432" s="133">
        <v>0</v>
      </c>
      <c r="M432" s="133">
        <v>1</v>
      </c>
      <c r="N432" s="133">
        <v>1</v>
      </c>
      <c r="O432" s="133">
        <v>0</v>
      </c>
      <c r="P432" s="146">
        <v>0</v>
      </c>
    </row>
    <row r="433" spans="3:16" ht="15.75" thickBot="1" x14ac:dyDescent="0.3">
      <c r="C433" s="143" t="s">
        <v>85</v>
      </c>
      <c r="D433" s="132">
        <v>1111</v>
      </c>
      <c r="E433" s="132">
        <v>550</v>
      </c>
      <c r="F433" s="132">
        <f t="shared" si="7"/>
        <v>1047</v>
      </c>
      <c r="G433" s="132">
        <v>64</v>
      </c>
      <c r="H433" s="132">
        <v>37</v>
      </c>
      <c r="I433" s="132">
        <v>985</v>
      </c>
      <c r="J433" s="132">
        <v>493</v>
      </c>
      <c r="K433" s="132">
        <v>58</v>
      </c>
      <c r="L433" s="132">
        <v>33</v>
      </c>
      <c r="M433" s="132">
        <v>126</v>
      </c>
      <c r="N433" s="132">
        <v>57</v>
      </c>
      <c r="O433" s="132">
        <v>6</v>
      </c>
      <c r="P433" s="144">
        <v>4</v>
      </c>
    </row>
    <row r="434" spans="3:16" ht="15.75" thickBot="1" x14ac:dyDescent="0.3">
      <c r="C434" s="145" t="s">
        <v>86</v>
      </c>
      <c r="D434" s="133">
        <v>337</v>
      </c>
      <c r="E434" s="133">
        <v>129</v>
      </c>
      <c r="F434" s="132">
        <f t="shared" si="7"/>
        <v>300</v>
      </c>
      <c r="G434" s="133">
        <v>37</v>
      </c>
      <c r="H434" s="133">
        <v>19</v>
      </c>
      <c r="I434" s="133">
        <v>332</v>
      </c>
      <c r="J434" s="133">
        <v>125</v>
      </c>
      <c r="K434" s="133">
        <v>35</v>
      </c>
      <c r="L434" s="133">
        <v>17</v>
      </c>
      <c r="M434" s="133">
        <v>5</v>
      </c>
      <c r="N434" s="133">
        <v>4</v>
      </c>
      <c r="O434" s="133">
        <v>2</v>
      </c>
      <c r="P434" s="146">
        <v>2</v>
      </c>
    </row>
    <row r="435" spans="3:16" ht="15.75" thickBot="1" x14ac:dyDescent="0.3">
      <c r="C435" s="143" t="s">
        <v>87</v>
      </c>
      <c r="D435" s="132">
        <v>140</v>
      </c>
      <c r="E435" s="132">
        <v>53</v>
      </c>
      <c r="F435" s="132">
        <f t="shared" si="7"/>
        <v>100</v>
      </c>
      <c r="G435" s="132">
        <v>40</v>
      </c>
      <c r="H435" s="132">
        <v>17</v>
      </c>
      <c r="I435" s="132">
        <v>123</v>
      </c>
      <c r="J435" s="132">
        <v>47</v>
      </c>
      <c r="K435" s="132">
        <v>40</v>
      </c>
      <c r="L435" s="132">
        <v>17</v>
      </c>
      <c r="M435" s="132">
        <v>17</v>
      </c>
      <c r="N435" s="132">
        <v>6</v>
      </c>
      <c r="O435" s="132">
        <v>0</v>
      </c>
      <c r="P435" s="144">
        <v>0</v>
      </c>
    </row>
    <row r="436" spans="3:16" ht="15.75" thickBot="1" x14ac:dyDescent="0.3">
      <c r="C436" s="145" t="s">
        <v>153</v>
      </c>
      <c r="D436" s="133">
        <v>38</v>
      </c>
      <c r="E436" s="133">
        <v>13</v>
      </c>
      <c r="F436" s="132">
        <f t="shared" si="7"/>
        <v>33</v>
      </c>
      <c r="G436" s="133">
        <v>5</v>
      </c>
      <c r="H436" s="133">
        <v>2</v>
      </c>
      <c r="I436" s="133">
        <v>37</v>
      </c>
      <c r="J436" s="133">
        <v>13</v>
      </c>
      <c r="K436" s="133">
        <v>5</v>
      </c>
      <c r="L436" s="133">
        <v>2</v>
      </c>
      <c r="M436" s="133">
        <v>1</v>
      </c>
      <c r="N436" s="133">
        <v>0</v>
      </c>
      <c r="O436" s="133">
        <v>0</v>
      </c>
      <c r="P436" s="146">
        <v>0</v>
      </c>
    </row>
    <row r="437" spans="3:16" ht="15.75" thickBot="1" x14ac:dyDescent="0.3">
      <c r="C437" s="143" t="s">
        <v>154</v>
      </c>
      <c r="D437" s="132">
        <v>32</v>
      </c>
      <c r="E437" s="132">
        <v>13</v>
      </c>
      <c r="F437" s="132">
        <f t="shared" si="7"/>
        <v>30</v>
      </c>
      <c r="G437" s="132">
        <v>2</v>
      </c>
      <c r="H437" s="132">
        <v>0</v>
      </c>
      <c r="I437" s="132">
        <v>16</v>
      </c>
      <c r="J437" s="132">
        <v>7</v>
      </c>
      <c r="K437" s="132">
        <v>2</v>
      </c>
      <c r="L437" s="132">
        <v>0</v>
      </c>
      <c r="M437" s="132">
        <v>16</v>
      </c>
      <c r="N437" s="132">
        <v>6</v>
      </c>
      <c r="O437" s="132">
        <v>0</v>
      </c>
      <c r="P437" s="144">
        <v>0</v>
      </c>
    </row>
    <row r="438" spans="3:16" ht="15.75" thickBot="1" x14ac:dyDescent="0.3">
      <c r="C438" s="156" t="s">
        <v>129</v>
      </c>
      <c r="D438" s="157"/>
      <c r="E438" s="157"/>
      <c r="F438" s="132">
        <f t="shared" si="7"/>
        <v>0</v>
      </c>
      <c r="G438" s="157"/>
      <c r="H438" s="157"/>
      <c r="I438" s="157"/>
      <c r="J438" s="157"/>
      <c r="K438" s="157"/>
      <c r="L438" s="157"/>
      <c r="M438" s="157"/>
      <c r="N438" s="157"/>
      <c r="O438" s="157"/>
      <c r="P438" s="158"/>
    </row>
    <row r="439" spans="3:16" ht="15.75" thickBot="1" x14ac:dyDescent="0.3">
      <c r="C439" s="153"/>
      <c r="D439" s="154"/>
      <c r="E439" s="154"/>
      <c r="F439" s="132">
        <f t="shared" si="7"/>
        <v>0</v>
      </c>
      <c r="G439" s="154"/>
      <c r="H439" s="154"/>
      <c r="I439" s="154"/>
      <c r="J439" s="154"/>
      <c r="K439" s="154"/>
      <c r="L439" s="154"/>
      <c r="M439" s="154"/>
      <c r="N439" s="154"/>
      <c r="O439" s="154"/>
      <c r="P439" s="155"/>
    </row>
    <row r="440" spans="3:16" ht="15.75" thickBot="1" x14ac:dyDescent="0.3">
      <c r="C440" s="145" t="s">
        <v>83</v>
      </c>
      <c r="D440" s="133">
        <v>2727</v>
      </c>
      <c r="E440" s="133">
        <v>1253</v>
      </c>
      <c r="F440" s="132">
        <f t="shared" si="7"/>
        <v>2475</v>
      </c>
      <c r="G440" s="133">
        <v>252</v>
      </c>
      <c r="H440" s="133">
        <v>123</v>
      </c>
      <c r="I440" s="133">
        <v>2169</v>
      </c>
      <c r="J440" s="133">
        <v>995</v>
      </c>
      <c r="K440" s="133">
        <v>237</v>
      </c>
      <c r="L440" s="133">
        <v>116</v>
      </c>
      <c r="M440" s="133">
        <v>558</v>
      </c>
      <c r="N440" s="133">
        <v>258</v>
      </c>
      <c r="O440" s="133">
        <v>15</v>
      </c>
      <c r="P440" s="146">
        <v>7</v>
      </c>
    </row>
    <row r="441" spans="3:16" ht="15.75" thickBot="1" x14ac:dyDescent="0.3">
      <c r="C441" s="143" t="s">
        <v>152</v>
      </c>
      <c r="D441" s="132">
        <v>20</v>
      </c>
      <c r="E441" s="132">
        <v>12</v>
      </c>
      <c r="F441" s="132">
        <f t="shared" si="7"/>
        <v>20</v>
      </c>
      <c r="G441" s="132">
        <v>0</v>
      </c>
      <c r="H441" s="132">
        <v>0</v>
      </c>
      <c r="I441" s="132">
        <v>13</v>
      </c>
      <c r="J441" s="132">
        <v>8</v>
      </c>
      <c r="K441" s="132">
        <v>0</v>
      </c>
      <c r="L441" s="132">
        <v>0</v>
      </c>
      <c r="M441" s="132">
        <v>7</v>
      </c>
      <c r="N441" s="132">
        <v>4</v>
      </c>
      <c r="O441" s="132">
        <v>0</v>
      </c>
      <c r="P441" s="144">
        <v>0</v>
      </c>
    </row>
    <row r="442" spans="3:16" ht="15.75" thickBot="1" x14ac:dyDescent="0.3">
      <c r="C442" s="145" t="s">
        <v>85</v>
      </c>
      <c r="D442" s="133">
        <v>1949</v>
      </c>
      <c r="E442" s="133">
        <v>972</v>
      </c>
      <c r="F442" s="132">
        <f t="shared" si="7"/>
        <v>1843</v>
      </c>
      <c r="G442" s="133">
        <v>106</v>
      </c>
      <c r="H442" s="133">
        <v>62</v>
      </c>
      <c r="I442" s="133">
        <v>1535</v>
      </c>
      <c r="J442" s="133">
        <v>762</v>
      </c>
      <c r="K442" s="133">
        <v>102</v>
      </c>
      <c r="L442" s="133">
        <v>59</v>
      </c>
      <c r="M442" s="133">
        <v>414</v>
      </c>
      <c r="N442" s="133">
        <v>210</v>
      </c>
      <c r="O442" s="133">
        <v>4</v>
      </c>
      <c r="P442" s="146">
        <v>3</v>
      </c>
    </row>
    <row r="443" spans="3:16" ht="15.75" thickBot="1" x14ac:dyDescent="0.3">
      <c r="C443" s="143" t="s">
        <v>86</v>
      </c>
      <c r="D443" s="132">
        <v>522</v>
      </c>
      <c r="E443" s="132">
        <v>184</v>
      </c>
      <c r="F443" s="132">
        <f t="shared" si="7"/>
        <v>448</v>
      </c>
      <c r="G443" s="132">
        <v>74</v>
      </c>
      <c r="H443" s="132">
        <v>35</v>
      </c>
      <c r="I443" s="132">
        <v>415</v>
      </c>
      <c r="J443" s="132">
        <v>148</v>
      </c>
      <c r="K443" s="132">
        <v>65</v>
      </c>
      <c r="L443" s="132">
        <v>32</v>
      </c>
      <c r="M443" s="132">
        <v>107</v>
      </c>
      <c r="N443" s="132">
        <v>36</v>
      </c>
      <c r="O443" s="132">
        <v>9</v>
      </c>
      <c r="P443" s="144">
        <v>3</v>
      </c>
    </row>
    <row r="444" spans="3:16" ht="15.75" thickBot="1" x14ac:dyDescent="0.3">
      <c r="C444" s="145" t="s">
        <v>87</v>
      </c>
      <c r="D444" s="133">
        <v>236</v>
      </c>
      <c r="E444" s="133">
        <v>85</v>
      </c>
      <c r="F444" s="132">
        <f t="shared" si="7"/>
        <v>164</v>
      </c>
      <c r="G444" s="133">
        <v>72</v>
      </c>
      <c r="H444" s="133">
        <v>26</v>
      </c>
      <c r="I444" s="133">
        <v>206</v>
      </c>
      <c r="J444" s="133">
        <v>77</v>
      </c>
      <c r="K444" s="133">
        <v>70</v>
      </c>
      <c r="L444" s="133">
        <v>25</v>
      </c>
      <c r="M444" s="133">
        <v>30</v>
      </c>
      <c r="N444" s="133">
        <v>8</v>
      </c>
      <c r="O444" s="133">
        <v>2</v>
      </c>
      <c r="P444" s="146">
        <v>1</v>
      </c>
    </row>
    <row r="445" spans="3:16" ht="15.75" thickBot="1" x14ac:dyDescent="0.3">
      <c r="C445" s="143" t="s">
        <v>153</v>
      </c>
      <c r="D445" s="132">
        <v>109</v>
      </c>
      <c r="E445" s="132">
        <v>44</v>
      </c>
      <c r="F445" s="132">
        <f t="shared" si="7"/>
        <v>98</v>
      </c>
      <c r="G445" s="132">
        <v>11</v>
      </c>
      <c r="H445" s="132">
        <v>3</v>
      </c>
      <c r="I445" s="132">
        <v>102</v>
      </c>
      <c r="J445" s="132">
        <v>42</v>
      </c>
      <c r="K445" s="132">
        <v>11</v>
      </c>
      <c r="L445" s="132">
        <v>3</v>
      </c>
      <c r="M445" s="132">
        <v>7</v>
      </c>
      <c r="N445" s="132">
        <v>2</v>
      </c>
      <c r="O445" s="132">
        <v>0</v>
      </c>
      <c r="P445" s="144">
        <v>0</v>
      </c>
    </row>
    <row r="446" spans="3:16" ht="15.75" thickBot="1" x14ac:dyDescent="0.3">
      <c r="C446" s="156" t="s">
        <v>130</v>
      </c>
      <c r="D446" s="157"/>
      <c r="E446" s="157"/>
      <c r="F446" s="132">
        <f t="shared" si="7"/>
        <v>0</v>
      </c>
      <c r="G446" s="157"/>
      <c r="H446" s="157"/>
      <c r="I446" s="157"/>
      <c r="J446" s="157"/>
      <c r="K446" s="157"/>
      <c r="L446" s="157"/>
      <c r="M446" s="157"/>
      <c r="N446" s="157"/>
      <c r="O446" s="157"/>
      <c r="P446" s="158"/>
    </row>
    <row r="447" spans="3:16" ht="15.75" thickBot="1" x14ac:dyDescent="0.3">
      <c r="C447" s="153"/>
      <c r="D447" s="154"/>
      <c r="E447" s="154"/>
      <c r="F447" s="132">
        <f t="shared" si="7"/>
        <v>0</v>
      </c>
      <c r="G447" s="154"/>
      <c r="H447" s="154"/>
      <c r="I447" s="154"/>
      <c r="J447" s="154"/>
      <c r="K447" s="154"/>
      <c r="L447" s="154"/>
      <c r="M447" s="154"/>
      <c r="N447" s="154"/>
      <c r="O447" s="154"/>
      <c r="P447" s="155"/>
    </row>
    <row r="448" spans="3:16" ht="15.75" thickBot="1" x14ac:dyDescent="0.3">
      <c r="C448" s="145" t="s">
        <v>83</v>
      </c>
      <c r="D448" s="133">
        <v>698</v>
      </c>
      <c r="E448" s="133">
        <v>339</v>
      </c>
      <c r="F448" s="132">
        <f t="shared" si="7"/>
        <v>664</v>
      </c>
      <c r="G448" s="133">
        <v>34</v>
      </c>
      <c r="H448" s="133">
        <v>10</v>
      </c>
      <c r="I448" s="133">
        <v>694</v>
      </c>
      <c r="J448" s="133">
        <v>339</v>
      </c>
      <c r="K448" s="133">
        <v>34</v>
      </c>
      <c r="L448" s="133">
        <v>10</v>
      </c>
      <c r="M448" s="133">
        <v>4</v>
      </c>
      <c r="N448" s="133">
        <v>0</v>
      </c>
      <c r="O448" s="133">
        <v>0</v>
      </c>
      <c r="P448" s="146">
        <v>0</v>
      </c>
    </row>
    <row r="449" spans="3:16" ht="15.75" thickBot="1" x14ac:dyDescent="0.3">
      <c r="C449" s="143" t="s">
        <v>151</v>
      </c>
      <c r="D449" s="132">
        <v>74</v>
      </c>
      <c r="E449" s="132">
        <v>52</v>
      </c>
      <c r="F449" s="132">
        <f t="shared" si="7"/>
        <v>74</v>
      </c>
      <c r="G449" s="132">
        <v>0</v>
      </c>
      <c r="H449" s="132">
        <v>0</v>
      </c>
      <c r="I449" s="132">
        <v>74</v>
      </c>
      <c r="J449" s="132">
        <v>52</v>
      </c>
      <c r="K449" s="132">
        <v>0</v>
      </c>
      <c r="L449" s="132">
        <v>0</v>
      </c>
      <c r="M449" s="132">
        <v>0</v>
      </c>
      <c r="N449" s="132">
        <v>0</v>
      </c>
      <c r="O449" s="132">
        <v>0</v>
      </c>
      <c r="P449" s="144">
        <v>0</v>
      </c>
    </row>
    <row r="450" spans="3:16" ht="15.75" thickBot="1" x14ac:dyDescent="0.3">
      <c r="C450" s="145" t="s">
        <v>152</v>
      </c>
      <c r="D450" s="133">
        <v>11</v>
      </c>
      <c r="E450" s="133">
        <v>6</v>
      </c>
      <c r="F450" s="132">
        <f t="shared" si="7"/>
        <v>10</v>
      </c>
      <c r="G450" s="133">
        <v>1</v>
      </c>
      <c r="H450" s="133">
        <v>0</v>
      </c>
      <c r="I450" s="133">
        <v>11</v>
      </c>
      <c r="J450" s="133">
        <v>6</v>
      </c>
      <c r="K450" s="133">
        <v>1</v>
      </c>
      <c r="L450" s="133">
        <v>0</v>
      </c>
      <c r="M450" s="133">
        <v>0</v>
      </c>
      <c r="N450" s="133">
        <v>0</v>
      </c>
      <c r="O450" s="133">
        <v>0</v>
      </c>
      <c r="P450" s="146">
        <v>0</v>
      </c>
    </row>
    <row r="451" spans="3:16" ht="15.75" thickBot="1" x14ac:dyDescent="0.3">
      <c r="C451" s="143" t="s">
        <v>85</v>
      </c>
      <c r="D451" s="132">
        <v>431</v>
      </c>
      <c r="E451" s="132">
        <v>214</v>
      </c>
      <c r="F451" s="132">
        <f t="shared" si="7"/>
        <v>417</v>
      </c>
      <c r="G451" s="132">
        <v>14</v>
      </c>
      <c r="H451" s="132">
        <v>6</v>
      </c>
      <c r="I451" s="132">
        <v>431</v>
      </c>
      <c r="J451" s="132">
        <v>214</v>
      </c>
      <c r="K451" s="132">
        <v>14</v>
      </c>
      <c r="L451" s="132">
        <v>6</v>
      </c>
      <c r="M451" s="132">
        <v>0</v>
      </c>
      <c r="N451" s="132">
        <v>0</v>
      </c>
      <c r="O451" s="132">
        <v>0</v>
      </c>
      <c r="P451" s="144">
        <v>0</v>
      </c>
    </row>
    <row r="452" spans="3:16" ht="15.75" thickBot="1" x14ac:dyDescent="0.3">
      <c r="C452" s="145" t="s">
        <v>86</v>
      </c>
      <c r="D452" s="133">
        <v>144</v>
      </c>
      <c r="E452" s="133">
        <v>55</v>
      </c>
      <c r="F452" s="132">
        <f t="shared" si="7"/>
        <v>135</v>
      </c>
      <c r="G452" s="133">
        <v>9</v>
      </c>
      <c r="H452" s="133">
        <v>3</v>
      </c>
      <c r="I452" s="133">
        <v>140</v>
      </c>
      <c r="J452" s="133">
        <v>55</v>
      </c>
      <c r="K452" s="133">
        <v>9</v>
      </c>
      <c r="L452" s="133">
        <v>3</v>
      </c>
      <c r="M452" s="133">
        <v>4</v>
      </c>
      <c r="N452" s="133">
        <v>0</v>
      </c>
      <c r="O452" s="133">
        <v>0</v>
      </c>
      <c r="P452" s="146">
        <v>0</v>
      </c>
    </row>
    <row r="453" spans="3:16" ht="15.75" thickBot="1" x14ac:dyDescent="0.3">
      <c r="C453" s="143" t="s">
        <v>87</v>
      </c>
      <c r="D453" s="132">
        <v>38</v>
      </c>
      <c r="E453" s="132">
        <v>12</v>
      </c>
      <c r="F453" s="132">
        <f t="shared" si="7"/>
        <v>28</v>
      </c>
      <c r="G453" s="132">
        <v>10</v>
      </c>
      <c r="H453" s="132">
        <v>1</v>
      </c>
      <c r="I453" s="132">
        <v>38</v>
      </c>
      <c r="J453" s="132">
        <v>12</v>
      </c>
      <c r="K453" s="132">
        <v>10</v>
      </c>
      <c r="L453" s="132">
        <v>1</v>
      </c>
      <c r="M453" s="132">
        <v>0</v>
      </c>
      <c r="N453" s="132">
        <v>0</v>
      </c>
      <c r="O453" s="132">
        <v>0</v>
      </c>
      <c r="P453" s="144">
        <v>0</v>
      </c>
    </row>
    <row r="454" spans="3:16" ht="15.75" thickBot="1" x14ac:dyDescent="0.3">
      <c r="C454" s="145" t="s">
        <v>153</v>
      </c>
      <c r="D454" s="133">
        <v>15</v>
      </c>
      <c r="E454" s="133">
        <v>6</v>
      </c>
      <c r="F454" s="132">
        <f t="shared" si="7"/>
        <v>13</v>
      </c>
      <c r="G454" s="133">
        <v>2</v>
      </c>
      <c r="H454" s="133">
        <v>0</v>
      </c>
      <c r="I454" s="133">
        <v>15</v>
      </c>
      <c r="J454" s="133">
        <v>6</v>
      </c>
      <c r="K454" s="133">
        <v>2</v>
      </c>
      <c r="L454" s="133">
        <v>0</v>
      </c>
      <c r="M454" s="133">
        <v>0</v>
      </c>
      <c r="N454" s="133">
        <v>0</v>
      </c>
      <c r="O454" s="133">
        <v>0</v>
      </c>
      <c r="P454" s="146">
        <v>0</v>
      </c>
    </row>
    <row r="455" spans="3:16" ht="15.75" thickBot="1" x14ac:dyDescent="0.3">
      <c r="C455" s="143" t="s">
        <v>154</v>
      </c>
      <c r="D455" s="132">
        <v>6</v>
      </c>
      <c r="E455" s="132">
        <v>1</v>
      </c>
      <c r="F455" s="132">
        <f t="shared" si="7"/>
        <v>4</v>
      </c>
      <c r="G455" s="132">
        <v>2</v>
      </c>
      <c r="H455" s="132">
        <v>1</v>
      </c>
      <c r="I455" s="132">
        <v>6</v>
      </c>
      <c r="J455" s="132">
        <v>1</v>
      </c>
      <c r="K455" s="132">
        <v>2</v>
      </c>
      <c r="L455" s="132">
        <v>1</v>
      </c>
      <c r="M455" s="132">
        <v>0</v>
      </c>
      <c r="N455" s="132">
        <v>0</v>
      </c>
      <c r="O455" s="132">
        <v>0</v>
      </c>
      <c r="P455" s="144">
        <v>0</v>
      </c>
    </row>
    <row r="456" spans="3:16" ht="15.75" thickBot="1" x14ac:dyDescent="0.3">
      <c r="C456" s="156" t="s">
        <v>131</v>
      </c>
      <c r="D456" s="157"/>
      <c r="E456" s="157"/>
      <c r="F456" s="132">
        <f t="shared" si="7"/>
        <v>0</v>
      </c>
      <c r="G456" s="157"/>
      <c r="H456" s="157"/>
      <c r="I456" s="157"/>
      <c r="J456" s="157"/>
      <c r="K456" s="157"/>
      <c r="L456" s="157"/>
      <c r="M456" s="157"/>
      <c r="N456" s="157"/>
      <c r="O456" s="157"/>
      <c r="P456" s="158"/>
    </row>
    <row r="457" spans="3:16" ht="15.75" thickBot="1" x14ac:dyDescent="0.3">
      <c r="C457" s="153"/>
      <c r="D457" s="154"/>
      <c r="E457" s="154"/>
      <c r="F457" s="132">
        <f t="shared" si="7"/>
        <v>0</v>
      </c>
      <c r="G457" s="154"/>
      <c r="H457" s="154"/>
      <c r="I457" s="154"/>
      <c r="J457" s="154"/>
      <c r="K457" s="154"/>
      <c r="L457" s="154"/>
      <c r="M457" s="154"/>
      <c r="N457" s="154"/>
      <c r="O457" s="154"/>
      <c r="P457" s="155"/>
    </row>
    <row r="458" spans="3:16" ht="15.75" thickBot="1" x14ac:dyDescent="0.3">
      <c r="C458" s="145" t="s">
        <v>83</v>
      </c>
      <c r="D458" s="133">
        <v>1129</v>
      </c>
      <c r="E458" s="133">
        <v>503</v>
      </c>
      <c r="F458" s="132">
        <f t="shared" si="7"/>
        <v>1002</v>
      </c>
      <c r="G458" s="133">
        <v>127</v>
      </c>
      <c r="H458" s="133">
        <v>60</v>
      </c>
      <c r="I458" s="133">
        <v>1089</v>
      </c>
      <c r="J458" s="133">
        <v>486</v>
      </c>
      <c r="K458" s="133">
        <v>124</v>
      </c>
      <c r="L458" s="133">
        <v>57</v>
      </c>
      <c r="M458" s="133">
        <v>40</v>
      </c>
      <c r="N458" s="133">
        <v>17</v>
      </c>
      <c r="O458" s="133">
        <v>3</v>
      </c>
      <c r="P458" s="146">
        <v>3</v>
      </c>
    </row>
    <row r="459" spans="3:16" ht="15.75" thickBot="1" x14ac:dyDescent="0.3">
      <c r="C459" s="143" t="s">
        <v>151</v>
      </c>
      <c r="D459" s="132">
        <v>2</v>
      </c>
      <c r="E459" s="132">
        <v>1</v>
      </c>
      <c r="F459" s="132">
        <f t="shared" si="7"/>
        <v>2</v>
      </c>
      <c r="G459" s="132">
        <v>0</v>
      </c>
      <c r="H459" s="132">
        <v>0</v>
      </c>
      <c r="I459" s="132">
        <v>2</v>
      </c>
      <c r="J459" s="132">
        <v>1</v>
      </c>
      <c r="K459" s="132">
        <v>0</v>
      </c>
      <c r="L459" s="132">
        <v>0</v>
      </c>
      <c r="M459" s="132">
        <v>0</v>
      </c>
      <c r="N459" s="132">
        <v>0</v>
      </c>
      <c r="O459" s="132">
        <v>0</v>
      </c>
      <c r="P459" s="144">
        <v>0</v>
      </c>
    </row>
    <row r="460" spans="3:16" ht="15.75" thickBot="1" x14ac:dyDescent="0.3">
      <c r="C460" s="145" t="s">
        <v>152</v>
      </c>
      <c r="D460" s="133">
        <v>14</v>
      </c>
      <c r="E460" s="133">
        <v>8</v>
      </c>
      <c r="F460" s="132">
        <f t="shared" si="7"/>
        <v>13</v>
      </c>
      <c r="G460" s="133">
        <v>1</v>
      </c>
      <c r="H460" s="133">
        <v>1</v>
      </c>
      <c r="I460" s="133">
        <v>7</v>
      </c>
      <c r="J460" s="133">
        <v>6</v>
      </c>
      <c r="K460" s="133">
        <v>0</v>
      </c>
      <c r="L460" s="133">
        <v>0</v>
      </c>
      <c r="M460" s="133">
        <v>7</v>
      </c>
      <c r="N460" s="133">
        <v>2</v>
      </c>
      <c r="O460" s="133">
        <v>1</v>
      </c>
      <c r="P460" s="146">
        <v>1</v>
      </c>
    </row>
    <row r="461" spans="3:16" ht="15.75" thickBot="1" x14ac:dyDescent="0.3">
      <c r="C461" s="143" t="s">
        <v>85</v>
      </c>
      <c r="D461" s="132">
        <v>792</v>
      </c>
      <c r="E461" s="132">
        <v>374</v>
      </c>
      <c r="F461" s="132">
        <f t="shared" si="7"/>
        <v>728</v>
      </c>
      <c r="G461" s="132">
        <v>64</v>
      </c>
      <c r="H461" s="132">
        <v>28</v>
      </c>
      <c r="I461" s="132">
        <v>772</v>
      </c>
      <c r="J461" s="132">
        <v>363</v>
      </c>
      <c r="K461" s="132">
        <v>64</v>
      </c>
      <c r="L461" s="132">
        <v>28</v>
      </c>
      <c r="M461" s="132">
        <v>20</v>
      </c>
      <c r="N461" s="132">
        <v>11</v>
      </c>
      <c r="O461" s="132">
        <v>0</v>
      </c>
      <c r="P461" s="144">
        <v>0</v>
      </c>
    </row>
    <row r="462" spans="3:16" ht="15.75" thickBot="1" x14ac:dyDescent="0.3">
      <c r="C462" s="145" t="s">
        <v>86</v>
      </c>
      <c r="D462" s="133">
        <v>208</v>
      </c>
      <c r="E462" s="133">
        <v>71</v>
      </c>
      <c r="F462" s="132">
        <f t="shared" si="7"/>
        <v>172</v>
      </c>
      <c r="G462" s="133">
        <v>36</v>
      </c>
      <c r="H462" s="133">
        <v>18</v>
      </c>
      <c r="I462" s="133">
        <v>201</v>
      </c>
      <c r="J462" s="133">
        <v>70</v>
      </c>
      <c r="K462" s="133">
        <v>36</v>
      </c>
      <c r="L462" s="133">
        <v>18</v>
      </c>
      <c r="M462" s="133">
        <v>7</v>
      </c>
      <c r="N462" s="133">
        <v>1</v>
      </c>
      <c r="O462" s="133">
        <v>0</v>
      </c>
      <c r="P462" s="146">
        <v>0</v>
      </c>
    </row>
    <row r="463" spans="3:16" ht="15.75" thickBot="1" x14ac:dyDescent="0.3">
      <c r="C463" s="143" t="s">
        <v>87</v>
      </c>
      <c r="D463" s="132">
        <v>113</v>
      </c>
      <c r="E463" s="132">
        <v>49</v>
      </c>
      <c r="F463" s="132">
        <f t="shared" si="7"/>
        <v>87</v>
      </c>
      <c r="G463" s="132">
        <v>26</v>
      </c>
      <c r="H463" s="132">
        <v>13</v>
      </c>
      <c r="I463" s="132">
        <v>107</v>
      </c>
      <c r="J463" s="132">
        <v>46</v>
      </c>
      <c r="K463" s="132">
        <v>24</v>
      </c>
      <c r="L463" s="132">
        <v>11</v>
      </c>
      <c r="M463" s="132">
        <v>6</v>
      </c>
      <c r="N463" s="132">
        <v>3</v>
      </c>
      <c r="O463" s="132">
        <v>2</v>
      </c>
      <c r="P463" s="144">
        <v>2</v>
      </c>
    </row>
    <row r="464" spans="3:16" ht="15.75" thickBot="1" x14ac:dyDescent="0.3">
      <c r="C464" s="145" t="s">
        <v>153</v>
      </c>
      <c r="D464" s="133">
        <v>60</v>
      </c>
      <c r="E464" s="133">
        <v>27</v>
      </c>
      <c r="F464" s="132">
        <f t="shared" si="7"/>
        <v>54</v>
      </c>
      <c r="G464" s="133">
        <v>6</v>
      </c>
      <c r="H464" s="133">
        <v>3</v>
      </c>
      <c r="I464" s="133">
        <v>58</v>
      </c>
      <c r="J464" s="133">
        <v>27</v>
      </c>
      <c r="K464" s="133">
        <v>6</v>
      </c>
      <c r="L464" s="133">
        <v>3</v>
      </c>
      <c r="M464" s="133">
        <v>2</v>
      </c>
      <c r="N464" s="133">
        <v>0</v>
      </c>
      <c r="O464" s="133">
        <v>0</v>
      </c>
      <c r="P464" s="146">
        <v>0</v>
      </c>
    </row>
    <row r="465" spans="3:16" ht="15.75" thickBot="1" x14ac:dyDescent="0.3">
      <c r="C465" s="143" t="s">
        <v>154</v>
      </c>
      <c r="D465" s="132">
        <v>20</v>
      </c>
      <c r="E465" s="132">
        <v>6</v>
      </c>
      <c r="F465" s="132">
        <f t="shared" si="7"/>
        <v>17</v>
      </c>
      <c r="G465" s="132">
        <v>3</v>
      </c>
      <c r="H465" s="132">
        <v>2</v>
      </c>
      <c r="I465" s="132">
        <v>20</v>
      </c>
      <c r="J465" s="132">
        <v>6</v>
      </c>
      <c r="K465" s="132">
        <v>3</v>
      </c>
      <c r="L465" s="132">
        <v>2</v>
      </c>
      <c r="M465" s="132">
        <v>0</v>
      </c>
      <c r="N465" s="132">
        <v>0</v>
      </c>
      <c r="O465" s="132">
        <v>0</v>
      </c>
      <c r="P465" s="144">
        <v>0</v>
      </c>
    </row>
    <row r="466" spans="3:16" ht="15.75" thickBot="1" x14ac:dyDescent="0.3">
      <c r="C466" s="156" t="s">
        <v>132</v>
      </c>
      <c r="D466" s="157"/>
      <c r="E466" s="157"/>
      <c r="F466" s="132">
        <f t="shared" si="7"/>
        <v>0</v>
      </c>
      <c r="G466" s="157"/>
      <c r="H466" s="157"/>
      <c r="I466" s="157"/>
      <c r="J466" s="157"/>
      <c r="K466" s="157"/>
      <c r="L466" s="157"/>
      <c r="M466" s="157"/>
      <c r="N466" s="157"/>
      <c r="O466" s="157"/>
      <c r="P466" s="158"/>
    </row>
    <row r="467" spans="3:16" ht="15.75" thickBot="1" x14ac:dyDescent="0.3">
      <c r="C467" s="153"/>
      <c r="D467" s="154"/>
      <c r="E467" s="154"/>
      <c r="F467" s="132">
        <f t="shared" si="7"/>
        <v>0</v>
      </c>
      <c r="G467" s="154"/>
      <c r="H467" s="154"/>
      <c r="I467" s="154"/>
      <c r="J467" s="154"/>
      <c r="K467" s="154"/>
      <c r="L467" s="154"/>
      <c r="M467" s="154"/>
      <c r="N467" s="154"/>
      <c r="O467" s="154"/>
      <c r="P467" s="155"/>
    </row>
    <row r="468" spans="3:16" ht="15.75" thickBot="1" x14ac:dyDescent="0.3">
      <c r="C468" s="145" t="s">
        <v>83</v>
      </c>
      <c r="D468" s="133">
        <v>1330</v>
      </c>
      <c r="E468" s="133">
        <v>676</v>
      </c>
      <c r="F468" s="132">
        <f t="shared" si="7"/>
        <v>1225</v>
      </c>
      <c r="G468" s="133">
        <v>105</v>
      </c>
      <c r="H468" s="133">
        <v>60</v>
      </c>
      <c r="I468" s="133">
        <v>1174</v>
      </c>
      <c r="J468" s="133">
        <v>596</v>
      </c>
      <c r="K468" s="133">
        <v>105</v>
      </c>
      <c r="L468" s="133">
        <v>60</v>
      </c>
      <c r="M468" s="133">
        <v>156</v>
      </c>
      <c r="N468" s="133">
        <v>80</v>
      </c>
      <c r="O468" s="133">
        <v>0</v>
      </c>
      <c r="P468" s="146">
        <v>0</v>
      </c>
    </row>
    <row r="469" spans="3:16" ht="15.75" thickBot="1" x14ac:dyDescent="0.3">
      <c r="C469" s="143" t="s">
        <v>151</v>
      </c>
      <c r="D469" s="132">
        <v>93</v>
      </c>
      <c r="E469" s="132">
        <v>58</v>
      </c>
      <c r="F469" s="132">
        <f t="shared" si="7"/>
        <v>92</v>
      </c>
      <c r="G469" s="132">
        <v>1</v>
      </c>
      <c r="H469" s="132">
        <v>1</v>
      </c>
      <c r="I469" s="132">
        <v>40</v>
      </c>
      <c r="J469" s="132">
        <v>25</v>
      </c>
      <c r="K469" s="132">
        <v>1</v>
      </c>
      <c r="L469" s="132">
        <v>1</v>
      </c>
      <c r="M469" s="132">
        <v>53</v>
      </c>
      <c r="N469" s="132">
        <v>33</v>
      </c>
      <c r="O469" s="132">
        <v>0</v>
      </c>
      <c r="P469" s="144">
        <v>0</v>
      </c>
    </row>
    <row r="470" spans="3:16" ht="15.75" thickBot="1" x14ac:dyDescent="0.3">
      <c r="C470" s="145" t="s">
        <v>152</v>
      </c>
      <c r="D470" s="133">
        <v>27</v>
      </c>
      <c r="E470" s="133">
        <v>12</v>
      </c>
      <c r="F470" s="132">
        <f t="shared" si="7"/>
        <v>27</v>
      </c>
      <c r="G470" s="133">
        <v>0</v>
      </c>
      <c r="H470" s="133">
        <v>0</v>
      </c>
      <c r="I470" s="133">
        <v>20</v>
      </c>
      <c r="J470" s="133">
        <v>7</v>
      </c>
      <c r="K470" s="133">
        <v>0</v>
      </c>
      <c r="L470" s="133">
        <v>0</v>
      </c>
      <c r="M470" s="133">
        <v>7</v>
      </c>
      <c r="N470" s="133">
        <v>5</v>
      </c>
      <c r="O470" s="133">
        <v>0</v>
      </c>
      <c r="P470" s="146">
        <v>0</v>
      </c>
    </row>
    <row r="471" spans="3:16" ht="15.75" thickBot="1" x14ac:dyDescent="0.3">
      <c r="C471" s="143" t="s">
        <v>85</v>
      </c>
      <c r="D471" s="132">
        <v>854</v>
      </c>
      <c r="E471" s="132">
        <v>455</v>
      </c>
      <c r="F471" s="132">
        <f t="shared" si="7"/>
        <v>810</v>
      </c>
      <c r="G471" s="132">
        <v>44</v>
      </c>
      <c r="H471" s="132">
        <v>31</v>
      </c>
      <c r="I471" s="132">
        <v>777</v>
      </c>
      <c r="J471" s="132">
        <v>418</v>
      </c>
      <c r="K471" s="132">
        <v>44</v>
      </c>
      <c r="L471" s="132">
        <v>31</v>
      </c>
      <c r="M471" s="132">
        <v>77</v>
      </c>
      <c r="N471" s="132">
        <v>37</v>
      </c>
      <c r="O471" s="132">
        <v>0</v>
      </c>
      <c r="P471" s="144">
        <v>0</v>
      </c>
    </row>
    <row r="472" spans="3:16" ht="15.75" thickBot="1" x14ac:dyDescent="0.3">
      <c r="C472" s="145" t="s">
        <v>86</v>
      </c>
      <c r="D472" s="133">
        <v>235</v>
      </c>
      <c r="E472" s="133">
        <v>97</v>
      </c>
      <c r="F472" s="132">
        <f t="shared" si="7"/>
        <v>206</v>
      </c>
      <c r="G472" s="133">
        <v>29</v>
      </c>
      <c r="H472" s="133">
        <v>14</v>
      </c>
      <c r="I472" s="133">
        <v>220</v>
      </c>
      <c r="J472" s="133">
        <v>93</v>
      </c>
      <c r="K472" s="133">
        <v>29</v>
      </c>
      <c r="L472" s="133">
        <v>14</v>
      </c>
      <c r="M472" s="133">
        <v>15</v>
      </c>
      <c r="N472" s="133">
        <v>4</v>
      </c>
      <c r="O472" s="133">
        <v>0</v>
      </c>
      <c r="P472" s="146">
        <v>0</v>
      </c>
    </row>
    <row r="473" spans="3:16" ht="15.75" thickBot="1" x14ac:dyDescent="0.3">
      <c r="C473" s="143" t="s">
        <v>87</v>
      </c>
      <c r="D473" s="132">
        <v>121</v>
      </c>
      <c r="E473" s="132">
        <v>54</v>
      </c>
      <c r="F473" s="132">
        <f t="shared" si="7"/>
        <v>90</v>
      </c>
      <c r="G473" s="132">
        <v>31</v>
      </c>
      <c r="H473" s="132">
        <v>14</v>
      </c>
      <c r="I473" s="132">
        <v>117</v>
      </c>
      <c r="J473" s="132">
        <v>53</v>
      </c>
      <c r="K473" s="132">
        <v>31</v>
      </c>
      <c r="L473" s="132">
        <v>14</v>
      </c>
      <c r="M473" s="132">
        <v>4</v>
      </c>
      <c r="N473" s="132">
        <v>1</v>
      </c>
      <c r="O473" s="132">
        <v>0</v>
      </c>
      <c r="P473" s="144">
        <v>0</v>
      </c>
    </row>
    <row r="474" spans="3:16" ht="15.75" thickBot="1" x14ac:dyDescent="0.3">
      <c r="C474" s="145" t="s">
        <v>153</v>
      </c>
      <c r="D474" s="133">
        <v>42</v>
      </c>
      <c r="E474" s="133">
        <v>21</v>
      </c>
      <c r="F474" s="132">
        <f t="shared" si="7"/>
        <v>39</v>
      </c>
      <c r="G474" s="133">
        <v>3</v>
      </c>
      <c r="H474" s="133">
        <v>1</v>
      </c>
      <c r="I474" s="133">
        <v>40</v>
      </c>
      <c r="J474" s="133">
        <v>21</v>
      </c>
      <c r="K474" s="133">
        <v>3</v>
      </c>
      <c r="L474" s="133">
        <v>1</v>
      </c>
      <c r="M474" s="133">
        <v>2</v>
      </c>
      <c r="N474" s="133">
        <v>0</v>
      </c>
      <c r="O474" s="133">
        <v>0</v>
      </c>
      <c r="P474" s="146">
        <v>0</v>
      </c>
    </row>
    <row r="475" spans="3:16" ht="15.75" thickBot="1" x14ac:dyDescent="0.3">
      <c r="C475" s="143" t="s">
        <v>154</v>
      </c>
      <c r="D475" s="132">
        <v>28</v>
      </c>
      <c r="E475" s="132">
        <v>13</v>
      </c>
      <c r="F475" s="132">
        <f t="shared" si="7"/>
        <v>24</v>
      </c>
      <c r="G475" s="132">
        <v>4</v>
      </c>
      <c r="H475" s="132">
        <v>2</v>
      </c>
      <c r="I475" s="132">
        <v>27</v>
      </c>
      <c r="J475" s="132">
        <v>12</v>
      </c>
      <c r="K475" s="132">
        <v>4</v>
      </c>
      <c r="L475" s="132">
        <v>2</v>
      </c>
      <c r="M475" s="132">
        <v>1</v>
      </c>
      <c r="N475" s="132">
        <v>1</v>
      </c>
      <c r="O475" s="132">
        <v>0</v>
      </c>
      <c r="P475" s="144">
        <v>0</v>
      </c>
    </row>
    <row r="476" spans="3:16" ht="15.75" thickBot="1" x14ac:dyDescent="0.3">
      <c r="C476" s="156" t="s">
        <v>133</v>
      </c>
      <c r="D476" s="157"/>
      <c r="E476" s="157"/>
      <c r="F476" s="132">
        <f t="shared" si="7"/>
        <v>0</v>
      </c>
      <c r="G476" s="157"/>
      <c r="H476" s="157"/>
      <c r="I476" s="157"/>
      <c r="J476" s="157"/>
      <c r="K476" s="157"/>
      <c r="L476" s="157"/>
      <c r="M476" s="157"/>
      <c r="N476" s="157"/>
      <c r="O476" s="157"/>
      <c r="P476" s="158"/>
    </row>
    <row r="477" spans="3:16" ht="15.75" thickBot="1" x14ac:dyDescent="0.3">
      <c r="C477" s="153"/>
      <c r="D477" s="154"/>
      <c r="E477" s="154"/>
      <c r="F477" s="132">
        <f t="shared" si="7"/>
        <v>0</v>
      </c>
      <c r="G477" s="154"/>
      <c r="H477" s="154"/>
      <c r="I477" s="154"/>
      <c r="J477" s="154"/>
      <c r="K477" s="154"/>
      <c r="L477" s="154"/>
      <c r="M477" s="154"/>
      <c r="N477" s="154"/>
      <c r="O477" s="154"/>
      <c r="P477" s="155"/>
    </row>
    <row r="478" spans="3:16" ht="15.75" thickBot="1" x14ac:dyDescent="0.3">
      <c r="C478" s="145" t="s">
        <v>83</v>
      </c>
      <c r="D478" s="133">
        <v>973</v>
      </c>
      <c r="E478" s="133">
        <v>455</v>
      </c>
      <c r="F478" s="132">
        <f t="shared" si="7"/>
        <v>887</v>
      </c>
      <c r="G478" s="133">
        <v>86</v>
      </c>
      <c r="H478" s="133">
        <v>43</v>
      </c>
      <c r="I478" s="133">
        <v>925</v>
      </c>
      <c r="J478" s="133">
        <v>443</v>
      </c>
      <c r="K478" s="133">
        <v>84</v>
      </c>
      <c r="L478" s="133">
        <v>43</v>
      </c>
      <c r="M478" s="133">
        <v>48</v>
      </c>
      <c r="N478" s="133">
        <v>12</v>
      </c>
      <c r="O478" s="133">
        <v>2</v>
      </c>
      <c r="P478" s="146">
        <v>0</v>
      </c>
    </row>
    <row r="479" spans="3:16" ht="15.75" thickBot="1" x14ac:dyDescent="0.3">
      <c r="C479" s="143" t="s">
        <v>151</v>
      </c>
      <c r="D479" s="132">
        <v>8</v>
      </c>
      <c r="E479" s="132">
        <v>2</v>
      </c>
      <c r="F479" s="132">
        <f t="shared" si="7"/>
        <v>8</v>
      </c>
      <c r="G479" s="132">
        <v>0</v>
      </c>
      <c r="H479" s="132">
        <v>0</v>
      </c>
      <c r="I479" s="132">
        <v>0</v>
      </c>
      <c r="J479" s="132">
        <v>0</v>
      </c>
      <c r="K479" s="132">
        <v>0</v>
      </c>
      <c r="L479" s="132">
        <v>0</v>
      </c>
      <c r="M479" s="132">
        <v>8</v>
      </c>
      <c r="N479" s="132">
        <v>2</v>
      </c>
      <c r="O479" s="132">
        <v>0</v>
      </c>
      <c r="P479" s="144">
        <v>0</v>
      </c>
    </row>
    <row r="480" spans="3:16" ht="15.75" thickBot="1" x14ac:dyDescent="0.3">
      <c r="C480" s="145" t="s">
        <v>152</v>
      </c>
      <c r="D480" s="133">
        <v>7</v>
      </c>
      <c r="E480" s="133">
        <v>6</v>
      </c>
      <c r="F480" s="132">
        <f t="shared" si="7"/>
        <v>7</v>
      </c>
      <c r="G480" s="133">
        <v>0</v>
      </c>
      <c r="H480" s="133">
        <v>0</v>
      </c>
      <c r="I480" s="133">
        <v>7</v>
      </c>
      <c r="J480" s="133">
        <v>6</v>
      </c>
      <c r="K480" s="133">
        <v>0</v>
      </c>
      <c r="L480" s="133">
        <v>0</v>
      </c>
      <c r="M480" s="133">
        <v>0</v>
      </c>
      <c r="N480" s="133">
        <v>0</v>
      </c>
      <c r="O480" s="133">
        <v>0</v>
      </c>
      <c r="P480" s="146">
        <v>0</v>
      </c>
    </row>
    <row r="481" spans="3:16" ht="15.75" thickBot="1" x14ac:dyDescent="0.3">
      <c r="C481" s="143" t="s">
        <v>85</v>
      </c>
      <c r="D481" s="132">
        <v>700</v>
      </c>
      <c r="E481" s="132">
        <v>355</v>
      </c>
      <c r="F481" s="132">
        <f t="shared" si="7"/>
        <v>663</v>
      </c>
      <c r="G481" s="132">
        <v>37</v>
      </c>
      <c r="H481" s="132">
        <v>24</v>
      </c>
      <c r="I481" s="132">
        <v>676</v>
      </c>
      <c r="J481" s="132">
        <v>346</v>
      </c>
      <c r="K481" s="132">
        <v>37</v>
      </c>
      <c r="L481" s="132">
        <v>24</v>
      </c>
      <c r="M481" s="132">
        <v>24</v>
      </c>
      <c r="N481" s="132">
        <v>9</v>
      </c>
      <c r="O481" s="132">
        <v>0</v>
      </c>
      <c r="P481" s="144">
        <v>0</v>
      </c>
    </row>
    <row r="482" spans="3:16" ht="15.75" thickBot="1" x14ac:dyDescent="0.3">
      <c r="C482" s="145" t="s">
        <v>86</v>
      </c>
      <c r="D482" s="133">
        <v>191</v>
      </c>
      <c r="E482" s="133">
        <v>70</v>
      </c>
      <c r="F482" s="132">
        <f t="shared" si="7"/>
        <v>160</v>
      </c>
      <c r="G482" s="133">
        <v>31</v>
      </c>
      <c r="H482" s="133">
        <v>11</v>
      </c>
      <c r="I482" s="133">
        <v>183</v>
      </c>
      <c r="J482" s="133">
        <v>69</v>
      </c>
      <c r="K482" s="133">
        <v>30</v>
      </c>
      <c r="L482" s="133">
        <v>11</v>
      </c>
      <c r="M482" s="133">
        <v>8</v>
      </c>
      <c r="N482" s="133">
        <v>1</v>
      </c>
      <c r="O482" s="133">
        <v>1</v>
      </c>
      <c r="P482" s="146">
        <v>0</v>
      </c>
    </row>
    <row r="483" spans="3:16" ht="15.75" thickBot="1" x14ac:dyDescent="0.3">
      <c r="C483" s="143" t="s">
        <v>87</v>
      </c>
      <c r="D483" s="132">
        <v>67</v>
      </c>
      <c r="E483" s="132">
        <v>22</v>
      </c>
      <c r="F483" s="132">
        <f t="shared" si="7"/>
        <v>49</v>
      </c>
      <c r="G483" s="132">
        <v>18</v>
      </c>
      <c r="H483" s="132">
        <v>8</v>
      </c>
      <c r="I483" s="132">
        <v>59</v>
      </c>
      <c r="J483" s="132">
        <v>22</v>
      </c>
      <c r="K483" s="132">
        <v>17</v>
      </c>
      <c r="L483" s="132">
        <v>8</v>
      </c>
      <c r="M483" s="132">
        <v>8</v>
      </c>
      <c r="N483" s="132">
        <v>0</v>
      </c>
      <c r="O483" s="132">
        <v>1</v>
      </c>
      <c r="P483" s="144">
        <v>0</v>
      </c>
    </row>
    <row r="484" spans="3:16" ht="15.75" thickBot="1" x14ac:dyDescent="0.3">
      <c r="C484" s="145" t="s">
        <v>153</v>
      </c>
      <c r="D484" s="133">
        <v>24</v>
      </c>
      <c r="E484" s="133">
        <v>6</v>
      </c>
      <c r="F484" s="132">
        <f t="shared" ref="F484:F525" si="8">D484-G484</f>
        <v>20</v>
      </c>
      <c r="G484" s="133">
        <v>4</v>
      </c>
      <c r="H484" s="133">
        <v>2</v>
      </c>
      <c r="I484" s="133">
        <v>20</v>
      </c>
      <c r="J484" s="133">
        <v>6</v>
      </c>
      <c r="K484" s="133">
        <v>3</v>
      </c>
      <c r="L484" s="133">
        <v>2</v>
      </c>
      <c r="M484" s="133">
        <v>4</v>
      </c>
      <c r="N484" s="133">
        <v>0</v>
      </c>
      <c r="O484" s="133">
        <v>1</v>
      </c>
      <c r="P484" s="146">
        <v>0</v>
      </c>
    </row>
    <row r="485" spans="3:16" ht="15.75" thickBot="1" x14ac:dyDescent="0.3">
      <c r="C485" s="143" t="s">
        <v>154</v>
      </c>
      <c r="D485" s="132">
        <v>7</v>
      </c>
      <c r="E485" s="132">
        <v>4</v>
      </c>
      <c r="F485" s="132">
        <f t="shared" si="8"/>
        <v>5</v>
      </c>
      <c r="G485" s="132">
        <v>2</v>
      </c>
      <c r="H485" s="132">
        <v>0</v>
      </c>
      <c r="I485" s="132">
        <v>7</v>
      </c>
      <c r="J485" s="132">
        <v>4</v>
      </c>
      <c r="K485" s="132">
        <v>2</v>
      </c>
      <c r="L485" s="132">
        <v>0</v>
      </c>
      <c r="M485" s="132">
        <v>0</v>
      </c>
      <c r="N485" s="132">
        <v>0</v>
      </c>
      <c r="O485" s="132">
        <v>0</v>
      </c>
      <c r="P485" s="144">
        <v>0</v>
      </c>
    </row>
    <row r="486" spans="3:16" ht="15.75" thickBot="1" x14ac:dyDescent="0.3">
      <c r="C486" s="156" t="s">
        <v>134</v>
      </c>
      <c r="D486" s="157"/>
      <c r="E486" s="157"/>
      <c r="F486" s="132">
        <f t="shared" si="8"/>
        <v>0</v>
      </c>
      <c r="G486" s="157"/>
      <c r="H486" s="157"/>
      <c r="I486" s="157"/>
      <c r="J486" s="157"/>
      <c r="K486" s="157"/>
      <c r="L486" s="157"/>
      <c r="M486" s="157"/>
      <c r="N486" s="157"/>
      <c r="O486" s="157"/>
      <c r="P486" s="158"/>
    </row>
    <row r="487" spans="3:16" ht="15.75" thickBot="1" x14ac:dyDescent="0.3">
      <c r="C487" s="153"/>
      <c r="D487" s="154"/>
      <c r="E487" s="154"/>
      <c r="F487" s="132">
        <f t="shared" si="8"/>
        <v>0</v>
      </c>
      <c r="G487" s="154"/>
      <c r="H487" s="154"/>
      <c r="I487" s="154"/>
      <c r="J487" s="154"/>
      <c r="K487" s="154"/>
      <c r="L487" s="154"/>
      <c r="M487" s="154"/>
      <c r="N487" s="154"/>
      <c r="O487" s="154"/>
      <c r="P487" s="155"/>
    </row>
    <row r="488" spans="3:16" ht="15.75" thickBot="1" x14ac:dyDescent="0.3">
      <c r="C488" s="145" t="s">
        <v>83</v>
      </c>
      <c r="D488" s="133">
        <v>2513</v>
      </c>
      <c r="E488" s="133">
        <v>1198</v>
      </c>
      <c r="F488" s="132">
        <f t="shared" si="8"/>
        <v>2280</v>
      </c>
      <c r="G488" s="133">
        <v>233</v>
      </c>
      <c r="H488" s="133">
        <v>119</v>
      </c>
      <c r="I488" s="133">
        <v>2419</v>
      </c>
      <c r="J488" s="133">
        <v>1145</v>
      </c>
      <c r="K488" s="133">
        <v>233</v>
      </c>
      <c r="L488" s="133">
        <v>119</v>
      </c>
      <c r="M488" s="133">
        <v>94</v>
      </c>
      <c r="N488" s="133">
        <v>53</v>
      </c>
      <c r="O488" s="133">
        <v>0</v>
      </c>
      <c r="P488" s="146">
        <v>0</v>
      </c>
    </row>
    <row r="489" spans="3:16" ht="15.75" thickBot="1" x14ac:dyDescent="0.3">
      <c r="C489" s="143" t="s">
        <v>151</v>
      </c>
      <c r="D489" s="132">
        <v>149</v>
      </c>
      <c r="E489" s="132">
        <v>95</v>
      </c>
      <c r="F489" s="132">
        <f t="shared" si="8"/>
        <v>149</v>
      </c>
      <c r="G489" s="132">
        <v>0</v>
      </c>
      <c r="H489" s="132">
        <v>0</v>
      </c>
      <c r="I489" s="132">
        <v>149</v>
      </c>
      <c r="J489" s="132">
        <v>95</v>
      </c>
      <c r="K489" s="132">
        <v>0</v>
      </c>
      <c r="L489" s="132">
        <v>0</v>
      </c>
      <c r="M489" s="132">
        <v>0</v>
      </c>
      <c r="N489" s="132">
        <v>0</v>
      </c>
      <c r="O489" s="132">
        <v>0</v>
      </c>
      <c r="P489" s="144">
        <v>0</v>
      </c>
    </row>
    <row r="490" spans="3:16" ht="15.75" thickBot="1" x14ac:dyDescent="0.3">
      <c r="C490" s="145" t="s">
        <v>152</v>
      </c>
      <c r="D490" s="133">
        <v>56</v>
      </c>
      <c r="E490" s="133">
        <v>26</v>
      </c>
      <c r="F490" s="132">
        <f t="shared" si="8"/>
        <v>55</v>
      </c>
      <c r="G490" s="133">
        <v>1</v>
      </c>
      <c r="H490" s="133">
        <v>1</v>
      </c>
      <c r="I490" s="133">
        <v>56</v>
      </c>
      <c r="J490" s="133">
        <v>26</v>
      </c>
      <c r="K490" s="133">
        <v>1</v>
      </c>
      <c r="L490" s="133">
        <v>1</v>
      </c>
      <c r="M490" s="133">
        <v>0</v>
      </c>
      <c r="N490" s="133">
        <v>0</v>
      </c>
      <c r="O490" s="133">
        <v>0</v>
      </c>
      <c r="P490" s="146">
        <v>0</v>
      </c>
    </row>
    <row r="491" spans="3:16" ht="15.75" thickBot="1" x14ac:dyDescent="0.3">
      <c r="C491" s="143" t="s">
        <v>85</v>
      </c>
      <c r="D491" s="132">
        <v>1589</v>
      </c>
      <c r="E491" s="132">
        <v>772</v>
      </c>
      <c r="F491" s="132">
        <f t="shared" si="8"/>
        <v>1503</v>
      </c>
      <c r="G491" s="132">
        <v>86</v>
      </c>
      <c r="H491" s="132">
        <v>40</v>
      </c>
      <c r="I491" s="132">
        <v>1507</v>
      </c>
      <c r="J491" s="132">
        <v>724</v>
      </c>
      <c r="K491" s="132">
        <v>86</v>
      </c>
      <c r="L491" s="132">
        <v>40</v>
      </c>
      <c r="M491" s="132">
        <v>82</v>
      </c>
      <c r="N491" s="132">
        <v>48</v>
      </c>
      <c r="O491" s="132">
        <v>0</v>
      </c>
      <c r="P491" s="144">
        <v>0</v>
      </c>
    </row>
    <row r="492" spans="3:16" ht="15.75" thickBot="1" x14ac:dyDescent="0.3">
      <c r="C492" s="145" t="s">
        <v>86</v>
      </c>
      <c r="D492" s="133">
        <v>532</v>
      </c>
      <c r="E492" s="133">
        <v>217</v>
      </c>
      <c r="F492" s="132">
        <f t="shared" si="8"/>
        <v>455</v>
      </c>
      <c r="G492" s="133">
        <v>77</v>
      </c>
      <c r="H492" s="133">
        <v>47</v>
      </c>
      <c r="I492" s="133">
        <v>522</v>
      </c>
      <c r="J492" s="133">
        <v>213</v>
      </c>
      <c r="K492" s="133">
        <v>77</v>
      </c>
      <c r="L492" s="133">
        <v>47</v>
      </c>
      <c r="M492" s="133">
        <v>10</v>
      </c>
      <c r="N492" s="133">
        <v>4</v>
      </c>
      <c r="O492" s="133">
        <v>0</v>
      </c>
      <c r="P492" s="146">
        <v>0</v>
      </c>
    </row>
    <row r="493" spans="3:16" ht="15.75" thickBot="1" x14ac:dyDescent="0.3">
      <c r="C493" s="143" t="s">
        <v>87</v>
      </c>
      <c r="D493" s="132">
        <v>187</v>
      </c>
      <c r="E493" s="132">
        <v>88</v>
      </c>
      <c r="F493" s="132">
        <f t="shared" si="8"/>
        <v>118</v>
      </c>
      <c r="G493" s="132">
        <v>69</v>
      </c>
      <c r="H493" s="132">
        <v>31</v>
      </c>
      <c r="I493" s="132">
        <v>185</v>
      </c>
      <c r="J493" s="132">
        <v>87</v>
      </c>
      <c r="K493" s="132">
        <v>69</v>
      </c>
      <c r="L493" s="132">
        <v>31</v>
      </c>
      <c r="M493" s="132">
        <v>2</v>
      </c>
      <c r="N493" s="132">
        <v>1</v>
      </c>
      <c r="O493" s="132">
        <v>0</v>
      </c>
      <c r="P493" s="144">
        <v>0</v>
      </c>
    </row>
    <row r="494" spans="3:16" ht="15.75" thickBot="1" x14ac:dyDescent="0.3">
      <c r="C494" s="145" t="s">
        <v>153</v>
      </c>
      <c r="D494" s="133">
        <v>45</v>
      </c>
      <c r="E494" s="133">
        <v>16</v>
      </c>
      <c r="F494" s="132">
        <f t="shared" si="8"/>
        <v>37</v>
      </c>
      <c r="G494" s="133">
        <v>8</v>
      </c>
      <c r="H494" s="133">
        <v>1</v>
      </c>
      <c r="I494" s="133">
        <v>44</v>
      </c>
      <c r="J494" s="133">
        <v>15</v>
      </c>
      <c r="K494" s="133">
        <v>8</v>
      </c>
      <c r="L494" s="133">
        <v>1</v>
      </c>
      <c r="M494" s="133">
        <v>1</v>
      </c>
      <c r="N494" s="133">
        <v>1</v>
      </c>
      <c r="O494" s="133">
        <v>0</v>
      </c>
      <c r="P494" s="146">
        <v>0</v>
      </c>
    </row>
    <row r="495" spans="3:16" ht="15.75" thickBot="1" x14ac:dyDescent="0.3">
      <c r="C495" s="143" t="s">
        <v>154</v>
      </c>
      <c r="D495" s="132">
        <v>30</v>
      </c>
      <c r="E495" s="132">
        <v>18</v>
      </c>
      <c r="F495" s="132">
        <f t="shared" si="8"/>
        <v>21</v>
      </c>
      <c r="G495" s="132">
        <v>9</v>
      </c>
      <c r="H495" s="132">
        <v>4</v>
      </c>
      <c r="I495" s="132">
        <v>30</v>
      </c>
      <c r="J495" s="132">
        <v>18</v>
      </c>
      <c r="K495" s="132">
        <v>9</v>
      </c>
      <c r="L495" s="132">
        <v>4</v>
      </c>
      <c r="M495" s="132">
        <v>0</v>
      </c>
      <c r="N495" s="132">
        <v>0</v>
      </c>
      <c r="O495" s="132">
        <v>0</v>
      </c>
      <c r="P495" s="144">
        <v>0</v>
      </c>
    </row>
    <row r="496" spans="3:16" ht="15.75" thickBot="1" x14ac:dyDescent="0.3">
      <c r="C496" s="156" t="s">
        <v>135</v>
      </c>
      <c r="D496" s="157"/>
      <c r="E496" s="157"/>
      <c r="F496" s="132">
        <f t="shared" si="8"/>
        <v>0</v>
      </c>
      <c r="G496" s="157"/>
      <c r="H496" s="157"/>
      <c r="I496" s="157"/>
      <c r="J496" s="157"/>
      <c r="K496" s="157"/>
      <c r="L496" s="157"/>
      <c r="M496" s="157"/>
      <c r="N496" s="157"/>
      <c r="O496" s="157"/>
      <c r="P496" s="158"/>
    </row>
    <row r="497" spans="3:16" ht="15.75" thickBot="1" x14ac:dyDescent="0.3">
      <c r="C497" s="153"/>
      <c r="D497" s="154"/>
      <c r="E497" s="154"/>
      <c r="F497" s="132">
        <f t="shared" si="8"/>
        <v>0</v>
      </c>
      <c r="G497" s="154"/>
      <c r="H497" s="154"/>
      <c r="I497" s="154"/>
      <c r="J497" s="154"/>
      <c r="K497" s="154"/>
      <c r="L497" s="154"/>
      <c r="M497" s="154"/>
      <c r="N497" s="154"/>
      <c r="O497" s="154"/>
      <c r="P497" s="155"/>
    </row>
    <row r="498" spans="3:16" ht="15.75" thickBot="1" x14ac:dyDescent="0.3">
      <c r="C498" s="145" t="s">
        <v>83</v>
      </c>
      <c r="D498" s="133">
        <v>1282</v>
      </c>
      <c r="E498" s="133">
        <v>604</v>
      </c>
      <c r="F498" s="132">
        <f t="shared" si="8"/>
        <v>1104</v>
      </c>
      <c r="G498" s="133">
        <v>178</v>
      </c>
      <c r="H498" s="133">
        <v>88</v>
      </c>
      <c r="I498" s="133">
        <v>1143</v>
      </c>
      <c r="J498" s="133">
        <v>541</v>
      </c>
      <c r="K498" s="133">
        <v>166</v>
      </c>
      <c r="L498" s="133">
        <v>80</v>
      </c>
      <c r="M498" s="133">
        <v>139</v>
      </c>
      <c r="N498" s="133">
        <v>63</v>
      </c>
      <c r="O498" s="133">
        <v>12</v>
      </c>
      <c r="P498" s="146">
        <v>8</v>
      </c>
    </row>
    <row r="499" spans="3:16" ht="15.75" thickBot="1" x14ac:dyDescent="0.3">
      <c r="C499" s="143" t="s">
        <v>151</v>
      </c>
      <c r="D499" s="132">
        <v>1</v>
      </c>
      <c r="E499" s="132">
        <v>0</v>
      </c>
      <c r="F499" s="132">
        <f t="shared" si="8"/>
        <v>1</v>
      </c>
      <c r="G499" s="132">
        <v>0</v>
      </c>
      <c r="H499" s="132">
        <v>0</v>
      </c>
      <c r="I499" s="132">
        <v>1</v>
      </c>
      <c r="J499" s="132">
        <v>0</v>
      </c>
      <c r="K499" s="132">
        <v>0</v>
      </c>
      <c r="L499" s="132">
        <v>0</v>
      </c>
      <c r="M499" s="132">
        <v>0</v>
      </c>
      <c r="N499" s="132">
        <v>0</v>
      </c>
      <c r="O499" s="132">
        <v>0</v>
      </c>
      <c r="P499" s="144">
        <v>0</v>
      </c>
    </row>
    <row r="500" spans="3:16" ht="15.75" thickBot="1" x14ac:dyDescent="0.3">
      <c r="C500" s="145" t="s">
        <v>152</v>
      </c>
      <c r="D500" s="133">
        <v>18</v>
      </c>
      <c r="E500" s="133">
        <v>9</v>
      </c>
      <c r="F500" s="132">
        <f t="shared" si="8"/>
        <v>17</v>
      </c>
      <c r="G500" s="133">
        <v>1</v>
      </c>
      <c r="H500" s="133">
        <v>1</v>
      </c>
      <c r="I500" s="133">
        <v>14</v>
      </c>
      <c r="J500" s="133">
        <v>5</v>
      </c>
      <c r="K500" s="133">
        <v>0</v>
      </c>
      <c r="L500" s="133">
        <v>0</v>
      </c>
      <c r="M500" s="133">
        <v>4</v>
      </c>
      <c r="N500" s="133">
        <v>4</v>
      </c>
      <c r="O500" s="133">
        <v>1</v>
      </c>
      <c r="P500" s="146">
        <v>1</v>
      </c>
    </row>
    <row r="501" spans="3:16" ht="15.75" thickBot="1" x14ac:dyDescent="0.3">
      <c r="C501" s="143" t="s">
        <v>85</v>
      </c>
      <c r="D501" s="132">
        <v>869</v>
      </c>
      <c r="E501" s="132">
        <v>436</v>
      </c>
      <c r="F501" s="132">
        <f t="shared" si="8"/>
        <v>793</v>
      </c>
      <c r="G501" s="132">
        <v>76</v>
      </c>
      <c r="H501" s="132">
        <v>43</v>
      </c>
      <c r="I501" s="132">
        <v>770</v>
      </c>
      <c r="J501" s="132">
        <v>386</v>
      </c>
      <c r="K501" s="132">
        <v>70</v>
      </c>
      <c r="L501" s="132">
        <v>39</v>
      </c>
      <c r="M501" s="132">
        <v>99</v>
      </c>
      <c r="N501" s="132">
        <v>50</v>
      </c>
      <c r="O501" s="132">
        <v>6</v>
      </c>
      <c r="P501" s="144">
        <v>4</v>
      </c>
    </row>
    <row r="502" spans="3:16" ht="15.75" thickBot="1" x14ac:dyDescent="0.3">
      <c r="C502" s="145" t="s">
        <v>86</v>
      </c>
      <c r="D502" s="133">
        <v>294</v>
      </c>
      <c r="E502" s="133">
        <v>114</v>
      </c>
      <c r="F502" s="132">
        <f t="shared" si="8"/>
        <v>232</v>
      </c>
      <c r="G502" s="133">
        <v>62</v>
      </c>
      <c r="H502" s="133">
        <v>24</v>
      </c>
      <c r="I502" s="133">
        <v>270</v>
      </c>
      <c r="J502" s="133">
        <v>109</v>
      </c>
      <c r="K502" s="133">
        <v>59</v>
      </c>
      <c r="L502" s="133">
        <v>22</v>
      </c>
      <c r="M502" s="133">
        <v>24</v>
      </c>
      <c r="N502" s="133">
        <v>5</v>
      </c>
      <c r="O502" s="133">
        <v>3</v>
      </c>
      <c r="P502" s="146">
        <v>2</v>
      </c>
    </row>
    <row r="503" spans="3:16" ht="15.75" thickBot="1" x14ac:dyDescent="0.3">
      <c r="C503" s="143" t="s">
        <v>87</v>
      </c>
      <c r="D503" s="132">
        <v>100</v>
      </c>
      <c r="E503" s="132">
        <v>45</v>
      </c>
      <c r="F503" s="132">
        <f t="shared" si="8"/>
        <v>61</v>
      </c>
      <c r="G503" s="132">
        <v>39</v>
      </c>
      <c r="H503" s="132">
        <v>20</v>
      </c>
      <c r="I503" s="132">
        <v>88</v>
      </c>
      <c r="J503" s="132">
        <v>41</v>
      </c>
      <c r="K503" s="132">
        <v>37</v>
      </c>
      <c r="L503" s="132">
        <v>19</v>
      </c>
      <c r="M503" s="132">
        <v>12</v>
      </c>
      <c r="N503" s="132">
        <v>4</v>
      </c>
      <c r="O503" s="132">
        <v>2</v>
      </c>
      <c r="P503" s="144">
        <v>1</v>
      </c>
    </row>
    <row r="504" spans="3:16" ht="15.75" thickBot="1" x14ac:dyDescent="0.3">
      <c r="C504" s="145" t="s">
        <v>153</v>
      </c>
      <c r="D504" s="133">
        <v>48</v>
      </c>
      <c r="E504" s="133">
        <v>23</v>
      </c>
      <c r="F504" s="132">
        <f t="shared" si="8"/>
        <v>35</v>
      </c>
      <c r="G504" s="133">
        <v>13</v>
      </c>
      <c r="H504" s="133">
        <v>6</v>
      </c>
      <c r="I504" s="133">
        <v>46</v>
      </c>
      <c r="J504" s="133">
        <v>23</v>
      </c>
      <c r="K504" s="133">
        <v>13</v>
      </c>
      <c r="L504" s="133">
        <v>6</v>
      </c>
      <c r="M504" s="133">
        <v>2</v>
      </c>
      <c r="N504" s="133">
        <v>0</v>
      </c>
      <c r="O504" s="133">
        <v>0</v>
      </c>
      <c r="P504" s="146">
        <v>0</v>
      </c>
    </row>
    <row r="505" spans="3:16" ht="15.75" thickBot="1" x14ac:dyDescent="0.3">
      <c r="C505" s="143" t="s">
        <v>154</v>
      </c>
      <c r="D505" s="132">
        <v>9</v>
      </c>
      <c r="E505" s="132">
        <v>3</v>
      </c>
      <c r="F505" s="132">
        <f t="shared" si="8"/>
        <v>6</v>
      </c>
      <c r="G505" s="132">
        <v>3</v>
      </c>
      <c r="H505" s="132">
        <v>0</v>
      </c>
      <c r="I505" s="132">
        <v>9</v>
      </c>
      <c r="J505" s="132">
        <v>3</v>
      </c>
      <c r="K505" s="132">
        <v>3</v>
      </c>
      <c r="L505" s="132">
        <v>0</v>
      </c>
      <c r="M505" s="132">
        <v>0</v>
      </c>
      <c r="N505" s="132">
        <v>0</v>
      </c>
      <c r="O505" s="132">
        <v>0</v>
      </c>
      <c r="P505" s="144">
        <v>0</v>
      </c>
    </row>
    <row r="506" spans="3:16" ht="15.75" thickBot="1" x14ac:dyDescent="0.3">
      <c r="C506" s="156" t="s">
        <v>136</v>
      </c>
      <c r="D506" s="157"/>
      <c r="E506" s="157"/>
      <c r="F506" s="132">
        <f t="shared" si="8"/>
        <v>0</v>
      </c>
      <c r="G506" s="157"/>
      <c r="H506" s="157"/>
      <c r="I506" s="157"/>
      <c r="J506" s="157"/>
      <c r="K506" s="157"/>
      <c r="L506" s="157"/>
      <c r="M506" s="157"/>
      <c r="N506" s="157"/>
      <c r="O506" s="157"/>
      <c r="P506" s="158"/>
    </row>
    <row r="507" spans="3:16" ht="15.75" thickBot="1" x14ac:dyDescent="0.3">
      <c r="C507" s="153"/>
      <c r="D507" s="154"/>
      <c r="E507" s="154"/>
      <c r="F507" s="132">
        <f t="shared" si="8"/>
        <v>0</v>
      </c>
      <c r="G507" s="154"/>
      <c r="H507" s="154"/>
      <c r="I507" s="154"/>
      <c r="J507" s="154"/>
      <c r="K507" s="154"/>
      <c r="L507" s="154"/>
      <c r="M507" s="154"/>
      <c r="N507" s="154"/>
      <c r="O507" s="154"/>
      <c r="P507" s="155"/>
    </row>
    <row r="508" spans="3:16" ht="15.75" thickBot="1" x14ac:dyDescent="0.3">
      <c r="C508" s="145" t="s">
        <v>83</v>
      </c>
      <c r="D508" s="133">
        <v>729</v>
      </c>
      <c r="E508" s="133">
        <v>329</v>
      </c>
      <c r="F508" s="132">
        <f t="shared" si="8"/>
        <v>642</v>
      </c>
      <c r="G508" s="133">
        <v>87</v>
      </c>
      <c r="H508" s="133">
        <v>33</v>
      </c>
      <c r="I508" s="133">
        <v>641</v>
      </c>
      <c r="J508" s="133">
        <v>291</v>
      </c>
      <c r="K508" s="133">
        <v>85</v>
      </c>
      <c r="L508" s="133">
        <v>32</v>
      </c>
      <c r="M508" s="133">
        <v>88</v>
      </c>
      <c r="N508" s="133">
        <v>38</v>
      </c>
      <c r="O508" s="133">
        <v>2</v>
      </c>
      <c r="P508" s="146">
        <v>1</v>
      </c>
    </row>
    <row r="509" spans="3:16" ht="15.75" thickBot="1" x14ac:dyDescent="0.3">
      <c r="C509" s="143" t="s">
        <v>151</v>
      </c>
      <c r="D509" s="132">
        <v>2</v>
      </c>
      <c r="E509" s="132">
        <v>1</v>
      </c>
      <c r="F509" s="132">
        <f t="shared" si="8"/>
        <v>2</v>
      </c>
      <c r="G509" s="132">
        <v>0</v>
      </c>
      <c r="H509" s="132">
        <v>0</v>
      </c>
      <c r="I509" s="132">
        <v>2</v>
      </c>
      <c r="J509" s="132">
        <v>1</v>
      </c>
      <c r="K509" s="132">
        <v>0</v>
      </c>
      <c r="L509" s="132">
        <v>0</v>
      </c>
      <c r="M509" s="132">
        <v>0</v>
      </c>
      <c r="N509" s="132">
        <v>0</v>
      </c>
      <c r="O509" s="132">
        <v>0</v>
      </c>
      <c r="P509" s="144">
        <v>0</v>
      </c>
    </row>
    <row r="510" spans="3:16" ht="15.75" thickBot="1" x14ac:dyDescent="0.3">
      <c r="C510" s="145" t="s">
        <v>152</v>
      </c>
      <c r="D510" s="133">
        <v>22</v>
      </c>
      <c r="E510" s="133">
        <v>13</v>
      </c>
      <c r="F510" s="132">
        <f t="shared" si="8"/>
        <v>22</v>
      </c>
      <c r="G510" s="133">
        <v>0</v>
      </c>
      <c r="H510" s="133">
        <v>0</v>
      </c>
      <c r="I510" s="133">
        <v>16</v>
      </c>
      <c r="J510" s="133">
        <v>10</v>
      </c>
      <c r="K510" s="133">
        <v>0</v>
      </c>
      <c r="L510" s="133">
        <v>0</v>
      </c>
      <c r="M510" s="133">
        <v>6</v>
      </c>
      <c r="N510" s="133">
        <v>3</v>
      </c>
      <c r="O510" s="133">
        <v>0</v>
      </c>
      <c r="P510" s="146">
        <v>0</v>
      </c>
    </row>
    <row r="511" spans="3:16" ht="15.75" thickBot="1" x14ac:dyDescent="0.3">
      <c r="C511" s="143" t="s">
        <v>85</v>
      </c>
      <c r="D511" s="132">
        <v>448</v>
      </c>
      <c r="E511" s="132">
        <v>220</v>
      </c>
      <c r="F511" s="132">
        <f t="shared" si="8"/>
        <v>411</v>
      </c>
      <c r="G511" s="132">
        <v>37</v>
      </c>
      <c r="H511" s="132">
        <v>14</v>
      </c>
      <c r="I511" s="132">
        <v>392</v>
      </c>
      <c r="J511" s="132">
        <v>192</v>
      </c>
      <c r="K511" s="132">
        <v>37</v>
      </c>
      <c r="L511" s="132">
        <v>14</v>
      </c>
      <c r="M511" s="132">
        <v>56</v>
      </c>
      <c r="N511" s="132">
        <v>28</v>
      </c>
      <c r="O511" s="132">
        <v>0</v>
      </c>
      <c r="P511" s="144">
        <v>0</v>
      </c>
    </row>
    <row r="512" spans="3:16" ht="15.75" thickBot="1" x14ac:dyDescent="0.3">
      <c r="C512" s="145" t="s">
        <v>86</v>
      </c>
      <c r="D512" s="133">
        <v>202</v>
      </c>
      <c r="E512" s="133">
        <v>73</v>
      </c>
      <c r="F512" s="132">
        <f t="shared" si="8"/>
        <v>163</v>
      </c>
      <c r="G512" s="133">
        <v>39</v>
      </c>
      <c r="H512" s="133">
        <v>16</v>
      </c>
      <c r="I512" s="133">
        <v>184</v>
      </c>
      <c r="J512" s="133">
        <v>68</v>
      </c>
      <c r="K512" s="133">
        <v>38</v>
      </c>
      <c r="L512" s="133">
        <v>15</v>
      </c>
      <c r="M512" s="133">
        <v>18</v>
      </c>
      <c r="N512" s="133">
        <v>5</v>
      </c>
      <c r="O512" s="133">
        <v>1</v>
      </c>
      <c r="P512" s="146">
        <v>1</v>
      </c>
    </row>
    <row r="513" spans="3:16" ht="15.75" thickBot="1" x14ac:dyDescent="0.3">
      <c r="C513" s="143" t="s">
        <v>87</v>
      </c>
      <c r="D513" s="132">
        <v>55</v>
      </c>
      <c r="E513" s="132">
        <v>22</v>
      </c>
      <c r="F513" s="132">
        <f t="shared" si="8"/>
        <v>44</v>
      </c>
      <c r="G513" s="132">
        <v>11</v>
      </c>
      <c r="H513" s="132">
        <v>3</v>
      </c>
      <c r="I513" s="132">
        <v>47</v>
      </c>
      <c r="J513" s="132">
        <v>20</v>
      </c>
      <c r="K513" s="132">
        <v>10</v>
      </c>
      <c r="L513" s="132">
        <v>3</v>
      </c>
      <c r="M513" s="132">
        <v>8</v>
      </c>
      <c r="N513" s="132">
        <v>2</v>
      </c>
      <c r="O513" s="132">
        <v>1</v>
      </c>
      <c r="P513" s="144">
        <v>0</v>
      </c>
    </row>
    <row r="514" spans="3:16" ht="15.75" thickBot="1" x14ac:dyDescent="0.3">
      <c r="C514" s="145" t="s">
        <v>153</v>
      </c>
      <c r="D514" s="133">
        <v>19</v>
      </c>
      <c r="E514" s="133">
        <v>10</v>
      </c>
      <c r="F514" s="132">
        <f t="shared" si="8"/>
        <v>17</v>
      </c>
      <c r="G514" s="133">
        <v>2</v>
      </c>
      <c r="H514" s="133">
        <v>0</v>
      </c>
      <c r="I514" s="133">
        <v>17</v>
      </c>
      <c r="J514" s="133">
        <v>9</v>
      </c>
      <c r="K514" s="133">
        <v>2</v>
      </c>
      <c r="L514" s="133">
        <v>0</v>
      </c>
      <c r="M514" s="133">
        <v>2</v>
      </c>
      <c r="N514" s="133">
        <v>1</v>
      </c>
      <c r="O514" s="133">
        <v>0</v>
      </c>
      <c r="P514" s="146">
        <v>0</v>
      </c>
    </row>
    <row r="515" spans="3:16" ht="15.75" thickBot="1" x14ac:dyDescent="0.3">
      <c r="C515" s="143" t="s">
        <v>154</v>
      </c>
      <c r="D515" s="132">
        <v>5</v>
      </c>
      <c r="E515" s="132">
        <v>1</v>
      </c>
      <c r="F515" s="132">
        <f t="shared" si="8"/>
        <v>3</v>
      </c>
      <c r="G515" s="132">
        <v>2</v>
      </c>
      <c r="H515" s="132">
        <v>1</v>
      </c>
      <c r="I515" s="132">
        <v>5</v>
      </c>
      <c r="J515" s="132">
        <v>1</v>
      </c>
      <c r="K515" s="132">
        <v>2</v>
      </c>
      <c r="L515" s="132">
        <v>1</v>
      </c>
      <c r="M515" s="132">
        <v>0</v>
      </c>
      <c r="N515" s="132">
        <v>0</v>
      </c>
      <c r="O515" s="132">
        <v>0</v>
      </c>
      <c r="P515" s="144">
        <v>0</v>
      </c>
    </row>
    <row r="516" spans="3:16" ht="15.75" thickBot="1" x14ac:dyDescent="0.3">
      <c r="C516" s="156" t="s">
        <v>137</v>
      </c>
      <c r="D516" s="157"/>
      <c r="E516" s="157"/>
      <c r="F516" s="132">
        <f t="shared" si="8"/>
        <v>0</v>
      </c>
      <c r="G516" s="157"/>
      <c r="H516" s="157"/>
      <c r="I516" s="157"/>
      <c r="J516" s="157"/>
      <c r="K516" s="157"/>
      <c r="L516" s="157"/>
      <c r="M516" s="157"/>
      <c r="N516" s="157"/>
      <c r="O516" s="157"/>
      <c r="P516" s="158"/>
    </row>
    <row r="517" spans="3:16" ht="15.75" thickBot="1" x14ac:dyDescent="0.3">
      <c r="C517" s="153"/>
      <c r="D517" s="154"/>
      <c r="E517" s="154"/>
      <c r="F517" s="132">
        <f t="shared" si="8"/>
        <v>0</v>
      </c>
      <c r="G517" s="154"/>
      <c r="H517" s="154"/>
      <c r="I517" s="154"/>
      <c r="J517" s="154"/>
      <c r="K517" s="154"/>
      <c r="L517" s="154"/>
      <c r="M517" s="154"/>
      <c r="N517" s="154"/>
      <c r="O517" s="154"/>
      <c r="P517" s="155"/>
    </row>
    <row r="518" spans="3:16" ht="15.75" thickBot="1" x14ac:dyDescent="0.3">
      <c r="C518" s="145" t="s">
        <v>83</v>
      </c>
      <c r="D518" s="133">
        <v>508</v>
      </c>
      <c r="E518" s="133">
        <v>235</v>
      </c>
      <c r="F518" s="132">
        <f t="shared" si="8"/>
        <v>482</v>
      </c>
      <c r="G518" s="133">
        <v>26</v>
      </c>
      <c r="H518" s="133">
        <v>17</v>
      </c>
      <c r="I518" s="133">
        <v>505</v>
      </c>
      <c r="J518" s="133">
        <v>235</v>
      </c>
      <c r="K518" s="133">
        <v>26</v>
      </c>
      <c r="L518" s="133">
        <v>17</v>
      </c>
      <c r="M518" s="133">
        <v>3</v>
      </c>
      <c r="N518" s="133">
        <v>0</v>
      </c>
      <c r="O518" s="133">
        <v>0</v>
      </c>
      <c r="P518" s="146">
        <v>0</v>
      </c>
    </row>
    <row r="519" spans="3:16" ht="15.75" thickBot="1" x14ac:dyDescent="0.3">
      <c r="C519" s="143" t="s">
        <v>151</v>
      </c>
      <c r="D519" s="132">
        <v>40</v>
      </c>
      <c r="E519" s="132">
        <v>19</v>
      </c>
      <c r="F519" s="132">
        <f t="shared" si="8"/>
        <v>40</v>
      </c>
      <c r="G519" s="132">
        <v>0</v>
      </c>
      <c r="H519" s="132">
        <v>0</v>
      </c>
      <c r="I519" s="132">
        <v>40</v>
      </c>
      <c r="J519" s="132">
        <v>19</v>
      </c>
      <c r="K519" s="132">
        <v>0</v>
      </c>
      <c r="L519" s="132">
        <v>0</v>
      </c>
      <c r="M519" s="132">
        <v>0</v>
      </c>
      <c r="N519" s="132">
        <v>0</v>
      </c>
      <c r="O519" s="132">
        <v>0</v>
      </c>
      <c r="P519" s="144">
        <v>0</v>
      </c>
    </row>
    <row r="520" spans="3:16" ht="15.75" thickBot="1" x14ac:dyDescent="0.3">
      <c r="C520" s="145" t="s">
        <v>152</v>
      </c>
      <c r="D520" s="133">
        <v>23</v>
      </c>
      <c r="E520" s="133">
        <v>15</v>
      </c>
      <c r="F520" s="132">
        <f t="shared" si="8"/>
        <v>22</v>
      </c>
      <c r="G520" s="133">
        <v>1</v>
      </c>
      <c r="H520" s="133">
        <v>1</v>
      </c>
      <c r="I520" s="133">
        <v>20</v>
      </c>
      <c r="J520" s="133">
        <v>15</v>
      </c>
      <c r="K520" s="133">
        <v>1</v>
      </c>
      <c r="L520" s="133">
        <v>1</v>
      </c>
      <c r="M520" s="133">
        <v>3</v>
      </c>
      <c r="N520" s="133">
        <v>0</v>
      </c>
      <c r="O520" s="133">
        <v>0</v>
      </c>
      <c r="P520" s="146">
        <v>0</v>
      </c>
    </row>
    <row r="521" spans="3:16" ht="15.75" thickBot="1" x14ac:dyDescent="0.3">
      <c r="C521" s="143" t="s">
        <v>85</v>
      </c>
      <c r="D521" s="132">
        <v>274</v>
      </c>
      <c r="E521" s="132">
        <v>124</v>
      </c>
      <c r="F521" s="132">
        <f t="shared" si="8"/>
        <v>266</v>
      </c>
      <c r="G521" s="132">
        <v>8</v>
      </c>
      <c r="H521" s="132">
        <v>3</v>
      </c>
      <c r="I521" s="132">
        <v>274</v>
      </c>
      <c r="J521" s="132">
        <v>124</v>
      </c>
      <c r="K521" s="132">
        <v>8</v>
      </c>
      <c r="L521" s="132">
        <v>3</v>
      </c>
      <c r="M521" s="132">
        <v>0</v>
      </c>
      <c r="N521" s="132">
        <v>0</v>
      </c>
      <c r="O521" s="132">
        <v>0</v>
      </c>
      <c r="P521" s="144">
        <v>0</v>
      </c>
    </row>
    <row r="522" spans="3:16" ht="15.75" thickBot="1" x14ac:dyDescent="0.3">
      <c r="C522" s="145" t="s">
        <v>86</v>
      </c>
      <c r="D522" s="133">
        <v>144</v>
      </c>
      <c r="E522" s="133">
        <v>67</v>
      </c>
      <c r="F522" s="132">
        <f t="shared" si="8"/>
        <v>133</v>
      </c>
      <c r="G522" s="133">
        <v>11</v>
      </c>
      <c r="H522" s="133">
        <v>8</v>
      </c>
      <c r="I522" s="133">
        <v>144</v>
      </c>
      <c r="J522" s="133">
        <v>67</v>
      </c>
      <c r="K522" s="133">
        <v>11</v>
      </c>
      <c r="L522" s="133">
        <v>8</v>
      </c>
      <c r="M522" s="133">
        <v>0</v>
      </c>
      <c r="N522" s="133">
        <v>0</v>
      </c>
      <c r="O522" s="133">
        <v>0</v>
      </c>
      <c r="P522" s="146">
        <v>0</v>
      </c>
    </row>
    <row r="523" spans="3:16" ht="15.75" thickBot="1" x14ac:dyDescent="0.3">
      <c r="C523" s="143" t="s">
        <v>87</v>
      </c>
      <c r="D523" s="132">
        <v>27</v>
      </c>
      <c r="E523" s="132">
        <v>10</v>
      </c>
      <c r="F523" s="132">
        <f t="shared" si="8"/>
        <v>21</v>
      </c>
      <c r="G523" s="132">
        <v>6</v>
      </c>
      <c r="H523" s="132">
        <v>5</v>
      </c>
      <c r="I523" s="132">
        <v>27</v>
      </c>
      <c r="J523" s="132">
        <v>10</v>
      </c>
      <c r="K523" s="132">
        <v>6</v>
      </c>
      <c r="L523" s="132">
        <v>5</v>
      </c>
      <c r="M523" s="132">
        <v>0</v>
      </c>
      <c r="N523" s="132">
        <v>0</v>
      </c>
      <c r="O523" s="132">
        <v>0</v>
      </c>
      <c r="P523" s="144">
        <v>0</v>
      </c>
    </row>
    <row r="524" spans="3:16" ht="15.75" thickBot="1" x14ac:dyDescent="0.3">
      <c r="C524" s="145" t="s">
        <v>153</v>
      </c>
      <c r="D524" s="133">
        <v>5</v>
      </c>
      <c r="E524" s="133">
        <v>1</v>
      </c>
      <c r="F524" s="132">
        <f t="shared" si="8"/>
        <v>5</v>
      </c>
      <c r="G524" s="133">
        <v>0</v>
      </c>
      <c r="H524" s="133">
        <v>0</v>
      </c>
      <c r="I524" s="133">
        <v>5</v>
      </c>
      <c r="J524" s="133">
        <v>1</v>
      </c>
      <c r="K524" s="133">
        <v>0</v>
      </c>
      <c r="L524" s="133">
        <v>0</v>
      </c>
      <c r="M524" s="133">
        <v>0</v>
      </c>
      <c r="N524" s="133">
        <v>0</v>
      </c>
      <c r="O524" s="133">
        <v>0</v>
      </c>
      <c r="P524" s="146">
        <v>0</v>
      </c>
    </row>
    <row r="525" spans="3:16" ht="15.75" thickBot="1" x14ac:dyDescent="0.3">
      <c r="C525" s="147" t="s">
        <v>154</v>
      </c>
      <c r="D525" s="148">
        <v>5</v>
      </c>
      <c r="E525" s="148">
        <v>1</v>
      </c>
      <c r="F525" s="132">
        <f t="shared" si="8"/>
        <v>5</v>
      </c>
      <c r="G525" s="148">
        <v>0</v>
      </c>
      <c r="H525" s="148">
        <v>0</v>
      </c>
      <c r="I525" s="148">
        <v>5</v>
      </c>
      <c r="J525" s="148">
        <v>1</v>
      </c>
      <c r="K525" s="148">
        <v>0</v>
      </c>
      <c r="L525" s="148">
        <v>0</v>
      </c>
      <c r="M525" s="148">
        <v>0</v>
      </c>
      <c r="N525" s="148">
        <v>0</v>
      </c>
      <c r="O525" s="148">
        <v>0</v>
      </c>
      <c r="P525" s="149">
        <v>0</v>
      </c>
    </row>
    <row r="527" spans="3:16" x14ac:dyDescent="0.25">
      <c r="C527" s="127" t="s">
        <v>138</v>
      </c>
    </row>
    <row r="528" spans="3:16" x14ac:dyDescent="0.25">
      <c r="C528" s="127" t="s">
        <v>139</v>
      </c>
    </row>
    <row r="529" spans="3:3" x14ac:dyDescent="0.25">
      <c r="C529" s="127" t="s">
        <v>140</v>
      </c>
    </row>
    <row r="530" spans="3:3" x14ac:dyDescent="0.25">
      <c r="C530" s="127" t="s">
        <v>175</v>
      </c>
    </row>
    <row r="532" spans="3:3" x14ac:dyDescent="0.25">
      <c r="C532" s="28"/>
    </row>
    <row r="533" spans="3:3" x14ac:dyDescent="0.25">
      <c r="C533" s="127" t="s">
        <v>142</v>
      </c>
    </row>
    <row r="534" spans="3:3" x14ac:dyDescent="0.25">
      <c r="C534" s="127" t="s">
        <v>217</v>
      </c>
    </row>
    <row r="535" spans="3:3" x14ac:dyDescent="0.25">
      <c r="C535" s="127" t="s">
        <v>176</v>
      </c>
    </row>
    <row r="536" spans="3:3" x14ac:dyDescent="0.25">
      <c r="C536" s="127" t="s">
        <v>144</v>
      </c>
    </row>
    <row r="537" spans="3:3" x14ac:dyDescent="0.25">
      <c r="C537" s="28"/>
    </row>
    <row r="538" spans="3:3" x14ac:dyDescent="0.25">
      <c r="C538" s="127" t="s">
        <v>145</v>
      </c>
    </row>
    <row r="539" spans="3:3" x14ac:dyDescent="0.25">
      <c r="C539" s="28"/>
    </row>
    <row r="540" spans="3:3" x14ac:dyDescent="0.25">
      <c r="C540" s="127" t="s">
        <v>146</v>
      </c>
    </row>
  </sheetData>
  <mergeCells count="14">
    <mergeCell ref="C23:P23"/>
    <mergeCell ref="D15:P16"/>
    <mergeCell ref="D17:H17"/>
    <mergeCell ref="I17:L17"/>
    <mergeCell ref="M17:P17"/>
    <mergeCell ref="D18:D20"/>
    <mergeCell ref="E18:E20"/>
    <mergeCell ref="G18:G20"/>
    <mergeCell ref="I18:I20"/>
    <mergeCell ref="J18:J20"/>
    <mergeCell ref="K18:K20"/>
    <mergeCell ref="M18:M20"/>
    <mergeCell ref="N18:N20"/>
    <mergeCell ref="O18:O20"/>
  </mergeCells>
  <hyperlinks>
    <hyperlink ref="C1" r:id="rId1" display="https://www1.nls.niedersachsen.de/Statistik/pool/K3002519/K3002519_000017C2FB34213E0355246ED02A8B9E448423D614F9E6D3370A.zip" xr:uid="{B3DA2050-9EF3-4B86-8B99-DEE7FAA89646}"/>
  </hyperlinks>
  <pageMargins left="0.7" right="0.7" top="0.78740157499999996" bottom="0.78740157499999996" header="0.3" footer="0.3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FDBB-E9FF-4B81-8A85-1847827F0734}">
  <sheetPr codeName="Tabelle3"/>
  <dimension ref="A1:N165"/>
  <sheetViews>
    <sheetView workbookViewId="0"/>
  </sheetViews>
  <sheetFormatPr baseColWidth="10" defaultRowHeight="15" x14ac:dyDescent="0.25"/>
  <cols>
    <col min="1" max="1" width="15.5703125" bestFit="1" customWidth="1"/>
  </cols>
  <sheetData>
    <row r="1" spans="1:14" ht="30" x14ac:dyDescent="0.25">
      <c r="B1" s="53" t="s">
        <v>63</v>
      </c>
      <c r="C1" s="213" t="s">
        <v>174</v>
      </c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5"/>
    </row>
    <row r="2" spans="1:14" ht="30" x14ac:dyDescent="0.25">
      <c r="B2" s="48" t="s">
        <v>70</v>
      </c>
      <c r="C2" s="216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8"/>
    </row>
    <row r="3" spans="1:14" ht="15" customHeight="1" x14ac:dyDescent="0.25">
      <c r="B3" s="48" t="s">
        <v>71</v>
      </c>
      <c r="C3" s="219" t="s">
        <v>75</v>
      </c>
      <c r="D3" s="220"/>
      <c r="E3" s="220"/>
      <c r="F3" s="221"/>
      <c r="G3" s="219" t="s">
        <v>76</v>
      </c>
      <c r="H3" s="220"/>
      <c r="I3" s="220"/>
      <c r="J3" s="221"/>
      <c r="K3" s="219" t="s">
        <v>77</v>
      </c>
      <c r="L3" s="220"/>
      <c r="M3" s="220"/>
      <c r="N3" s="221"/>
    </row>
    <row r="4" spans="1:14" x14ac:dyDescent="0.25">
      <c r="B4" s="48" t="s">
        <v>72</v>
      </c>
      <c r="C4" s="210" t="s">
        <v>78</v>
      </c>
      <c r="D4" s="210" t="s">
        <v>79</v>
      </c>
      <c r="E4" s="210" t="s">
        <v>80</v>
      </c>
      <c r="F4" s="53" t="s">
        <v>80</v>
      </c>
      <c r="G4" s="210" t="s">
        <v>78</v>
      </c>
      <c r="H4" s="210" t="s">
        <v>79</v>
      </c>
      <c r="I4" s="210" t="s">
        <v>80</v>
      </c>
      <c r="J4" s="53" t="s">
        <v>80</v>
      </c>
      <c r="K4" s="210" t="s">
        <v>78</v>
      </c>
      <c r="L4" s="210" t="s">
        <v>79</v>
      </c>
      <c r="M4" s="210" t="s">
        <v>80</v>
      </c>
      <c r="N4" s="53" t="s">
        <v>80</v>
      </c>
    </row>
    <row r="5" spans="1:14" ht="45" x14ac:dyDescent="0.25">
      <c r="B5" s="48" t="s">
        <v>73</v>
      </c>
      <c r="C5" s="211"/>
      <c r="D5" s="211"/>
      <c r="E5" s="211"/>
      <c r="F5" s="48" t="s">
        <v>79</v>
      </c>
      <c r="G5" s="211"/>
      <c r="H5" s="211"/>
      <c r="I5" s="211"/>
      <c r="J5" s="48" t="s">
        <v>79</v>
      </c>
      <c r="K5" s="211"/>
      <c r="L5" s="211"/>
      <c r="M5" s="211"/>
      <c r="N5" s="48" t="s">
        <v>79</v>
      </c>
    </row>
    <row r="6" spans="1:14" x14ac:dyDescent="0.25">
      <c r="B6" s="48"/>
      <c r="C6" s="212"/>
      <c r="D6" s="212"/>
      <c r="E6" s="212"/>
      <c r="F6" s="49" t="s">
        <v>81</v>
      </c>
      <c r="G6" s="212"/>
      <c r="H6" s="212"/>
      <c r="I6" s="212"/>
      <c r="J6" s="49" t="s">
        <v>81</v>
      </c>
      <c r="K6" s="212"/>
      <c r="L6" s="212"/>
      <c r="M6" s="212"/>
      <c r="N6" s="49" t="s">
        <v>81</v>
      </c>
    </row>
    <row r="7" spans="1:14" x14ac:dyDescent="0.25">
      <c r="B7" s="49"/>
      <c r="C7" s="14">
        <v>1</v>
      </c>
      <c r="D7" s="14">
        <v>2</v>
      </c>
      <c r="E7" s="14">
        <v>3</v>
      </c>
      <c r="F7" s="14">
        <v>4</v>
      </c>
      <c r="G7" s="14">
        <v>5</v>
      </c>
      <c r="H7" s="14">
        <v>6</v>
      </c>
      <c r="I7" s="14">
        <v>7</v>
      </c>
      <c r="J7" s="14">
        <v>8</v>
      </c>
      <c r="K7" s="14">
        <v>9</v>
      </c>
      <c r="L7" s="14">
        <v>10</v>
      </c>
      <c r="M7" s="14">
        <v>11</v>
      </c>
      <c r="N7" s="14">
        <v>12</v>
      </c>
    </row>
    <row r="8" spans="1:14" x14ac:dyDescent="0.25">
      <c r="B8" s="16"/>
      <c r="N8" s="17"/>
    </row>
    <row r="9" spans="1:14" ht="15" customHeight="1" x14ac:dyDescent="0.25">
      <c r="A9" t="str">
        <f>LEFT(B9,LEN(B9)-(LEN(B9)-1))</f>
        <v>0</v>
      </c>
      <c r="B9" s="54" t="s">
        <v>82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6"/>
    </row>
    <row r="10" spans="1:14" x14ac:dyDescent="0.25">
      <c r="A10" t="s">
        <v>180</v>
      </c>
      <c r="B10" s="15" t="s">
        <v>181</v>
      </c>
      <c r="C10" s="15" t="s">
        <v>182</v>
      </c>
      <c r="D10" s="15" t="s">
        <v>183</v>
      </c>
      <c r="E10" s="15" t="s">
        <v>184</v>
      </c>
      <c r="F10" s="15" t="s">
        <v>185</v>
      </c>
      <c r="G10" s="15" t="s">
        <v>186</v>
      </c>
      <c r="H10" s="15" t="s">
        <v>187</v>
      </c>
      <c r="I10" s="15" t="s">
        <v>188</v>
      </c>
      <c r="J10" s="15" t="s">
        <v>189</v>
      </c>
      <c r="K10" s="15" t="s">
        <v>190</v>
      </c>
      <c r="L10" s="15" t="s">
        <v>191</v>
      </c>
      <c r="M10" s="15" t="s">
        <v>192</v>
      </c>
      <c r="N10" s="15" t="s">
        <v>193</v>
      </c>
    </row>
    <row r="11" spans="1:14" x14ac:dyDescent="0.25">
      <c r="A11">
        <v>0</v>
      </c>
      <c r="B11" s="62" t="s">
        <v>83</v>
      </c>
      <c r="C11" s="64">
        <v>80172</v>
      </c>
      <c r="D11" s="64">
        <v>38717</v>
      </c>
      <c r="E11" s="64">
        <v>6555</v>
      </c>
      <c r="F11" s="64">
        <v>2969</v>
      </c>
      <c r="G11" s="64">
        <v>73499</v>
      </c>
      <c r="H11" s="64">
        <v>35451</v>
      </c>
      <c r="I11" s="64">
        <v>6267</v>
      </c>
      <c r="J11" s="64">
        <v>2836</v>
      </c>
      <c r="K11" s="64">
        <v>6673</v>
      </c>
      <c r="L11" s="64">
        <v>3266</v>
      </c>
      <c r="M11" s="64">
        <v>288</v>
      </c>
      <c r="N11" s="64">
        <v>133</v>
      </c>
    </row>
    <row r="12" spans="1:14" ht="15" customHeight="1" x14ac:dyDescent="0.25">
      <c r="A12" s="60">
        <v>0</v>
      </c>
      <c r="B12" s="62" t="s">
        <v>87</v>
      </c>
      <c r="C12" s="64">
        <v>5424</v>
      </c>
      <c r="D12" s="64">
        <v>2011</v>
      </c>
      <c r="E12" s="64">
        <v>1516</v>
      </c>
      <c r="F12" s="64">
        <v>580</v>
      </c>
      <c r="G12" s="64">
        <v>4997</v>
      </c>
      <c r="H12" s="64">
        <v>1888</v>
      </c>
      <c r="I12" s="64">
        <v>1470</v>
      </c>
      <c r="J12" s="64">
        <v>562</v>
      </c>
      <c r="K12" s="64">
        <v>427</v>
      </c>
      <c r="L12" s="64">
        <v>123</v>
      </c>
      <c r="M12" s="64">
        <v>46</v>
      </c>
      <c r="N12" s="64">
        <v>18</v>
      </c>
    </row>
    <row r="13" spans="1:14" x14ac:dyDescent="0.25">
      <c r="A13" s="61">
        <v>1</v>
      </c>
      <c r="B13" s="63" t="s">
        <v>88</v>
      </c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6"/>
    </row>
    <row r="14" spans="1:14" x14ac:dyDescent="0.25">
      <c r="A14" s="61">
        <v>1</v>
      </c>
      <c r="B14" s="62" t="s">
        <v>83</v>
      </c>
      <c r="C14" s="64">
        <v>15002</v>
      </c>
      <c r="D14" s="64">
        <v>7176</v>
      </c>
      <c r="E14" s="64">
        <v>1269</v>
      </c>
      <c r="F14" s="64">
        <v>570</v>
      </c>
      <c r="G14" s="64">
        <v>13971</v>
      </c>
      <c r="H14" s="64">
        <v>6728</v>
      </c>
      <c r="I14" s="64">
        <v>1194</v>
      </c>
      <c r="J14" s="64">
        <v>536</v>
      </c>
      <c r="K14" s="64">
        <v>1031</v>
      </c>
      <c r="L14" s="64">
        <v>448</v>
      </c>
      <c r="M14" s="64">
        <v>75</v>
      </c>
      <c r="N14" s="64">
        <v>34</v>
      </c>
    </row>
    <row r="15" spans="1:14" ht="15" customHeight="1" x14ac:dyDescent="0.25">
      <c r="A15" s="61">
        <v>1</v>
      </c>
      <c r="B15" s="62" t="s">
        <v>87</v>
      </c>
      <c r="C15" s="64">
        <v>912</v>
      </c>
      <c r="D15" s="64">
        <v>301</v>
      </c>
      <c r="E15" s="64">
        <v>237</v>
      </c>
      <c r="F15" s="64">
        <v>78</v>
      </c>
      <c r="G15" s="64">
        <v>844</v>
      </c>
      <c r="H15" s="64">
        <v>284</v>
      </c>
      <c r="I15" s="64">
        <v>225</v>
      </c>
      <c r="J15" s="64">
        <v>72</v>
      </c>
      <c r="K15" s="64">
        <v>68</v>
      </c>
      <c r="L15" s="64">
        <v>17</v>
      </c>
      <c r="M15" s="64">
        <v>12</v>
      </c>
      <c r="N15" s="64">
        <v>6</v>
      </c>
    </row>
    <row r="16" spans="1:14" x14ac:dyDescent="0.25">
      <c r="A16" s="61">
        <v>101</v>
      </c>
      <c r="B16" s="63" t="s">
        <v>89</v>
      </c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6"/>
    </row>
    <row r="17" spans="1:14" x14ac:dyDescent="0.25">
      <c r="A17" s="61">
        <v>101</v>
      </c>
      <c r="B17" s="62" t="s">
        <v>83</v>
      </c>
      <c r="C17" s="64">
        <v>2414</v>
      </c>
      <c r="D17" s="64">
        <v>1177</v>
      </c>
      <c r="E17" s="64">
        <v>155</v>
      </c>
      <c r="F17" s="64">
        <v>68</v>
      </c>
      <c r="G17" s="64">
        <v>2225</v>
      </c>
      <c r="H17" s="64">
        <v>1104</v>
      </c>
      <c r="I17" s="64">
        <v>150</v>
      </c>
      <c r="J17" s="64">
        <v>66</v>
      </c>
      <c r="K17" s="64">
        <v>189</v>
      </c>
      <c r="L17" s="64">
        <v>73</v>
      </c>
      <c r="M17" s="64">
        <v>5</v>
      </c>
      <c r="N17" s="64">
        <v>2</v>
      </c>
    </row>
    <row r="18" spans="1:14" ht="15" customHeight="1" x14ac:dyDescent="0.25">
      <c r="A18" s="61">
        <v>101</v>
      </c>
      <c r="B18" s="62" t="s">
        <v>87</v>
      </c>
      <c r="C18" s="64">
        <v>148</v>
      </c>
      <c r="D18" s="64">
        <v>37</v>
      </c>
      <c r="E18" s="64">
        <v>27</v>
      </c>
      <c r="F18" s="64">
        <v>8</v>
      </c>
      <c r="G18" s="64">
        <v>142</v>
      </c>
      <c r="H18" s="64">
        <v>37</v>
      </c>
      <c r="I18" s="64">
        <v>26</v>
      </c>
      <c r="J18" s="64">
        <v>8</v>
      </c>
      <c r="K18" s="64">
        <v>6</v>
      </c>
      <c r="L18" s="64" t="s">
        <v>84</v>
      </c>
      <c r="M18" s="64">
        <v>1</v>
      </c>
      <c r="N18" s="64" t="s">
        <v>84</v>
      </c>
    </row>
    <row r="19" spans="1:14" x14ac:dyDescent="0.25">
      <c r="A19" s="61">
        <v>102</v>
      </c>
      <c r="B19" s="63" t="s">
        <v>90</v>
      </c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6"/>
    </row>
    <row r="20" spans="1:14" x14ac:dyDescent="0.25">
      <c r="A20" s="61">
        <v>102</v>
      </c>
      <c r="B20" s="62" t="s">
        <v>83</v>
      </c>
      <c r="C20" s="64">
        <v>1042</v>
      </c>
      <c r="D20" s="64">
        <v>507</v>
      </c>
      <c r="E20" s="64">
        <v>222</v>
      </c>
      <c r="F20" s="64">
        <v>111</v>
      </c>
      <c r="G20" s="64">
        <v>1042</v>
      </c>
      <c r="H20" s="64">
        <v>507</v>
      </c>
      <c r="I20" s="64">
        <v>222</v>
      </c>
      <c r="J20" s="64">
        <v>111</v>
      </c>
      <c r="K20" s="64" t="s">
        <v>84</v>
      </c>
      <c r="L20" s="64" t="s">
        <v>84</v>
      </c>
      <c r="M20" s="64" t="s">
        <v>84</v>
      </c>
      <c r="N20" s="64" t="s">
        <v>84</v>
      </c>
    </row>
    <row r="21" spans="1:14" ht="15" customHeight="1" x14ac:dyDescent="0.25">
      <c r="A21" s="61">
        <v>102</v>
      </c>
      <c r="B21" s="62" t="s">
        <v>87</v>
      </c>
      <c r="C21" s="64">
        <v>86</v>
      </c>
      <c r="D21" s="64">
        <v>33</v>
      </c>
      <c r="E21" s="64">
        <v>32</v>
      </c>
      <c r="F21" s="64">
        <v>14</v>
      </c>
      <c r="G21" s="64">
        <v>86</v>
      </c>
      <c r="H21" s="64">
        <v>33</v>
      </c>
      <c r="I21" s="64">
        <v>32</v>
      </c>
      <c r="J21" s="64">
        <v>14</v>
      </c>
      <c r="K21" s="64" t="s">
        <v>84</v>
      </c>
      <c r="L21" s="64" t="s">
        <v>84</v>
      </c>
      <c r="M21" s="64" t="s">
        <v>84</v>
      </c>
      <c r="N21" s="64" t="s">
        <v>84</v>
      </c>
    </row>
    <row r="22" spans="1:14" x14ac:dyDescent="0.25">
      <c r="A22" s="61">
        <v>103</v>
      </c>
      <c r="B22" s="63" t="s">
        <v>91</v>
      </c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6"/>
    </row>
    <row r="23" spans="1:14" x14ac:dyDescent="0.25">
      <c r="A23" s="61">
        <v>103</v>
      </c>
      <c r="B23" s="62" t="s">
        <v>83</v>
      </c>
      <c r="C23" s="64">
        <v>1447</v>
      </c>
      <c r="D23" s="64">
        <v>681</v>
      </c>
      <c r="E23" s="64">
        <v>187</v>
      </c>
      <c r="F23" s="64">
        <v>78</v>
      </c>
      <c r="G23" s="64">
        <v>1153</v>
      </c>
      <c r="H23" s="64">
        <v>550</v>
      </c>
      <c r="I23" s="64">
        <v>169</v>
      </c>
      <c r="J23" s="64">
        <v>70</v>
      </c>
      <c r="K23" s="64">
        <v>294</v>
      </c>
      <c r="L23" s="64">
        <v>131</v>
      </c>
      <c r="M23" s="64">
        <v>18</v>
      </c>
      <c r="N23" s="64">
        <v>8</v>
      </c>
    </row>
    <row r="24" spans="1:14" ht="15" customHeight="1" x14ac:dyDescent="0.25">
      <c r="A24" s="61">
        <v>103</v>
      </c>
      <c r="B24" s="62" t="s">
        <v>87</v>
      </c>
      <c r="C24" s="64">
        <v>80</v>
      </c>
      <c r="D24" s="64">
        <v>21</v>
      </c>
      <c r="E24" s="64">
        <v>29</v>
      </c>
      <c r="F24" s="64">
        <v>7</v>
      </c>
      <c r="G24" s="64">
        <v>77</v>
      </c>
      <c r="H24" s="64">
        <v>20</v>
      </c>
      <c r="I24" s="64">
        <v>29</v>
      </c>
      <c r="J24" s="64">
        <v>6</v>
      </c>
      <c r="K24" s="64">
        <v>3</v>
      </c>
      <c r="L24" s="64">
        <v>1</v>
      </c>
      <c r="M24" s="64" t="s">
        <v>84</v>
      </c>
      <c r="N24" s="64">
        <v>1</v>
      </c>
    </row>
    <row r="25" spans="1:14" x14ac:dyDescent="0.25">
      <c r="A25" s="61">
        <v>151</v>
      </c>
      <c r="B25" s="63" t="s">
        <v>92</v>
      </c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6"/>
    </row>
    <row r="26" spans="1:14" x14ac:dyDescent="0.25">
      <c r="A26" s="61">
        <v>151</v>
      </c>
      <c r="B26" s="62" t="s">
        <v>83</v>
      </c>
      <c r="C26" s="64">
        <v>1589</v>
      </c>
      <c r="D26" s="64">
        <v>793</v>
      </c>
      <c r="E26" s="64">
        <v>76</v>
      </c>
      <c r="F26" s="64">
        <v>42</v>
      </c>
      <c r="G26" s="64">
        <v>1488</v>
      </c>
      <c r="H26" s="64">
        <v>737</v>
      </c>
      <c r="I26" s="64">
        <v>76</v>
      </c>
      <c r="J26" s="64">
        <v>42</v>
      </c>
      <c r="K26" s="64">
        <v>101</v>
      </c>
      <c r="L26" s="64">
        <v>56</v>
      </c>
      <c r="M26" s="64" t="s">
        <v>84</v>
      </c>
      <c r="N26" s="64" t="s">
        <v>84</v>
      </c>
    </row>
    <row r="27" spans="1:14" ht="15" customHeight="1" x14ac:dyDescent="0.25">
      <c r="A27" s="61">
        <v>151</v>
      </c>
      <c r="B27" s="62" t="s">
        <v>87</v>
      </c>
      <c r="C27" s="64">
        <v>55</v>
      </c>
      <c r="D27" s="64">
        <v>18</v>
      </c>
      <c r="E27" s="64">
        <v>8</v>
      </c>
      <c r="F27" s="64">
        <v>3</v>
      </c>
      <c r="G27" s="64">
        <v>52</v>
      </c>
      <c r="H27" s="64">
        <v>17</v>
      </c>
      <c r="I27" s="64">
        <v>8</v>
      </c>
      <c r="J27" s="64">
        <v>3</v>
      </c>
      <c r="K27" s="64">
        <v>3</v>
      </c>
      <c r="L27" s="64">
        <v>1</v>
      </c>
      <c r="M27" s="64" t="s">
        <v>84</v>
      </c>
      <c r="N27" s="64" t="s">
        <v>84</v>
      </c>
    </row>
    <row r="28" spans="1:14" x14ac:dyDescent="0.25">
      <c r="A28" s="61">
        <v>153</v>
      </c>
      <c r="B28" s="63" t="s">
        <v>93</v>
      </c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6"/>
    </row>
    <row r="29" spans="1:14" x14ac:dyDescent="0.25">
      <c r="A29" s="61">
        <v>153</v>
      </c>
      <c r="B29" s="62" t="s">
        <v>83</v>
      </c>
      <c r="C29" s="64">
        <v>1150</v>
      </c>
      <c r="D29" s="64">
        <v>521</v>
      </c>
      <c r="E29" s="64">
        <v>98</v>
      </c>
      <c r="F29" s="64">
        <v>41</v>
      </c>
      <c r="G29" s="64">
        <v>1095</v>
      </c>
      <c r="H29" s="64">
        <v>513</v>
      </c>
      <c r="I29" s="64">
        <v>92</v>
      </c>
      <c r="J29" s="64">
        <v>40</v>
      </c>
      <c r="K29" s="64">
        <v>55</v>
      </c>
      <c r="L29" s="64">
        <v>8</v>
      </c>
      <c r="M29" s="64">
        <v>6</v>
      </c>
      <c r="N29" s="64">
        <v>1</v>
      </c>
    </row>
    <row r="30" spans="1:14" ht="15" customHeight="1" x14ac:dyDescent="0.25">
      <c r="A30" s="61">
        <v>153</v>
      </c>
      <c r="B30" s="62" t="s">
        <v>87</v>
      </c>
      <c r="C30" s="64">
        <v>88</v>
      </c>
      <c r="D30" s="64">
        <v>29</v>
      </c>
      <c r="E30" s="64">
        <v>18</v>
      </c>
      <c r="F30" s="64">
        <v>6</v>
      </c>
      <c r="G30" s="64">
        <v>80</v>
      </c>
      <c r="H30" s="64">
        <v>28</v>
      </c>
      <c r="I30" s="64">
        <v>18</v>
      </c>
      <c r="J30" s="64">
        <v>6</v>
      </c>
      <c r="K30" s="64">
        <v>8</v>
      </c>
      <c r="L30" s="64">
        <v>1</v>
      </c>
      <c r="M30" s="64" t="s">
        <v>84</v>
      </c>
      <c r="N30" s="64" t="s">
        <v>84</v>
      </c>
    </row>
    <row r="31" spans="1:14" x14ac:dyDescent="0.25">
      <c r="A31" s="61">
        <v>154</v>
      </c>
      <c r="B31" s="63" t="s">
        <v>94</v>
      </c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6"/>
    </row>
    <row r="32" spans="1:14" x14ac:dyDescent="0.25">
      <c r="A32" s="61">
        <v>154</v>
      </c>
      <c r="B32" s="62" t="s">
        <v>83</v>
      </c>
      <c r="C32" s="64">
        <v>687</v>
      </c>
      <c r="D32" s="64">
        <v>316</v>
      </c>
      <c r="E32" s="64">
        <v>54</v>
      </c>
      <c r="F32" s="64">
        <v>19</v>
      </c>
      <c r="G32" s="64">
        <v>687</v>
      </c>
      <c r="H32" s="64">
        <v>316</v>
      </c>
      <c r="I32" s="64">
        <v>54</v>
      </c>
      <c r="J32" s="64">
        <v>19</v>
      </c>
      <c r="K32" s="64" t="s">
        <v>84</v>
      </c>
      <c r="L32" s="64" t="s">
        <v>84</v>
      </c>
      <c r="M32" s="64" t="s">
        <v>84</v>
      </c>
      <c r="N32" s="64" t="s">
        <v>84</v>
      </c>
    </row>
    <row r="33" spans="1:14" ht="15" customHeight="1" x14ac:dyDescent="0.25">
      <c r="A33" s="61">
        <v>154</v>
      </c>
      <c r="B33" s="62" t="s">
        <v>87</v>
      </c>
      <c r="C33" s="64">
        <v>58</v>
      </c>
      <c r="D33" s="64">
        <v>21</v>
      </c>
      <c r="E33" s="64">
        <v>11</v>
      </c>
      <c r="F33" s="64">
        <v>6</v>
      </c>
      <c r="G33" s="64">
        <v>58</v>
      </c>
      <c r="H33" s="64">
        <v>21</v>
      </c>
      <c r="I33" s="64">
        <v>11</v>
      </c>
      <c r="J33" s="64">
        <v>6</v>
      </c>
      <c r="K33" s="64" t="s">
        <v>84</v>
      </c>
      <c r="L33" s="64" t="s">
        <v>84</v>
      </c>
      <c r="M33" s="64" t="s">
        <v>84</v>
      </c>
      <c r="N33" s="64" t="s">
        <v>84</v>
      </c>
    </row>
    <row r="34" spans="1:14" x14ac:dyDescent="0.25">
      <c r="A34" s="61">
        <v>155</v>
      </c>
      <c r="B34" s="63" t="s">
        <v>95</v>
      </c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6"/>
    </row>
    <row r="35" spans="1:14" x14ac:dyDescent="0.25">
      <c r="A35" s="61">
        <v>155</v>
      </c>
      <c r="B35" s="62" t="s">
        <v>83</v>
      </c>
      <c r="C35" s="64">
        <v>1309</v>
      </c>
      <c r="D35" s="64">
        <v>590</v>
      </c>
      <c r="E35" s="64">
        <v>79</v>
      </c>
      <c r="F35" s="64">
        <v>32</v>
      </c>
      <c r="G35" s="64">
        <v>1178</v>
      </c>
      <c r="H35" s="64">
        <v>535</v>
      </c>
      <c r="I35" s="64">
        <v>75</v>
      </c>
      <c r="J35" s="64">
        <v>30</v>
      </c>
      <c r="K35" s="64">
        <v>131</v>
      </c>
      <c r="L35" s="64">
        <v>55</v>
      </c>
      <c r="M35" s="64">
        <v>4</v>
      </c>
      <c r="N35" s="64">
        <v>2</v>
      </c>
    </row>
    <row r="36" spans="1:14" ht="15" customHeight="1" x14ac:dyDescent="0.25">
      <c r="A36" s="61">
        <v>155</v>
      </c>
      <c r="B36" s="62" t="s">
        <v>87</v>
      </c>
      <c r="C36" s="64">
        <v>69</v>
      </c>
      <c r="D36" s="64">
        <v>22</v>
      </c>
      <c r="E36" s="64">
        <v>16</v>
      </c>
      <c r="F36" s="64">
        <v>5</v>
      </c>
      <c r="G36" s="64">
        <v>57</v>
      </c>
      <c r="H36" s="64">
        <v>21</v>
      </c>
      <c r="I36" s="64">
        <v>14</v>
      </c>
      <c r="J36" s="64">
        <v>4</v>
      </c>
      <c r="K36" s="64">
        <v>12</v>
      </c>
      <c r="L36" s="64">
        <v>1</v>
      </c>
      <c r="M36" s="64">
        <v>2</v>
      </c>
      <c r="N36" s="64">
        <v>1</v>
      </c>
    </row>
    <row r="37" spans="1:14" x14ac:dyDescent="0.25">
      <c r="A37" s="61">
        <v>157</v>
      </c>
      <c r="B37" s="63" t="s">
        <v>96</v>
      </c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6"/>
    </row>
    <row r="38" spans="1:14" x14ac:dyDescent="0.25">
      <c r="A38" s="61">
        <v>157</v>
      </c>
      <c r="B38" s="62" t="s">
        <v>83</v>
      </c>
      <c r="C38" s="64">
        <v>1356</v>
      </c>
      <c r="D38" s="64">
        <v>662</v>
      </c>
      <c r="E38" s="64">
        <v>101</v>
      </c>
      <c r="F38" s="64">
        <v>38</v>
      </c>
      <c r="G38" s="64">
        <v>1356</v>
      </c>
      <c r="H38" s="64">
        <v>662</v>
      </c>
      <c r="I38" s="64">
        <v>101</v>
      </c>
      <c r="J38" s="64">
        <v>38</v>
      </c>
      <c r="K38" s="64" t="s">
        <v>84</v>
      </c>
      <c r="L38" s="64" t="s">
        <v>84</v>
      </c>
      <c r="M38" s="64" t="s">
        <v>84</v>
      </c>
      <c r="N38" s="64" t="s">
        <v>84</v>
      </c>
    </row>
    <row r="39" spans="1:14" ht="15" customHeight="1" x14ac:dyDescent="0.25">
      <c r="A39" s="61">
        <v>157</v>
      </c>
      <c r="B39" s="62" t="s">
        <v>87</v>
      </c>
      <c r="C39" s="64">
        <v>55</v>
      </c>
      <c r="D39" s="64">
        <v>16</v>
      </c>
      <c r="E39" s="64">
        <v>18</v>
      </c>
      <c r="F39" s="64">
        <v>3</v>
      </c>
      <c r="G39" s="64">
        <v>55</v>
      </c>
      <c r="H39" s="64">
        <v>16</v>
      </c>
      <c r="I39" s="64">
        <v>18</v>
      </c>
      <c r="J39" s="64">
        <v>3</v>
      </c>
      <c r="K39" s="64" t="s">
        <v>84</v>
      </c>
      <c r="L39" s="64" t="s">
        <v>84</v>
      </c>
      <c r="M39" s="64" t="s">
        <v>84</v>
      </c>
      <c r="N39" s="64" t="s">
        <v>84</v>
      </c>
    </row>
    <row r="40" spans="1:14" x14ac:dyDescent="0.25">
      <c r="A40" s="61">
        <v>158</v>
      </c>
      <c r="B40" s="63" t="s">
        <v>97</v>
      </c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6"/>
    </row>
    <row r="41" spans="1:14" x14ac:dyDescent="0.25">
      <c r="A41" s="61">
        <v>158</v>
      </c>
      <c r="B41" s="62" t="s">
        <v>83</v>
      </c>
      <c r="C41" s="64">
        <v>1009</v>
      </c>
      <c r="D41" s="64">
        <v>477</v>
      </c>
      <c r="E41" s="64">
        <v>62</v>
      </c>
      <c r="F41" s="64">
        <v>21</v>
      </c>
      <c r="G41" s="64">
        <v>996</v>
      </c>
      <c r="H41" s="64">
        <v>472</v>
      </c>
      <c r="I41" s="64">
        <v>62</v>
      </c>
      <c r="J41" s="64">
        <v>21</v>
      </c>
      <c r="K41" s="64">
        <v>13</v>
      </c>
      <c r="L41" s="64">
        <v>5</v>
      </c>
      <c r="M41" s="64" t="s">
        <v>84</v>
      </c>
      <c r="N41" s="64" t="s">
        <v>84</v>
      </c>
    </row>
    <row r="42" spans="1:14" ht="15" customHeight="1" x14ac:dyDescent="0.25">
      <c r="A42" s="61">
        <v>158</v>
      </c>
      <c r="B42" s="62" t="s">
        <v>87</v>
      </c>
      <c r="C42" s="64">
        <v>60</v>
      </c>
      <c r="D42" s="64">
        <v>22</v>
      </c>
      <c r="E42" s="64">
        <v>17</v>
      </c>
      <c r="F42" s="64">
        <v>2</v>
      </c>
      <c r="G42" s="64">
        <v>55</v>
      </c>
      <c r="H42" s="64">
        <v>20</v>
      </c>
      <c r="I42" s="64">
        <v>17</v>
      </c>
      <c r="J42" s="64">
        <v>2</v>
      </c>
      <c r="K42" s="64">
        <v>5</v>
      </c>
      <c r="L42" s="64">
        <v>2</v>
      </c>
      <c r="M42" s="64" t="s">
        <v>84</v>
      </c>
      <c r="N42" s="64" t="s">
        <v>84</v>
      </c>
    </row>
    <row r="43" spans="1:14" x14ac:dyDescent="0.25">
      <c r="A43" s="61">
        <v>159</v>
      </c>
      <c r="B43" s="63" t="s">
        <v>98</v>
      </c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6"/>
    </row>
    <row r="44" spans="1:14" x14ac:dyDescent="0.25">
      <c r="A44" s="61">
        <v>159</v>
      </c>
      <c r="B44" s="62" t="s">
        <v>83</v>
      </c>
      <c r="C44" s="64">
        <v>2999</v>
      </c>
      <c r="D44" s="64">
        <v>1452</v>
      </c>
      <c r="E44" s="64">
        <v>235</v>
      </c>
      <c r="F44" s="64">
        <v>120</v>
      </c>
      <c r="G44" s="64">
        <v>2751</v>
      </c>
      <c r="H44" s="64">
        <v>1332</v>
      </c>
      <c r="I44" s="64">
        <v>193</v>
      </c>
      <c r="J44" s="64">
        <v>99</v>
      </c>
      <c r="K44" s="64">
        <v>248</v>
      </c>
      <c r="L44" s="64">
        <v>120</v>
      </c>
      <c r="M44" s="64">
        <v>42</v>
      </c>
      <c r="N44" s="64">
        <v>21</v>
      </c>
    </row>
    <row r="45" spans="1:14" ht="15" customHeight="1" x14ac:dyDescent="0.25">
      <c r="A45" s="61">
        <v>159</v>
      </c>
      <c r="B45" s="62" t="s">
        <v>87</v>
      </c>
      <c r="C45" s="64">
        <v>213</v>
      </c>
      <c r="D45" s="64">
        <v>82</v>
      </c>
      <c r="E45" s="64">
        <v>61</v>
      </c>
      <c r="F45" s="64">
        <v>24</v>
      </c>
      <c r="G45" s="64">
        <v>182</v>
      </c>
      <c r="H45" s="64">
        <v>71</v>
      </c>
      <c r="I45" s="64">
        <v>52</v>
      </c>
      <c r="J45" s="64">
        <v>20</v>
      </c>
      <c r="K45" s="64">
        <v>31</v>
      </c>
      <c r="L45" s="64">
        <v>11</v>
      </c>
      <c r="M45" s="64">
        <v>9</v>
      </c>
      <c r="N45" s="64">
        <v>4</v>
      </c>
    </row>
    <row r="46" spans="1:14" x14ac:dyDescent="0.25">
      <c r="A46" s="61">
        <v>2</v>
      </c>
      <c r="B46" s="63" t="s">
        <v>99</v>
      </c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6"/>
    </row>
    <row r="47" spans="1:14" x14ac:dyDescent="0.25">
      <c r="A47" s="61">
        <v>2</v>
      </c>
      <c r="B47" s="62" t="s">
        <v>83</v>
      </c>
      <c r="C47" s="64">
        <v>21034</v>
      </c>
      <c r="D47" s="64">
        <v>10165</v>
      </c>
      <c r="E47" s="64">
        <v>2183</v>
      </c>
      <c r="F47" s="64">
        <v>1002</v>
      </c>
      <c r="G47" s="64">
        <v>19377</v>
      </c>
      <c r="H47" s="64">
        <v>9356</v>
      </c>
      <c r="I47" s="64">
        <v>2099</v>
      </c>
      <c r="J47" s="64">
        <v>957</v>
      </c>
      <c r="K47" s="64">
        <v>1657</v>
      </c>
      <c r="L47" s="64">
        <v>809</v>
      </c>
      <c r="M47" s="64">
        <v>84</v>
      </c>
      <c r="N47" s="64">
        <v>45</v>
      </c>
    </row>
    <row r="48" spans="1:14" ht="15" customHeight="1" x14ac:dyDescent="0.25">
      <c r="A48" s="61">
        <v>2</v>
      </c>
      <c r="B48" s="62" t="s">
        <v>87</v>
      </c>
      <c r="C48" s="64">
        <v>1411</v>
      </c>
      <c r="D48" s="64">
        <v>516</v>
      </c>
      <c r="E48" s="64">
        <v>490</v>
      </c>
      <c r="F48" s="64">
        <v>188</v>
      </c>
      <c r="G48" s="64">
        <v>1313</v>
      </c>
      <c r="H48" s="64">
        <v>486</v>
      </c>
      <c r="I48" s="64">
        <v>480</v>
      </c>
      <c r="J48" s="64">
        <v>183</v>
      </c>
      <c r="K48" s="64">
        <v>98</v>
      </c>
      <c r="L48" s="64">
        <v>30</v>
      </c>
      <c r="M48" s="64">
        <v>10</v>
      </c>
      <c r="N48" s="64">
        <v>5</v>
      </c>
    </row>
    <row r="49" spans="1:14" x14ac:dyDescent="0.25">
      <c r="A49" s="61">
        <v>241</v>
      </c>
      <c r="B49" s="63" t="s">
        <v>100</v>
      </c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6"/>
    </row>
    <row r="50" spans="1:14" x14ac:dyDescent="0.25">
      <c r="A50" s="61">
        <v>241</v>
      </c>
      <c r="B50" s="62" t="s">
        <v>83</v>
      </c>
      <c r="C50" s="64">
        <v>11195</v>
      </c>
      <c r="D50" s="64">
        <v>5375</v>
      </c>
      <c r="E50" s="64">
        <v>1311</v>
      </c>
      <c r="F50" s="64">
        <v>587</v>
      </c>
      <c r="G50" s="64">
        <v>10480</v>
      </c>
      <c r="H50" s="64">
        <v>5025</v>
      </c>
      <c r="I50" s="64">
        <v>1263</v>
      </c>
      <c r="J50" s="64">
        <v>557</v>
      </c>
      <c r="K50" s="64">
        <v>715</v>
      </c>
      <c r="L50" s="64">
        <v>350</v>
      </c>
      <c r="M50" s="64">
        <v>48</v>
      </c>
      <c r="N50" s="64">
        <v>30</v>
      </c>
    </row>
    <row r="51" spans="1:14" ht="15" customHeight="1" x14ac:dyDescent="0.25">
      <c r="A51" s="61">
        <v>241</v>
      </c>
      <c r="B51" s="62" t="s">
        <v>87</v>
      </c>
      <c r="C51" s="64">
        <v>660</v>
      </c>
      <c r="D51" s="64">
        <v>229</v>
      </c>
      <c r="E51" s="64">
        <v>259</v>
      </c>
      <c r="F51" s="64">
        <v>93</v>
      </c>
      <c r="G51" s="64">
        <v>611</v>
      </c>
      <c r="H51" s="64">
        <v>215</v>
      </c>
      <c r="I51" s="64">
        <v>251</v>
      </c>
      <c r="J51" s="64">
        <v>88</v>
      </c>
      <c r="K51" s="64">
        <v>49</v>
      </c>
      <c r="L51" s="64">
        <v>14</v>
      </c>
      <c r="M51" s="64">
        <v>8</v>
      </c>
      <c r="N51" s="64">
        <v>5</v>
      </c>
    </row>
    <row r="52" spans="1:14" x14ac:dyDescent="0.25">
      <c r="A52" s="61">
        <v>241001</v>
      </c>
      <c r="B52" s="63" t="s">
        <v>101</v>
      </c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6"/>
    </row>
    <row r="53" spans="1:14" x14ac:dyDescent="0.25">
      <c r="A53" s="61">
        <v>241001</v>
      </c>
      <c r="B53" s="62" t="s">
        <v>83</v>
      </c>
      <c r="C53" s="64">
        <v>4805</v>
      </c>
      <c r="D53" s="64">
        <v>2313</v>
      </c>
      <c r="E53" s="64">
        <v>638</v>
      </c>
      <c r="F53" s="64">
        <v>308</v>
      </c>
      <c r="G53" s="64">
        <v>4245</v>
      </c>
      <c r="H53" s="64">
        <v>2042</v>
      </c>
      <c r="I53" s="64">
        <v>595</v>
      </c>
      <c r="J53" s="64">
        <v>282</v>
      </c>
      <c r="K53" s="64">
        <v>560</v>
      </c>
      <c r="L53" s="64">
        <v>271</v>
      </c>
      <c r="M53" s="64">
        <v>43</v>
      </c>
      <c r="N53" s="64">
        <v>26</v>
      </c>
    </row>
    <row r="54" spans="1:14" x14ac:dyDescent="0.25">
      <c r="A54" s="61">
        <v>241001</v>
      </c>
      <c r="B54" s="62" t="s">
        <v>87</v>
      </c>
      <c r="C54" s="64">
        <v>320</v>
      </c>
      <c r="D54" s="64">
        <v>117</v>
      </c>
      <c r="E54" s="64">
        <v>135</v>
      </c>
      <c r="F54" s="64">
        <v>55</v>
      </c>
      <c r="G54" s="64">
        <v>282</v>
      </c>
      <c r="H54" s="64">
        <v>107</v>
      </c>
      <c r="I54" s="64">
        <v>129</v>
      </c>
      <c r="J54" s="64">
        <v>52</v>
      </c>
      <c r="K54" s="64">
        <v>38</v>
      </c>
      <c r="L54" s="64">
        <v>10</v>
      </c>
      <c r="M54" s="64">
        <v>6</v>
      </c>
      <c r="N54" s="64">
        <v>3</v>
      </c>
    </row>
    <row r="55" spans="1:14" x14ac:dyDescent="0.25">
      <c r="A55" s="61">
        <v>241999</v>
      </c>
      <c r="B55" s="63" t="s">
        <v>177</v>
      </c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6"/>
    </row>
    <row r="56" spans="1:14" x14ac:dyDescent="0.25">
      <c r="A56" s="61">
        <v>241999</v>
      </c>
      <c r="B56" s="62" t="s">
        <v>83</v>
      </c>
      <c r="C56" s="65">
        <f>C50-C53</f>
        <v>6390</v>
      </c>
      <c r="D56" s="65">
        <f t="shared" ref="D56:N56" si="0">D50-D53</f>
        <v>3062</v>
      </c>
      <c r="E56" s="65">
        <f t="shared" si="0"/>
        <v>673</v>
      </c>
      <c r="F56" s="65">
        <f t="shared" si="0"/>
        <v>279</v>
      </c>
      <c r="G56" s="65">
        <f t="shared" si="0"/>
        <v>6235</v>
      </c>
      <c r="H56" s="65">
        <f t="shared" si="0"/>
        <v>2983</v>
      </c>
      <c r="I56" s="65">
        <f t="shared" si="0"/>
        <v>668</v>
      </c>
      <c r="J56" s="65">
        <f t="shared" si="0"/>
        <v>275</v>
      </c>
      <c r="K56" s="65">
        <f t="shared" si="0"/>
        <v>155</v>
      </c>
      <c r="L56" s="65">
        <f t="shared" si="0"/>
        <v>79</v>
      </c>
      <c r="M56" s="65">
        <f t="shared" si="0"/>
        <v>5</v>
      </c>
      <c r="N56" s="65">
        <f t="shared" si="0"/>
        <v>4</v>
      </c>
    </row>
    <row r="57" spans="1:14" ht="15" customHeight="1" x14ac:dyDescent="0.25">
      <c r="A57" s="61">
        <v>241999</v>
      </c>
      <c r="B57" s="62" t="s">
        <v>87</v>
      </c>
      <c r="C57" s="65">
        <f>C51-C54</f>
        <v>340</v>
      </c>
      <c r="D57" s="65">
        <f t="shared" ref="D57:N57" si="1">D51-D54</f>
        <v>112</v>
      </c>
      <c r="E57" s="65">
        <f t="shared" si="1"/>
        <v>124</v>
      </c>
      <c r="F57" s="65">
        <f t="shared" si="1"/>
        <v>38</v>
      </c>
      <c r="G57" s="65">
        <f t="shared" si="1"/>
        <v>329</v>
      </c>
      <c r="H57" s="65">
        <f t="shared" si="1"/>
        <v>108</v>
      </c>
      <c r="I57" s="65">
        <f t="shared" si="1"/>
        <v>122</v>
      </c>
      <c r="J57" s="65">
        <f t="shared" si="1"/>
        <v>36</v>
      </c>
      <c r="K57" s="65">
        <f t="shared" si="1"/>
        <v>11</v>
      </c>
      <c r="L57" s="65">
        <f t="shared" si="1"/>
        <v>4</v>
      </c>
      <c r="M57" s="65">
        <f t="shared" si="1"/>
        <v>2</v>
      </c>
      <c r="N57" s="65">
        <f t="shared" si="1"/>
        <v>2</v>
      </c>
    </row>
    <row r="58" spans="1:14" x14ac:dyDescent="0.25">
      <c r="A58" s="61">
        <v>251</v>
      </c>
      <c r="B58" s="63" t="s">
        <v>102</v>
      </c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6"/>
    </row>
    <row r="59" spans="1:14" x14ac:dyDescent="0.25">
      <c r="A59" s="61">
        <v>251</v>
      </c>
      <c r="B59" s="62" t="s">
        <v>83</v>
      </c>
      <c r="C59" s="64">
        <v>2253</v>
      </c>
      <c r="D59" s="64">
        <v>1044</v>
      </c>
      <c r="E59" s="64">
        <v>150</v>
      </c>
      <c r="F59" s="64">
        <v>62</v>
      </c>
      <c r="G59" s="64">
        <v>2080</v>
      </c>
      <c r="H59" s="64">
        <v>977</v>
      </c>
      <c r="I59" s="64">
        <v>147</v>
      </c>
      <c r="J59" s="64">
        <v>60</v>
      </c>
      <c r="K59" s="64">
        <v>173</v>
      </c>
      <c r="L59" s="64">
        <v>67</v>
      </c>
      <c r="M59" s="64">
        <v>3</v>
      </c>
      <c r="N59" s="64">
        <v>2</v>
      </c>
    </row>
    <row r="60" spans="1:14" ht="15" customHeight="1" x14ac:dyDescent="0.25">
      <c r="A60" s="61">
        <v>251</v>
      </c>
      <c r="B60" s="62" t="s">
        <v>87</v>
      </c>
      <c r="C60" s="64">
        <v>123</v>
      </c>
      <c r="D60" s="64">
        <v>40</v>
      </c>
      <c r="E60" s="64">
        <v>43</v>
      </c>
      <c r="F60" s="64">
        <v>13</v>
      </c>
      <c r="G60" s="64">
        <v>112</v>
      </c>
      <c r="H60" s="64">
        <v>37</v>
      </c>
      <c r="I60" s="64">
        <v>43</v>
      </c>
      <c r="J60" s="64">
        <v>13</v>
      </c>
      <c r="K60" s="64">
        <v>11</v>
      </c>
      <c r="L60" s="64">
        <v>3</v>
      </c>
      <c r="M60" s="64" t="s">
        <v>84</v>
      </c>
      <c r="N60" s="64" t="s">
        <v>84</v>
      </c>
    </row>
    <row r="61" spans="1:14" x14ac:dyDescent="0.25">
      <c r="A61" s="61">
        <v>252</v>
      </c>
      <c r="B61" s="63" t="s">
        <v>103</v>
      </c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6"/>
    </row>
    <row r="62" spans="1:14" x14ac:dyDescent="0.25">
      <c r="A62" s="61">
        <v>252</v>
      </c>
      <c r="B62" s="62" t="s">
        <v>83</v>
      </c>
      <c r="C62" s="64">
        <v>1392</v>
      </c>
      <c r="D62" s="64">
        <v>701</v>
      </c>
      <c r="E62" s="64">
        <v>171</v>
      </c>
      <c r="F62" s="64">
        <v>88</v>
      </c>
      <c r="G62" s="64">
        <v>1392</v>
      </c>
      <c r="H62" s="64">
        <v>701</v>
      </c>
      <c r="I62" s="64">
        <v>171</v>
      </c>
      <c r="J62" s="64">
        <v>88</v>
      </c>
      <c r="K62" s="64" t="s">
        <v>84</v>
      </c>
      <c r="L62" s="64" t="s">
        <v>84</v>
      </c>
      <c r="M62" s="64" t="s">
        <v>84</v>
      </c>
      <c r="N62" s="64" t="s">
        <v>84</v>
      </c>
    </row>
    <row r="63" spans="1:14" ht="15" customHeight="1" x14ac:dyDescent="0.25">
      <c r="A63" s="61">
        <v>252</v>
      </c>
      <c r="B63" s="62" t="s">
        <v>87</v>
      </c>
      <c r="C63" s="64">
        <v>147</v>
      </c>
      <c r="D63" s="64">
        <v>61</v>
      </c>
      <c r="E63" s="64">
        <v>54</v>
      </c>
      <c r="F63" s="64">
        <v>29</v>
      </c>
      <c r="G63" s="64">
        <v>147</v>
      </c>
      <c r="H63" s="64">
        <v>61</v>
      </c>
      <c r="I63" s="64">
        <v>54</v>
      </c>
      <c r="J63" s="64">
        <v>29</v>
      </c>
      <c r="K63" s="64" t="s">
        <v>84</v>
      </c>
      <c r="L63" s="64" t="s">
        <v>84</v>
      </c>
      <c r="M63" s="64" t="s">
        <v>84</v>
      </c>
      <c r="N63" s="64" t="s">
        <v>84</v>
      </c>
    </row>
    <row r="64" spans="1:14" x14ac:dyDescent="0.25">
      <c r="A64" s="61">
        <v>254</v>
      </c>
      <c r="B64" s="63" t="s">
        <v>104</v>
      </c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6"/>
    </row>
    <row r="65" spans="1:14" x14ac:dyDescent="0.25">
      <c r="A65" s="61">
        <v>254</v>
      </c>
      <c r="B65" s="62" t="s">
        <v>83</v>
      </c>
      <c r="C65" s="64">
        <v>2919</v>
      </c>
      <c r="D65" s="64">
        <v>1427</v>
      </c>
      <c r="E65" s="64">
        <v>262</v>
      </c>
      <c r="F65" s="64">
        <v>128</v>
      </c>
      <c r="G65" s="64">
        <v>2226</v>
      </c>
      <c r="H65" s="64">
        <v>1071</v>
      </c>
      <c r="I65" s="64">
        <v>240</v>
      </c>
      <c r="J65" s="64">
        <v>119</v>
      </c>
      <c r="K65" s="64">
        <v>693</v>
      </c>
      <c r="L65" s="64">
        <v>356</v>
      </c>
      <c r="M65" s="64">
        <v>22</v>
      </c>
      <c r="N65" s="64">
        <v>9</v>
      </c>
    </row>
    <row r="66" spans="1:14" ht="15" customHeight="1" x14ac:dyDescent="0.25">
      <c r="A66" s="61">
        <v>254</v>
      </c>
      <c r="B66" s="62" t="s">
        <v>87</v>
      </c>
      <c r="C66" s="64">
        <v>211</v>
      </c>
      <c r="D66" s="64">
        <v>90</v>
      </c>
      <c r="E66" s="64">
        <v>72</v>
      </c>
      <c r="F66" s="64">
        <v>32</v>
      </c>
      <c r="G66" s="64">
        <v>174</v>
      </c>
      <c r="H66" s="64">
        <v>77</v>
      </c>
      <c r="I66" s="64">
        <v>70</v>
      </c>
      <c r="J66" s="64">
        <v>32</v>
      </c>
      <c r="K66" s="64">
        <v>37</v>
      </c>
      <c r="L66" s="64">
        <v>13</v>
      </c>
      <c r="M66" s="64">
        <v>2</v>
      </c>
      <c r="N66" s="64" t="s">
        <v>84</v>
      </c>
    </row>
    <row r="67" spans="1:14" x14ac:dyDescent="0.25">
      <c r="A67" s="61">
        <v>255</v>
      </c>
      <c r="B67" s="63" t="s">
        <v>105</v>
      </c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6"/>
    </row>
    <row r="68" spans="1:14" x14ac:dyDescent="0.25">
      <c r="A68" s="61">
        <v>255</v>
      </c>
      <c r="B68" s="62" t="s">
        <v>83</v>
      </c>
      <c r="C68" s="64">
        <v>515</v>
      </c>
      <c r="D68" s="64">
        <v>236</v>
      </c>
      <c r="E68" s="64">
        <v>34</v>
      </c>
      <c r="F68" s="64">
        <v>15</v>
      </c>
      <c r="G68" s="64">
        <v>463</v>
      </c>
      <c r="H68" s="64">
        <v>209</v>
      </c>
      <c r="I68" s="64">
        <v>24</v>
      </c>
      <c r="J68" s="64">
        <v>11</v>
      </c>
      <c r="K68" s="64">
        <v>52</v>
      </c>
      <c r="L68" s="64">
        <v>27</v>
      </c>
      <c r="M68" s="64">
        <v>10</v>
      </c>
      <c r="N68" s="64">
        <v>4</v>
      </c>
    </row>
    <row r="69" spans="1:14" ht="15" customHeight="1" x14ac:dyDescent="0.25">
      <c r="A69" s="61">
        <v>255</v>
      </c>
      <c r="B69" s="62" t="s">
        <v>87</v>
      </c>
      <c r="C69" s="64">
        <v>63</v>
      </c>
      <c r="D69" s="64">
        <v>19</v>
      </c>
      <c r="E69" s="64">
        <v>7</v>
      </c>
      <c r="F69" s="64" t="s">
        <v>84</v>
      </c>
      <c r="G69" s="64">
        <v>63</v>
      </c>
      <c r="H69" s="64">
        <v>19</v>
      </c>
      <c r="I69" s="64">
        <v>7</v>
      </c>
      <c r="J69" s="64" t="s">
        <v>84</v>
      </c>
      <c r="K69" s="64" t="s">
        <v>84</v>
      </c>
      <c r="L69" s="64" t="s">
        <v>84</v>
      </c>
      <c r="M69" s="64" t="s">
        <v>84</v>
      </c>
      <c r="N69" s="64" t="s">
        <v>84</v>
      </c>
    </row>
    <row r="70" spans="1:14" x14ac:dyDescent="0.25">
      <c r="A70" s="61">
        <v>256</v>
      </c>
      <c r="B70" s="63" t="s">
        <v>106</v>
      </c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6"/>
    </row>
    <row r="71" spans="1:14" x14ac:dyDescent="0.25">
      <c r="A71" s="61">
        <v>256</v>
      </c>
      <c r="B71" s="62" t="s">
        <v>83</v>
      </c>
      <c r="C71" s="64">
        <v>1267</v>
      </c>
      <c r="D71" s="64">
        <v>612</v>
      </c>
      <c r="E71" s="64">
        <v>124</v>
      </c>
      <c r="F71" s="64">
        <v>54</v>
      </c>
      <c r="G71" s="64">
        <v>1259</v>
      </c>
      <c r="H71" s="64">
        <v>609</v>
      </c>
      <c r="I71" s="64">
        <v>124</v>
      </c>
      <c r="J71" s="64">
        <v>54</v>
      </c>
      <c r="K71" s="64">
        <v>8</v>
      </c>
      <c r="L71" s="64">
        <v>3</v>
      </c>
      <c r="M71" s="64" t="s">
        <v>84</v>
      </c>
      <c r="N71" s="64" t="s">
        <v>84</v>
      </c>
    </row>
    <row r="72" spans="1:14" ht="15" customHeight="1" x14ac:dyDescent="0.25">
      <c r="A72" s="61">
        <v>256</v>
      </c>
      <c r="B72" s="62" t="s">
        <v>87</v>
      </c>
      <c r="C72" s="64">
        <v>85</v>
      </c>
      <c r="D72" s="64">
        <v>31</v>
      </c>
      <c r="E72" s="64">
        <v>25</v>
      </c>
      <c r="F72" s="64">
        <v>9</v>
      </c>
      <c r="G72" s="64">
        <v>84</v>
      </c>
      <c r="H72" s="64">
        <v>31</v>
      </c>
      <c r="I72" s="64">
        <v>25</v>
      </c>
      <c r="J72" s="64">
        <v>9</v>
      </c>
      <c r="K72" s="64">
        <v>1</v>
      </c>
      <c r="L72" s="64" t="s">
        <v>84</v>
      </c>
      <c r="M72" s="64" t="s">
        <v>84</v>
      </c>
      <c r="N72" s="64" t="s">
        <v>84</v>
      </c>
    </row>
    <row r="73" spans="1:14" x14ac:dyDescent="0.25">
      <c r="A73" s="61">
        <v>257</v>
      </c>
      <c r="B73" s="63" t="s">
        <v>107</v>
      </c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6"/>
    </row>
    <row r="74" spans="1:14" x14ac:dyDescent="0.25">
      <c r="A74" s="61">
        <v>257</v>
      </c>
      <c r="B74" s="62" t="s">
        <v>83</v>
      </c>
      <c r="C74" s="64">
        <v>1493</v>
      </c>
      <c r="D74" s="64">
        <v>770</v>
      </c>
      <c r="E74" s="64">
        <v>131</v>
      </c>
      <c r="F74" s="64">
        <v>68</v>
      </c>
      <c r="G74" s="64">
        <v>1477</v>
      </c>
      <c r="H74" s="64">
        <v>764</v>
      </c>
      <c r="I74" s="64">
        <v>130</v>
      </c>
      <c r="J74" s="64">
        <v>68</v>
      </c>
      <c r="K74" s="64">
        <v>16</v>
      </c>
      <c r="L74" s="64">
        <v>6</v>
      </c>
      <c r="M74" s="64">
        <v>1</v>
      </c>
      <c r="N74" s="64" t="s">
        <v>84</v>
      </c>
    </row>
    <row r="75" spans="1:14" ht="15" customHeight="1" x14ac:dyDescent="0.25">
      <c r="A75" s="61">
        <v>257</v>
      </c>
      <c r="B75" s="62" t="s">
        <v>87</v>
      </c>
      <c r="C75" s="64">
        <v>122</v>
      </c>
      <c r="D75" s="64">
        <v>46</v>
      </c>
      <c r="E75" s="64">
        <v>30</v>
      </c>
      <c r="F75" s="64">
        <v>12</v>
      </c>
      <c r="G75" s="64">
        <v>122</v>
      </c>
      <c r="H75" s="64">
        <v>46</v>
      </c>
      <c r="I75" s="64">
        <v>30</v>
      </c>
      <c r="J75" s="64">
        <v>12</v>
      </c>
      <c r="K75" s="64" t="s">
        <v>84</v>
      </c>
      <c r="L75" s="64" t="s">
        <v>84</v>
      </c>
      <c r="M75" s="64" t="s">
        <v>84</v>
      </c>
      <c r="N75" s="64" t="s">
        <v>84</v>
      </c>
    </row>
    <row r="76" spans="1:14" x14ac:dyDescent="0.25">
      <c r="A76" s="61">
        <v>3</v>
      </c>
      <c r="B76" s="63" t="s">
        <v>108</v>
      </c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6"/>
    </row>
    <row r="77" spans="1:14" x14ac:dyDescent="0.25">
      <c r="A77" s="61">
        <v>3</v>
      </c>
      <c r="B77" s="62" t="s">
        <v>83</v>
      </c>
      <c r="C77" s="64">
        <v>17040</v>
      </c>
      <c r="D77" s="64">
        <v>8347</v>
      </c>
      <c r="E77" s="64">
        <v>939</v>
      </c>
      <c r="F77" s="64">
        <v>445</v>
      </c>
      <c r="G77" s="64">
        <v>16395</v>
      </c>
      <c r="H77" s="64">
        <v>8040</v>
      </c>
      <c r="I77" s="64">
        <v>927</v>
      </c>
      <c r="J77" s="64">
        <v>442</v>
      </c>
      <c r="K77" s="64">
        <v>645</v>
      </c>
      <c r="L77" s="64">
        <v>307</v>
      </c>
      <c r="M77" s="64">
        <v>12</v>
      </c>
      <c r="N77" s="64">
        <v>3</v>
      </c>
    </row>
    <row r="78" spans="1:14" ht="15" customHeight="1" x14ac:dyDescent="0.25">
      <c r="A78" s="61">
        <v>3</v>
      </c>
      <c r="B78" s="62" t="s">
        <v>87</v>
      </c>
      <c r="C78" s="64">
        <v>1129</v>
      </c>
      <c r="D78" s="64">
        <v>435</v>
      </c>
      <c r="E78" s="64">
        <v>229</v>
      </c>
      <c r="F78" s="64">
        <v>95</v>
      </c>
      <c r="G78" s="64">
        <v>1048</v>
      </c>
      <c r="H78" s="64">
        <v>413</v>
      </c>
      <c r="I78" s="64">
        <v>225</v>
      </c>
      <c r="J78" s="64">
        <v>95</v>
      </c>
      <c r="K78" s="64">
        <v>81</v>
      </c>
      <c r="L78" s="64">
        <v>22</v>
      </c>
      <c r="M78" s="64">
        <v>4</v>
      </c>
      <c r="N78" s="64" t="s">
        <v>84</v>
      </c>
    </row>
    <row r="79" spans="1:14" x14ac:dyDescent="0.25">
      <c r="A79" s="61">
        <v>351</v>
      </c>
      <c r="B79" s="63" t="s">
        <v>109</v>
      </c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6"/>
    </row>
    <row r="80" spans="1:14" x14ac:dyDescent="0.25">
      <c r="A80" s="61">
        <v>351</v>
      </c>
      <c r="B80" s="62" t="s">
        <v>83</v>
      </c>
      <c r="C80" s="64">
        <v>1722</v>
      </c>
      <c r="D80" s="64">
        <v>872</v>
      </c>
      <c r="E80" s="64">
        <v>121</v>
      </c>
      <c r="F80" s="64">
        <v>60</v>
      </c>
      <c r="G80" s="64">
        <v>1711</v>
      </c>
      <c r="H80" s="64">
        <v>868</v>
      </c>
      <c r="I80" s="64">
        <v>121</v>
      </c>
      <c r="J80" s="64">
        <v>60</v>
      </c>
      <c r="K80" s="64">
        <v>11</v>
      </c>
      <c r="L80" s="64">
        <v>4</v>
      </c>
      <c r="M80" s="64" t="s">
        <v>84</v>
      </c>
      <c r="N80" s="64" t="s">
        <v>84</v>
      </c>
    </row>
    <row r="81" spans="1:14" ht="15" customHeight="1" x14ac:dyDescent="0.25">
      <c r="A81" s="61">
        <v>351</v>
      </c>
      <c r="B81" s="62" t="s">
        <v>87</v>
      </c>
      <c r="C81" s="64">
        <v>123</v>
      </c>
      <c r="D81" s="64">
        <v>54</v>
      </c>
      <c r="E81" s="64">
        <v>30</v>
      </c>
      <c r="F81" s="64">
        <v>11</v>
      </c>
      <c r="G81" s="64">
        <v>120</v>
      </c>
      <c r="H81" s="64">
        <v>53</v>
      </c>
      <c r="I81" s="64">
        <v>30</v>
      </c>
      <c r="J81" s="64">
        <v>11</v>
      </c>
      <c r="K81" s="64">
        <v>3</v>
      </c>
      <c r="L81" s="64">
        <v>1</v>
      </c>
      <c r="M81" s="64" t="s">
        <v>84</v>
      </c>
      <c r="N81" s="64" t="s">
        <v>84</v>
      </c>
    </row>
    <row r="82" spans="1:14" x14ac:dyDescent="0.25">
      <c r="A82" s="61">
        <v>352</v>
      </c>
      <c r="B82" s="63" t="s">
        <v>110</v>
      </c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6"/>
    </row>
    <row r="83" spans="1:14" x14ac:dyDescent="0.25">
      <c r="A83" s="61">
        <v>352</v>
      </c>
      <c r="B83" s="62" t="s">
        <v>83</v>
      </c>
      <c r="C83" s="64">
        <v>1795</v>
      </c>
      <c r="D83" s="64">
        <v>859</v>
      </c>
      <c r="E83" s="64">
        <v>128</v>
      </c>
      <c r="F83" s="64">
        <v>55</v>
      </c>
      <c r="G83" s="64">
        <v>1695</v>
      </c>
      <c r="H83" s="64">
        <v>816</v>
      </c>
      <c r="I83" s="64">
        <v>126</v>
      </c>
      <c r="J83" s="64">
        <v>55</v>
      </c>
      <c r="K83" s="64">
        <v>100</v>
      </c>
      <c r="L83" s="64">
        <v>43</v>
      </c>
      <c r="M83" s="64">
        <v>2</v>
      </c>
      <c r="N83" s="64" t="s">
        <v>84</v>
      </c>
    </row>
    <row r="84" spans="1:14" ht="15" customHeight="1" x14ac:dyDescent="0.25">
      <c r="A84" s="61">
        <v>352</v>
      </c>
      <c r="B84" s="62" t="s">
        <v>87</v>
      </c>
      <c r="C84" s="64">
        <v>151</v>
      </c>
      <c r="D84" s="64">
        <v>54</v>
      </c>
      <c r="E84" s="64">
        <v>35</v>
      </c>
      <c r="F84" s="64">
        <v>15</v>
      </c>
      <c r="G84" s="64">
        <v>151</v>
      </c>
      <c r="H84" s="64">
        <v>54</v>
      </c>
      <c r="I84" s="64">
        <v>35</v>
      </c>
      <c r="J84" s="64">
        <v>15</v>
      </c>
      <c r="K84" s="64" t="s">
        <v>84</v>
      </c>
      <c r="L84" s="64" t="s">
        <v>84</v>
      </c>
      <c r="M84" s="64" t="s">
        <v>84</v>
      </c>
      <c r="N84" s="64" t="s">
        <v>84</v>
      </c>
    </row>
    <row r="85" spans="1:14" x14ac:dyDescent="0.25">
      <c r="A85" s="61">
        <v>353</v>
      </c>
      <c r="B85" s="63" t="s">
        <v>111</v>
      </c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6"/>
    </row>
    <row r="86" spans="1:14" x14ac:dyDescent="0.25">
      <c r="A86" s="61">
        <v>353</v>
      </c>
      <c r="B86" s="62" t="s">
        <v>83</v>
      </c>
      <c r="C86" s="64">
        <v>2372</v>
      </c>
      <c r="D86" s="64">
        <v>1132</v>
      </c>
      <c r="E86" s="64">
        <v>116</v>
      </c>
      <c r="F86" s="64">
        <v>56</v>
      </c>
      <c r="G86" s="64">
        <v>2326</v>
      </c>
      <c r="H86" s="64">
        <v>1106</v>
      </c>
      <c r="I86" s="64">
        <v>116</v>
      </c>
      <c r="J86" s="64">
        <v>56</v>
      </c>
      <c r="K86" s="64">
        <v>46</v>
      </c>
      <c r="L86" s="64">
        <v>26</v>
      </c>
      <c r="M86" s="64" t="s">
        <v>84</v>
      </c>
      <c r="N86" s="64" t="s">
        <v>84</v>
      </c>
    </row>
    <row r="87" spans="1:14" ht="15" customHeight="1" x14ac:dyDescent="0.25">
      <c r="A87" s="61">
        <v>353</v>
      </c>
      <c r="B87" s="62" t="s">
        <v>87</v>
      </c>
      <c r="C87" s="64">
        <v>120</v>
      </c>
      <c r="D87" s="64">
        <v>49</v>
      </c>
      <c r="E87" s="64">
        <v>21</v>
      </c>
      <c r="F87" s="64">
        <v>9</v>
      </c>
      <c r="G87" s="64">
        <v>113</v>
      </c>
      <c r="H87" s="64">
        <v>46</v>
      </c>
      <c r="I87" s="64">
        <v>21</v>
      </c>
      <c r="J87" s="64">
        <v>9</v>
      </c>
      <c r="K87" s="64">
        <v>7</v>
      </c>
      <c r="L87" s="64">
        <v>3</v>
      </c>
      <c r="M87" s="64" t="s">
        <v>84</v>
      </c>
      <c r="N87" s="64" t="s">
        <v>84</v>
      </c>
    </row>
    <row r="88" spans="1:14" x14ac:dyDescent="0.25">
      <c r="A88" s="61">
        <v>354</v>
      </c>
      <c r="B88" s="63" t="s">
        <v>112</v>
      </c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6"/>
    </row>
    <row r="89" spans="1:14" x14ac:dyDescent="0.25">
      <c r="A89" s="61">
        <v>354</v>
      </c>
      <c r="B89" s="62" t="s">
        <v>83</v>
      </c>
      <c r="C89" s="64">
        <v>552</v>
      </c>
      <c r="D89" s="64">
        <v>275</v>
      </c>
      <c r="E89" s="64">
        <v>18</v>
      </c>
      <c r="F89" s="64">
        <v>6</v>
      </c>
      <c r="G89" s="64">
        <v>483</v>
      </c>
      <c r="H89" s="64">
        <v>244</v>
      </c>
      <c r="I89" s="64">
        <v>16</v>
      </c>
      <c r="J89" s="64">
        <v>6</v>
      </c>
      <c r="K89" s="64">
        <v>69</v>
      </c>
      <c r="L89" s="64">
        <v>31</v>
      </c>
      <c r="M89" s="64">
        <v>2</v>
      </c>
      <c r="N89" s="64" t="s">
        <v>84</v>
      </c>
    </row>
    <row r="90" spans="1:14" ht="15" customHeight="1" x14ac:dyDescent="0.25">
      <c r="A90" s="61">
        <v>354</v>
      </c>
      <c r="B90" s="62" t="s">
        <v>87</v>
      </c>
      <c r="C90" s="64">
        <v>43</v>
      </c>
      <c r="D90" s="64">
        <v>8</v>
      </c>
      <c r="E90" s="64">
        <v>3</v>
      </c>
      <c r="F90" s="64" t="s">
        <v>84</v>
      </c>
      <c r="G90" s="64">
        <v>22</v>
      </c>
      <c r="H90" s="64">
        <v>4</v>
      </c>
      <c r="I90" s="64">
        <v>1</v>
      </c>
      <c r="J90" s="64" t="s">
        <v>84</v>
      </c>
      <c r="K90" s="64">
        <v>21</v>
      </c>
      <c r="L90" s="64">
        <v>4</v>
      </c>
      <c r="M90" s="64">
        <v>2</v>
      </c>
      <c r="N90" s="64" t="s">
        <v>84</v>
      </c>
    </row>
    <row r="91" spans="1:14" x14ac:dyDescent="0.25">
      <c r="A91" s="61">
        <v>355</v>
      </c>
      <c r="B91" s="63" t="s">
        <v>113</v>
      </c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6"/>
    </row>
    <row r="92" spans="1:14" x14ac:dyDescent="0.25">
      <c r="A92" s="61">
        <v>355</v>
      </c>
      <c r="B92" s="62" t="s">
        <v>83</v>
      </c>
      <c r="C92" s="64">
        <v>1909</v>
      </c>
      <c r="D92" s="64">
        <v>911</v>
      </c>
      <c r="E92" s="64">
        <v>133</v>
      </c>
      <c r="F92" s="64">
        <v>58</v>
      </c>
      <c r="G92" s="64">
        <v>1797</v>
      </c>
      <c r="H92" s="64">
        <v>858</v>
      </c>
      <c r="I92" s="64">
        <v>128</v>
      </c>
      <c r="J92" s="64">
        <v>55</v>
      </c>
      <c r="K92" s="64">
        <v>112</v>
      </c>
      <c r="L92" s="64">
        <v>53</v>
      </c>
      <c r="M92" s="64">
        <v>5</v>
      </c>
      <c r="N92" s="64">
        <v>3</v>
      </c>
    </row>
    <row r="93" spans="1:14" ht="15" customHeight="1" x14ac:dyDescent="0.25">
      <c r="A93" s="61">
        <v>355</v>
      </c>
      <c r="B93" s="62" t="s">
        <v>87</v>
      </c>
      <c r="C93" s="64">
        <v>109</v>
      </c>
      <c r="D93" s="64">
        <v>46</v>
      </c>
      <c r="E93" s="64">
        <v>27</v>
      </c>
      <c r="F93" s="64">
        <v>13</v>
      </c>
      <c r="G93" s="64">
        <v>108</v>
      </c>
      <c r="H93" s="64">
        <v>46</v>
      </c>
      <c r="I93" s="64">
        <v>27</v>
      </c>
      <c r="J93" s="64">
        <v>13</v>
      </c>
      <c r="K93" s="64">
        <v>1</v>
      </c>
      <c r="L93" s="64" t="s">
        <v>84</v>
      </c>
      <c r="M93" s="64" t="s">
        <v>84</v>
      </c>
      <c r="N93" s="64" t="s">
        <v>84</v>
      </c>
    </row>
    <row r="94" spans="1:14" x14ac:dyDescent="0.25">
      <c r="A94" s="61">
        <v>356</v>
      </c>
      <c r="B94" s="63" t="s">
        <v>114</v>
      </c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6"/>
    </row>
    <row r="95" spans="1:14" x14ac:dyDescent="0.25">
      <c r="A95" s="61">
        <v>356</v>
      </c>
      <c r="B95" s="62" t="s">
        <v>83</v>
      </c>
      <c r="C95" s="64">
        <v>1027</v>
      </c>
      <c r="D95" s="64">
        <v>516</v>
      </c>
      <c r="E95" s="64">
        <v>45</v>
      </c>
      <c r="F95" s="64">
        <v>18</v>
      </c>
      <c r="G95" s="64">
        <v>1027</v>
      </c>
      <c r="H95" s="64">
        <v>516</v>
      </c>
      <c r="I95" s="64">
        <v>45</v>
      </c>
      <c r="J95" s="64">
        <v>18</v>
      </c>
      <c r="K95" s="64" t="s">
        <v>84</v>
      </c>
      <c r="L95" s="64" t="s">
        <v>84</v>
      </c>
      <c r="M95" s="64" t="s">
        <v>84</v>
      </c>
      <c r="N95" s="64" t="s">
        <v>84</v>
      </c>
    </row>
    <row r="96" spans="1:14" ht="15" customHeight="1" x14ac:dyDescent="0.25">
      <c r="A96" s="61">
        <v>356</v>
      </c>
      <c r="B96" s="62" t="s">
        <v>87</v>
      </c>
      <c r="C96" s="64">
        <v>48</v>
      </c>
      <c r="D96" s="64">
        <v>19</v>
      </c>
      <c r="E96" s="64">
        <v>13</v>
      </c>
      <c r="F96" s="64">
        <v>4</v>
      </c>
      <c r="G96" s="64">
        <v>48</v>
      </c>
      <c r="H96" s="64">
        <v>19</v>
      </c>
      <c r="I96" s="64">
        <v>13</v>
      </c>
      <c r="J96" s="64">
        <v>4</v>
      </c>
      <c r="K96" s="64" t="s">
        <v>84</v>
      </c>
      <c r="L96" s="64" t="s">
        <v>84</v>
      </c>
      <c r="M96" s="64" t="s">
        <v>84</v>
      </c>
      <c r="N96" s="64" t="s">
        <v>84</v>
      </c>
    </row>
    <row r="97" spans="1:14" x14ac:dyDescent="0.25">
      <c r="A97" s="61">
        <v>357</v>
      </c>
      <c r="B97" s="63" t="s">
        <v>115</v>
      </c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6"/>
    </row>
    <row r="98" spans="1:14" x14ac:dyDescent="0.25">
      <c r="A98" s="61">
        <v>357</v>
      </c>
      <c r="B98" s="62" t="s">
        <v>83</v>
      </c>
      <c r="C98" s="64">
        <v>1865</v>
      </c>
      <c r="D98" s="64">
        <v>896</v>
      </c>
      <c r="E98" s="64">
        <v>91</v>
      </c>
      <c r="F98" s="64">
        <v>41</v>
      </c>
      <c r="G98" s="64">
        <v>1701</v>
      </c>
      <c r="H98" s="64">
        <v>806</v>
      </c>
      <c r="I98" s="64">
        <v>88</v>
      </c>
      <c r="J98" s="64">
        <v>41</v>
      </c>
      <c r="K98" s="64">
        <v>164</v>
      </c>
      <c r="L98" s="64">
        <v>90</v>
      </c>
      <c r="M98" s="64">
        <v>3</v>
      </c>
      <c r="N98" s="64" t="s">
        <v>84</v>
      </c>
    </row>
    <row r="99" spans="1:14" ht="15" customHeight="1" x14ac:dyDescent="0.25">
      <c r="A99" s="61">
        <v>357</v>
      </c>
      <c r="B99" s="62" t="s">
        <v>87</v>
      </c>
      <c r="C99" s="64">
        <v>159</v>
      </c>
      <c r="D99" s="64">
        <v>52</v>
      </c>
      <c r="E99" s="64">
        <v>28</v>
      </c>
      <c r="F99" s="64">
        <v>10</v>
      </c>
      <c r="G99" s="64">
        <v>140</v>
      </c>
      <c r="H99" s="64">
        <v>46</v>
      </c>
      <c r="I99" s="64">
        <v>26</v>
      </c>
      <c r="J99" s="64">
        <v>10</v>
      </c>
      <c r="K99" s="64">
        <v>19</v>
      </c>
      <c r="L99" s="64">
        <v>6</v>
      </c>
      <c r="M99" s="64">
        <v>2</v>
      </c>
      <c r="N99" s="64" t="s">
        <v>84</v>
      </c>
    </row>
    <row r="100" spans="1:14" x14ac:dyDescent="0.25">
      <c r="A100" s="61">
        <v>358</v>
      </c>
      <c r="B100" s="63" t="s">
        <v>116</v>
      </c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6"/>
    </row>
    <row r="101" spans="1:14" x14ac:dyDescent="0.25">
      <c r="A101" s="61">
        <v>358</v>
      </c>
      <c r="B101" s="62" t="s">
        <v>83</v>
      </c>
      <c r="C101" s="64">
        <v>1421</v>
      </c>
      <c r="D101" s="64">
        <v>699</v>
      </c>
      <c r="E101" s="64">
        <v>66</v>
      </c>
      <c r="F101" s="64">
        <v>33</v>
      </c>
      <c r="G101" s="64">
        <v>1375</v>
      </c>
      <c r="H101" s="64">
        <v>680</v>
      </c>
      <c r="I101" s="64">
        <v>66</v>
      </c>
      <c r="J101" s="64">
        <v>33</v>
      </c>
      <c r="K101" s="64">
        <v>46</v>
      </c>
      <c r="L101" s="64">
        <v>19</v>
      </c>
      <c r="M101" s="64" t="s">
        <v>84</v>
      </c>
      <c r="N101" s="64" t="s">
        <v>84</v>
      </c>
    </row>
    <row r="102" spans="1:14" ht="15" customHeight="1" x14ac:dyDescent="0.25">
      <c r="A102" s="61">
        <v>358</v>
      </c>
      <c r="B102" s="62" t="s">
        <v>87</v>
      </c>
      <c r="C102" s="64">
        <v>85</v>
      </c>
      <c r="D102" s="64">
        <v>35</v>
      </c>
      <c r="E102" s="64">
        <v>13</v>
      </c>
      <c r="F102" s="64">
        <v>6</v>
      </c>
      <c r="G102" s="64">
        <v>73</v>
      </c>
      <c r="H102" s="64">
        <v>30</v>
      </c>
      <c r="I102" s="64">
        <v>13</v>
      </c>
      <c r="J102" s="64">
        <v>6</v>
      </c>
      <c r="K102" s="64">
        <v>12</v>
      </c>
      <c r="L102" s="64">
        <v>5</v>
      </c>
      <c r="M102" s="64" t="s">
        <v>84</v>
      </c>
      <c r="N102" s="64" t="s">
        <v>84</v>
      </c>
    </row>
    <row r="103" spans="1:14" x14ac:dyDescent="0.25">
      <c r="A103" s="61">
        <v>359</v>
      </c>
      <c r="B103" s="63" t="s">
        <v>117</v>
      </c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6"/>
    </row>
    <row r="104" spans="1:14" x14ac:dyDescent="0.25">
      <c r="A104" s="61">
        <v>359</v>
      </c>
      <c r="B104" s="62" t="s">
        <v>83</v>
      </c>
      <c r="C104" s="64">
        <v>2145</v>
      </c>
      <c r="D104" s="64">
        <v>1053</v>
      </c>
      <c r="E104" s="64">
        <v>134</v>
      </c>
      <c r="F104" s="64">
        <v>68</v>
      </c>
      <c r="G104" s="64">
        <v>2106</v>
      </c>
      <c r="H104" s="64">
        <v>1035</v>
      </c>
      <c r="I104" s="64">
        <v>134</v>
      </c>
      <c r="J104" s="64">
        <v>68</v>
      </c>
      <c r="K104" s="64">
        <v>39</v>
      </c>
      <c r="L104" s="64">
        <v>18</v>
      </c>
      <c r="M104" s="64" t="s">
        <v>84</v>
      </c>
      <c r="N104" s="64" t="s">
        <v>84</v>
      </c>
    </row>
    <row r="105" spans="1:14" ht="15" customHeight="1" x14ac:dyDescent="0.25">
      <c r="A105" s="61">
        <v>359</v>
      </c>
      <c r="B105" s="62" t="s">
        <v>87</v>
      </c>
      <c r="C105" s="64">
        <v>141</v>
      </c>
      <c r="D105" s="64">
        <v>61</v>
      </c>
      <c r="E105" s="64">
        <v>36</v>
      </c>
      <c r="F105" s="64">
        <v>14</v>
      </c>
      <c r="G105" s="64">
        <v>141</v>
      </c>
      <c r="H105" s="64">
        <v>61</v>
      </c>
      <c r="I105" s="64">
        <v>36</v>
      </c>
      <c r="J105" s="64">
        <v>14</v>
      </c>
      <c r="K105" s="64" t="s">
        <v>84</v>
      </c>
      <c r="L105" s="64" t="s">
        <v>84</v>
      </c>
      <c r="M105" s="64" t="s">
        <v>84</v>
      </c>
      <c r="N105" s="64" t="s">
        <v>84</v>
      </c>
    </row>
    <row r="106" spans="1:14" x14ac:dyDescent="0.25">
      <c r="A106" s="61">
        <v>360</v>
      </c>
      <c r="B106" s="63" t="s">
        <v>118</v>
      </c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6"/>
    </row>
    <row r="107" spans="1:14" x14ac:dyDescent="0.25">
      <c r="A107" s="61">
        <v>360</v>
      </c>
      <c r="B107" s="62" t="s">
        <v>83</v>
      </c>
      <c r="C107" s="64">
        <v>867</v>
      </c>
      <c r="D107" s="64">
        <v>415</v>
      </c>
      <c r="E107" s="64">
        <v>35</v>
      </c>
      <c r="F107" s="64">
        <v>17</v>
      </c>
      <c r="G107" s="64">
        <v>856</v>
      </c>
      <c r="H107" s="64">
        <v>414</v>
      </c>
      <c r="I107" s="64">
        <v>35</v>
      </c>
      <c r="J107" s="64">
        <v>17</v>
      </c>
      <c r="K107" s="64">
        <v>11</v>
      </c>
      <c r="L107" s="64">
        <v>1</v>
      </c>
      <c r="M107" s="64" t="s">
        <v>84</v>
      </c>
      <c r="N107" s="64" t="s">
        <v>84</v>
      </c>
    </row>
    <row r="108" spans="1:14" ht="15" customHeight="1" x14ac:dyDescent="0.25">
      <c r="A108" s="61">
        <v>360</v>
      </c>
      <c r="B108" s="62" t="s">
        <v>87</v>
      </c>
      <c r="C108" s="64">
        <v>81</v>
      </c>
      <c r="D108" s="64">
        <v>31</v>
      </c>
      <c r="E108" s="64">
        <v>9</v>
      </c>
      <c r="F108" s="64">
        <v>5</v>
      </c>
      <c r="G108" s="64">
        <v>73</v>
      </c>
      <c r="H108" s="64">
        <v>31</v>
      </c>
      <c r="I108" s="64">
        <v>9</v>
      </c>
      <c r="J108" s="64">
        <v>5</v>
      </c>
      <c r="K108" s="64">
        <v>8</v>
      </c>
      <c r="L108" s="64" t="s">
        <v>84</v>
      </c>
      <c r="M108" s="64" t="s">
        <v>84</v>
      </c>
      <c r="N108" s="64" t="s">
        <v>84</v>
      </c>
    </row>
    <row r="109" spans="1:14" x14ac:dyDescent="0.25">
      <c r="A109" s="61">
        <v>361</v>
      </c>
      <c r="B109" s="63" t="s">
        <v>119</v>
      </c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6"/>
    </row>
    <row r="110" spans="1:14" x14ac:dyDescent="0.25">
      <c r="A110" s="61">
        <v>361</v>
      </c>
      <c r="B110" s="62" t="s">
        <v>83</v>
      </c>
      <c r="C110" s="64">
        <v>1365</v>
      </c>
      <c r="D110" s="64">
        <v>719</v>
      </c>
      <c r="E110" s="64">
        <v>52</v>
      </c>
      <c r="F110" s="64">
        <v>33</v>
      </c>
      <c r="G110" s="64">
        <v>1318</v>
      </c>
      <c r="H110" s="64">
        <v>697</v>
      </c>
      <c r="I110" s="64">
        <v>52</v>
      </c>
      <c r="J110" s="64">
        <v>33</v>
      </c>
      <c r="K110" s="64">
        <v>47</v>
      </c>
      <c r="L110" s="64">
        <v>22</v>
      </c>
      <c r="M110" s="64" t="s">
        <v>84</v>
      </c>
      <c r="N110" s="64" t="s">
        <v>84</v>
      </c>
    </row>
    <row r="111" spans="1:14" ht="15" customHeight="1" x14ac:dyDescent="0.25">
      <c r="A111" s="61">
        <v>361</v>
      </c>
      <c r="B111" s="62" t="s">
        <v>87</v>
      </c>
      <c r="C111" s="64">
        <v>69</v>
      </c>
      <c r="D111" s="64">
        <v>26</v>
      </c>
      <c r="E111" s="64">
        <v>14</v>
      </c>
      <c r="F111" s="64">
        <v>8</v>
      </c>
      <c r="G111" s="64">
        <v>59</v>
      </c>
      <c r="H111" s="64">
        <v>23</v>
      </c>
      <c r="I111" s="64">
        <v>14</v>
      </c>
      <c r="J111" s="64">
        <v>8</v>
      </c>
      <c r="K111" s="64">
        <v>10</v>
      </c>
      <c r="L111" s="64">
        <v>3</v>
      </c>
      <c r="M111" s="64" t="s">
        <v>84</v>
      </c>
      <c r="N111" s="64" t="s">
        <v>84</v>
      </c>
    </row>
    <row r="112" spans="1:14" x14ac:dyDescent="0.25">
      <c r="A112" s="61">
        <v>4</v>
      </c>
      <c r="B112" s="63" t="s">
        <v>120</v>
      </c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6"/>
    </row>
    <row r="113" spans="1:14" x14ac:dyDescent="0.25">
      <c r="A113" s="61">
        <v>4</v>
      </c>
      <c r="B113" s="62" t="s">
        <v>83</v>
      </c>
      <c r="C113" s="64">
        <v>27096</v>
      </c>
      <c r="D113" s="64">
        <v>13029</v>
      </c>
      <c r="E113" s="64">
        <v>2164</v>
      </c>
      <c r="F113" s="64">
        <v>952</v>
      </c>
      <c r="G113" s="64">
        <v>23756</v>
      </c>
      <c r="H113" s="64">
        <v>11327</v>
      </c>
      <c r="I113" s="64">
        <v>2047</v>
      </c>
      <c r="J113" s="64">
        <v>901</v>
      </c>
      <c r="K113" s="64">
        <v>3340</v>
      </c>
      <c r="L113" s="64">
        <v>1702</v>
      </c>
      <c r="M113" s="64">
        <v>117</v>
      </c>
      <c r="N113" s="64">
        <v>51</v>
      </c>
    </row>
    <row r="114" spans="1:14" ht="15" customHeight="1" x14ac:dyDescent="0.25">
      <c r="A114" s="61">
        <v>4</v>
      </c>
      <c r="B114" s="62" t="s">
        <v>87</v>
      </c>
      <c r="C114" s="64">
        <v>1972</v>
      </c>
      <c r="D114" s="64">
        <v>759</v>
      </c>
      <c r="E114" s="64">
        <v>560</v>
      </c>
      <c r="F114" s="64">
        <v>219</v>
      </c>
      <c r="G114" s="64">
        <v>1792</v>
      </c>
      <c r="H114" s="64">
        <v>705</v>
      </c>
      <c r="I114" s="64">
        <v>540</v>
      </c>
      <c r="J114" s="64">
        <v>212</v>
      </c>
      <c r="K114" s="64">
        <v>180</v>
      </c>
      <c r="L114" s="64">
        <v>54</v>
      </c>
      <c r="M114" s="64">
        <v>20</v>
      </c>
      <c r="N114" s="64">
        <v>7</v>
      </c>
    </row>
    <row r="115" spans="1:14" x14ac:dyDescent="0.25">
      <c r="A115" s="61">
        <v>401</v>
      </c>
      <c r="B115" s="63" t="s">
        <v>121</v>
      </c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6"/>
    </row>
    <row r="116" spans="1:14" x14ac:dyDescent="0.25">
      <c r="A116" s="61">
        <v>401</v>
      </c>
      <c r="B116" s="62" t="s">
        <v>83</v>
      </c>
      <c r="C116" s="64">
        <v>834</v>
      </c>
      <c r="D116" s="64">
        <v>395</v>
      </c>
      <c r="E116" s="64">
        <v>165</v>
      </c>
      <c r="F116" s="64">
        <v>68</v>
      </c>
      <c r="G116" s="64">
        <v>834</v>
      </c>
      <c r="H116" s="64">
        <v>395</v>
      </c>
      <c r="I116" s="64">
        <v>165</v>
      </c>
      <c r="J116" s="64">
        <v>68</v>
      </c>
      <c r="K116" s="64" t="s">
        <v>84</v>
      </c>
      <c r="L116" s="64" t="s">
        <v>84</v>
      </c>
      <c r="M116" s="64" t="s">
        <v>84</v>
      </c>
      <c r="N116" s="64" t="s">
        <v>84</v>
      </c>
    </row>
    <row r="117" spans="1:14" ht="15" customHeight="1" x14ac:dyDescent="0.25">
      <c r="A117" s="61">
        <v>401</v>
      </c>
      <c r="B117" s="62" t="s">
        <v>87</v>
      </c>
      <c r="C117" s="64">
        <v>110</v>
      </c>
      <c r="D117" s="64">
        <v>39</v>
      </c>
      <c r="E117" s="64">
        <v>68</v>
      </c>
      <c r="F117" s="64">
        <v>26</v>
      </c>
      <c r="G117" s="64">
        <v>110</v>
      </c>
      <c r="H117" s="64">
        <v>39</v>
      </c>
      <c r="I117" s="64">
        <v>68</v>
      </c>
      <c r="J117" s="64">
        <v>26</v>
      </c>
      <c r="K117" s="64" t="s">
        <v>84</v>
      </c>
      <c r="L117" s="64" t="s">
        <v>84</v>
      </c>
      <c r="M117" s="64" t="s">
        <v>84</v>
      </c>
      <c r="N117" s="64" t="s">
        <v>84</v>
      </c>
    </row>
    <row r="118" spans="1:14" x14ac:dyDescent="0.25">
      <c r="A118" s="61">
        <v>402</v>
      </c>
      <c r="B118" s="63" t="s">
        <v>122</v>
      </c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6"/>
    </row>
    <row r="119" spans="1:14" x14ac:dyDescent="0.25">
      <c r="A119" s="61">
        <v>402</v>
      </c>
      <c r="B119" s="62" t="s">
        <v>83</v>
      </c>
      <c r="C119" s="64">
        <v>524</v>
      </c>
      <c r="D119" s="64">
        <v>266</v>
      </c>
      <c r="E119" s="64">
        <v>52</v>
      </c>
      <c r="F119" s="64">
        <v>19</v>
      </c>
      <c r="G119" s="64">
        <v>524</v>
      </c>
      <c r="H119" s="64">
        <v>266</v>
      </c>
      <c r="I119" s="64">
        <v>52</v>
      </c>
      <c r="J119" s="64">
        <v>19</v>
      </c>
      <c r="K119" s="64" t="s">
        <v>84</v>
      </c>
      <c r="L119" s="64" t="s">
        <v>84</v>
      </c>
      <c r="M119" s="64" t="s">
        <v>84</v>
      </c>
      <c r="N119" s="64" t="s">
        <v>84</v>
      </c>
    </row>
    <row r="120" spans="1:14" ht="15" customHeight="1" x14ac:dyDescent="0.25">
      <c r="A120" s="61">
        <v>402</v>
      </c>
      <c r="B120" s="62" t="s">
        <v>87</v>
      </c>
      <c r="C120" s="64">
        <v>47</v>
      </c>
      <c r="D120" s="64">
        <v>19</v>
      </c>
      <c r="E120" s="64">
        <v>14</v>
      </c>
      <c r="F120" s="64">
        <v>3</v>
      </c>
      <c r="G120" s="64">
        <v>47</v>
      </c>
      <c r="H120" s="64">
        <v>19</v>
      </c>
      <c r="I120" s="64">
        <v>14</v>
      </c>
      <c r="J120" s="64">
        <v>3</v>
      </c>
      <c r="K120" s="64" t="s">
        <v>84</v>
      </c>
      <c r="L120" s="64" t="s">
        <v>84</v>
      </c>
      <c r="M120" s="64" t="s">
        <v>84</v>
      </c>
      <c r="N120" s="64" t="s">
        <v>84</v>
      </c>
    </row>
    <row r="121" spans="1:14" x14ac:dyDescent="0.25">
      <c r="A121" s="61">
        <v>403</v>
      </c>
      <c r="B121" s="63" t="s">
        <v>123</v>
      </c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6"/>
    </row>
    <row r="122" spans="1:14" x14ac:dyDescent="0.25">
      <c r="A122" s="61">
        <v>403</v>
      </c>
      <c r="B122" s="62" t="s">
        <v>83</v>
      </c>
      <c r="C122" s="64">
        <v>2023</v>
      </c>
      <c r="D122" s="64">
        <v>1008</v>
      </c>
      <c r="E122" s="64">
        <v>135</v>
      </c>
      <c r="F122" s="64">
        <v>56</v>
      </c>
      <c r="G122" s="64">
        <v>1752</v>
      </c>
      <c r="H122" s="64">
        <v>856</v>
      </c>
      <c r="I122" s="64">
        <v>115</v>
      </c>
      <c r="J122" s="64">
        <v>48</v>
      </c>
      <c r="K122" s="64">
        <v>271</v>
      </c>
      <c r="L122" s="64">
        <v>152</v>
      </c>
      <c r="M122" s="64">
        <v>20</v>
      </c>
      <c r="N122" s="64">
        <v>8</v>
      </c>
    </row>
    <row r="123" spans="1:14" ht="15" customHeight="1" x14ac:dyDescent="0.25">
      <c r="A123" s="61">
        <v>403</v>
      </c>
      <c r="B123" s="62" t="s">
        <v>87</v>
      </c>
      <c r="C123" s="64">
        <v>91</v>
      </c>
      <c r="D123" s="64">
        <v>32</v>
      </c>
      <c r="E123" s="64">
        <v>26</v>
      </c>
      <c r="F123" s="64">
        <v>12</v>
      </c>
      <c r="G123" s="64">
        <v>89</v>
      </c>
      <c r="H123" s="64">
        <v>30</v>
      </c>
      <c r="I123" s="64">
        <v>25</v>
      </c>
      <c r="J123" s="64">
        <v>11</v>
      </c>
      <c r="K123" s="64">
        <v>2</v>
      </c>
      <c r="L123" s="64">
        <v>2</v>
      </c>
      <c r="M123" s="64">
        <v>1</v>
      </c>
      <c r="N123" s="64">
        <v>1</v>
      </c>
    </row>
    <row r="124" spans="1:14" x14ac:dyDescent="0.25">
      <c r="A124" s="61">
        <v>404</v>
      </c>
      <c r="B124" s="63" t="s">
        <v>124</v>
      </c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6"/>
    </row>
    <row r="125" spans="1:14" x14ac:dyDescent="0.25">
      <c r="A125" s="61">
        <v>404</v>
      </c>
      <c r="B125" s="62" t="s">
        <v>83</v>
      </c>
      <c r="C125" s="64">
        <v>2131</v>
      </c>
      <c r="D125" s="64">
        <v>1081</v>
      </c>
      <c r="E125" s="64">
        <v>242</v>
      </c>
      <c r="F125" s="64">
        <v>111</v>
      </c>
      <c r="G125" s="64">
        <v>1552</v>
      </c>
      <c r="H125" s="64">
        <v>786</v>
      </c>
      <c r="I125" s="64">
        <v>220</v>
      </c>
      <c r="J125" s="64">
        <v>99</v>
      </c>
      <c r="K125" s="64">
        <v>579</v>
      </c>
      <c r="L125" s="64">
        <v>295</v>
      </c>
      <c r="M125" s="64">
        <v>22</v>
      </c>
      <c r="N125" s="64">
        <v>12</v>
      </c>
    </row>
    <row r="126" spans="1:14" ht="15" customHeight="1" x14ac:dyDescent="0.25">
      <c r="A126" s="61">
        <v>404</v>
      </c>
      <c r="B126" s="62" t="s">
        <v>87</v>
      </c>
      <c r="C126" s="64">
        <v>115</v>
      </c>
      <c r="D126" s="64">
        <v>45</v>
      </c>
      <c r="E126" s="64">
        <v>48</v>
      </c>
      <c r="F126" s="64">
        <v>17</v>
      </c>
      <c r="G126" s="64">
        <v>99</v>
      </c>
      <c r="H126" s="64">
        <v>37</v>
      </c>
      <c r="I126" s="64">
        <v>42</v>
      </c>
      <c r="J126" s="64">
        <v>13</v>
      </c>
      <c r="K126" s="64">
        <v>16</v>
      </c>
      <c r="L126" s="64">
        <v>8</v>
      </c>
      <c r="M126" s="64">
        <v>6</v>
      </c>
      <c r="N126" s="64">
        <v>4</v>
      </c>
    </row>
    <row r="127" spans="1:14" x14ac:dyDescent="0.25">
      <c r="A127" s="61">
        <v>405</v>
      </c>
      <c r="B127" s="63" t="s">
        <v>125</v>
      </c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6"/>
    </row>
    <row r="128" spans="1:14" x14ac:dyDescent="0.25">
      <c r="A128" s="61">
        <v>405</v>
      </c>
      <c r="B128" s="62" t="s">
        <v>83</v>
      </c>
      <c r="C128" s="64">
        <v>633</v>
      </c>
      <c r="D128" s="64">
        <v>273</v>
      </c>
      <c r="E128" s="64">
        <v>68</v>
      </c>
      <c r="F128" s="64">
        <v>28</v>
      </c>
      <c r="G128" s="64">
        <v>495</v>
      </c>
      <c r="H128" s="64">
        <v>195</v>
      </c>
      <c r="I128" s="64">
        <v>60</v>
      </c>
      <c r="J128" s="64">
        <v>24</v>
      </c>
      <c r="K128" s="64">
        <v>138</v>
      </c>
      <c r="L128" s="64">
        <v>78</v>
      </c>
      <c r="M128" s="64">
        <v>8</v>
      </c>
      <c r="N128" s="64">
        <v>4</v>
      </c>
    </row>
    <row r="129" spans="1:14" ht="15" customHeight="1" x14ac:dyDescent="0.25">
      <c r="A129" s="61">
        <v>405</v>
      </c>
      <c r="B129" s="62" t="s">
        <v>87</v>
      </c>
      <c r="C129" s="64">
        <v>52</v>
      </c>
      <c r="D129" s="64">
        <v>21</v>
      </c>
      <c r="E129" s="64">
        <v>19</v>
      </c>
      <c r="F129" s="64">
        <v>8</v>
      </c>
      <c r="G129" s="64">
        <v>46</v>
      </c>
      <c r="H129" s="64">
        <v>18</v>
      </c>
      <c r="I129" s="64">
        <v>17</v>
      </c>
      <c r="J129" s="64">
        <v>8</v>
      </c>
      <c r="K129" s="64">
        <v>6</v>
      </c>
      <c r="L129" s="64">
        <v>3</v>
      </c>
      <c r="M129" s="64">
        <v>2</v>
      </c>
      <c r="N129" s="64" t="s">
        <v>84</v>
      </c>
    </row>
    <row r="130" spans="1:14" x14ac:dyDescent="0.25">
      <c r="A130" s="61">
        <v>451</v>
      </c>
      <c r="B130" s="63" t="s">
        <v>126</v>
      </c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6"/>
    </row>
    <row r="131" spans="1:14" x14ac:dyDescent="0.25">
      <c r="A131" s="61">
        <v>451</v>
      </c>
      <c r="B131" s="62" t="s">
        <v>83</v>
      </c>
      <c r="C131" s="64">
        <v>1311</v>
      </c>
      <c r="D131" s="64">
        <v>606</v>
      </c>
      <c r="E131" s="64">
        <v>74</v>
      </c>
      <c r="F131" s="64">
        <v>29</v>
      </c>
      <c r="G131" s="64">
        <v>1275</v>
      </c>
      <c r="H131" s="64">
        <v>593</v>
      </c>
      <c r="I131" s="64">
        <v>74</v>
      </c>
      <c r="J131" s="64">
        <v>29</v>
      </c>
      <c r="K131" s="64">
        <v>36</v>
      </c>
      <c r="L131" s="64">
        <v>13</v>
      </c>
      <c r="M131" s="64" t="s">
        <v>84</v>
      </c>
      <c r="N131" s="64" t="s">
        <v>84</v>
      </c>
    </row>
    <row r="132" spans="1:14" ht="15" customHeight="1" x14ac:dyDescent="0.25">
      <c r="A132" s="61">
        <v>451</v>
      </c>
      <c r="B132" s="62" t="s">
        <v>87</v>
      </c>
      <c r="C132" s="64">
        <v>95</v>
      </c>
      <c r="D132" s="64">
        <v>40</v>
      </c>
      <c r="E132" s="64">
        <v>3</v>
      </c>
      <c r="F132" s="64">
        <v>3</v>
      </c>
      <c r="G132" s="64">
        <v>83</v>
      </c>
      <c r="H132" s="64">
        <v>36</v>
      </c>
      <c r="I132" s="64">
        <v>3</v>
      </c>
      <c r="J132" s="64">
        <v>3</v>
      </c>
      <c r="K132" s="64">
        <v>12</v>
      </c>
      <c r="L132" s="64">
        <v>4</v>
      </c>
      <c r="M132" s="64" t="s">
        <v>84</v>
      </c>
      <c r="N132" s="64" t="s">
        <v>84</v>
      </c>
    </row>
    <row r="133" spans="1:14" x14ac:dyDescent="0.25">
      <c r="A133" s="61">
        <v>452</v>
      </c>
      <c r="B133" s="63" t="s">
        <v>127</v>
      </c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6"/>
    </row>
    <row r="134" spans="1:14" x14ac:dyDescent="0.25">
      <c r="A134" s="61">
        <v>452</v>
      </c>
      <c r="B134" s="62" t="s">
        <v>83</v>
      </c>
      <c r="C134" s="64">
        <v>1979</v>
      </c>
      <c r="D134" s="64">
        <v>988</v>
      </c>
      <c r="E134" s="64">
        <v>104</v>
      </c>
      <c r="F134" s="64">
        <v>44</v>
      </c>
      <c r="G134" s="64">
        <v>1948</v>
      </c>
      <c r="H134" s="64">
        <v>983</v>
      </c>
      <c r="I134" s="64">
        <v>104</v>
      </c>
      <c r="J134" s="64">
        <v>44</v>
      </c>
      <c r="K134" s="64">
        <v>31</v>
      </c>
      <c r="L134" s="64">
        <v>5</v>
      </c>
      <c r="M134" s="64" t="s">
        <v>84</v>
      </c>
      <c r="N134" s="64" t="s">
        <v>84</v>
      </c>
    </row>
    <row r="135" spans="1:14" ht="15" customHeight="1" x14ac:dyDescent="0.25">
      <c r="A135" s="61">
        <v>452</v>
      </c>
      <c r="B135" s="62" t="s">
        <v>87</v>
      </c>
      <c r="C135" s="64">
        <v>178</v>
      </c>
      <c r="D135" s="64">
        <v>68</v>
      </c>
      <c r="E135" s="64">
        <v>24</v>
      </c>
      <c r="F135" s="64">
        <v>12</v>
      </c>
      <c r="G135" s="64">
        <v>170</v>
      </c>
      <c r="H135" s="64">
        <v>68</v>
      </c>
      <c r="I135" s="64">
        <v>24</v>
      </c>
      <c r="J135" s="64">
        <v>12</v>
      </c>
      <c r="K135" s="64">
        <v>8</v>
      </c>
      <c r="L135" s="64" t="s">
        <v>84</v>
      </c>
      <c r="M135" s="64" t="s">
        <v>84</v>
      </c>
      <c r="N135" s="64" t="s">
        <v>84</v>
      </c>
    </row>
    <row r="136" spans="1:14" x14ac:dyDescent="0.25">
      <c r="A136" s="61">
        <v>453</v>
      </c>
      <c r="B136" s="63" t="s">
        <v>128</v>
      </c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6"/>
    </row>
    <row r="137" spans="1:14" x14ac:dyDescent="0.25">
      <c r="A137" s="61">
        <v>453</v>
      </c>
      <c r="B137" s="62" t="s">
        <v>83</v>
      </c>
      <c r="C137" s="64">
        <v>2134</v>
      </c>
      <c r="D137" s="64">
        <v>993</v>
      </c>
      <c r="E137" s="64">
        <v>175</v>
      </c>
      <c r="F137" s="64">
        <v>79</v>
      </c>
      <c r="G137" s="64">
        <v>1892</v>
      </c>
      <c r="H137" s="64">
        <v>880</v>
      </c>
      <c r="I137" s="64">
        <v>171</v>
      </c>
      <c r="J137" s="64">
        <v>76</v>
      </c>
      <c r="K137" s="64">
        <v>242</v>
      </c>
      <c r="L137" s="64">
        <v>113</v>
      </c>
      <c r="M137" s="64">
        <v>4</v>
      </c>
      <c r="N137" s="64">
        <v>3</v>
      </c>
    </row>
    <row r="138" spans="1:14" ht="15" customHeight="1" x14ac:dyDescent="0.25">
      <c r="A138" s="61">
        <v>453</v>
      </c>
      <c r="B138" s="62" t="s">
        <v>87</v>
      </c>
      <c r="C138" s="64">
        <v>208</v>
      </c>
      <c r="D138" s="64">
        <v>74</v>
      </c>
      <c r="E138" s="64">
        <v>61</v>
      </c>
      <c r="F138" s="64">
        <v>25</v>
      </c>
      <c r="G138" s="64">
        <v>189</v>
      </c>
      <c r="H138" s="64">
        <v>69</v>
      </c>
      <c r="I138" s="64">
        <v>61</v>
      </c>
      <c r="J138" s="64">
        <v>25</v>
      </c>
      <c r="K138" s="64">
        <v>19</v>
      </c>
      <c r="L138" s="64">
        <v>5</v>
      </c>
      <c r="M138" s="64" t="s">
        <v>84</v>
      </c>
      <c r="N138" s="64" t="s">
        <v>84</v>
      </c>
    </row>
    <row r="139" spans="1:14" x14ac:dyDescent="0.25">
      <c r="A139" s="61">
        <v>454</v>
      </c>
      <c r="B139" s="63" t="s">
        <v>129</v>
      </c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6"/>
    </row>
    <row r="140" spans="1:14" x14ac:dyDescent="0.25">
      <c r="A140" s="61">
        <v>454</v>
      </c>
      <c r="B140" s="62" t="s">
        <v>83</v>
      </c>
      <c r="C140" s="64">
        <v>3589</v>
      </c>
      <c r="D140" s="64">
        <v>1747</v>
      </c>
      <c r="E140" s="64">
        <v>243</v>
      </c>
      <c r="F140" s="64">
        <v>104</v>
      </c>
      <c r="G140" s="64">
        <v>2634</v>
      </c>
      <c r="H140" s="64">
        <v>1222</v>
      </c>
      <c r="I140" s="64">
        <v>222</v>
      </c>
      <c r="J140" s="64">
        <v>94</v>
      </c>
      <c r="K140" s="64">
        <v>955</v>
      </c>
      <c r="L140" s="64">
        <v>525</v>
      </c>
      <c r="M140" s="64">
        <v>21</v>
      </c>
      <c r="N140" s="64">
        <v>10</v>
      </c>
    </row>
    <row r="141" spans="1:14" ht="15" customHeight="1" x14ac:dyDescent="0.25">
      <c r="A141" s="61">
        <v>454</v>
      </c>
      <c r="B141" s="62" t="s">
        <v>87</v>
      </c>
      <c r="C141" s="64">
        <v>284</v>
      </c>
      <c r="D141" s="64">
        <v>97</v>
      </c>
      <c r="E141" s="64">
        <v>88</v>
      </c>
      <c r="F141" s="64">
        <v>35</v>
      </c>
      <c r="G141" s="64">
        <v>240</v>
      </c>
      <c r="H141" s="64">
        <v>89</v>
      </c>
      <c r="I141" s="64">
        <v>82</v>
      </c>
      <c r="J141" s="64">
        <v>33</v>
      </c>
      <c r="K141" s="64">
        <v>44</v>
      </c>
      <c r="L141" s="64">
        <v>8</v>
      </c>
      <c r="M141" s="64">
        <v>6</v>
      </c>
      <c r="N141" s="64">
        <v>2</v>
      </c>
    </row>
    <row r="142" spans="1:14" x14ac:dyDescent="0.25">
      <c r="A142" s="61">
        <v>455</v>
      </c>
      <c r="B142" s="63" t="s">
        <v>130</v>
      </c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6"/>
    </row>
    <row r="143" spans="1:14" x14ac:dyDescent="0.25">
      <c r="A143" s="61">
        <v>455</v>
      </c>
      <c r="B143" s="62" t="s">
        <v>83</v>
      </c>
      <c r="C143" s="64">
        <v>893</v>
      </c>
      <c r="D143" s="64">
        <v>442</v>
      </c>
      <c r="E143" s="64">
        <v>56</v>
      </c>
      <c r="F143" s="64">
        <v>26</v>
      </c>
      <c r="G143" s="64">
        <v>883</v>
      </c>
      <c r="H143" s="64">
        <v>439</v>
      </c>
      <c r="I143" s="64">
        <v>56</v>
      </c>
      <c r="J143" s="64">
        <v>26</v>
      </c>
      <c r="K143" s="64">
        <v>10</v>
      </c>
      <c r="L143" s="64">
        <v>3</v>
      </c>
      <c r="M143" s="64" t="s">
        <v>84</v>
      </c>
      <c r="N143" s="64" t="s">
        <v>84</v>
      </c>
    </row>
    <row r="144" spans="1:14" ht="15" customHeight="1" x14ac:dyDescent="0.25">
      <c r="A144" s="61">
        <v>455</v>
      </c>
      <c r="B144" s="62" t="s">
        <v>87</v>
      </c>
      <c r="C144" s="64">
        <v>79</v>
      </c>
      <c r="D144" s="64">
        <v>25</v>
      </c>
      <c r="E144" s="64">
        <v>14</v>
      </c>
      <c r="F144" s="64">
        <v>5</v>
      </c>
      <c r="G144" s="64">
        <v>75</v>
      </c>
      <c r="H144" s="64">
        <v>24</v>
      </c>
      <c r="I144" s="64">
        <v>14</v>
      </c>
      <c r="J144" s="64">
        <v>5</v>
      </c>
      <c r="K144" s="64">
        <v>4</v>
      </c>
      <c r="L144" s="64">
        <v>1</v>
      </c>
      <c r="M144" s="64" t="s">
        <v>84</v>
      </c>
      <c r="N144" s="64" t="s">
        <v>84</v>
      </c>
    </row>
    <row r="145" spans="1:14" x14ac:dyDescent="0.25">
      <c r="A145" s="61">
        <v>456</v>
      </c>
      <c r="B145" s="63" t="s">
        <v>131</v>
      </c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6"/>
    </row>
    <row r="146" spans="1:14" x14ac:dyDescent="0.25">
      <c r="A146" s="61">
        <v>456</v>
      </c>
      <c r="B146" s="62" t="s">
        <v>83</v>
      </c>
      <c r="C146" s="64">
        <v>1536</v>
      </c>
      <c r="D146" s="64">
        <v>731</v>
      </c>
      <c r="E146" s="64">
        <v>178</v>
      </c>
      <c r="F146" s="64">
        <v>80</v>
      </c>
      <c r="G146" s="64">
        <v>1340</v>
      </c>
      <c r="H146" s="64">
        <v>644</v>
      </c>
      <c r="I146" s="64">
        <v>151</v>
      </c>
      <c r="J146" s="64">
        <v>69</v>
      </c>
      <c r="K146" s="64">
        <v>196</v>
      </c>
      <c r="L146" s="64">
        <v>87</v>
      </c>
      <c r="M146" s="64">
        <v>27</v>
      </c>
      <c r="N146" s="64">
        <v>11</v>
      </c>
    </row>
    <row r="147" spans="1:14" ht="15" customHeight="1" x14ac:dyDescent="0.25">
      <c r="A147" s="61">
        <v>456</v>
      </c>
      <c r="B147" s="62" t="s">
        <v>87</v>
      </c>
      <c r="C147" s="64">
        <v>105</v>
      </c>
      <c r="D147" s="64">
        <v>42</v>
      </c>
      <c r="E147" s="64">
        <v>33</v>
      </c>
      <c r="F147" s="64">
        <v>14</v>
      </c>
      <c r="G147" s="64">
        <v>87</v>
      </c>
      <c r="H147" s="64">
        <v>37</v>
      </c>
      <c r="I147" s="64">
        <v>30</v>
      </c>
      <c r="J147" s="64">
        <v>14</v>
      </c>
      <c r="K147" s="64">
        <v>18</v>
      </c>
      <c r="L147" s="64">
        <v>5</v>
      </c>
      <c r="M147" s="64">
        <v>3</v>
      </c>
      <c r="N147" s="64" t="s">
        <v>84</v>
      </c>
    </row>
    <row r="148" spans="1:14" x14ac:dyDescent="0.25">
      <c r="A148" s="61">
        <v>457</v>
      </c>
      <c r="B148" s="63" t="s">
        <v>132</v>
      </c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6"/>
    </row>
    <row r="149" spans="1:14" x14ac:dyDescent="0.25">
      <c r="A149" s="61">
        <v>457</v>
      </c>
      <c r="B149" s="62" t="s">
        <v>83</v>
      </c>
      <c r="C149" s="64">
        <v>1724</v>
      </c>
      <c r="D149" s="64">
        <v>741</v>
      </c>
      <c r="E149" s="64">
        <v>118</v>
      </c>
      <c r="F149" s="64">
        <v>47</v>
      </c>
      <c r="G149" s="64">
        <v>1564</v>
      </c>
      <c r="H149" s="64">
        <v>662</v>
      </c>
      <c r="I149" s="64">
        <v>115</v>
      </c>
      <c r="J149" s="64">
        <v>47</v>
      </c>
      <c r="K149" s="64">
        <v>160</v>
      </c>
      <c r="L149" s="64">
        <v>79</v>
      </c>
      <c r="M149" s="64">
        <v>3</v>
      </c>
      <c r="N149" s="64" t="s">
        <v>84</v>
      </c>
    </row>
    <row r="150" spans="1:14" ht="15" customHeight="1" x14ac:dyDescent="0.25">
      <c r="A150" s="61">
        <v>457</v>
      </c>
      <c r="B150" s="62" t="s">
        <v>87</v>
      </c>
      <c r="C150" s="64">
        <v>132</v>
      </c>
      <c r="D150" s="64">
        <v>53</v>
      </c>
      <c r="E150" s="64">
        <v>34</v>
      </c>
      <c r="F150" s="64">
        <v>11</v>
      </c>
      <c r="G150" s="64">
        <v>125</v>
      </c>
      <c r="H150" s="64">
        <v>49</v>
      </c>
      <c r="I150" s="64">
        <v>34</v>
      </c>
      <c r="J150" s="64">
        <v>11</v>
      </c>
      <c r="K150" s="64">
        <v>7</v>
      </c>
      <c r="L150" s="64">
        <v>4</v>
      </c>
      <c r="M150" s="64" t="s">
        <v>84</v>
      </c>
      <c r="N150" s="64" t="s">
        <v>84</v>
      </c>
    </row>
    <row r="151" spans="1:14" x14ac:dyDescent="0.25">
      <c r="A151" s="61">
        <v>458</v>
      </c>
      <c r="B151" s="63" t="s">
        <v>133</v>
      </c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6"/>
    </row>
    <row r="152" spans="1:14" x14ac:dyDescent="0.25">
      <c r="A152" s="61">
        <v>458</v>
      </c>
      <c r="B152" s="62" t="s">
        <v>83</v>
      </c>
      <c r="C152" s="64">
        <v>1241</v>
      </c>
      <c r="D152" s="64">
        <v>587</v>
      </c>
      <c r="E152" s="64">
        <v>101</v>
      </c>
      <c r="F152" s="64">
        <v>46</v>
      </c>
      <c r="G152" s="64">
        <v>1165</v>
      </c>
      <c r="H152" s="64">
        <v>564</v>
      </c>
      <c r="I152" s="64">
        <v>101</v>
      </c>
      <c r="J152" s="64">
        <v>46</v>
      </c>
      <c r="K152" s="64">
        <v>76</v>
      </c>
      <c r="L152" s="64">
        <v>23</v>
      </c>
      <c r="M152" s="64" t="s">
        <v>84</v>
      </c>
      <c r="N152" s="64" t="s">
        <v>84</v>
      </c>
    </row>
    <row r="153" spans="1:14" ht="15" customHeight="1" x14ac:dyDescent="0.25">
      <c r="A153" s="61">
        <v>458</v>
      </c>
      <c r="B153" s="62" t="s">
        <v>87</v>
      </c>
      <c r="C153" s="64">
        <v>61</v>
      </c>
      <c r="D153" s="64">
        <v>30</v>
      </c>
      <c r="E153" s="64">
        <v>15</v>
      </c>
      <c r="F153" s="64">
        <v>10</v>
      </c>
      <c r="G153" s="64">
        <v>58</v>
      </c>
      <c r="H153" s="64">
        <v>29</v>
      </c>
      <c r="I153" s="64">
        <v>15</v>
      </c>
      <c r="J153" s="64">
        <v>10</v>
      </c>
      <c r="K153" s="64">
        <v>3</v>
      </c>
      <c r="L153" s="64">
        <v>1</v>
      </c>
      <c r="M153" s="64" t="s">
        <v>84</v>
      </c>
      <c r="N153" s="64" t="s">
        <v>84</v>
      </c>
    </row>
    <row r="154" spans="1:14" x14ac:dyDescent="0.25">
      <c r="A154" s="61">
        <v>459</v>
      </c>
      <c r="B154" s="63" t="s">
        <v>134</v>
      </c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6"/>
    </row>
    <row r="155" spans="1:14" x14ac:dyDescent="0.25">
      <c r="A155" s="61">
        <v>459</v>
      </c>
      <c r="B155" s="62" t="s">
        <v>83</v>
      </c>
      <c r="C155" s="64">
        <v>3181</v>
      </c>
      <c r="D155" s="64">
        <v>1531</v>
      </c>
      <c r="E155" s="64">
        <v>194</v>
      </c>
      <c r="F155" s="64">
        <v>89</v>
      </c>
      <c r="G155" s="64">
        <v>3071</v>
      </c>
      <c r="H155" s="64">
        <v>1476</v>
      </c>
      <c r="I155" s="64">
        <v>194</v>
      </c>
      <c r="J155" s="64">
        <v>89</v>
      </c>
      <c r="K155" s="64">
        <v>110</v>
      </c>
      <c r="L155" s="64">
        <v>55</v>
      </c>
      <c r="M155" s="64" t="s">
        <v>84</v>
      </c>
      <c r="N155" s="64" t="s">
        <v>84</v>
      </c>
    </row>
    <row r="156" spans="1:14" ht="15" customHeight="1" x14ac:dyDescent="0.25">
      <c r="A156" s="61">
        <v>459</v>
      </c>
      <c r="B156" s="62" t="s">
        <v>87</v>
      </c>
      <c r="C156" s="64">
        <v>201</v>
      </c>
      <c r="D156" s="64">
        <v>78</v>
      </c>
      <c r="E156" s="64">
        <v>51</v>
      </c>
      <c r="F156" s="64">
        <v>14</v>
      </c>
      <c r="G156" s="64">
        <v>197</v>
      </c>
      <c r="H156" s="64">
        <v>77</v>
      </c>
      <c r="I156" s="64">
        <v>51</v>
      </c>
      <c r="J156" s="64">
        <v>14</v>
      </c>
      <c r="K156" s="64">
        <v>4</v>
      </c>
      <c r="L156" s="64">
        <v>1</v>
      </c>
      <c r="M156" s="64" t="s">
        <v>84</v>
      </c>
      <c r="N156" s="64" t="s">
        <v>84</v>
      </c>
    </row>
    <row r="157" spans="1:14" x14ac:dyDescent="0.25">
      <c r="A157" s="61">
        <v>460</v>
      </c>
      <c r="B157" s="63" t="s">
        <v>135</v>
      </c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6"/>
    </row>
    <row r="158" spans="1:14" x14ac:dyDescent="0.25">
      <c r="A158" s="61">
        <v>460</v>
      </c>
      <c r="B158" s="62" t="s">
        <v>83</v>
      </c>
      <c r="C158" s="64">
        <v>1730</v>
      </c>
      <c r="D158" s="64">
        <v>847</v>
      </c>
      <c r="E158" s="64">
        <v>134</v>
      </c>
      <c r="F158" s="64">
        <v>69</v>
      </c>
      <c r="G158" s="64">
        <v>1409</v>
      </c>
      <c r="H158" s="64">
        <v>674</v>
      </c>
      <c r="I158" s="64">
        <v>130</v>
      </c>
      <c r="J158" s="64">
        <v>68</v>
      </c>
      <c r="K158" s="64">
        <v>321</v>
      </c>
      <c r="L158" s="64">
        <v>173</v>
      </c>
      <c r="M158" s="64">
        <v>4</v>
      </c>
      <c r="N158" s="64">
        <v>1</v>
      </c>
    </row>
    <row r="159" spans="1:14" ht="15" customHeight="1" x14ac:dyDescent="0.25">
      <c r="A159" s="61">
        <v>460</v>
      </c>
      <c r="B159" s="62" t="s">
        <v>87</v>
      </c>
      <c r="C159" s="64">
        <v>129</v>
      </c>
      <c r="D159" s="64">
        <v>59</v>
      </c>
      <c r="E159" s="64">
        <v>40</v>
      </c>
      <c r="F159" s="64">
        <v>17</v>
      </c>
      <c r="G159" s="64">
        <v>98</v>
      </c>
      <c r="H159" s="64">
        <v>48</v>
      </c>
      <c r="I159" s="64">
        <v>38</v>
      </c>
      <c r="J159" s="64">
        <v>17</v>
      </c>
      <c r="K159" s="64">
        <v>31</v>
      </c>
      <c r="L159" s="64">
        <v>11</v>
      </c>
      <c r="M159" s="64">
        <v>2</v>
      </c>
      <c r="N159" s="64" t="s">
        <v>84</v>
      </c>
    </row>
    <row r="160" spans="1:14" x14ac:dyDescent="0.25">
      <c r="A160" s="61">
        <v>461</v>
      </c>
      <c r="B160" s="63" t="s">
        <v>136</v>
      </c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6"/>
    </row>
    <row r="161" spans="1:14" x14ac:dyDescent="0.25">
      <c r="A161" s="61">
        <v>461</v>
      </c>
      <c r="B161" s="62" t="s">
        <v>83</v>
      </c>
      <c r="C161" s="64">
        <v>948</v>
      </c>
      <c r="D161" s="64">
        <v>461</v>
      </c>
      <c r="E161" s="64">
        <v>93</v>
      </c>
      <c r="F161" s="64">
        <v>46</v>
      </c>
      <c r="G161" s="64">
        <v>763</v>
      </c>
      <c r="H161" s="64">
        <v>371</v>
      </c>
      <c r="I161" s="64">
        <v>87</v>
      </c>
      <c r="J161" s="64">
        <v>44</v>
      </c>
      <c r="K161" s="64">
        <v>185</v>
      </c>
      <c r="L161" s="64">
        <v>90</v>
      </c>
      <c r="M161" s="64">
        <v>6</v>
      </c>
      <c r="N161" s="64">
        <v>2</v>
      </c>
    </row>
    <row r="162" spans="1:14" ht="15" customHeight="1" x14ac:dyDescent="0.25">
      <c r="A162" s="61">
        <v>461</v>
      </c>
      <c r="B162" s="62" t="s">
        <v>87</v>
      </c>
      <c r="C162" s="64">
        <v>47</v>
      </c>
      <c r="D162" s="64">
        <v>23</v>
      </c>
      <c r="E162" s="64">
        <v>11</v>
      </c>
      <c r="F162" s="64">
        <v>5</v>
      </c>
      <c r="G162" s="64">
        <v>41</v>
      </c>
      <c r="H162" s="64">
        <v>22</v>
      </c>
      <c r="I162" s="64">
        <v>11</v>
      </c>
      <c r="J162" s="64">
        <v>5</v>
      </c>
      <c r="K162" s="64">
        <v>6</v>
      </c>
      <c r="L162" s="64">
        <v>1</v>
      </c>
      <c r="M162" s="64" t="s">
        <v>84</v>
      </c>
      <c r="N162" s="64" t="s">
        <v>84</v>
      </c>
    </row>
    <row r="163" spans="1:14" x14ac:dyDescent="0.25">
      <c r="A163" s="61">
        <v>462</v>
      </c>
      <c r="B163" s="63" t="s">
        <v>137</v>
      </c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6"/>
    </row>
    <row r="164" spans="1:14" x14ac:dyDescent="0.25">
      <c r="A164" s="61">
        <v>462</v>
      </c>
      <c r="B164" s="62" t="s">
        <v>83</v>
      </c>
      <c r="C164" s="64">
        <v>685</v>
      </c>
      <c r="D164" s="64">
        <v>332</v>
      </c>
      <c r="E164" s="64">
        <v>32</v>
      </c>
      <c r="F164" s="64">
        <v>11</v>
      </c>
      <c r="G164" s="64">
        <v>655</v>
      </c>
      <c r="H164" s="64">
        <v>321</v>
      </c>
      <c r="I164" s="64">
        <v>30</v>
      </c>
      <c r="J164" s="64">
        <v>11</v>
      </c>
      <c r="K164" s="64">
        <v>30</v>
      </c>
      <c r="L164" s="64">
        <v>11</v>
      </c>
      <c r="M164" s="64">
        <v>2</v>
      </c>
      <c r="N164" s="64" t="s">
        <v>84</v>
      </c>
    </row>
    <row r="165" spans="1:14" x14ac:dyDescent="0.25">
      <c r="A165" s="61">
        <v>462</v>
      </c>
      <c r="B165" s="62" t="s">
        <v>87</v>
      </c>
      <c r="C165" s="64">
        <v>38</v>
      </c>
      <c r="D165" s="64">
        <v>14</v>
      </c>
      <c r="E165" s="64">
        <v>11</v>
      </c>
      <c r="F165" s="64">
        <v>2</v>
      </c>
      <c r="G165" s="64">
        <v>38</v>
      </c>
      <c r="H165" s="64">
        <v>14</v>
      </c>
      <c r="I165" s="64">
        <v>11</v>
      </c>
      <c r="J165" s="64">
        <v>2</v>
      </c>
      <c r="K165" s="64" t="s">
        <v>84</v>
      </c>
      <c r="L165" s="64" t="s">
        <v>84</v>
      </c>
      <c r="M165" s="64" t="s">
        <v>84</v>
      </c>
      <c r="N165" s="64" t="s">
        <v>84</v>
      </c>
    </row>
  </sheetData>
  <mergeCells count="13">
    <mergeCell ref="K4:K6"/>
    <mergeCell ref="L4:L6"/>
    <mergeCell ref="M4:M6"/>
    <mergeCell ref="C1:N2"/>
    <mergeCell ref="C3:F3"/>
    <mergeCell ref="G3:J3"/>
    <mergeCell ref="K3:N3"/>
    <mergeCell ref="C4:C6"/>
    <mergeCell ref="D4:D6"/>
    <mergeCell ref="E4:E6"/>
    <mergeCell ref="G4:G6"/>
    <mergeCell ref="H4:H6"/>
    <mergeCell ref="I4:I6"/>
  </mergeCells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 filterMode="1"/>
  <dimension ref="A1:Q330"/>
  <sheetViews>
    <sheetView workbookViewId="0"/>
  </sheetViews>
  <sheetFormatPr baseColWidth="10" defaultRowHeight="15" x14ac:dyDescent="0.25"/>
  <cols>
    <col min="4" max="4" width="32.85546875" customWidth="1"/>
    <col min="10" max="11" width="11.42578125" style="29"/>
    <col min="16" max="16" width="10.85546875" bestFit="1" customWidth="1"/>
  </cols>
  <sheetData>
    <row r="1" spans="1:17" ht="15" customHeight="1" x14ac:dyDescent="0.25"/>
    <row r="2" spans="1:17" x14ac:dyDescent="0.25">
      <c r="D2" s="10" t="s">
        <v>66</v>
      </c>
      <c r="E2" s="10"/>
    </row>
    <row r="4" spans="1:17" x14ac:dyDescent="0.25">
      <c r="D4" t="s">
        <v>67</v>
      </c>
    </row>
    <row r="5" spans="1:17" x14ac:dyDescent="0.25">
      <c r="D5" t="s">
        <v>68</v>
      </c>
    </row>
    <row r="6" spans="1:17" x14ac:dyDescent="0.25">
      <c r="D6" t="s">
        <v>69</v>
      </c>
    </row>
    <row r="7" spans="1:17" ht="15" customHeight="1" x14ac:dyDescent="0.25"/>
    <row r="8" spans="1:17" x14ac:dyDescent="0.25">
      <c r="D8" t="s">
        <v>150</v>
      </c>
    </row>
    <row r="9" spans="1:17" x14ac:dyDescent="0.25">
      <c r="D9" t="s">
        <v>178</v>
      </c>
    </row>
    <row r="11" spans="1:17" ht="15" customHeight="1" x14ac:dyDescent="0.25">
      <c r="A11" s="243" t="s">
        <v>194</v>
      </c>
      <c r="B11" s="243" t="s">
        <v>168</v>
      </c>
      <c r="C11" s="50"/>
      <c r="D11" s="243" t="s">
        <v>163</v>
      </c>
      <c r="E11" s="215" t="s">
        <v>159</v>
      </c>
      <c r="F11" s="213" t="s">
        <v>164</v>
      </c>
      <c r="G11" s="214"/>
      <c r="H11" s="215"/>
      <c r="I11" s="213" t="s">
        <v>165</v>
      </c>
      <c r="J11" s="214"/>
      <c r="K11" s="214"/>
      <c r="L11" s="241" t="s">
        <v>166</v>
      </c>
      <c r="M11" s="241"/>
    </row>
    <row r="12" spans="1:17" x14ac:dyDescent="0.25">
      <c r="A12" s="244"/>
      <c r="B12" s="244"/>
      <c r="C12" s="51"/>
      <c r="D12" s="244"/>
      <c r="E12" s="249"/>
      <c r="F12" s="246"/>
      <c r="G12" s="247"/>
      <c r="H12" s="249"/>
      <c r="I12" s="246"/>
      <c r="J12" s="247"/>
      <c r="K12" s="247"/>
      <c r="L12" s="241"/>
      <c r="M12" s="241"/>
    </row>
    <row r="13" spans="1:17" ht="15" customHeight="1" x14ac:dyDescent="0.25">
      <c r="A13" s="244"/>
      <c r="B13" s="244"/>
      <c r="C13" s="51"/>
      <c r="D13" s="244"/>
      <c r="E13" s="249"/>
      <c r="F13" s="216"/>
      <c r="G13" s="217"/>
      <c r="H13" s="218"/>
      <c r="I13" s="216"/>
      <c r="J13" s="217"/>
      <c r="K13" s="217"/>
      <c r="L13" s="241"/>
      <c r="M13" s="241"/>
    </row>
    <row r="14" spans="1:17" ht="15" customHeight="1" x14ac:dyDescent="0.25">
      <c r="A14" s="244"/>
      <c r="B14" s="244"/>
      <c r="C14" s="51"/>
      <c r="D14" s="244"/>
      <c r="E14" s="249"/>
      <c r="F14" s="210" t="s">
        <v>78</v>
      </c>
      <c r="G14" s="210" t="s">
        <v>80</v>
      </c>
      <c r="H14" s="248" t="s">
        <v>2</v>
      </c>
      <c r="I14" s="210" t="s">
        <v>78</v>
      </c>
      <c r="J14" s="210" t="s">
        <v>80</v>
      </c>
      <c r="K14" s="248" t="s">
        <v>2</v>
      </c>
      <c r="L14" s="211" t="s">
        <v>80</v>
      </c>
      <c r="M14" s="242" t="s">
        <v>2</v>
      </c>
    </row>
    <row r="15" spans="1:17" x14ac:dyDescent="0.25">
      <c r="A15" s="244"/>
      <c r="B15" s="244"/>
      <c r="C15" s="51"/>
      <c r="D15" s="244"/>
      <c r="E15" s="249"/>
      <c r="F15" s="211"/>
      <c r="G15" s="211"/>
      <c r="H15" s="242"/>
      <c r="I15" s="211"/>
      <c r="J15" s="211"/>
      <c r="K15" s="242"/>
      <c r="L15" s="211"/>
      <c r="M15" s="242"/>
    </row>
    <row r="16" spans="1:17" x14ac:dyDescent="0.25">
      <c r="A16" s="244"/>
      <c r="B16" s="244"/>
      <c r="C16" s="51"/>
      <c r="D16" s="244"/>
      <c r="E16" s="249"/>
      <c r="F16" s="212"/>
      <c r="G16" s="212"/>
      <c r="H16" s="242"/>
      <c r="I16" s="212"/>
      <c r="J16" s="212"/>
      <c r="K16" s="242"/>
      <c r="L16" s="212"/>
      <c r="M16" s="242"/>
      <c r="P16" s="74" t="s">
        <v>87</v>
      </c>
      <c r="Q16" s="73" t="s">
        <v>83</v>
      </c>
    </row>
    <row r="17" spans="1:13" x14ac:dyDescent="0.25">
      <c r="A17" s="245"/>
      <c r="B17" s="245"/>
      <c r="C17" s="52"/>
      <c r="D17" s="245"/>
      <c r="E17" s="218"/>
      <c r="F17" s="14">
        <v>1</v>
      </c>
      <c r="G17" s="18">
        <v>2</v>
      </c>
      <c r="H17" s="30">
        <v>3</v>
      </c>
      <c r="I17" s="14">
        <v>1</v>
      </c>
      <c r="J17" s="18">
        <v>2</v>
      </c>
      <c r="K17" s="30">
        <v>3</v>
      </c>
      <c r="L17" s="18">
        <v>1</v>
      </c>
      <c r="M17" s="30">
        <v>2</v>
      </c>
    </row>
    <row r="18" spans="1:13" x14ac:dyDescent="0.25">
      <c r="B18" s="75" t="s">
        <v>180</v>
      </c>
      <c r="C18" s="76" t="s">
        <v>191</v>
      </c>
      <c r="D18" s="77" t="s">
        <v>181</v>
      </c>
      <c r="E18" s="77" t="s">
        <v>182</v>
      </c>
      <c r="F18" s="77" t="s">
        <v>183</v>
      </c>
      <c r="G18" s="77" t="s">
        <v>184</v>
      </c>
      <c r="H18" s="78" t="s">
        <v>185</v>
      </c>
      <c r="I18" s="77" t="s">
        <v>186</v>
      </c>
      <c r="J18" s="77" t="s">
        <v>187</v>
      </c>
      <c r="K18" s="78" t="s">
        <v>188</v>
      </c>
      <c r="L18" s="79" t="s">
        <v>189</v>
      </c>
      <c r="M18" s="80" t="s">
        <v>190</v>
      </c>
    </row>
    <row r="19" spans="1:13" x14ac:dyDescent="0.25">
      <c r="A19" t="str">
        <f>3&amp;B19</f>
        <v>30</v>
      </c>
      <c r="B19" s="81" t="str">
        <f>LEFT(D19,LEN(D9)-(LEN(D9)-1))</f>
        <v>0</v>
      </c>
      <c r="C19" s="82"/>
      <c r="D19" s="83" t="s">
        <v>82</v>
      </c>
      <c r="E19" s="83">
        <v>2013</v>
      </c>
      <c r="F19" s="83">
        <v>4372</v>
      </c>
      <c r="G19" s="83">
        <v>649</v>
      </c>
      <c r="H19" s="84">
        <f t="shared" ref="H19:H33" si="0">F19-G19</f>
        <v>3723</v>
      </c>
      <c r="I19" s="83">
        <v>86460</v>
      </c>
      <c r="J19" s="83">
        <v>4740</v>
      </c>
      <c r="K19" s="84">
        <f t="shared" ref="K19:K50" si="1">I19-J19</f>
        <v>81720</v>
      </c>
      <c r="L19" s="85">
        <f t="shared" ref="L19:L50" si="2">G19/J19*100</f>
        <v>13.691983122362869</v>
      </c>
      <c r="M19" s="86">
        <f t="shared" ref="M19:M50" si="3">H19/K19*100</f>
        <v>4.5558002936857562</v>
      </c>
    </row>
    <row r="20" spans="1:13" x14ac:dyDescent="0.25">
      <c r="A20" t="str">
        <f t="shared" ref="A20:A83" si="4">3&amp;B20</f>
        <v>31</v>
      </c>
      <c r="B20" s="87" t="str">
        <f>LEFT(D20,LEN(D10)-(LEN(D10)-1))</f>
        <v>1</v>
      </c>
      <c r="C20" s="88"/>
      <c r="D20" s="89" t="s">
        <v>88</v>
      </c>
      <c r="E20" s="89">
        <v>2013</v>
      </c>
      <c r="F20" s="89">
        <v>765</v>
      </c>
      <c r="G20" s="89">
        <v>110</v>
      </c>
      <c r="H20" s="90">
        <f t="shared" si="0"/>
        <v>655</v>
      </c>
      <c r="I20" s="89">
        <v>16402</v>
      </c>
      <c r="J20" s="89">
        <v>965</v>
      </c>
      <c r="K20" s="90">
        <f t="shared" si="1"/>
        <v>15437</v>
      </c>
      <c r="L20" s="91">
        <f t="shared" si="2"/>
        <v>11.398963730569948</v>
      </c>
      <c r="M20" s="92">
        <f t="shared" si="3"/>
        <v>4.2430524065556776</v>
      </c>
    </row>
    <row r="21" spans="1:13" x14ac:dyDescent="0.25">
      <c r="A21" t="str">
        <f t="shared" si="4"/>
        <v>3101</v>
      </c>
      <c r="B21" s="81" t="str">
        <f t="shared" ref="B21:B27" si="5">LEFT(D21,LEN(D11)-(LEN(D11)-3))</f>
        <v>101</v>
      </c>
      <c r="C21" s="82"/>
      <c r="D21" s="83" t="s">
        <v>89</v>
      </c>
      <c r="E21" s="83">
        <v>2013</v>
      </c>
      <c r="F21" s="83">
        <v>151</v>
      </c>
      <c r="G21" s="83">
        <v>25</v>
      </c>
      <c r="H21" s="84">
        <f t="shared" si="0"/>
        <v>126</v>
      </c>
      <c r="I21" s="83">
        <v>2578</v>
      </c>
      <c r="J21" s="83">
        <v>151</v>
      </c>
      <c r="K21" s="84">
        <f t="shared" si="1"/>
        <v>2427</v>
      </c>
      <c r="L21" s="85">
        <f t="shared" si="2"/>
        <v>16.556291390728479</v>
      </c>
      <c r="M21" s="86">
        <f t="shared" si="3"/>
        <v>5.1915945611866503</v>
      </c>
    </row>
    <row r="22" spans="1:13" x14ac:dyDescent="0.25">
      <c r="A22" t="str">
        <f t="shared" si="4"/>
        <v>3102</v>
      </c>
      <c r="B22" s="87" t="str">
        <f t="shared" si="5"/>
        <v>102</v>
      </c>
      <c r="C22" s="88"/>
      <c r="D22" s="89" t="s">
        <v>90</v>
      </c>
      <c r="E22" s="89">
        <v>2013</v>
      </c>
      <c r="F22" s="89">
        <v>37</v>
      </c>
      <c r="G22" s="89">
        <v>9</v>
      </c>
      <c r="H22" s="90">
        <f t="shared" si="0"/>
        <v>28</v>
      </c>
      <c r="I22" s="89">
        <v>1114</v>
      </c>
      <c r="J22" s="89">
        <v>149</v>
      </c>
      <c r="K22" s="90">
        <f t="shared" si="1"/>
        <v>965</v>
      </c>
      <c r="L22" s="91">
        <f t="shared" si="2"/>
        <v>6.0402684563758395</v>
      </c>
      <c r="M22" s="92">
        <f t="shared" si="3"/>
        <v>2.9015544041450778</v>
      </c>
    </row>
    <row r="23" spans="1:13" x14ac:dyDescent="0.25">
      <c r="A23" t="str">
        <f t="shared" si="4"/>
        <v>3103</v>
      </c>
      <c r="B23" s="81" t="str">
        <f t="shared" si="5"/>
        <v>103</v>
      </c>
      <c r="C23" s="82"/>
      <c r="D23" s="83" t="s">
        <v>91</v>
      </c>
      <c r="E23" s="83">
        <v>2013</v>
      </c>
      <c r="F23" s="83">
        <v>61</v>
      </c>
      <c r="G23" s="83">
        <v>10</v>
      </c>
      <c r="H23" s="84">
        <f t="shared" si="0"/>
        <v>51</v>
      </c>
      <c r="I23" s="83">
        <v>1519</v>
      </c>
      <c r="J23" s="83">
        <v>125</v>
      </c>
      <c r="K23" s="84">
        <f t="shared" si="1"/>
        <v>1394</v>
      </c>
      <c r="L23" s="85">
        <f t="shared" si="2"/>
        <v>8</v>
      </c>
      <c r="M23" s="86">
        <f t="shared" si="3"/>
        <v>3.6585365853658534</v>
      </c>
    </row>
    <row r="24" spans="1:13" x14ac:dyDescent="0.25">
      <c r="A24" t="str">
        <f t="shared" si="4"/>
        <v>3151</v>
      </c>
      <c r="B24" s="87" t="str">
        <f t="shared" si="5"/>
        <v>151</v>
      </c>
      <c r="C24" s="88"/>
      <c r="D24" s="89" t="s">
        <v>92</v>
      </c>
      <c r="E24" s="89">
        <v>2013</v>
      </c>
      <c r="F24" s="89">
        <v>81</v>
      </c>
      <c r="G24" s="89">
        <v>5</v>
      </c>
      <c r="H24" s="90">
        <f t="shared" si="0"/>
        <v>76</v>
      </c>
      <c r="I24" s="89">
        <v>1722</v>
      </c>
      <c r="J24" s="89">
        <v>43</v>
      </c>
      <c r="K24" s="90">
        <f t="shared" si="1"/>
        <v>1679</v>
      </c>
      <c r="L24" s="91">
        <f t="shared" si="2"/>
        <v>11.627906976744185</v>
      </c>
      <c r="M24" s="92">
        <f t="shared" si="3"/>
        <v>4.5265038713519949</v>
      </c>
    </row>
    <row r="25" spans="1:13" x14ac:dyDescent="0.25">
      <c r="A25" t="str">
        <f t="shared" si="4"/>
        <v>3153</v>
      </c>
      <c r="B25" s="81" t="str">
        <f t="shared" si="5"/>
        <v>153</v>
      </c>
      <c r="C25" s="82"/>
      <c r="D25" s="83" t="s">
        <v>93</v>
      </c>
      <c r="E25" s="83">
        <v>2013</v>
      </c>
      <c r="F25" s="83">
        <v>80</v>
      </c>
      <c r="G25" s="83">
        <v>2</v>
      </c>
      <c r="H25" s="84">
        <f t="shared" si="0"/>
        <v>78</v>
      </c>
      <c r="I25" s="83">
        <v>1376</v>
      </c>
      <c r="J25" s="83">
        <v>45</v>
      </c>
      <c r="K25" s="84">
        <f t="shared" si="1"/>
        <v>1331</v>
      </c>
      <c r="L25" s="85">
        <f t="shared" si="2"/>
        <v>4.4444444444444446</v>
      </c>
      <c r="M25" s="86">
        <f t="shared" si="3"/>
        <v>5.8602554470323067</v>
      </c>
    </row>
    <row r="26" spans="1:13" x14ac:dyDescent="0.25">
      <c r="A26" t="str">
        <f t="shared" si="4"/>
        <v>3154</v>
      </c>
      <c r="B26" s="87" t="str">
        <f t="shared" si="5"/>
        <v>154</v>
      </c>
      <c r="C26" s="88"/>
      <c r="D26" s="89" t="s">
        <v>94</v>
      </c>
      <c r="E26" s="89">
        <v>2013</v>
      </c>
      <c r="F26" s="89">
        <v>54</v>
      </c>
      <c r="G26" s="89">
        <v>4</v>
      </c>
      <c r="H26" s="90">
        <f t="shared" si="0"/>
        <v>50</v>
      </c>
      <c r="I26" s="89">
        <v>901</v>
      </c>
      <c r="J26" s="89">
        <v>22</v>
      </c>
      <c r="K26" s="90">
        <f t="shared" si="1"/>
        <v>879</v>
      </c>
      <c r="L26" s="91">
        <f t="shared" si="2"/>
        <v>18.181818181818183</v>
      </c>
      <c r="M26" s="92">
        <f t="shared" si="3"/>
        <v>5.6882821387940838</v>
      </c>
    </row>
    <row r="27" spans="1:13" x14ac:dyDescent="0.25">
      <c r="A27" t="str">
        <f t="shared" si="4"/>
        <v>3155</v>
      </c>
      <c r="B27" s="81" t="str">
        <f t="shared" si="5"/>
        <v>155</v>
      </c>
      <c r="C27" s="82"/>
      <c r="D27" s="83" t="s">
        <v>95</v>
      </c>
      <c r="E27" s="83">
        <v>2013</v>
      </c>
      <c r="F27" s="83">
        <v>64</v>
      </c>
      <c r="G27" s="83">
        <v>9</v>
      </c>
      <c r="H27" s="84">
        <f t="shared" si="0"/>
        <v>55</v>
      </c>
      <c r="I27" s="83">
        <v>1482</v>
      </c>
      <c r="J27" s="83">
        <v>54</v>
      </c>
      <c r="K27" s="84">
        <f t="shared" si="1"/>
        <v>1428</v>
      </c>
      <c r="L27" s="85">
        <f t="shared" si="2"/>
        <v>16.666666666666664</v>
      </c>
      <c r="M27" s="86">
        <f t="shared" si="3"/>
        <v>3.8515406162464987</v>
      </c>
    </row>
    <row r="28" spans="1:13" x14ac:dyDescent="0.25">
      <c r="A28" t="str">
        <f t="shared" si="4"/>
        <v>3157</v>
      </c>
      <c r="B28" s="87" t="str">
        <f>LEFT(D28,LEN(D19)-(LEN(D19)-3))</f>
        <v>157</v>
      </c>
      <c r="C28" s="88"/>
      <c r="D28" s="89" t="s">
        <v>96</v>
      </c>
      <c r="E28" s="89">
        <v>2013</v>
      </c>
      <c r="F28" s="89">
        <v>59</v>
      </c>
      <c r="G28" s="89">
        <v>11</v>
      </c>
      <c r="H28" s="90">
        <f t="shared" si="0"/>
        <v>48</v>
      </c>
      <c r="I28" s="89">
        <v>1396</v>
      </c>
      <c r="J28" s="89">
        <v>158</v>
      </c>
      <c r="K28" s="90">
        <f t="shared" si="1"/>
        <v>1238</v>
      </c>
      <c r="L28" s="91">
        <f t="shared" si="2"/>
        <v>6.962025316455696</v>
      </c>
      <c r="M28" s="92">
        <f t="shared" si="3"/>
        <v>3.877221324717286</v>
      </c>
    </row>
    <row r="29" spans="1:13" x14ac:dyDescent="0.25">
      <c r="A29" t="str">
        <f t="shared" si="4"/>
        <v>3158</v>
      </c>
      <c r="B29" s="81" t="str">
        <f>LEFT(D29,LEN(D20)-(LEN(D20)-3))</f>
        <v>158</v>
      </c>
      <c r="C29" s="82"/>
      <c r="D29" s="83" t="s">
        <v>97</v>
      </c>
      <c r="E29" s="83">
        <v>2013</v>
      </c>
      <c r="F29" s="83">
        <v>45</v>
      </c>
      <c r="G29" s="83">
        <v>4</v>
      </c>
      <c r="H29" s="84">
        <f t="shared" si="0"/>
        <v>41</v>
      </c>
      <c r="I29" s="83">
        <v>1126</v>
      </c>
      <c r="J29" s="83">
        <v>54</v>
      </c>
      <c r="K29" s="84">
        <f t="shared" si="1"/>
        <v>1072</v>
      </c>
      <c r="L29" s="85">
        <f t="shared" si="2"/>
        <v>7.4074074074074066</v>
      </c>
      <c r="M29" s="86">
        <f t="shared" si="3"/>
        <v>3.8246268656716418</v>
      </c>
    </row>
    <row r="30" spans="1:13" x14ac:dyDescent="0.25">
      <c r="A30" t="str">
        <f t="shared" si="4"/>
        <v>3159</v>
      </c>
      <c r="B30" s="87" t="str">
        <f>LEFT(D30,LEN(D21)-(LEN(D21)-3))</f>
        <v>159</v>
      </c>
      <c r="C30" s="88"/>
      <c r="D30" s="89" t="s">
        <v>98</v>
      </c>
      <c r="E30" s="89">
        <v>2013</v>
      </c>
      <c r="F30" s="89">
        <v>133</v>
      </c>
      <c r="G30" s="89">
        <v>31</v>
      </c>
      <c r="H30" s="90">
        <f t="shared" si="0"/>
        <v>102</v>
      </c>
      <c r="I30" s="89">
        <v>3188</v>
      </c>
      <c r="J30" s="89">
        <v>164</v>
      </c>
      <c r="K30" s="90">
        <f t="shared" si="1"/>
        <v>3024</v>
      </c>
      <c r="L30" s="91">
        <f t="shared" si="2"/>
        <v>18.902439024390244</v>
      </c>
      <c r="M30" s="92">
        <f t="shared" si="3"/>
        <v>3.373015873015873</v>
      </c>
    </row>
    <row r="31" spans="1:13" x14ac:dyDescent="0.25">
      <c r="A31" t="str">
        <f t="shared" si="4"/>
        <v>32</v>
      </c>
      <c r="B31" s="81" t="str">
        <f>LEFT(D31,LEN(D22)-(LEN(D22)-1))</f>
        <v>2</v>
      </c>
      <c r="C31" s="82"/>
      <c r="D31" s="83" t="s">
        <v>99</v>
      </c>
      <c r="E31" s="83">
        <v>2013</v>
      </c>
      <c r="F31" s="83">
        <v>1110</v>
      </c>
      <c r="G31" s="83">
        <v>228</v>
      </c>
      <c r="H31" s="84">
        <f t="shared" si="0"/>
        <v>882</v>
      </c>
      <c r="I31" s="83">
        <v>22259</v>
      </c>
      <c r="J31" s="83">
        <v>1802</v>
      </c>
      <c r="K31" s="84">
        <f t="shared" si="1"/>
        <v>20457</v>
      </c>
      <c r="L31" s="85">
        <f t="shared" si="2"/>
        <v>12.652608213096558</v>
      </c>
      <c r="M31" s="86">
        <f t="shared" si="3"/>
        <v>4.3114826220853502</v>
      </c>
    </row>
    <row r="32" spans="1:13" x14ac:dyDescent="0.25">
      <c r="A32" t="str">
        <f t="shared" si="4"/>
        <v>3241</v>
      </c>
      <c r="B32" s="87" t="str">
        <f>LEFT(D32,LEN(D23)-(LEN(D23)-3))</f>
        <v>241</v>
      </c>
      <c r="C32" s="88"/>
      <c r="D32" s="89" t="s">
        <v>100</v>
      </c>
      <c r="E32" s="89">
        <v>2013</v>
      </c>
      <c r="F32" s="89">
        <v>544</v>
      </c>
      <c r="G32" s="89">
        <v>144</v>
      </c>
      <c r="H32" s="90">
        <f t="shared" si="0"/>
        <v>400</v>
      </c>
      <c r="I32" s="89">
        <v>11202</v>
      </c>
      <c r="J32" s="89">
        <v>1163</v>
      </c>
      <c r="K32" s="90">
        <f t="shared" si="1"/>
        <v>10039</v>
      </c>
      <c r="L32" s="91">
        <f t="shared" si="2"/>
        <v>12.381771281169389</v>
      </c>
      <c r="M32" s="92">
        <f t="shared" si="3"/>
        <v>3.9844606036457813</v>
      </c>
    </row>
    <row r="33" spans="1:13" x14ac:dyDescent="0.25">
      <c r="A33" t="str">
        <f t="shared" si="4"/>
        <v>3241001</v>
      </c>
      <c r="B33" s="81" t="str">
        <f>LEFT(D33,LEN(D24)-(LEN(D24)-6))</f>
        <v>241001</v>
      </c>
      <c r="C33" s="82"/>
      <c r="D33" s="83" t="s">
        <v>101</v>
      </c>
      <c r="E33" s="83">
        <v>2013</v>
      </c>
      <c r="F33" s="83">
        <v>267</v>
      </c>
      <c r="G33" s="83">
        <v>71</v>
      </c>
      <c r="H33" s="84">
        <f t="shared" si="0"/>
        <v>196</v>
      </c>
      <c r="I33" s="83">
        <v>4743</v>
      </c>
      <c r="J33" s="83">
        <v>707</v>
      </c>
      <c r="K33" s="84">
        <f t="shared" si="1"/>
        <v>4036</v>
      </c>
      <c r="L33" s="85">
        <f t="shared" si="2"/>
        <v>10.042432814710041</v>
      </c>
      <c r="M33" s="86">
        <f t="shared" si="3"/>
        <v>4.8562933597621409</v>
      </c>
    </row>
    <row r="34" spans="1:13" x14ac:dyDescent="0.25">
      <c r="A34" t="str">
        <f t="shared" si="4"/>
        <v>3241999</v>
      </c>
      <c r="B34" s="87" t="str">
        <f>LEFT(D34,LEN(D25)-(LEN(D25)-6))</f>
        <v>241999</v>
      </c>
      <c r="C34" s="88"/>
      <c r="D34" s="89" t="s">
        <v>179</v>
      </c>
      <c r="E34" s="89">
        <v>2013</v>
      </c>
      <c r="F34" s="89">
        <f>F32-F33</f>
        <v>277</v>
      </c>
      <c r="G34" s="90">
        <f>G32-G33</f>
        <v>73</v>
      </c>
      <c r="H34" s="90">
        <f>H32-H33</f>
        <v>204</v>
      </c>
      <c r="I34" s="90">
        <f>I32-I33</f>
        <v>6459</v>
      </c>
      <c r="J34" s="90">
        <f>J32-J33</f>
        <v>456</v>
      </c>
      <c r="K34" s="90">
        <f t="shared" si="1"/>
        <v>6003</v>
      </c>
      <c r="L34" s="91">
        <f t="shared" si="2"/>
        <v>16.008771929824562</v>
      </c>
      <c r="M34" s="92">
        <f t="shared" si="3"/>
        <v>3.3983008495752123</v>
      </c>
    </row>
    <row r="35" spans="1:13" x14ac:dyDescent="0.25">
      <c r="A35" t="str">
        <f t="shared" si="4"/>
        <v>3251</v>
      </c>
      <c r="B35" s="81" t="str">
        <f t="shared" ref="B35:B40" si="6">LEFT(D35,LEN(D26)-(LEN(D26)-3))</f>
        <v>251</v>
      </c>
      <c r="C35" s="82"/>
      <c r="D35" s="83" t="s">
        <v>102</v>
      </c>
      <c r="E35" s="83">
        <v>2013</v>
      </c>
      <c r="F35" s="83">
        <v>83</v>
      </c>
      <c r="G35" s="83">
        <v>14</v>
      </c>
      <c r="H35" s="84">
        <f t="shared" ref="H35:H69" si="7">F35-G35</f>
        <v>69</v>
      </c>
      <c r="I35" s="83">
        <v>2361</v>
      </c>
      <c r="J35" s="83">
        <v>111</v>
      </c>
      <c r="K35" s="84">
        <f t="shared" si="1"/>
        <v>2250</v>
      </c>
      <c r="L35" s="85">
        <f t="shared" si="2"/>
        <v>12.612612612612612</v>
      </c>
      <c r="M35" s="86">
        <f t="shared" si="3"/>
        <v>3.0666666666666664</v>
      </c>
    </row>
    <row r="36" spans="1:13" x14ac:dyDescent="0.25">
      <c r="A36" t="str">
        <f t="shared" si="4"/>
        <v>3252</v>
      </c>
      <c r="B36" s="87" t="str">
        <f t="shared" si="6"/>
        <v>252</v>
      </c>
      <c r="C36" s="88"/>
      <c r="D36" s="89" t="s">
        <v>103</v>
      </c>
      <c r="E36" s="89">
        <v>2013</v>
      </c>
      <c r="F36" s="89">
        <v>112</v>
      </c>
      <c r="G36" s="89">
        <v>11</v>
      </c>
      <c r="H36" s="90">
        <f t="shared" si="7"/>
        <v>101</v>
      </c>
      <c r="I36" s="89">
        <v>1568</v>
      </c>
      <c r="J36" s="89">
        <v>102</v>
      </c>
      <c r="K36" s="90">
        <f t="shared" si="1"/>
        <v>1466</v>
      </c>
      <c r="L36" s="91">
        <f t="shared" si="2"/>
        <v>10.784313725490197</v>
      </c>
      <c r="M36" s="92">
        <f t="shared" si="3"/>
        <v>6.88949522510232</v>
      </c>
    </row>
    <row r="37" spans="1:13" x14ac:dyDescent="0.25">
      <c r="A37" t="str">
        <f t="shared" si="4"/>
        <v>3254</v>
      </c>
      <c r="B37" s="81" t="str">
        <f t="shared" si="6"/>
        <v>254</v>
      </c>
      <c r="C37" s="82"/>
      <c r="D37" s="83" t="s">
        <v>104</v>
      </c>
      <c r="E37" s="83">
        <v>2013</v>
      </c>
      <c r="F37" s="83">
        <v>181</v>
      </c>
      <c r="G37" s="83">
        <v>28</v>
      </c>
      <c r="H37" s="84">
        <f t="shared" si="7"/>
        <v>153</v>
      </c>
      <c r="I37" s="83">
        <v>3191</v>
      </c>
      <c r="J37" s="83">
        <v>160</v>
      </c>
      <c r="K37" s="84">
        <f t="shared" si="1"/>
        <v>3031</v>
      </c>
      <c r="L37" s="85">
        <f t="shared" si="2"/>
        <v>17.5</v>
      </c>
      <c r="M37" s="86">
        <f t="shared" si="3"/>
        <v>5.0478389970306825</v>
      </c>
    </row>
    <row r="38" spans="1:13" x14ac:dyDescent="0.25">
      <c r="A38" t="str">
        <f t="shared" si="4"/>
        <v>3255</v>
      </c>
      <c r="B38" s="87" t="str">
        <f t="shared" si="6"/>
        <v>255</v>
      </c>
      <c r="C38" s="88"/>
      <c r="D38" s="89" t="s">
        <v>105</v>
      </c>
      <c r="E38" s="89">
        <v>2013</v>
      </c>
      <c r="F38" s="89">
        <v>50</v>
      </c>
      <c r="G38" s="89">
        <v>4</v>
      </c>
      <c r="H38" s="90">
        <f t="shared" si="7"/>
        <v>46</v>
      </c>
      <c r="I38" s="89">
        <v>692</v>
      </c>
      <c r="J38" s="89">
        <v>55</v>
      </c>
      <c r="K38" s="90">
        <f t="shared" si="1"/>
        <v>637</v>
      </c>
      <c r="L38" s="91">
        <f t="shared" si="2"/>
        <v>7.2727272727272725</v>
      </c>
      <c r="M38" s="92">
        <f t="shared" si="3"/>
        <v>7.2213500784929359</v>
      </c>
    </row>
    <row r="39" spans="1:13" x14ac:dyDescent="0.25">
      <c r="A39" t="str">
        <f t="shared" si="4"/>
        <v>3256</v>
      </c>
      <c r="B39" s="81" t="str">
        <f t="shared" si="6"/>
        <v>256</v>
      </c>
      <c r="C39" s="82"/>
      <c r="D39" s="83" t="s">
        <v>106</v>
      </c>
      <c r="E39" s="83">
        <v>2013</v>
      </c>
      <c r="F39" s="83">
        <v>78</v>
      </c>
      <c r="G39" s="83">
        <v>13</v>
      </c>
      <c r="H39" s="84">
        <f t="shared" si="7"/>
        <v>65</v>
      </c>
      <c r="I39" s="83">
        <v>1570</v>
      </c>
      <c r="J39" s="83">
        <v>88</v>
      </c>
      <c r="K39" s="84">
        <f t="shared" si="1"/>
        <v>1482</v>
      </c>
      <c r="L39" s="85">
        <f t="shared" si="2"/>
        <v>14.772727272727273</v>
      </c>
      <c r="M39" s="86">
        <f t="shared" si="3"/>
        <v>4.3859649122807012</v>
      </c>
    </row>
    <row r="40" spans="1:13" x14ac:dyDescent="0.25">
      <c r="A40" t="str">
        <f t="shared" si="4"/>
        <v>3257</v>
      </c>
      <c r="B40" s="87" t="str">
        <f t="shared" si="6"/>
        <v>257</v>
      </c>
      <c r="C40" s="88"/>
      <c r="D40" s="89" t="s">
        <v>107</v>
      </c>
      <c r="E40" s="89">
        <v>2013</v>
      </c>
      <c r="F40" s="89">
        <v>62</v>
      </c>
      <c r="G40" s="89">
        <v>14</v>
      </c>
      <c r="H40" s="90">
        <f t="shared" si="7"/>
        <v>48</v>
      </c>
      <c r="I40" s="89">
        <v>1675</v>
      </c>
      <c r="J40" s="89">
        <v>123</v>
      </c>
      <c r="K40" s="90">
        <f t="shared" si="1"/>
        <v>1552</v>
      </c>
      <c r="L40" s="91">
        <f t="shared" si="2"/>
        <v>11.38211382113821</v>
      </c>
      <c r="M40" s="92">
        <f t="shared" si="3"/>
        <v>3.0927835051546393</v>
      </c>
    </row>
    <row r="41" spans="1:13" x14ac:dyDescent="0.25">
      <c r="A41" t="str">
        <f t="shared" si="4"/>
        <v>33</v>
      </c>
      <c r="B41" s="81" t="str">
        <f>LEFT(D41,LEN(D32)-(LEN(D32)-1))</f>
        <v>3</v>
      </c>
      <c r="C41" s="82"/>
      <c r="D41" s="83" t="s">
        <v>108</v>
      </c>
      <c r="E41" s="83">
        <v>2013</v>
      </c>
      <c r="F41" s="83">
        <v>953</v>
      </c>
      <c r="G41" s="83">
        <v>81</v>
      </c>
      <c r="H41" s="84">
        <f t="shared" si="7"/>
        <v>872</v>
      </c>
      <c r="I41" s="83">
        <v>18699</v>
      </c>
      <c r="J41" s="83">
        <v>727</v>
      </c>
      <c r="K41" s="84">
        <f t="shared" si="1"/>
        <v>17972</v>
      </c>
      <c r="L41" s="85">
        <f t="shared" si="2"/>
        <v>11.141678129298487</v>
      </c>
      <c r="M41" s="86">
        <f t="shared" si="3"/>
        <v>4.8519919875361674</v>
      </c>
    </row>
    <row r="42" spans="1:13" x14ac:dyDescent="0.25">
      <c r="A42" t="str">
        <f t="shared" si="4"/>
        <v>3351</v>
      </c>
      <c r="B42" s="87" t="str">
        <f t="shared" ref="B42:B52" si="8">LEFT(D42,LEN(D33)-(LEN(D33)-3))</f>
        <v>351</v>
      </c>
      <c r="C42" s="88"/>
      <c r="D42" s="89" t="s">
        <v>109</v>
      </c>
      <c r="E42" s="89">
        <v>2013</v>
      </c>
      <c r="F42" s="89">
        <v>114</v>
      </c>
      <c r="G42" s="89">
        <v>4</v>
      </c>
      <c r="H42" s="90">
        <f t="shared" si="7"/>
        <v>110</v>
      </c>
      <c r="I42" s="89">
        <v>1984</v>
      </c>
      <c r="J42" s="89">
        <v>64</v>
      </c>
      <c r="K42" s="90">
        <f t="shared" si="1"/>
        <v>1920</v>
      </c>
      <c r="L42" s="91">
        <f t="shared" si="2"/>
        <v>6.25</v>
      </c>
      <c r="M42" s="92">
        <f t="shared" si="3"/>
        <v>5.7291666666666661</v>
      </c>
    </row>
    <row r="43" spans="1:13" x14ac:dyDescent="0.25">
      <c r="A43" t="str">
        <f t="shared" si="4"/>
        <v>3352</v>
      </c>
      <c r="B43" s="81" t="str">
        <f t="shared" si="8"/>
        <v>352</v>
      </c>
      <c r="C43" s="82"/>
      <c r="D43" s="83" t="s">
        <v>110</v>
      </c>
      <c r="E43" s="83">
        <v>2013</v>
      </c>
      <c r="F43" s="83">
        <v>143</v>
      </c>
      <c r="G43" s="83">
        <v>11</v>
      </c>
      <c r="H43" s="84">
        <f t="shared" si="7"/>
        <v>132</v>
      </c>
      <c r="I43" s="83">
        <v>1997</v>
      </c>
      <c r="J43" s="83">
        <v>88</v>
      </c>
      <c r="K43" s="84">
        <f t="shared" si="1"/>
        <v>1909</v>
      </c>
      <c r="L43" s="85">
        <f t="shared" si="2"/>
        <v>12.5</v>
      </c>
      <c r="M43" s="86">
        <f t="shared" si="3"/>
        <v>6.9146149816657942</v>
      </c>
    </row>
    <row r="44" spans="1:13" x14ac:dyDescent="0.25">
      <c r="A44" t="str">
        <f t="shared" si="4"/>
        <v>3353</v>
      </c>
      <c r="B44" s="87" t="str">
        <f t="shared" si="8"/>
        <v>353</v>
      </c>
      <c r="C44" s="88"/>
      <c r="D44" s="89" t="s">
        <v>111</v>
      </c>
      <c r="E44" s="89">
        <v>2013</v>
      </c>
      <c r="F44" s="89">
        <v>73</v>
      </c>
      <c r="G44" s="89">
        <v>7</v>
      </c>
      <c r="H44" s="90">
        <f t="shared" si="7"/>
        <v>66</v>
      </c>
      <c r="I44" s="89">
        <v>2543</v>
      </c>
      <c r="J44" s="89">
        <v>69</v>
      </c>
      <c r="K44" s="90">
        <f t="shared" si="1"/>
        <v>2474</v>
      </c>
      <c r="L44" s="91">
        <f t="shared" si="2"/>
        <v>10.144927536231885</v>
      </c>
      <c r="M44" s="92">
        <f t="shared" si="3"/>
        <v>2.6677445432497979</v>
      </c>
    </row>
    <row r="45" spans="1:13" x14ac:dyDescent="0.25">
      <c r="A45" t="str">
        <f t="shared" si="4"/>
        <v>3354</v>
      </c>
      <c r="B45" s="81" t="str">
        <f t="shared" si="8"/>
        <v>354</v>
      </c>
      <c r="C45" s="82"/>
      <c r="D45" s="83" t="s">
        <v>112</v>
      </c>
      <c r="E45" s="83">
        <v>2013</v>
      </c>
      <c r="F45" s="83">
        <v>28</v>
      </c>
      <c r="G45" s="83">
        <v>1</v>
      </c>
      <c r="H45" s="84">
        <f t="shared" si="7"/>
        <v>27</v>
      </c>
      <c r="I45" s="83">
        <v>528</v>
      </c>
      <c r="J45" s="83">
        <v>19</v>
      </c>
      <c r="K45" s="84">
        <f t="shared" si="1"/>
        <v>509</v>
      </c>
      <c r="L45" s="85">
        <f t="shared" si="2"/>
        <v>5.2631578947368416</v>
      </c>
      <c r="M45" s="86">
        <f t="shared" si="3"/>
        <v>5.3045186640471513</v>
      </c>
    </row>
    <row r="46" spans="1:13" x14ac:dyDescent="0.25">
      <c r="A46" t="str">
        <f t="shared" si="4"/>
        <v>3355</v>
      </c>
      <c r="B46" s="87" t="str">
        <f t="shared" si="8"/>
        <v>355</v>
      </c>
      <c r="C46" s="88"/>
      <c r="D46" s="89" t="s">
        <v>113</v>
      </c>
      <c r="E46" s="89">
        <v>2013</v>
      </c>
      <c r="F46" s="89">
        <v>76</v>
      </c>
      <c r="G46" s="89">
        <v>8</v>
      </c>
      <c r="H46" s="90">
        <f t="shared" si="7"/>
        <v>68</v>
      </c>
      <c r="I46" s="89">
        <v>1910</v>
      </c>
      <c r="J46" s="89">
        <v>67</v>
      </c>
      <c r="K46" s="90">
        <f t="shared" si="1"/>
        <v>1843</v>
      </c>
      <c r="L46" s="91">
        <f t="shared" si="2"/>
        <v>11.940298507462686</v>
      </c>
      <c r="M46" s="92">
        <f t="shared" si="3"/>
        <v>3.6896364622897448</v>
      </c>
    </row>
    <row r="47" spans="1:13" x14ac:dyDescent="0.25">
      <c r="A47" t="str">
        <f t="shared" si="4"/>
        <v>3356</v>
      </c>
      <c r="B47" s="81" t="str">
        <f t="shared" si="8"/>
        <v>356</v>
      </c>
      <c r="C47" s="82"/>
      <c r="D47" s="83" t="s">
        <v>114</v>
      </c>
      <c r="E47" s="83">
        <v>2013</v>
      </c>
      <c r="F47" s="83">
        <v>75</v>
      </c>
      <c r="G47" s="83">
        <v>3</v>
      </c>
      <c r="H47" s="84">
        <f t="shared" si="7"/>
        <v>72</v>
      </c>
      <c r="I47" s="83">
        <v>1253</v>
      </c>
      <c r="J47" s="83">
        <v>36</v>
      </c>
      <c r="K47" s="84">
        <f t="shared" si="1"/>
        <v>1217</v>
      </c>
      <c r="L47" s="85">
        <f t="shared" si="2"/>
        <v>8.3333333333333321</v>
      </c>
      <c r="M47" s="86">
        <f t="shared" si="3"/>
        <v>5.9161873459326211</v>
      </c>
    </row>
    <row r="48" spans="1:13" x14ac:dyDescent="0.25">
      <c r="A48" t="str">
        <f t="shared" si="4"/>
        <v>3357</v>
      </c>
      <c r="B48" s="87" t="str">
        <f t="shared" si="8"/>
        <v>357</v>
      </c>
      <c r="C48" s="88"/>
      <c r="D48" s="89" t="s">
        <v>115</v>
      </c>
      <c r="E48" s="89">
        <v>2013</v>
      </c>
      <c r="F48" s="89">
        <v>95</v>
      </c>
      <c r="G48" s="89">
        <v>4</v>
      </c>
      <c r="H48" s="90">
        <f t="shared" si="7"/>
        <v>91</v>
      </c>
      <c r="I48" s="89">
        <v>2002</v>
      </c>
      <c r="J48" s="89">
        <v>69</v>
      </c>
      <c r="K48" s="90">
        <f t="shared" si="1"/>
        <v>1933</v>
      </c>
      <c r="L48" s="91">
        <f t="shared" si="2"/>
        <v>5.7971014492753623</v>
      </c>
      <c r="M48" s="92">
        <f t="shared" si="3"/>
        <v>4.7077082255561304</v>
      </c>
    </row>
    <row r="49" spans="1:13" x14ac:dyDescent="0.25">
      <c r="A49" t="str">
        <f t="shared" si="4"/>
        <v>3358</v>
      </c>
      <c r="B49" s="81" t="str">
        <f t="shared" si="8"/>
        <v>358</v>
      </c>
      <c r="C49" s="82"/>
      <c r="D49" s="83" t="s">
        <v>116</v>
      </c>
      <c r="E49" s="83">
        <v>2013</v>
      </c>
      <c r="F49" s="83">
        <v>128</v>
      </c>
      <c r="G49" s="83">
        <v>22</v>
      </c>
      <c r="H49" s="84">
        <f t="shared" si="7"/>
        <v>106</v>
      </c>
      <c r="I49" s="83">
        <v>1689</v>
      </c>
      <c r="J49" s="83">
        <v>75</v>
      </c>
      <c r="K49" s="84">
        <f t="shared" si="1"/>
        <v>1614</v>
      </c>
      <c r="L49" s="85">
        <f t="shared" si="2"/>
        <v>29.333333333333332</v>
      </c>
      <c r="M49" s="86">
        <f t="shared" si="3"/>
        <v>6.5675340768277568</v>
      </c>
    </row>
    <row r="50" spans="1:13" x14ac:dyDescent="0.25">
      <c r="A50" t="str">
        <f t="shared" si="4"/>
        <v>3359</v>
      </c>
      <c r="B50" s="87" t="str">
        <f t="shared" si="8"/>
        <v>359</v>
      </c>
      <c r="C50" s="88"/>
      <c r="D50" s="89" t="s">
        <v>117</v>
      </c>
      <c r="E50" s="89">
        <v>2013</v>
      </c>
      <c r="F50" s="89">
        <v>112</v>
      </c>
      <c r="G50" s="89">
        <v>10</v>
      </c>
      <c r="H50" s="90">
        <f t="shared" si="7"/>
        <v>102</v>
      </c>
      <c r="I50" s="89">
        <v>2206</v>
      </c>
      <c r="J50" s="89">
        <v>98</v>
      </c>
      <c r="K50" s="90">
        <f t="shared" si="1"/>
        <v>2108</v>
      </c>
      <c r="L50" s="91">
        <f t="shared" si="2"/>
        <v>10.204081632653061</v>
      </c>
      <c r="M50" s="92">
        <f t="shared" si="3"/>
        <v>4.838709677419355</v>
      </c>
    </row>
    <row r="51" spans="1:13" x14ac:dyDescent="0.25">
      <c r="A51" t="str">
        <f t="shared" si="4"/>
        <v>3360</v>
      </c>
      <c r="B51" s="81" t="str">
        <f t="shared" si="8"/>
        <v>360</v>
      </c>
      <c r="C51" s="82"/>
      <c r="D51" s="83" t="s">
        <v>118</v>
      </c>
      <c r="E51" s="83">
        <v>2013</v>
      </c>
      <c r="F51" s="83">
        <v>35</v>
      </c>
      <c r="G51" s="83">
        <v>3</v>
      </c>
      <c r="H51" s="84">
        <f t="shared" si="7"/>
        <v>32</v>
      </c>
      <c r="I51" s="83">
        <v>1050</v>
      </c>
      <c r="J51" s="83">
        <v>25</v>
      </c>
      <c r="K51" s="84">
        <f t="shared" ref="K51:K70" si="9">I51-J51</f>
        <v>1025</v>
      </c>
      <c r="L51" s="85">
        <f t="shared" ref="L51:L69" si="10">G51/J51*100</f>
        <v>12</v>
      </c>
      <c r="M51" s="86">
        <f t="shared" ref="M51:M69" si="11">H51/K51*100</f>
        <v>3.1219512195121952</v>
      </c>
    </row>
    <row r="52" spans="1:13" x14ac:dyDescent="0.25">
      <c r="A52" t="str">
        <f t="shared" si="4"/>
        <v>3361</v>
      </c>
      <c r="B52" s="87" t="str">
        <f t="shared" si="8"/>
        <v>361</v>
      </c>
      <c r="C52" s="88"/>
      <c r="D52" s="89" t="s">
        <v>119</v>
      </c>
      <c r="E52" s="89">
        <v>2013</v>
      </c>
      <c r="F52" s="89">
        <v>74</v>
      </c>
      <c r="G52" s="89">
        <v>8</v>
      </c>
      <c r="H52" s="90">
        <f t="shared" si="7"/>
        <v>66</v>
      </c>
      <c r="I52" s="89">
        <v>1537</v>
      </c>
      <c r="J52" s="89">
        <v>117</v>
      </c>
      <c r="K52" s="90">
        <f t="shared" si="9"/>
        <v>1420</v>
      </c>
      <c r="L52" s="91">
        <f t="shared" si="10"/>
        <v>6.8376068376068382</v>
      </c>
      <c r="M52" s="92">
        <f t="shared" si="11"/>
        <v>4.647887323943662</v>
      </c>
    </row>
    <row r="53" spans="1:13" x14ac:dyDescent="0.25">
      <c r="A53" t="str">
        <f t="shared" si="4"/>
        <v>34</v>
      </c>
      <c r="B53" s="81" t="str">
        <f>LEFT(D53,LEN(D44)-(LEN(D44)-1))</f>
        <v>4</v>
      </c>
      <c r="C53" s="82"/>
      <c r="D53" s="83" t="s">
        <v>120</v>
      </c>
      <c r="E53" s="83">
        <v>2013</v>
      </c>
      <c r="F53" s="83">
        <v>1544</v>
      </c>
      <c r="G53" s="83">
        <v>230</v>
      </c>
      <c r="H53" s="84">
        <f t="shared" si="7"/>
        <v>1314</v>
      </c>
      <c r="I53" s="83">
        <v>29100</v>
      </c>
      <c r="J53" s="83">
        <v>1246</v>
      </c>
      <c r="K53" s="84">
        <f t="shared" si="9"/>
        <v>27854</v>
      </c>
      <c r="L53" s="85">
        <f t="shared" si="10"/>
        <v>18.459069020866771</v>
      </c>
      <c r="M53" s="86">
        <f t="shared" si="11"/>
        <v>4.7174553026495296</v>
      </c>
    </row>
    <row r="54" spans="1:13" x14ac:dyDescent="0.25">
      <c r="A54" t="str">
        <f t="shared" si="4"/>
        <v>3401</v>
      </c>
      <c r="B54" s="87" t="str">
        <f t="shared" ref="B54:B70" si="12">LEFT(D54,LEN(D45)-(LEN(D45)-3))</f>
        <v>401</v>
      </c>
      <c r="C54" s="88"/>
      <c r="D54" s="89" t="s">
        <v>121</v>
      </c>
      <c r="E54" s="89">
        <v>2013</v>
      </c>
      <c r="F54" s="89">
        <v>59</v>
      </c>
      <c r="G54" s="89">
        <v>16</v>
      </c>
      <c r="H54" s="90">
        <f t="shared" si="7"/>
        <v>43</v>
      </c>
      <c r="I54" s="89">
        <v>868</v>
      </c>
      <c r="J54" s="89">
        <v>138</v>
      </c>
      <c r="K54" s="90">
        <f t="shared" si="9"/>
        <v>730</v>
      </c>
      <c r="L54" s="91">
        <f t="shared" si="10"/>
        <v>11.594202898550725</v>
      </c>
      <c r="M54" s="92">
        <f t="shared" si="11"/>
        <v>5.89041095890411</v>
      </c>
    </row>
    <row r="55" spans="1:13" x14ac:dyDescent="0.25">
      <c r="A55" t="str">
        <f t="shared" si="4"/>
        <v>3402</v>
      </c>
      <c r="B55" s="81" t="str">
        <f t="shared" si="12"/>
        <v>402</v>
      </c>
      <c r="C55" s="82"/>
      <c r="D55" s="83" t="s">
        <v>122</v>
      </c>
      <c r="E55" s="83">
        <v>2013</v>
      </c>
      <c r="F55" s="83">
        <v>53</v>
      </c>
      <c r="G55" s="83">
        <v>3</v>
      </c>
      <c r="H55" s="84">
        <f t="shared" si="7"/>
        <v>50</v>
      </c>
      <c r="I55" s="83">
        <v>567</v>
      </c>
      <c r="J55" s="83">
        <v>12</v>
      </c>
      <c r="K55" s="84">
        <f t="shared" si="9"/>
        <v>555</v>
      </c>
      <c r="L55" s="85">
        <f t="shared" si="10"/>
        <v>25</v>
      </c>
      <c r="M55" s="86">
        <f t="shared" si="11"/>
        <v>9.0090090090090094</v>
      </c>
    </row>
    <row r="56" spans="1:13" x14ac:dyDescent="0.25">
      <c r="A56" t="str">
        <f t="shared" si="4"/>
        <v>3403</v>
      </c>
      <c r="B56" s="87" t="str">
        <f t="shared" si="12"/>
        <v>403</v>
      </c>
      <c r="C56" s="88"/>
      <c r="D56" s="89" t="s">
        <v>123</v>
      </c>
      <c r="E56" s="89">
        <v>2013</v>
      </c>
      <c r="F56" s="89">
        <v>114</v>
      </c>
      <c r="G56" s="89">
        <v>18</v>
      </c>
      <c r="H56" s="90">
        <f t="shared" si="7"/>
        <v>96</v>
      </c>
      <c r="I56" s="89">
        <v>1906</v>
      </c>
      <c r="J56" s="89">
        <v>101</v>
      </c>
      <c r="K56" s="90">
        <f t="shared" si="9"/>
        <v>1805</v>
      </c>
      <c r="L56" s="91">
        <f t="shared" si="10"/>
        <v>17.82178217821782</v>
      </c>
      <c r="M56" s="92">
        <f t="shared" si="11"/>
        <v>5.3185595567867034</v>
      </c>
    </row>
    <row r="57" spans="1:13" x14ac:dyDescent="0.25">
      <c r="A57" t="str">
        <f t="shared" si="4"/>
        <v>3404</v>
      </c>
      <c r="B57" s="81" t="str">
        <f t="shared" si="12"/>
        <v>404</v>
      </c>
      <c r="C57" s="82"/>
      <c r="D57" s="83" t="s">
        <v>124</v>
      </c>
      <c r="E57" s="83">
        <v>2013</v>
      </c>
      <c r="F57" s="83">
        <v>98</v>
      </c>
      <c r="G57" s="83">
        <v>18</v>
      </c>
      <c r="H57" s="84">
        <f t="shared" si="7"/>
        <v>80</v>
      </c>
      <c r="I57" s="83">
        <v>2114</v>
      </c>
      <c r="J57" s="83">
        <v>131</v>
      </c>
      <c r="K57" s="84">
        <f t="shared" si="9"/>
        <v>1983</v>
      </c>
      <c r="L57" s="85">
        <f t="shared" si="10"/>
        <v>13.740458015267176</v>
      </c>
      <c r="M57" s="86">
        <f t="shared" si="11"/>
        <v>4.0342914775592531</v>
      </c>
    </row>
    <row r="58" spans="1:13" x14ac:dyDescent="0.25">
      <c r="A58" t="str">
        <f t="shared" si="4"/>
        <v>3405</v>
      </c>
      <c r="B58" s="87" t="str">
        <f t="shared" si="12"/>
        <v>405</v>
      </c>
      <c r="C58" s="88"/>
      <c r="D58" s="89" t="s">
        <v>125</v>
      </c>
      <c r="E58" s="89">
        <v>2013</v>
      </c>
      <c r="F58" s="89">
        <v>47</v>
      </c>
      <c r="G58" s="89">
        <v>9</v>
      </c>
      <c r="H58" s="90">
        <f t="shared" si="7"/>
        <v>38</v>
      </c>
      <c r="I58" s="89">
        <v>827</v>
      </c>
      <c r="J58" s="89">
        <v>40</v>
      </c>
      <c r="K58" s="90">
        <f t="shared" si="9"/>
        <v>787</v>
      </c>
      <c r="L58" s="91">
        <f t="shared" si="10"/>
        <v>22.5</v>
      </c>
      <c r="M58" s="92">
        <f t="shared" si="11"/>
        <v>4.8284625158830998</v>
      </c>
    </row>
    <row r="59" spans="1:13" x14ac:dyDescent="0.25">
      <c r="A59" t="str">
        <f t="shared" si="4"/>
        <v>3451</v>
      </c>
      <c r="B59" s="81" t="str">
        <f t="shared" si="12"/>
        <v>451</v>
      </c>
      <c r="C59" s="82"/>
      <c r="D59" s="83" t="s">
        <v>126</v>
      </c>
      <c r="E59" s="83">
        <v>2013</v>
      </c>
      <c r="F59" s="83">
        <v>36</v>
      </c>
      <c r="G59" s="83">
        <v>1</v>
      </c>
      <c r="H59" s="84">
        <f t="shared" si="7"/>
        <v>35</v>
      </c>
      <c r="I59" s="83">
        <v>1351</v>
      </c>
      <c r="J59" s="83">
        <v>28</v>
      </c>
      <c r="K59" s="84">
        <f t="shared" si="9"/>
        <v>1323</v>
      </c>
      <c r="L59" s="85">
        <f t="shared" si="10"/>
        <v>3.5714285714285712</v>
      </c>
      <c r="M59" s="86">
        <f t="shared" si="11"/>
        <v>2.6455026455026456</v>
      </c>
    </row>
    <row r="60" spans="1:13" x14ac:dyDescent="0.25">
      <c r="A60" t="str">
        <f t="shared" si="4"/>
        <v>3452</v>
      </c>
      <c r="B60" s="87" t="str">
        <f t="shared" si="12"/>
        <v>452</v>
      </c>
      <c r="C60" s="88"/>
      <c r="D60" s="89" t="s">
        <v>127</v>
      </c>
      <c r="E60" s="89">
        <v>2013</v>
      </c>
      <c r="F60" s="89">
        <v>200</v>
      </c>
      <c r="G60" s="89">
        <v>14</v>
      </c>
      <c r="H60" s="90">
        <f t="shared" si="7"/>
        <v>186</v>
      </c>
      <c r="I60" s="89">
        <v>2436</v>
      </c>
      <c r="J60" s="89">
        <v>47</v>
      </c>
      <c r="K60" s="90">
        <f t="shared" si="9"/>
        <v>2389</v>
      </c>
      <c r="L60" s="91">
        <f t="shared" si="10"/>
        <v>29.787234042553191</v>
      </c>
      <c r="M60" s="92">
        <f t="shared" si="11"/>
        <v>7.7856843867727079</v>
      </c>
    </row>
    <row r="61" spans="1:13" x14ac:dyDescent="0.25">
      <c r="A61" t="str">
        <f t="shared" si="4"/>
        <v>3453</v>
      </c>
      <c r="B61" s="81" t="str">
        <f t="shared" si="12"/>
        <v>453</v>
      </c>
      <c r="C61" s="82"/>
      <c r="D61" s="83" t="s">
        <v>128</v>
      </c>
      <c r="E61" s="83">
        <v>2013</v>
      </c>
      <c r="F61" s="83">
        <v>104</v>
      </c>
      <c r="G61" s="83">
        <v>10</v>
      </c>
      <c r="H61" s="84">
        <f t="shared" si="7"/>
        <v>94</v>
      </c>
      <c r="I61" s="83">
        <v>2185</v>
      </c>
      <c r="J61" s="83">
        <v>66</v>
      </c>
      <c r="K61" s="84">
        <f t="shared" si="9"/>
        <v>2119</v>
      </c>
      <c r="L61" s="85">
        <f t="shared" si="10"/>
        <v>15.151515151515152</v>
      </c>
      <c r="M61" s="86">
        <f t="shared" si="11"/>
        <v>4.4360547428032087</v>
      </c>
    </row>
    <row r="62" spans="1:13" x14ac:dyDescent="0.25">
      <c r="A62" t="str">
        <f t="shared" si="4"/>
        <v>3454</v>
      </c>
      <c r="B62" s="87" t="str">
        <f t="shared" si="12"/>
        <v>454</v>
      </c>
      <c r="C62" s="88"/>
      <c r="D62" s="89" t="s">
        <v>129</v>
      </c>
      <c r="E62" s="89">
        <v>2013</v>
      </c>
      <c r="F62" s="89">
        <v>186</v>
      </c>
      <c r="G62" s="89">
        <v>22</v>
      </c>
      <c r="H62" s="90">
        <f t="shared" si="7"/>
        <v>164</v>
      </c>
      <c r="I62" s="89">
        <v>3981</v>
      </c>
      <c r="J62" s="89">
        <v>96</v>
      </c>
      <c r="K62" s="90">
        <f t="shared" si="9"/>
        <v>3885</v>
      </c>
      <c r="L62" s="91">
        <f t="shared" si="10"/>
        <v>22.916666666666664</v>
      </c>
      <c r="M62" s="92">
        <f t="shared" si="11"/>
        <v>4.2213642213642206</v>
      </c>
    </row>
    <row r="63" spans="1:13" x14ac:dyDescent="0.25">
      <c r="A63" t="str">
        <f t="shared" si="4"/>
        <v>3455</v>
      </c>
      <c r="B63" s="81" t="str">
        <f t="shared" si="12"/>
        <v>455</v>
      </c>
      <c r="C63" s="82"/>
      <c r="D63" s="83" t="s">
        <v>130</v>
      </c>
      <c r="E63" s="83">
        <v>2013</v>
      </c>
      <c r="F63" s="83">
        <v>38</v>
      </c>
      <c r="G63" s="83">
        <v>4</v>
      </c>
      <c r="H63" s="84">
        <f t="shared" si="7"/>
        <v>34</v>
      </c>
      <c r="I63" s="83">
        <v>1070</v>
      </c>
      <c r="J63" s="83">
        <v>32</v>
      </c>
      <c r="K63" s="84">
        <f t="shared" si="9"/>
        <v>1038</v>
      </c>
      <c r="L63" s="85">
        <f t="shared" si="10"/>
        <v>12.5</v>
      </c>
      <c r="M63" s="86">
        <f t="shared" si="11"/>
        <v>3.2755298651252409</v>
      </c>
    </row>
    <row r="64" spans="1:13" x14ac:dyDescent="0.25">
      <c r="A64" t="str">
        <f t="shared" si="4"/>
        <v>3456</v>
      </c>
      <c r="B64" s="87" t="str">
        <f t="shared" si="12"/>
        <v>456</v>
      </c>
      <c r="C64" s="88"/>
      <c r="D64" s="89" t="s">
        <v>131</v>
      </c>
      <c r="E64" s="89">
        <v>2013</v>
      </c>
      <c r="F64" s="89">
        <v>117</v>
      </c>
      <c r="G64" s="89">
        <v>28</v>
      </c>
      <c r="H64" s="90">
        <f t="shared" si="7"/>
        <v>89</v>
      </c>
      <c r="I64" s="89">
        <v>1705</v>
      </c>
      <c r="J64" s="89">
        <v>102</v>
      </c>
      <c r="K64" s="90">
        <f t="shared" si="9"/>
        <v>1603</v>
      </c>
      <c r="L64" s="91">
        <f t="shared" si="10"/>
        <v>27.450980392156865</v>
      </c>
      <c r="M64" s="92">
        <f t="shared" si="11"/>
        <v>5.552089831565814</v>
      </c>
    </row>
    <row r="65" spans="1:13" x14ac:dyDescent="0.25">
      <c r="A65" t="str">
        <f t="shared" si="4"/>
        <v>3457</v>
      </c>
      <c r="B65" s="81" t="str">
        <f t="shared" si="12"/>
        <v>457</v>
      </c>
      <c r="C65" s="82"/>
      <c r="D65" s="83" t="s">
        <v>132</v>
      </c>
      <c r="E65" s="83">
        <v>2013</v>
      </c>
      <c r="F65" s="83">
        <v>140</v>
      </c>
      <c r="G65" s="83">
        <v>10</v>
      </c>
      <c r="H65" s="84">
        <f t="shared" si="7"/>
        <v>130</v>
      </c>
      <c r="I65" s="83">
        <v>1870</v>
      </c>
      <c r="J65" s="83">
        <v>83</v>
      </c>
      <c r="K65" s="84">
        <f t="shared" si="9"/>
        <v>1787</v>
      </c>
      <c r="L65" s="85">
        <f t="shared" si="10"/>
        <v>12.048192771084338</v>
      </c>
      <c r="M65" s="86">
        <f t="shared" si="11"/>
        <v>7.2747621712367092</v>
      </c>
    </row>
    <row r="66" spans="1:13" x14ac:dyDescent="0.25">
      <c r="A66" t="str">
        <f t="shared" si="4"/>
        <v>3458</v>
      </c>
      <c r="B66" s="87" t="str">
        <f t="shared" si="12"/>
        <v>458</v>
      </c>
      <c r="C66" s="88"/>
      <c r="D66" s="89" t="s">
        <v>133</v>
      </c>
      <c r="E66" s="89">
        <v>2013</v>
      </c>
      <c r="F66" s="89">
        <v>51</v>
      </c>
      <c r="G66" s="89">
        <v>7</v>
      </c>
      <c r="H66" s="90">
        <f t="shared" si="7"/>
        <v>44</v>
      </c>
      <c r="I66" s="89">
        <v>1199</v>
      </c>
      <c r="J66" s="89">
        <v>36</v>
      </c>
      <c r="K66" s="90">
        <f t="shared" si="9"/>
        <v>1163</v>
      </c>
      <c r="L66" s="91">
        <f t="shared" si="10"/>
        <v>19.444444444444446</v>
      </c>
      <c r="M66" s="92">
        <f t="shared" si="11"/>
        <v>3.7833190025795354</v>
      </c>
    </row>
    <row r="67" spans="1:13" x14ac:dyDescent="0.25">
      <c r="A67" t="str">
        <f t="shared" si="4"/>
        <v>3459</v>
      </c>
      <c r="B67" s="81" t="str">
        <f t="shared" si="12"/>
        <v>459</v>
      </c>
      <c r="C67" s="82"/>
      <c r="D67" s="83" t="s">
        <v>134</v>
      </c>
      <c r="E67" s="83">
        <v>2013</v>
      </c>
      <c r="F67" s="83">
        <v>143</v>
      </c>
      <c r="G67" s="83">
        <v>38</v>
      </c>
      <c r="H67" s="84">
        <f t="shared" si="7"/>
        <v>105</v>
      </c>
      <c r="I67" s="83">
        <v>3466</v>
      </c>
      <c r="J67" s="83">
        <v>160</v>
      </c>
      <c r="K67" s="84">
        <f t="shared" si="9"/>
        <v>3306</v>
      </c>
      <c r="L67" s="85">
        <f t="shared" si="10"/>
        <v>23.75</v>
      </c>
      <c r="M67" s="86">
        <f t="shared" si="11"/>
        <v>3.1760435571687839</v>
      </c>
    </row>
    <row r="68" spans="1:13" x14ac:dyDescent="0.25">
      <c r="A68" t="str">
        <f t="shared" si="4"/>
        <v>3460</v>
      </c>
      <c r="B68" s="87" t="str">
        <f t="shared" si="12"/>
        <v>460</v>
      </c>
      <c r="C68" s="88"/>
      <c r="D68" s="89" t="s">
        <v>135</v>
      </c>
      <c r="E68" s="89">
        <v>2013</v>
      </c>
      <c r="F68" s="89">
        <v>81</v>
      </c>
      <c r="G68" s="89">
        <v>26</v>
      </c>
      <c r="H68" s="90">
        <f t="shared" si="7"/>
        <v>55</v>
      </c>
      <c r="I68" s="89">
        <v>1783</v>
      </c>
      <c r="J68" s="89">
        <v>95</v>
      </c>
      <c r="K68" s="90">
        <f t="shared" si="9"/>
        <v>1688</v>
      </c>
      <c r="L68" s="91">
        <f t="shared" si="10"/>
        <v>27.368421052631582</v>
      </c>
      <c r="M68" s="92">
        <f t="shared" si="11"/>
        <v>3.2582938388625595</v>
      </c>
    </row>
    <row r="69" spans="1:13" s="28" customFormat="1" x14ac:dyDescent="0.25">
      <c r="A69" t="str">
        <f t="shared" si="4"/>
        <v>3461</v>
      </c>
      <c r="B69" s="81" t="str">
        <f t="shared" si="12"/>
        <v>461</v>
      </c>
      <c r="C69" s="82"/>
      <c r="D69" s="83" t="s">
        <v>136</v>
      </c>
      <c r="E69" s="83">
        <v>2013</v>
      </c>
      <c r="F69" s="83">
        <v>44</v>
      </c>
      <c r="G69" s="83">
        <v>6</v>
      </c>
      <c r="H69" s="84">
        <f t="shared" si="7"/>
        <v>38</v>
      </c>
      <c r="I69" s="83">
        <v>1068</v>
      </c>
      <c r="J69" s="83">
        <v>68</v>
      </c>
      <c r="K69" s="84">
        <f t="shared" si="9"/>
        <v>1000</v>
      </c>
      <c r="L69" s="85">
        <f t="shared" si="10"/>
        <v>8.8235294117647065</v>
      </c>
      <c r="M69" s="86">
        <f t="shared" si="11"/>
        <v>3.8</v>
      </c>
    </row>
    <row r="70" spans="1:13" x14ac:dyDescent="0.25">
      <c r="A70" t="str">
        <f t="shared" si="4"/>
        <v>3462</v>
      </c>
      <c r="B70" s="87" t="str">
        <f t="shared" si="12"/>
        <v>462</v>
      </c>
      <c r="C70" s="88"/>
      <c r="D70" s="89" t="s">
        <v>137</v>
      </c>
      <c r="E70" s="89">
        <v>2013</v>
      </c>
      <c r="F70" s="89">
        <v>33</v>
      </c>
      <c r="G70" s="89" t="s">
        <v>84</v>
      </c>
      <c r="H70" s="93" t="s">
        <v>84</v>
      </c>
      <c r="I70" s="89">
        <v>704</v>
      </c>
      <c r="J70" s="89">
        <v>11</v>
      </c>
      <c r="K70" s="93">
        <f t="shared" si="9"/>
        <v>693</v>
      </c>
      <c r="L70" s="94" t="s">
        <v>84</v>
      </c>
      <c r="M70" s="95" t="s">
        <v>84</v>
      </c>
    </row>
    <row r="71" spans="1:13" x14ac:dyDescent="0.25">
      <c r="A71" t="str">
        <f t="shared" si="4"/>
        <v>30</v>
      </c>
      <c r="B71" s="110">
        <v>0</v>
      </c>
      <c r="C71" s="82"/>
      <c r="D71" s="83" t="s">
        <v>82</v>
      </c>
      <c r="E71" s="83">
        <v>2015</v>
      </c>
      <c r="F71" s="83">
        <v>4339</v>
      </c>
      <c r="G71" s="83">
        <v>803</v>
      </c>
      <c r="H71" s="84">
        <f t="shared" ref="H71:H102" si="13">F71-G71</f>
        <v>3536</v>
      </c>
      <c r="I71" s="83">
        <v>85789</v>
      </c>
      <c r="J71" s="83">
        <v>5569</v>
      </c>
      <c r="K71" s="96">
        <f t="shared" ref="K71:K134" si="14">I71-J71</f>
        <v>80220</v>
      </c>
      <c r="L71" s="97">
        <f t="shared" ref="L71:L102" si="15">G71/J71*100</f>
        <v>14.419105764050997</v>
      </c>
      <c r="M71" s="98">
        <f t="shared" ref="M71:M102" si="16">H71/K71*100</f>
        <v>4.4078783345799053</v>
      </c>
    </row>
    <row r="72" spans="1:13" x14ac:dyDescent="0.25">
      <c r="A72" t="str">
        <f t="shared" si="4"/>
        <v>31</v>
      </c>
      <c r="B72" s="107">
        <v>1</v>
      </c>
      <c r="C72" s="88"/>
      <c r="D72" s="89" t="s">
        <v>88</v>
      </c>
      <c r="E72" s="89">
        <v>2015</v>
      </c>
      <c r="F72" s="89">
        <v>745</v>
      </c>
      <c r="G72" s="89">
        <v>158</v>
      </c>
      <c r="H72" s="90">
        <f t="shared" si="13"/>
        <v>587</v>
      </c>
      <c r="I72" s="89">
        <v>16167</v>
      </c>
      <c r="J72" s="89">
        <v>1136</v>
      </c>
      <c r="K72" s="93">
        <f t="shared" si="14"/>
        <v>15031</v>
      </c>
      <c r="L72" s="99">
        <f t="shared" si="15"/>
        <v>13.908450704225354</v>
      </c>
      <c r="M72" s="100">
        <f t="shared" si="16"/>
        <v>3.9052624575876522</v>
      </c>
    </row>
    <row r="73" spans="1:13" x14ac:dyDescent="0.25">
      <c r="A73" t="str">
        <f t="shared" si="4"/>
        <v>3101</v>
      </c>
      <c r="B73" s="110">
        <v>101</v>
      </c>
      <c r="C73" s="82"/>
      <c r="D73" s="83" t="s">
        <v>89</v>
      </c>
      <c r="E73" s="83">
        <v>2015</v>
      </c>
      <c r="F73" s="83">
        <v>130</v>
      </c>
      <c r="G73" s="83">
        <v>24</v>
      </c>
      <c r="H73" s="84">
        <f t="shared" si="13"/>
        <v>106</v>
      </c>
      <c r="I73" s="83">
        <v>2612</v>
      </c>
      <c r="J73" s="83">
        <v>208</v>
      </c>
      <c r="K73" s="96">
        <f t="shared" si="14"/>
        <v>2404</v>
      </c>
      <c r="L73" s="97">
        <f t="shared" si="15"/>
        <v>11.538461538461538</v>
      </c>
      <c r="M73" s="98">
        <f t="shared" si="16"/>
        <v>4.4093178036605662</v>
      </c>
    </row>
    <row r="74" spans="1:13" x14ac:dyDescent="0.25">
      <c r="A74" t="str">
        <f t="shared" si="4"/>
        <v>3102</v>
      </c>
      <c r="B74" s="107">
        <v>102</v>
      </c>
      <c r="C74" s="88"/>
      <c r="D74" s="89" t="s">
        <v>90</v>
      </c>
      <c r="E74" s="89">
        <v>2015</v>
      </c>
      <c r="F74" s="89">
        <v>49</v>
      </c>
      <c r="G74" s="89">
        <v>19</v>
      </c>
      <c r="H74" s="90">
        <f t="shared" si="13"/>
        <v>30</v>
      </c>
      <c r="I74" s="89">
        <v>1017</v>
      </c>
      <c r="J74" s="89">
        <v>174</v>
      </c>
      <c r="K74" s="93">
        <f t="shared" si="14"/>
        <v>843</v>
      </c>
      <c r="L74" s="99">
        <f t="shared" si="15"/>
        <v>10.919540229885058</v>
      </c>
      <c r="M74" s="100">
        <f t="shared" si="16"/>
        <v>3.5587188612099649</v>
      </c>
    </row>
    <row r="75" spans="1:13" x14ac:dyDescent="0.25">
      <c r="A75" t="str">
        <f t="shared" si="4"/>
        <v>3103</v>
      </c>
      <c r="B75" s="110">
        <v>103</v>
      </c>
      <c r="C75" s="82"/>
      <c r="D75" s="83" t="s">
        <v>91</v>
      </c>
      <c r="E75" s="83">
        <v>2015</v>
      </c>
      <c r="F75" s="83">
        <v>41</v>
      </c>
      <c r="G75" s="83">
        <v>6</v>
      </c>
      <c r="H75" s="84">
        <f t="shared" si="13"/>
        <v>35</v>
      </c>
      <c r="I75" s="83">
        <v>1447</v>
      </c>
      <c r="J75" s="83">
        <v>112</v>
      </c>
      <c r="K75" s="96">
        <f t="shared" si="14"/>
        <v>1335</v>
      </c>
      <c r="L75" s="97">
        <f t="shared" si="15"/>
        <v>5.3571428571428568</v>
      </c>
      <c r="M75" s="98">
        <f t="shared" si="16"/>
        <v>2.6217228464419478</v>
      </c>
    </row>
    <row r="76" spans="1:13" x14ac:dyDescent="0.25">
      <c r="A76" t="str">
        <f t="shared" si="4"/>
        <v>3151</v>
      </c>
      <c r="B76" s="107">
        <v>151</v>
      </c>
      <c r="C76" s="88"/>
      <c r="D76" s="89" t="s">
        <v>92</v>
      </c>
      <c r="E76" s="89">
        <v>2015</v>
      </c>
      <c r="F76" s="89">
        <v>66</v>
      </c>
      <c r="G76" s="89">
        <v>7</v>
      </c>
      <c r="H76" s="90">
        <f t="shared" si="13"/>
        <v>59</v>
      </c>
      <c r="I76" s="89">
        <v>1664</v>
      </c>
      <c r="J76" s="89">
        <v>79</v>
      </c>
      <c r="K76" s="93">
        <f t="shared" si="14"/>
        <v>1585</v>
      </c>
      <c r="L76" s="99">
        <f t="shared" si="15"/>
        <v>8.8607594936708853</v>
      </c>
      <c r="M76" s="100">
        <f t="shared" si="16"/>
        <v>3.722397476340694</v>
      </c>
    </row>
    <row r="77" spans="1:13" x14ac:dyDescent="0.25">
      <c r="A77" t="str">
        <f t="shared" si="4"/>
        <v>3153</v>
      </c>
      <c r="B77" s="110">
        <v>153</v>
      </c>
      <c r="C77" s="82"/>
      <c r="D77" s="83" t="s">
        <v>93</v>
      </c>
      <c r="E77" s="83">
        <v>2015</v>
      </c>
      <c r="F77" s="83">
        <v>54</v>
      </c>
      <c r="G77" s="83">
        <v>9</v>
      </c>
      <c r="H77" s="84">
        <f t="shared" si="13"/>
        <v>45</v>
      </c>
      <c r="I77" s="83">
        <v>1200</v>
      </c>
      <c r="J77" s="83">
        <v>48</v>
      </c>
      <c r="K77" s="96">
        <f t="shared" si="14"/>
        <v>1152</v>
      </c>
      <c r="L77" s="97">
        <f t="shared" si="15"/>
        <v>18.75</v>
      </c>
      <c r="M77" s="98">
        <f t="shared" si="16"/>
        <v>3.90625</v>
      </c>
    </row>
    <row r="78" spans="1:13" x14ac:dyDescent="0.25">
      <c r="A78" t="str">
        <f t="shared" si="4"/>
        <v>3154</v>
      </c>
      <c r="B78" s="107">
        <v>154</v>
      </c>
      <c r="C78" s="88"/>
      <c r="D78" s="89" t="s">
        <v>94</v>
      </c>
      <c r="E78" s="89">
        <v>2015</v>
      </c>
      <c r="F78" s="89">
        <v>73</v>
      </c>
      <c r="G78" s="89">
        <v>10</v>
      </c>
      <c r="H78" s="90">
        <f t="shared" si="13"/>
        <v>63</v>
      </c>
      <c r="I78" s="89">
        <v>831</v>
      </c>
      <c r="J78" s="89">
        <v>32</v>
      </c>
      <c r="K78" s="93">
        <f t="shared" si="14"/>
        <v>799</v>
      </c>
      <c r="L78" s="99">
        <f t="shared" si="15"/>
        <v>31.25</v>
      </c>
      <c r="M78" s="100">
        <f t="shared" si="16"/>
        <v>7.8848560700876096</v>
      </c>
    </row>
    <row r="79" spans="1:13" x14ac:dyDescent="0.25">
      <c r="A79" t="str">
        <f t="shared" si="4"/>
        <v>3155</v>
      </c>
      <c r="B79" s="110">
        <v>155</v>
      </c>
      <c r="C79" s="82"/>
      <c r="D79" s="83" t="s">
        <v>95</v>
      </c>
      <c r="E79" s="83">
        <v>2015</v>
      </c>
      <c r="F79" s="83">
        <v>71</v>
      </c>
      <c r="G79" s="83">
        <v>18</v>
      </c>
      <c r="H79" s="84">
        <f t="shared" si="13"/>
        <v>53</v>
      </c>
      <c r="I79" s="83">
        <v>1571</v>
      </c>
      <c r="J79" s="83">
        <v>71</v>
      </c>
      <c r="K79" s="96">
        <f t="shared" si="14"/>
        <v>1500</v>
      </c>
      <c r="L79" s="97">
        <f t="shared" si="15"/>
        <v>25.352112676056336</v>
      </c>
      <c r="M79" s="98">
        <f t="shared" si="16"/>
        <v>3.5333333333333337</v>
      </c>
    </row>
    <row r="80" spans="1:13" x14ac:dyDescent="0.25">
      <c r="A80" t="str">
        <f t="shared" si="4"/>
        <v>3157</v>
      </c>
      <c r="B80" s="107">
        <v>157</v>
      </c>
      <c r="C80" s="88"/>
      <c r="D80" s="89" t="s">
        <v>96</v>
      </c>
      <c r="E80" s="89">
        <v>2015</v>
      </c>
      <c r="F80" s="89">
        <v>71</v>
      </c>
      <c r="G80" s="89">
        <v>22</v>
      </c>
      <c r="H80" s="90">
        <f t="shared" si="13"/>
        <v>49</v>
      </c>
      <c r="I80" s="89">
        <v>1515</v>
      </c>
      <c r="J80" s="89">
        <v>139</v>
      </c>
      <c r="K80" s="93">
        <f t="shared" si="14"/>
        <v>1376</v>
      </c>
      <c r="L80" s="99">
        <f t="shared" si="15"/>
        <v>15.827338129496402</v>
      </c>
      <c r="M80" s="100">
        <f t="shared" si="16"/>
        <v>3.5610465116279069</v>
      </c>
    </row>
    <row r="81" spans="1:13" x14ac:dyDescent="0.25">
      <c r="A81" t="str">
        <f t="shared" si="4"/>
        <v>3158</v>
      </c>
      <c r="B81" s="110">
        <v>158</v>
      </c>
      <c r="C81" s="82"/>
      <c r="D81" s="83" t="s">
        <v>97</v>
      </c>
      <c r="E81" s="83">
        <v>2015</v>
      </c>
      <c r="F81" s="83">
        <v>65</v>
      </c>
      <c r="G81" s="83">
        <v>7</v>
      </c>
      <c r="H81" s="84">
        <f t="shared" si="13"/>
        <v>58</v>
      </c>
      <c r="I81" s="83">
        <v>1168</v>
      </c>
      <c r="J81" s="83">
        <v>51</v>
      </c>
      <c r="K81" s="96">
        <f t="shared" si="14"/>
        <v>1117</v>
      </c>
      <c r="L81" s="97">
        <f t="shared" si="15"/>
        <v>13.725490196078432</v>
      </c>
      <c r="M81" s="98">
        <f t="shared" si="16"/>
        <v>5.192479856759177</v>
      </c>
    </row>
    <row r="82" spans="1:13" x14ac:dyDescent="0.25">
      <c r="A82" t="str">
        <f t="shared" si="4"/>
        <v>3159</v>
      </c>
      <c r="B82" s="107">
        <v>159</v>
      </c>
      <c r="C82" s="88"/>
      <c r="D82" s="89" t="s">
        <v>98</v>
      </c>
      <c r="E82" s="89">
        <v>2015</v>
      </c>
      <c r="F82" s="89">
        <v>125</v>
      </c>
      <c r="G82" s="89">
        <v>36</v>
      </c>
      <c r="H82" s="90">
        <f t="shared" si="13"/>
        <v>89</v>
      </c>
      <c r="I82" s="89">
        <v>3142</v>
      </c>
      <c r="J82" s="89">
        <v>222</v>
      </c>
      <c r="K82" s="93">
        <f t="shared" si="14"/>
        <v>2920</v>
      </c>
      <c r="L82" s="99">
        <f t="shared" si="15"/>
        <v>16.216216216216218</v>
      </c>
      <c r="M82" s="100">
        <f t="shared" si="16"/>
        <v>3.047945205479452</v>
      </c>
    </row>
    <row r="83" spans="1:13" x14ac:dyDescent="0.25">
      <c r="A83" t="str">
        <f t="shared" si="4"/>
        <v>32</v>
      </c>
      <c r="B83" s="81">
        <v>2</v>
      </c>
      <c r="C83" s="82"/>
      <c r="D83" s="83" t="s">
        <v>99</v>
      </c>
      <c r="E83" s="83">
        <v>2015</v>
      </c>
      <c r="F83" s="83">
        <v>1101</v>
      </c>
      <c r="G83" s="83">
        <v>239</v>
      </c>
      <c r="H83" s="84">
        <f t="shared" si="13"/>
        <v>862</v>
      </c>
      <c r="I83" s="83">
        <v>22250</v>
      </c>
      <c r="J83" s="83">
        <v>2053</v>
      </c>
      <c r="K83" s="96">
        <f t="shared" si="14"/>
        <v>20197</v>
      </c>
      <c r="L83" s="97">
        <f t="shared" si="15"/>
        <v>11.64150024354603</v>
      </c>
      <c r="M83" s="98">
        <f t="shared" si="16"/>
        <v>4.2679605882061686</v>
      </c>
    </row>
    <row r="84" spans="1:13" x14ac:dyDescent="0.25">
      <c r="A84" t="str">
        <f t="shared" ref="A84:A147" si="17">3&amp;B84</f>
        <v>3241</v>
      </c>
      <c r="B84" s="107">
        <v>241</v>
      </c>
      <c r="C84" s="88"/>
      <c r="D84" s="89" t="s">
        <v>100</v>
      </c>
      <c r="E84" s="89">
        <v>2015</v>
      </c>
      <c r="F84" s="89">
        <v>536</v>
      </c>
      <c r="G84" s="89">
        <v>139</v>
      </c>
      <c r="H84" s="90">
        <f t="shared" si="13"/>
        <v>397</v>
      </c>
      <c r="I84" s="89">
        <v>11277</v>
      </c>
      <c r="J84" s="89">
        <v>1329</v>
      </c>
      <c r="K84" s="93">
        <f t="shared" si="14"/>
        <v>9948</v>
      </c>
      <c r="L84" s="99">
        <f t="shared" si="15"/>
        <v>10.458991723100075</v>
      </c>
      <c r="M84" s="100">
        <f t="shared" si="16"/>
        <v>3.9907519099316446</v>
      </c>
    </row>
    <row r="85" spans="1:13" x14ac:dyDescent="0.25">
      <c r="A85" t="str">
        <f t="shared" si="17"/>
        <v>3241001</v>
      </c>
      <c r="B85" s="110">
        <v>241001</v>
      </c>
      <c r="C85" s="82"/>
      <c r="D85" s="83" t="s">
        <v>101</v>
      </c>
      <c r="E85" s="83">
        <v>2015</v>
      </c>
      <c r="F85" s="83">
        <v>277</v>
      </c>
      <c r="G85" s="83">
        <v>72</v>
      </c>
      <c r="H85" s="84">
        <f t="shared" si="13"/>
        <v>205</v>
      </c>
      <c r="I85" s="83">
        <v>4740</v>
      </c>
      <c r="J85" s="83">
        <v>731</v>
      </c>
      <c r="K85" s="96">
        <f t="shared" si="14"/>
        <v>4009</v>
      </c>
      <c r="L85" s="97">
        <f t="shared" si="15"/>
        <v>9.8495212038303688</v>
      </c>
      <c r="M85" s="98">
        <f t="shared" si="16"/>
        <v>5.1134946370665997</v>
      </c>
    </row>
    <row r="86" spans="1:13" x14ac:dyDescent="0.25">
      <c r="A86" t="str">
        <f t="shared" si="17"/>
        <v>3241999</v>
      </c>
      <c r="B86" s="107">
        <v>241999</v>
      </c>
      <c r="C86" s="88"/>
      <c r="D86" s="89" t="s">
        <v>179</v>
      </c>
      <c r="E86" s="89">
        <v>2015</v>
      </c>
      <c r="F86" s="90">
        <f>F84-F85</f>
        <v>259</v>
      </c>
      <c r="G86" s="90">
        <f>G84-G85</f>
        <v>67</v>
      </c>
      <c r="H86" s="90">
        <f t="shared" si="13"/>
        <v>192</v>
      </c>
      <c r="I86" s="90">
        <f>I84-I85</f>
        <v>6537</v>
      </c>
      <c r="J86" s="90">
        <f>J84-J85</f>
        <v>598</v>
      </c>
      <c r="K86" s="93">
        <f t="shared" si="14"/>
        <v>5939</v>
      </c>
      <c r="L86" s="99">
        <f t="shared" si="15"/>
        <v>11.204013377926421</v>
      </c>
      <c r="M86" s="100">
        <f t="shared" si="16"/>
        <v>3.2328674861087725</v>
      </c>
    </row>
    <row r="87" spans="1:13" x14ac:dyDescent="0.25">
      <c r="A87" t="str">
        <f t="shared" si="17"/>
        <v>3251</v>
      </c>
      <c r="B87" s="110">
        <v>251</v>
      </c>
      <c r="C87" s="82"/>
      <c r="D87" s="83" t="s">
        <v>102</v>
      </c>
      <c r="E87" s="83">
        <v>2015</v>
      </c>
      <c r="F87" s="83">
        <v>71</v>
      </c>
      <c r="G87" s="83">
        <v>11</v>
      </c>
      <c r="H87" s="84">
        <f t="shared" si="13"/>
        <v>60</v>
      </c>
      <c r="I87" s="83">
        <v>2414</v>
      </c>
      <c r="J87" s="83">
        <v>143</v>
      </c>
      <c r="K87" s="96">
        <f t="shared" si="14"/>
        <v>2271</v>
      </c>
      <c r="L87" s="97">
        <f t="shared" si="15"/>
        <v>7.6923076923076925</v>
      </c>
      <c r="M87" s="98">
        <f t="shared" si="16"/>
        <v>2.6420079260237781</v>
      </c>
    </row>
    <row r="88" spans="1:13" x14ac:dyDescent="0.25">
      <c r="A88" t="str">
        <f t="shared" si="17"/>
        <v>3252</v>
      </c>
      <c r="B88" s="107">
        <v>252</v>
      </c>
      <c r="C88" s="88"/>
      <c r="D88" s="89" t="s">
        <v>103</v>
      </c>
      <c r="E88" s="89">
        <v>2015</v>
      </c>
      <c r="F88" s="89">
        <v>88</v>
      </c>
      <c r="G88" s="89">
        <v>21</v>
      </c>
      <c r="H88" s="90">
        <f t="shared" si="13"/>
        <v>67</v>
      </c>
      <c r="I88" s="89">
        <v>1615</v>
      </c>
      <c r="J88" s="89">
        <v>175</v>
      </c>
      <c r="K88" s="93">
        <f t="shared" si="14"/>
        <v>1440</v>
      </c>
      <c r="L88" s="99">
        <f t="shared" si="15"/>
        <v>12</v>
      </c>
      <c r="M88" s="100">
        <f t="shared" si="16"/>
        <v>4.6527777777777777</v>
      </c>
    </row>
    <row r="89" spans="1:13" x14ac:dyDescent="0.25">
      <c r="A89" t="str">
        <f t="shared" si="17"/>
        <v>3254</v>
      </c>
      <c r="B89" s="110">
        <v>254</v>
      </c>
      <c r="C89" s="82"/>
      <c r="D89" s="83" t="s">
        <v>104</v>
      </c>
      <c r="E89" s="83">
        <v>2015</v>
      </c>
      <c r="F89" s="83">
        <v>216</v>
      </c>
      <c r="G89" s="83">
        <v>25</v>
      </c>
      <c r="H89" s="84">
        <f t="shared" si="13"/>
        <v>191</v>
      </c>
      <c r="I89" s="83">
        <v>3133</v>
      </c>
      <c r="J89" s="83">
        <v>155</v>
      </c>
      <c r="K89" s="96">
        <f t="shared" si="14"/>
        <v>2978</v>
      </c>
      <c r="L89" s="97">
        <f t="shared" si="15"/>
        <v>16.129032258064516</v>
      </c>
      <c r="M89" s="98">
        <f t="shared" si="16"/>
        <v>6.4137004701141711</v>
      </c>
    </row>
    <row r="90" spans="1:13" x14ac:dyDescent="0.25">
      <c r="A90" t="str">
        <f t="shared" si="17"/>
        <v>3255</v>
      </c>
      <c r="B90" s="107">
        <v>255</v>
      </c>
      <c r="C90" s="88"/>
      <c r="D90" s="89" t="s">
        <v>105</v>
      </c>
      <c r="E90" s="89">
        <v>2015</v>
      </c>
      <c r="F90" s="89">
        <v>57</v>
      </c>
      <c r="G90" s="89">
        <v>6</v>
      </c>
      <c r="H90" s="90">
        <f t="shared" si="13"/>
        <v>51</v>
      </c>
      <c r="I90" s="89">
        <v>668</v>
      </c>
      <c r="J90" s="89">
        <v>58</v>
      </c>
      <c r="K90" s="93">
        <f t="shared" si="14"/>
        <v>610</v>
      </c>
      <c r="L90" s="99">
        <f t="shared" si="15"/>
        <v>10.344827586206897</v>
      </c>
      <c r="M90" s="100">
        <f t="shared" si="16"/>
        <v>8.3606557377049189</v>
      </c>
    </row>
    <row r="91" spans="1:13" x14ac:dyDescent="0.25">
      <c r="A91" t="str">
        <f t="shared" si="17"/>
        <v>3256</v>
      </c>
      <c r="B91" s="110">
        <v>256</v>
      </c>
      <c r="C91" s="82"/>
      <c r="D91" s="83" t="s">
        <v>106</v>
      </c>
      <c r="E91" s="83">
        <v>2015</v>
      </c>
      <c r="F91" s="83">
        <v>79</v>
      </c>
      <c r="G91" s="83">
        <v>19</v>
      </c>
      <c r="H91" s="84">
        <f t="shared" si="13"/>
        <v>60</v>
      </c>
      <c r="I91" s="83">
        <v>1470</v>
      </c>
      <c r="J91" s="83">
        <v>83</v>
      </c>
      <c r="K91" s="96">
        <f t="shared" si="14"/>
        <v>1387</v>
      </c>
      <c r="L91" s="97">
        <f t="shared" si="15"/>
        <v>22.891566265060241</v>
      </c>
      <c r="M91" s="98">
        <f t="shared" si="16"/>
        <v>4.3258832011535686</v>
      </c>
    </row>
    <row r="92" spans="1:13" x14ac:dyDescent="0.25">
      <c r="A92" t="str">
        <f t="shared" si="17"/>
        <v>3257</v>
      </c>
      <c r="B92" s="107">
        <v>257</v>
      </c>
      <c r="C92" s="88"/>
      <c r="D92" s="89" t="s">
        <v>107</v>
      </c>
      <c r="E92" s="89">
        <v>2015</v>
      </c>
      <c r="F92" s="89">
        <v>54</v>
      </c>
      <c r="G92" s="89">
        <v>18</v>
      </c>
      <c r="H92" s="90">
        <f t="shared" si="13"/>
        <v>36</v>
      </c>
      <c r="I92" s="89">
        <v>1673</v>
      </c>
      <c r="J92" s="89">
        <v>110</v>
      </c>
      <c r="K92" s="93">
        <f t="shared" si="14"/>
        <v>1563</v>
      </c>
      <c r="L92" s="99">
        <f t="shared" si="15"/>
        <v>16.363636363636363</v>
      </c>
      <c r="M92" s="100">
        <f t="shared" si="16"/>
        <v>2.3032629558541267</v>
      </c>
    </row>
    <row r="93" spans="1:13" x14ac:dyDescent="0.25">
      <c r="A93" t="str">
        <f t="shared" si="17"/>
        <v>33</v>
      </c>
      <c r="B93" s="110">
        <v>3</v>
      </c>
      <c r="C93" s="82"/>
      <c r="D93" s="83" t="s">
        <v>108</v>
      </c>
      <c r="E93" s="83">
        <v>2015</v>
      </c>
      <c r="F93" s="83">
        <v>805</v>
      </c>
      <c r="G93" s="83">
        <v>124</v>
      </c>
      <c r="H93" s="84">
        <f t="shared" si="13"/>
        <v>681</v>
      </c>
      <c r="I93" s="83">
        <v>18795</v>
      </c>
      <c r="J93" s="83">
        <v>832</v>
      </c>
      <c r="K93" s="96">
        <f t="shared" si="14"/>
        <v>17963</v>
      </c>
      <c r="L93" s="97">
        <f t="shared" si="15"/>
        <v>14.903846153846153</v>
      </c>
      <c r="M93" s="98">
        <f t="shared" si="16"/>
        <v>3.791126203863497</v>
      </c>
    </row>
    <row r="94" spans="1:13" x14ac:dyDescent="0.25">
      <c r="A94" t="str">
        <f t="shared" si="17"/>
        <v>3351</v>
      </c>
      <c r="B94" s="107">
        <v>351</v>
      </c>
      <c r="C94" s="88"/>
      <c r="D94" s="89" t="s">
        <v>109</v>
      </c>
      <c r="E94" s="89">
        <v>2015</v>
      </c>
      <c r="F94" s="89">
        <v>95</v>
      </c>
      <c r="G94" s="89">
        <v>9</v>
      </c>
      <c r="H94" s="90">
        <f t="shared" si="13"/>
        <v>86</v>
      </c>
      <c r="I94" s="89">
        <v>1935</v>
      </c>
      <c r="J94" s="89">
        <v>87</v>
      </c>
      <c r="K94" s="93">
        <f t="shared" si="14"/>
        <v>1848</v>
      </c>
      <c r="L94" s="99">
        <f t="shared" si="15"/>
        <v>10.344827586206897</v>
      </c>
      <c r="M94" s="100">
        <f t="shared" si="16"/>
        <v>4.6536796536796539</v>
      </c>
    </row>
    <row r="95" spans="1:13" x14ac:dyDescent="0.25">
      <c r="A95" t="str">
        <f t="shared" si="17"/>
        <v>3352</v>
      </c>
      <c r="B95" s="110">
        <v>352</v>
      </c>
      <c r="C95" s="82"/>
      <c r="D95" s="83" t="s">
        <v>110</v>
      </c>
      <c r="E95" s="83">
        <v>2015</v>
      </c>
      <c r="F95" s="83">
        <v>83</v>
      </c>
      <c r="G95" s="83">
        <v>17</v>
      </c>
      <c r="H95" s="84">
        <f t="shared" si="13"/>
        <v>66</v>
      </c>
      <c r="I95" s="83">
        <v>2013</v>
      </c>
      <c r="J95" s="83">
        <v>102</v>
      </c>
      <c r="K95" s="96">
        <f t="shared" si="14"/>
        <v>1911</v>
      </c>
      <c r="L95" s="97">
        <f t="shared" si="15"/>
        <v>16.666666666666664</v>
      </c>
      <c r="M95" s="98">
        <f t="shared" si="16"/>
        <v>3.4536891679748818</v>
      </c>
    </row>
    <row r="96" spans="1:13" x14ac:dyDescent="0.25">
      <c r="A96" t="str">
        <f t="shared" si="17"/>
        <v>3353</v>
      </c>
      <c r="B96" s="107">
        <v>353</v>
      </c>
      <c r="C96" s="88"/>
      <c r="D96" s="89" t="s">
        <v>111</v>
      </c>
      <c r="E96" s="89">
        <v>2015</v>
      </c>
      <c r="F96" s="89">
        <v>60</v>
      </c>
      <c r="G96" s="89">
        <v>7</v>
      </c>
      <c r="H96" s="90">
        <f t="shared" si="13"/>
        <v>53</v>
      </c>
      <c r="I96" s="89">
        <v>2621</v>
      </c>
      <c r="J96" s="89">
        <v>106</v>
      </c>
      <c r="K96" s="93">
        <f t="shared" si="14"/>
        <v>2515</v>
      </c>
      <c r="L96" s="99">
        <f t="shared" si="15"/>
        <v>6.6037735849056602</v>
      </c>
      <c r="M96" s="100">
        <f t="shared" si="16"/>
        <v>2.107355864811133</v>
      </c>
    </row>
    <row r="97" spans="1:13" x14ac:dyDescent="0.25">
      <c r="A97" t="str">
        <f t="shared" si="17"/>
        <v>3354</v>
      </c>
      <c r="B97" s="110">
        <v>354</v>
      </c>
      <c r="C97" s="82"/>
      <c r="D97" s="83" t="s">
        <v>112</v>
      </c>
      <c r="E97" s="83">
        <v>2015</v>
      </c>
      <c r="F97" s="83">
        <v>37</v>
      </c>
      <c r="G97" s="83">
        <v>2</v>
      </c>
      <c r="H97" s="84">
        <f t="shared" si="13"/>
        <v>35</v>
      </c>
      <c r="I97" s="83">
        <v>523</v>
      </c>
      <c r="J97" s="83">
        <v>11</v>
      </c>
      <c r="K97" s="96">
        <f t="shared" si="14"/>
        <v>512</v>
      </c>
      <c r="L97" s="97">
        <f t="shared" si="15"/>
        <v>18.181818181818183</v>
      </c>
      <c r="M97" s="98">
        <f t="shared" si="16"/>
        <v>6.8359375</v>
      </c>
    </row>
    <row r="98" spans="1:13" x14ac:dyDescent="0.25">
      <c r="A98" t="str">
        <f t="shared" si="17"/>
        <v>3355</v>
      </c>
      <c r="B98" s="107">
        <v>355</v>
      </c>
      <c r="C98" s="88"/>
      <c r="D98" s="89" t="s">
        <v>113</v>
      </c>
      <c r="E98" s="89">
        <v>2015</v>
      </c>
      <c r="F98" s="89">
        <v>63</v>
      </c>
      <c r="G98" s="89">
        <v>7</v>
      </c>
      <c r="H98" s="90">
        <f t="shared" si="13"/>
        <v>56</v>
      </c>
      <c r="I98" s="89">
        <v>1976</v>
      </c>
      <c r="J98" s="89">
        <v>72</v>
      </c>
      <c r="K98" s="93">
        <f t="shared" si="14"/>
        <v>1904</v>
      </c>
      <c r="L98" s="99">
        <f t="shared" si="15"/>
        <v>9.7222222222222232</v>
      </c>
      <c r="M98" s="100">
        <f t="shared" si="16"/>
        <v>2.9411764705882351</v>
      </c>
    </row>
    <row r="99" spans="1:13" x14ac:dyDescent="0.25">
      <c r="A99" t="str">
        <f t="shared" si="17"/>
        <v>3356</v>
      </c>
      <c r="B99" s="110">
        <v>356</v>
      </c>
      <c r="C99" s="82"/>
      <c r="D99" s="83" t="s">
        <v>114</v>
      </c>
      <c r="E99" s="83">
        <v>2015</v>
      </c>
      <c r="F99" s="83">
        <v>39</v>
      </c>
      <c r="G99" s="83">
        <v>4</v>
      </c>
      <c r="H99" s="84">
        <f t="shared" si="13"/>
        <v>35</v>
      </c>
      <c r="I99" s="83">
        <v>1226</v>
      </c>
      <c r="J99" s="83">
        <v>44</v>
      </c>
      <c r="K99" s="96">
        <f t="shared" si="14"/>
        <v>1182</v>
      </c>
      <c r="L99" s="97">
        <f t="shared" si="15"/>
        <v>9.0909090909090917</v>
      </c>
      <c r="M99" s="98">
        <f t="shared" si="16"/>
        <v>2.9610829103214891</v>
      </c>
    </row>
    <row r="100" spans="1:13" x14ac:dyDescent="0.25">
      <c r="A100" t="str">
        <f t="shared" si="17"/>
        <v>3357</v>
      </c>
      <c r="B100" s="107">
        <v>357</v>
      </c>
      <c r="C100" s="88"/>
      <c r="D100" s="89" t="s">
        <v>115</v>
      </c>
      <c r="E100" s="89">
        <v>2015</v>
      </c>
      <c r="F100" s="89">
        <v>107</v>
      </c>
      <c r="G100" s="89">
        <v>9</v>
      </c>
      <c r="H100" s="90">
        <f t="shared" si="13"/>
        <v>98</v>
      </c>
      <c r="I100" s="89">
        <v>2021</v>
      </c>
      <c r="J100" s="89">
        <v>84</v>
      </c>
      <c r="K100" s="93">
        <f t="shared" si="14"/>
        <v>1937</v>
      </c>
      <c r="L100" s="99">
        <f t="shared" si="15"/>
        <v>10.714285714285714</v>
      </c>
      <c r="M100" s="100">
        <f t="shared" si="16"/>
        <v>5.0593701600413006</v>
      </c>
    </row>
    <row r="101" spans="1:13" x14ac:dyDescent="0.25">
      <c r="A101" t="str">
        <f t="shared" si="17"/>
        <v>3358</v>
      </c>
      <c r="B101" s="110">
        <v>358</v>
      </c>
      <c r="C101" s="82"/>
      <c r="D101" s="83" t="s">
        <v>116</v>
      </c>
      <c r="E101" s="83">
        <v>2015</v>
      </c>
      <c r="F101" s="83">
        <v>110</v>
      </c>
      <c r="G101" s="83">
        <v>15</v>
      </c>
      <c r="H101" s="84">
        <f t="shared" si="13"/>
        <v>95</v>
      </c>
      <c r="I101" s="83">
        <v>1627</v>
      </c>
      <c r="J101" s="83">
        <v>72</v>
      </c>
      <c r="K101" s="96">
        <f t="shared" si="14"/>
        <v>1555</v>
      </c>
      <c r="L101" s="97">
        <f t="shared" si="15"/>
        <v>20.833333333333336</v>
      </c>
      <c r="M101" s="98">
        <f t="shared" si="16"/>
        <v>6.109324758842444</v>
      </c>
    </row>
    <row r="102" spans="1:13" x14ac:dyDescent="0.25">
      <c r="A102" t="str">
        <f t="shared" si="17"/>
        <v>3359</v>
      </c>
      <c r="B102" s="107">
        <v>359</v>
      </c>
      <c r="C102" s="88"/>
      <c r="D102" s="89" t="s">
        <v>117</v>
      </c>
      <c r="E102" s="89">
        <v>2015</v>
      </c>
      <c r="F102" s="89">
        <v>102</v>
      </c>
      <c r="G102" s="89">
        <v>28</v>
      </c>
      <c r="H102" s="90">
        <f t="shared" si="13"/>
        <v>74</v>
      </c>
      <c r="I102" s="89">
        <v>2383</v>
      </c>
      <c r="J102" s="89">
        <v>136</v>
      </c>
      <c r="K102" s="93">
        <f t="shared" si="14"/>
        <v>2247</v>
      </c>
      <c r="L102" s="99">
        <f t="shared" si="15"/>
        <v>20.588235294117645</v>
      </c>
      <c r="M102" s="100">
        <f t="shared" si="16"/>
        <v>3.2932799287939476</v>
      </c>
    </row>
    <row r="103" spans="1:13" x14ac:dyDescent="0.25">
      <c r="A103" t="str">
        <f t="shared" si="17"/>
        <v>3360</v>
      </c>
      <c r="B103" s="110">
        <v>360</v>
      </c>
      <c r="C103" s="82"/>
      <c r="D103" s="83" t="s">
        <v>118</v>
      </c>
      <c r="E103" s="83">
        <v>2015</v>
      </c>
      <c r="F103" s="83">
        <v>34</v>
      </c>
      <c r="G103" s="83">
        <v>5</v>
      </c>
      <c r="H103" s="84">
        <f t="shared" ref="H103:H134" si="18">F103-G103</f>
        <v>29</v>
      </c>
      <c r="I103" s="83">
        <v>1023</v>
      </c>
      <c r="J103" s="83">
        <v>23</v>
      </c>
      <c r="K103" s="96">
        <f t="shared" si="14"/>
        <v>1000</v>
      </c>
      <c r="L103" s="97">
        <f t="shared" ref="L103:L134" si="19">G103/J103*100</f>
        <v>21.739130434782609</v>
      </c>
      <c r="M103" s="98">
        <f t="shared" ref="M103:M134" si="20">H103/K103*100</f>
        <v>2.9000000000000004</v>
      </c>
    </row>
    <row r="104" spans="1:13" x14ac:dyDescent="0.25">
      <c r="A104" t="str">
        <f t="shared" si="17"/>
        <v>3361</v>
      </c>
      <c r="B104" s="107">
        <v>361</v>
      </c>
      <c r="C104" s="88"/>
      <c r="D104" s="89" t="s">
        <v>119</v>
      </c>
      <c r="E104" s="89">
        <v>2015</v>
      </c>
      <c r="F104" s="89">
        <v>75</v>
      </c>
      <c r="G104" s="89">
        <v>21</v>
      </c>
      <c r="H104" s="90">
        <f t="shared" si="18"/>
        <v>54</v>
      </c>
      <c r="I104" s="89">
        <v>1447</v>
      </c>
      <c r="J104" s="89">
        <v>95</v>
      </c>
      <c r="K104" s="93">
        <f t="shared" si="14"/>
        <v>1352</v>
      </c>
      <c r="L104" s="99">
        <f t="shared" si="19"/>
        <v>22.105263157894736</v>
      </c>
      <c r="M104" s="100">
        <f t="shared" si="20"/>
        <v>3.9940828402366866</v>
      </c>
    </row>
    <row r="105" spans="1:13" x14ac:dyDescent="0.25">
      <c r="A105" t="str">
        <f t="shared" si="17"/>
        <v>34</v>
      </c>
      <c r="B105" s="110">
        <v>4</v>
      </c>
      <c r="C105" s="82"/>
      <c r="D105" s="83" t="s">
        <v>120</v>
      </c>
      <c r="E105" s="83">
        <v>2015</v>
      </c>
      <c r="F105" s="83">
        <v>1688</v>
      </c>
      <c r="G105" s="83">
        <v>282</v>
      </c>
      <c r="H105" s="84">
        <f t="shared" si="18"/>
        <v>1406</v>
      </c>
      <c r="I105" s="83">
        <v>28577</v>
      </c>
      <c r="J105" s="83">
        <v>1548</v>
      </c>
      <c r="K105" s="96">
        <f t="shared" si="14"/>
        <v>27029</v>
      </c>
      <c r="L105" s="97">
        <f t="shared" si="19"/>
        <v>18.217054263565892</v>
      </c>
      <c r="M105" s="98">
        <f t="shared" si="20"/>
        <v>5.2018202671205005</v>
      </c>
    </row>
    <row r="106" spans="1:13" x14ac:dyDescent="0.25">
      <c r="A106" t="str">
        <f t="shared" si="17"/>
        <v>3401</v>
      </c>
      <c r="B106" s="107">
        <v>401</v>
      </c>
      <c r="C106" s="88"/>
      <c r="D106" s="89" t="s">
        <v>121</v>
      </c>
      <c r="E106" s="89">
        <v>2015</v>
      </c>
      <c r="F106" s="89">
        <v>58</v>
      </c>
      <c r="G106" s="89">
        <v>28</v>
      </c>
      <c r="H106" s="90">
        <f t="shared" si="18"/>
        <v>30</v>
      </c>
      <c r="I106" s="89">
        <v>889</v>
      </c>
      <c r="J106" s="89">
        <v>171</v>
      </c>
      <c r="K106" s="93">
        <f t="shared" si="14"/>
        <v>718</v>
      </c>
      <c r="L106" s="99">
        <f t="shared" si="19"/>
        <v>16.374269005847953</v>
      </c>
      <c r="M106" s="100">
        <f t="shared" si="20"/>
        <v>4.1782729805013927</v>
      </c>
    </row>
    <row r="107" spans="1:13" x14ac:dyDescent="0.25">
      <c r="A107" t="str">
        <f t="shared" si="17"/>
        <v>3402</v>
      </c>
      <c r="B107" s="110">
        <v>402</v>
      </c>
      <c r="C107" s="82"/>
      <c r="D107" s="83" t="s">
        <v>122</v>
      </c>
      <c r="E107" s="83">
        <v>2015</v>
      </c>
      <c r="F107" s="83">
        <v>51</v>
      </c>
      <c r="G107" s="83">
        <v>9</v>
      </c>
      <c r="H107" s="84">
        <f t="shared" si="18"/>
        <v>42</v>
      </c>
      <c r="I107" s="83">
        <v>498</v>
      </c>
      <c r="J107" s="83">
        <v>15</v>
      </c>
      <c r="K107" s="96">
        <f t="shared" si="14"/>
        <v>483</v>
      </c>
      <c r="L107" s="97">
        <f t="shared" si="19"/>
        <v>60</v>
      </c>
      <c r="M107" s="98">
        <f t="shared" si="20"/>
        <v>8.695652173913043</v>
      </c>
    </row>
    <row r="108" spans="1:13" x14ac:dyDescent="0.25">
      <c r="A108" t="str">
        <f t="shared" si="17"/>
        <v>3403</v>
      </c>
      <c r="B108" s="107">
        <v>403</v>
      </c>
      <c r="C108" s="88"/>
      <c r="D108" s="89" t="s">
        <v>123</v>
      </c>
      <c r="E108" s="89">
        <v>2015</v>
      </c>
      <c r="F108" s="89">
        <v>115</v>
      </c>
      <c r="G108" s="89">
        <v>15</v>
      </c>
      <c r="H108" s="90">
        <f t="shared" si="18"/>
        <v>100</v>
      </c>
      <c r="I108" s="89">
        <v>1884</v>
      </c>
      <c r="J108" s="89">
        <v>116</v>
      </c>
      <c r="K108" s="93">
        <f t="shared" si="14"/>
        <v>1768</v>
      </c>
      <c r="L108" s="99">
        <f t="shared" si="19"/>
        <v>12.931034482758621</v>
      </c>
      <c r="M108" s="100">
        <f t="shared" si="20"/>
        <v>5.6561085972850682</v>
      </c>
    </row>
    <row r="109" spans="1:13" x14ac:dyDescent="0.25">
      <c r="A109" t="str">
        <f t="shared" si="17"/>
        <v>3404</v>
      </c>
      <c r="B109" s="110">
        <v>404</v>
      </c>
      <c r="C109" s="82"/>
      <c r="D109" s="83" t="s">
        <v>124</v>
      </c>
      <c r="E109" s="83">
        <v>2015</v>
      </c>
      <c r="F109" s="83">
        <v>130</v>
      </c>
      <c r="G109" s="83">
        <v>21</v>
      </c>
      <c r="H109" s="84">
        <f t="shared" si="18"/>
        <v>109</v>
      </c>
      <c r="I109" s="83">
        <v>2052</v>
      </c>
      <c r="J109" s="83">
        <v>125</v>
      </c>
      <c r="K109" s="96">
        <f t="shared" si="14"/>
        <v>1927</v>
      </c>
      <c r="L109" s="97">
        <f t="shared" si="19"/>
        <v>16.8</v>
      </c>
      <c r="M109" s="98">
        <f t="shared" si="20"/>
        <v>5.6564608199273483</v>
      </c>
    </row>
    <row r="110" spans="1:13" x14ac:dyDescent="0.25">
      <c r="A110" t="str">
        <f t="shared" si="17"/>
        <v>3405</v>
      </c>
      <c r="B110" s="107">
        <v>405</v>
      </c>
      <c r="C110" s="88"/>
      <c r="D110" s="89" t="s">
        <v>125</v>
      </c>
      <c r="E110" s="89">
        <v>2015</v>
      </c>
      <c r="F110" s="89">
        <v>27</v>
      </c>
      <c r="G110" s="89">
        <v>2</v>
      </c>
      <c r="H110" s="90">
        <f t="shared" si="18"/>
        <v>25</v>
      </c>
      <c r="I110" s="89">
        <v>744</v>
      </c>
      <c r="J110" s="89">
        <v>48</v>
      </c>
      <c r="K110" s="93">
        <f t="shared" si="14"/>
        <v>696</v>
      </c>
      <c r="L110" s="99">
        <f t="shared" si="19"/>
        <v>4.1666666666666661</v>
      </c>
      <c r="M110" s="100">
        <f t="shared" si="20"/>
        <v>3.5919540229885056</v>
      </c>
    </row>
    <row r="111" spans="1:13" x14ac:dyDescent="0.25">
      <c r="A111" t="str">
        <f t="shared" si="17"/>
        <v>3451</v>
      </c>
      <c r="B111" s="110">
        <v>451</v>
      </c>
      <c r="C111" s="82"/>
      <c r="D111" s="83" t="s">
        <v>126</v>
      </c>
      <c r="E111" s="83">
        <v>2015</v>
      </c>
      <c r="F111" s="83">
        <v>55</v>
      </c>
      <c r="G111" s="83">
        <v>2</v>
      </c>
      <c r="H111" s="84">
        <f t="shared" si="18"/>
        <v>53</v>
      </c>
      <c r="I111" s="83">
        <v>1375</v>
      </c>
      <c r="J111" s="83">
        <v>32</v>
      </c>
      <c r="K111" s="96">
        <f t="shared" si="14"/>
        <v>1343</v>
      </c>
      <c r="L111" s="97">
        <f t="shared" si="19"/>
        <v>6.25</v>
      </c>
      <c r="M111" s="98">
        <f t="shared" si="20"/>
        <v>3.9463886820551006</v>
      </c>
    </row>
    <row r="112" spans="1:13" x14ac:dyDescent="0.25">
      <c r="A112" t="str">
        <f t="shared" si="17"/>
        <v>3452</v>
      </c>
      <c r="B112" s="107">
        <v>452</v>
      </c>
      <c r="C112" s="88"/>
      <c r="D112" s="89" t="s">
        <v>127</v>
      </c>
      <c r="E112" s="89">
        <v>2015</v>
      </c>
      <c r="F112" s="89">
        <v>159</v>
      </c>
      <c r="G112" s="89">
        <v>7</v>
      </c>
      <c r="H112" s="90">
        <f t="shared" si="18"/>
        <v>152</v>
      </c>
      <c r="I112" s="89">
        <v>2279</v>
      </c>
      <c r="J112" s="89">
        <v>52</v>
      </c>
      <c r="K112" s="93">
        <f t="shared" si="14"/>
        <v>2227</v>
      </c>
      <c r="L112" s="99">
        <f t="shared" si="19"/>
        <v>13.461538461538462</v>
      </c>
      <c r="M112" s="100">
        <f t="shared" si="20"/>
        <v>6.8253255500673555</v>
      </c>
    </row>
    <row r="113" spans="1:13" x14ac:dyDescent="0.25">
      <c r="A113" t="str">
        <f t="shared" si="17"/>
        <v>3453</v>
      </c>
      <c r="B113" s="110">
        <v>453</v>
      </c>
      <c r="C113" s="82"/>
      <c r="D113" s="83" t="s">
        <v>128</v>
      </c>
      <c r="E113" s="83">
        <v>2015</v>
      </c>
      <c r="F113" s="83">
        <v>86</v>
      </c>
      <c r="G113" s="83">
        <v>7</v>
      </c>
      <c r="H113" s="84">
        <f t="shared" si="18"/>
        <v>79</v>
      </c>
      <c r="I113" s="83">
        <v>2113</v>
      </c>
      <c r="J113" s="83">
        <v>66</v>
      </c>
      <c r="K113" s="96">
        <f t="shared" si="14"/>
        <v>2047</v>
      </c>
      <c r="L113" s="97">
        <f t="shared" si="19"/>
        <v>10.606060606060606</v>
      </c>
      <c r="M113" s="98">
        <f t="shared" si="20"/>
        <v>3.8593063019052272</v>
      </c>
    </row>
    <row r="114" spans="1:13" x14ac:dyDescent="0.25">
      <c r="A114" t="str">
        <f t="shared" si="17"/>
        <v>3454</v>
      </c>
      <c r="B114" s="107">
        <v>454</v>
      </c>
      <c r="C114" s="88"/>
      <c r="D114" s="89" t="s">
        <v>129</v>
      </c>
      <c r="E114" s="89">
        <v>2015</v>
      </c>
      <c r="F114" s="89">
        <v>211</v>
      </c>
      <c r="G114" s="89">
        <v>35</v>
      </c>
      <c r="H114" s="90">
        <f t="shared" si="18"/>
        <v>176</v>
      </c>
      <c r="I114" s="89">
        <v>3850</v>
      </c>
      <c r="J114" s="89">
        <v>146</v>
      </c>
      <c r="K114" s="93">
        <f t="shared" si="14"/>
        <v>3704</v>
      </c>
      <c r="L114" s="99">
        <f t="shared" si="19"/>
        <v>23.972602739726025</v>
      </c>
      <c r="M114" s="100">
        <f t="shared" si="20"/>
        <v>4.7516198704103676</v>
      </c>
    </row>
    <row r="115" spans="1:13" x14ac:dyDescent="0.25">
      <c r="A115" t="str">
        <f t="shared" si="17"/>
        <v>3455</v>
      </c>
      <c r="B115" s="110">
        <v>455</v>
      </c>
      <c r="C115" s="82"/>
      <c r="D115" s="83" t="s">
        <v>130</v>
      </c>
      <c r="E115" s="83">
        <v>2015</v>
      </c>
      <c r="F115" s="83">
        <v>46</v>
      </c>
      <c r="G115" s="83">
        <v>10</v>
      </c>
      <c r="H115" s="84">
        <f t="shared" si="18"/>
        <v>36</v>
      </c>
      <c r="I115" s="83">
        <v>1008</v>
      </c>
      <c r="J115" s="83">
        <v>43</v>
      </c>
      <c r="K115" s="96">
        <f t="shared" si="14"/>
        <v>965</v>
      </c>
      <c r="L115" s="97">
        <f t="shared" si="19"/>
        <v>23.255813953488371</v>
      </c>
      <c r="M115" s="98">
        <f t="shared" si="20"/>
        <v>3.730569948186528</v>
      </c>
    </row>
    <row r="116" spans="1:13" x14ac:dyDescent="0.25">
      <c r="A116" t="str">
        <f t="shared" si="17"/>
        <v>3456</v>
      </c>
      <c r="B116" s="107">
        <v>456</v>
      </c>
      <c r="C116" s="88"/>
      <c r="D116" s="89" t="s">
        <v>131</v>
      </c>
      <c r="E116" s="89">
        <v>2015</v>
      </c>
      <c r="F116" s="89">
        <v>122</v>
      </c>
      <c r="G116" s="89">
        <v>31</v>
      </c>
      <c r="H116" s="90">
        <f t="shared" si="18"/>
        <v>91</v>
      </c>
      <c r="I116" s="89">
        <v>1610</v>
      </c>
      <c r="J116" s="89">
        <v>151</v>
      </c>
      <c r="K116" s="93">
        <f t="shared" si="14"/>
        <v>1459</v>
      </c>
      <c r="L116" s="99">
        <f t="shared" si="19"/>
        <v>20.52980132450331</v>
      </c>
      <c r="M116" s="100">
        <f t="shared" si="20"/>
        <v>6.2371487320082251</v>
      </c>
    </row>
    <row r="117" spans="1:13" x14ac:dyDescent="0.25">
      <c r="A117" t="str">
        <f t="shared" si="17"/>
        <v>3457</v>
      </c>
      <c r="B117" s="110">
        <v>457</v>
      </c>
      <c r="C117" s="82"/>
      <c r="D117" s="83" t="s">
        <v>132</v>
      </c>
      <c r="E117" s="83">
        <v>2015</v>
      </c>
      <c r="F117" s="83">
        <v>155</v>
      </c>
      <c r="G117" s="83">
        <v>17</v>
      </c>
      <c r="H117" s="84">
        <f t="shared" si="18"/>
        <v>138</v>
      </c>
      <c r="I117" s="83">
        <v>1846</v>
      </c>
      <c r="J117" s="83">
        <v>97</v>
      </c>
      <c r="K117" s="96">
        <f t="shared" si="14"/>
        <v>1749</v>
      </c>
      <c r="L117" s="97">
        <f t="shared" si="19"/>
        <v>17.525773195876287</v>
      </c>
      <c r="M117" s="98">
        <f t="shared" si="20"/>
        <v>7.8902229845626071</v>
      </c>
    </row>
    <row r="118" spans="1:13" x14ac:dyDescent="0.25">
      <c r="A118" t="str">
        <f t="shared" si="17"/>
        <v>3458</v>
      </c>
      <c r="B118" s="107">
        <v>458</v>
      </c>
      <c r="C118" s="88"/>
      <c r="D118" s="89" t="s">
        <v>133</v>
      </c>
      <c r="E118" s="89">
        <v>2015</v>
      </c>
      <c r="F118" s="89">
        <v>49</v>
      </c>
      <c r="G118" s="89">
        <v>8</v>
      </c>
      <c r="H118" s="90">
        <f t="shared" si="18"/>
        <v>41</v>
      </c>
      <c r="I118" s="89">
        <v>1218</v>
      </c>
      <c r="J118" s="89">
        <v>70</v>
      </c>
      <c r="K118" s="93">
        <f t="shared" si="14"/>
        <v>1148</v>
      </c>
      <c r="L118" s="99">
        <f t="shared" si="19"/>
        <v>11.428571428571429</v>
      </c>
      <c r="M118" s="100">
        <f t="shared" si="20"/>
        <v>3.5714285714285712</v>
      </c>
    </row>
    <row r="119" spans="1:13" x14ac:dyDescent="0.25">
      <c r="A119" t="str">
        <f t="shared" si="17"/>
        <v>3459</v>
      </c>
      <c r="B119" s="110">
        <v>459</v>
      </c>
      <c r="C119" s="82"/>
      <c r="D119" s="83" t="s">
        <v>134</v>
      </c>
      <c r="E119" s="83">
        <v>2015</v>
      </c>
      <c r="F119" s="83">
        <v>212</v>
      </c>
      <c r="G119" s="83">
        <v>52</v>
      </c>
      <c r="H119" s="84">
        <f t="shared" si="18"/>
        <v>160</v>
      </c>
      <c r="I119" s="83">
        <v>3640</v>
      </c>
      <c r="J119" s="83">
        <v>220</v>
      </c>
      <c r="K119" s="96">
        <f t="shared" si="14"/>
        <v>3420</v>
      </c>
      <c r="L119" s="97">
        <f t="shared" si="19"/>
        <v>23.636363636363637</v>
      </c>
      <c r="M119" s="98">
        <f t="shared" si="20"/>
        <v>4.6783625730994149</v>
      </c>
    </row>
    <row r="120" spans="1:13" x14ac:dyDescent="0.25">
      <c r="A120" t="str">
        <f t="shared" si="17"/>
        <v>3460</v>
      </c>
      <c r="B120" s="107">
        <v>460</v>
      </c>
      <c r="C120" s="88"/>
      <c r="D120" s="89" t="s">
        <v>135</v>
      </c>
      <c r="E120" s="89">
        <v>2015</v>
      </c>
      <c r="F120" s="89">
        <v>112</v>
      </c>
      <c r="G120" s="89">
        <v>24</v>
      </c>
      <c r="H120" s="90">
        <f t="shared" si="18"/>
        <v>88</v>
      </c>
      <c r="I120" s="89">
        <v>1762</v>
      </c>
      <c r="J120" s="89">
        <v>122</v>
      </c>
      <c r="K120" s="93">
        <f t="shared" si="14"/>
        <v>1640</v>
      </c>
      <c r="L120" s="99">
        <f t="shared" si="19"/>
        <v>19.672131147540984</v>
      </c>
      <c r="M120" s="100">
        <f t="shared" si="20"/>
        <v>5.3658536585365857</v>
      </c>
    </row>
    <row r="121" spans="1:13" x14ac:dyDescent="0.25">
      <c r="A121" t="str">
        <f t="shared" si="17"/>
        <v>3461</v>
      </c>
      <c r="B121" s="110">
        <v>461</v>
      </c>
      <c r="C121" s="82"/>
      <c r="D121" s="83" t="s">
        <v>136</v>
      </c>
      <c r="E121" s="83">
        <v>2015</v>
      </c>
      <c r="F121" s="83">
        <v>60</v>
      </c>
      <c r="G121" s="83">
        <v>8</v>
      </c>
      <c r="H121" s="84">
        <f t="shared" si="18"/>
        <v>52</v>
      </c>
      <c r="I121" s="83">
        <v>1090</v>
      </c>
      <c r="J121" s="83">
        <v>50</v>
      </c>
      <c r="K121" s="96">
        <f t="shared" si="14"/>
        <v>1040</v>
      </c>
      <c r="L121" s="97">
        <f t="shared" si="19"/>
        <v>16</v>
      </c>
      <c r="M121" s="98">
        <f t="shared" si="20"/>
        <v>5</v>
      </c>
    </row>
    <row r="122" spans="1:13" x14ac:dyDescent="0.25">
      <c r="A122" t="str">
        <f t="shared" si="17"/>
        <v>3462</v>
      </c>
      <c r="B122" s="107">
        <v>462</v>
      </c>
      <c r="C122" s="88"/>
      <c r="D122" s="89" t="s">
        <v>137</v>
      </c>
      <c r="E122" s="89">
        <v>2015</v>
      </c>
      <c r="F122" s="89">
        <v>40</v>
      </c>
      <c r="G122" s="89">
        <v>6</v>
      </c>
      <c r="H122" s="90">
        <f t="shared" si="18"/>
        <v>34</v>
      </c>
      <c r="I122" s="89">
        <v>719</v>
      </c>
      <c r="J122" s="89">
        <v>24</v>
      </c>
      <c r="K122" s="93">
        <f t="shared" si="14"/>
        <v>695</v>
      </c>
      <c r="L122" s="99">
        <f t="shared" si="19"/>
        <v>25</v>
      </c>
      <c r="M122" s="100">
        <f t="shared" si="20"/>
        <v>4.8920863309352516</v>
      </c>
    </row>
    <row r="123" spans="1:13" x14ac:dyDescent="0.25">
      <c r="A123" t="str">
        <f t="shared" si="17"/>
        <v>30</v>
      </c>
      <c r="B123" s="81" t="str">
        <f t="shared" ref="B123:B124" si="21">LEFT(D123,LEN(D114)-(LEN(D114)-1))</f>
        <v>0</v>
      </c>
      <c r="C123" s="82"/>
      <c r="D123" s="83" t="s">
        <v>82</v>
      </c>
      <c r="E123" s="84">
        <v>2016</v>
      </c>
      <c r="F123" s="83">
        <v>4291</v>
      </c>
      <c r="G123" s="83">
        <v>860</v>
      </c>
      <c r="H123" s="84">
        <f t="shared" si="18"/>
        <v>3431</v>
      </c>
      <c r="I123" s="83">
        <v>84155</v>
      </c>
      <c r="J123" s="83">
        <v>5279</v>
      </c>
      <c r="K123" s="96">
        <f t="shared" si="14"/>
        <v>78876</v>
      </c>
      <c r="L123" s="97">
        <f t="shared" si="19"/>
        <v>16.29096419776473</v>
      </c>
      <c r="M123" s="98">
        <f t="shared" si="20"/>
        <v>4.3498656118464423</v>
      </c>
    </row>
    <row r="124" spans="1:13" x14ac:dyDescent="0.25">
      <c r="A124" t="str">
        <f t="shared" si="17"/>
        <v>31</v>
      </c>
      <c r="B124" s="87" t="str">
        <f t="shared" si="21"/>
        <v>1</v>
      </c>
      <c r="C124" s="88"/>
      <c r="D124" s="89" t="s">
        <v>88</v>
      </c>
      <c r="E124" s="90">
        <v>2016</v>
      </c>
      <c r="F124" s="89">
        <v>732</v>
      </c>
      <c r="G124" s="89">
        <v>151</v>
      </c>
      <c r="H124" s="90">
        <f t="shared" si="18"/>
        <v>581</v>
      </c>
      <c r="I124" s="89">
        <v>15861</v>
      </c>
      <c r="J124" s="89">
        <v>1113</v>
      </c>
      <c r="K124" s="93">
        <f t="shared" si="14"/>
        <v>14748</v>
      </c>
      <c r="L124" s="99">
        <f t="shared" si="19"/>
        <v>13.566936208445643</v>
      </c>
      <c r="M124" s="100">
        <f t="shared" si="20"/>
        <v>3.9395172226742612</v>
      </c>
    </row>
    <row r="125" spans="1:13" x14ac:dyDescent="0.25">
      <c r="A125" t="str">
        <f t="shared" si="17"/>
        <v>3101</v>
      </c>
      <c r="B125" s="81" t="str">
        <f t="shared" ref="B125:B136" si="22">LEFT(D125,LEN(D116)-(LEN(D116)-3))</f>
        <v>101</v>
      </c>
      <c r="C125" s="82"/>
      <c r="D125" s="83" t="s">
        <v>89</v>
      </c>
      <c r="E125" s="84">
        <v>2016</v>
      </c>
      <c r="F125" s="83">
        <v>140</v>
      </c>
      <c r="G125" s="83">
        <v>20</v>
      </c>
      <c r="H125" s="84">
        <f t="shared" si="18"/>
        <v>120</v>
      </c>
      <c r="I125" s="83">
        <v>2627</v>
      </c>
      <c r="J125" s="83">
        <v>198</v>
      </c>
      <c r="K125" s="96">
        <f t="shared" si="14"/>
        <v>2429</v>
      </c>
      <c r="L125" s="97">
        <f t="shared" si="19"/>
        <v>10.1010101010101</v>
      </c>
      <c r="M125" s="98">
        <f t="shared" si="20"/>
        <v>4.9403046521202141</v>
      </c>
    </row>
    <row r="126" spans="1:13" x14ac:dyDescent="0.25">
      <c r="A126" t="str">
        <f t="shared" si="17"/>
        <v>3102</v>
      </c>
      <c r="B126" s="87" t="str">
        <f t="shared" si="22"/>
        <v>102</v>
      </c>
      <c r="C126" s="88"/>
      <c r="D126" s="89" t="s">
        <v>90</v>
      </c>
      <c r="E126" s="90">
        <v>2016</v>
      </c>
      <c r="F126" s="89">
        <v>54</v>
      </c>
      <c r="G126" s="89">
        <v>21</v>
      </c>
      <c r="H126" s="90">
        <f t="shared" si="18"/>
        <v>33</v>
      </c>
      <c r="I126" s="89">
        <v>1009</v>
      </c>
      <c r="J126" s="89">
        <v>185</v>
      </c>
      <c r="K126" s="93">
        <f t="shared" si="14"/>
        <v>824</v>
      </c>
      <c r="L126" s="99">
        <f t="shared" si="19"/>
        <v>11.351351351351353</v>
      </c>
      <c r="M126" s="100">
        <f t="shared" si="20"/>
        <v>4.0048543689320395</v>
      </c>
    </row>
    <row r="127" spans="1:13" x14ac:dyDescent="0.25">
      <c r="A127" t="str">
        <f t="shared" si="17"/>
        <v>3103</v>
      </c>
      <c r="B127" s="81" t="str">
        <f t="shared" si="22"/>
        <v>103</v>
      </c>
      <c r="C127" s="82"/>
      <c r="D127" s="83" t="s">
        <v>91</v>
      </c>
      <c r="E127" s="84">
        <v>2016</v>
      </c>
      <c r="F127" s="83">
        <v>48</v>
      </c>
      <c r="G127" s="83">
        <v>11</v>
      </c>
      <c r="H127" s="84">
        <f t="shared" si="18"/>
        <v>37</v>
      </c>
      <c r="I127" s="83">
        <v>1396</v>
      </c>
      <c r="J127" s="83">
        <v>116</v>
      </c>
      <c r="K127" s="96">
        <f t="shared" si="14"/>
        <v>1280</v>
      </c>
      <c r="L127" s="97">
        <f t="shared" si="19"/>
        <v>9.4827586206896548</v>
      </c>
      <c r="M127" s="98">
        <f t="shared" si="20"/>
        <v>2.890625</v>
      </c>
    </row>
    <row r="128" spans="1:13" x14ac:dyDescent="0.25">
      <c r="A128" t="str">
        <f t="shared" si="17"/>
        <v>3151</v>
      </c>
      <c r="B128" s="87" t="str">
        <f t="shared" si="22"/>
        <v>151</v>
      </c>
      <c r="C128" s="88"/>
      <c r="D128" s="89" t="s">
        <v>92</v>
      </c>
      <c r="E128" s="90">
        <v>2016</v>
      </c>
      <c r="F128" s="89">
        <v>78</v>
      </c>
      <c r="G128" s="89">
        <v>5</v>
      </c>
      <c r="H128" s="90">
        <f t="shared" si="18"/>
        <v>73</v>
      </c>
      <c r="I128" s="89">
        <v>1630</v>
      </c>
      <c r="J128" s="89">
        <v>58</v>
      </c>
      <c r="K128" s="93">
        <f t="shared" si="14"/>
        <v>1572</v>
      </c>
      <c r="L128" s="99">
        <f t="shared" si="19"/>
        <v>8.6206896551724146</v>
      </c>
      <c r="M128" s="100">
        <f t="shared" si="20"/>
        <v>4.6437659033078882</v>
      </c>
    </row>
    <row r="129" spans="1:13" x14ac:dyDescent="0.25">
      <c r="A129" t="str">
        <f t="shared" si="17"/>
        <v>3153</v>
      </c>
      <c r="B129" s="81" t="str">
        <f t="shared" si="22"/>
        <v>153</v>
      </c>
      <c r="C129" s="82"/>
      <c r="D129" s="83" t="s">
        <v>93</v>
      </c>
      <c r="E129" s="84">
        <v>2016</v>
      </c>
      <c r="F129" s="83">
        <v>65</v>
      </c>
      <c r="G129" s="83">
        <v>6</v>
      </c>
      <c r="H129" s="84">
        <f t="shared" si="18"/>
        <v>59</v>
      </c>
      <c r="I129" s="83">
        <v>1231</v>
      </c>
      <c r="J129" s="83">
        <v>35</v>
      </c>
      <c r="K129" s="96">
        <f t="shared" si="14"/>
        <v>1196</v>
      </c>
      <c r="L129" s="97">
        <f t="shared" si="19"/>
        <v>17.142857142857142</v>
      </c>
      <c r="M129" s="98">
        <f t="shared" si="20"/>
        <v>4.9331103678929766</v>
      </c>
    </row>
    <row r="130" spans="1:13" x14ac:dyDescent="0.25">
      <c r="A130" t="str">
        <f t="shared" si="17"/>
        <v>3154</v>
      </c>
      <c r="B130" s="87" t="str">
        <f t="shared" si="22"/>
        <v>154</v>
      </c>
      <c r="C130" s="88"/>
      <c r="D130" s="89" t="s">
        <v>94</v>
      </c>
      <c r="E130" s="90">
        <v>2016</v>
      </c>
      <c r="F130" s="89">
        <v>43</v>
      </c>
      <c r="G130" s="89">
        <v>3</v>
      </c>
      <c r="H130" s="90">
        <f t="shared" si="18"/>
        <v>40</v>
      </c>
      <c r="I130" s="89">
        <v>847</v>
      </c>
      <c r="J130" s="89">
        <v>60</v>
      </c>
      <c r="K130" s="93">
        <f t="shared" si="14"/>
        <v>787</v>
      </c>
      <c r="L130" s="99">
        <f t="shared" si="19"/>
        <v>5</v>
      </c>
      <c r="M130" s="100">
        <f t="shared" si="20"/>
        <v>5.082592121982211</v>
      </c>
    </row>
    <row r="131" spans="1:13" x14ac:dyDescent="0.25">
      <c r="A131" t="str">
        <f t="shared" si="17"/>
        <v>3155</v>
      </c>
      <c r="B131" s="81" t="str">
        <f t="shared" si="22"/>
        <v>155</v>
      </c>
      <c r="C131" s="82"/>
      <c r="D131" s="83" t="s">
        <v>95</v>
      </c>
      <c r="E131" s="84">
        <v>2016</v>
      </c>
      <c r="F131" s="83">
        <v>62</v>
      </c>
      <c r="G131" s="83">
        <v>17</v>
      </c>
      <c r="H131" s="84">
        <f t="shared" si="18"/>
        <v>45</v>
      </c>
      <c r="I131" s="83">
        <v>1481</v>
      </c>
      <c r="J131" s="83">
        <v>69</v>
      </c>
      <c r="K131" s="96">
        <f t="shared" si="14"/>
        <v>1412</v>
      </c>
      <c r="L131" s="97">
        <f t="shared" si="19"/>
        <v>24.637681159420293</v>
      </c>
      <c r="M131" s="98">
        <f t="shared" si="20"/>
        <v>3.1869688385269122</v>
      </c>
    </row>
    <row r="132" spans="1:13" x14ac:dyDescent="0.25">
      <c r="A132" t="str">
        <f t="shared" si="17"/>
        <v>3157</v>
      </c>
      <c r="B132" s="87" t="str">
        <f t="shared" si="22"/>
        <v>157</v>
      </c>
      <c r="C132" s="88"/>
      <c r="D132" s="89" t="s">
        <v>96</v>
      </c>
      <c r="E132" s="90">
        <v>2016</v>
      </c>
      <c r="F132" s="89">
        <v>53</v>
      </c>
      <c r="G132" s="89">
        <v>13</v>
      </c>
      <c r="H132" s="90">
        <f t="shared" si="18"/>
        <v>40</v>
      </c>
      <c r="I132" s="89">
        <v>1444</v>
      </c>
      <c r="J132" s="89">
        <v>120</v>
      </c>
      <c r="K132" s="93">
        <f t="shared" si="14"/>
        <v>1324</v>
      </c>
      <c r="L132" s="99">
        <f t="shared" si="19"/>
        <v>10.833333333333334</v>
      </c>
      <c r="M132" s="100">
        <f t="shared" si="20"/>
        <v>3.0211480362537766</v>
      </c>
    </row>
    <row r="133" spans="1:13" x14ac:dyDescent="0.25">
      <c r="A133" t="str">
        <f t="shared" si="17"/>
        <v>3158</v>
      </c>
      <c r="B133" s="81" t="str">
        <f t="shared" si="22"/>
        <v>158</v>
      </c>
      <c r="C133" s="82"/>
      <c r="D133" s="83" t="s">
        <v>97</v>
      </c>
      <c r="E133" s="84">
        <v>2016</v>
      </c>
      <c r="F133" s="83">
        <v>45</v>
      </c>
      <c r="G133" s="83">
        <v>11</v>
      </c>
      <c r="H133" s="84">
        <f t="shared" si="18"/>
        <v>34</v>
      </c>
      <c r="I133" s="83">
        <v>1062</v>
      </c>
      <c r="J133" s="83">
        <v>70</v>
      </c>
      <c r="K133" s="96">
        <f t="shared" si="14"/>
        <v>992</v>
      </c>
      <c r="L133" s="97">
        <f t="shared" si="19"/>
        <v>15.714285714285714</v>
      </c>
      <c r="M133" s="98">
        <f t="shared" si="20"/>
        <v>3.4274193548387095</v>
      </c>
    </row>
    <row r="134" spans="1:13" x14ac:dyDescent="0.25">
      <c r="A134" t="str">
        <f t="shared" si="17"/>
        <v>3159</v>
      </c>
      <c r="B134" s="87" t="str">
        <f t="shared" si="22"/>
        <v>159</v>
      </c>
      <c r="C134" s="88"/>
      <c r="D134" s="89" t="s">
        <v>98</v>
      </c>
      <c r="E134" s="90">
        <v>2016</v>
      </c>
      <c r="F134" s="89">
        <v>144</v>
      </c>
      <c r="G134" s="89">
        <v>44</v>
      </c>
      <c r="H134" s="90">
        <f t="shared" si="18"/>
        <v>100</v>
      </c>
      <c r="I134" s="89">
        <v>3134</v>
      </c>
      <c r="J134" s="89">
        <v>202</v>
      </c>
      <c r="K134" s="93">
        <f t="shared" si="14"/>
        <v>2932</v>
      </c>
      <c r="L134" s="99">
        <f t="shared" si="19"/>
        <v>21.782178217821784</v>
      </c>
      <c r="M134" s="100">
        <f t="shared" si="20"/>
        <v>3.4106412005457027</v>
      </c>
    </row>
    <row r="135" spans="1:13" x14ac:dyDescent="0.25">
      <c r="A135" t="str">
        <f t="shared" si="17"/>
        <v>32 H</v>
      </c>
      <c r="B135" s="81" t="str">
        <f t="shared" si="22"/>
        <v>2 H</v>
      </c>
      <c r="C135" s="82"/>
      <c r="D135" s="83" t="s">
        <v>99</v>
      </c>
      <c r="E135" s="84">
        <v>2016</v>
      </c>
      <c r="F135" s="83">
        <v>1016</v>
      </c>
      <c r="G135" s="83">
        <v>258</v>
      </c>
      <c r="H135" s="84">
        <f t="shared" ref="H135:H161" si="23">F135-G135</f>
        <v>758</v>
      </c>
      <c r="I135" s="83">
        <v>21466</v>
      </c>
      <c r="J135" s="83">
        <v>1897</v>
      </c>
      <c r="K135" s="96">
        <f t="shared" ref="K135:K198" si="24">I135-J135</f>
        <v>19569</v>
      </c>
      <c r="L135" s="97">
        <f t="shared" ref="L135:L161" si="25">G135/J135*100</f>
        <v>13.600421718502901</v>
      </c>
      <c r="M135" s="98">
        <f t="shared" ref="M135:M161" si="26">H135/K135*100</f>
        <v>3.8734733507077519</v>
      </c>
    </row>
    <row r="136" spans="1:13" x14ac:dyDescent="0.25">
      <c r="A136" t="str">
        <f t="shared" si="17"/>
        <v>3241</v>
      </c>
      <c r="B136" s="87" t="str">
        <f t="shared" si="22"/>
        <v>241</v>
      </c>
      <c r="C136" s="88"/>
      <c r="D136" s="89" t="s">
        <v>100</v>
      </c>
      <c r="E136" s="90">
        <v>2016</v>
      </c>
      <c r="F136" s="89">
        <v>547</v>
      </c>
      <c r="G136" s="89">
        <v>173</v>
      </c>
      <c r="H136" s="90">
        <f t="shared" si="23"/>
        <v>374</v>
      </c>
      <c r="I136" s="89">
        <v>11010</v>
      </c>
      <c r="J136" s="89">
        <v>1252</v>
      </c>
      <c r="K136" s="93">
        <f t="shared" si="24"/>
        <v>9758</v>
      </c>
      <c r="L136" s="99">
        <f t="shared" si="25"/>
        <v>13.817891373801917</v>
      </c>
      <c r="M136" s="100">
        <f t="shared" si="26"/>
        <v>3.8327526132404177</v>
      </c>
    </row>
    <row r="137" spans="1:13" x14ac:dyDescent="0.25">
      <c r="A137" t="str">
        <f t="shared" si="17"/>
        <v>3241001</v>
      </c>
      <c r="B137" s="81" t="str">
        <f>LEFT(D137,LEN(D128)-(LEN(D128)-6))</f>
        <v>241001</v>
      </c>
      <c r="C137" s="82"/>
      <c r="D137" s="83" t="s">
        <v>101</v>
      </c>
      <c r="E137" s="84">
        <v>2016</v>
      </c>
      <c r="F137" s="83">
        <v>268</v>
      </c>
      <c r="G137" s="83">
        <v>105</v>
      </c>
      <c r="H137" s="84">
        <f t="shared" si="23"/>
        <v>163</v>
      </c>
      <c r="I137" s="83">
        <v>4523</v>
      </c>
      <c r="J137" s="83">
        <v>706</v>
      </c>
      <c r="K137" s="96">
        <f t="shared" si="24"/>
        <v>3817</v>
      </c>
      <c r="L137" s="97">
        <f t="shared" si="25"/>
        <v>14.872521246458922</v>
      </c>
      <c r="M137" s="98">
        <f t="shared" si="26"/>
        <v>4.2703694000523971</v>
      </c>
    </row>
    <row r="138" spans="1:13" x14ac:dyDescent="0.25">
      <c r="A138" t="str">
        <f t="shared" si="17"/>
        <v>3241999</v>
      </c>
      <c r="B138" s="87" t="str">
        <f>LEFT(D138,LEN(D129)-(LEN(D129)-6))</f>
        <v>241999</v>
      </c>
      <c r="C138" s="88"/>
      <c r="D138" s="89" t="s">
        <v>179</v>
      </c>
      <c r="E138" s="90">
        <v>2016</v>
      </c>
      <c r="F138" s="90">
        <f>F136-F137</f>
        <v>279</v>
      </c>
      <c r="G138" s="90">
        <f>G136-G137</f>
        <v>68</v>
      </c>
      <c r="H138" s="90">
        <f t="shared" si="23"/>
        <v>211</v>
      </c>
      <c r="I138" s="90">
        <f>I136-I137</f>
        <v>6487</v>
      </c>
      <c r="J138" s="90">
        <f>J136-J137</f>
        <v>546</v>
      </c>
      <c r="K138" s="93">
        <f t="shared" si="24"/>
        <v>5941</v>
      </c>
      <c r="L138" s="99">
        <f t="shared" si="25"/>
        <v>12.454212454212454</v>
      </c>
      <c r="M138" s="100">
        <f t="shared" si="26"/>
        <v>3.5515906413061771</v>
      </c>
    </row>
    <row r="139" spans="1:13" x14ac:dyDescent="0.25">
      <c r="A139" t="str">
        <f t="shared" si="17"/>
        <v>3251</v>
      </c>
      <c r="B139" s="81" t="str">
        <f t="shared" ref="B139:B144" si="27">LEFT(D139,LEN(D130)-(LEN(D130)-3))</f>
        <v>251</v>
      </c>
      <c r="C139" s="82"/>
      <c r="D139" s="83" t="s">
        <v>102</v>
      </c>
      <c r="E139" s="84">
        <v>2016</v>
      </c>
      <c r="F139" s="83">
        <v>81</v>
      </c>
      <c r="G139" s="83">
        <v>13</v>
      </c>
      <c r="H139" s="84">
        <f t="shared" si="23"/>
        <v>68</v>
      </c>
      <c r="I139" s="83">
        <v>2469</v>
      </c>
      <c r="J139" s="83">
        <v>138</v>
      </c>
      <c r="K139" s="96">
        <f t="shared" si="24"/>
        <v>2331</v>
      </c>
      <c r="L139" s="97">
        <f t="shared" si="25"/>
        <v>9.4202898550724647</v>
      </c>
      <c r="M139" s="98">
        <f t="shared" si="26"/>
        <v>2.9172029172029172</v>
      </c>
    </row>
    <row r="140" spans="1:13" x14ac:dyDescent="0.25">
      <c r="A140" t="str">
        <f t="shared" si="17"/>
        <v>3252</v>
      </c>
      <c r="B140" s="87" t="str">
        <f t="shared" si="27"/>
        <v>252</v>
      </c>
      <c r="C140" s="88"/>
      <c r="D140" s="89" t="s">
        <v>103</v>
      </c>
      <c r="E140" s="90">
        <v>2016</v>
      </c>
      <c r="F140" s="89">
        <v>60</v>
      </c>
      <c r="G140" s="89">
        <v>15</v>
      </c>
      <c r="H140" s="90">
        <f t="shared" si="23"/>
        <v>45</v>
      </c>
      <c r="I140" s="89">
        <v>1549</v>
      </c>
      <c r="J140" s="89">
        <v>132</v>
      </c>
      <c r="K140" s="93">
        <f t="shared" si="24"/>
        <v>1417</v>
      </c>
      <c r="L140" s="99">
        <f t="shared" si="25"/>
        <v>11.363636363636363</v>
      </c>
      <c r="M140" s="100">
        <f t="shared" si="26"/>
        <v>3.1757233592095977</v>
      </c>
    </row>
    <row r="141" spans="1:13" x14ac:dyDescent="0.25">
      <c r="A141" t="str">
        <f t="shared" si="17"/>
        <v>3254</v>
      </c>
      <c r="B141" s="81" t="str">
        <f t="shared" si="27"/>
        <v>254</v>
      </c>
      <c r="C141" s="82"/>
      <c r="D141" s="83" t="s">
        <v>104</v>
      </c>
      <c r="E141" s="84">
        <v>2016</v>
      </c>
      <c r="F141" s="83">
        <v>179</v>
      </c>
      <c r="G141" s="83">
        <v>32</v>
      </c>
      <c r="H141" s="84">
        <f t="shared" si="23"/>
        <v>147</v>
      </c>
      <c r="I141" s="83">
        <v>2907</v>
      </c>
      <c r="J141" s="83">
        <v>137</v>
      </c>
      <c r="K141" s="96">
        <f t="shared" si="24"/>
        <v>2770</v>
      </c>
      <c r="L141" s="97">
        <f t="shared" si="25"/>
        <v>23.357664233576642</v>
      </c>
      <c r="M141" s="98">
        <f t="shared" si="26"/>
        <v>5.3068592057761732</v>
      </c>
    </row>
    <row r="142" spans="1:13" x14ac:dyDescent="0.25">
      <c r="A142" t="str">
        <f t="shared" si="17"/>
        <v>3255</v>
      </c>
      <c r="B142" s="87" t="str">
        <f t="shared" si="27"/>
        <v>255</v>
      </c>
      <c r="C142" s="88"/>
      <c r="D142" s="89" t="s">
        <v>105</v>
      </c>
      <c r="E142" s="90">
        <v>2016</v>
      </c>
      <c r="F142" s="89">
        <v>23</v>
      </c>
      <c r="G142" s="89">
        <v>2</v>
      </c>
      <c r="H142" s="90">
        <f t="shared" si="23"/>
        <v>21</v>
      </c>
      <c r="I142" s="89">
        <v>571</v>
      </c>
      <c r="J142" s="89">
        <v>50</v>
      </c>
      <c r="K142" s="93">
        <f t="shared" si="24"/>
        <v>521</v>
      </c>
      <c r="L142" s="99">
        <f t="shared" si="25"/>
        <v>4</v>
      </c>
      <c r="M142" s="100">
        <f t="shared" si="26"/>
        <v>4.0307101727447217</v>
      </c>
    </row>
    <row r="143" spans="1:13" x14ac:dyDescent="0.25">
      <c r="A143" t="str">
        <f t="shared" si="17"/>
        <v>3256</v>
      </c>
      <c r="B143" s="81" t="str">
        <f t="shared" si="27"/>
        <v>256</v>
      </c>
      <c r="C143" s="82"/>
      <c r="D143" s="83" t="s">
        <v>106</v>
      </c>
      <c r="E143" s="84">
        <v>2016</v>
      </c>
      <c r="F143" s="83">
        <v>62</v>
      </c>
      <c r="G143" s="83">
        <v>16</v>
      </c>
      <c r="H143" s="84">
        <f t="shared" si="23"/>
        <v>46</v>
      </c>
      <c r="I143" s="83">
        <v>1336</v>
      </c>
      <c r="J143" s="83">
        <v>74</v>
      </c>
      <c r="K143" s="96">
        <f t="shared" si="24"/>
        <v>1262</v>
      </c>
      <c r="L143" s="97">
        <f t="shared" si="25"/>
        <v>21.621621621621621</v>
      </c>
      <c r="M143" s="98">
        <f t="shared" si="26"/>
        <v>3.6450079239302693</v>
      </c>
    </row>
    <row r="144" spans="1:13" x14ac:dyDescent="0.25">
      <c r="A144" t="str">
        <f t="shared" si="17"/>
        <v>3257</v>
      </c>
      <c r="B144" s="87" t="str">
        <f t="shared" si="27"/>
        <v>257</v>
      </c>
      <c r="C144" s="88"/>
      <c r="D144" s="89" t="s">
        <v>107</v>
      </c>
      <c r="E144" s="90">
        <v>2016</v>
      </c>
      <c r="F144" s="89">
        <v>64</v>
      </c>
      <c r="G144" s="89">
        <v>7</v>
      </c>
      <c r="H144" s="90">
        <f t="shared" si="23"/>
        <v>57</v>
      </c>
      <c r="I144" s="89">
        <v>1624</v>
      </c>
      <c r="J144" s="89">
        <v>114</v>
      </c>
      <c r="K144" s="93">
        <f t="shared" si="24"/>
        <v>1510</v>
      </c>
      <c r="L144" s="99">
        <f t="shared" si="25"/>
        <v>6.140350877192982</v>
      </c>
      <c r="M144" s="100">
        <f t="shared" si="26"/>
        <v>3.7748344370860929</v>
      </c>
    </row>
    <row r="145" spans="1:13" x14ac:dyDescent="0.25">
      <c r="A145" t="str">
        <f t="shared" si="17"/>
        <v>33</v>
      </c>
      <c r="B145" s="81" t="str">
        <f>LEFT(D145,LEN(D136)-(LEN(D136)-1))</f>
        <v>3</v>
      </c>
      <c r="C145" s="82"/>
      <c r="D145" s="83" t="s">
        <v>108</v>
      </c>
      <c r="E145" s="84">
        <v>2016</v>
      </c>
      <c r="F145" s="83">
        <v>908</v>
      </c>
      <c r="G145" s="83">
        <v>162</v>
      </c>
      <c r="H145" s="84">
        <f t="shared" si="23"/>
        <v>746</v>
      </c>
      <c r="I145" s="83">
        <v>18261</v>
      </c>
      <c r="J145" s="83">
        <v>785</v>
      </c>
      <c r="K145" s="96">
        <f t="shared" si="24"/>
        <v>17476</v>
      </c>
      <c r="L145" s="97">
        <f t="shared" si="25"/>
        <v>20.636942675159236</v>
      </c>
      <c r="M145" s="98">
        <f t="shared" si="26"/>
        <v>4.2687113756008239</v>
      </c>
    </row>
    <row r="146" spans="1:13" x14ac:dyDescent="0.25">
      <c r="A146" t="str">
        <f t="shared" si="17"/>
        <v>3351</v>
      </c>
      <c r="B146" s="87" t="str">
        <f t="shared" ref="B146:B156" si="28">LEFT(D146,LEN(D137)-(LEN(D137)-3))</f>
        <v>351</v>
      </c>
      <c r="C146" s="88"/>
      <c r="D146" s="89" t="s">
        <v>109</v>
      </c>
      <c r="E146" s="90">
        <v>2016</v>
      </c>
      <c r="F146" s="89">
        <v>77</v>
      </c>
      <c r="G146" s="89">
        <v>3</v>
      </c>
      <c r="H146" s="90">
        <f t="shared" si="23"/>
        <v>74</v>
      </c>
      <c r="I146" s="89">
        <v>1628</v>
      </c>
      <c r="J146" s="89">
        <v>65</v>
      </c>
      <c r="K146" s="93">
        <f t="shared" si="24"/>
        <v>1563</v>
      </c>
      <c r="L146" s="99">
        <f t="shared" si="25"/>
        <v>4.6153846153846159</v>
      </c>
      <c r="M146" s="100">
        <f t="shared" si="26"/>
        <v>4.7344849648112604</v>
      </c>
    </row>
    <row r="147" spans="1:13" x14ac:dyDescent="0.25">
      <c r="A147" t="str">
        <f t="shared" si="17"/>
        <v>3352</v>
      </c>
      <c r="B147" s="81" t="str">
        <f t="shared" si="28"/>
        <v>352</v>
      </c>
      <c r="C147" s="82"/>
      <c r="D147" s="83" t="s">
        <v>110</v>
      </c>
      <c r="E147" s="84">
        <v>2016</v>
      </c>
      <c r="F147" s="83">
        <v>142</v>
      </c>
      <c r="G147" s="83">
        <v>27</v>
      </c>
      <c r="H147" s="84">
        <f t="shared" si="23"/>
        <v>115</v>
      </c>
      <c r="I147" s="83">
        <v>2121</v>
      </c>
      <c r="J147" s="83">
        <v>91</v>
      </c>
      <c r="K147" s="96">
        <f t="shared" si="24"/>
        <v>2030</v>
      </c>
      <c r="L147" s="97">
        <f t="shared" si="25"/>
        <v>29.670329670329672</v>
      </c>
      <c r="M147" s="98">
        <f t="shared" si="26"/>
        <v>5.6650246305418719</v>
      </c>
    </row>
    <row r="148" spans="1:13" x14ac:dyDescent="0.25">
      <c r="A148" t="str">
        <f t="shared" ref="A148:A211" si="29">3&amp;B148</f>
        <v>3353</v>
      </c>
      <c r="B148" s="87" t="str">
        <f t="shared" si="28"/>
        <v>353</v>
      </c>
      <c r="C148" s="88"/>
      <c r="D148" s="89" t="s">
        <v>111</v>
      </c>
      <c r="E148" s="90">
        <v>2016</v>
      </c>
      <c r="F148" s="89">
        <v>70</v>
      </c>
      <c r="G148" s="89">
        <v>10</v>
      </c>
      <c r="H148" s="90">
        <f t="shared" si="23"/>
        <v>60</v>
      </c>
      <c r="I148" s="89">
        <v>2547</v>
      </c>
      <c r="J148" s="89">
        <v>94</v>
      </c>
      <c r="K148" s="93">
        <f t="shared" si="24"/>
        <v>2453</v>
      </c>
      <c r="L148" s="99">
        <f t="shared" si="25"/>
        <v>10.638297872340425</v>
      </c>
      <c r="M148" s="100">
        <f t="shared" si="26"/>
        <v>2.445984508764778</v>
      </c>
    </row>
    <row r="149" spans="1:13" x14ac:dyDescent="0.25">
      <c r="A149" t="str">
        <f t="shared" si="29"/>
        <v>3354</v>
      </c>
      <c r="B149" s="81" t="str">
        <f t="shared" si="28"/>
        <v>354</v>
      </c>
      <c r="C149" s="82"/>
      <c r="D149" s="83" t="s">
        <v>112</v>
      </c>
      <c r="E149" s="84">
        <v>2016</v>
      </c>
      <c r="F149" s="83">
        <v>34</v>
      </c>
      <c r="G149" s="83">
        <v>9</v>
      </c>
      <c r="H149" s="84">
        <f t="shared" si="23"/>
        <v>25</v>
      </c>
      <c r="I149" s="83">
        <v>535</v>
      </c>
      <c r="J149" s="83">
        <v>22</v>
      </c>
      <c r="K149" s="96">
        <f t="shared" si="24"/>
        <v>513</v>
      </c>
      <c r="L149" s="97">
        <f t="shared" si="25"/>
        <v>40.909090909090914</v>
      </c>
      <c r="M149" s="98">
        <f t="shared" si="26"/>
        <v>4.8732943469785575</v>
      </c>
    </row>
    <row r="150" spans="1:13" x14ac:dyDescent="0.25">
      <c r="A150" t="str">
        <f t="shared" si="29"/>
        <v>3355</v>
      </c>
      <c r="B150" s="87" t="str">
        <f t="shared" si="28"/>
        <v>355</v>
      </c>
      <c r="C150" s="88"/>
      <c r="D150" s="89" t="s">
        <v>113</v>
      </c>
      <c r="E150" s="90">
        <v>2016</v>
      </c>
      <c r="F150" s="89">
        <v>72</v>
      </c>
      <c r="G150" s="89">
        <v>8</v>
      </c>
      <c r="H150" s="90">
        <f t="shared" si="23"/>
        <v>64</v>
      </c>
      <c r="I150" s="89">
        <v>1956</v>
      </c>
      <c r="J150" s="89">
        <v>72</v>
      </c>
      <c r="K150" s="93">
        <f t="shared" si="24"/>
        <v>1884</v>
      </c>
      <c r="L150" s="99">
        <f t="shared" si="25"/>
        <v>11.111111111111111</v>
      </c>
      <c r="M150" s="100">
        <f t="shared" si="26"/>
        <v>3.397027600849257</v>
      </c>
    </row>
    <row r="151" spans="1:13" x14ac:dyDescent="0.25">
      <c r="A151" t="str">
        <f t="shared" si="29"/>
        <v>3356</v>
      </c>
      <c r="B151" s="81" t="str">
        <f t="shared" si="28"/>
        <v>356</v>
      </c>
      <c r="C151" s="82"/>
      <c r="D151" s="83" t="s">
        <v>114</v>
      </c>
      <c r="E151" s="84">
        <v>2016</v>
      </c>
      <c r="F151" s="83">
        <v>38</v>
      </c>
      <c r="G151" s="83">
        <v>9</v>
      </c>
      <c r="H151" s="84">
        <f t="shared" si="23"/>
        <v>29</v>
      </c>
      <c r="I151" s="83">
        <v>1269</v>
      </c>
      <c r="J151" s="83">
        <v>38</v>
      </c>
      <c r="K151" s="96">
        <f t="shared" si="24"/>
        <v>1231</v>
      </c>
      <c r="L151" s="97">
        <f t="shared" si="25"/>
        <v>23.684210526315788</v>
      </c>
      <c r="M151" s="98">
        <f t="shared" si="26"/>
        <v>2.3558082859463854</v>
      </c>
    </row>
    <row r="152" spans="1:13" x14ac:dyDescent="0.25">
      <c r="A152" t="str">
        <f t="shared" si="29"/>
        <v>3357</v>
      </c>
      <c r="B152" s="87" t="str">
        <f t="shared" si="28"/>
        <v>357</v>
      </c>
      <c r="C152" s="88"/>
      <c r="D152" s="89" t="s">
        <v>115</v>
      </c>
      <c r="E152" s="90">
        <v>2016</v>
      </c>
      <c r="F152" s="89">
        <v>109</v>
      </c>
      <c r="G152" s="89">
        <v>20</v>
      </c>
      <c r="H152" s="90">
        <f t="shared" si="23"/>
        <v>89</v>
      </c>
      <c r="I152" s="89">
        <v>1960</v>
      </c>
      <c r="J152" s="89">
        <v>81</v>
      </c>
      <c r="K152" s="93">
        <f t="shared" si="24"/>
        <v>1879</v>
      </c>
      <c r="L152" s="99">
        <f t="shared" si="25"/>
        <v>24.691358024691358</v>
      </c>
      <c r="M152" s="100">
        <f t="shared" si="26"/>
        <v>4.7365620010643958</v>
      </c>
    </row>
    <row r="153" spans="1:13" x14ac:dyDescent="0.25">
      <c r="A153" t="str">
        <f t="shared" si="29"/>
        <v>3358</v>
      </c>
      <c r="B153" s="81" t="str">
        <f t="shared" si="28"/>
        <v>358</v>
      </c>
      <c r="C153" s="82"/>
      <c r="D153" s="83" t="s">
        <v>116</v>
      </c>
      <c r="E153" s="84">
        <v>2016</v>
      </c>
      <c r="F153" s="83">
        <v>111</v>
      </c>
      <c r="G153" s="83">
        <v>13</v>
      </c>
      <c r="H153" s="84">
        <f t="shared" si="23"/>
        <v>98</v>
      </c>
      <c r="I153" s="83">
        <v>1548</v>
      </c>
      <c r="J153" s="83">
        <v>53</v>
      </c>
      <c r="K153" s="96">
        <f t="shared" si="24"/>
        <v>1495</v>
      </c>
      <c r="L153" s="97">
        <f t="shared" si="25"/>
        <v>24.528301886792452</v>
      </c>
      <c r="M153" s="98">
        <f t="shared" si="26"/>
        <v>6.5551839464882935</v>
      </c>
    </row>
    <row r="154" spans="1:13" x14ac:dyDescent="0.25">
      <c r="A154" t="str">
        <f t="shared" si="29"/>
        <v>3359</v>
      </c>
      <c r="B154" s="87" t="str">
        <f t="shared" si="28"/>
        <v>359</v>
      </c>
      <c r="C154" s="88"/>
      <c r="D154" s="89" t="s">
        <v>117</v>
      </c>
      <c r="E154" s="90">
        <v>2016</v>
      </c>
      <c r="F154" s="89">
        <v>148</v>
      </c>
      <c r="G154" s="89">
        <v>43</v>
      </c>
      <c r="H154" s="90">
        <f t="shared" si="23"/>
        <v>105</v>
      </c>
      <c r="I154" s="89">
        <v>2216</v>
      </c>
      <c r="J154" s="89">
        <v>117</v>
      </c>
      <c r="K154" s="93">
        <f t="shared" si="24"/>
        <v>2099</v>
      </c>
      <c r="L154" s="99">
        <f t="shared" si="25"/>
        <v>36.752136752136757</v>
      </c>
      <c r="M154" s="100">
        <f t="shared" si="26"/>
        <v>5.0023820867079563</v>
      </c>
    </row>
    <row r="155" spans="1:13" x14ac:dyDescent="0.25">
      <c r="A155" t="str">
        <f t="shared" si="29"/>
        <v>3360</v>
      </c>
      <c r="B155" s="81" t="str">
        <f t="shared" si="28"/>
        <v>360</v>
      </c>
      <c r="C155" s="82"/>
      <c r="D155" s="83" t="s">
        <v>118</v>
      </c>
      <c r="E155" s="84">
        <v>2016</v>
      </c>
      <c r="F155" s="83">
        <v>45</v>
      </c>
      <c r="G155" s="83">
        <v>6</v>
      </c>
      <c r="H155" s="84">
        <f t="shared" si="23"/>
        <v>39</v>
      </c>
      <c r="I155" s="83">
        <v>1019</v>
      </c>
      <c r="J155" s="83">
        <v>16</v>
      </c>
      <c r="K155" s="96">
        <f t="shared" si="24"/>
        <v>1003</v>
      </c>
      <c r="L155" s="97">
        <f t="shared" si="25"/>
        <v>37.5</v>
      </c>
      <c r="M155" s="98">
        <f t="shared" si="26"/>
        <v>3.8883349950149553</v>
      </c>
    </row>
    <row r="156" spans="1:13" x14ac:dyDescent="0.25">
      <c r="A156" t="str">
        <f t="shared" si="29"/>
        <v>3361</v>
      </c>
      <c r="B156" s="87" t="str">
        <f t="shared" si="28"/>
        <v>361</v>
      </c>
      <c r="C156" s="88"/>
      <c r="D156" s="89" t="s">
        <v>119</v>
      </c>
      <c r="E156" s="90">
        <v>2016</v>
      </c>
      <c r="F156" s="89">
        <v>62</v>
      </c>
      <c r="G156" s="89">
        <v>14</v>
      </c>
      <c r="H156" s="90">
        <f t="shared" si="23"/>
        <v>48</v>
      </c>
      <c r="I156" s="89">
        <v>1462</v>
      </c>
      <c r="J156" s="89">
        <v>136</v>
      </c>
      <c r="K156" s="93">
        <f t="shared" si="24"/>
        <v>1326</v>
      </c>
      <c r="L156" s="99">
        <f t="shared" si="25"/>
        <v>10.294117647058822</v>
      </c>
      <c r="M156" s="100">
        <f t="shared" si="26"/>
        <v>3.6199095022624439</v>
      </c>
    </row>
    <row r="157" spans="1:13" x14ac:dyDescent="0.25">
      <c r="A157" t="str">
        <f t="shared" si="29"/>
        <v>34</v>
      </c>
      <c r="B157" s="81" t="str">
        <f>LEFT(D157,LEN(D148)-(LEN(D148)-1))</f>
        <v>4</v>
      </c>
      <c r="C157" s="82"/>
      <c r="D157" s="83" t="s">
        <v>120</v>
      </c>
      <c r="E157" s="84">
        <v>2016</v>
      </c>
      <c r="F157" s="83">
        <v>1635</v>
      </c>
      <c r="G157" s="83">
        <v>289</v>
      </c>
      <c r="H157" s="84">
        <f t="shared" si="23"/>
        <v>1346</v>
      </c>
      <c r="I157" s="83">
        <v>28567</v>
      </c>
      <c r="J157" s="83">
        <v>1484</v>
      </c>
      <c r="K157" s="96">
        <f t="shared" si="24"/>
        <v>27083</v>
      </c>
      <c r="L157" s="97">
        <f t="shared" si="25"/>
        <v>19.474393530997304</v>
      </c>
      <c r="M157" s="98">
        <f t="shared" si="26"/>
        <v>4.9699073219362697</v>
      </c>
    </row>
    <row r="158" spans="1:13" x14ac:dyDescent="0.25">
      <c r="A158" t="str">
        <f t="shared" si="29"/>
        <v>3401</v>
      </c>
      <c r="B158" s="87" t="str">
        <f t="shared" ref="B158:B174" si="30">LEFT(D158,LEN(D149)-(LEN(D149)-3))</f>
        <v>401</v>
      </c>
      <c r="C158" s="88"/>
      <c r="D158" s="89" t="s">
        <v>121</v>
      </c>
      <c r="E158" s="90">
        <v>2016</v>
      </c>
      <c r="F158" s="89">
        <v>48</v>
      </c>
      <c r="G158" s="89">
        <v>12</v>
      </c>
      <c r="H158" s="90">
        <f t="shared" si="23"/>
        <v>36</v>
      </c>
      <c r="I158" s="89">
        <v>879</v>
      </c>
      <c r="J158" s="89">
        <v>142</v>
      </c>
      <c r="K158" s="93">
        <f t="shared" si="24"/>
        <v>737</v>
      </c>
      <c r="L158" s="99">
        <f t="shared" si="25"/>
        <v>8.4507042253521121</v>
      </c>
      <c r="M158" s="100">
        <f t="shared" si="26"/>
        <v>4.8846675712347354</v>
      </c>
    </row>
    <row r="159" spans="1:13" x14ac:dyDescent="0.25">
      <c r="A159" t="str">
        <f t="shared" si="29"/>
        <v>3402</v>
      </c>
      <c r="B159" s="81" t="str">
        <f t="shared" si="30"/>
        <v>402</v>
      </c>
      <c r="C159" s="82"/>
      <c r="D159" s="83" t="s">
        <v>122</v>
      </c>
      <c r="E159" s="84">
        <v>2016</v>
      </c>
      <c r="F159" s="83">
        <v>43</v>
      </c>
      <c r="G159" s="83">
        <v>9</v>
      </c>
      <c r="H159" s="84">
        <f t="shared" si="23"/>
        <v>34</v>
      </c>
      <c r="I159" s="83">
        <v>550</v>
      </c>
      <c r="J159" s="83">
        <v>13</v>
      </c>
      <c r="K159" s="96">
        <f t="shared" si="24"/>
        <v>537</v>
      </c>
      <c r="L159" s="97">
        <f t="shared" si="25"/>
        <v>69.230769230769226</v>
      </c>
      <c r="M159" s="98">
        <f t="shared" si="26"/>
        <v>6.3314711359404097</v>
      </c>
    </row>
    <row r="160" spans="1:13" x14ac:dyDescent="0.25">
      <c r="A160" t="str">
        <f t="shared" si="29"/>
        <v>3403</v>
      </c>
      <c r="B160" s="87" t="str">
        <f t="shared" si="30"/>
        <v>403</v>
      </c>
      <c r="C160" s="88"/>
      <c r="D160" s="89" t="s">
        <v>123</v>
      </c>
      <c r="E160" s="90">
        <v>2016</v>
      </c>
      <c r="F160" s="89">
        <v>100</v>
      </c>
      <c r="G160" s="89">
        <v>13</v>
      </c>
      <c r="H160" s="90">
        <f t="shared" si="23"/>
        <v>87</v>
      </c>
      <c r="I160" s="89">
        <v>1919</v>
      </c>
      <c r="J160" s="89">
        <v>103</v>
      </c>
      <c r="K160" s="93">
        <f t="shared" si="24"/>
        <v>1816</v>
      </c>
      <c r="L160" s="99">
        <f t="shared" si="25"/>
        <v>12.621359223300971</v>
      </c>
      <c r="M160" s="100">
        <f t="shared" si="26"/>
        <v>4.7907488986784141</v>
      </c>
    </row>
    <row r="161" spans="1:13" x14ac:dyDescent="0.25">
      <c r="A161" t="str">
        <f t="shared" si="29"/>
        <v>3404</v>
      </c>
      <c r="B161" s="81" t="str">
        <f t="shared" si="30"/>
        <v>404</v>
      </c>
      <c r="C161" s="82"/>
      <c r="D161" s="83" t="s">
        <v>124</v>
      </c>
      <c r="E161" s="84">
        <v>2016</v>
      </c>
      <c r="F161" s="83">
        <v>111</v>
      </c>
      <c r="G161" s="83">
        <v>23</v>
      </c>
      <c r="H161" s="84">
        <f t="shared" si="23"/>
        <v>88</v>
      </c>
      <c r="I161" s="83">
        <v>2220</v>
      </c>
      <c r="J161" s="83">
        <v>170</v>
      </c>
      <c r="K161" s="96">
        <f t="shared" si="24"/>
        <v>2050</v>
      </c>
      <c r="L161" s="97">
        <f t="shared" si="25"/>
        <v>13.529411764705882</v>
      </c>
      <c r="M161" s="98">
        <f t="shared" si="26"/>
        <v>4.2926829268292686</v>
      </c>
    </row>
    <row r="162" spans="1:13" x14ac:dyDescent="0.25">
      <c r="A162" t="str">
        <f t="shared" si="29"/>
        <v>3405</v>
      </c>
      <c r="B162" s="87" t="str">
        <f t="shared" si="30"/>
        <v>405</v>
      </c>
      <c r="C162" s="88"/>
      <c r="D162" s="89" t="s">
        <v>125</v>
      </c>
      <c r="E162" s="90">
        <v>2016</v>
      </c>
      <c r="F162" s="89">
        <v>21</v>
      </c>
      <c r="G162" s="89" t="s">
        <v>84</v>
      </c>
      <c r="H162" s="90" t="s">
        <v>84</v>
      </c>
      <c r="I162" s="89">
        <v>700</v>
      </c>
      <c r="J162" s="89">
        <v>29</v>
      </c>
      <c r="K162" s="93">
        <f t="shared" si="24"/>
        <v>671</v>
      </c>
      <c r="L162" s="101" t="s">
        <v>84</v>
      </c>
      <c r="M162" s="102" t="s">
        <v>84</v>
      </c>
    </row>
    <row r="163" spans="1:13" x14ac:dyDescent="0.25">
      <c r="A163" t="str">
        <f t="shared" si="29"/>
        <v>3451</v>
      </c>
      <c r="B163" s="81" t="str">
        <f t="shared" si="30"/>
        <v>451</v>
      </c>
      <c r="C163" s="82"/>
      <c r="D163" s="83" t="s">
        <v>126</v>
      </c>
      <c r="E163" s="84">
        <v>2016</v>
      </c>
      <c r="F163" s="83">
        <v>50</v>
      </c>
      <c r="G163" s="83">
        <v>4</v>
      </c>
      <c r="H163" s="84">
        <f t="shared" ref="H163:H194" si="31">F163-G163</f>
        <v>46</v>
      </c>
      <c r="I163" s="83">
        <v>1315</v>
      </c>
      <c r="J163" s="83">
        <v>26</v>
      </c>
      <c r="K163" s="96">
        <f t="shared" si="24"/>
        <v>1289</v>
      </c>
      <c r="L163" s="103">
        <f t="shared" ref="L163:L194" si="32">G163/J163*100</f>
        <v>15.384615384615385</v>
      </c>
      <c r="M163" s="104">
        <f t="shared" ref="M163:M194" si="33">H163/K163*100</f>
        <v>3.5686578743211794</v>
      </c>
    </row>
    <row r="164" spans="1:13" x14ac:dyDescent="0.25">
      <c r="A164" t="str">
        <f t="shared" si="29"/>
        <v>3452</v>
      </c>
      <c r="B164" s="87" t="str">
        <f t="shared" si="30"/>
        <v>452</v>
      </c>
      <c r="C164" s="88"/>
      <c r="D164" s="89" t="s">
        <v>127</v>
      </c>
      <c r="E164" s="90">
        <v>2016</v>
      </c>
      <c r="F164" s="89">
        <v>172</v>
      </c>
      <c r="G164" s="89">
        <v>10</v>
      </c>
      <c r="H164" s="90">
        <f t="shared" si="31"/>
        <v>162</v>
      </c>
      <c r="I164" s="89">
        <v>2167</v>
      </c>
      <c r="J164" s="89">
        <v>41</v>
      </c>
      <c r="K164" s="93">
        <f t="shared" si="24"/>
        <v>2126</v>
      </c>
      <c r="L164" s="99">
        <f t="shared" si="32"/>
        <v>24.390243902439025</v>
      </c>
      <c r="M164" s="100">
        <f t="shared" si="33"/>
        <v>7.6199435559736601</v>
      </c>
    </row>
    <row r="165" spans="1:13" x14ac:dyDescent="0.25">
      <c r="A165" t="str">
        <f t="shared" si="29"/>
        <v>3453</v>
      </c>
      <c r="B165" s="81" t="str">
        <f t="shared" si="30"/>
        <v>453</v>
      </c>
      <c r="C165" s="82"/>
      <c r="D165" s="83" t="s">
        <v>128</v>
      </c>
      <c r="E165" s="84">
        <v>2016</v>
      </c>
      <c r="F165" s="83">
        <v>86</v>
      </c>
      <c r="G165" s="83">
        <v>14</v>
      </c>
      <c r="H165" s="84">
        <f t="shared" si="31"/>
        <v>72</v>
      </c>
      <c r="I165" s="83">
        <v>2059</v>
      </c>
      <c r="J165" s="83">
        <v>75</v>
      </c>
      <c r="K165" s="96">
        <f t="shared" si="24"/>
        <v>1984</v>
      </c>
      <c r="L165" s="97">
        <f t="shared" si="32"/>
        <v>18.666666666666668</v>
      </c>
      <c r="M165" s="98">
        <f t="shared" si="33"/>
        <v>3.6290322580645165</v>
      </c>
    </row>
    <row r="166" spans="1:13" x14ac:dyDescent="0.25">
      <c r="A166" t="str">
        <f t="shared" si="29"/>
        <v>3454</v>
      </c>
      <c r="B166" s="87" t="str">
        <f t="shared" si="30"/>
        <v>454</v>
      </c>
      <c r="C166" s="88"/>
      <c r="D166" s="89" t="s">
        <v>129</v>
      </c>
      <c r="E166" s="90">
        <v>2016</v>
      </c>
      <c r="F166" s="89">
        <v>274</v>
      </c>
      <c r="G166" s="89">
        <v>68</v>
      </c>
      <c r="H166" s="90">
        <f t="shared" si="31"/>
        <v>206</v>
      </c>
      <c r="I166" s="89">
        <v>3867</v>
      </c>
      <c r="J166" s="89">
        <v>181</v>
      </c>
      <c r="K166" s="93">
        <f t="shared" si="24"/>
        <v>3686</v>
      </c>
      <c r="L166" s="99">
        <f t="shared" si="32"/>
        <v>37.569060773480665</v>
      </c>
      <c r="M166" s="100">
        <f t="shared" si="33"/>
        <v>5.588714053174173</v>
      </c>
    </row>
    <row r="167" spans="1:13" x14ac:dyDescent="0.25">
      <c r="A167" t="str">
        <f t="shared" si="29"/>
        <v>3455</v>
      </c>
      <c r="B167" s="81" t="str">
        <f t="shared" si="30"/>
        <v>455</v>
      </c>
      <c r="C167" s="82"/>
      <c r="D167" s="83" t="s">
        <v>130</v>
      </c>
      <c r="E167" s="84">
        <v>2016</v>
      </c>
      <c r="F167" s="83">
        <v>41</v>
      </c>
      <c r="G167" s="83">
        <v>2</v>
      </c>
      <c r="H167" s="84">
        <f t="shared" si="31"/>
        <v>39</v>
      </c>
      <c r="I167" s="83">
        <v>1002</v>
      </c>
      <c r="J167" s="83">
        <v>18</v>
      </c>
      <c r="K167" s="96">
        <f t="shared" si="24"/>
        <v>984</v>
      </c>
      <c r="L167" s="97">
        <f t="shared" si="32"/>
        <v>11.111111111111111</v>
      </c>
      <c r="M167" s="98">
        <f t="shared" si="33"/>
        <v>3.9634146341463414</v>
      </c>
    </row>
    <row r="168" spans="1:13" x14ac:dyDescent="0.25">
      <c r="A168" t="str">
        <f t="shared" si="29"/>
        <v>3456</v>
      </c>
      <c r="B168" s="87" t="str">
        <f t="shared" si="30"/>
        <v>456</v>
      </c>
      <c r="C168" s="88"/>
      <c r="D168" s="89" t="s">
        <v>131</v>
      </c>
      <c r="E168" s="90">
        <v>2016</v>
      </c>
      <c r="F168" s="89">
        <v>97</v>
      </c>
      <c r="G168" s="89">
        <v>20</v>
      </c>
      <c r="H168" s="90">
        <f t="shared" si="31"/>
        <v>77</v>
      </c>
      <c r="I168" s="89">
        <v>1649</v>
      </c>
      <c r="J168" s="89">
        <v>135</v>
      </c>
      <c r="K168" s="93">
        <f t="shared" si="24"/>
        <v>1514</v>
      </c>
      <c r="L168" s="99">
        <f t="shared" si="32"/>
        <v>14.814814814814813</v>
      </c>
      <c r="M168" s="100">
        <f t="shared" si="33"/>
        <v>5.0858652575957732</v>
      </c>
    </row>
    <row r="169" spans="1:13" x14ac:dyDescent="0.25">
      <c r="A169" t="str">
        <f t="shared" si="29"/>
        <v>3457</v>
      </c>
      <c r="B169" s="81" t="str">
        <f t="shared" si="30"/>
        <v>457</v>
      </c>
      <c r="C169" s="82"/>
      <c r="D169" s="83" t="s">
        <v>132</v>
      </c>
      <c r="E169" s="84">
        <v>2016</v>
      </c>
      <c r="F169" s="83">
        <v>150</v>
      </c>
      <c r="G169" s="83">
        <v>18</v>
      </c>
      <c r="H169" s="84">
        <f t="shared" si="31"/>
        <v>132</v>
      </c>
      <c r="I169" s="83">
        <v>1797</v>
      </c>
      <c r="J169" s="83">
        <v>66</v>
      </c>
      <c r="K169" s="96">
        <f t="shared" si="24"/>
        <v>1731</v>
      </c>
      <c r="L169" s="97">
        <f t="shared" si="32"/>
        <v>27.27272727272727</v>
      </c>
      <c r="M169" s="98">
        <f t="shared" si="33"/>
        <v>7.625649913344887</v>
      </c>
    </row>
    <row r="170" spans="1:13" x14ac:dyDescent="0.25">
      <c r="A170" t="str">
        <f t="shared" si="29"/>
        <v>3458</v>
      </c>
      <c r="B170" s="87" t="str">
        <f t="shared" si="30"/>
        <v>458</v>
      </c>
      <c r="C170" s="88"/>
      <c r="D170" s="89" t="s">
        <v>133</v>
      </c>
      <c r="E170" s="90">
        <v>2016</v>
      </c>
      <c r="F170" s="89">
        <v>74</v>
      </c>
      <c r="G170" s="89">
        <v>10</v>
      </c>
      <c r="H170" s="90">
        <f t="shared" si="31"/>
        <v>64</v>
      </c>
      <c r="I170" s="89">
        <v>1366</v>
      </c>
      <c r="J170" s="89">
        <v>69</v>
      </c>
      <c r="K170" s="93">
        <f t="shared" si="24"/>
        <v>1297</v>
      </c>
      <c r="L170" s="99">
        <f t="shared" si="32"/>
        <v>14.492753623188406</v>
      </c>
      <c r="M170" s="100">
        <f t="shared" si="33"/>
        <v>4.934464148033924</v>
      </c>
    </row>
    <row r="171" spans="1:13" x14ac:dyDescent="0.25">
      <c r="A171" t="str">
        <f t="shared" si="29"/>
        <v>3459</v>
      </c>
      <c r="B171" s="81" t="str">
        <f t="shared" si="30"/>
        <v>459</v>
      </c>
      <c r="C171" s="82"/>
      <c r="D171" s="83" t="s">
        <v>134</v>
      </c>
      <c r="E171" s="84">
        <v>2016</v>
      </c>
      <c r="F171" s="83">
        <v>167</v>
      </c>
      <c r="G171" s="83">
        <v>34</v>
      </c>
      <c r="H171" s="84">
        <f t="shared" si="31"/>
        <v>133</v>
      </c>
      <c r="I171" s="83">
        <v>3324</v>
      </c>
      <c r="J171" s="83">
        <v>181</v>
      </c>
      <c r="K171" s="96">
        <f t="shared" si="24"/>
        <v>3143</v>
      </c>
      <c r="L171" s="97">
        <f t="shared" si="32"/>
        <v>18.784530386740332</v>
      </c>
      <c r="M171" s="98">
        <f t="shared" si="33"/>
        <v>4.231625835189309</v>
      </c>
    </row>
    <row r="172" spans="1:13" x14ac:dyDescent="0.25">
      <c r="A172" t="str">
        <f t="shared" si="29"/>
        <v>3460</v>
      </c>
      <c r="B172" s="87" t="str">
        <f t="shared" si="30"/>
        <v>460</v>
      </c>
      <c r="C172" s="88"/>
      <c r="D172" s="89" t="s">
        <v>135</v>
      </c>
      <c r="E172" s="90">
        <v>2016</v>
      </c>
      <c r="F172" s="89">
        <v>119</v>
      </c>
      <c r="G172" s="89">
        <v>42</v>
      </c>
      <c r="H172" s="90">
        <f t="shared" si="31"/>
        <v>77</v>
      </c>
      <c r="I172" s="89">
        <v>1923</v>
      </c>
      <c r="J172" s="89">
        <v>148</v>
      </c>
      <c r="K172" s="93">
        <f t="shared" si="24"/>
        <v>1775</v>
      </c>
      <c r="L172" s="99">
        <f t="shared" si="32"/>
        <v>28.378378378378379</v>
      </c>
      <c r="M172" s="100">
        <f t="shared" si="33"/>
        <v>4.3380281690140849</v>
      </c>
    </row>
    <row r="173" spans="1:13" x14ac:dyDescent="0.25">
      <c r="A173" t="str">
        <f t="shared" si="29"/>
        <v>3461</v>
      </c>
      <c r="B173" s="81" t="str">
        <f t="shared" si="30"/>
        <v>461</v>
      </c>
      <c r="C173" s="82"/>
      <c r="D173" s="83" t="s">
        <v>136</v>
      </c>
      <c r="E173" s="84">
        <v>2016</v>
      </c>
      <c r="F173" s="83">
        <v>45</v>
      </c>
      <c r="G173" s="83">
        <v>9</v>
      </c>
      <c r="H173" s="84">
        <f t="shared" si="31"/>
        <v>36</v>
      </c>
      <c r="I173" s="83">
        <v>1115</v>
      </c>
      <c r="J173" s="83">
        <v>62</v>
      </c>
      <c r="K173" s="96">
        <f t="shared" si="24"/>
        <v>1053</v>
      </c>
      <c r="L173" s="97">
        <f t="shared" si="32"/>
        <v>14.516129032258066</v>
      </c>
      <c r="M173" s="98">
        <f t="shared" si="33"/>
        <v>3.4188034188034191</v>
      </c>
    </row>
    <row r="174" spans="1:13" x14ac:dyDescent="0.25">
      <c r="A174" t="str">
        <f t="shared" si="29"/>
        <v>3462</v>
      </c>
      <c r="B174" s="87" t="str">
        <f t="shared" si="30"/>
        <v>462</v>
      </c>
      <c r="C174" s="88"/>
      <c r="D174" s="89" t="s">
        <v>137</v>
      </c>
      <c r="E174" s="90">
        <v>2016</v>
      </c>
      <c r="F174" s="89">
        <v>37</v>
      </c>
      <c r="G174" s="89">
        <v>1</v>
      </c>
      <c r="H174" s="90">
        <f t="shared" si="31"/>
        <v>36</v>
      </c>
      <c r="I174" s="89">
        <v>715</v>
      </c>
      <c r="J174" s="89">
        <v>25</v>
      </c>
      <c r="K174" s="93">
        <f t="shared" si="24"/>
        <v>690</v>
      </c>
      <c r="L174" s="99">
        <f t="shared" si="32"/>
        <v>4</v>
      </c>
      <c r="M174" s="100">
        <f t="shared" si="33"/>
        <v>5.2173913043478262</v>
      </c>
    </row>
    <row r="175" spans="1:13" x14ac:dyDescent="0.25">
      <c r="A175" t="str">
        <f t="shared" si="29"/>
        <v>30</v>
      </c>
      <c r="B175" s="81" t="str">
        <f t="shared" ref="B175:B176" si="34">LEFT(D175,LEN(D166)-(LEN(D166)-1))</f>
        <v>0</v>
      </c>
      <c r="C175" s="82"/>
      <c r="D175" s="83" t="s">
        <v>82</v>
      </c>
      <c r="E175" s="84">
        <v>2017</v>
      </c>
      <c r="F175" s="83">
        <v>4830</v>
      </c>
      <c r="G175" s="83">
        <v>1310</v>
      </c>
      <c r="H175" s="84">
        <f t="shared" si="31"/>
        <v>3520</v>
      </c>
      <c r="I175" s="83">
        <v>82433</v>
      </c>
      <c r="J175" s="83">
        <v>5715</v>
      </c>
      <c r="K175" s="96">
        <f t="shared" si="24"/>
        <v>76718</v>
      </c>
      <c r="L175" s="97">
        <f t="shared" si="32"/>
        <v>22.922134733158355</v>
      </c>
      <c r="M175" s="98">
        <f t="shared" si="33"/>
        <v>4.5882322271174951</v>
      </c>
    </row>
    <row r="176" spans="1:13" x14ac:dyDescent="0.25">
      <c r="A176" t="str">
        <f t="shared" si="29"/>
        <v>31</v>
      </c>
      <c r="B176" s="87" t="str">
        <f t="shared" si="34"/>
        <v>1</v>
      </c>
      <c r="C176" s="88"/>
      <c r="D176" s="89" t="s">
        <v>88</v>
      </c>
      <c r="E176" s="90">
        <v>2017</v>
      </c>
      <c r="F176" s="89">
        <v>802</v>
      </c>
      <c r="G176" s="89">
        <v>210</v>
      </c>
      <c r="H176" s="90">
        <f t="shared" si="31"/>
        <v>592</v>
      </c>
      <c r="I176" s="89">
        <v>15401</v>
      </c>
      <c r="J176" s="89">
        <v>1068</v>
      </c>
      <c r="K176" s="93">
        <f t="shared" si="24"/>
        <v>14333</v>
      </c>
      <c r="L176" s="99">
        <f t="shared" si="32"/>
        <v>19.662921348314608</v>
      </c>
      <c r="M176" s="100">
        <f t="shared" si="33"/>
        <v>4.1303286122933089</v>
      </c>
    </row>
    <row r="177" spans="1:13" x14ac:dyDescent="0.25">
      <c r="A177" t="str">
        <f t="shared" si="29"/>
        <v>3101</v>
      </c>
      <c r="B177" s="81" t="str">
        <f t="shared" ref="B177:B188" si="35">LEFT(D177,LEN(D168)-(LEN(D168)-3))</f>
        <v>101</v>
      </c>
      <c r="C177" s="82"/>
      <c r="D177" s="83" t="s">
        <v>89</v>
      </c>
      <c r="E177" s="84">
        <v>2017</v>
      </c>
      <c r="F177" s="83">
        <v>168</v>
      </c>
      <c r="G177" s="83">
        <v>39</v>
      </c>
      <c r="H177" s="84">
        <f t="shared" si="31"/>
        <v>129</v>
      </c>
      <c r="I177" s="83">
        <v>2660</v>
      </c>
      <c r="J177" s="83">
        <v>192</v>
      </c>
      <c r="K177" s="96">
        <f t="shared" si="24"/>
        <v>2468</v>
      </c>
      <c r="L177" s="97">
        <f t="shared" si="32"/>
        <v>20.3125</v>
      </c>
      <c r="M177" s="98">
        <f t="shared" si="33"/>
        <v>5.2269043760129659</v>
      </c>
    </row>
    <row r="178" spans="1:13" x14ac:dyDescent="0.25">
      <c r="A178" t="str">
        <f t="shared" si="29"/>
        <v>3102</v>
      </c>
      <c r="B178" s="87" t="str">
        <f t="shared" si="35"/>
        <v>102</v>
      </c>
      <c r="C178" s="88"/>
      <c r="D178" s="89" t="s">
        <v>90</v>
      </c>
      <c r="E178" s="90">
        <v>2017</v>
      </c>
      <c r="F178" s="89">
        <v>81</v>
      </c>
      <c r="G178" s="89">
        <v>30</v>
      </c>
      <c r="H178" s="90">
        <f t="shared" si="31"/>
        <v>51</v>
      </c>
      <c r="I178" s="89">
        <v>986</v>
      </c>
      <c r="J178" s="89">
        <v>132</v>
      </c>
      <c r="K178" s="93">
        <f t="shared" si="24"/>
        <v>854</v>
      </c>
      <c r="L178" s="99">
        <f t="shared" si="32"/>
        <v>22.727272727272727</v>
      </c>
      <c r="M178" s="100">
        <f t="shared" si="33"/>
        <v>5.9718969555035128</v>
      </c>
    </row>
    <row r="179" spans="1:13" x14ac:dyDescent="0.25">
      <c r="A179" t="str">
        <f t="shared" si="29"/>
        <v>3103</v>
      </c>
      <c r="B179" s="81" t="str">
        <f t="shared" si="35"/>
        <v>103</v>
      </c>
      <c r="C179" s="82"/>
      <c r="D179" s="83" t="s">
        <v>91</v>
      </c>
      <c r="E179" s="84">
        <v>2017</v>
      </c>
      <c r="F179" s="83">
        <v>58</v>
      </c>
      <c r="G179" s="83">
        <v>23</v>
      </c>
      <c r="H179" s="84">
        <f t="shared" si="31"/>
        <v>35</v>
      </c>
      <c r="I179" s="83">
        <v>1389</v>
      </c>
      <c r="J179" s="83">
        <v>139</v>
      </c>
      <c r="K179" s="96">
        <f t="shared" si="24"/>
        <v>1250</v>
      </c>
      <c r="L179" s="97">
        <f t="shared" si="32"/>
        <v>16.546762589928058</v>
      </c>
      <c r="M179" s="98">
        <f t="shared" si="33"/>
        <v>2.8000000000000003</v>
      </c>
    </row>
    <row r="180" spans="1:13" x14ac:dyDescent="0.25">
      <c r="A180" t="str">
        <f t="shared" si="29"/>
        <v>3151</v>
      </c>
      <c r="B180" s="87" t="str">
        <f t="shared" si="35"/>
        <v>151</v>
      </c>
      <c r="C180" s="88"/>
      <c r="D180" s="89" t="s">
        <v>92</v>
      </c>
      <c r="E180" s="90">
        <v>2017</v>
      </c>
      <c r="F180" s="89">
        <v>86</v>
      </c>
      <c r="G180" s="89">
        <v>16</v>
      </c>
      <c r="H180" s="90">
        <f t="shared" si="31"/>
        <v>70</v>
      </c>
      <c r="I180" s="89">
        <v>1617</v>
      </c>
      <c r="J180" s="89">
        <v>90</v>
      </c>
      <c r="K180" s="93">
        <f t="shared" si="24"/>
        <v>1527</v>
      </c>
      <c r="L180" s="99">
        <f t="shared" si="32"/>
        <v>17.777777777777779</v>
      </c>
      <c r="M180" s="100">
        <f t="shared" si="33"/>
        <v>4.5841519318925998</v>
      </c>
    </row>
    <row r="181" spans="1:13" x14ac:dyDescent="0.25">
      <c r="A181" t="str">
        <f t="shared" si="29"/>
        <v>3153</v>
      </c>
      <c r="B181" s="81" t="str">
        <f t="shared" si="35"/>
        <v>153</v>
      </c>
      <c r="C181" s="82"/>
      <c r="D181" s="83" t="s">
        <v>93</v>
      </c>
      <c r="E181" s="84">
        <v>2017</v>
      </c>
      <c r="F181" s="83">
        <v>65</v>
      </c>
      <c r="G181" s="83">
        <v>10</v>
      </c>
      <c r="H181" s="84">
        <f t="shared" si="31"/>
        <v>55</v>
      </c>
      <c r="I181" s="83">
        <v>1245</v>
      </c>
      <c r="J181" s="83">
        <v>91</v>
      </c>
      <c r="K181" s="96">
        <f t="shared" si="24"/>
        <v>1154</v>
      </c>
      <c r="L181" s="97">
        <f t="shared" si="32"/>
        <v>10.989010989010989</v>
      </c>
      <c r="M181" s="98">
        <f t="shared" si="33"/>
        <v>4.7660311958405543</v>
      </c>
    </row>
    <row r="182" spans="1:13" x14ac:dyDescent="0.25">
      <c r="A182" t="str">
        <f t="shared" si="29"/>
        <v>3154</v>
      </c>
      <c r="B182" s="87" t="str">
        <f t="shared" si="35"/>
        <v>154</v>
      </c>
      <c r="C182" s="88"/>
      <c r="D182" s="89" t="s">
        <v>94</v>
      </c>
      <c r="E182" s="90">
        <v>2017</v>
      </c>
      <c r="F182" s="89">
        <v>51</v>
      </c>
      <c r="G182" s="89">
        <v>8</v>
      </c>
      <c r="H182" s="90">
        <f t="shared" si="31"/>
        <v>43</v>
      </c>
      <c r="I182" s="89">
        <v>727</v>
      </c>
      <c r="J182" s="89">
        <v>39</v>
      </c>
      <c r="K182" s="93">
        <f t="shared" si="24"/>
        <v>688</v>
      </c>
      <c r="L182" s="99">
        <f t="shared" si="32"/>
        <v>20.512820512820511</v>
      </c>
      <c r="M182" s="100">
        <f t="shared" si="33"/>
        <v>6.25</v>
      </c>
    </row>
    <row r="183" spans="1:13" x14ac:dyDescent="0.25">
      <c r="A183" t="str">
        <f t="shared" si="29"/>
        <v>3155</v>
      </c>
      <c r="B183" s="81" t="str">
        <f t="shared" si="35"/>
        <v>155</v>
      </c>
      <c r="C183" s="82"/>
      <c r="D183" s="83" t="s">
        <v>95</v>
      </c>
      <c r="E183" s="84">
        <v>2017</v>
      </c>
      <c r="F183" s="83">
        <v>60</v>
      </c>
      <c r="G183" s="83">
        <v>14</v>
      </c>
      <c r="H183" s="84">
        <f t="shared" si="31"/>
        <v>46</v>
      </c>
      <c r="I183" s="83">
        <v>1370</v>
      </c>
      <c r="J183" s="83">
        <v>64</v>
      </c>
      <c r="K183" s="96">
        <f t="shared" si="24"/>
        <v>1306</v>
      </c>
      <c r="L183" s="97">
        <f t="shared" si="32"/>
        <v>21.875</v>
      </c>
      <c r="M183" s="98">
        <f t="shared" si="33"/>
        <v>3.522205206738132</v>
      </c>
    </row>
    <row r="184" spans="1:13" x14ac:dyDescent="0.25">
      <c r="A184" t="str">
        <f t="shared" si="29"/>
        <v>3157</v>
      </c>
      <c r="B184" s="87" t="str">
        <f t="shared" si="35"/>
        <v>157</v>
      </c>
      <c r="C184" s="88"/>
      <c r="D184" s="89" t="s">
        <v>96</v>
      </c>
      <c r="E184" s="90">
        <v>2017</v>
      </c>
      <c r="F184" s="89">
        <v>52</v>
      </c>
      <c r="G184" s="89">
        <v>17</v>
      </c>
      <c r="H184" s="90">
        <f t="shared" si="31"/>
        <v>35</v>
      </c>
      <c r="I184" s="89">
        <v>1406</v>
      </c>
      <c r="J184" s="89">
        <v>105</v>
      </c>
      <c r="K184" s="93">
        <f t="shared" si="24"/>
        <v>1301</v>
      </c>
      <c r="L184" s="99">
        <f t="shared" si="32"/>
        <v>16.19047619047619</v>
      </c>
      <c r="M184" s="100">
        <f t="shared" si="33"/>
        <v>2.6902382782475018</v>
      </c>
    </row>
    <row r="185" spans="1:13" x14ac:dyDescent="0.25">
      <c r="A185" t="str">
        <f t="shared" si="29"/>
        <v>3158</v>
      </c>
      <c r="B185" s="81" t="str">
        <f t="shared" si="35"/>
        <v>158</v>
      </c>
      <c r="C185" s="82"/>
      <c r="D185" s="83" t="s">
        <v>97</v>
      </c>
      <c r="E185" s="84">
        <v>2017</v>
      </c>
      <c r="F185" s="83">
        <v>57</v>
      </c>
      <c r="G185" s="83">
        <v>16</v>
      </c>
      <c r="H185" s="84">
        <f t="shared" si="31"/>
        <v>41</v>
      </c>
      <c r="I185" s="83">
        <v>1033</v>
      </c>
      <c r="J185" s="83">
        <v>53</v>
      </c>
      <c r="K185" s="96">
        <f t="shared" si="24"/>
        <v>980</v>
      </c>
      <c r="L185" s="97">
        <f t="shared" si="32"/>
        <v>30.188679245283019</v>
      </c>
      <c r="M185" s="98">
        <f t="shared" si="33"/>
        <v>4.1836734693877551</v>
      </c>
    </row>
    <row r="186" spans="1:13" x14ac:dyDescent="0.25">
      <c r="A186" t="str">
        <f t="shared" si="29"/>
        <v>3159</v>
      </c>
      <c r="B186" s="87" t="str">
        <f t="shared" si="35"/>
        <v>159</v>
      </c>
      <c r="C186" s="88"/>
      <c r="D186" s="89" t="s">
        <v>98</v>
      </c>
      <c r="E186" s="90">
        <v>2017</v>
      </c>
      <c r="F186" s="89">
        <v>124</v>
      </c>
      <c r="G186" s="89">
        <v>37</v>
      </c>
      <c r="H186" s="90">
        <f t="shared" si="31"/>
        <v>87</v>
      </c>
      <c r="I186" s="89">
        <v>2968</v>
      </c>
      <c r="J186" s="89">
        <v>163</v>
      </c>
      <c r="K186" s="93">
        <f t="shared" si="24"/>
        <v>2805</v>
      </c>
      <c r="L186" s="99">
        <f t="shared" si="32"/>
        <v>22.699386503067483</v>
      </c>
      <c r="M186" s="100">
        <f t="shared" si="33"/>
        <v>3.1016042780748663</v>
      </c>
    </row>
    <row r="187" spans="1:13" x14ac:dyDescent="0.25">
      <c r="A187" t="str">
        <f t="shared" si="29"/>
        <v>32</v>
      </c>
      <c r="B187" s="81">
        <v>2</v>
      </c>
      <c r="C187" s="82"/>
      <c r="D187" s="83" t="s">
        <v>99</v>
      </c>
      <c r="E187" s="84">
        <v>2017</v>
      </c>
      <c r="F187" s="83">
        <v>1107</v>
      </c>
      <c r="G187" s="83">
        <v>368</v>
      </c>
      <c r="H187" s="84">
        <f t="shared" si="31"/>
        <v>739</v>
      </c>
      <c r="I187" s="83">
        <v>21028</v>
      </c>
      <c r="J187" s="83">
        <v>2092</v>
      </c>
      <c r="K187" s="96">
        <f t="shared" si="24"/>
        <v>18936</v>
      </c>
      <c r="L187" s="97">
        <f t="shared" si="32"/>
        <v>17.590822179732314</v>
      </c>
      <c r="M187" s="98">
        <f t="shared" si="33"/>
        <v>3.9026193493874102</v>
      </c>
    </row>
    <row r="188" spans="1:13" x14ac:dyDescent="0.25">
      <c r="A188" t="str">
        <f t="shared" si="29"/>
        <v>3241</v>
      </c>
      <c r="B188" s="87" t="str">
        <f t="shared" si="35"/>
        <v>241</v>
      </c>
      <c r="C188" s="88"/>
      <c r="D188" s="89" t="s">
        <v>100</v>
      </c>
      <c r="E188" s="90">
        <v>2017</v>
      </c>
      <c r="F188" s="89">
        <v>571</v>
      </c>
      <c r="G188" s="89">
        <v>211</v>
      </c>
      <c r="H188" s="90">
        <f t="shared" si="31"/>
        <v>360</v>
      </c>
      <c r="I188" s="89">
        <v>10873</v>
      </c>
      <c r="J188" s="89">
        <v>1401</v>
      </c>
      <c r="K188" s="93">
        <f t="shared" si="24"/>
        <v>9472</v>
      </c>
      <c r="L188" s="99">
        <f t="shared" si="32"/>
        <v>15.060670949321914</v>
      </c>
      <c r="M188" s="100">
        <f t="shared" si="33"/>
        <v>3.8006756756756759</v>
      </c>
    </row>
    <row r="189" spans="1:13" x14ac:dyDescent="0.25">
      <c r="A189" t="str">
        <f t="shared" si="29"/>
        <v>3241001</v>
      </c>
      <c r="B189" s="81" t="str">
        <f>LEFT(D189,LEN(D180)-(LEN(D180)-6))</f>
        <v>241001</v>
      </c>
      <c r="C189" s="82"/>
      <c r="D189" s="83" t="s">
        <v>101</v>
      </c>
      <c r="E189" s="84">
        <v>2017</v>
      </c>
      <c r="F189" s="83">
        <v>303</v>
      </c>
      <c r="G189" s="83">
        <v>129</v>
      </c>
      <c r="H189" s="84">
        <f t="shared" si="31"/>
        <v>174</v>
      </c>
      <c r="I189" s="83">
        <v>4860</v>
      </c>
      <c r="J189" s="83">
        <v>823</v>
      </c>
      <c r="K189" s="96">
        <f t="shared" si="24"/>
        <v>4037</v>
      </c>
      <c r="L189" s="97">
        <f t="shared" si="32"/>
        <v>15.674362089914945</v>
      </c>
      <c r="M189" s="98">
        <f t="shared" si="33"/>
        <v>4.3101312856081249</v>
      </c>
    </row>
    <row r="190" spans="1:13" x14ac:dyDescent="0.25">
      <c r="A190" t="str">
        <f t="shared" si="29"/>
        <v>3241999</v>
      </c>
      <c r="B190" s="87" t="str">
        <f>LEFT(D190,LEN(D181)-(LEN(D181)-6))</f>
        <v>241999</v>
      </c>
      <c r="C190" s="88"/>
      <c r="D190" s="89" t="s">
        <v>179</v>
      </c>
      <c r="E190" s="90">
        <v>2017</v>
      </c>
      <c r="F190" s="90">
        <f>F188-F189</f>
        <v>268</v>
      </c>
      <c r="G190" s="90">
        <f>G188-G189</f>
        <v>82</v>
      </c>
      <c r="H190" s="90">
        <f t="shared" si="31"/>
        <v>186</v>
      </c>
      <c r="I190" s="90">
        <f>I188-I189</f>
        <v>6013</v>
      </c>
      <c r="J190" s="90">
        <f>J188-J189</f>
        <v>578</v>
      </c>
      <c r="K190" s="93">
        <f t="shared" si="24"/>
        <v>5435</v>
      </c>
      <c r="L190" s="99">
        <f t="shared" si="32"/>
        <v>14.186851211072666</v>
      </c>
      <c r="M190" s="100">
        <f t="shared" si="33"/>
        <v>3.4222631094756215</v>
      </c>
    </row>
    <row r="191" spans="1:13" x14ac:dyDescent="0.25">
      <c r="A191" t="str">
        <f t="shared" si="29"/>
        <v>3251</v>
      </c>
      <c r="B191" s="81" t="str">
        <f t="shared" ref="B191:B196" si="36">LEFT(D191,LEN(D182)-(LEN(D182)-3))</f>
        <v>251</v>
      </c>
      <c r="C191" s="82"/>
      <c r="D191" s="83" t="s">
        <v>102</v>
      </c>
      <c r="E191" s="84">
        <v>2017</v>
      </c>
      <c r="F191" s="83">
        <v>97</v>
      </c>
      <c r="G191" s="83">
        <v>31</v>
      </c>
      <c r="H191" s="84">
        <f t="shared" si="31"/>
        <v>66</v>
      </c>
      <c r="I191" s="83">
        <v>2378</v>
      </c>
      <c r="J191" s="83">
        <v>136</v>
      </c>
      <c r="K191" s="96">
        <f t="shared" si="24"/>
        <v>2242</v>
      </c>
      <c r="L191" s="97">
        <f t="shared" si="32"/>
        <v>22.794117647058822</v>
      </c>
      <c r="M191" s="98">
        <f t="shared" si="33"/>
        <v>2.9438001784121322</v>
      </c>
    </row>
    <row r="192" spans="1:13" x14ac:dyDescent="0.25">
      <c r="A192" t="str">
        <f t="shared" si="29"/>
        <v>3252</v>
      </c>
      <c r="B192" s="87" t="str">
        <f t="shared" si="36"/>
        <v>252</v>
      </c>
      <c r="C192" s="88"/>
      <c r="D192" s="89" t="s">
        <v>103</v>
      </c>
      <c r="E192" s="90">
        <v>2017</v>
      </c>
      <c r="F192" s="89">
        <v>75</v>
      </c>
      <c r="G192" s="89">
        <v>18</v>
      </c>
      <c r="H192" s="90">
        <f t="shared" si="31"/>
        <v>57</v>
      </c>
      <c r="I192" s="89">
        <v>1513</v>
      </c>
      <c r="J192" s="89">
        <v>117</v>
      </c>
      <c r="K192" s="93">
        <f t="shared" si="24"/>
        <v>1396</v>
      </c>
      <c r="L192" s="99">
        <f t="shared" si="32"/>
        <v>15.384615384615385</v>
      </c>
      <c r="M192" s="100">
        <f t="shared" si="33"/>
        <v>4.0830945558739256</v>
      </c>
    </row>
    <row r="193" spans="1:13" x14ac:dyDescent="0.25">
      <c r="A193" t="str">
        <f t="shared" si="29"/>
        <v>3254</v>
      </c>
      <c r="B193" s="81" t="str">
        <f t="shared" si="36"/>
        <v>254</v>
      </c>
      <c r="C193" s="82"/>
      <c r="D193" s="83" t="s">
        <v>104</v>
      </c>
      <c r="E193" s="84">
        <v>2017</v>
      </c>
      <c r="F193" s="83">
        <v>185</v>
      </c>
      <c r="G193" s="83">
        <v>46</v>
      </c>
      <c r="H193" s="84">
        <f t="shared" si="31"/>
        <v>139</v>
      </c>
      <c r="I193" s="83">
        <v>2901</v>
      </c>
      <c r="J193" s="83">
        <v>179</v>
      </c>
      <c r="K193" s="96">
        <f t="shared" si="24"/>
        <v>2722</v>
      </c>
      <c r="L193" s="97">
        <f t="shared" si="32"/>
        <v>25.69832402234637</v>
      </c>
      <c r="M193" s="98">
        <f t="shared" si="33"/>
        <v>5.1065393093313736</v>
      </c>
    </row>
    <row r="194" spans="1:13" x14ac:dyDescent="0.25">
      <c r="A194" t="str">
        <f t="shared" si="29"/>
        <v>3255</v>
      </c>
      <c r="B194" s="87" t="str">
        <f t="shared" si="36"/>
        <v>255</v>
      </c>
      <c r="C194" s="88"/>
      <c r="D194" s="89" t="s">
        <v>105</v>
      </c>
      <c r="E194" s="90">
        <v>2017</v>
      </c>
      <c r="F194" s="89">
        <v>27</v>
      </c>
      <c r="G194" s="89">
        <v>2</v>
      </c>
      <c r="H194" s="90">
        <f t="shared" si="31"/>
        <v>25</v>
      </c>
      <c r="I194" s="89">
        <v>517</v>
      </c>
      <c r="J194" s="89">
        <v>39</v>
      </c>
      <c r="K194" s="93">
        <f t="shared" si="24"/>
        <v>478</v>
      </c>
      <c r="L194" s="99">
        <f t="shared" si="32"/>
        <v>5.1282051282051277</v>
      </c>
      <c r="M194" s="100">
        <f t="shared" si="33"/>
        <v>5.2301255230125516</v>
      </c>
    </row>
    <row r="195" spans="1:13" x14ac:dyDescent="0.25">
      <c r="A195" t="str">
        <f t="shared" si="29"/>
        <v>3256</v>
      </c>
      <c r="B195" s="81" t="str">
        <f t="shared" si="36"/>
        <v>256</v>
      </c>
      <c r="C195" s="82"/>
      <c r="D195" s="83" t="s">
        <v>106</v>
      </c>
      <c r="E195" s="84">
        <v>2017</v>
      </c>
      <c r="F195" s="83">
        <v>74</v>
      </c>
      <c r="G195" s="83">
        <v>19</v>
      </c>
      <c r="H195" s="84">
        <f t="shared" ref="H195:H226" si="37">F195-G195</f>
        <v>55</v>
      </c>
      <c r="I195" s="83">
        <v>1228</v>
      </c>
      <c r="J195" s="83">
        <v>69</v>
      </c>
      <c r="K195" s="96">
        <f t="shared" si="24"/>
        <v>1159</v>
      </c>
      <c r="L195" s="97">
        <f t="shared" ref="L195:L226" si="38">G195/J195*100</f>
        <v>27.536231884057973</v>
      </c>
      <c r="M195" s="98">
        <f t="shared" ref="M195:M226" si="39">H195/K195*100</f>
        <v>4.7454702329594483</v>
      </c>
    </row>
    <row r="196" spans="1:13" x14ac:dyDescent="0.25">
      <c r="A196" t="str">
        <f t="shared" si="29"/>
        <v>3257</v>
      </c>
      <c r="B196" s="87" t="str">
        <f t="shared" si="36"/>
        <v>257</v>
      </c>
      <c r="C196" s="88"/>
      <c r="D196" s="89" t="s">
        <v>107</v>
      </c>
      <c r="E196" s="90">
        <v>2017</v>
      </c>
      <c r="F196" s="89">
        <v>78</v>
      </c>
      <c r="G196" s="89">
        <v>41</v>
      </c>
      <c r="H196" s="90">
        <f t="shared" si="37"/>
        <v>37</v>
      </c>
      <c r="I196" s="89">
        <v>1618</v>
      </c>
      <c r="J196" s="89">
        <v>151</v>
      </c>
      <c r="K196" s="93">
        <f t="shared" si="24"/>
        <v>1467</v>
      </c>
      <c r="L196" s="99">
        <f t="shared" si="38"/>
        <v>27.152317880794701</v>
      </c>
      <c r="M196" s="100">
        <f t="shared" si="39"/>
        <v>2.5221540558963871</v>
      </c>
    </row>
    <row r="197" spans="1:13" x14ac:dyDescent="0.25">
      <c r="A197" t="str">
        <f t="shared" si="29"/>
        <v>33</v>
      </c>
      <c r="B197" s="81" t="str">
        <f>LEFT(D197,LEN(D188)-(LEN(D188)-1))</f>
        <v>3</v>
      </c>
      <c r="C197" s="82"/>
      <c r="D197" s="83" t="s">
        <v>108</v>
      </c>
      <c r="E197" s="84">
        <v>2017</v>
      </c>
      <c r="F197" s="83">
        <v>991</v>
      </c>
      <c r="G197" s="83">
        <v>216</v>
      </c>
      <c r="H197" s="84">
        <f t="shared" si="37"/>
        <v>775</v>
      </c>
      <c r="I197" s="83">
        <v>18155</v>
      </c>
      <c r="J197" s="83">
        <v>813</v>
      </c>
      <c r="K197" s="96">
        <f t="shared" si="24"/>
        <v>17342</v>
      </c>
      <c r="L197" s="97">
        <f t="shared" si="38"/>
        <v>26.568265682656829</v>
      </c>
      <c r="M197" s="98">
        <f t="shared" si="39"/>
        <v>4.468919386460616</v>
      </c>
    </row>
    <row r="198" spans="1:13" x14ac:dyDescent="0.25">
      <c r="A198" t="str">
        <f t="shared" si="29"/>
        <v>3351</v>
      </c>
      <c r="B198" s="87" t="str">
        <f t="shared" ref="B198:B208" si="40">LEFT(D198,LEN(D189)-(LEN(D189)-3))</f>
        <v>351</v>
      </c>
      <c r="C198" s="88"/>
      <c r="D198" s="89" t="s">
        <v>109</v>
      </c>
      <c r="E198" s="90">
        <v>2017</v>
      </c>
      <c r="F198" s="89">
        <v>142</v>
      </c>
      <c r="G198" s="89">
        <v>22</v>
      </c>
      <c r="H198" s="90">
        <f t="shared" si="37"/>
        <v>120</v>
      </c>
      <c r="I198" s="89">
        <v>1835</v>
      </c>
      <c r="J198" s="89">
        <v>66</v>
      </c>
      <c r="K198" s="93">
        <f t="shared" si="24"/>
        <v>1769</v>
      </c>
      <c r="L198" s="99">
        <f t="shared" si="38"/>
        <v>33.333333333333329</v>
      </c>
      <c r="M198" s="100">
        <f t="shared" si="39"/>
        <v>6.7834934991520628</v>
      </c>
    </row>
    <row r="199" spans="1:13" x14ac:dyDescent="0.25">
      <c r="A199" t="str">
        <f t="shared" si="29"/>
        <v>3352</v>
      </c>
      <c r="B199" s="81" t="str">
        <f t="shared" si="40"/>
        <v>352</v>
      </c>
      <c r="C199" s="82"/>
      <c r="D199" s="83" t="s">
        <v>110</v>
      </c>
      <c r="E199" s="84">
        <v>2017</v>
      </c>
      <c r="F199" s="83">
        <v>138</v>
      </c>
      <c r="G199" s="83">
        <v>40</v>
      </c>
      <c r="H199" s="84">
        <f t="shared" si="37"/>
        <v>98</v>
      </c>
      <c r="I199" s="83">
        <v>1922</v>
      </c>
      <c r="J199" s="83">
        <v>108</v>
      </c>
      <c r="K199" s="96">
        <f t="shared" ref="K199:K262" si="41">I199-J199</f>
        <v>1814</v>
      </c>
      <c r="L199" s="97">
        <f t="shared" si="38"/>
        <v>37.037037037037038</v>
      </c>
      <c r="M199" s="98">
        <f t="shared" si="39"/>
        <v>5.4024255788313127</v>
      </c>
    </row>
    <row r="200" spans="1:13" x14ac:dyDescent="0.25">
      <c r="A200" t="str">
        <f t="shared" si="29"/>
        <v>3353</v>
      </c>
      <c r="B200" s="87" t="str">
        <f t="shared" si="40"/>
        <v>353</v>
      </c>
      <c r="C200" s="88"/>
      <c r="D200" s="89" t="s">
        <v>111</v>
      </c>
      <c r="E200" s="90">
        <v>2017</v>
      </c>
      <c r="F200" s="89">
        <v>98</v>
      </c>
      <c r="G200" s="89">
        <v>23</v>
      </c>
      <c r="H200" s="90">
        <f t="shared" si="37"/>
        <v>75</v>
      </c>
      <c r="I200" s="89">
        <v>2568</v>
      </c>
      <c r="J200" s="89">
        <v>132</v>
      </c>
      <c r="K200" s="93">
        <f t="shared" si="41"/>
        <v>2436</v>
      </c>
      <c r="L200" s="99">
        <f t="shared" si="38"/>
        <v>17.424242424242426</v>
      </c>
      <c r="M200" s="100">
        <f t="shared" si="39"/>
        <v>3.0788177339901477</v>
      </c>
    </row>
    <row r="201" spans="1:13" x14ac:dyDescent="0.25">
      <c r="A201" t="str">
        <f t="shared" si="29"/>
        <v>3354</v>
      </c>
      <c r="B201" s="81" t="str">
        <f t="shared" si="40"/>
        <v>354</v>
      </c>
      <c r="C201" s="82"/>
      <c r="D201" s="83" t="s">
        <v>112</v>
      </c>
      <c r="E201" s="84">
        <v>2017</v>
      </c>
      <c r="F201" s="83">
        <v>42</v>
      </c>
      <c r="G201" s="83">
        <v>8</v>
      </c>
      <c r="H201" s="84">
        <f t="shared" si="37"/>
        <v>34</v>
      </c>
      <c r="I201" s="83">
        <v>502</v>
      </c>
      <c r="J201" s="83">
        <v>18</v>
      </c>
      <c r="K201" s="96">
        <f t="shared" si="41"/>
        <v>484</v>
      </c>
      <c r="L201" s="97">
        <f t="shared" si="38"/>
        <v>44.444444444444443</v>
      </c>
      <c r="M201" s="98">
        <f t="shared" si="39"/>
        <v>7.0247933884297522</v>
      </c>
    </row>
    <row r="202" spans="1:13" x14ac:dyDescent="0.25">
      <c r="A202" t="str">
        <f t="shared" si="29"/>
        <v>3355</v>
      </c>
      <c r="B202" s="87" t="str">
        <f t="shared" si="40"/>
        <v>355</v>
      </c>
      <c r="C202" s="88"/>
      <c r="D202" s="89" t="s">
        <v>113</v>
      </c>
      <c r="E202" s="90">
        <v>2017</v>
      </c>
      <c r="F202" s="89">
        <v>99</v>
      </c>
      <c r="G202" s="89">
        <v>12</v>
      </c>
      <c r="H202" s="90">
        <f t="shared" si="37"/>
        <v>87</v>
      </c>
      <c r="I202" s="89">
        <v>2013</v>
      </c>
      <c r="J202" s="89">
        <v>94</v>
      </c>
      <c r="K202" s="93">
        <f t="shared" si="41"/>
        <v>1919</v>
      </c>
      <c r="L202" s="99">
        <f t="shared" si="38"/>
        <v>12.76595744680851</v>
      </c>
      <c r="M202" s="100">
        <f t="shared" si="39"/>
        <v>4.5336112558624286</v>
      </c>
    </row>
    <row r="203" spans="1:13" x14ac:dyDescent="0.25">
      <c r="A203" t="str">
        <f t="shared" si="29"/>
        <v>3356</v>
      </c>
      <c r="B203" s="81" t="str">
        <f t="shared" si="40"/>
        <v>356</v>
      </c>
      <c r="C203" s="82"/>
      <c r="D203" s="83" t="s">
        <v>114</v>
      </c>
      <c r="E203" s="84">
        <v>2017</v>
      </c>
      <c r="F203" s="83">
        <v>42</v>
      </c>
      <c r="G203" s="83">
        <v>7</v>
      </c>
      <c r="H203" s="84">
        <f t="shared" si="37"/>
        <v>35</v>
      </c>
      <c r="I203" s="83">
        <v>1164</v>
      </c>
      <c r="J203" s="83">
        <v>48</v>
      </c>
      <c r="K203" s="96">
        <f t="shared" si="41"/>
        <v>1116</v>
      </c>
      <c r="L203" s="97">
        <f t="shared" si="38"/>
        <v>14.583333333333334</v>
      </c>
      <c r="M203" s="98">
        <f t="shared" si="39"/>
        <v>3.1362007168458779</v>
      </c>
    </row>
    <row r="204" spans="1:13" x14ac:dyDescent="0.25">
      <c r="A204" t="str">
        <f t="shared" si="29"/>
        <v>3357</v>
      </c>
      <c r="B204" s="87" t="str">
        <f t="shared" si="40"/>
        <v>357</v>
      </c>
      <c r="C204" s="88"/>
      <c r="D204" s="89" t="s">
        <v>115</v>
      </c>
      <c r="E204" s="90">
        <v>2017</v>
      </c>
      <c r="F204" s="89">
        <v>111</v>
      </c>
      <c r="G204" s="89">
        <v>17</v>
      </c>
      <c r="H204" s="90">
        <f t="shared" si="37"/>
        <v>94</v>
      </c>
      <c r="I204" s="89">
        <v>1983</v>
      </c>
      <c r="J204" s="89">
        <v>70</v>
      </c>
      <c r="K204" s="93">
        <f t="shared" si="41"/>
        <v>1913</v>
      </c>
      <c r="L204" s="99">
        <f t="shared" si="38"/>
        <v>24.285714285714285</v>
      </c>
      <c r="M204" s="100">
        <f t="shared" si="39"/>
        <v>4.9137480397281754</v>
      </c>
    </row>
    <row r="205" spans="1:13" x14ac:dyDescent="0.25">
      <c r="A205" t="str">
        <f t="shared" si="29"/>
        <v>3358</v>
      </c>
      <c r="B205" s="81" t="str">
        <f t="shared" si="40"/>
        <v>358</v>
      </c>
      <c r="C205" s="82"/>
      <c r="D205" s="83" t="s">
        <v>116</v>
      </c>
      <c r="E205" s="84">
        <v>2017</v>
      </c>
      <c r="F205" s="83">
        <v>97</v>
      </c>
      <c r="G205" s="83">
        <v>17</v>
      </c>
      <c r="H205" s="84">
        <f t="shared" si="37"/>
        <v>80</v>
      </c>
      <c r="I205" s="83">
        <v>1548</v>
      </c>
      <c r="J205" s="83">
        <v>60</v>
      </c>
      <c r="K205" s="96">
        <f t="shared" si="41"/>
        <v>1488</v>
      </c>
      <c r="L205" s="97">
        <f t="shared" si="38"/>
        <v>28.333333333333332</v>
      </c>
      <c r="M205" s="98">
        <f t="shared" si="39"/>
        <v>5.376344086021505</v>
      </c>
    </row>
    <row r="206" spans="1:13" x14ac:dyDescent="0.25">
      <c r="A206" t="str">
        <f t="shared" si="29"/>
        <v>3359</v>
      </c>
      <c r="B206" s="87" t="str">
        <f t="shared" si="40"/>
        <v>359</v>
      </c>
      <c r="C206" s="88"/>
      <c r="D206" s="89" t="s">
        <v>117</v>
      </c>
      <c r="E206" s="90">
        <v>2017</v>
      </c>
      <c r="F206" s="89">
        <v>109</v>
      </c>
      <c r="G206" s="89">
        <v>29</v>
      </c>
      <c r="H206" s="90">
        <f t="shared" si="37"/>
        <v>80</v>
      </c>
      <c r="I206" s="89">
        <v>2249</v>
      </c>
      <c r="J206" s="89">
        <v>108</v>
      </c>
      <c r="K206" s="93">
        <f t="shared" si="41"/>
        <v>2141</v>
      </c>
      <c r="L206" s="99">
        <f t="shared" si="38"/>
        <v>26.851851851851855</v>
      </c>
      <c r="M206" s="100">
        <f t="shared" si="39"/>
        <v>3.7365716954694066</v>
      </c>
    </row>
    <row r="207" spans="1:13" x14ac:dyDescent="0.25">
      <c r="A207" t="str">
        <f t="shared" si="29"/>
        <v>3360</v>
      </c>
      <c r="B207" s="81" t="str">
        <f t="shared" si="40"/>
        <v>360</v>
      </c>
      <c r="C207" s="82"/>
      <c r="D207" s="83" t="s">
        <v>118</v>
      </c>
      <c r="E207" s="84">
        <v>2017</v>
      </c>
      <c r="F207" s="83">
        <v>55</v>
      </c>
      <c r="G207" s="83">
        <v>17</v>
      </c>
      <c r="H207" s="84">
        <f t="shared" si="37"/>
        <v>38</v>
      </c>
      <c r="I207" s="83">
        <v>938</v>
      </c>
      <c r="J207" s="83">
        <v>39</v>
      </c>
      <c r="K207" s="96">
        <f t="shared" si="41"/>
        <v>899</v>
      </c>
      <c r="L207" s="97">
        <f t="shared" si="38"/>
        <v>43.589743589743591</v>
      </c>
      <c r="M207" s="98">
        <f t="shared" si="39"/>
        <v>4.2269187986651833</v>
      </c>
    </row>
    <row r="208" spans="1:13" x14ac:dyDescent="0.25">
      <c r="A208" t="str">
        <f t="shared" si="29"/>
        <v>3361</v>
      </c>
      <c r="B208" s="87" t="str">
        <f t="shared" si="40"/>
        <v>361</v>
      </c>
      <c r="C208" s="88"/>
      <c r="D208" s="89" t="s">
        <v>119</v>
      </c>
      <c r="E208" s="90">
        <v>2017</v>
      </c>
      <c r="F208" s="89">
        <v>58</v>
      </c>
      <c r="G208" s="89">
        <v>24</v>
      </c>
      <c r="H208" s="90">
        <f t="shared" si="37"/>
        <v>34</v>
      </c>
      <c r="I208" s="89">
        <v>1433</v>
      </c>
      <c r="J208" s="89">
        <v>70</v>
      </c>
      <c r="K208" s="93">
        <f t="shared" si="41"/>
        <v>1363</v>
      </c>
      <c r="L208" s="99">
        <f t="shared" si="38"/>
        <v>34.285714285714285</v>
      </c>
      <c r="M208" s="100">
        <f t="shared" si="39"/>
        <v>2.4944974321349962</v>
      </c>
    </row>
    <row r="209" spans="1:13" x14ac:dyDescent="0.25">
      <c r="A209" t="str">
        <f t="shared" si="29"/>
        <v>34</v>
      </c>
      <c r="B209" s="81" t="str">
        <f>LEFT(D209,LEN(D200)-(LEN(D200)-1))</f>
        <v>4</v>
      </c>
      <c r="C209" s="82"/>
      <c r="D209" s="83" t="s">
        <v>120</v>
      </c>
      <c r="E209" s="84">
        <v>2017</v>
      </c>
      <c r="F209" s="83">
        <v>1930</v>
      </c>
      <c r="G209" s="83">
        <v>516</v>
      </c>
      <c r="H209" s="84">
        <f t="shared" si="37"/>
        <v>1414</v>
      </c>
      <c r="I209" s="83">
        <v>27849</v>
      </c>
      <c r="J209" s="83">
        <v>1742</v>
      </c>
      <c r="K209" s="96">
        <f t="shared" si="41"/>
        <v>26107</v>
      </c>
      <c r="L209" s="97">
        <f t="shared" si="38"/>
        <v>29.621125143513204</v>
      </c>
      <c r="M209" s="98">
        <f t="shared" si="39"/>
        <v>5.4161719079174171</v>
      </c>
    </row>
    <row r="210" spans="1:13" x14ac:dyDescent="0.25">
      <c r="A210" t="str">
        <f t="shared" si="29"/>
        <v>3401</v>
      </c>
      <c r="B210" s="87" t="str">
        <f t="shared" ref="B210:B226" si="42">LEFT(D210,LEN(D201)-(LEN(D201)-3))</f>
        <v>401</v>
      </c>
      <c r="C210" s="88"/>
      <c r="D210" s="89" t="s">
        <v>121</v>
      </c>
      <c r="E210" s="90">
        <v>2017</v>
      </c>
      <c r="F210" s="89">
        <v>84</v>
      </c>
      <c r="G210" s="89">
        <v>40</v>
      </c>
      <c r="H210" s="90">
        <f t="shared" si="37"/>
        <v>44</v>
      </c>
      <c r="I210" s="89">
        <v>847</v>
      </c>
      <c r="J210" s="89">
        <v>136</v>
      </c>
      <c r="K210" s="93">
        <f t="shared" si="41"/>
        <v>711</v>
      </c>
      <c r="L210" s="99">
        <f t="shared" si="38"/>
        <v>29.411764705882355</v>
      </c>
      <c r="M210" s="100">
        <f t="shared" si="39"/>
        <v>6.1884669479606194</v>
      </c>
    </row>
    <row r="211" spans="1:13" x14ac:dyDescent="0.25">
      <c r="A211" t="str">
        <f t="shared" si="29"/>
        <v>3402</v>
      </c>
      <c r="B211" s="81" t="str">
        <f t="shared" si="42"/>
        <v>402</v>
      </c>
      <c r="C211" s="82"/>
      <c r="D211" s="83" t="s">
        <v>122</v>
      </c>
      <c r="E211" s="84">
        <v>2017</v>
      </c>
      <c r="F211" s="83">
        <v>52</v>
      </c>
      <c r="G211" s="83">
        <v>14</v>
      </c>
      <c r="H211" s="84">
        <f t="shared" si="37"/>
        <v>38</v>
      </c>
      <c r="I211" s="83">
        <v>597</v>
      </c>
      <c r="J211" s="83">
        <v>24</v>
      </c>
      <c r="K211" s="96">
        <f t="shared" si="41"/>
        <v>573</v>
      </c>
      <c r="L211" s="97">
        <f t="shared" si="38"/>
        <v>58.333333333333336</v>
      </c>
      <c r="M211" s="98">
        <f t="shared" si="39"/>
        <v>6.6317626527050617</v>
      </c>
    </row>
    <row r="212" spans="1:13" x14ac:dyDescent="0.25">
      <c r="A212" t="str">
        <f t="shared" ref="A212:A275" si="43">3&amp;B212</f>
        <v>3403</v>
      </c>
      <c r="B212" s="87" t="str">
        <f t="shared" si="42"/>
        <v>403</v>
      </c>
      <c r="C212" s="88"/>
      <c r="D212" s="89" t="s">
        <v>123</v>
      </c>
      <c r="E212" s="90">
        <v>2017</v>
      </c>
      <c r="F212" s="89">
        <v>106</v>
      </c>
      <c r="G212" s="89">
        <v>17</v>
      </c>
      <c r="H212" s="90">
        <f t="shared" si="37"/>
        <v>89</v>
      </c>
      <c r="I212" s="89">
        <v>1981</v>
      </c>
      <c r="J212" s="89">
        <v>105</v>
      </c>
      <c r="K212" s="93">
        <f t="shared" si="41"/>
        <v>1876</v>
      </c>
      <c r="L212" s="99">
        <f t="shared" si="38"/>
        <v>16.19047619047619</v>
      </c>
      <c r="M212" s="100">
        <f t="shared" si="39"/>
        <v>4.7441364605543708</v>
      </c>
    </row>
    <row r="213" spans="1:13" x14ac:dyDescent="0.25">
      <c r="A213" t="str">
        <f t="shared" si="43"/>
        <v>3404</v>
      </c>
      <c r="B213" s="81" t="str">
        <f t="shared" si="42"/>
        <v>404</v>
      </c>
      <c r="C213" s="82"/>
      <c r="D213" s="83" t="s">
        <v>124</v>
      </c>
      <c r="E213" s="84">
        <v>2017</v>
      </c>
      <c r="F213" s="83">
        <v>101</v>
      </c>
      <c r="G213" s="83">
        <v>21</v>
      </c>
      <c r="H213" s="84">
        <f t="shared" si="37"/>
        <v>80</v>
      </c>
      <c r="I213" s="83">
        <v>2133</v>
      </c>
      <c r="J213" s="83">
        <v>161</v>
      </c>
      <c r="K213" s="96">
        <f t="shared" si="41"/>
        <v>1972</v>
      </c>
      <c r="L213" s="97">
        <f t="shared" si="38"/>
        <v>13.043478260869565</v>
      </c>
      <c r="M213" s="98">
        <f t="shared" si="39"/>
        <v>4.056795131845842</v>
      </c>
    </row>
    <row r="214" spans="1:13" x14ac:dyDescent="0.25">
      <c r="A214" t="str">
        <f t="shared" si="43"/>
        <v>3405</v>
      </c>
      <c r="B214" s="87" t="str">
        <f t="shared" si="42"/>
        <v>405</v>
      </c>
      <c r="C214" s="88"/>
      <c r="D214" s="89" t="s">
        <v>125</v>
      </c>
      <c r="E214" s="90">
        <v>2017</v>
      </c>
      <c r="F214" s="89">
        <v>29</v>
      </c>
      <c r="G214" s="89">
        <v>4</v>
      </c>
      <c r="H214" s="90">
        <f t="shared" si="37"/>
        <v>25</v>
      </c>
      <c r="I214" s="89">
        <v>726</v>
      </c>
      <c r="J214" s="89">
        <v>69</v>
      </c>
      <c r="K214" s="93">
        <f t="shared" si="41"/>
        <v>657</v>
      </c>
      <c r="L214" s="99">
        <f t="shared" si="38"/>
        <v>5.7971014492753623</v>
      </c>
      <c r="M214" s="100">
        <f t="shared" si="39"/>
        <v>3.8051750380517504</v>
      </c>
    </row>
    <row r="215" spans="1:13" x14ac:dyDescent="0.25">
      <c r="A215" t="str">
        <f t="shared" si="43"/>
        <v>3451</v>
      </c>
      <c r="B215" s="81" t="str">
        <f t="shared" si="42"/>
        <v>451</v>
      </c>
      <c r="C215" s="82"/>
      <c r="D215" s="83" t="s">
        <v>126</v>
      </c>
      <c r="E215" s="84">
        <v>2017</v>
      </c>
      <c r="F215" s="83">
        <v>71</v>
      </c>
      <c r="G215" s="83">
        <v>7</v>
      </c>
      <c r="H215" s="84">
        <f t="shared" si="37"/>
        <v>64</v>
      </c>
      <c r="I215" s="83">
        <v>1285</v>
      </c>
      <c r="J215" s="83">
        <v>44</v>
      </c>
      <c r="K215" s="96">
        <f t="shared" si="41"/>
        <v>1241</v>
      </c>
      <c r="L215" s="97">
        <f t="shared" si="38"/>
        <v>15.909090909090908</v>
      </c>
      <c r="M215" s="98">
        <f t="shared" si="39"/>
        <v>5.1571313456889607</v>
      </c>
    </row>
    <row r="216" spans="1:13" x14ac:dyDescent="0.25">
      <c r="A216" t="str">
        <f t="shared" si="43"/>
        <v>3452</v>
      </c>
      <c r="B216" s="87" t="str">
        <f t="shared" si="42"/>
        <v>452</v>
      </c>
      <c r="C216" s="88"/>
      <c r="D216" s="89" t="s">
        <v>127</v>
      </c>
      <c r="E216" s="90">
        <v>2017</v>
      </c>
      <c r="F216" s="89">
        <v>164</v>
      </c>
      <c r="G216" s="89">
        <v>14</v>
      </c>
      <c r="H216" s="90">
        <f t="shared" si="37"/>
        <v>150</v>
      </c>
      <c r="I216" s="89">
        <v>2025</v>
      </c>
      <c r="J216" s="89">
        <v>53</v>
      </c>
      <c r="K216" s="93">
        <f t="shared" si="41"/>
        <v>1972</v>
      </c>
      <c r="L216" s="99">
        <f t="shared" si="38"/>
        <v>26.415094339622641</v>
      </c>
      <c r="M216" s="100">
        <f t="shared" si="39"/>
        <v>7.6064908722109541</v>
      </c>
    </row>
    <row r="217" spans="1:13" x14ac:dyDescent="0.25">
      <c r="A217" t="str">
        <f t="shared" si="43"/>
        <v>3453</v>
      </c>
      <c r="B217" s="81" t="str">
        <f t="shared" si="42"/>
        <v>453</v>
      </c>
      <c r="C217" s="82"/>
      <c r="D217" s="83" t="s">
        <v>128</v>
      </c>
      <c r="E217" s="84">
        <v>2017</v>
      </c>
      <c r="F217" s="83">
        <v>130</v>
      </c>
      <c r="G217" s="83">
        <v>30</v>
      </c>
      <c r="H217" s="84">
        <f t="shared" si="37"/>
        <v>100</v>
      </c>
      <c r="I217" s="83">
        <v>2097</v>
      </c>
      <c r="J217" s="83">
        <v>97</v>
      </c>
      <c r="K217" s="96">
        <f t="shared" si="41"/>
        <v>2000</v>
      </c>
      <c r="L217" s="97">
        <f t="shared" si="38"/>
        <v>30.927835051546392</v>
      </c>
      <c r="M217" s="98">
        <f t="shared" si="39"/>
        <v>5</v>
      </c>
    </row>
    <row r="218" spans="1:13" x14ac:dyDescent="0.25">
      <c r="A218" t="str">
        <f t="shared" si="43"/>
        <v>3454</v>
      </c>
      <c r="B218" s="87" t="str">
        <f t="shared" si="42"/>
        <v>454</v>
      </c>
      <c r="C218" s="88"/>
      <c r="D218" s="89" t="s">
        <v>129</v>
      </c>
      <c r="E218" s="90">
        <v>2017</v>
      </c>
      <c r="F218" s="89">
        <v>286</v>
      </c>
      <c r="G218" s="89">
        <v>95</v>
      </c>
      <c r="H218" s="90">
        <f t="shared" si="37"/>
        <v>191</v>
      </c>
      <c r="I218" s="89">
        <v>3801</v>
      </c>
      <c r="J218" s="89">
        <v>224</v>
      </c>
      <c r="K218" s="93">
        <f t="shared" si="41"/>
        <v>3577</v>
      </c>
      <c r="L218" s="99">
        <f t="shared" si="38"/>
        <v>42.410714285714285</v>
      </c>
      <c r="M218" s="100">
        <f t="shared" si="39"/>
        <v>5.3396701146211907</v>
      </c>
    </row>
    <row r="219" spans="1:13" x14ac:dyDescent="0.25">
      <c r="A219" t="str">
        <f t="shared" si="43"/>
        <v>3455</v>
      </c>
      <c r="B219" s="81" t="str">
        <f t="shared" si="42"/>
        <v>455</v>
      </c>
      <c r="C219" s="82"/>
      <c r="D219" s="83" t="s">
        <v>130</v>
      </c>
      <c r="E219" s="84">
        <v>2017</v>
      </c>
      <c r="F219" s="83">
        <v>81</v>
      </c>
      <c r="G219" s="83">
        <v>27</v>
      </c>
      <c r="H219" s="84">
        <f t="shared" si="37"/>
        <v>54</v>
      </c>
      <c r="I219" s="83">
        <v>873</v>
      </c>
      <c r="J219" s="83">
        <v>47</v>
      </c>
      <c r="K219" s="96">
        <f t="shared" si="41"/>
        <v>826</v>
      </c>
      <c r="L219" s="97">
        <f t="shared" si="38"/>
        <v>57.446808510638306</v>
      </c>
      <c r="M219" s="98">
        <f t="shared" si="39"/>
        <v>6.5375302663438255</v>
      </c>
    </row>
    <row r="220" spans="1:13" x14ac:dyDescent="0.25">
      <c r="A220" t="str">
        <f t="shared" si="43"/>
        <v>3456</v>
      </c>
      <c r="B220" s="87" t="str">
        <f t="shared" si="42"/>
        <v>456</v>
      </c>
      <c r="C220" s="88"/>
      <c r="D220" s="89" t="s">
        <v>131</v>
      </c>
      <c r="E220" s="90">
        <v>2017</v>
      </c>
      <c r="F220" s="89">
        <v>90</v>
      </c>
      <c r="G220" s="89">
        <v>22</v>
      </c>
      <c r="H220" s="90">
        <f t="shared" si="37"/>
        <v>68</v>
      </c>
      <c r="I220" s="89">
        <v>1521</v>
      </c>
      <c r="J220" s="89">
        <v>131</v>
      </c>
      <c r="K220" s="93">
        <f t="shared" si="41"/>
        <v>1390</v>
      </c>
      <c r="L220" s="99">
        <f t="shared" si="38"/>
        <v>16.793893129770993</v>
      </c>
      <c r="M220" s="100">
        <f t="shared" si="39"/>
        <v>4.8920863309352516</v>
      </c>
    </row>
    <row r="221" spans="1:13" x14ac:dyDescent="0.25">
      <c r="A221" t="str">
        <f t="shared" si="43"/>
        <v>3457</v>
      </c>
      <c r="B221" s="81" t="str">
        <f t="shared" si="42"/>
        <v>457</v>
      </c>
      <c r="C221" s="82"/>
      <c r="D221" s="83" t="s">
        <v>132</v>
      </c>
      <c r="E221" s="84">
        <v>2017</v>
      </c>
      <c r="F221" s="83">
        <v>165</v>
      </c>
      <c r="G221" s="83">
        <v>29</v>
      </c>
      <c r="H221" s="84">
        <f t="shared" si="37"/>
        <v>136</v>
      </c>
      <c r="I221" s="83">
        <v>1784</v>
      </c>
      <c r="J221" s="83">
        <v>104</v>
      </c>
      <c r="K221" s="96">
        <f t="shared" si="41"/>
        <v>1680</v>
      </c>
      <c r="L221" s="97">
        <f t="shared" si="38"/>
        <v>27.884615384615387</v>
      </c>
      <c r="M221" s="98">
        <f t="shared" si="39"/>
        <v>8.0952380952380949</v>
      </c>
    </row>
    <row r="222" spans="1:13" x14ac:dyDescent="0.25">
      <c r="A222" t="str">
        <f t="shared" si="43"/>
        <v>3458</v>
      </c>
      <c r="B222" s="87" t="str">
        <f t="shared" si="42"/>
        <v>458</v>
      </c>
      <c r="C222" s="88"/>
      <c r="D222" s="89" t="s">
        <v>133</v>
      </c>
      <c r="E222" s="90">
        <v>2017</v>
      </c>
      <c r="F222" s="89">
        <v>98</v>
      </c>
      <c r="G222" s="89">
        <v>41</v>
      </c>
      <c r="H222" s="90">
        <f t="shared" si="37"/>
        <v>57</v>
      </c>
      <c r="I222" s="89">
        <v>1273</v>
      </c>
      <c r="J222" s="89">
        <v>92</v>
      </c>
      <c r="K222" s="93">
        <f t="shared" si="41"/>
        <v>1181</v>
      </c>
      <c r="L222" s="99">
        <f t="shared" si="38"/>
        <v>44.565217391304344</v>
      </c>
      <c r="M222" s="100">
        <f t="shared" si="39"/>
        <v>4.8264182895850976</v>
      </c>
    </row>
    <row r="223" spans="1:13" x14ac:dyDescent="0.25">
      <c r="A223" t="str">
        <f t="shared" si="43"/>
        <v>3459</v>
      </c>
      <c r="B223" s="81" t="str">
        <f t="shared" si="42"/>
        <v>459</v>
      </c>
      <c r="C223" s="82"/>
      <c r="D223" s="83" t="s">
        <v>134</v>
      </c>
      <c r="E223" s="84">
        <v>2017</v>
      </c>
      <c r="F223" s="83">
        <v>226</v>
      </c>
      <c r="G223" s="83">
        <v>69</v>
      </c>
      <c r="H223" s="84">
        <f t="shared" si="37"/>
        <v>157</v>
      </c>
      <c r="I223" s="83">
        <v>3306</v>
      </c>
      <c r="J223" s="83">
        <v>196</v>
      </c>
      <c r="K223" s="96">
        <f t="shared" si="41"/>
        <v>3110</v>
      </c>
      <c r="L223" s="97">
        <f t="shared" si="38"/>
        <v>35.204081632653065</v>
      </c>
      <c r="M223" s="98">
        <f t="shared" si="39"/>
        <v>5.048231511254019</v>
      </c>
    </row>
    <row r="224" spans="1:13" x14ac:dyDescent="0.25">
      <c r="A224" t="str">
        <f t="shared" si="43"/>
        <v>3460</v>
      </c>
      <c r="B224" s="87" t="str">
        <f t="shared" si="42"/>
        <v>460</v>
      </c>
      <c r="C224" s="88"/>
      <c r="D224" s="89" t="s">
        <v>135</v>
      </c>
      <c r="E224" s="90">
        <v>2017</v>
      </c>
      <c r="F224" s="89">
        <v>162</v>
      </c>
      <c r="G224" s="89">
        <v>73</v>
      </c>
      <c r="H224" s="90">
        <f t="shared" si="37"/>
        <v>89</v>
      </c>
      <c r="I224" s="89">
        <v>1836</v>
      </c>
      <c r="J224" s="89">
        <v>188</v>
      </c>
      <c r="K224" s="93">
        <f t="shared" si="41"/>
        <v>1648</v>
      </c>
      <c r="L224" s="99">
        <f t="shared" si="38"/>
        <v>38.829787234042549</v>
      </c>
      <c r="M224" s="100">
        <f t="shared" si="39"/>
        <v>5.4004854368932032</v>
      </c>
    </row>
    <row r="225" spans="1:13" x14ac:dyDescent="0.25">
      <c r="A225" t="str">
        <f t="shared" si="43"/>
        <v>3461</v>
      </c>
      <c r="B225" s="81" t="str">
        <f t="shared" si="42"/>
        <v>461</v>
      </c>
      <c r="C225" s="82"/>
      <c r="D225" s="83" t="s">
        <v>136</v>
      </c>
      <c r="E225" s="84">
        <v>2017</v>
      </c>
      <c r="F225" s="83">
        <v>43</v>
      </c>
      <c r="G225" s="83">
        <v>10</v>
      </c>
      <c r="H225" s="84">
        <f t="shared" si="37"/>
        <v>33</v>
      </c>
      <c r="I225" s="83">
        <v>1045</v>
      </c>
      <c r="J225" s="83">
        <v>45</v>
      </c>
      <c r="K225" s="96">
        <f t="shared" si="41"/>
        <v>1000</v>
      </c>
      <c r="L225" s="97">
        <f t="shared" si="38"/>
        <v>22.222222222222221</v>
      </c>
      <c r="M225" s="98">
        <f t="shared" si="39"/>
        <v>3.3000000000000003</v>
      </c>
    </row>
    <row r="226" spans="1:13" x14ac:dyDescent="0.25">
      <c r="A226" t="str">
        <f t="shared" si="43"/>
        <v>3462</v>
      </c>
      <c r="B226" s="87" t="str">
        <f t="shared" si="42"/>
        <v>462</v>
      </c>
      <c r="C226" s="88"/>
      <c r="D226" s="89" t="s">
        <v>137</v>
      </c>
      <c r="E226" s="90">
        <v>2017</v>
      </c>
      <c r="F226" s="89">
        <v>42</v>
      </c>
      <c r="G226" s="89">
        <v>3</v>
      </c>
      <c r="H226" s="90">
        <f t="shared" si="37"/>
        <v>39</v>
      </c>
      <c r="I226" s="89">
        <v>719</v>
      </c>
      <c r="J226" s="89">
        <v>26</v>
      </c>
      <c r="K226" s="93">
        <f t="shared" si="41"/>
        <v>693</v>
      </c>
      <c r="L226" s="99">
        <f t="shared" si="38"/>
        <v>11.538461538461538</v>
      </c>
      <c r="M226" s="100">
        <f t="shared" si="39"/>
        <v>5.6277056277056277</v>
      </c>
    </row>
    <row r="227" spans="1:13" x14ac:dyDescent="0.25">
      <c r="A227" t="str">
        <f t="shared" si="43"/>
        <v>30</v>
      </c>
      <c r="B227" s="81" t="str">
        <f t="shared" ref="B227:B228" si="44">LEFT(D227,LEN(D218)-(LEN(D218)-1))</f>
        <v>0</v>
      </c>
      <c r="C227" s="82"/>
      <c r="D227" s="83" t="s">
        <v>82</v>
      </c>
      <c r="E227" s="84">
        <v>2018</v>
      </c>
      <c r="F227" s="83">
        <v>5093</v>
      </c>
      <c r="G227" s="83">
        <v>1427</v>
      </c>
      <c r="H227" s="84">
        <f t="shared" ref="H227:H258" si="45">F227-G227</f>
        <v>3666</v>
      </c>
      <c r="I227" s="83">
        <v>81064</v>
      </c>
      <c r="J227" s="83">
        <v>6244</v>
      </c>
      <c r="K227" s="96">
        <f t="shared" si="41"/>
        <v>74820</v>
      </c>
      <c r="L227" s="97">
        <f t="shared" ref="L227:L258" si="46">G227/J227*100</f>
        <v>22.853939782190906</v>
      </c>
      <c r="M227" s="98">
        <f t="shared" ref="M227:M258" si="47">H227/K227*100</f>
        <v>4.8997594226142738</v>
      </c>
    </row>
    <row r="228" spans="1:13" x14ac:dyDescent="0.25">
      <c r="A228" t="str">
        <f t="shared" si="43"/>
        <v>31</v>
      </c>
      <c r="B228" s="87" t="str">
        <f t="shared" si="44"/>
        <v>1</v>
      </c>
      <c r="C228" s="88"/>
      <c r="D228" s="89" t="s">
        <v>88</v>
      </c>
      <c r="E228" s="90">
        <v>2018</v>
      </c>
      <c r="F228" s="89">
        <v>937</v>
      </c>
      <c r="G228" s="89">
        <v>277</v>
      </c>
      <c r="H228" s="90">
        <f t="shared" si="45"/>
        <v>660</v>
      </c>
      <c r="I228" s="89">
        <v>15142</v>
      </c>
      <c r="J228" s="89">
        <v>1264</v>
      </c>
      <c r="K228" s="93">
        <f t="shared" si="41"/>
        <v>13878</v>
      </c>
      <c r="L228" s="99">
        <f t="shared" si="46"/>
        <v>21.914556962025316</v>
      </c>
      <c r="M228" s="100">
        <f t="shared" si="47"/>
        <v>4.7557284911370514</v>
      </c>
    </row>
    <row r="229" spans="1:13" x14ac:dyDescent="0.25">
      <c r="A229" t="str">
        <f t="shared" si="43"/>
        <v>3101</v>
      </c>
      <c r="B229" s="81" t="str">
        <f t="shared" ref="B229:B240" si="48">LEFT(D229,LEN(D220)-(LEN(D220)-3))</f>
        <v>101</v>
      </c>
      <c r="C229" s="82"/>
      <c r="D229" s="83" t="s">
        <v>89</v>
      </c>
      <c r="E229" s="84">
        <v>2018</v>
      </c>
      <c r="F229" s="83">
        <v>135</v>
      </c>
      <c r="G229" s="83">
        <v>32</v>
      </c>
      <c r="H229" s="84">
        <f t="shared" si="45"/>
        <v>103</v>
      </c>
      <c r="I229" s="83">
        <v>2405</v>
      </c>
      <c r="J229" s="83">
        <v>185</v>
      </c>
      <c r="K229" s="96">
        <f t="shared" si="41"/>
        <v>2220</v>
      </c>
      <c r="L229" s="97">
        <f t="shared" si="46"/>
        <v>17.297297297297298</v>
      </c>
      <c r="M229" s="98">
        <f t="shared" si="47"/>
        <v>4.6396396396396398</v>
      </c>
    </row>
    <row r="230" spans="1:13" x14ac:dyDescent="0.25">
      <c r="A230" t="str">
        <f t="shared" si="43"/>
        <v>3102</v>
      </c>
      <c r="B230" s="87" t="str">
        <f t="shared" si="48"/>
        <v>102</v>
      </c>
      <c r="C230" s="88"/>
      <c r="D230" s="89" t="s">
        <v>90</v>
      </c>
      <c r="E230" s="90">
        <v>2018</v>
      </c>
      <c r="F230" s="89">
        <v>126</v>
      </c>
      <c r="G230" s="89">
        <v>58</v>
      </c>
      <c r="H230" s="90">
        <f t="shared" si="45"/>
        <v>68</v>
      </c>
      <c r="I230" s="89">
        <v>1026</v>
      </c>
      <c r="J230" s="89">
        <v>181</v>
      </c>
      <c r="K230" s="93">
        <f t="shared" si="41"/>
        <v>845</v>
      </c>
      <c r="L230" s="99">
        <f t="shared" si="46"/>
        <v>32.044198895027627</v>
      </c>
      <c r="M230" s="100">
        <f t="shared" si="47"/>
        <v>8.0473372781065091</v>
      </c>
    </row>
    <row r="231" spans="1:13" x14ac:dyDescent="0.25">
      <c r="A231" t="str">
        <f t="shared" si="43"/>
        <v>3103</v>
      </c>
      <c r="B231" s="81" t="str">
        <f t="shared" si="48"/>
        <v>103</v>
      </c>
      <c r="C231" s="82"/>
      <c r="D231" s="83" t="s">
        <v>91</v>
      </c>
      <c r="E231" s="84">
        <v>2018</v>
      </c>
      <c r="F231" s="83">
        <v>59</v>
      </c>
      <c r="G231" s="83">
        <v>20</v>
      </c>
      <c r="H231" s="84">
        <f t="shared" si="45"/>
        <v>39</v>
      </c>
      <c r="I231" s="83">
        <v>1541</v>
      </c>
      <c r="J231" s="83">
        <v>187</v>
      </c>
      <c r="K231" s="96">
        <f t="shared" si="41"/>
        <v>1354</v>
      </c>
      <c r="L231" s="97">
        <f t="shared" si="46"/>
        <v>10.695187165775401</v>
      </c>
      <c r="M231" s="98">
        <f t="shared" si="47"/>
        <v>2.8803545051698669</v>
      </c>
    </row>
    <row r="232" spans="1:13" x14ac:dyDescent="0.25">
      <c r="A232" t="str">
        <f t="shared" si="43"/>
        <v>3151</v>
      </c>
      <c r="B232" s="87" t="str">
        <f t="shared" si="48"/>
        <v>151</v>
      </c>
      <c r="C232" s="88"/>
      <c r="D232" s="89" t="s">
        <v>92</v>
      </c>
      <c r="E232" s="90">
        <v>2018</v>
      </c>
      <c r="F232" s="89">
        <v>103</v>
      </c>
      <c r="G232" s="89">
        <v>23</v>
      </c>
      <c r="H232" s="90">
        <f t="shared" si="45"/>
        <v>80</v>
      </c>
      <c r="I232" s="89">
        <v>1563</v>
      </c>
      <c r="J232" s="89">
        <v>107</v>
      </c>
      <c r="K232" s="93">
        <f t="shared" si="41"/>
        <v>1456</v>
      </c>
      <c r="L232" s="99">
        <f t="shared" si="46"/>
        <v>21.495327102803738</v>
      </c>
      <c r="M232" s="100">
        <f t="shared" si="47"/>
        <v>5.4945054945054945</v>
      </c>
    </row>
    <row r="233" spans="1:13" x14ac:dyDescent="0.25">
      <c r="A233" t="str">
        <f t="shared" si="43"/>
        <v>3153</v>
      </c>
      <c r="B233" s="81" t="str">
        <f t="shared" si="48"/>
        <v>153</v>
      </c>
      <c r="C233" s="82"/>
      <c r="D233" s="83" t="s">
        <v>93</v>
      </c>
      <c r="E233" s="84">
        <v>2018</v>
      </c>
      <c r="F233" s="83">
        <v>76</v>
      </c>
      <c r="G233" s="83">
        <v>13</v>
      </c>
      <c r="H233" s="84">
        <f t="shared" si="45"/>
        <v>63</v>
      </c>
      <c r="I233" s="83">
        <v>1206</v>
      </c>
      <c r="J233" s="83">
        <v>88</v>
      </c>
      <c r="K233" s="96">
        <f t="shared" si="41"/>
        <v>1118</v>
      </c>
      <c r="L233" s="97">
        <f t="shared" si="46"/>
        <v>14.772727272727273</v>
      </c>
      <c r="M233" s="98">
        <f t="shared" si="47"/>
        <v>5.6350626118067977</v>
      </c>
    </row>
    <row r="234" spans="1:13" x14ac:dyDescent="0.25">
      <c r="A234" t="str">
        <f t="shared" si="43"/>
        <v>3154</v>
      </c>
      <c r="B234" s="87" t="str">
        <f t="shared" si="48"/>
        <v>154</v>
      </c>
      <c r="C234" s="88"/>
      <c r="D234" s="89" t="s">
        <v>94</v>
      </c>
      <c r="E234" s="90">
        <v>2018</v>
      </c>
      <c r="F234" s="89">
        <v>61</v>
      </c>
      <c r="G234" s="89">
        <v>9</v>
      </c>
      <c r="H234" s="90">
        <f t="shared" si="45"/>
        <v>52</v>
      </c>
      <c r="I234" s="89">
        <v>753</v>
      </c>
      <c r="J234" s="89">
        <v>44</v>
      </c>
      <c r="K234" s="93">
        <f t="shared" si="41"/>
        <v>709</v>
      </c>
      <c r="L234" s="99">
        <f t="shared" si="46"/>
        <v>20.454545454545457</v>
      </c>
      <c r="M234" s="100">
        <f t="shared" si="47"/>
        <v>7.3342736248236946</v>
      </c>
    </row>
    <row r="235" spans="1:13" x14ac:dyDescent="0.25">
      <c r="A235" t="str">
        <f t="shared" si="43"/>
        <v>3155</v>
      </c>
      <c r="B235" s="81" t="str">
        <f t="shared" si="48"/>
        <v>155</v>
      </c>
      <c r="C235" s="82"/>
      <c r="D235" s="83" t="s">
        <v>95</v>
      </c>
      <c r="E235" s="84">
        <v>2018</v>
      </c>
      <c r="F235" s="83">
        <v>59</v>
      </c>
      <c r="G235" s="83">
        <v>16</v>
      </c>
      <c r="H235" s="84">
        <f t="shared" si="45"/>
        <v>43</v>
      </c>
      <c r="I235" s="83">
        <v>1407</v>
      </c>
      <c r="J235" s="83">
        <v>85</v>
      </c>
      <c r="K235" s="96">
        <f t="shared" si="41"/>
        <v>1322</v>
      </c>
      <c r="L235" s="97">
        <f t="shared" si="46"/>
        <v>18.823529411764707</v>
      </c>
      <c r="M235" s="98">
        <f t="shared" si="47"/>
        <v>3.2526475037821481</v>
      </c>
    </row>
    <row r="236" spans="1:13" x14ac:dyDescent="0.25">
      <c r="A236" t="str">
        <f t="shared" si="43"/>
        <v>3157</v>
      </c>
      <c r="B236" s="87" t="str">
        <f t="shared" si="48"/>
        <v>157</v>
      </c>
      <c r="C236" s="88"/>
      <c r="D236" s="89" t="s">
        <v>96</v>
      </c>
      <c r="E236" s="90">
        <v>2018</v>
      </c>
      <c r="F236" s="89">
        <v>77</v>
      </c>
      <c r="G236" s="89">
        <v>25</v>
      </c>
      <c r="H236" s="90">
        <f t="shared" si="45"/>
        <v>52</v>
      </c>
      <c r="I236" s="89">
        <v>1443</v>
      </c>
      <c r="J236" s="89">
        <v>132</v>
      </c>
      <c r="K236" s="93">
        <f t="shared" si="41"/>
        <v>1311</v>
      </c>
      <c r="L236" s="99">
        <f t="shared" si="46"/>
        <v>18.939393939393938</v>
      </c>
      <c r="M236" s="100">
        <f t="shared" si="47"/>
        <v>3.9664378337147213</v>
      </c>
    </row>
    <row r="237" spans="1:13" x14ac:dyDescent="0.25">
      <c r="A237" t="str">
        <f t="shared" si="43"/>
        <v>3158</v>
      </c>
      <c r="B237" s="81" t="str">
        <f t="shared" si="48"/>
        <v>158</v>
      </c>
      <c r="C237" s="82"/>
      <c r="D237" s="83" t="s">
        <v>97</v>
      </c>
      <c r="E237" s="84">
        <v>2018</v>
      </c>
      <c r="F237" s="83">
        <v>61</v>
      </c>
      <c r="G237" s="83">
        <v>19</v>
      </c>
      <c r="H237" s="84">
        <f t="shared" si="45"/>
        <v>42</v>
      </c>
      <c r="I237" s="83">
        <v>911</v>
      </c>
      <c r="J237" s="83">
        <v>44</v>
      </c>
      <c r="K237" s="96">
        <f t="shared" si="41"/>
        <v>867</v>
      </c>
      <c r="L237" s="97">
        <f t="shared" si="46"/>
        <v>43.18181818181818</v>
      </c>
      <c r="M237" s="98">
        <f t="shared" si="47"/>
        <v>4.844290657439446</v>
      </c>
    </row>
    <row r="238" spans="1:13" x14ac:dyDescent="0.25">
      <c r="A238" t="str">
        <f t="shared" si="43"/>
        <v>3159</v>
      </c>
      <c r="B238" s="87" t="str">
        <f t="shared" si="48"/>
        <v>159</v>
      </c>
      <c r="C238" s="88"/>
      <c r="D238" s="89" t="s">
        <v>98</v>
      </c>
      <c r="E238" s="90">
        <v>2018</v>
      </c>
      <c r="F238" s="89">
        <v>180</v>
      </c>
      <c r="G238" s="89">
        <v>62</v>
      </c>
      <c r="H238" s="90">
        <f t="shared" si="45"/>
        <v>118</v>
      </c>
      <c r="I238" s="89">
        <v>2887</v>
      </c>
      <c r="J238" s="89">
        <v>211</v>
      </c>
      <c r="K238" s="93">
        <f t="shared" si="41"/>
        <v>2676</v>
      </c>
      <c r="L238" s="99">
        <f t="shared" si="46"/>
        <v>29.383886255924168</v>
      </c>
      <c r="M238" s="100">
        <f t="shared" si="47"/>
        <v>4.4095665171898357</v>
      </c>
    </row>
    <row r="239" spans="1:13" x14ac:dyDescent="0.25">
      <c r="A239" t="str">
        <f t="shared" si="43"/>
        <v>32 H</v>
      </c>
      <c r="B239" s="81" t="str">
        <f t="shared" si="48"/>
        <v>2 H</v>
      </c>
      <c r="C239" s="82"/>
      <c r="D239" s="83" t="s">
        <v>99</v>
      </c>
      <c r="E239" s="84">
        <v>2018</v>
      </c>
      <c r="F239" s="83">
        <v>1321</v>
      </c>
      <c r="G239" s="83">
        <v>462</v>
      </c>
      <c r="H239" s="84">
        <f t="shared" si="45"/>
        <v>859</v>
      </c>
      <c r="I239" s="83">
        <v>21295</v>
      </c>
      <c r="J239" s="83">
        <v>2223</v>
      </c>
      <c r="K239" s="96">
        <f t="shared" si="41"/>
        <v>19072</v>
      </c>
      <c r="L239" s="97">
        <f t="shared" si="46"/>
        <v>20.78272604588394</v>
      </c>
      <c r="M239" s="98">
        <f t="shared" si="47"/>
        <v>4.5039848993288594</v>
      </c>
    </row>
    <row r="240" spans="1:13" x14ac:dyDescent="0.25">
      <c r="A240" t="str">
        <f t="shared" si="43"/>
        <v>3241</v>
      </c>
      <c r="B240" s="87" t="str">
        <f t="shared" si="48"/>
        <v>241</v>
      </c>
      <c r="C240" s="88"/>
      <c r="D240" s="89" t="s">
        <v>100</v>
      </c>
      <c r="E240" s="90">
        <v>2018</v>
      </c>
      <c r="F240" s="89">
        <v>653</v>
      </c>
      <c r="G240" s="89">
        <v>240</v>
      </c>
      <c r="H240" s="90">
        <f t="shared" si="45"/>
        <v>413</v>
      </c>
      <c r="I240" s="89">
        <v>11228</v>
      </c>
      <c r="J240" s="89">
        <v>1389</v>
      </c>
      <c r="K240" s="93">
        <f t="shared" si="41"/>
        <v>9839</v>
      </c>
      <c r="L240" s="99">
        <f t="shared" si="46"/>
        <v>17.278617710583152</v>
      </c>
      <c r="M240" s="100">
        <f t="shared" si="47"/>
        <v>4.1975810549852621</v>
      </c>
    </row>
    <row r="241" spans="1:13" x14ac:dyDescent="0.25">
      <c r="A241" t="str">
        <f t="shared" si="43"/>
        <v>3241001</v>
      </c>
      <c r="B241" s="81" t="str">
        <f>LEFT(D241,LEN(D232)-(LEN(D232)-6))</f>
        <v>241001</v>
      </c>
      <c r="C241" s="82"/>
      <c r="D241" s="83" t="s">
        <v>101</v>
      </c>
      <c r="E241" s="84">
        <v>2018</v>
      </c>
      <c r="F241" s="83">
        <v>348</v>
      </c>
      <c r="G241" s="83">
        <v>126</v>
      </c>
      <c r="H241" s="84">
        <f t="shared" si="45"/>
        <v>222</v>
      </c>
      <c r="I241" s="83">
        <v>4823</v>
      </c>
      <c r="J241" s="83">
        <v>723</v>
      </c>
      <c r="K241" s="96">
        <f t="shared" si="41"/>
        <v>4100</v>
      </c>
      <c r="L241" s="97">
        <f t="shared" si="46"/>
        <v>17.427385892116181</v>
      </c>
      <c r="M241" s="98">
        <f t="shared" si="47"/>
        <v>5.4146341463414638</v>
      </c>
    </row>
    <row r="242" spans="1:13" x14ac:dyDescent="0.25">
      <c r="A242" t="str">
        <f t="shared" si="43"/>
        <v>3241999</v>
      </c>
      <c r="B242" s="87" t="str">
        <f>LEFT(D242,LEN(D233)-(LEN(D233)-6))</f>
        <v>241999</v>
      </c>
      <c r="C242" s="88"/>
      <c r="D242" s="89" t="s">
        <v>179</v>
      </c>
      <c r="E242" s="90">
        <v>2018</v>
      </c>
      <c r="F242" s="90">
        <f>F240-F241</f>
        <v>305</v>
      </c>
      <c r="G242" s="90">
        <f>G240-G241</f>
        <v>114</v>
      </c>
      <c r="H242" s="90">
        <f t="shared" si="45"/>
        <v>191</v>
      </c>
      <c r="I242" s="90">
        <f>I240-I241</f>
        <v>6405</v>
      </c>
      <c r="J242" s="90">
        <f>J240-J241</f>
        <v>666</v>
      </c>
      <c r="K242" s="93">
        <f t="shared" si="41"/>
        <v>5739</v>
      </c>
      <c r="L242" s="99">
        <f t="shared" si="46"/>
        <v>17.117117117117118</v>
      </c>
      <c r="M242" s="100">
        <f t="shared" si="47"/>
        <v>3.3281059418017076</v>
      </c>
    </row>
    <row r="243" spans="1:13" x14ac:dyDescent="0.25">
      <c r="A243" t="str">
        <f t="shared" si="43"/>
        <v>3251</v>
      </c>
      <c r="B243" s="81" t="str">
        <f t="shared" ref="B243:B248" si="49">LEFT(D243,LEN(D234)-(LEN(D234)-3))</f>
        <v>251</v>
      </c>
      <c r="C243" s="82"/>
      <c r="D243" s="83" t="s">
        <v>102</v>
      </c>
      <c r="E243" s="84">
        <v>2018</v>
      </c>
      <c r="F243" s="83">
        <v>105</v>
      </c>
      <c r="G243" s="83">
        <v>41</v>
      </c>
      <c r="H243" s="84">
        <f t="shared" si="45"/>
        <v>64</v>
      </c>
      <c r="I243" s="83">
        <v>2276</v>
      </c>
      <c r="J243" s="83">
        <v>145</v>
      </c>
      <c r="K243" s="96">
        <f t="shared" si="41"/>
        <v>2131</v>
      </c>
      <c r="L243" s="97">
        <f t="shared" si="46"/>
        <v>28.27586206896552</v>
      </c>
      <c r="M243" s="98">
        <f t="shared" si="47"/>
        <v>3.0032848427968091</v>
      </c>
    </row>
    <row r="244" spans="1:13" x14ac:dyDescent="0.25">
      <c r="A244" t="str">
        <f t="shared" si="43"/>
        <v>3252</v>
      </c>
      <c r="B244" s="87" t="str">
        <f t="shared" si="49"/>
        <v>252</v>
      </c>
      <c r="C244" s="88"/>
      <c r="D244" s="89" t="s">
        <v>103</v>
      </c>
      <c r="E244" s="90">
        <v>2018</v>
      </c>
      <c r="F244" s="89">
        <v>101</v>
      </c>
      <c r="G244" s="89">
        <v>33</v>
      </c>
      <c r="H244" s="90">
        <f t="shared" si="45"/>
        <v>68</v>
      </c>
      <c r="I244" s="89">
        <v>1385</v>
      </c>
      <c r="J244" s="89">
        <v>141</v>
      </c>
      <c r="K244" s="93">
        <f t="shared" si="41"/>
        <v>1244</v>
      </c>
      <c r="L244" s="99">
        <f t="shared" si="46"/>
        <v>23.404255319148938</v>
      </c>
      <c r="M244" s="100">
        <f t="shared" si="47"/>
        <v>5.4662379421221869</v>
      </c>
    </row>
    <row r="245" spans="1:13" x14ac:dyDescent="0.25">
      <c r="A245" t="str">
        <f t="shared" si="43"/>
        <v>3254</v>
      </c>
      <c r="B245" s="81" t="str">
        <f t="shared" si="49"/>
        <v>254</v>
      </c>
      <c r="C245" s="82"/>
      <c r="D245" s="83" t="s">
        <v>104</v>
      </c>
      <c r="E245" s="84">
        <v>2018</v>
      </c>
      <c r="F245" s="83">
        <v>183</v>
      </c>
      <c r="G245" s="83">
        <v>54</v>
      </c>
      <c r="H245" s="84">
        <f t="shared" si="45"/>
        <v>129</v>
      </c>
      <c r="I245" s="83">
        <v>2952</v>
      </c>
      <c r="J245" s="83">
        <v>195</v>
      </c>
      <c r="K245" s="96">
        <f t="shared" si="41"/>
        <v>2757</v>
      </c>
      <c r="L245" s="97">
        <f t="shared" si="46"/>
        <v>27.692307692307693</v>
      </c>
      <c r="M245" s="98">
        <f t="shared" si="47"/>
        <v>4.6789989118607185</v>
      </c>
    </row>
    <row r="246" spans="1:13" x14ac:dyDescent="0.25">
      <c r="A246" t="str">
        <f t="shared" si="43"/>
        <v>3255</v>
      </c>
      <c r="B246" s="87" t="str">
        <f t="shared" si="49"/>
        <v>255</v>
      </c>
      <c r="C246" s="88"/>
      <c r="D246" s="89" t="s">
        <v>105</v>
      </c>
      <c r="E246" s="90">
        <v>2018</v>
      </c>
      <c r="F246" s="89">
        <v>62</v>
      </c>
      <c r="G246" s="89">
        <v>12</v>
      </c>
      <c r="H246" s="90">
        <f t="shared" si="45"/>
        <v>50</v>
      </c>
      <c r="I246" s="89">
        <v>569</v>
      </c>
      <c r="J246" s="89">
        <v>62</v>
      </c>
      <c r="K246" s="93">
        <f t="shared" si="41"/>
        <v>507</v>
      </c>
      <c r="L246" s="99">
        <f t="shared" si="46"/>
        <v>19.35483870967742</v>
      </c>
      <c r="M246" s="100">
        <f t="shared" si="47"/>
        <v>9.8619329388560164</v>
      </c>
    </row>
    <row r="247" spans="1:13" x14ac:dyDescent="0.25">
      <c r="A247" t="str">
        <f t="shared" si="43"/>
        <v>3256</v>
      </c>
      <c r="B247" s="81" t="str">
        <f t="shared" si="49"/>
        <v>256</v>
      </c>
      <c r="C247" s="82"/>
      <c r="D247" s="83" t="s">
        <v>106</v>
      </c>
      <c r="E247" s="84">
        <v>2018</v>
      </c>
      <c r="F247" s="83">
        <v>137</v>
      </c>
      <c r="G247" s="83">
        <v>57</v>
      </c>
      <c r="H247" s="84">
        <f t="shared" si="45"/>
        <v>80</v>
      </c>
      <c r="I247" s="83">
        <v>1320</v>
      </c>
      <c r="J247" s="83">
        <v>130</v>
      </c>
      <c r="K247" s="96">
        <f t="shared" si="41"/>
        <v>1190</v>
      </c>
      <c r="L247" s="97">
        <f t="shared" si="46"/>
        <v>43.846153846153847</v>
      </c>
      <c r="M247" s="98">
        <f t="shared" si="47"/>
        <v>6.7226890756302522</v>
      </c>
    </row>
    <row r="248" spans="1:13" x14ac:dyDescent="0.25">
      <c r="A248" t="str">
        <f t="shared" si="43"/>
        <v>3257</v>
      </c>
      <c r="B248" s="87" t="str">
        <f t="shared" si="49"/>
        <v>257</v>
      </c>
      <c r="C248" s="88"/>
      <c r="D248" s="89" t="s">
        <v>107</v>
      </c>
      <c r="E248" s="90">
        <v>2018</v>
      </c>
      <c r="F248" s="89">
        <v>80</v>
      </c>
      <c r="G248" s="89">
        <v>25</v>
      </c>
      <c r="H248" s="90">
        <f t="shared" si="45"/>
        <v>55</v>
      </c>
      <c r="I248" s="89">
        <v>1565</v>
      </c>
      <c r="J248" s="89">
        <v>161</v>
      </c>
      <c r="K248" s="93">
        <f t="shared" si="41"/>
        <v>1404</v>
      </c>
      <c r="L248" s="99">
        <f t="shared" si="46"/>
        <v>15.527950310559005</v>
      </c>
      <c r="M248" s="100">
        <f t="shared" si="47"/>
        <v>3.9173789173789171</v>
      </c>
    </row>
    <row r="249" spans="1:13" x14ac:dyDescent="0.25">
      <c r="A249" t="str">
        <f t="shared" si="43"/>
        <v>33</v>
      </c>
      <c r="B249" s="81" t="str">
        <f>LEFT(D249,LEN(D240)-(LEN(D240)-1))</f>
        <v>3</v>
      </c>
      <c r="C249" s="82"/>
      <c r="D249" s="83" t="s">
        <v>108</v>
      </c>
      <c r="E249" s="84">
        <v>2018</v>
      </c>
      <c r="F249" s="83">
        <v>1047</v>
      </c>
      <c r="G249" s="83">
        <v>198</v>
      </c>
      <c r="H249" s="84">
        <f t="shared" si="45"/>
        <v>849</v>
      </c>
      <c r="I249" s="83">
        <v>17192</v>
      </c>
      <c r="J249" s="83">
        <v>895</v>
      </c>
      <c r="K249" s="96">
        <f t="shared" si="41"/>
        <v>16297</v>
      </c>
      <c r="L249" s="97">
        <f t="shared" si="46"/>
        <v>22.122905027932958</v>
      </c>
      <c r="M249" s="98">
        <f t="shared" si="47"/>
        <v>5.2095477695281343</v>
      </c>
    </row>
    <row r="250" spans="1:13" x14ac:dyDescent="0.25">
      <c r="A250" t="str">
        <f t="shared" si="43"/>
        <v>3351</v>
      </c>
      <c r="B250" s="87" t="str">
        <f t="shared" ref="B250:B260" si="50">LEFT(D250,LEN(D241)-(LEN(D241)-3))</f>
        <v>351</v>
      </c>
      <c r="C250" s="88"/>
      <c r="D250" s="89" t="s">
        <v>109</v>
      </c>
      <c r="E250" s="90">
        <v>2018</v>
      </c>
      <c r="F250" s="89">
        <v>150</v>
      </c>
      <c r="G250" s="89">
        <v>32</v>
      </c>
      <c r="H250" s="90">
        <f t="shared" si="45"/>
        <v>118</v>
      </c>
      <c r="I250" s="89">
        <v>1801</v>
      </c>
      <c r="J250" s="89">
        <v>105</v>
      </c>
      <c r="K250" s="93">
        <f t="shared" si="41"/>
        <v>1696</v>
      </c>
      <c r="L250" s="99">
        <f t="shared" si="46"/>
        <v>30.476190476190478</v>
      </c>
      <c r="M250" s="100">
        <f t="shared" si="47"/>
        <v>6.9575471698113205</v>
      </c>
    </row>
    <row r="251" spans="1:13" x14ac:dyDescent="0.25">
      <c r="A251" t="str">
        <f t="shared" si="43"/>
        <v>3352</v>
      </c>
      <c r="B251" s="81" t="str">
        <f t="shared" si="50"/>
        <v>352</v>
      </c>
      <c r="C251" s="82"/>
      <c r="D251" s="83" t="s">
        <v>110</v>
      </c>
      <c r="E251" s="84">
        <v>2018</v>
      </c>
      <c r="F251" s="83">
        <v>141</v>
      </c>
      <c r="G251" s="83">
        <v>23</v>
      </c>
      <c r="H251" s="84">
        <f t="shared" si="45"/>
        <v>118</v>
      </c>
      <c r="I251" s="83">
        <v>1799</v>
      </c>
      <c r="J251" s="83">
        <v>120</v>
      </c>
      <c r="K251" s="96">
        <f t="shared" si="41"/>
        <v>1679</v>
      </c>
      <c r="L251" s="97">
        <f t="shared" si="46"/>
        <v>19.166666666666668</v>
      </c>
      <c r="M251" s="98">
        <f t="shared" si="47"/>
        <v>7.0279928528886249</v>
      </c>
    </row>
    <row r="252" spans="1:13" x14ac:dyDescent="0.25">
      <c r="A252" t="str">
        <f t="shared" si="43"/>
        <v>3353</v>
      </c>
      <c r="B252" s="87" t="str">
        <f t="shared" si="50"/>
        <v>353</v>
      </c>
      <c r="C252" s="88"/>
      <c r="D252" s="89" t="s">
        <v>111</v>
      </c>
      <c r="E252" s="90">
        <v>2018</v>
      </c>
      <c r="F252" s="89">
        <v>81</v>
      </c>
      <c r="G252" s="89">
        <v>18</v>
      </c>
      <c r="H252" s="90">
        <f t="shared" si="45"/>
        <v>63</v>
      </c>
      <c r="I252" s="89">
        <v>2389</v>
      </c>
      <c r="J252" s="89">
        <v>85</v>
      </c>
      <c r="K252" s="93">
        <f t="shared" si="41"/>
        <v>2304</v>
      </c>
      <c r="L252" s="99">
        <f t="shared" si="46"/>
        <v>21.176470588235293</v>
      </c>
      <c r="M252" s="100">
        <f t="shared" si="47"/>
        <v>2.734375</v>
      </c>
    </row>
    <row r="253" spans="1:13" x14ac:dyDescent="0.25">
      <c r="A253" t="str">
        <f t="shared" si="43"/>
        <v>3354</v>
      </c>
      <c r="B253" s="81" t="str">
        <f t="shared" si="50"/>
        <v>354</v>
      </c>
      <c r="C253" s="82"/>
      <c r="D253" s="83" t="s">
        <v>112</v>
      </c>
      <c r="E253" s="84">
        <v>2018</v>
      </c>
      <c r="F253" s="83">
        <v>38</v>
      </c>
      <c r="G253" s="83">
        <v>7</v>
      </c>
      <c r="H253" s="84">
        <f t="shared" si="45"/>
        <v>31</v>
      </c>
      <c r="I253" s="83">
        <v>534</v>
      </c>
      <c r="J253" s="83">
        <v>25</v>
      </c>
      <c r="K253" s="96">
        <f t="shared" si="41"/>
        <v>509</v>
      </c>
      <c r="L253" s="97">
        <f t="shared" si="46"/>
        <v>28.000000000000004</v>
      </c>
      <c r="M253" s="98">
        <f t="shared" si="47"/>
        <v>6.0903732809430258</v>
      </c>
    </row>
    <row r="254" spans="1:13" x14ac:dyDescent="0.25">
      <c r="A254" t="str">
        <f t="shared" si="43"/>
        <v>3355</v>
      </c>
      <c r="B254" s="87" t="str">
        <f t="shared" si="50"/>
        <v>355</v>
      </c>
      <c r="C254" s="88"/>
      <c r="D254" s="89" t="s">
        <v>113</v>
      </c>
      <c r="E254" s="90">
        <v>2018</v>
      </c>
      <c r="F254" s="89">
        <v>99</v>
      </c>
      <c r="G254" s="89">
        <v>15</v>
      </c>
      <c r="H254" s="90">
        <f t="shared" si="45"/>
        <v>84</v>
      </c>
      <c r="I254" s="89">
        <v>1895</v>
      </c>
      <c r="J254" s="89">
        <v>124</v>
      </c>
      <c r="K254" s="93">
        <f t="shared" si="41"/>
        <v>1771</v>
      </c>
      <c r="L254" s="99">
        <f t="shared" si="46"/>
        <v>12.096774193548388</v>
      </c>
      <c r="M254" s="100">
        <f t="shared" si="47"/>
        <v>4.7430830039525684</v>
      </c>
    </row>
    <row r="255" spans="1:13" x14ac:dyDescent="0.25">
      <c r="A255" t="str">
        <f t="shared" si="43"/>
        <v>3356</v>
      </c>
      <c r="B255" s="81" t="str">
        <f t="shared" si="50"/>
        <v>356</v>
      </c>
      <c r="C255" s="82"/>
      <c r="D255" s="83" t="s">
        <v>114</v>
      </c>
      <c r="E255" s="84">
        <v>2018</v>
      </c>
      <c r="F255" s="83">
        <v>38</v>
      </c>
      <c r="G255" s="83">
        <v>9</v>
      </c>
      <c r="H255" s="84">
        <f t="shared" si="45"/>
        <v>29</v>
      </c>
      <c r="I255" s="83">
        <v>1086</v>
      </c>
      <c r="J255" s="83">
        <v>54</v>
      </c>
      <c r="K255" s="96">
        <f t="shared" si="41"/>
        <v>1032</v>
      </c>
      <c r="L255" s="97">
        <f t="shared" si="46"/>
        <v>16.666666666666664</v>
      </c>
      <c r="M255" s="98">
        <f t="shared" si="47"/>
        <v>2.8100775193798451</v>
      </c>
    </row>
    <row r="256" spans="1:13" x14ac:dyDescent="0.25">
      <c r="A256" t="str">
        <f t="shared" si="43"/>
        <v>3357</v>
      </c>
      <c r="B256" s="87" t="str">
        <f t="shared" si="50"/>
        <v>357</v>
      </c>
      <c r="C256" s="88"/>
      <c r="D256" s="89" t="s">
        <v>115</v>
      </c>
      <c r="E256" s="90">
        <v>2018</v>
      </c>
      <c r="F256" s="89">
        <v>127</v>
      </c>
      <c r="G256" s="89">
        <v>19</v>
      </c>
      <c r="H256" s="90">
        <f t="shared" si="45"/>
        <v>108</v>
      </c>
      <c r="I256" s="89">
        <v>1970</v>
      </c>
      <c r="J256" s="89">
        <v>87</v>
      </c>
      <c r="K256" s="93">
        <f t="shared" si="41"/>
        <v>1883</v>
      </c>
      <c r="L256" s="99">
        <f t="shared" si="46"/>
        <v>21.839080459770116</v>
      </c>
      <c r="M256" s="100">
        <f t="shared" si="47"/>
        <v>5.7355284121083381</v>
      </c>
    </row>
    <row r="257" spans="1:13" x14ac:dyDescent="0.25">
      <c r="A257" t="str">
        <f t="shared" si="43"/>
        <v>3358</v>
      </c>
      <c r="B257" s="81" t="str">
        <f t="shared" si="50"/>
        <v>358</v>
      </c>
      <c r="C257" s="82"/>
      <c r="D257" s="83" t="s">
        <v>116</v>
      </c>
      <c r="E257" s="84">
        <v>2018</v>
      </c>
      <c r="F257" s="83">
        <v>104</v>
      </c>
      <c r="G257" s="83">
        <v>16</v>
      </c>
      <c r="H257" s="84">
        <f t="shared" si="45"/>
        <v>88</v>
      </c>
      <c r="I257" s="83">
        <v>1484</v>
      </c>
      <c r="J257" s="83">
        <v>64</v>
      </c>
      <c r="K257" s="96">
        <f t="shared" si="41"/>
        <v>1420</v>
      </c>
      <c r="L257" s="97">
        <f t="shared" si="46"/>
        <v>25</v>
      </c>
      <c r="M257" s="98">
        <f t="shared" si="47"/>
        <v>6.197183098591549</v>
      </c>
    </row>
    <row r="258" spans="1:13" x14ac:dyDescent="0.25">
      <c r="A258" t="str">
        <f t="shared" si="43"/>
        <v>3359</v>
      </c>
      <c r="B258" s="87" t="str">
        <f t="shared" si="50"/>
        <v>359</v>
      </c>
      <c r="C258" s="88"/>
      <c r="D258" s="89" t="s">
        <v>117</v>
      </c>
      <c r="E258" s="90">
        <v>2018</v>
      </c>
      <c r="F258" s="89">
        <v>162</v>
      </c>
      <c r="G258" s="89">
        <v>37</v>
      </c>
      <c r="H258" s="90">
        <f t="shared" si="45"/>
        <v>125</v>
      </c>
      <c r="I258" s="89">
        <v>2064</v>
      </c>
      <c r="J258" s="89">
        <v>123</v>
      </c>
      <c r="K258" s="93">
        <f t="shared" si="41"/>
        <v>1941</v>
      </c>
      <c r="L258" s="99">
        <f t="shared" si="46"/>
        <v>30.081300813008134</v>
      </c>
      <c r="M258" s="100">
        <f t="shared" si="47"/>
        <v>6.4399793920659452</v>
      </c>
    </row>
    <row r="259" spans="1:13" x14ac:dyDescent="0.25">
      <c r="A259" t="str">
        <f t="shared" si="43"/>
        <v>3360</v>
      </c>
      <c r="B259" s="81" t="str">
        <f t="shared" si="50"/>
        <v>360</v>
      </c>
      <c r="C259" s="82"/>
      <c r="D259" s="83" t="s">
        <v>118</v>
      </c>
      <c r="E259" s="84">
        <v>2018</v>
      </c>
      <c r="F259" s="83">
        <v>54</v>
      </c>
      <c r="G259" s="83">
        <v>8</v>
      </c>
      <c r="H259" s="84">
        <f t="shared" ref="H259:H278" si="51">F259-G259</f>
        <v>46</v>
      </c>
      <c r="I259" s="83">
        <v>866</v>
      </c>
      <c r="J259" s="83">
        <v>30</v>
      </c>
      <c r="K259" s="96">
        <f t="shared" si="41"/>
        <v>836</v>
      </c>
      <c r="L259" s="97">
        <f t="shared" ref="L259:L279" si="52">G259/J259*100</f>
        <v>26.666666666666668</v>
      </c>
      <c r="M259" s="98">
        <f t="shared" ref="M259:M278" si="53">H259/K259*100</f>
        <v>5.5023923444976077</v>
      </c>
    </row>
    <row r="260" spans="1:13" x14ac:dyDescent="0.25">
      <c r="A260" t="str">
        <f t="shared" si="43"/>
        <v>3361</v>
      </c>
      <c r="B260" s="87" t="str">
        <f t="shared" si="50"/>
        <v>361</v>
      </c>
      <c r="C260" s="88"/>
      <c r="D260" s="89" t="s">
        <v>119</v>
      </c>
      <c r="E260" s="90">
        <v>2018</v>
      </c>
      <c r="F260" s="89">
        <v>53</v>
      </c>
      <c r="G260" s="89">
        <v>14</v>
      </c>
      <c r="H260" s="90">
        <f t="shared" si="51"/>
        <v>39</v>
      </c>
      <c r="I260" s="89">
        <v>1304</v>
      </c>
      <c r="J260" s="89">
        <v>78</v>
      </c>
      <c r="K260" s="93">
        <f t="shared" si="41"/>
        <v>1226</v>
      </c>
      <c r="L260" s="99">
        <f t="shared" si="52"/>
        <v>17.948717948717949</v>
      </c>
      <c r="M260" s="100">
        <f t="shared" si="53"/>
        <v>3.181076672104405</v>
      </c>
    </row>
    <row r="261" spans="1:13" x14ac:dyDescent="0.25">
      <c r="A261" t="str">
        <f t="shared" si="43"/>
        <v>34</v>
      </c>
      <c r="B261" s="81" t="str">
        <f>LEFT(D261,LEN(D252)-(LEN(D252)-1))</f>
        <v>4</v>
      </c>
      <c r="C261" s="82"/>
      <c r="D261" s="83" t="s">
        <v>120</v>
      </c>
      <c r="E261" s="84">
        <v>2018</v>
      </c>
      <c r="F261" s="83">
        <v>1788</v>
      </c>
      <c r="G261" s="83">
        <v>490</v>
      </c>
      <c r="H261" s="84">
        <f t="shared" si="51"/>
        <v>1298</v>
      </c>
      <c r="I261" s="83">
        <v>27435</v>
      </c>
      <c r="J261" s="83">
        <v>1862</v>
      </c>
      <c r="K261" s="96">
        <f t="shared" si="41"/>
        <v>25573</v>
      </c>
      <c r="L261" s="97">
        <f t="shared" si="52"/>
        <v>26.315789473684209</v>
      </c>
      <c r="M261" s="98">
        <f t="shared" si="53"/>
        <v>5.0756657412114343</v>
      </c>
    </row>
    <row r="262" spans="1:13" x14ac:dyDescent="0.25">
      <c r="A262" t="str">
        <f t="shared" si="43"/>
        <v>3401</v>
      </c>
      <c r="B262" s="87" t="str">
        <f t="shared" ref="B262:B278" si="54">LEFT(D262,LEN(D253)-(LEN(D253)-3))</f>
        <v>401</v>
      </c>
      <c r="C262" s="88"/>
      <c r="D262" s="89" t="s">
        <v>121</v>
      </c>
      <c r="E262" s="90">
        <v>2018</v>
      </c>
      <c r="F262" s="89">
        <v>73</v>
      </c>
      <c r="G262" s="89">
        <v>37</v>
      </c>
      <c r="H262" s="90">
        <f t="shared" si="51"/>
        <v>36</v>
      </c>
      <c r="I262" s="89">
        <v>832</v>
      </c>
      <c r="J262" s="89">
        <v>154</v>
      </c>
      <c r="K262" s="93">
        <f t="shared" si="41"/>
        <v>678</v>
      </c>
      <c r="L262" s="99">
        <f t="shared" si="52"/>
        <v>24.025974025974026</v>
      </c>
      <c r="M262" s="100">
        <f t="shared" si="53"/>
        <v>5.3097345132743365</v>
      </c>
    </row>
    <row r="263" spans="1:13" x14ac:dyDescent="0.25">
      <c r="A263" t="str">
        <f t="shared" si="43"/>
        <v>3402</v>
      </c>
      <c r="B263" s="81" t="str">
        <f t="shared" si="54"/>
        <v>402</v>
      </c>
      <c r="C263" s="82"/>
      <c r="D263" s="83" t="s">
        <v>122</v>
      </c>
      <c r="E263" s="84">
        <v>2018</v>
      </c>
      <c r="F263" s="83">
        <v>49</v>
      </c>
      <c r="G263" s="83">
        <v>8</v>
      </c>
      <c r="H263" s="84">
        <f t="shared" si="51"/>
        <v>41</v>
      </c>
      <c r="I263" s="83">
        <v>456</v>
      </c>
      <c r="J263" s="83">
        <v>40</v>
      </c>
      <c r="K263" s="96">
        <f t="shared" ref="K263:K278" si="55">I263-J263</f>
        <v>416</v>
      </c>
      <c r="L263" s="97">
        <f t="shared" si="52"/>
        <v>20</v>
      </c>
      <c r="M263" s="98">
        <f t="shared" si="53"/>
        <v>9.8557692307692299</v>
      </c>
    </row>
    <row r="264" spans="1:13" x14ac:dyDescent="0.25">
      <c r="A264" t="str">
        <f t="shared" si="43"/>
        <v>3403</v>
      </c>
      <c r="B264" s="87" t="str">
        <f t="shared" si="54"/>
        <v>403</v>
      </c>
      <c r="C264" s="88"/>
      <c r="D264" s="89" t="s">
        <v>123</v>
      </c>
      <c r="E264" s="90">
        <v>2018</v>
      </c>
      <c r="F264" s="89">
        <v>103</v>
      </c>
      <c r="G264" s="89">
        <v>24</v>
      </c>
      <c r="H264" s="90">
        <f t="shared" si="51"/>
        <v>79</v>
      </c>
      <c r="I264" s="89">
        <v>1940</v>
      </c>
      <c r="J264" s="89">
        <v>95</v>
      </c>
      <c r="K264" s="93">
        <f t="shared" si="55"/>
        <v>1845</v>
      </c>
      <c r="L264" s="99">
        <f t="shared" si="52"/>
        <v>25.263157894736842</v>
      </c>
      <c r="M264" s="100">
        <f t="shared" si="53"/>
        <v>4.2818428184281849</v>
      </c>
    </row>
    <row r="265" spans="1:13" x14ac:dyDescent="0.25">
      <c r="A265" t="str">
        <f t="shared" si="43"/>
        <v>3404</v>
      </c>
      <c r="B265" s="81" t="str">
        <f t="shared" si="54"/>
        <v>404</v>
      </c>
      <c r="C265" s="82"/>
      <c r="D265" s="83" t="s">
        <v>124</v>
      </c>
      <c r="E265" s="84">
        <v>2018</v>
      </c>
      <c r="F265" s="83">
        <v>92</v>
      </c>
      <c r="G265" s="83">
        <v>28</v>
      </c>
      <c r="H265" s="84">
        <f t="shared" si="51"/>
        <v>64</v>
      </c>
      <c r="I265" s="83">
        <v>2036</v>
      </c>
      <c r="J265" s="83">
        <v>137</v>
      </c>
      <c r="K265" s="96">
        <f t="shared" si="55"/>
        <v>1899</v>
      </c>
      <c r="L265" s="97">
        <f t="shared" si="52"/>
        <v>20.437956204379564</v>
      </c>
      <c r="M265" s="98">
        <f t="shared" si="53"/>
        <v>3.3701948393891521</v>
      </c>
    </row>
    <row r="266" spans="1:13" x14ac:dyDescent="0.25">
      <c r="A266" t="str">
        <f t="shared" si="43"/>
        <v>3405</v>
      </c>
      <c r="B266" s="87" t="str">
        <f t="shared" si="54"/>
        <v>405</v>
      </c>
      <c r="C266" s="88"/>
      <c r="D266" s="89" t="s">
        <v>125</v>
      </c>
      <c r="E266" s="90">
        <v>2018</v>
      </c>
      <c r="F266" s="89">
        <v>44</v>
      </c>
      <c r="G266" s="89">
        <v>3</v>
      </c>
      <c r="H266" s="90">
        <f t="shared" si="51"/>
        <v>41</v>
      </c>
      <c r="I266" s="89">
        <v>748</v>
      </c>
      <c r="J266" s="89">
        <v>38</v>
      </c>
      <c r="K266" s="93">
        <f t="shared" si="55"/>
        <v>710</v>
      </c>
      <c r="L266" s="99">
        <f t="shared" si="52"/>
        <v>7.8947368421052628</v>
      </c>
      <c r="M266" s="100">
        <f t="shared" si="53"/>
        <v>5.774647887323944</v>
      </c>
    </row>
    <row r="267" spans="1:13" x14ac:dyDescent="0.25">
      <c r="A267" t="str">
        <f t="shared" si="43"/>
        <v>3451</v>
      </c>
      <c r="B267" s="81" t="str">
        <f t="shared" si="54"/>
        <v>451</v>
      </c>
      <c r="C267" s="82"/>
      <c r="D267" s="83" t="s">
        <v>126</v>
      </c>
      <c r="E267" s="84">
        <v>2018</v>
      </c>
      <c r="F267" s="83">
        <v>40</v>
      </c>
      <c r="G267" s="83">
        <v>2</v>
      </c>
      <c r="H267" s="84">
        <f t="shared" si="51"/>
        <v>38</v>
      </c>
      <c r="I267" s="83">
        <v>1245</v>
      </c>
      <c r="J267" s="83">
        <v>65</v>
      </c>
      <c r="K267" s="96">
        <f t="shared" si="55"/>
        <v>1180</v>
      </c>
      <c r="L267" s="97">
        <f t="shared" si="52"/>
        <v>3.0769230769230771</v>
      </c>
      <c r="M267" s="98">
        <f t="shared" si="53"/>
        <v>3.2203389830508473</v>
      </c>
    </row>
    <row r="268" spans="1:13" x14ac:dyDescent="0.25">
      <c r="A268" t="str">
        <f t="shared" si="43"/>
        <v>3452</v>
      </c>
      <c r="B268" s="87" t="str">
        <f t="shared" si="54"/>
        <v>452</v>
      </c>
      <c r="C268" s="88"/>
      <c r="D268" s="89" t="s">
        <v>127</v>
      </c>
      <c r="E268" s="90">
        <v>2018</v>
      </c>
      <c r="F268" s="89">
        <v>184</v>
      </c>
      <c r="G268" s="89">
        <v>18</v>
      </c>
      <c r="H268" s="90">
        <f t="shared" si="51"/>
        <v>166</v>
      </c>
      <c r="I268" s="89">
        <v>2012</v>
      </c>
      <c r="J268" s="89">
        <v>83</v>
      </c>
      <c r="K268" s="93">
        <f t="shared" si="55"/>
        <v>1929</v>
      </c>
      <c r="L268" s="99">
        <f t="shared" si="52"/>
        <v>21.686746987951807</v>
      </c>
      <c r="M268" s="100">
        <f t="shared" si="53"/>
        <v>8.6054950751684824</v>
      </c>
    </row>
    <row r="269" spans="1:13" x14ac:dyDescent="0.25">
      <c r="A269" t="str">
        <f t="shared" si="43"/>
        <v>3453</v>
      </c>
      <c r="B269" s="81" t="str">
        <f t="shared" si="54"/>
        <v>453</v>
      </c>
      <c r="C269" s="82"/>
      <c r="D269" s="83" t="s">
        <v>128</v>
      </c>
      <c r="E269" s="84">
        <v>2018</v>
      </c>
      <c r="F269" s="83">
        <v>121</v>
      </c>
      <c r="G269" s="83">
        <v>30</v>
      </c>
      <c r="H269" s="84">
        <f t="shared" si="51"/>
        <v>91</v>
      </c>
      <c r="I269" s="83">
        <v>2043</v>
      </c>
      <c r="J269" s="83">
        <v>101</v>
      </c>
      <c r="K269" s="96">
        <f t="shared" si="55"/>
        <v>1942</v>
      </c>
      <c r="L269" s="97">
        <f t="shared" si="52"/>
        <v>29.702970297029701</v>
      </c>
      <c r="M269" s="98">
        <f t="shared" si="53"/>
        <v>4.6858908341915546</v>
      </c>
    </row>
    <row r="270" spans="1:13" x14ac:dyDescent="0.25">
      <c r="A270" t="str">
        <f t="shared" si="43"/>
        <v>3454</v>
      </c>
      <c r="B270" s="87" t="str">
        <f t="shared" si="54"/>
        <v>454</v>
      </c>
      <c r="C270" s="88"/>
      <c r="D270" s="89" t="s">
        <v>129</v>
      </c>
      <c r="E270" s="90">
        <v>2018</v>
      </c>
      <c r="F270" s="89">
        <v>229</v>
      </c>
      <c r="G270" s="89">
        <v>86</v>
      </c>
      <c r="H270" s="90">
        <f t="shared" si="51"/>
        <v>143</v>
      </c>
      <c r="I270" s="89">
        <v>3605</v>
      </c>
      <c r="J270" s="89">
        <v>234</v>
      </c>
      <c r="K270" s="93">
        <f t="shared" si="55"/>
        <v>3371</v>
      </c>
      <c r="L270" s="99">
        <f t="shared" si="52"/>
        <v>36.752136752136757</v>
      </c>
      <c r="M270" s="100">
        <f t="shared" si="53"/>
        <v>4.2420646692376147</v>
      </c>
    </row>
    <row r="271" spans="1:13" x14ac:dyDescent="0.25">
      <c r="A271" t="str">
        <f t="shared" si="43"/>
        <v>3455</v>
      </c>
      <c r="B271" s="81" t="str">
        <f t="shared" si="54"/>
        <v>455</v>
      </c>
      <c r="C271" s="82"/>
      <c r="D271" s="83" t="s">
        <v>130</v>
      </c>
      <c r="E271" s="84">
        <v>2018</v>
      </c>
      <c r="F271" s="83">
        <v>100</v>
      </c>
      <c r="G271" s="83">
        <v>10</v>
      </c>
      <c r="H271" s="84">
        <f t="shared" si="51"/>
        <v>90</v>
      </c>
      <c r="I271" s="83">
        <v>992</v>
      </c>
      <c r="J271" s="83">
        <v>39</v>
      </c>
      <c r="K271" s="96">
        <f t="shared" si="55"/>
        <v>953</v>
      </c>
      <c r="L271" s="97">
        <f t="shared" si="52"/>
        <v>25.641025641025639</v>
      </c>
      <c r="M271" s="98">
        <f t="shared" si="53"/>
        <v>9.4438614900314803</v>
      </c>
    </row>
    <row r="272" spans="1:13" x14ac:dyDescent="0.25">
      <c r="A272" t="str">
        <f t="shared" si="43"/>
        <v>3456</v>
      </c>
      <c r="B272" s="87" t="str">
        <f t="shared" si="54"/>
        <v>456</v>
      </c>
      <c r="C272" s="88"/>
      <c r="D272" s="89" t="s">
        <v>131</v>
      </c>
      <c r="E272" s="90">
        <v>2018</v>
      </c>
      <c r="F272" s="89">
        <v>92</v>
      </c>
      <c r="G272" s="89">
        <v>22</v>
      </c>
      <c r="H272" s="90">
        <f t="shared" si="51"/>
        <v>70</v>
      </c>
      <c r="I272" s="89">
        <v>1535</v>
      </c>
      <c r="J272" s="89">
        <v>140</v>
      </c>
      <c r="K272" s="93">
        <f t="shared" si="55"/>
        <v>1395</v>
      </c>
      <c r="L272" s="99">
        <f t="shared" si="52"/>
        <v>15.714285714285714</v>
      </c>
      <c r="M272" s="100">
        <f t="shared" si="53"/>
        <v>5.0179211469534053</v>
      </c>
    </row>
    <row r="273" spans="1:13" x14ac:dyDescent="0.25">
      <c r="A273" t="str">
        <f t="shared" si="43"/>
        <v>3457</v>
      </c>
      <c r="B273" s="81" t="str">
        <f t="shared" si="54"/>
        <v>457</v>
      </c>
      <c r="C273" s="82"/>
      <c r="D273" s="83" t="s">
        <v>132</v>
      </c>
      <c r="E273" s="84">
        <v>2018</v>
      </c>
      <c r="F273" s="83">
        <v>108</v>
      </c>
      <c r="G273" s="83">
        <v>31</v>
      </c>
      <c r="H273" s="84">
        <f t="shared" si="51"/>
        <v>77</v>
      </c>
      <c r="I273" s="83">
        <v>1640</v>
      </c>
      <c r="J273" s="83">
        <v>92</v>
      </c>
      <c r="K273" s="96">
        <f t="shared" si="55"/>
        <v>1548</v>
      </c>
      <c r="L273" s="97">
        <f t="shared" si="52"/>
        <v>33.695652173913047</v>
      </c>
      <c r="M273" s="98">
        <f t="shared" si="53"/>
        <v>4.9741602067183459</v>
      </c>
    </row>
    <row r="274" spans="1:13" x14ac:dyDescent="0.25">
      <c r="A274" t="str">
        <f t="shared" si="43"/>
        <v>3458</v>
      </c>
      <c r="B274" s="87" t="str">
        <f t="shared" si="54"/>
        <v>458</v>
      </c>
      <c r="C274" s="88"/>
      <c r="D274" s="89" t="s">
        <v>133</v>
      </c>
      <c r="E274" s="90">
        <v>2018</v>
      </c>
      <c r="F274" s="89">
        <v>76</v>
      </c>
      <c r="G274" s="89">
        <v>23</v>
      </c>
      <c r="H274" s="90">
        <f t="shared" si="51"/>
        <v>53</v>
      </c>
      <c r="I274" s="89">
        <v>1382</v>
      </c>
      <c r="J274" s="89">
        <v>92</v>
      </c>
      <c r="K274" s="93">
        <f t="shared" si="55"/>
        <v>1290</v>
      </c>
      <c r="L274" s="99">
        <f t="shared" si="52"/>
        <v>25</v>
      </c>
      <c r="M274" s="100">
        <f t="shared" si="53"/>
        <v>4.1085271317829459</v>
      </c>
    </row>
    <row r="275" spans="1:13" x14ac:dyDescent="0.25">
      <c r="A275" t="str">
        <f t="shared" si="43"/>
        <v>3459</v>
      </c>
      <c r="B275" s="81" t="str">
        <f t="shared" si="54"/>
        <v>459</v>
      </c>
      <c r="C275" s="82"/>
      <c r="D275" s="83" t="s">
        <v>134</v>
      </c>
      <c r="E275" s="84">
        <v>2018</v>
      </c>
      <c r="F275" s="83">
        <v>224</v>
      </c>
      <c r="G275" s="83">
        <v>78</v>
      </c>
      <c r="H275" s="84">
        <f t="shared" si="51"/>
        <v>146</v>
      </c>
      <c r="I275" s="83">
        <v>3391</v>
      </c>
      <c r="J275" s="83">
        <v>247</v>
      </c>
      <c r="K275" s="96">
        <f t="shared" si="55"/>
        <v>3144</v>
      </c>
      <c r="L275" s="97">
        <f t="shared" si="52"/>
        <v>31.578947368421051</v>
      </c>
      <c r="M275" s="98">
        <f t="shared" si="53"/>
        <v>4.6437659033078882</v>
      </c>
    </row>
    <row r="276" spans="1:13" x14ac:dyDescent="0.25">
      <c r="A276" t="str">
        <f t="shared" ref="A276:A278" si="56">3&amp;B276</f>
        <v>3460</v>
      </c>
      <c r="B276" s="87" t="str">
        <f t="shared" si="54"/>
        <v>460</v>
      </c>
      <c r="C276" s="88"/>
      <c r="D276" s="89" t="s">
        <v>135</v>
      </c>
      <c r="E276" s="90">
        <v>2018</v>
      </c>
      <c r="F276" s="89">
        <v>157</v>
      </c>
      <c r="G276" s="89">
        <v>66</v>
      </c>
      <c r="H276" s="90">
        <f t="shared" si="51"/>
        <v>91</v>
      </c>
      <c r="I276" s="89">
        <v>1840</v>
      </c>
      <c r="J276" s="89">
        <v>175</v>
      </c>
      <c r="K276" s="93">
        <f t="shared" si="55"/>
        <v>1665</v>
      </c>
      <c r="L276" s="99">
        <f t="shared" si="52"/>
        <v>37.714285714285715</v>
      </c>
      <c r="M276" s="100">
        <f t="shared" si="53"/>
        <v>5.4654654654654653</v>
      </c>
    </row>
    <row r="277" spans="1:13" x14ac:dyDescent="0.25">
      <c r="A277" t="str">
        <f t="shared" si="56"/>
        <v>3461</v>
      </c>
      <c r="B277" s="81" t="str">
        <f t="shared" si="54"/>
        <v>461</v>
      </c>
      <c r="C277" s="82"/>
      <c r="D277" s="83" t="s">
        <v>136</v>
      </c>
      <c r="E277" s="84">
        <v>2018</v>
      </c>
      <c r="F277" s="83">
        <v>63</v>
      </c>
      <c r="G277" s="83">
        <v>23</v>
      </c>
      <c r="H277" s="84">
        <f t="shared" si="51"/>
        <v>40</v>
      </c>
      <c r="I277" s="83">
        <v>1053</v>
      </c>
      <c r="J277" s="83">
        <v>100</v>
      </c>
      <c r="K277" s="96">
        <f t="shared" si="55"/>
        <v>953</v>
      </c>
      <c r="L277" s="97">
        <f t="shared" si="52"/>
        <v>23</v>
      </c>
      <c r="M277" s="98">
        <f t="shared" si="53"/>
        <v>4.1972717733473237</v>
      </c>
    </row>
    <row r="278" spans="1:13" x14ac:dyDescent="0.25">
      <c r="A278" t="str">
        <f t="shared" si="56"/>
        <v>3462</v>
      </c>
      <c r="B278" s="87" t="str">
        <f t="shared" si="54"/>
        <v>462</v>
      </c>
      <c r="C278" s="88"/>
      <c r="D278" s="89" t="s">
        <v>137</v>
      </c>
      <c r="E278" s="90">
        <v>2018</v>
      </c>
      <c r="F278" s="89">
        <v>33</v>
      </c>
      <c r="G278" s="89">
        <v>1</v>
      </c>
      <c r="H278" s="90">
        <f t="shared" si="51"/>
        <v>32</v>
      </c>
      <c r="I278" s="89">
        <v>685</v>
      </c>
      <c r="J278" s="89">
        <v>30</v>
      </c>
      <c r="K278" s="93">
        <f t="shared" si="55"/>
        <v>655</v>
      </c>
      <c r="L278" s="99">
        <f t="shared" si="52"/>
        <v>3.3333333333333335</v>
      </c>
      <c r="M278" s="100">
        <f t="shared" si="53"/>
        <v>4.885496183206107</v>
      </c>
    </row>
    <row r="279" spans="1:13" x14ac:dyDescent="0.25">
      <c r="A279" s="61">
        <v>30</v>
      </c>
      <c r="B279" s="81">
        <v>0</v>
      </c>
      <c r="C279" s="82"/>
      <c r="D279" s="83" t="s">
        <v>82</v>
      </c>
      <c r="E279" s="84">
        <v>2019</v>
      </c>
      <c r="F279" s="105">
        <f t="array" ref="F279">VLOOKUP('2019_B5_Berechnung'!B19:$B$330&amp;$P$16,CHOOSE({1,2},Tabelle3[Spalte1]&amp;Tabelle3[Spalte2],Tabelle3[Spalte3]),2,FALSE)</f>
        <v>5424</v>
      </c>
      <c r="G279" s="105">
        <f t="array" ref="G279">VLOOKUP('2019_B5_Berechnung'!B19:$B$330&amp;$P$16,CHOOSE({1,2},Tabelle3[Spalte1]&amp;Tabelle3[Spalte2],Tabelle3[Spalte5]),2,FALSE)</f>
        <v>1516</v>
      </c>
      <c r="H279" s="106">
        <f>F279-G279</f>
        <v>3908</v>
      </c>
      <c r="I279" s="105">
        <f t="array" ref="I279">VLOOKUP('2019_B5_Berechnung'!B19:$B$330&amp;$Q$16,CHOOSE({1,2},Tabelle3[Spalte1]&amp;Tabelle3[Spalte2],Tabelle3[Spalte3]),2,FALSE)</f>
        <v>80172</v>
      </c>
      <c r="J279" s="105">
        <f t="array" ref="J279">VLOOKUP('2019_B5_Berechnung'!B19:$B$330&amp;$Q$16,CHOOSE({1,2},Tabelle3[Spalte1]&amp;Tabelle3[Spalte2],Tabelle3[Spalte5]),2,FALSE)</f>
        <v>6555</v>
      </c>
      <c r="K279" s="106">
        <f>I279-J279</f>
        <v>73617</v>
      </c>
      <c r="L279" s="99">
        <f t="shared" si="52"/>
        <v>23.12738367658276</v>
      </c>
      <c r="M279" s="115">
        <f>H279/K279*100</f>
        <v>5.3085564475596669</v>
      </c>
    </row>
    <row r="280" spans="1:13" x14ac:dyDescent="0.25">
      <c r="A280" s="61">
        <v>31</v>
      </c>
      <c r="B280" s="107">
        <v>1</v>
      </c>
      <c r="C280" s="108"/>
      <c r="D280" s="89" t="s">
        <v>88</v>
      </c>
      <c r="E280" s="109">
        <v>2019</v>
      </c>
      <c r="F280" s="105">
        <f t="array" ref="F280">VLOOKUP('2019_B5_Berechnung'!B20:$B$330&amp;$P$16,CHOOSE({1,2},Tabelle3[Spalte1]&amp;Tabelle3[Spalte2],Tabelle3[Spalte3]),2,FALSE)</f>
        <v>912</v>
      </c>
      <c r="G280" s="105">
        <f t="array" ref="G280">VLOOKUP('2019_B5_Berechnung'!B20:$B$330&amp;$P$16,CHOOSE({1,2},Tabelle3[Spalte1]&amp;Tabelle3[Spalte2],Tabelle3[Spalte5]),2,FALSE)</f>
        <v>237</v>
      </c>
      <c r="H280" s="106">
        <f t="shared" ref="H280:H330" si="57">F280-G280</f>
        <v>675</v>
      </c>
      <c r="I280" s="105">
        <f t="array" ref="I280">VLOOKUP('2019_B5_Berechnung'!B20:$B$330&amp;$Q$16,CHOOSE({1,2},Tabelle3[Spalte1]&amp;Tabelle3[Spalte2],Tabelle3[Spalte3]),2,FALSE)</f>
        <v>15002</v>
      </c>
      <c r="J280" s="105">
        <f t="array" ref="J280">VLOOKUP('2019_B5_Berechnung'!B20:$B$330&amp;$Q$16,CHOOSE({1,2},Tabelle3[Spalte1]&amp;Tabelle3[Spalte2],Tabelle3[Spalte5]),2,FALSE)</f>
        <v>1269</v>
      </c>
      <c r="K280" s="106">
        <f t="shared" ref="K280:K330" si="58">I280-J280</f>
        <v>13733</v>
      </c>
      <c r="L280" s="99">
        <f t="shared" ref="L280:L330" si="59">G280/J280*100</f>
        <v>18.67612293144208</v>
      </c>
      <c r="M280" s="115">
        <f t="shared" ref="M280:M330" si="60">H280/K280*100</f>
        <v>4.915167843879706</v>
      </c>
    </row>
    <row r="281" spans="1:13" x14ac:dyDescent="0.25">
      <c r="A281" s="61">
        <v>3101</v>
      </c>
      <c r="B281" s="110">
        <v>101</v>
      </c>
      <c r="C281" s="111"/>
      <c r="D281" s="83" t="s">
        <v>89</v>
      </c>
      <c r="E281" s="112">
        <v>2019</v>
      </c>
      <c r="F281" s="105">
        <f t="array" ref="F281">VLOOKUP('2019_B5_Berechnung'!B21:$B$330&amp;$P$16,CHOOSE({1,2},Tabelle3[Spalte1]&amp;Tabelle3[Spalte2],Tabelle3[Spalte3]),2,FALSE)</f>
        <v>148</v>
      </c>
      <c r="G281" s="105">
        <f t="array" ref="G281">VLOOKUP('2019_B5_Berechnung'!B21:$B$330&amp;$P$16,CHOOSE({1,2},Tabelle3[Spalte1]&amp;Tabelle3[Spalte2],Tabelle3[Spalte5]),2,FALSE)</f>
        <v>27</v>
      </c>
      <c r="H281" s="106">
        <f t="shared" si="57"/>
        <v>121</v>
      </c>
      <c r="I281" s="105">
        <f t="array" ref="I281">VLOOKUP('2019_B5_Berechnung'!B21:$B$330&amp;$Q$16,CHOOSE({1,2},Tabelle3[Spalte1]&amp;Tabelle3[Spalte2],Tabelle3[Spalte3]),2,FALSE)</f>
        <v>2414</v>
      </c>
      <c r="J281" s="105">
        <f t="array" ref="J281">VLOOKUP('2019_B5_Berechnung'!B21:$B$330&amp;$Q$16,CHOOSE({1,2},Tabelle3[Spalte1]&amp;Tabelle3[Spalte2],Tabelle3[Spalte5]),2,FALSE)</f>
        <v>155</v>
      </c>
      <c r="K281" s="106">
        <f t="shared" si="58"/>
        <v>2259</v>
      </c>
      <c r="L281" s="99">
        <f t="shared" si="59"/>
        <v>17.419354838709676</v>
      </c>
      <c r="M281" s="115">
        <f t="shared" si="60"/>
        <v>5.3563523683045595</v>
      </c>
    </row>
    <row r="282" spans="1:13" x14ac:dyDescent="0.25">
      <c r="A282" s="61">
        <v>3102</v>
      </c>
      <c r="B282" s="107">
        <v>102</v>
      </c>
      <c r="C282" s="108"/>
      <c r="D282" s="89" t="s">
        <v>90</v>
      </c>
      <c r="E282" s="109">
        <v>2019</v>
      </c>
      <c r="F282" s="105">
        <f t="array" ref="F282">VLOOKUP('2019_B5_Berechnung'!B22:$B$330&amp;$P$16,CHOOSE({1,2},Tabelle3[Spalte1]&amp;Tabelle3[Spalte2],Tabelle3[Spalte3]),2,FALSE)</f>
        <v>86</v>
      </c>
      <c r="G282" s="105">
        <f t="array" ref="G282">VLOOKUP('2019_B5_Berechnung'!B22:$B$330&amp;$P$16,CHOOSE({1,2},Tabelle3[Spalte1]&amp;Tabelle3[Spalte2],Tabelle3[Spalte5]),2,FALSE)</f>
        <v>32</v>
      </c>
      <c r="H282" s="106">
        <f t="shared" si="57"/>
        <v>54</v>
      </c>
      <c r="I282" s="105">
        <f t="array" ref="I282">VLOOKUP('2019_B5_Berechnung'!B22:$B$330&amp;$Q$16,CHOOSE({1,2},Tabelle3[Spalte1]&amp;Tabelle3[Spalte2],Tabelle3[Spalte3]),2,FALSE)</f>
        <v>1042</v>
      </c>
      <c r="J282" s="105">
        <f t="array" ref="J282">VLOOKUP('2019_B5_Berechnung'!B22:$B$330&amp;$Q$16,CHOOSE({1,2},Tabelle3[Spalte1]&amp;Tabelle3[Spalte2],Tabelle3[Spalte5]),2,FALSE)</f>
        <v>222</v>
      </c>
      <c r="K282" s="106">
        <f t="shared" si="58"/>
        <v>820</v>
      </c>
      <c r="L282" s="99">
        <f t="shared" si="59"/>
        <v>14.414414414414415</v>
      </c>
      <c r="M282" s="115">
        <f t="shared" si="60"/>
        <v>6.5853658536585371</v>
      </c>
    </row>
    <row r="283" spans="1:13" x14ac:dyDescent="0.25">
      <c r="A283" s="61">
        <v>3103</v>
      </c>
      <c r="B283" s="110">
        <v>103</v>
      </c>
      <c r="C283" s="111"/>
      <c r="D283" s="83" t="s">
        <v>91</v>
      </c>
      <c r="E283" s="112">
        <v>2019</v>
      </c>
      <c r="F283" s="105">
        <f t="array" ref="F283">VLOOKUP('2019_B5_Berechnung'!B23:$B$330&amp;$P$16,CHOOSE({1,2},Tabelle3[Spalte1]&amp;Tabelle3[Spalte2],Tabelle3[Spalte3]),2,FALSE)</f>
        <v>80</v>
      </c>
      <c r="G283" s="105">
        <f t="array" ref="G283">VLOOKUP('2019_B5_Berechnung'!B23:$B$330&amp;$P$16,CHOOSE({1,2},Tabelle3[Spalte1]&amp;Tabelle3[Spalte2],Tabelle3[Spalte5]),2,FALSE)</f>
        <v>29</v>
      </c>
      <c r="H283" s="106">
        <f t="shared" si="57"/>
        <v>51</v>
      </c>
      <c r="I283" s="105">
        <f t="array" ref="I283">VLOOKUP('2019_B5_Berechnung'!B23:$B$330&amp;$Q$16,CHOOSE({1,2},Tabelle3[Spalte1]&amp;Tabelle3[Spalte2],Tabelle3[Spalte3]),2,FALSE)</f>
        <v>1447</v>
      </c>
      <c r="J283" s="105">
        <f t="array" ref="J283">VLOOKUP('2019_B5_Berechnung'!B23:$B$330&amp;$Q$16,CHOOSE({1,2},Tabelle3[Spalte1]&amp;Tabelle3[Spalte2],Tabelle3[Spalte5]),2,FALSE)</f>
        <v>187</v>
      </c>
      <c r="K283" s="106">
        <f t="shared" si="58"/>
        <v>1260</v>
      </c>
      <c r="L283" s="99">
        <f t="shared" si="59"/>
        <v>15.508021390374333</v>
      </c>
      <c r="M283" s="115">
        <f t="shared" si="60"/>
        <v>4.0476190476190474</v>
      </c>
    </row>
    <row r="284" spans="1:13" x14ac:dyDescent="0.25">
      <c r="A284" s="61">
        <v>3151</v>
      </c>
      <c r="B284" s="107">
        <v>151</v>
      </c>
      <c r="C284" s="108"/>
      <c r="D284" s="89" t="s">
        <v>92</v>
      </c>
      <c r="E284" s="109">
        <v>2019</v>
      </c>
      <c r="F284" s="105">
        <f t="array" ref="F284">VLOOKUP('2019_B5_Berechnung'!B24:$B$330&amp;$P$16,CHOOSE({1,2},Tabelle3[Spalte1]&amp;Tabelle3[Spalte2],Tabelle3[Spalte3]),2,FALSE)</f>
        <v>55</v>
      </c>
      <c r="G284" s="105">
        <f t="array" ref="G284">VLOOKUP('2019_B5_Berechnung'!B24:$B$330&amp;$P$16,CHOOSE({1,2},Tabelle3[Spalte1]&amp;Tabelle3[Spalte2],Tabelle3[Spalte5]),2,FALSE)</f>
        <v>8</v>
      </c>
      <c r="H284" s="106">
        <f t="shared" si="57"/>
        <v>47</v>
      </c>
      <c r="I284" s="105">
        <f t="array" ref="I284">VLOOKUP('2019_B5_Berechnung'!B24:$B$330&amp;$Q$16,CHOOSE({1,2},Tabelle3[Spalte1]&amp;Tabelle3[Spalte2],Tabelle3[Spalte3]),2,FALSE)</f>
        <v>1589</v>
      </c>
      <c r="J284" s="105">
        <f t="array" ref="J284">VLOOKUP('2019_B5_Berechnung'!B24:$B$330&amp;$Q$16,CHOOSE({1,2},Tabelle3[Spalte1]&amp;Tabelle3[Spalte2],Tabelle3[Spalte5]),2,FALSE)</f>
        <v>76</v>
      </c>
      <c r="K284" s="106">
        <f t="shared" si="58"/>
        <v>1513</v>
      </c>
      <c r="L284" s="99">
        <f t="shared" si="59"/>
        <v>10.526315789473683</v>
      </c>
      <c r="M284" s="115">
        <f t="shared" si="60"/>
        <v>3.1064111037673494</v>
      </c>
    </row>
    <row r="285" spans="1:13" x14ac:dyDescent="0.25">
      <c r="A285" s="61">
        <v>3153</v>
      </c>
      <c r="B285" s="110">
        <v>153</v>
      </c>
      <c r="C285" s="111"/>
      <c r="D285" s="83" t="s">
        <v>93</v>
      </c>
      <c r="E285" s="112">
        <v>2019</v>
      </c>
      <c r="F285" s="105">
        <f t="array" ref="F285">VLOOKUP('2019_B5_Berechnung'!B25:$B$330&amp;$P$16,CHOOSE({1,2},Tabelle3[Spalte1]&amp;Tabelle3[Spalte2],Tabelle3[Spalte3]),2,FALSE)</f>
        <v>88</v>
      </c>
      <c r="G285" s="105">
        <f t="array" ref="G285">VLOOKUP('2019_B5_Berechnung'!B25:$B$330&amp;$P$16,CHOOSE({1,2},Tabelle3[Spalte1]&amp;Tabelle3[Spalte2],Tabelle3[Spalte5]),2,FALSE)</f>
        <v>18</v>
      </c>
      <c r="H285" s="106">
        <f t="shared" si="57"/>
        <v>70</v>
      </c>
      <c r="I285" s="105">
        <f t="array" ref="I285">VLOOKUP('2019_B5_Berechnung'!B25:$B$330&amp;$Q$16,CHOOSE({1,2},Tabelle3[Spalte1]&amp;Tabelle3[Spalte2],Tabelle3[Spalte3]),2,FALSE)</f>
        <v>1150</v>
      </c>
      <c r="J285" s="105">
        <f t="array" ref="J285">VLOOKUP('2019_B5_Berechnung'!B25:$B$330&amp;$Q$16,CHOOSE({1,2},Tabelle3[Spalte1]&amp;Tabelle3[Spalte2],Tabelle3[Spalte5]),2,FALSE)</f>
        <v>98</v>
      </c>
      <c r="K285" s="106">
        <f t="shared" si="58"/>
        <v>1052</v>
      </c>
      <c r="L285" s="99">
        <f t="shared" si="59"/>
        <v>18.367346938775512</v>
      </c>
      <c r="M285" s="115">
        <f t="shared" si="60"/>
        <v>6.6539923954372622</v>
      </c>
    </row>
    <row r="286" spans="1:13" x14ac:dyDescent="0.25">
      <c r="A286" s="61">
        <v>3154</v>
      </c>
      <c r="B286" s="107">
        <v>154</v>
      </c>
      <c r="C286" s="108"/>
      <c r="D286" s="89" t="s">
        <v>94</v>
      </c>
      <c r="E286" s="109">
        <v>2019</v>
      </c>
      <c r="F286" s="105">
        <f t="array" ref="F286">VLOOKUP('2019_B5_Berechnung'!B26:$B$330&amp;$P$16,CHOOSE({1,2},Tabelle3[Spalte1]&amp;Tabelle3[Spalte2],Tabelle3[Spalte3]),2,FALSE)</f>
        <v>58</v>
      </c>
      <c r="G286" s="105">
        <f t="array" ref="G286">VLOOKUP('2019_B5_Berechnung'!B26:$B$330&amp;$P$16,CHOOSE({1,2},Tabelle3[Spalte1]&amp;Tabelle3[Spalte2],Tabelle3[Spalte5]),2,FALSE)</f>
        <v>11</v>
      </c>
      <c r="H286" s="106">
        <f t="shared" si="57"/>
        <v>47</v>
      </c>
      <c r="I286" s="105">
        <f t="array" ref="I286">VLOOKUP('2019_B5_Berechnung'!B26:$B$330&amp;$Q$16,CHOOSE({1,2},Tabelle3[Spalte1]&amp;Tabelle3[Spalte2],Tabelle3[Spalte3]),2,FALSE)</f>
        <v>687</v>
      </c>
      <c r="J286" s="105">
        <f t="array" ref="J286">VLOOKUP('2019_B5_Berechnung'!B26:$B$330&amp;$Q$16,CHOOSE({1,2},Tabelle3[Spalte1]&amp;Tabelle3[Spalte2],Tabelle3[Spalte5]),2,FALSE)</f>
        <v>54</v>
      </c>
      <c r="K286" s="106">
        <f t="shared" si="58"/>
        <v>633</v>
      </c>
      <c r="L286" s="99">
        <f t="shared" si="59"/>
        <v>20.37037037037037</v>
      </c>
      <c r="M286" s="115">
        <f t="shared" si="60"/>
        <v>7.4249605055292252</v>
      </c>
    </row>
    <row r="287" spans="1:13" x14ac:dyDescent="0.25">
      <c r="A287" s="61">
        <v>3155</v>
      </c>
      <c r="B287" s="110">
        <v>155</v>
      </c>
      <c r="C287" s="111"/>
      <c r="D287" s="83" t="s">
        <v>95</v>
      </c>
      <c r="E287" s="112">
        <v>2019</v>
      </c>
      <c r="F287" s="105">
        <f t="array" ref="F287">VLOOKUP('2019_B5_Berechnung'!B27:$B$330&amp;$P$16,CHOOSE({1,2},Tabelle3[Spalte1]&amp;Tabelle3[Spalte2],Tabelle3[Spalte3]),2,FALSE)</f>
        <v>69</v>
      </c>
      <c r="G287" s="105">
        <f t="array" ref="G287">VLOOKUP('2019_B5_Berechnung'!B27:$B$330&amp;$P$16,CHOOSE({1,2},Tabelle3[Spalte1]&amp;Tabelle3[Spalte2],Tabelle3[Spalte5]),2,FALSE)</f>
        <v>16</v>
      </c>
      <c r="H287" s="106">
        <f t="shared" si="57"/>
        <v>53</v>
      </c>
      <c r="I287" s="105">
        <f t="array" ref="I287">VLOOKUP('2019_B5_Berechnung'!B27:$B$330&amp;$Q$16,CHOOSE({1,2},Tabelle3[Spalte1]&amp;Tabelle3[Spalte2],Tabelle3[Spalte3]),2,FALSE)</f>
        <v>1309</v>
      </c>
      <c r="J287" s="105">
        <f t="array" ref="J287">VLOOKUP('2019_B5_Berechnung'!B27:$B$330&amp;$Q$16,CHOOSE({1,2},Tabelle3[Spalte1]&amp;Tabelle3[Spalte2],Tabelle3[Spalte5]),2,FALSE)</f>
        <v>79</v>
      </c>
      <c r="K287" s="106">
        <f t="shared" si="58"/>
        <v>1230</v>
      </c>
      <c r="L287" s="99">
        <f t="shared" si="59"/>
        <v>20.253164556962027</v>
      </c>
      <c r="M287" s="115">
        <f t="shared" si="60"/>
        <v>4.308943089430894</v>
      </c>
    </row>
    <row r="288" spans="1:13" x14ac:dyDescent="0.25">
      <c r="A288" s="61">
        <v>3157</v>
      </c>
      <c r="B288" s="107">
        <v>157</v>
      </c>
      <c r="C288" s="108"/>
      <c r="D288" s="89" t="s">
        <v>96</v>
      </c>
      <c r="E288" s="109">
        <v>2019</v>
      </c>
      <c r="F288" s="105">
        <f t="array" ref="F288">VLOOKUP('2019_B5_Berechnung'!B28:$B$330&amp;$P$16,CHOOSE({1,2},Tabelle3[Spalte1]&amp;Tabelle3[Spalte2],Tabelle3[Spalte3]),2,FALSE)</f>
        <v>55</v>
      </c>
      <c r="G288" s="105">
        <f t="array" ref="G288">VLOOKUP('2019_B5_Berechnung'!B28:$B$330&amp;$P$16,CHOOSE({1,2},Tabelle3[Spalte1]&amp;Tabelle3[Spalte2],Tabelle3[Spalte5]),2,FALSE)</f>
        <v>18</v>
      </c>
      <c r="H288" s="106">
        <f t="shared" si="57"/>
        <v>37</v>
      </c>
      <c r="I288" s="105">
        <f t="array" ref="I288">VLOOKUP('2019_B5_Berechnung'!B28:$B$330&amp;$Q$16,CHOOSE({1,2},Tabelle3[Spalte1]&amp;Tabelle3[Spalte2],Tabelle3[Spalte3]),2,FALSE)</f>
        <v>1356</v>
      </c>
      <c r="J288" s="105">
        <f t="array" ref="J288">VLOOKUP('2019_B5_Berechnung'!B28:$B$330&amp;$Q$16,CHOOSE({1,2},Tabelle3[Spalte1]&amp;Tabelle3[Spalte2],Tabelle3[Spalte5]),2,FALSE)</f>
        <v>101</v>
      </c>
      <c r="K288" s="106">
        <f t="shared" si="58"/>
        <v>1255</v>
      </c>
      <c r="L288" s="99">
        <f t="shared" si="59"/>
        <v>17.82178217821782</v>
      </c>
      <c r="M288" s="115">
        <f t="shared" si="60"/>
        <v>2.9482071713147411</v>
      </c>
    </row>
    <row r="289" spans="1:13" x14ac:dyDescent="0.25">
      <c r="A289" s="61">
        <v>3158</v>
      </c>
      <c r="B289" s="110">
        <v>158</v>
      </c>
      <c r="C289" s="111"/>
      <c r="D289" s="83" t="s">
        <v>97</v>
      </c>
      <c r="E289" s="112">
        <v>2019</v>
      </c>
      <c r="F289" s="105">
        <f t="array" ref="F289">VLOOKUP('2019_B5_Berechnung'!B29:$B$330&amp;$P$16,CHOOSE({1,2},Tabelle3[Spalte1]&amp;Tabelle3[Spalte2],Tabelle3[Spalte3]),2,FALSE)</f>
        <v>60</v>
      </c>
      <c r="G289" s="105">
        <f t="array" ref="G289">VLOOKUP('2019_B5_Berechnung'!B29:$B$330&amp;$P$16,CHOOSE({1,2},Tabelle3[Spalte1]&amp;Tabelle3[Spalte2],Tabelle3[Spalte5]),2,FALSE)</f>
        <v>17</v>
      </c>
      <c r="H289" s="106">
        <f t="shared" si="57"/>
        <v>43</v>
      </c>
      <c r="I289" s="105">
        <f t="array" ref="I289">VLOOKUP('2019_B5_Berechnung'!B29:$B$330&amp;$Q$16,CHOOSE({1,2},Tabelle3[Spalte1]&amp;Tabelle3[Spalte2],Tabelle3[Spalte3]),2,FALSE)</f>
        <v>1009</v>
      </c>
      <c r="J289" s="105">
        <f t="array" ref="J289">VLOOKUP('2019_B5_Berechnung'!B29:$B$330&amp;$Q$16,CHOOSE({1,2},Tabelle3[Spalte1]&amp;Tabelle3[Spalte2],Tabelle3[Spalte5]),2,FALSE)</f>
        <v>62</v>
      </c>
      <c r="K289" s="106">
        <f t="shared" si="58"/>
        <v>947</v>
      </c>
      <c r="L289" s="99">
        <f t="shared" si="59"/>
        <v>27.419354838709676</v>
      </c>
      <c r="M289" s="115">
        <f t="shared" si="60"/>
        <v>4.5406546990496306</v>
      </c>
    </row>
    <row r="290" spans="1:13" x14ac:dyDescent="0.25">
      <c r="A290" s="61">
        <v>3159</v>
      </c>
      <c r="B290" s="107">
        <v>159</v>
      </c>
      <c r="C290" s="108"/>
      <c r="D290" s="89" t="s">
        <v>98</v>
      </c>
      <c r="E290" s="109">
        <v>2019</v>
      </c>
      <c r="F290" s="105">
        <f t="array" ref="F290">VLOOKUP('2019_B5_Berechnung'!B30:$B$330&amp;$P$16,CHOOSE({1,2},Tabelle3[Spalte1]&amp;Tabelle3[Spalte2],Tabelle3[Spalte3]),2,FALSE)</f>
        <v>213</v>
      </c>
      <c r="G290" s="105">
        <f t="array" ref="G290">VLOOKUP('2019_B5_Berechnung'!B30:$B$330&amp;$P$16,CHOOSE({1,2},Tabelle3[Spalte1]&amp;Tabelle3[Spalte2],Tabelle3[Spalte5]),2,FALSE)</f>
        <v>61</v>
      </c>
      <c r="H290" s="106">
        <f t="shared" si="57"/>
        <v>152</v>
      </c>
      <c r="I290" s="105">
        <f t="array" ref="I290">VLOOKUP('2019_B5_Berechnung'!B30:$B$330&amp;$Q$16,CHOOSE({1,2},Tabelle3[Spalte1]&amp;Tabelle3[Spalte2],Tabelle3[Spalte3]),2,FALSE)</f>
        <v>2999</v>
      </c>
      <c r="J290" s="105">
        <f t="array" ref="J290">VLOOKUP('2019_B5_Berechnung'!B30:$B$330&amp;$Q$16,CHOOSE({1,2},Tabelle3[Spalte1]&amp;Tabelle3[Spalte2],Tabelle3[Spalte5]),2,FALSE)</f>
        <v>235</v>
      </c>
      <c r="K290" s="106">
        <f t="shared" si="58"/>
        <v>2764</v>
      </c>
      <c r="L290" s="99">
        <f t="shared" si="59"/>
        <v>25.957446808510635</v>
      </c>
      <c r="M290" s="115">
        <f t="shared" si="60"/>
        <v>5.4992764109985526</v>
      </c>
    </row>
    <row r="291" spans="1:13" x14ac:dyDescent="0.25">
      <c r="A291" s="61">
        <v>32</v>
      </c>
      <c r="B291" s="81">
        <v>2</v>
      </c>
      <c r="C291" s="82"/>
      <c r="D291" s="83" t="s">
        <v>99</v>
      </c>
      <c r="E291" s="112">
        <v>2019</v>
      </c>
      <c r="F291" s="105">
        <f t="array" ref="F291">VLOOKUP('2019_B5_Berechnung'!B31:$B$330&amp;$P$16,CHOOSE({1,2},Tabelle3[Spalte1]&amp;Tabelle3[Spalte2],Tabelle3[Spalte3]),2,FALSE)</f>
        <v>1411</v>
      </c>
      <c r="G291" s="105">
        <f t="array" ref="G291">VLOOKUP('2019_B5_Berechnung'!B31:$B$330&amp;$P$16,CHOOSE({1,2},Tabelle3[Spalte1]&amp;Tabelle3[Spalte2],Tabelle3[Spalte5]),2,FALSE)</f>
        <v>490</v>
      </c>
      <c r="H291" s="106">
        <f t="shared" si="57"/>
        <v>921</v>
      </c>
      <c r="I291" s="105">
        <f t="array" ref="I291">VLOOKUP('2019_B5_Berechnung'!B31:$B$330&amp;$Q$16,CHOOSE({1,2},Tabelle3[Spalte1]&amp;Tabelle3[Spalte2],Tabelle3[Spalte3]),2,FALSE)</f>
        <v>21034</v>
      </c>
      <c r="J291" s="105">
        <f t="array" ref="J291">VLOOKUP('2019_B5_Berechnung'!B31:$B$330&amp;$Q$16,CHOOSE({1,2},Tabelle3[Spalte1]&amp;Tabelle3[Spalte2],Tabelle3[Spalte5]),2,FALSE)</f>
        <v>2183</v>
      </c>
      <c r="K291" s="106">
        <f t="shared" si="58"/>
        <v>18851</v>
      </c>
      <c r="L291" s="99">
        <f t="shared" si="59"/>
        <v>22.44617498854787</v>
      </c>
      <c r="M291" s="115">
        <f t="shared" si="60"/>
        <v>4.8856824571640765</v>
      </c>
    </row>
    <row r="292" spans="1:13" x14ac:dyDescent="0.25">
      <c r="A292" s="61">
        <v>3241</v>
      </c>
      <c r="B292" s="107">
        <v>241</v>
      </c>
      <c r="C292" s="108"/>
      <c r="D292" s="89" t="s">
        <v>100</v>
      </c>
      <c r="E292" s="109">
        <v>2019</v>
      </c>
      <c r="F292" s="105">
        <f t="array" ref="F292">VLOOKUP('2019_B5_Berechnung'!B32:$B$330&amp;$P$16,CHOOSE({1,2},Tabelle3[Spalte1]&amp;Tabelle3[Spalte2],Tabelle3[Spalte3]),2,FALSE)</f>
        <v>660</v>
      </c>
      <c r="G292" s="105">
        <f t="array" ref="G292">VLOOKUP('2019_B5_Berechnung'!B32:$B$330&amp;$P$16,CHOOSE({1,2},Tabelle3[Spalte1]&amp;Tabelle3[Spalte2],Tabelle3[Spalte5]),2,FALSE)</f>
        <v>259</v>
      </c>
      <c r="H292" s="106">
        <f t="shared" si="57"/>
        <v>401</v>
      </c>
      <c r="I292" s="105">
        <f t="array" ref="I292">VLOOKUP('2019_B5_Berechnung'!B32:$B$330&amp;$Q$16,CHOOSE({1,2},Tabelle3[Spalte1]&amp;Tabelle3[Spalte2],Tabelle3[Spalte3]),2,FALSE)</f>
        <v>11195</v>
      </c>
      <c r="J292" s="105">
        <f t="array" ref="J292">VLOOKUP('2019_B5_Berechnung'!B32:$B$330&amp;$Q$16,CHOOSE({1,2},Tabelle3[Spalte1]&amp;Tabelle3[Spalte2],Tabelle3[Spalte5]),2,FALSE)</f>
        <v>1311</v>
      </c>
      <c r="K292" s="106">
        <f t="shared" si="58"/>
        <v>9884</v>
      </c>
      <c r="L292" s="99">
        <f t="shared" si="59"/>
        <v>19.755911517925249</v>
      </c>
      <c r="M292" s="115">
        <f t="shared" si="60"/>
        <v>4.05706191825172</v>
      </c>
    </row>
    <row r="293" spans="1:13" x14ac:dyDescent="0.25">
      <c r="A293" s="61">
        <v>3241001</v>
      </c>
      <c r="B293" s="110">
        <v>241001</v>
      </c>
      <c r="C293" s="111"/>
      <c r="D293" s="83" t="s">
        <v>101</v>
      </c>
      <c r="E293" s="112">
        <v>2019</v>
      </c>
      <c r="F293" s="105">
        <f t="array" ref="F293">VLOOKUP('2019_B5_Berechnung'!B33:$B$330&amp;$P$16,CHOOSE({1,2},Tabelle3[Spalte1]&amp;Tabelle3[Spalte2],Tabelle3[Spalte3]),2,FALSE)</f>
        <v>320</v>
      </c>
      <c r="G293" s="105">
        <f t="array" ref="G293">VLOOKUP('2019_B5_Berechnung'!B33:$B$330&amp;$P$16,CHOOSE({1,2},Tabelle3[Spalte1]&amp;Tabelle3[Spalte2],Tabelle3[Spalte5]),2,FALSE)</f>
        <v>135</v>
      </c>
      <c r="H293" s="106">
        <f t="shared" si="57"/>
        <v>185</v>
      </c>
      <c r="I293" s="105">
        <f t="array" ref="I293">VLOOKUP('2019_B5_Berechnung'!B33:$B$330&amp;$Q$16,CHOOSE({1,2},Tabelle3[Spalte1]&amp;Tabelle3[Spalte2],Tabelle3[Spalte3]),2,FALSE)</f>
        <v>4805</v>
      </c>
      <c r="J293" s="105">
        <f t="array" ref="J293">VLOOKUP('2019_B5_Berechnung'!B33:$B$330&amp;$Q$16,CHOOSE({1,2},Tabelle3[Spalte1]&amp;Tabelle3[Spalte2],Tabelle3[Spalte5]),2,FALSE)</f>
        <v>638</v>
      </c>
      <c r="K293" s="106">
        <f t="shared" si="58"/>
        <v>4167</v>
      </c>
      <c r="L293" s="99">
        <f t="shared" si="59"/>
        <v>21.159874608150471</v>
      </c>
      <c r="M293" s="115">
        <f t="shared" si="60"/>
        <v>4.4396448284137264</v>
      </c>
    </row>
    <row r="294" spans="1:13" x14ac:dyDescent="0.25">
      <c r="A294" s="61">
        <v>3241999</v>
      </c>
      <c r="B294" s="107">
        <v>241999</v>
      </c>
      <c r="C294" s="108"/>
      <c r="D294" s="89" t="s">
        <v>179</v>
      </c>
      <c r="E294" s="109">
        <v>2019</v>
      </c>
      <c r="F294" s="105">
        <f t="array" ref="F294">VLOOKUP('2019_B5_Berechnung'!B34:$B$330&amp;$P$16,CHOOSE({1,2},Tabelle3[Spalte1]&amp;Tabelle3[Spalte2],Tabelle3[Spalte3]),2,FALSE)</f>
        <v>340</v>
      </c>
      <c r="G294" s="105">
        <f t="array" ref="G294">VLOOKUP('2019_B5_Berechnung'!B34:$B$330&amp;$P$16,CHOOSE({1,2},Tabelle3[Spalte1]&amp;Tabelle3[Spalte2],Tabelle3[Spalte5]),2,FALSE)</f>
        <v>124</v>
      </c>
      <c r="H294" s="106">
        <f t="shared" si="57"/>
        <v>216</v>
      </c>
      <c r="I294" s="105">
        <f t="array" ref="I294">VLOOKUP('2019_B5_Berechnung'!B34:$B$330&amp;$Q$16,CHOOSE({1,2},Tabelle3[Spalte1]&amp;Tabelle3[Spalte2],Tabelle3[Spalte3]),2,FALSE)</f>
        <v>6390</v>
      </c>
      <c r="J294" s="105">
        <f t="array" ref="J294">VLOOKUP('2019_B5_Berechnung'!B34:$B$330&amp;$Q$16,CHOOSE({1,2},Tabelle3[Spalte1]&amp;Tabelle3[Spalte2],Tabelle3[Spalte5]),2,FALSE)</f>
        <v>673</v>
      </c>
      <c r="K294" s="106">
        <f t="shared" si="58"/>
        <v>5717</v>
      </c>
      <c r="L294" s="99">
        <f t="shared" si="59"/>
        <v>18.424962852897476</v>
      </c>
      <c r="M294" s="115">
        <f t="shared" si="60"/>
        <v>3.7782053524575825</v>
      </c>
    </row>
    <row r="295" spans="1:13" x14ac:dyDescent="0.25">
      <c r="A295" s="61">
        <v>3251</v>
      </c>
      <c r="B295" s="110">
        <v>251</v>
      </c>
      <c r="C295" s="111"/>
      <c r="D295" s="83" t="s">
        <v>102</v>
      </c>
      <c r="E295" s="112">
        <v>2019</v>
      </c>
      <c r="F295" s="105">
        <f t="array" ref="F295">VLOOKUP('2019_B5_Berechnung'!B35:$B$330&amp;$P$16,CHOOSE({1,2},Tabelle3[Spalte1]&amp;Tabelle3[Spalte2],Tabelle3[Spalte3]),2,FALSE)</f>
        <v>123</v>
      </c>
      <c r="G295" s="105">
        <f t="array" ref="G295">VLOOKUP('2019_B5_Berechnung'!B35:$B$330&amp;$P$16,CHOOSE({1,2},Tabelle3[Spalte1]&amp;Tabelle3[Spalte2],Tabelle3[Spalte5]),2,FALSE)</f>
        <v>43</v>
      </c>
      <c r="H295" s="106">
        <f t="shared" si="57"/>
        <v>80</v>
      </c>
      <c r="I295" s="105">
        <f t="array" ref="I295">VLOOKUP('2019_B5_Berechnung'!B35:$B$330&amp;$Q$16,CHOOSE({1,2},Tabelle3[Spalte1]&amp;Tabelle3[Spalte2],Tabelle3[Spalte3]),2,FALSE)</f>
        <v>2253</v>
      </c>
      <c r="J295" s="105">
        <f t="array" ref="J295">VLOOKUP('2019_B5_Berechnung'!B35:$B$330&amp;$Q$16,CHOOSE({1,2},Tabelle3[Spalte1]&amp;Tabelle3[Spalte2],Tabelle3[Spalte5]),2,FALSE)</f>
        <v>150</v>
      </c>
      <c r="K295" s="106">
        <f t="shared" si="58"/>
        <v>2103</v>
      </c>
      <c r="L295" s="99">
        <f t="shared" si="59"/>
        <v>28.666666666666668</v>
      </c>
      <c r="M295" s="115">
        <f t="shared" si="60"/>
        <v>3.8040893961008084</v>
      </c>
    </row>
    <row r="296" spans="1:13" x14ac:dyDescent="0.25">
      <c r="A296" s="61">
        <v>3252</v>
      </c>
      <c r="B296" s="107">
        <v>252</v>
      </c>
      <c r="C296" s="108"/>
      <c r="D296" s="89" t="s">
        <v>103</v>
      </c>
      <c r="E296" s="109">
        <v>2019</v>
      </c>
      <c r="F296" s="105">
        <f t="array" ref="F296">VLOOKUP('2019_B5_Berechnung'!B36:$B$330&amp;$P$16,CHOOSE({1,2},Tabelle3[Spalte1]&amp;Tabelle3[Spalte2],Tabelle3[Spalte3]),2,FALSE)</f>
        <v>147</v>
      </c>
      <c r="G296" s="105">
        <f t="array" ref="G296">VLOOKUP('2019_B5_Berechnung'!B36:$B$330&amp;$P$16,CHOOSE({1,2},Tabelle3[Spalte1]&amp;Tabelle3[Spalte2],Tabelle3[Spalte5]),2,FALSE)</f>
        <v>54</v>
      </c>
      <c r="H296" s="106">
        <f t="shared" si="57"/>
        <v>93</v>
      </c>
      <c r="I296" s="105">
        <f t="array" ref="I296">VLOOKUP('2019_B5_Berechnung'!B36:$B$330&amp;$Q$16,CHOOSE({1,2},Tabelle3[Spalte1]&amp;Tabelle3[Spalte2],Tabelle3[Spalte3]),2,FALSE)</f>
        <v>1392</v>
      </c>
      <c r="J296" s="105">
        <f t="array" ref="J296">VLOOKUP('2019_B5_Berechnung'!B36:$B$330&amp;$Q$16,CHOOSE({1,2},Tabelle3[Spalte1]&amp;Tabelle3[Spalte2],Tabelle3[Spalte5]),2,FALSE)</f>
        <v>171</v>
      </c>
      <c r="K296" s="106">
        <f t="shared" si="58"/>
        <v>1221</v>
      </c>
      <c r="L296" s="99">
        <f t="shared" si="59"/>
        <v>31.578947368421051</v>
      </c>
      <c r="M296" s="115">
        <f t="shared" si="60"/>
        <v>7.6167076167076173</v>
      </c>
    </row>
    <row r="297" spans="1:13" x14ac:dyDescent="0.25">
      <c r="A297" s="61">
        <v>3254</v>
      </c>
      <c r="B297" s="110">
        <v>254</v>
      </c>
      <c r="C297" s="111"/>
      <c r="D297" s="83" t="s">
        <v>104</v>
      </c>
      <c r="E297" s="112">
        <v>2019</v>
      </c>
      <c r="F297" s="105">
        <f t="array" ref="F297">VLOOKUP('2019_B5_Berechnung'!B37:$B$330&amp;$P$16,CHOOSE({1,2},Tabelle3[Spalte1]&amp;Tabelle3[Spalte2],Tabelle3[Spalte3]),2,FALSE)</f>
        <v>211</v>
      </c>
      <c r="G297" s="105">
        <f t="array" ref="G297">VLOOKUP('2019_B5_Berechnung'!B37:$B$330&amp;$P$16,CHOOSE({1,2},Tabelle3[Spalte1]&amp;Tabelle3[Spalte2],Tabelle3[Spalte5]),2,FALSE)</f>
        <v>72</v>
      </c>
      <c r="H297" s="106">
        <f t="shared" si="57"/>
        <v>139</v>
      </c>
      <c r="I297" s="105">
        <f t="array" ref="I297">VLOOKUP('2019_B5_Berechnung'!B37:$B$330&amp;$Q$16,CHOOSE({1,2},Tabelle3[Spalte1]&amp;Tabelle3[Spalte2],Tabelle3[Spalte3]),2,FALSE)</f>
        <v>2919</v>
      </c>
      <c r="J297" s="105">
        <f t="array" ref="J297">VLOOKUP('2019_B5_Berechnung'!B37:$B$330&amp;$Q$16,CHOOSE({1,2},Tabelle3[Spalte1]&amp;Tabelle3[Spalte2],Tabelle3[Spalte5]),2,FALSE)</f>
        <v>262</v>
      </c>
      <c r="K297" s="106">
        <f t="shared" si="58"/>
        <v>2657</v>
      </c>
      <c r="L297" s="99">
        <f t="shared" si="59"/>
        <v>27.480916030534353</v>
      </c>
      <c r="M297" s="115">
        <f t="shared" si="60"/>
        <v>5.2314640572073765</v>
      </c>
    </row>
    <row r="298" spans="1:13" x14ac:dyDescent="0.25">
      <c r="A298" s="61">
        <v>3255</v>
      </c>
      <c r="B298" s="107">
        <v>255</v>
      </c>
      <c r="C298" s="108"/>
      <c r="D298" s="89" t="s">
        <v>105</v>
      </c>
      <c r="E298" s="109">
        <v>2019</v>
      </c>
      <c r="F298" s="105">
        <f t="array" ref="F298">VLOOKUP('2019_B5_Berechnung'!B38:$B$330&amp;$P$16,CHOOSE({1,2},Tabelle3[Spalte1]&amp;Tabelle3[Spalte2],Tabelle3[Spalte3]),2,FALSE)</f>
        <v>63</v>
      </c>
      <c r="G298" s="105">
        <f t="array" ref="G298">VLOOKUP('2019_B5_Berechnung'!B38:$B$330&amp;$P$16,CHOOSE({1,2},Tabelle3[Spalte1]&amp;Tabelle3[Spalte2],Tabelle3[Spalte5]),2,FALSE)</f>
        <v>7</v>
      </c>
      <c r="H298" s="106">
        <f t="shared" si="57"/>
        <v>56</v>
      </c>
      <c r="I298" s="105">
        <f t="array" ref="I298">VLOOKUP('2019_B5_Berechnung'!B38:$B$330&amp;$Q$16,CHOOSE({1,2},Tabelle3[Spalte1]&amp;Tabelle3[Spalte2],Tabelle3[Spalte3]),2,FALSE)</f>
        <v>515</v>
      </c>
      <c r="J298" s="105">
        <f t="array" ref="J298">VLOOKUP('2019_B5_Berechnung'!B38:$B$330&amp;$Q$16,CHOOSE({1,2},Tabelle3[Spalte1]&amp;Tabelle3[Spalte2],Tabelle3[Spalte5]),2,FALSE)</f>
        <v>34</v>
      </c>
      <c r="K298" s="106">
        <f t="shared" si="58"/>
        <v>481</v>
      </c>
      <c r="L298" s="99">
        <f t="shared" si="59"/>
        <v>20.588235294117645</v>
      </c>
      <c r="M298" s="115">
        <f t="shared" si="60"/>
        <v>11.642411642411643</v>
      </c>
    </row>
    <row r="299" spans="1:13" x14ac:dyDescent="0.25">
      <c r="A299" s="61">
        <v>3256</v>
      </c>
      <c r="B299" s="110">
        <v>256</v>
      </c>
      <c r="C299" s="111"/>
      <c r="D299" s="83" t="s">
        <v>106</v>
      </c>
      <c r="E299" s="112">
        <v>2019</v>
      </c>
      <c r="F299" s="105">
        <f t="array" ref="F299">VLOOKUP('2019_B5_Berechnung'!B39:$B$330&amp;$P$16,CHOOSE({1,2},Tabelle3[Spalte1]&amp;Tabelle3[Spalte2],Tabelle3[Spalte3]),2,FALSE)</f>
        <v>85</v>
      </c>
      <c r="G299" s="105">
        <f t="array" ref="G299">VLOOKUP('2019_B5_Berechnung'!B39:$B$330&amp;$P$16,CHOOSE({1,2},Tabelle3[Spalte1]&amp;Tabelle3[Spalte2],Tabelle3[Spalte5]),2,FALSE)</f>
        <v>25</v>
      </c>
      <c r="H299" s="106">
        <f t="shared" si="57"/>
        <v>60</v>
      </c>
      <c r="I299" s="105">
        <f t="array" ref="I299">VLOOKUP('2019_B5_Berechnung'!B39:$B$330&amp;$Q$16,CHOOSE({1,2},Tabelle3[Spalte1]&amp;Tabelle3[Spalte2],Tabelle3[Spalte3]),2,FALSE)</f>
        <v>1267</v>
      </c>
      <c r="J299" s="105">
        <f t="array" ref="J299">VLOOKUP('2019_B5_Berechnung'!B39:$B$330&amp;$Q$16,CHOOSE({1,2},Tabelle3[Spalte1]&amp;Tabelle3[Spalte2],Tabelle3[Spalte5]),2,FALSE)</f>
        <v>124</v>
      </c>
      <c r="K299" s="106">
        <f t="shared" si="58"/>
        <v>1143</v>
      </c>
      <c r="L299" s="99">
        <f t="shared" si="59"/>
        <v>20.161290322580644</v>
      </c>
      <c r="M299" s="115">
        <f t="shared" si="60"/>
        <v>5.2493438320209975</v>
      </c>
    </row>
    <row r="300" spans="1:13" x14ac:dyDescent="0.25">
      <c r="A300" s="61">
        <v>3257</v>
      </c>
      <c r="B300" s="107">
        <v>257</v>
      </c>
      <c r="C300" s="108"/>
      <c r="D300" s="89" t="s">
        <v>107</v>
      </c>
      <c r="E300" s="109">
        <v>2019</v>
      </c>
      <c r="F300" s="105">
        <f t="array" ref="F300">VLOOKUP('2019_B5_Berechnung'!B40:$B$330&amp;$P$16,CHOOSE({1,2},Tabelle3[Spalte1]&amp;Tabelle3[Spalte2],Tabelle3[Spalte3]),2,FALSE)</f>
        <v>122</v>
      </c>
      <c r="G300" s="105">
        <f t="array" ref="G300">VLOOKUP('2019_B5_Berechnung'!B40:$B$330&amp;$P$16,CHOOSE({1,2},Tabelle3[Spalte1]&amp;Tabelle3[Spalte2],Tabelle3[Spalte5]),2,FALSE)</f>
        <v>30</v>
      </c>
      <c r="H300" s="106">
        <f t="shared" si="57"/>
        <v>92</v>
      </c>
      <c r="I300" s="105">
        <f t="array" ref="I300">VLOOKUP('2019_B5_Berechnung'!B40:$B$330&amp;$Q$16,CHOOSE({1,2},Tabelle3[Spalte1]&amp;Tabelle3[Spalte2],Tabelle3[Spalte3]),2,FALSE)</f>
        <v>1493</v>
      </c>
      <c r="J300" s="105">
        <f t="array" ref="J300">VLOOKUP('2019_B5_Berechnung'!B40:$B$330&amp;$Q$16,CHOOSE({1,2},Tabelle3[Spalte1]&amp;Tabelle3[Spalte2],Tabelle3[Spalte5]),2,FALSE)</f>
        <v>131</v>
      </c>
      <c r="K300" s="106">
        <f t="shared" si="58"/>
        <v>1362</v>
      </c>
      <c r="L300" s="99">
        <f t="shared" si="59"/>
        <v>22.900763358778626</v>
      </c>
      <c r="M300" s="115">
        <f t="shared" si="60"/>
        <v>6.7547723935389135</v>
      </c>
    </row>
    <row r="301" spans="1:13" x14ac:dyDescent="0.25">
      <c r="A301" s="61">
        <v>33</v>
      </c>
      <c r="B301" s="110">
        <v>3</v>
      </c>
      <c r="C301" s="111"/>
      <c r="D301" s="83" t="s">
        <v>108</v>
      </c>
      <c r="E301" s="112">
        <v>2019</v>
      </c>
      <c r="F301" s="105">
        <f t="array" ref="F301">VLOOKUP('2019_B5_Berechnung'!B41:$B$330&amp;$P$16,CHOOSE({1,2},Tabelle3[Spalte1]&amp;Tabelle3[Spalte2],Tabelle3[Spalte3]),2,FALSE)</f>
        <v>1129</v>
      </c>
      <c r="G301" s="105">
        <f t="array" ref="G301">VLOOKUP('2019_B5_Berechnung'!B41:$B$330&amp;$P$16,CHOOSE({1,2},Tabelle3[Spalte1]&amp;Tabelle3[Spalte2],Tabelle3[Spalte5]),2,FALSE)</f>
        <v>229</v>
      </c>
      <c r="H301" s="106">
        <f t="shared" si="57"/>
        <v>900</v>
      </c>
      <c r="I301" s="105">
        <f t="array" ref="I301">VLOOKUP('2019_B5_Berechnung'!B41:$B$330&amp;$Q$16,CHOOSE({1,2},Tabelle3[Spalte1]&amp;Tabelle3[Spalte2],Tabelle3[Spalte3]),2,FALSE)</f>
        <v>17040</v>
      </c>
      <c r="J301" s="105">
        <f t="array" ref="J301">VLOOKUP('2019_B5_Berechnung'!B41:$B$330&amp;$Q$16,CHOOSE({1,2},Tabelle3[Spalte1]&amp;Tabelle3[Spalte2],Tabelle3[Spalte5]),2,FALSE)</f>
        <v>939</v>
      </c>
      <c r="K301" s="106">
        <f t="shared" si="58"/>
        <v>16101</v>
      </c>
      <c r="L301" s="99">
        <f t="shared" si="59"/>
        <v>24.387646432374869</v>
      </c>
      <c r="M301" s="115">
        <f t="shared" si="60"/>
        <v>5.5897149245388489</v>
      </c>
    </row>
    <row r="302" spans="1:13" x14ac:dyDescent="0.25">
      <c r="A302" s="61">
        <v>3351</v>
      </c>
      <c r="B302" s="107">
        <v>351</v>
      </c>
      <c r="C302" s="108"/>
      <c r="D302" s="89" t="s">
        <v>109</v>
      </c>
      <c r="E302" s="109">
        <v>2019</v>
      </c>
      <c r="F302" s="105">
        <f t="array" ref="F302">VLOOKUP('2019_B5_Berechnung'!B42:$B$330&amp;$P$16,CHOOSE({1,2},Tabelle3[Spalte1]&amp;Tabelle3[Spalte2],Tabelle3[Spalte3]),2,FALSE)</f>
        <v>123</v>
      </c>
      <c r="G302" s="105">
        <f t="array" ref="G302">VLOOKUP('2019_B5_Berechnung'!B42:$B$330&amp;$P$16,CHOOSE({1,2},Tabelle3[Spalte1]&amp;Tabelle3[Spalte2],Tabelle3[Spalte5]),2,FALSE)</f>
        <v>30</v>
      </c>
      <c r="H302" s="106">
        <f t="shared" si="57"/>
        <v>93</v>
      </c>
      <c r="I302" s="105">
        <f t="array" ref="I302">VLOOKUP('2019_B5_Berechnung'!B42:$B$330&amp;$Q$16,CHOOSE({1,2},Tabelle3[Spalte1]&amp;Tabelle3[Spalte2],Tabelle3[Spalte3]),2,FALSE)</f>
        <v>1722</v>
      </c>
      <c r="J302" s="105">
        <f t="array" ref="J302">VLOOKUP('2019_B5_Berechnung'!B42:$B$330&amp;$Q$16,CHOOSE({1,2},Tabelle3[Spalte1]&amp;Tabelle3[Spalte2],Tabelle3[Spalte5]),2,FALSE)</f>
        <v>121</v>
      </c>
      <c r="K302" s="106">
        <f t="shared" si="58"/>
        <v>1601</v>
      </c>
      <c r="L302" s="99">
        <f t="shared" si="59"/>
        <v>24.793388429752067</v>
      </c>
      <c r="M302" s="115">
        <f t="shared" si="60"/>
        <v>5.8088694565896315</v>
      </c>
    </row>
    <row r="303" spans="1:13" x14ac:dyDescent="0.25">
      <c r="A303" s="61">
        <v>3352</v>
      </c>
      <c r="B303" s="110">
        <v>352</v>
      </c>
      <c r="C303" s="111"/>
      <c r="D303" s="83" t="s">
        <v>110</v>
      </c>
      <c r="E303" s="112">
        <v>2019</v>
      </c>
      <c r="F303" s="105">
        <f t="array" ref="F303">VLOOKUP('2019_B5_Berechnung'!B43:$B$330&amp;$P$16,CHOOSE({1,2},Tabelle3[Spalte1]&amp;Tabelle3[Spalte2],Tabelle3[Spalte3]),2,FALSE)</f>
        <v>151</v>
      </c>
      <c r="G303" s="105">
        <f t="array" ref="G303">VLOOKUP('2019_B5_Berechnung'!B43:$B$330&amp;$P$16,CHOOSE({1,2},Tabelle3[Spalte1]&amp;Tabelle3[Spalte2],Tabelle3[Spalte5]),2,FALSE)</f>
        <v>35</v>
      </c>
      <c r="H303" s="106">
        <f t="shared" si="57"/>
        <v>116</v>
      </c>
      <c r="I303" s="105">
        <f t="array" ref="I303">VLOOKUP('2019_B5_Berechnung'!B43:$B$330&amp;$Q$16,CHOOSE({1,2},Tabelle3[Spalte1]&amp;Tabelle3[Spalte2],Tabelle3[Spalte3]),2,FALSE)</f>
        <v>1795</v>
      </c>
      <c r="J303" s="105">
        <f t="array" ref="J303">VLOOKUP('2019_B5_Berechnung'!B43:$B$330&amp;$Q$16,CHOOSE({1,2},Tabelle3[Spalte1]&amp;Tabelle3[Spalte2],Tabelle3[Spalte5]),2,FALSE)</f>
        <v>128</v>
      </c>
      <c r="K303" s="106">
        <f t="shared" si="58"/>
        <v>1667</v>
      </c>
      <c r="L303" s="99">
        <f t="shared" si="59"/>
        <v>27.34375</v>
      </c>
      <c r="M303" s="115">
        <f t="shared" si="60"/>
        <v>6.9586082783443315</v>
      </c>
    </row>
    <row r="304" spans="1:13" x14ac:dyDescent="0.25">
      <c r="A304" s="61">
        <v>3353</v>
      </c>
      <c r="B304" s="107">
        <v>353</v>
      </c>
      <c r="C304" s="108"/>
      <c r="D304" s="89" t="s">
        <v>111</v>
      </c>
      <c r="E304" s="109">
        <v>2019</v>
      </c>
      <c r="F304" s="105">
        <f t="array" ref="F304">VLOOKUP('2019_B5_Berechnung'!B44:$B$330&amp;$P$16,CHOOSE({1,2},Tabelle3[Spalte1]&amp;Tabelle3[Spalte2],Tabelle3[Spalte3]),2,FALSE)</f>
        <v>120</v>
      </c>
      <c r="G304" s="105">
        <f t="array" ref="G304">VLOOKUP('2019_B5_Berechnung'!B44:$B$330&amp;$P$16,CHOOSE({1,2},Tabelle3[Spalte1]&amp;Tabelle3[Spalte2],Tabelle3[Spalte5]),2,FALSE)</f>
        <v>21</v>
      </c>
      <c r="H304" s="106">
        <f t="shared" si="57"/>
        <v>99</v>
      </c>
      <c r="I304" s="105">
        <f t="array" ref="I304">VLOOKUP('2019_B5_Berechnung'!B44:$B$330&amp;$Q$16,CHOOSE({1,2},Tabelle3[Spalte1]&amp;Tabelle3[Spalte2],Tabelle3[Spalte3]),2,FALSE)</f>
        <v>2372</v>
      </c>
      <c r="J304" s="105">
        <f t="array" ref="J304">VLOOKUP('2019_B5_Berechnung'!B44:$B$330&amp;$Q$16,CHOOSE({1,2},Tabelle3[Spalte1]&amp;Tabelle3[Spalte2],Tabelle3[Spalte5]),2,FALSE)</f>
        <v>116</v>
      </c>
      <c r="K304" s="106">
        <f t="shared" si="58"/>
        <v>2256</v>
      </c>
      <c r="L304" s="99">
        <f t="shared" si="59"/>
        <v>18.103448275862068</v>
      </c>
      <c r="M304" s="115">
        <f t="shared" si="60"/>
        <v>4.3882978723404253</v>
      </c>
    </row>
    <row r="305" spans="1:13" x14ac:dyDescent="0.25">
      <c r="A305" s="61">
        <v>3354</v>
      </c>
      <c r="B305" s="110">
        <v>354</v>
      </c>
      <c r="C305" s="111"/>
      <c r="D305" s="83" t="s">
        <v>112</v>
      </c>
      <c r="E305" s="112">
        <v>2019</v>
      </c>
      <c r="F305" s="105">
        <f t="array" ref="F305">VLOOKUP('2019_B5_Berechnung'!B45:$B$330&amp;$P$16,CHOOSE({1,2},Tabelle3[Spalte1]&amp;Tabelle3[Spalte2],Tabelle3[Spalte3]),2,FALSE)</f>
        <v>43</v>
      </c>
      <c r="G305" s="105">
        <f t="array" ref="G305">VLOOKUP('2019_B5_Berechnung'!B45:$B$330&amp;$P$16,CHOOSE({1,2},Tabelle3[Spalte1]&amp;Tabelle3[Spalte2],Tabelle3[Spalte5]),2,FALSE)</f>
        <v>3</v>
      </c>
      <c r="H305" s="106">
        <f t="shared" si="57"/>
        <v>40</v>
      </c>
      <c r="I305" s="105">
        <f t="array" ref="I305">VLOOKUP('2019_B5_Berechnung'!B45:$B$330&amp;$Q$16,CHOOSE({1,2},Tabelle3[Spalte1]&amp;Tabelle3[Spalte2],Tabelle3[Spalte3]),2,FALSE)</f>
        <v>552</v>
      </c>
      <c r="J305" s="105">
        <f t="array" ref="J305">VLOOKUP('2019_B5_Berechnung'!B45:$B$330&amp;$Q$16,CHOOSE({1,2},Tabelle3[Spalte1]&amp;Tabelle3[Spalte2],Tabelle3[Spalte5]),2,FALSE)</f>
        <v>18</v>
      </c>
      <c r="K305" s="106">
        <f t="shared" si="58"/>
        <v>534</v>
      </c>
      <c r="L305" s="99">
        <f t="shared" si="59"/>
        <v>16.666666666666664</v>
      </c>
      <c r="M305" s="115">
        <f t="shared" si="60"/>
        <v>7.4906367041198507</v>
      </c>
    </row>
    <row r="306" spans="1:13" x14ac:dyDescent="0.25">
      <c r="A306" s="61">
        <v>3355</v>
      </c>
      <c r="B306" s="107">
        <v>355</v>
      </c>
      <c r="C306" s="108"/>
      <c r="D306" s="89" t="s">
        <v>113</v>
      </c>
      <c r="E306" s="109">
        <v>2019</v>
      </c>
      <c r="F306" s="105">
        <f t="array" ref="F306">VLOOKUP('2019_B5_Berechnung'!B46:$B$330&amp;$P$16,CHOOSE({1,2},Tabelle3[Spalte1]&amp;Tabelle3[Spalte2],Tabelle3[Spalte3]),2,FALSE)</f>
        <v>109</v>
      </c>
      <c r="G306" s="105">
        <f t="array" ref="G306">VLOOKUP('2019_B5_Berechnung'!B46:$B$330&amp;$P$16,CHOOSE({1,2},Tabelle3[Spalte1]&amp;Tabelle3[Spalte2],Tabelle3[Spalte5]),2,FALSE)</f>
        <v>27</v>
      </c>
      <c r="H306" s="106">
        <f t="shared" si="57"/>
        <v>82</v>
      </c>
      <c r="I306" s="105">
        <f t="array" ref="I306">VLOOKUP('2019_B5_Berechnung'!B46:$B$330&amp;$Q$16,CHOOSE({1,2},Tabelle3[Spalte1]&amp;Tabelle3[Spalte2],Tabelle3[Spalte3]),2,FALSE)</f>
        <v>1909</v>
      </c>
      <c r="J306" s="105">
        <f t="array" ref="J306">VLOOKUP('2019_B5_Berechnung'!B46:$B$330&amp;$Q$16,CHOOSE({1,2},Tabelle3[Spalte1]&amp;Tabelle3[Spalte2],Tabelle3[Spalte5]),2,FALSE)</f>
        <v>133</v>
      </c>
      <c r="K306" s="106">
        <f t="shared" si="58"/>
        <v>1776</v>
      </c>
      <c r="L306" s="99">
        <f t="shared" si="59"/>
        <v>20.300751879699249</v>
      </c>
      <c r="M306" s="115">
        <f t="shared" si="60"/>
        <v>4.6171171171171173</v>
      </c>
    </row>
    <row r="307" spans="1:13" x14ac:dyDescent="0.25">
      <c r="A307" s="61">
        <v>3356</v>
      </c>
      <c r="B307" s="110">
        <v>356</v>
      </c>
      <c r="C307" s="111"/>
      <c r="D307" s="83" t="s">
        <v>114</v>
      </c>
      <c r="E307" s="112">
        <v>2019</v>
      </c>
      <c r="F307" s="105">
        <f t="array" ref="F307">VLOOKUP('2019_B5_Berechnung'!B47:$B$330&amp;$P$16,CHOOSE({1,2},Tabelle3[Spalte1]&amp;Tabelle3[Spalte2],Tabelle3[Spalte3]),2,FALSE)</f>
        <v>48</v>
      </c>
      <c r="G307" s="105">
        <f t="array" ref="G307">VLOOKUP('2019_B5_Berechnung'!B47:$B$330&amp;$P$16,CHOOSE({1,2},Tabelle3[Spalte1]&amp;Tabelle3[Spalte2],Tabelle3[Spalte5]),2,FALSE)</f>
        <v>13</v>
      </c>
      <c r="H307" s="106">
        <f t="shared" si="57"/>
        <v>35</v>
      </c>
      <c r="I307" s="105">
        <f t="array" ref="I307">VLOOKUP('2019_B5_Berechnung'!B47:$B$330&amp;$Q$16,CHOOSE({1,2},Tabelle3[Spalte1]&amp;Tabelle3[Spalte2],Tabelle3[Spalte3]),2,FALSE)</f>
        <v>1027</v>
      </c>
      <c r="J307" s="105">
        <f t="array" ref="J307">VLOOKUP('2019_B5_Berechnung'!B47:$B$330&amp;$Q$16,CHOOSE({1,2},Tabelle3[Spalte1]&amp;Tabelle3[Spalte2],Tabelle3[Spalte5]),2,FALSE)</f>
        <v>45</v>
      </c>
      <c r="K307" s="106">
        <f t="shared" si="58"/>
        <v>982</v>
      </c>
      <c r="L307" s="99">
        <f t="shared" si="59"/>
        <v>28.888888888888886</v>
      </c>
      <c r="M307" s="115">
        <f t="shared" si="60"/>
        <v>3.5641547861507124</v>
      </c>
    </row>
    <row r="308" spans="1:13" x14ac:dyDescent="0.25">
      <c r="A308" s="61">
        <v>3357</v>
      </c>
      <c r="B308" s="107">
        <v>357</v>
      </c>
      <c r="C308" s="108"/>
      <c r="D308" s="89" t="s">
        <v>115</v>
      </c>
      <c r="E308" s="109">
        <v>2019</v>
      </c>
      <c r="F308" s="105">
        <f t="array" ref="F308">VLOOKUP('2019_B5_Berechnung'!B48:$B$330&amp;$P$16,CHOOSE({1,2},Tabelle3[Spalte1]&amp;Tabelle3[Spalte2],Tabelle3[Spalte3]),2,FALSE)</f>
        <v>159</v>
      </c>
      <c r="G308" s="105">
        <f t="array" ref="G308">VLOOKUP('2019_B5_Berechnung'!B48:$B$330&amp;$P$16,CHOOSE({1,2},Tabelle3[Spalte1]&amp;Tabelle3[Spalte2],Tabelle3[Spalte5]),2,FALSE)</f>
        <v>28</v>
      </c>
      <c r="H308" s="106">
        <f t="shared" si="57"/>
        <v>131</v>
      </c>
      <c r="I308" s="105">
        <f t="array" ref="I308">VLOOKUP('2019_B5_Berechnung'!B48:$B$330&amp;$Q$16,CHOOSE({1,2},Tabelle3[Spalte1]&amp;Tabelle3[Spalte2],Tabelle3[Spalte3]),2,FALSE)</f>
        <v>1865</v>
      </c>
      <c r="J308" s="105">
        <f t="array" ref="J308">VLOOKUP('2019_B5_Berechnung'!B48:$B$330&amp;$Q$16,CHOOSE({1,2},Tabelle3[Spalte1]&amp;Tabelle3[Spalte2],Tabelle3[Spalte5]),2,FALSE)</f>
        <v>91</v>
      </c>
      <c r="K308" s="106">
        <f t="shared" si="58"/>
        <v>1774</v>
      </c>
      <c r="L308" s="99">
        <f t="shared" si="59"/>
        <v>30.76923076923077</v>
      </c>
      <c r="M308" s="115">
        <f t="shared" si="60"/>
        <v>7.3844419391206308</v>
      </c>
    </row>
    <row r="309" spans="1:13" x14ac:dyDescent="0.25">
      <c r="A309" s="61">
        <v>3358</v>
      </c>
      <c r="B309" s="110">
        <v>358</v>
      </c>
      <c r="C309" s="111"/>
      <c r="D309" s="83" t="s">
        <v>116</v>
      </c>
      <c r="E309" s="112">
        <v>2019</v>
      </c>
      <c r="F309" s="105">
        <f t="array" ref="F309">VLOOKUP('2019_B5_Berechnung'!B49:$B$330&amp;$P$16,CHOOSE({1,2},Tabelle3[Spalte1]&amp;Tabelle3[Spalte2],Tabelle3[Spalte3]),2,FALSE)</f>
        <v>85</v>
      </c>
      <c r="G309" s="105">
        <f t="array" ref="G309">VLOOKUP('2019_B5_Berechnung'!B49:$B$330&amp;$P$16,CHOOSE({1,2},Tabelle3[Spalte1]&amp;Tabelle3[Spalte2],Tabelle3[Spalte5]),2,FALSE)</f>
        <v>13</v>
      </c>
      <c r="H309" s="106">
        <f t="shared" si="57"/>
        <v>72</v>
      </c>
      <c r="I309" s="105">
        <f t="array" ref="I309">VLOOKUP('2019_B5_Berechnung'!B49:$B$330&amp;$Q$16,CHOOSE({1,2},Tabelle3[Spalte1]&amp;Tabelle3[Spalte2],Tabelle3[Spalte3]),2,FALSE)</f>
        <v>1421</v>
      </c>
      <c r="J309" s="105">
        <f t="array" ref="J309">VLOOKUP('2019_B5_Berechnung'!B49:$B$330&amp;$Q$16,CHOOSE({1,2},Tabelle3[Spalte1]&amp;Tabelle3[Spalte2],Tabelle3[Spalte5]),2,FALSE)</f>
        <v>66</v>
      </c>
      <c r="K309" s="106">
        <f t="shared" si="58"/>
        <v>1355</v>
      </c>
      <c r="L309" s="99">
        <f t="shared" si="59"/>
        <v>19.696969696969695</v>
      </c>
      <c r="M309" s="115">
        <f t="shared" si="60"/>
        <v>5.3136531365313653</v>
      </c>
    </row>
    <row r="310" spans="1:13" x14ac:dyDescent="0.25">
      <c r="A310" s="61">
        <v>3359</v>
      </c>
      <c r="B310" s="107">
        <v>359</v>
      </c>
      <c r="C310" s="108"/>
      <c r="D310" s="89" t="s">
        <v>117</v>
      </c>
      <c r="E310" s="109">
        <v>2019</v>
      </c>
      <c r="F310" s="105">
        <f t="array" ref="F310">VLOOKUP('2019_B5_Berechnung'!B50:$B$330&amp;$P$16,CHOOSE({1,2},Tabelle3[Spalte1]&amp;Tabelle3[Spalte2],Tabelle3[Spalte3]),2,FALSE)</f>
        <v>141</v>
      </c>
      <c r="G310" s="105">
        <f t="array" ref="G310">VLOOKUP('2019_B5_Berechnung'!B50:$B$330&amp;$P$16,CHOOSE({1,2},Tabelle3[Spalte1]&amp;Tabelle3[Spalte2],Tabelle3[Spalte5]),2,FALSE)</f>
        <v>36</v>
      </c>
      <c r="H310" s="106">
        <f t="shared" si="57"/>
        <v>105</v>
      </c>
      <c r="I310" s="105">
        <f t="array" ref="I310">VLOOKUP('2019_B5_Berechnung'!B50:$B$330&amp;$Q$16,CHOOSE({1,2},Tabelle3[Spalte1]&amp;Tabelle3[Spalte2],Tabelle3[Spalte3]),2,FALSE)</f>
        <v>2145</v>
      </c>
      <c r="J310" s="105">
        <f t="array" ref="J310">VLOOKUP('2019_B5_Berechnung'!B50:$B$330&amp;$Q$16,CHOOSE({1,2},Tabelle3[Spalte1]&amp;Tabelle3[Spalte2],Tabelle3[Spalte5]),2,FALSE)</f>
        <v>134</v>
      </c>
      <c r="K310" s="106">
        <f t="shared" si="58"/>
        <v>2011</v>
      </c>
      <c r="L310" s="99">
        <f t="shared" si="59"/>
        <v>26.865671641791046</v>
      </c>
      <c r="M310" s="115">
        <f t="shared" si="60"/>
        <v>5.22128294380905</v>
      </c>
    </row>
    <row r="311" spans="1:13" x14ac:dyDescent="0.25">
      <c r="A311" s="61">
        <v>3360</v>
      </c>
      <c r="B311" s="110">
        <v>360</v>
      </c>
      <c r="C311" s="111"/>
      <c r="D311" s="83" t="s">
        <v>118</v>
      </c>
      <c r="E311" s="112">
        <v>2019</v>
      </c>
      <c r="F311" s="105">
        <f t="array" ref="F311">VLOOKUP('2019_B5_Berechnung'!B51:$B$330&amp;$P$16,CHOOSE({1,2},Tabelle3[Spalte1]&amp;Tabelle3[Spalte2],Tabelle3[Spalte3]),2,FALSE)</f>
        <v>81</v>
      </c>
      <c r="G311" s="105">
        <f t="array" ref="G311">VLOOKUP('2019_B5_Berechnung'!B51:$B$330&amp;$P$16,CHOOSE({1,2},Tabelle3[Spalte1]&amp;Tabelle3[Spalte2],Tabelle3[Spalte5]),2,FALSE)</f>
        <v>9</v>
      </c>
      <c r="H311" s="106">
        <f t="shared" si="57"/>
        <v>72</v>
      </c>
      <c r="I311" s="105">
        <f t="array" ref="I311">VLOOKUP('2019_B5_Berechnung'!B51:$B$330&amp;$Q$16,CHOOSE({1,2},Tabelle3[Spalte1]&amp;Tabelle3[Spalte2],Tabelle3[Spalte3]),2,FALSE)</f>
        <v>867</v>
      </c>
      <c r="J311" s="105">
        <f t="array" ref="J311">VLOOKUP('2019_B5_Berechnung'!B51:$B$330&amp;$Q$16,CHOOSE({1,2},Tabelle3[Spalte1]&amp;Tabelle3[Spalte2],Tabelle3[Spalte5]),2,FALSE)</f>
        <v>35</v>
      </c>
      <c r="K311" s="106">
        <f t="shared" si="58"/>
        <v>832</v>
      </c>
      <c r="L311" s="99">
        <f t="shared" si="59"/>
        <v>25.714285714285712</v>
      </c>
      <c r="M311" s="115">
        <f t="shared" si="60"/>
        <v>8.6538461538461533</v>
      </c>
    </row>
    <row r="312" spans="1:13" x14ac:dyDescent="0.25">
      <c r="A312" s="61">
        <v>3361</v>
      </c>
      <c r="B312" s="107">
        <v>361</v>
      </c>
      <c r="C312" s="108"/>
      <c r="D312" s="89" t="s">
        <v>119</v>
      </c>
      <c r="E312" s="109">
        <v>2019</v>
      </c>
      <c r="F312" s="105">
        <f t="array" ref="F312">VLOOKUP('2019_B5_Berechnung'!B52:$B$330&amp;$P$16,CHOOSE({1,2},Tabelle3[Spalte1]&amp;Tabelle3[Spalte2],Tabelle3[Spalte3]),2,FALSE)</f>
        <v>69</v>
      </c>
      <c r="G312" s="105">
        <f t="array" ref="G312">VLOOKUP('2019_B5_Berechnung'!B52:$B$330&amp;$P$16,CHOOSE({1,2},Tabelle3[Spalte1]&amp;Tabelle3[Spalte2],Tabelle3[Spalte5]),2,FALSE)</f>
        <v>14</v>
      </c>
      <c r="H312" s="106">
        <f t="shared" si="57"/>
        <v>55</v>
      </c>
      <c r="I312" s="105">
        <f t="array" ref="I312">VLOOKUP('2019_B5_Berechnung'!B52:$B$330&amp;$Q$16,CHOOSE({1,2},Tabelle3[Spalte1]&amp;Tabelle3[Spalte2],Tabelle3[Spalte3]),2,FALSE)</f>
        <v>1365</v>
      </c>
      <c r="J312" s="105">
        <f t="array" ref="J312">VLOOKUP('2019_B5_Berechnung'!B52:$B$330&amp;$Q$16,CHOOSE({1,2},Tabelle3[Spalte1]&amp;Tabelle3[Spalte2],Tabelle3[Spalte5]),2,FALSE)</f>
        <v>52</v>
      </c>
      <c r="K312" s="106">
        <f t="shared" si="58"/>
        <v>1313</v>
      </c>
      <c r="L312" s="99">
        <f t="shared" si="59"/>
        <v>26.923076923076923</v>
      </c>
      <c r="M312" s="115">
        <f t="shared" si="60"/>
        <v>4.1888804265041886</v>
      </c>
    </row>
    <row r="313" spans="1:13" x14ac:dyDescent="0.25">
      <c r="A313" s="61">
        <v>34</v>
      </c>
      <c r="B313" s="110">
        <v>4</v>
      </c>
      <c r="C313" s="111"/>
      <c r="D313" s="83" t="s">
        <v>120</v>
      </c>
      <c r="E313" s="112">
        <v>2019</v>
      </c>
      <c r="F313" s="105">
        <f t="array" ref="F313">VLOOKUP('2019_B5_Berechnung'!B53:$B$330&amp;$P$16,CHOOSE({1,2},Tabelle3[Spalte1]&amp;Tabelle3[Spalte2],Tabelle3[Spalte3]),2,FALSE)</f>
        <v>1972</v>
      </c>
      <c r="G313" s="105">
        <f t="array" ref="G313">VLOOKUP('2019_B5_Berechnung'!B53:$B$330&amp;$P$16,CHOOSE({1,2},Tabelle3[Spalte1]&amp;Tabelle3[Spalte2],Tabelle3[Spalte5]),2,FALSE)</f>
        <v>560</v>
      </c>
      <c r="H313" s="106">
        <f t="shared" si="57"/>
        <v>1412</v>
      </c>
      <c r="I313" s="105">
        <f t="array" ref="I313">VLOOKUP('2019_B5_Berechnung'!B53:$B$330&amp;$Q$16,CHOOSE({1,2},Tabelle3[Spalte1]&amp;Tabelle3[Spalte2],Tabelle3[Spalte3]),2,FALSE)</f>
        <v>27096</v>
      </c>
      <c r="J313" s="105">
        <f t="array" ref="J313">VLOOKUP('2019_B5_Berechnung'!B53:$B$330&amp;$Q$16,CHOOSE({1,2},Tabelle3[Spalte1]&amp;Tabelle3[Spalte2],Tabelle3[Spalte5]),2,FALSE)</f>
        <v>2164</v>
      </c>
      <c r="K313" s="106">
        <f t="shared" si="58"/>
        <v>24932</v>
      </c>
      <c r="L313" s="99">
        <f t="shared" si="59"/>
        <v>25.878003696857672</v>
      </c>
      <c r="M313" s="115">
        <f t="shared" si="60"/>
        <v>5.6634044601315576</v>
      </c>
    </row>
    <row r="314" spans="1:13" x14ac:dyDescent="0.25">
      <c r="A314" s="61">
        <v>3401</v>
      </c>
      <c r="B314" s="107">
        <v>401</v>
      </c>
      <c r="C314" s="108"/>
      <c r="D314" s="89" t="s">
        <v>121</v>
      </c>
      <c r="E314" s="109">
        <v>2019</v>
      </c>
      <c r="F314" s="105">
        <f t="array" ref="F314">VLOOKUP('2019_B5_Berechnung'!B54:$B$330&amp;$P$16,CHOOSE({1,2},Tabelle3[Spalte1]&amp;Tabelle3[Spalte2],Tabelle3[Spalte3]),2,FALSE)</f>
        <v>110</v>
      </c>
      <c r="G314" s="105">
        <f t="array" ref="G314">VLOOKUP('2019_B5_Berechnung'!B54:$B$330&amp;$P$16,CHOOSE({1,2},Tabelle3[Spalte1]&amp;Tabelle3[Spalte2],Tabelle3[Spalte5]),2,FALSE)</f>
        <v>68</v>
      </c>
      <c r="H314" s="106">
        <f t="shared" si="57"/>
        <v>42</v>
      </c>
      <c r="I314" s="105">
        <f t="array" ref="I314">VLOOKUP('2019_B5_Berechnung'!B54:$B$330&amp;$Q$16,CHOOSE({1,2},Tabelle3[Spalte1]&amp;Tabelle3[Spalte2],Tabelle3[Spalte3]),2,FALSE)</f>
        <v>834</v>
      </c>
      <c r="J314" s="105">
        <f t="array" ref="J314">VLOOKUP('2019_B5_Berechnung'!B54:$B$330&amp;$Q$16,CHOOSE({1,2},Tabelle3[Spalte1]&amp;Tabelle3[Spalte2],Tabelle3[Spalte5]),2,FALSE)</f>
        <v>165</v>
      </c>
      <c r="K314" s="106">
        <f t="shared" si="58"/>
        <v>669</v>
      </c>
      <c r="L314" s="99">
        <f t="shared" si="59"/>
        <v>41.212121212121211</v>
      </c>
      <c r="M314" s="115">
        <f t="shared" si="60"/>
        <v>6.2780269058295968</v>
      </c>
    </row>
    <row r="315" spans="1:13" x14ac:dyDescent="0.25">
      <c r="A315" s="61">
        <v>3402</v>
      </c>
      <c r="B315" s="110">
        <v>402</v>
      </c>
      <c r="C315" s="111"/>
      <c r="D315" s="83" t="s">
        <v>122</v>
      </c>
      <c r="E315" s="112">
        <v>2019</v>
      </c>
      <c r="F315" s="105">
        <f t="array" ref="F315">VLOOKUP('2019_B5_Berechnung'!B55:$B$330&amp;$P$16,CHOOSE({1,2},Tabelle3[Spalte1]&amp;Tabelle3[Spalte2],Tabelle3[Spalte3]),2,FALSE)</f>
        <v>47</v>
      </c>
      <c r="G315" s="105">
        <f t="array" ref="G315">VLOOKUP('2019_B5_Berechnung'!B55:$B$330&amp;$P$16,CHOOSE({1,2},Tabelle3[Spalte1]&amp;Tabelle3[Spalte2],Tabelle3[Spalte5]),2,FALSE)</f>
        <v>14</v>
      </c>
      <c r="H315" s="106">
        <f t="shared" si="57"/>
        <v>33</v>
      </c>
      <c r="I315" s="105">
        <f t="array" ref="I315">VLOOKUP('2019_B5_Berechnung'!B55:$B$330&amp;$Q$16,CHOOSE({1,2},Tabelle3[Spalte1]&amp;Tabelle3[Spalte2],Tabelle3[Spalte3]),2,FALSE)</f>
        <v>524</v>
      </c>
      <c r="J315" s="105">
        <f t="array" ref="J315">VLOOKUP('2019_B5_Berechnung'!B55:$B$330&amp;$Q$16,CHOOSE({1,2},Tabelle3[Spalte1]&amp;Tabelle3[Spalte2],Tabelle3[Spalte5]),2,FALSE)</f>
        <v>52</v>
      </c>
      <c r="K315" s="106">
        <f t="shared" si="58"/>
        <v>472</v>
      </c>
      <c r="L315" s="99">
        <f t="shared" si="59"/>
        <v>26.923076923076923</v>
      </c>
      <c r="M315" s="115">
        <f t="shared" si="60"/>
        <v>6.9915254237288131</v>
      </c>
    </row>
    <row r="316" spans="1:13" x14ac:dyDescent="0.25">
      <c r="A316" s="61">
        <v>3403</v>
      </c>
      <c r="B316" s="107">
        <v>403</v>
      </c>
      <c r="C316" s="108"/>
      <c r="D316" s="89" t="s">
        <v>123</v>
      </c>
      <c r="E316" s="109">
        <v>2019</v>
      </c>
      <c r="F316" s="105">
        <f t="array" ref="F316">VLOOKUP('2019_B5_Berechnung'!B56:$B$330&amp;$P$16,CHOOSE({1,2},Tabelle3[Spalte1]&amp;Tabelle3[Spalte2],Tabelle3[Spalte3]),2,FALSE)</f>
        <v>91</v>
      </c>
      <c r="G316" s="105">
        <f t="array" ref="G316">VLOOKUP('2019_B5_Berechnung'!B56:$B$330&amp;$P$16,CHOOSE({1,2},Tabelle3[Spalte1]&amp;Tabelle3[Spalte2],Tabelle3[Spalte5]),2,FALSE)</f>
        <v>26</v>
      </c>
      <c r="H316" s="106">
        <f t="shared" si="57"/>
        <v>65</v>
      </c>
      <c r="I316" s="105">
        <f t="array" ref="I316">VLOOKUP('2019_B5_Berechnung'!B56:$B$330&amp;$Q$16,CHOOSE({1,2},Tabelle3[Spalte1]&amp;Tabelle3[Spalte2],Tabelle3[Spalte3]),2,FALSE)</f>
        <v>2023</v>
      </c>
      <c r="J316" s="105">
        <f t="array" ref="J316">VLOOKUP('2019_B5_Berechnung'!B56:$B$330&amp;$Q$16,CHOOSE({1,2},Tabelle3[Spalte1]&amp;Tabelle3[Spalte2],Tabelle3[Spalte5]),2,FALSE)</f>
        <v>135</v>
      </c>
      <c r="K316" s="106">
        <f t="shared" si="58"/>
        <v>1888</v>
      </c>
      <c r="L316" s="99">
        <f t="shared" si="59"/>
        <v>19.25925925925926</v>
      </c>
      <c r="M316" s="115">
        <f t="shared" si="60"/>
        <v>3.4427966101694913</v>
      </c>
    </row>
    <row r="317" spans="1:13" x14ac:dyDescent="0.25">
      <c r="A317" s="61">
        <v>3404</v>
      </c>
      <c r="B317" s="110">
        <v>404</v>
      </c>
      <c r="C317" s="111"/>
      <c r="D317" s="83" t="s">
        <v>124</v>
      </c>
      <c r="E317" s="112">
        <v>2019</v>
      </c>
      <c r="F317" s="105">
        <f t="array" ref="F317">VLOOKUP('2019_B5_Berechnung'!B57:$B$330&amp;$P$16,CHOOSE({1,2},Tabelle3[Spalte1]&amp;Tabelle3[Spalte2],Tabelle3[Spalte3]),2,FALSE)</f>
        <v>115</v>
      </c>
      <c r="G317" s="105">
        <f t="array" ref="G317">VLOOKUP('2019_B5_Berechnung'!B57:$B$330&amp;$P$16,CHOOSE({1,2},Tabelle3[Spalte1]&amp;Tabelle3[Spalte2],Tabelle3[Spalte5]),2,FALSE)</f>
        <v>48</v>
      </c>
      <c r="H317" s="106">
        <f t="shared" si="57"/>
        <v>67</v>
      </c>
      <c r="I317" s="105">
        <f t="array" ref="I317">VLOOKUP('2019_B5_Berechnung'!B57:$B$330&amp;$Q$16,CHOOSE({1,2},Tabelle3[Spalte1]&amp;Tabelle3[Spalte2],Tabelle3[Spalte3]),2,FALSE)</f>
        <v>2131</v>
      </c>
      <c r="J317" s="105">
        <f t="array" ref="J317">VLOOKUP('2019_B5_Berechnung'!B57:$B$330&amp;$Q$16,CHOOSE({1,2},Tabelle3[Spalte1]&amp;Tabelle3[Spalte2],Tabelle3[Spalte5]),2,FALSE)</f>
        <v>242</v>
      </c>
      <c r="K317" s="106">
        <f t="shared" si="58"/>
        <v>1889</v>
      </c>
      <c r="L317" s="99">
        <f t="shared" si="59"/>
        <v>19.834710743801654</v>
      </c>
      <c r="M317" s="115">
        <f t="shared" si="60"/>
        <v>3.5468501852832186</v>
      </c>
    </row>
    <row r="318" spans="1:13" x14ac:dyDescent="0.25">
      <c r="A318" s="61">
        <v>3405</v>
      </c>
      <c r="B318" s="107">
        <v>405</v>
      </c>
      <c r="C318" s="108"/>
      <c r="D318" s="89" t="s">
        <v>125</v>
      </c>
      <c r="E318" s="109">
        <v>2019</v>
      </c>
      <c r="F318" s="105">
        <f t="array" ref="F318">VLOOKUP('2019_B5_Berechnung'!B58:$B$330&amp;$P$16,CHOOSE({1,2},Tabelle3[Spalte1]&amp;Tabelle3[Spalte2],Tabelle3[Spalte3]),2,FALSE)</f>
        <v>52</v>
      </c>
      <c r="G318" s="105">
        <f t="array" ref="G318">VLOOKUP('2019_B5_Berechnung'!B58:$B$330&amp;$P$16,CHOOSE({1,2},Tabelle3[Spalte1]&amp;Tabelle3[Spalte2],Tabelle3[Spalte5]),2,FALSE)</f>
        <v>19</v>
      </c>
      <c r="H318" s="106">
        <f t="shared" si="57"/>
        <v>33</v>
      </c>
      <c r="I318" s="105">
        <f t="array" ref="I318">VLOOKUP('2019_B5_Berechnung'!B58:$B$330&amp;$Q$16,CHOOSE({1,2},Tabelle3[Spalte1]&amp;Tabelle3[Spalte2],Tabelle3[Spalte3]),2,FALSE)</f>
        <v>633</v>
      </c>
      <c r="J318" s="105">
        <f t="array" ref="J318">VLOOKUP('2019_B5_Berechnung'!B58:$B$330&amp;$Q$16,CHOOSE({1,2},Tabelle3[Spalte1]&amp;Tabelle3[Spalte2],Tabelle3[Spalte5]),2,FALSE)</f>
        <v>68</v>
      </c>
      <c r="K318" s="106">
        <f t="shared" si="58"/>
        <v>565</v>
      </c>
      <c r="L318" s="99">
        <f t="shared" si="59"/>
        <v>27.941176470588236</v>
      </c>
      <c r="M318" s="115">
        <f t="shared" si="60"/>
        <v>5.8407079646017701</v>
      </c>
    </row>
    <row r="319" spans="1:13" x14ac:dyDescent="0.25">
      <c r="A319" s="61">
        <v>3451</v>
      </c>
      <c r="B319" s="110">
        <v>451</v>
      </c>
      <c r="C319" s="111"/>
      <c r="D319" s="83" t="s">
        <v>126</v>
      </c>
      <c r="E319" s="112">
        <v>2019</v>
      </c>
      <c r="F319" s="105">
        <f t="array" ref="F319">VLOOKUP('2019_B5_Berechnung'!B59:$B$330&amp;$P$16,CHOOSE({1,2},Tabelle3[Spalte1]&amp;Tabelle3[Spalte2],Tabelle3[Spalte3]),2,FALSE)</f>
        <v>95</v>
      </c>
      <c r="G319" s="105">
        <f t="array" ref="G319">VLOOKUP('2019_B5_Berechnung'!B59:$B$330&amp;$P$16,CHOOSE({1,2},Tabelle3[Spalte1]&amp;Tabelle3[Spalte2],Tabelle3[Spalte5]),2,FALSE)</f>
        <v>3</v>
      </c>
      <c r="H319" s="106">
        <f t="shared" si="57"/>
        <v>92</v>
      </c>
      <c r="I319" s="105">
        <f t="array" ref="I319">VLOOKUP('2019_B5_Berechnung'!B59:$B$330&amp;$Q$16,CHOOSE({1,2},Tabelle3[Spalte1]&amp;Tabelle3[Spalte2],Tabelle3[Spalte3]),2,FALSE)</f>
        <v>1311</v>
      </c>
      <c r="J319" s="105">
        <f t="array" ref="J319">VLOOKUP('2019_B5_Berechnung'!B59:$B$330&amp;$Q$16,CHOOSE({1,2},Tabelle3[Spalte1]&amp;Tabelle3[Spalte2],Tabelle3[Spalte5]),2,FALSE)</f>
        <v>74</v>
      </c>
      <c r="K319" s="106">
        <f t="shared" si="58"/>
        <v>1237</v>
      </c>
      <c r="L319" s="99">
        <f t="shared" si="59"/>
        <v>4.0540540540540544</v>
      </c>
      <c r="M319" s="115">
        <f t="shared" si="60"/>
        <v>7.4373484236054974</v>
      </c>
    </row>
    <row r="320" spans="1:13" x14ac:dyDescent="0.25">
      <c r="A320" s="61">
        <v>3452</v>
      </c>
      <c r="B320" s="107">
        <v>452</v>
      </c>
      <c r="C320" s="108"/>
      <c r="D320" s="89" t="s">
        <v>127</v>
      </c>
      <c r="E320" s="109">
        <v>2019</v>
      </c>
      <c r="F320" s="105">
        <f t="array" ref="F320">VLOOKUP('2019_B5_Berechnung'!B60:$B$330&amp;$P$16,CHOOSE({1,2},Tabelle3[Spalte1]&amp;Tabelle3[Spalte2],Tabelle3[Spalte3]),2,FALSE)</f>
        <v>178</v>
      </c>
      <c r="G320" s="105">
        <f t="array" ref="G320">VLOOKUP('2019_B5_Berechnung'!B60:$B$330&amp;$P$16,CHOOSE({1,2},Tabelle3[Spalte1]&amp;Tabelle3[Spalte2],Tabelle3[Spalte5]),2,FALSE)</f>
        <v>24</v>
      </c>
      <c r="H320" s="106">
        <f t="shared" si="57"/>
        <v>154</v>
      </c>
      <c r="I320" s="105">
        <f t="array" ref="I320">VLOOKUP('2019_B5_Berechnung'!B60:$B$330&amp;$Q$16,CHOOSE({1,2},Tabelle3[Spalte1]&amp;Tabelle3[Spalte2],Tabelle3[Spalte3]),2,FALSE)</f>
        <v>1979</v>
      </c>
      <c r="J320" s="105">
        <f t="array" ref="J320">VLOOKUP('2019_B5_Berechnung'!B60:$B$330&amp;$Q$16,CHOOSE({1,2},Tabelle3[Spalte1]&amp;Tabelle3[Spalte2],Tabelle3[Spalte5]),2,FALSE)</f>
        <v>104</v>
      </c>
      <c r="K320" s="106">
        <f t="shared" si="58"/>
        <v>1875</v>
      </c>
      <c r="L320" s="99">
        <f t="shared" si="59"/>
        <v>23.076923076923077</v>
      </c>
      <c r="M320" s="115">
        <f t="shared" si="60"/>
        <v>8.2133333333333329</v>
      </c>
    </row>
    <row r="321" spans="1:13" x14ac:dyDescent="0.25">
      <c r="A321" s="61">
        <v>3453</v>
      </c>
      <c r="B321" s="110">
        <v>453</v>
      </c>
      <c r="C321" s="111"/>
      <c r="D321" s="83" t="s">
        <v>128</v>
      </c>
      <c r="E321" s="112">
        <v>2019</v>
      </c>
      <c r="F321" s="105">
        <f t="array" ref="F321">VLOOKUP('2019_B5_Berechnung'!B61:$B$330&amp;$P$16,CHOOSE({1,2},Tabelle3[Spalte1]&amp;Tabelle3[Spalte2],Tabelle3[Spalte3]),2,FALSE)</f>
        <v>208</v>
      </c>
      <c r="G321" s="105">
        <f t="array" ref="G321">VLOOKUP('2019_B5_Berechnung'!B61:$B$330&amp;$P$16,CHOOSE({1,2},Tabelle3[Spalte1]&amp;Tabelle3[Spalte2],Tabelle3[Spalte5]),2,FALSE)</f>
        <v>61</v>
      </c>
      <c r="H321" s="106">
        <f t="shared" si="57"/>
        <v>147</v>
      </c>
      <c r="I321" s="105">
        <f t="array" ref="I321">VLOOKUP('2019_B5_Berechnung'!B61:$B$330&amp;$Q$16,CHOOSE({1,2},Tabelle3[Spalte1]&amp;Tabelle3[Spalte2],Tabelle3[Spalte3]),2,FALSE)</f>
        <v>2134</v>
      </c>
      <c r="J321" s="105">
        <f t="array" ref="J321">VLOOKUP('2019_B5_Berechnung'!B61:$B$330&amp;$Q$16,CHOOSE({1,2},Tabelle3[Spalte1]&amp;Tabelle3[Spalte2],Tabelle3[Spalte5]),2,FALSE)</f>
        <v>175</v>
      </c>
      <c r="K321" s="106">
        <f t="shared" si="58"/>
        <v>1959</v>
      </c>
      <c r="L321" s="99">
        <f t="shared" si="59"/>
        <v>34.857142857142861</v>
      </c>
      <c r="M321" s="115">
        <f t="shared" si="60"/>
        <v>7.5038284839203673</v>
      </c>
    </row>
    <row r="322" spans="1:13" x14ac:dyDescent="0.25">
      <c r="A322" s="61">
        <v>3454</v>
      </c>
      <c r="B322" s="107">
        <v>454</v>
      </c>
      <c r="C322" s="108"/>
      <c r="D322" s="89" t="s">
        <v>129</v>
      </c>
      <c r="E322" s="109">
        <v>2019</v>
      </c>
      <c r="F322" s="105">
        <f t="array" ref="F322">VLOOKUP('2019_B5_Berechnung'!B62:$B$330&amp;$P$16,CHOOSE({1,2},Tabelle3[Spalte1]&amp;Tabelle3[Spalte2],Tabelle3[Spalte3]),2,FALSE)</f>
        <v>284</v>
      </c>
      <c r="G322" s="105">
        <f t="array" ref="G322">VLOOKUP('2019_B5_Berechnung'!B62:$B$330&amp;$P$16,CHOOSE({1,2},Tabelle3[Spalte1]&amp;Tabelle3[Spalte2],Tabelle3[Spalte5]),2,FALSE)</f>
        <v>88</v>
      </c>
      <c r="H322" s="106">
        <f t="shared" si="57"/>
        <v>196</v>
      </c>
      <c r="I322" s="105">
        <f t="array" ref="I322">VLOOKUP('2019_B5_Berechnung'!B62:$B$330&amp;$Q$16,CHOOSE({1,2},Tabelle3[Spalte1]&amp;Tabelle3[Spalte2],Tabelle3[Spalte3]),2,FALSE)</f>
        <v>3589</v>
      </c>
      <c r="J322" s="105">
        <f t="array" ref="J322">VLOOKUP('2019_B5_Berechnung'!B62:$B$330&amp;$Q$16,CHOOSE({1,2},Tabelle3[Spalte1]&amp;Tabelle3[Spalte2],Tabelle3[Spalte5]),2,FALSE)</f>
        <v>243</v>
      </c>
      <c r="K322" s="106">
        <f t="shared" si="58"/>
        <v>3346</v>
      </c>
      <c r="L322" s="99">
        <f t="shared" si="59"/>
        <v>36.213991769547327</v>
      </c>
      <c r="M322" s="115">
        <f t="shared" si="60"/>
        <v>5.8577405857740583</v>
      </c>
    </row>
    <row r="323" spans="1:13" x14ac:dyDescent="0.25">
      <c r="A323" s="61">
        <v>3455</v>
      </c>
      <c r="B323" s="110">
        <v>455</v>
      </c>
      <c r="C323" s="111"/>
      <c r="D323" s="83" t="s">
        <v>130</v>
      </c>
      <c r="E323" s="112">
        <v>2019</v>
      </c>
      <c r="F323" s="105">
        <f t="array" ref="F323">VLOOKUP('2019_B5_Berechnung'!B63:$B$330&amp;$P$16,CHOOSE({1,2},Tabelle3[Spalte1]&amp;Tabelle3[Spalte2],Tabelle3[Spalte3]),2,FALSE)</f>
        <v>79</v>
      </c>
      <c r="G323" s="105">
        <f t="array" ref="G323">VLOOKUP('2019_B5_Berechnung'!B63:$B$330&amp;$P$16,CHOOSE({1,2},Tabelle3[Spalte1]&amp;Tabelle3[Spalte2],Tabelle3[Spalte5]),2,FALSE)</f>
        <v>14</v>
      </c>
      <c r="H323" s="106">
        <f t="shared" si="57"/>
        <v>65</v>
      </c>
      <c r="I323" s="105">
        <f t="array" ref="I323">VLOOKUP('2019_B5_Berechnung'!B63:$B$330&amp;$Q$16,CHOOSE({1,2},Tabelle3[Spalte1]&amp;Tabelle3[Spalte2],Tabelle3[Spalte3]),2,FALSE)</f>
        <v>893</v>
      </c>
      <c r="J323" s="105">
        <f t="array" ref="J323">VLOOKUP('2019_B5_Berechnung'!B63:$B$330&amp;$Q$16,CHOOSE({1,2},Tabelle3[Spalte1]&amp;Tabelle3[Spalte2],Tabelle3[Spalte5]),2,FALSE)</f>
        <v>56</v>
      </c>
      <c r="K323" s="106">
        <f t="shared" si="58"/>
        <v>837</v>
      </c>
      <c r="L323" s="99">
        <f t="shared" si="59"/>
        <v>25</v>
      </c>
      <c r="M323" s="115">
        <f t="shared" si="60"/>
        <v>7.7658303464755081</v>
      </c>
    </row>
    <row r="324" spans="1:13" x14ac:dyDescent="0.25">
      <c r="A324" s="61">
        <v>3456</v>
      </c>
      <c r="B324" s="107">
        <v>456</v>
      </c>
      <c r="C324" s="108"/>
      <c r="D324" s="89" t="s">
        <v>131</v>
      </c>
      <c r="E324" s="109">
        <v>2019</v>
      </c>
      <c r="F324" s="105">
        <f t="array" ref="F324">VLOOKUP('2019_B5_Berechnung'!B64:$B$330&amp;$P$16,CHOOSE({1,2},Tabelle3[Spalte1]&amp;Tabelle3[Spalte2],Tabelle3[Spalte3]),2,FALSE)</f>
        <v>105</v>
      </c>
      <c r="G324" s="105">
        <f t="array" ref="G324">VLOOKUP('2019_B5_Berechnung'!B64:$B$330&amp;$P$16,CHOOSE({1,2},Tabelle3[Spalte1]&amp;Tabelle3[Spalte2],Tabelle3[Spalte5]),2,FALSE)</f>
        <v>33</v>
      </c>
      <c r="H324" s="106">
        <f t="shared" si="57"/>
        <v>72</v>
      </c>
      <c r="I324" s="105">
        <f t="array" ref="I324">VLOOKUP('2019_B5_Berechnung'!B64:$B$330&amp;$Q$16,CHOOSE({1,2},Tabelle3[Spalte1]&amp;Tabelle3[Spalte2],Tabelle3[Spalte3]),2,FALSE)</f>
        <v>1536</v>
      </c>
      <c r="J324" s="105">
        <f t="array" ref="J324">VLOOKUP('2019_B5_Berechnung'!B64:$B$330&amp;$Q$16,CHOOSE({1,2},Tabelle3[Spalte1]&amp;Tabelle3[Spalte2],Tabelle3[Spalte5]),2,FALSE)</f>
        <v>178</v>
      </c>
      <c r="K324" s="106">
        <f t="shared" si="58"/>
        <v>1358</v>
      </c>
      <c r="L324" s="99">
        <f t="shared" si="59"/>
        <v>18.539325842696631</v>
      </c>
      <c r="M324" s="115">
        <f t="shared" si="60"/>
        <v>5.3019145802650955</v>
      </c>
    </row>
    <row r="325" spans="1:13" x14ac:dyDescent="0.25">
      <c r="A325" s="61">
        <v>3457</v>
      </c>
      <c r="B325" s="110">
        <v>457</v>
      </c>
      <c r="C325" s="111"/>
      <c r="D325" s="83" t="s">
        <v>132</v>
      </c>
      <c r="E325" s="112">
        <v>2019</v>
      </c>
      <c r="F325" s="105">
        <f t="array" ref="F325">VLOOKUP('2019_B5_Berechnung'!B65:$B$330&amp;$P$16,CHOOSE({1,2},Tabelle3[Spalte1]&amp;Tabelle3[Spalte2],Tabelle3[Spalte3]),2,FALSE)</f>
        <v>132</v>
      </c>
      <c r="G325" s="105">
        <f t="array" ref="G325">VLOOKUP('2019_B5_Berechnung'!B65:$B$330&amp;$P$16,CHOOSE({1,2},Tabelle3[Spalte1]&amp;Tabelle3[Spalte2],Tabelle3[Spalte5]),2,FALSE)</f>
        <v>34</v>
      </c>
      <c r="H325" s="106">
        <f t="shared" si="57"/>
        <v>98</v>
      </c>
      <c r="I325" s="105">
        <f t="array" ref="I325">VLOOKUP('2019_B5_Berechnung'!B65:$B$330&amp;$Q$16,CHOOSE({1,2},Tabelle3[Spalte1]&amp;Tabelle3[Spalte2],Tabelle3[Spalte3]),2,FALSE)</f>
        <v>1724</v>
      </c>
      <c r="J325" s="105">
        <f t="array" ref="J325">VLOOKUP('2019_B5_Berechnung'!B65:$B$330&amp;$Q$16,CHOOSE({1,2},Tabelle3[Spalte1]&amp;Tabelle3[Spalte2],Tabelle3[Spalte5]),2,FALSE)</f>
        <v>118</v>
      </c>
      <c r="K325" s="106">
        <f t="shared" si="58"/>
        <v>1606</v>
      </c>
      <c r="L325" s="99">
        <f t="shared" si="59"/>
        <v>28.8135593220339</v>
      </c>
      <c r="M325" s="115">
        <f t="shared" si="60"/>
        <v>6.102117061021171</v>
      </c>
    </row>
    <row r="326" spans="1:13" x14ac:dyDescent="0.25">
      <c r="A326" s="61">
        <v>3458</v>
      </c>
      <c r="B326" s="107">
        <v>458</v>
      </c>
      <c r="C326" s="108"/>
      <c r="D326" s="89" t="s">
        <v>133</v>
      </c>
      <c r="E326" s="109">
        <v>2019</v>
      </c>
      <c r="F326" s="105">
        <f t="array" ref="F326">VLOOKUP('2019_B5_Berechnung'!B66:$B$330&amp;$P$16,CHOOSE({1,2},Tabelle3[Spalte1]&amp;Tabelle3[Spalte2],Tabelle3[Spalte3]),2,FALSE)</f>
        <v>61</v>
      </c>
      <c r="G326" s="105">
        <f t="array" ref="G326">VLOOKUP('2019_B5_Berechnung'!B66:$B$330&amp;$P$16,CHOOSE({1,2},Tabelle3[Spalte1]&amp;Tabelle3[Spalte2],Tabelle3[Spalte5]),2,FALSE)</f>
        <v>15</v>
      </c>
      <c r="H326" s="106">
        <f t="shared" si="57"/>
        <v>46</v>
      </c>
      <c r="I326" s="105">
        <f t="array" ref="I326">VLOOKUP('2019_B5_Berechnung'!B66:$B$330&amp;$Q$16,CHOOSE({1,2},Tabelle3[Spalte1]&amp;Tabelle3[Spalte2],Tabelle3[Spalte3]),2,FALSE)</f>
        <v>1241</v>
      </c>
      <c r="J326" s="105">
        <f t="array" ref="J326">VLOOKUP('2019_B5_Berechnung'!B66:$B$330&amp;$Q$16,CHOOSE({1,2},Tabelle3[Spalte1]&amp;Tabelle3[Spalte2],Tabelle3[Spalte5]),2,FALSE)</f>
        <v>101</v>
      </c>
      <c r="K326" s="106">
        <f t="shared" si="58"/>
        <v>1140</v>
      </c>
      <c r="L326" s="99">
        <f t="shared" si="59"/>
        <v>14.85148514851485</v>
      </c>
      <c r="M326" s="115">
        <f t="shared" si="60"/>
        <v>4.0350877192982457</v>
      </c>
    </row>
    <row r="327" spans="1:13" x14ac:dyDescent="0.25">
      <c r="A327" s="61">
        <v>3459</v>
      </c>
      <c r="B327" s="110">
        <v>459</v>
      </c>
      <c r="C327" s="111"/>
      <c r="D327" s="83" t="s">
        <v>134</v>
      </c>
      <c r="E327" s="112">
        <v>2019</v>
      </c>
      <c r="F327" s="105">
        <f t="array" ref="F327">VLOOKUP('2019_B5_Berechnung'!B67:$B$330&amp;$P$16,CHOOSE({1,2},Tabelle3[Spalte1]&amp;Tabelle3[Spalte2],Tabelle3[Spalte3]),2,FALSE)</f>
        <v>201</v>
      </c>
      <c r="G327" s="105">
        <f t="array" ref="G327">VLOOKUP('2019_B5_Berechnung'!B67:$B$330&amp;$P$16,CHOOSE({1,2},Tabelle3[Spalte1]&amp;Tabelle3[Spalte2],Tabelle3[Spalte5]),2,FALSE)</f>
        <v>51</v>
      </c>
      <c r="H327" s="106">
        <f t="shared" si="57"/>
        <v>150</v>
      </c>
      <c r="I327" s="105">
        <f t="array" ref="I327">VLOOKUP('2019_B5_Berechnung'!B67:$B$330&amp;$Q$16,CHOOSE({1,2},Tabelle3[Spalte1]&amp;Tabelle3[Spalte2],Tabelle3[Spalte3]),2,FALSE)</f>
        <v>3181</v>
      </c>
      <c r="J327" s="105">
        <f t="array" ref="J327">VLOOKUP('2019_B5_Berechnung'!B67:$B$330&amp;$Q$16,CHOOSE({1,2},Tabelle3[Spalte1]&amp;Tabelle3[Spalte2],Tabelle3[Spalte5]),2,FALSE)</f>
        <v>194</v>
      </c>
      <c r="K327" s="106">
        <f t="shared" si="58"/>
        <v>2987</v>
      </c>
      <c r="L327" s="99">
        <f t="shared" si="59"/>
        <v>26.288659793814436</v>
      </c>
      <c r="M327" s="115">
        <f t="shared" si="60"/>
        <v>5.0217609641781049</v>
      </c>
    </row>
    <row r="328" spans="1:13" x14ac:dyDescent="0.25">
      <c r="A328" s="61">
        <v>3460</v>
      </c>
      <c r="B328" s="107">
        <v>460</v>
      </c>
      <c r="C328" s="108"/>
      <c r="D328" s="89" t="s">
        <v>135</v>
      </c>
      <c r="E328" s="109">
        <v>2019</v>
      </c>
      <c r="F328" s="105">
        <f t="array" ref="F328">VLOOKUP('2019_B5_Berechnung'!B68:$B$330&amp;$P$16,CHOOSE({1,2},Tabelle3[Spalte1]&amp;Tabelle3[Spalte2],Tabelle3[Spalte3]),2,FALSE)</f>
        <v>129</v>
      </c>
      <c r="G328" s="105">
        <f t="array" ref="G328">VLOOKUP('2019_B5_Berechnung'!B68:$B$330&amp;$P$16,CHOOSE({1,2},Tabelle3[Spalte1]&amp;Tabelle3[Spalte2],Tabelle3[Spalte5]),2,FALSE)</f>
        <v>40</v>
      </c>
      <c r="H328" s="106">
        <f t="shared" si="57"/>
        <v>89</v>
      </c>
      <c r="I328" s="105">
        <f t="array" ref="I328">VLOOKUP('2019_B5_Berechnung'!B68:$B$330&amp;$Q$16,CHOOSE({1,2},Tabelle3[Spalte1]&amp;Tabelle3[Spalte2],Tabelle3[Spalte3]),2,FALSE)</f>
        <v>1730</v>
      </c>
      <c r="J328" s="105">
        <f t="array" ref="J328">VLOOKUP('2019_B5_Berechnung'!B68:$B$330&amp;$Q$16,CHOOSE({1,2},Tabelle3[Spalte1]&amp;Tabelle3[Spalte2],Tabelle3[Spalte5]),2,FALSE)</f>
        <v>134</v>
      </c>
      <c r="K328" s="106">
        <f t="shared" si="58"/>
        <v>1596</v>
      </c>
      <c r="L328" s="99">
        <f t="shared" si="59"/>
        <v>29.850746268656714</v>
      </c>
      <c r="M328" s="115">
        <f t="shared" si="60"/>
        <v>5.5764411027568919</v>
      </c>
    </row>
    <row r="329" spans="1:13" x14ac:dyDescent="0.25">
      <c r="A329" s="61">
        <v>3461</v>
      </c>
      <c r="B329" s="110">
        <v>461</v>
      </c>
      <c r="C329" s="111"/>
      <c r="D329" s="83" t="s">
        <v>136</v>
      </c>
      <c r="E329" s="112">
        <v>2019</v>
      </c>
      <c r="F329" s="105">
        <f t="array" ref="F329">VLOOKUP('2019_B5_Berechnung'!B69:$B$330&amp;$P$16,CHOOSE({1,2},Tabelle3[Spalte1]&amp;Tabelle3[Spalte2],Tabelle3[Spalte3]),2,FALSE)</f>
        <v>47</v>
      </c>
      <c r="G329" s="105">
        <f t="array" ref="G329">VLOOKUP('2019_B5_Berechnung'!B69:$B$330&amp;$P$16,CHOOSE({1,2},Tabelle3[Spalte1]&amp;Tabelle3[Spalte2],Tabelle3[Spalte5]),2,FALSE)</f>
        <v>11</v>
      </c>
      <c r="H329" s="106">
        <f t="shared" si="57"/>
        <v>36</v>
      </c>
      <c r="I329" s="105">
        <f t="array" ref="I329">VLOOKUP('2019_B5_Berechnung'!B69:$B$330&amp;$Q$16,CHOOSE({1,2},Tabelle3[Spalte1]&amp;Tabelle3[Spalte2],Tabelle3[Spalte3]),2,FALSE)</f>
        <v>948</v>
      </c>
      <c r="J329" s="105">
        <f t="array" ref="J329">VLOOKUP('2019_B5_Berechnung'!B69:$B$330&amp;$Q$16,CHOOSE({1,2},Tabelle3[Spalte1]&amp;Tabelle3[Spalte2],Tabelle3[Spalte5]),2,FALSE)</f>
        <v>93</v>
      </c>
      <c r="K329" s="106">
        <f t="shared" si="58"/>
        <v>855</v>
      </c>
      <c r="L329" s="99">
        <f t="shared" si="59"/>
        <v>11.827956989247312</v>
      </c>
      <c r="M329" s="115">
        <f t="shared" si="60"/>
        <v>4.2105263157894735</v>
      </c>
    </row>
    <row r="330" spans="1:13" x14ac:dyDescent="0.25">
      <c r="A330" s="61">
        <v>3462</v>
      </c>
      <c r="B330" s="71">
        <v>462</v>
      </c>
      <c r="C330" s="72"/>
      <c r="D330" s="113" t="s">
        <v>137</v>
      </c>
      <c r="E330" s="114">
        <v>2019</v>
      </c>
      <c r="F330" s="105">
        <f t="array" ref="F330">VLOOKUP('2019_B5_Berechnung'!B70:$B$330&amp;$P$16,CHOOSE({1,2},Tabelle3[Spalte1]&amp;Tabelle3[Spalte2],Tabelle3[Spalte3]),2,FALSE)</f>
        <v>38</v>
      </c>
      <c r="G330" s="105">
        <f t="array" ref="G330">VLOOKUP('2019_B5_Berechnung'!B70:$B$330&amp;$P$16,CHOOSE({1,2},Tabelle3[Spalte1]&amp;Tabelle3[Spalte2],Tabelle3[Spalte5]),2,FALSE)</f>
        <v>11</v>
      </c>
      <c r="H330" s="106">
        <f t="shared" si="57"/>
        <v>27</v>
      </c>
      <c r="I330" s="105">
        <f t="array" ref="I330">VLOOKUP('2019_B5_Berechnung'!B70:$B$330&amp;$Q$16,CHOOSE({1,2},Tabelle3[Spalte1]&amp;Tabelle3[Spalte2],Tabelle3[Spalte3]),2,FALSE)</f>
        <v>685</v>
      </c>
      <c r="J330" s="105">
        <f t="array" ref="J330">VLOOKUP('2019_B5_Berechnung'!B70:$B$330&amp;$Q$16,CHOOSE({1,2},Tabelle3[Spalte1]&amp;Tabelle3[Spalte2],Tabelle3[Spalte5]),2,FALSE)</f>
        <v>32</v>
      </c>
      <c r="K330" s="106">
        <f t="shared" si="58"/>
        <v>653</v>
      </c>
      <c r="L330" s="99">
        <f t="shared" si="59"/>
        <v>34.375</v>
      </c>
      <c r="M330" s="115">
        <f t="shared" si="60"/>
        <v>4.134762633996937</v>
      </c>
    </row>
  </sheetData>
  <autoFilter ref="A18:Q330" xr:uid="{7DF33697-1C30-4950-91EB-5C8E3321B51F}">
    <filterColumn colId="4">
      <filters>
        <filter val="2019"/>
      </filters>
    </filterColumn>
  </autoFilter>
  <mergeCells count="15">
    <mergeCell ref="A11:A17"/>
    <mergeCell ref="B11:B17"/>
    <mergeCell ref="L14:L16"/>
    <mergeCell ref="M14:M16"/>
    <mergeCell ref="L11:M13"/>
    <mergeCell ref="D11:D17"/>
    <mergeCell ref="I11:K13"/>
    <mergeCell ref="I14:I16"/>
    <mergeCell ref="J14:J16"/>
    <mergeCell ref="K14:K16"/>
    <mergeCell ref="F14:F16"/>
    <mergeCell ref="G14:G16"/>
    <mergeCell ref="F11:H13"/>
    <mergeCell ref="H14:H16"/>
    <mergeCell ref="E11:E17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3BC6A-049B-46BC-A732-9E0A9DA8537D}">
  <sheetPr codeName="Tabelle5"/>
  <dimension ref="A1:AF154"/>
  <sheetViews>
    <sheetView workbookViewId="0"/>
  </sheetViews>
  <sheetFormatPr baseColWidth="10" defaultRowHeight="15" x14ac:dyDescent="0.25"/>
  <sheetData>
    <row r="1" spans="1:32" x14ac:dyDescent="0.25">
      <c r="A1" s="19" t="s">
        <v>147</v>
      </c>
    </row>
    <row r="3" spans="1:32" x14ac:dyDescent="0.25">
      <c r="A3" s="20" t="s">
        <v>171</v>
      </c>
    </row>
    <row r="4" spans="1:32" x14ac:dyDescent="0.25">
      <c r="A4" s="20" t="s">
        <v>149</v>
      </c>
    </row>
    <row r="6" spans="1:32" x14ac:dyDescent="0.25">
      <c r="A6" s="10" t="s">
        <v>195</v>
      </c>
    </row>
    <row r="8" spans="1:32" x14ac:dyDescent="0.25">
      <c r="A8" t="s">
        <v>67</v>
      </c>
    </row>
    <row r="9" spans="1:32" x14ac:dyDescent="0.25">
      <c r="A9" t="s">
        <v>172</v>
      </c>
    </row>
    <row r="10" spans="1:32" x14ac:dyDescent="0.25">
      <c r="A10" t="s">
        <v>196</v>
      </c>
    </row>
    <row r="12" spans="1:32" x14ac:dyDescent="0.25">
      <c r="A12" t="s">
        <v>150</v>
      </c>
    </row>
    <row r="13" spans="1:32" x14ac:dyDescent="0.25">
      <c r="A13" s="124" t="s">
        <v>197</v>
      </c>
    </row>
    <row r="15" spans="1:32" ht="30" x14ac:dyDescent="0.25">
      <c r="A15" s="70" t="s">
        <v>63</v>
      </c>
      <c r="B15" s="213" t="s">
        <v>174</v>
      </c>
      <c r="C15" s="214"/>
      <c r="D15" s="214"/>
      <c r="E15" s="214"/>
      <c r="F15" s="214"/>
      <c r="G15" s="214"/>
      <c r="H15" s="214"/>
      <c r="I15" s="214"/>
      <c r="J15" s="215"/>
    </row>
    <row r="16" spans="1:32" ht="30" x14ac:dyDescent="0.25">
      <c r="A16" s="68" t="s">
        <v>70</v>
      </c>
      <c r="B16" s="246"/>
      <c r="C16" s="247"/>
      <c r="D16" s="247"/>
      <c r="E16" s="247"/>
      <c r="F16" s="247"/>
      <c r="G16" s="247"/>
      <c r="H16" s="247"/>
      <c r="I16" s="247"/>
      <c r="J16" s="249"/>
      <c r="O16" s="205">
        <v>2005</v>
      </c>
      <c r="P16" s="250"/>
      <c r="Q16" s="250"/>
      <c r="R16" s="200"/>
      <c r="S16" s="205">
        <v>2011</v>
      </c>
      <c r="T16" s="250"/>
      <c r="U16" s="250"/>
      <c r="V16" s="200"/>
      <c r="W16" s="205">
        <v>2012</v>
      </c>
      <c r="X16" s="250"/>
      <c r="Y16" s="250"/>
      <c r="Z16" s="200"/>
      <c r="AA16" s="250">
        <v>2005</v>
      </c>
      <c r="AB16" s="200"/>
      <c r="AC16" s="250">
        <v>2011</v>
      </c>
      <c r="AD16" s="200"/>
      <c r="AE16" s="250">
        <v>2012</v>
      </c>
      <c r="AF16" s="200"/>
    </row>
    <row r="17" spans="1:32" ht="16.5" x14ac:dyDescent="0.25">
      <c r="A17" s="68" t="s">
        <v>71</v>
      </c>
      <c r="B17" s="246"/>
      <c r="C17" s="247"/>
      <c r="D17" s="247"/>
      <c r="E17" s="247"/>
      <c r="F17" s="247"/>
      <c r="G17" s="247"/>
      <c r="H17" s="247"/>
      <c r="I17" s="247"/>
      <c r="J17" s="249"/>
      <c r="O17" s="58" t="s">
        <v>213</v>
      </c>
      <c r="P17" s="67" t="s">
        <v>211</v>
      </c>
      <c r="Q17" s="67" t="s">
        <v>212</v>
      </c>
      <c r="R17" s="58" t="s">
        <v>3</v>
      </c>
      <c r="S17" s="58" t="s">
        <v>213</v>
      </c>
      <c r="T17" s="67" t="s">
        <v>211</v>
      </c>
      <c r="U17" s="67" t="s">
        <v>212</v>
      </c>
      <c r="V17" s="58" t="s">
        <v>3</v>
      </c>
      <c r="W17" s="58" t="s">
        <v>213</v>
      </c>
      <c r="X17" s="67" t="s">
        <v>211</v>
      </c>
      <c r="Y17" s="67" t="s">
        <v>212</v>
      </c>
      <c r="Z17" s="58" t="s">
        <v>3</v>
      </c>
      <c r="AA17" s="67" t="s">
        <v>211</v>
      </c>
      <c r="AB17" s="58" t="s">
        <v>3</v>
      </c>
      <c r="AC17" s="67" t="s">
        <v>211</v>
      </c>
      <c r="AD17" s="58" t="s">
        <v>3</v>
      </c>
      <c r="AE17" s="67" t="s">
        <v>211</v>
      </c>
      <c r="AF17" s="58" t="s">
        <v>3</v>
      </c>
    </row>
    <row r="18" spans="1:32" ht="45" x14ac:dyDescent="0.25">
      <c r="A18" s="68" t="s">
        <v>198</v>
      </c>
      <c r="B18" s="216"/>
      <c r="C18" s="217"/>
      <c r="D18" s="217"/>
      <c r="E18" s="217"/>
      <c r="F18" s="217"/>
      <c r="G18" s="217"/>
      <c r="H18" s="217"/>
      <c r="I18" s="217"/>
      <c r="J18" s="218"/>
      <c r="O18" s="251" t="s">
        <v>4</v>
      </c>
      <c r="P18" s="251"/>
      <c r="Q18" s="251"/>
      <c r="R18" s="251"/>
      <c r="S18" s="251"/>
      <c r="T18" s="251"/>
      <c r="U18" s="251"/>
      <c r="V18" s="251"/>
      <c r="W18" s="251"/>
      <c r="X18" s="251"/>
      <c r="Y18" s="251"/>
      <c r="Z18" s="251"/>
      <c r="AA18" s="251" t="s">
        <v>162</v>
      </c>
      <c r="AB18" s="251"/>
      <c r="AC18" s="251"/>
      <c r="AD18" s="251"/>
      <c r="AE18" s="251"/>
      <c r="AF18" s="251"/>
    </row>
    <row r="19" spans="1:32" ht="30" x14ac:dyDescent="0.25">
      <c r="A19" s="68" t="s">
        <v>199</v>
      </c>
      <c r="B19" s="219" t="s">
        <v>75</v>
      </c>
      <c r="C19" s="220"/>
      <c r="D19" s="221"/>
      <c r="E19" s="219" t="s">
        <v>76</v>
      </c>
      <c r="F19" s="220"/>
      <c r="G19" s="221"/>
      <c r="H19" s="219" t="s">
        <v>77</v>
      </c>
      <c r="I19" s="220"/>
      <c r="J19" s="221"/>
      <c r="M19" t="s">
        <v>210</v>
      </c>
      <c r="O19">
        <f>B25-D25+B35-D35</f>
        <v>3620</v>
      </c>
      <c r="P19">
        <f>B30-D30+B40-D40</f>
        <v>283</v>
      </c>
      <c r="Q19">
        <f>D25+D35</f>
        <v>257</v>
      </c>
      <c r="R19">
        <f>D30+D40</f>
        <v>72</v>
      </c>
      <c r="S19">
        <f>B84-D84</f>
        <v>4009</v>
      </c>
      <c r="T19">
        <f>B89-D89</f>
        <v>162</v>
      </c>
      <c r="U19">
        <f>D84</f>
        <v>180</v>
      </c>
      <c r="V19">
        <f>D89</f>
        <v>37</v>
      </c>
      <c r="W19">
        <f>B133-D133</f>
        <v>3208</v>
      </c>
      <c r="X19">
        <f>B138-D138</f>
        <v>129</v>
      </c>
      <c r="Y19">
        <f>D133</f>
        <v>181</v>
      </c>
      <c r="Z19">
        <f>D138</f>
        <v>22</v>
      </c>
      <c r="AA19">
        <f>P19/O19*100</f>
        <v>7.8176795580110499</v>
      </c>
      <c r="AB19">
        <f>R19/Q19*100</f>
        <v>28.01556420233463</v>
      </c>
      <c r="AC19">
        <f>T19/S19*100</f>
        <v>4.0409079570965334</v>
      </c>
      <c r="AD19">
        <f>V19/U19*100</f>
        <v>20.555555555555554</v>
      </c>
      <c r="AE19">
        <f>X19/W19*100</f>
        <v>4.0211970074812964</v>
      </c>
      <c r="AF19">
        <f>Z19/Y19*100</f>
        <v>12.154696132596685</v>
      </c>
    </row>
    <row r="20" spans="1:32" x14ac:dyDescent="0.25">
      <c r="A20" s="68" t="s">
        <v>72</v>
      </c>
      <c r="B20" s="14" t="s">
        <v>78</v>
      </c>
      <c r="C20" s="14" t="s">
        <v>79</v>
      </c>
      <c r="D20" s="14" t="s">
        <v>80</v>
      </c>
      <c r="E20" s="14" t="s">
        <v>78</v>
      </c>
      <c r="F20" s="14" t="s">
        <v>79</v>
      </c>
      <c r="G20" s="14" t="s">
        <v>80</v>
      </c>
      <c r="H20" s="14" t="s">
        <v>78</v>
      </c>
      <c r="I20" s="14" t="s">
        <v>79</v>
      </c>
      <c r="J20" s="14" t="s">
        <v>80</v>
      </c>
    </row>
    <row r="21" spans="1:32" ht="45" x14ac:dyDescent="0.25">
      <c r="A21" s="69" t="s">
        <v>73</v>
      </c>
      <c r="B21" s="14">
        <v>1</v>
      </c>
      <c r="C21" s="14">
        <v>2</v>
      </c>
      <c r="D21" s="14">
        <v>3</v>
      </c>
      <c r="E21" s="14">
        <v>4</v>
      </c>
      <c r="F21" s="14">
        <v>5</v>
      </c>
      <c r="G21" s="14">
        <v>6</v>
      </c>
      <c r="H21" s="14">
        <v>7</v>
      </c>
      <c r="I21" s="14">
        <v>8</v>
      </c>
      <c r="J21" s="14">
        <v>9</v>
      </c>
    </row>
    <row r="22" spans="1:32" x14ac:dyDescent="0.25">
      <c r="A22" s="16"/>
      <c r="J22" s="17"/>
    </row>
    <row r="23" spans="1:32" ht="15" customHeight="1" x14ac:dyDescent="0.25">
      <c r="A23" s="207" t="s">
        <v>200</v>
      </c>
      <c r="B23" s="208"/>
      <c r="C23" s="208"/>
      <c r="D23" s="208"/>
      <c r="E23" s="208"/>
      <c r="F23" s="208"/>
      <c r="G23" s="208"/>
      <c r="H23" s="208"/>
      <c r="I23" s="208"/>
      <c r="J23" s="209"/>
    </row>
    <row r="24" spans="1:32" x14ac:dyDescent="0.25">
      <c r="A24" s="207"/>
      <c r="B24" s="208"/>
      <c r="C24" s="208"/>
      <c r="D24" s="208"/>
      <c r="E24" s="208"/>
      <c r="F24" s="208"/>
      <c r="G24" s="208"/>
      <c r="H24" s="208"/>
      <c r="I24" s="208"/>
      <c r="J24" s="209"/>
    </row>
    <row r="25" spans="1:32" x14ac:dyDescent="0.25">
      <c r="A25" s="15" t="s">
        <v>83</v>
      </c>
      <c r="B25" s="15">
        <v>2962</v>
      </c>
      <c r="C25" s="15">
        <v>1472</v>
      </c>
      <c r="D25" s="15">
        <v>199</v>
      </c>
      <c r="E25" s="15">
        <v>2725</v>
      </c>
      <c r="F25" s="15">
        <v>1371</v>
      </c>
      <c r="G25" s="15">
        <v>198</v>
      </c>
      <c r="H25" s="15">
        <v>237</v>
      </c>
      <c r="I25" s="15">
        <v>101</v>
      </c>
      <c r="J25" s="15">
        <v>1</v>
      </c>
    </row>
    <row r="26" spans="1:32" ht="30" x14ac:dyDescent="0.25">
      <c r="A26" s="15" t="s">
        <v>151</v>
      </c>
      <c r="B26" s="15">
        <v>983</v>
      </c>
      <c r="C26" s="15">
        <v>565</v>
      </c>
      <c r="D26" s="15">
        <v>25</v>
      </c>
      <c r="E26" s="15">
        <v>959</v>
      </c>
      <c r="F26" s="15">
        <v>545</v>
      </c>
      <c r="G26" s="15">
        <v>25</v>
      </c>
      <c r="H26" s="15">
        <v>24</v>
      </c>
      <c r="I26" s="15">
        <v>20</v>
      </c>
      <c r="J26" s="15" t="s">
        <v>84</v>
      </c>
    </row>
    <row r="27" spans="1:32" ht="60" x14ac:dyDescent="0.25">
      <c r="A27" s="15" t="s">
        <v>152</v>
      </c>
      <c r="B27" s="15">
        <v>43</v>
      </c>
      <c r="C27" s="15">
        <v>15</v>
      </c>
      <c r="D27" s="15">
        <v>6</v>
      </c>
      <c r="E27" s="15">
        <v>43</v>
      </c>
      <c r="F27" s="15">
        <v>15</v>
      </c>
      <c r="G27" s="15">
        <v>6</v>
      </c>
      <c r="H27" s="15" t="s">
        <v>84</v>
      </c>
      <c r="I27" s="15" t="s">
        <v>84</v>
      </c>
      <c r="J27" s="15" t="s">
        <v>84</v>
      </c>
    </row>
    <row r="28" spans="1:32" ht="30" x14ac:dyDescent="0.25">
      <c r="A28" s="15" t="s">
        <v>85</v>
      </c>
      <c r="B28" s="15">
        <v>1231</v>
      </c>
      <c r="C28" s="15">
        <v>616</v>
      </c>
      <c r="D28" s="15">
        <v>64</v>
      </c>
      <c r="E28" s="15">
        <v>1117</v>
      </c>
      <c r="F28" s="15">
        <v>575</v>
      </c>
      <c r="G28" s="15">
        <v>64</v>
      </c>
      <c r="H28" s="15">
        <v>114</v>
      </c>
      <c r="I28" s="15">
        <v>41</v>
      </c>
      <c r="J28" s="15" t="s">
        <v>84</v>
      </c>
    </row>
    <row r="29" spans="1:32" ht="30" x14ac:dyDescent="0.25">
      <c r="A29" s="15" t="s">
        <v>86</v>
      </c>
      <c r="B29" s="15">
        <v>455</v>
      </c>
      <c r="C29" s="15">
        <v>181</v>
      </c>
      <c r="D29" s="15">
        <v>48</v>
      </c>
      <c r="E29" s="15">
        <v>384</v>
      </c>
      <c r="F29" s="15">
        <v>151</v>
      </c>
      <c r="G29" s="15">
        <v>47</v>
      </c>
      <c r="H29" s="15">
        <v>71</v>
      </c>
      <c r="I29" s="15">
        <v>30</v>
      </c>
      <c r="J29" s="15">
        <v>1</v>
      </c>
    </row>
    <row r="30" spans="1:32" ht="45" x14ac:dyDescent="0.25">
      <c r="A30" s="15" t="s">
        <v>87</v>
      </c>
      <c r="B30" s="15">
        <v>250</v>
      </c>
      <c r="C30" s="15">
        <v>95</v>
      </c>
      <c r="D30" s="15">
        <v>56</v>
      </c>
      <c r="E30" s="15">
        <v>222</v>
      </c>
      <c r="F30" s="15">
        <v>85</v>
      </c>
      <c r="G30" s="15">
        <v>56</v>
      </c>
      <c r="H30" s="15">
        <v>28</v>
      </c>
      <c r="I30" s="15">
        <v>10</v>
      </c>
      <c r="J30" s="15" t="s">
        <v>84</v>
      </c>
    </row>
    <row r="31" spans="1:32" ht="45" x14ac:dyDescent="0.25">
      <c r="A31" s="15" t="s">
        <v>153</v>
      </c>
      <c r="B31" s="15">
        <v>68</v>
      </c>
      <c r="C31" s="15">
        <v>25</v>
      </c>
      <c r="D31" s="15">
        <v>18</v>
      </c>
      <c r="E31" s="15">
        <v>62</v>
      </c>
      <c r="F31" s="15">
        <v>23</v>
      </c>
      <c r="G31" s="15">
        <v>18</v>
      </c>
      <c r="H31" s="15">
        <v>6</v>
      </c>
      <c r="I31" s="15">
        <v>2</v>
      </c>
      <c r="J31" s="15" t="s">
        <v>84</v>
      </c>
    </row>
    <row r="32" spans="1:32" ht="60" x14ac:dyDescent="0.25">
      <c r="A32" s="15" t="s">
        <v>154</v>
      </c>
      <c r="B32" s="15">
        <v>12</v>
      </c>
      <c r="C32" s="15">
        <v>6</v>
      </c>
      <c r="D32" s="15">
        <v>1</v>
      </c>
      <c r="E32" s="15">
        <v>12</v>
      </c>
      <c r="F32" s="15">
        <v>6</v>
      </c>
      <c r="G32" s="15">
        <v>1</v>
      </c>
      <c r="H32" s="15" t="s">
        <v>84</v>
      </c>
      <c r="I32" s="15" t="s">
        <v>84</v>
      </c>
      <c r="J32" s="15" t="s">
        <v>84</v>
      </c>
    </row>
    <row r="33" spans="1:10" ht="15" customHeight="1" x14ac:dyDescent="0.25">
      <c r="A33" s="207" t="s">
        <v>201</v>
      </c>
      <c r="B33" s="208"/>
      <c r="C33" s="208"/>
      <c r="D33" s="208"/>
      <c r="E33" s="208"/>
      <c r="F33" s="208"/>
      <c r="G33" s="208"/>
      <c r="H33" s="208"/>
      <c r="I33" s="208"/>
      <c r="J33" s="209"/>
    </row>
    <row r="34" spans="1:10" x14ac:dyDescent="0.25">
      <c r="A34" s="207"/>
      <c r="B34" s="208"/>
      <c r="C34" s="208"/>
      <c r="D34" s="208"/>
      <c r="E34" s="208"/>
      <c r="F34" s="208"/>
      <c r="G34" s="208"/>
      <c r="H34" s="208"/>
      <c r="I34" s="208"/>
      <c r="J34" s="209"/>
    </row>
    <row r="35" spans="1:10" x14ac:dyDescent="0.25">
      <c r="A35" s="15" t="s">
        <v>83</v>
      </c>
      <c r="B35" s="15">
        <v>915</v>
      </c>
      <c r="C35" s="15">
        <v>412</v>
      </c>
      <c r="D35" s="15">
        <v>58</v>
      </c>
      <c r="E35" s="15">
        <v>841</v>
      </c>
      <c r="F35" s="15">
        <v>382</v>
      </c>
      <c r="G35" s="15">
        <v>57</v>
      </c>
      <c r="H35" s="15">
        <v>74</v>
      </c>
      <c r="I35" s="15">
        <v>30</v>
      </c>
      <c r="J35" s="15">
        <v>1</v>
      </c>
    </row>
    <row r="36" spans="1:10" ht="30" x14ac:dyDescent="0.25">
      <c r="A36" s="15" t="s">
        <v>151</v>
      </c>
      <c r="B36" s="15">
        <v>197</v>
      </c>
      <c r="C36" s="15">
        <v>100</v>
      </c>
      <c r="D36" s="15">
        <v>1</v>
      </c>
      <c r="E36" s="15">
        <v>137</v>
      </c>
      <c r="F36" s="15">
        <v>75</v>
      </c>
      <c r="G36" s="15" t="s">
        <v>84</v>
      </c>
      <c r="H36" s="15">
        <v>60</v>
      </c>
      <c r="I36" s="15">
        <v>25</v>
      </c>
      <c r="J36" s="15">
        <v>1</v>
      </c>
    </row>
    <row r="37" spans="1:10" ht="60" x14ac:dyDescent="0.25">
      <c r="A37" s="15" t="s">
        <v>152</v>
      </c>
      <c r="B37" s="15">
        <v>16</v>
      </c>
      <c r="C37" s="15">
        <v>6</v>
      </c>
      <c r="D37" s="15">
        <v>1</v>
      </c>
      <c r="E37" s="15">
        <v>10</v>
      </c>
      <c r="F37" s="15">
        <v>5</v>
      </c>
      <c r="G37" s="15">
        <v>1</v>
      </c>
      <c r="H37" s="15">
        <v>6</v>
      </c>
      <c r="I37" s="15">
        <v>1</v>
      </c>
      <c r="J37" s="15" t="s">
        <v>84</v>
      </c>
    </row>
    <row r="38" spans="1:10" ht="30" x14ac:dyDescent="0.25">
      <c r="A38" s="15" t="s">
        <v>85</v>
      </c>
      <c r="B38" s="15">
        <v>412</v>
      </c>
      <c r="C38" s="15">
        <v>198</v>
      </c>
      <c r="D38" s="15">
        <v>18</v>
      </c>
      <c r="E38" s="15">
        <v>404</v>
      </c>
      <c r="F38" s="15">
        <v>194</v>
      </c>
      <c r="G38" s="15">
        <v>18</v>
      </c>
      <c r="H38" s="15">
        <v>8</v>
      </c>
      <c r="I38" s="15">
        <v>4</v>
      </c>
      <c r="J38" s="15" t="s">
        <v>84</v>
      </c>
    </row>
    <row r="39" spans="1:10" ht="30" x14ac:dyDescent="0.25">
      <c r="A39" s="15" t="s">
        <v>86</v>
      </c>
      <c r="B39" s="15">
        <v>185</v>
      </c>
      <c r="C39" s="15">
        <v>73</v>
      </c>
      <c r="D39" s="15">
        <v>22</v>
      </c>
      <c r="E39" s="15">
        <v>185</v>
      </c>
      <c r="F39" s="15">
        <v>73</v>
      </c>
      <c r="G39" s="15">
        <v>22</v>
      </c>
      <c r="H39" s="15" t="s">
        <v>84</v>
      </c>
      <c r="I39" s="15" t="s">
        <v>84</v>
      </c>
      <c r="J39" s="15" t="s">
        <v>84</v>
      </c>
    </row>
    <row r="40" spans="1:10" ht="45" x14ac:dyDescent="0.25">
      <c r="A40" s="15" t="s">
        <v>87</v>
      </c>
      <c r="B40" s="15">
        <v>105</v>
      </c>
      <c r="C40" s="15">
        <v>35</v>
      </c>
      <c r="D40" s="15">
        <v>16</v>
      </c>
      <c r="E40" s="15">
        <v>105</v>
      </c>
      <c r="F40" s="15">
        <v>35</v>
      </c>
      <c r="G40" s="15">
        <v>16</v>
      </c>
      <c r="H40" s="15" t="s">
        <v>84</v>
      </c>
      <c r="I40" s="15" t="s">
        <v>84</v>
      </c>
      <c r="J40" s="15" t="s">
        <v>84</v>
      </c>
    </row>
    <row r="41" spans="1:10" ht="45" x14ac:dyDescent="0.25">
      <c r="A41" s="15" t="s">
        <v>153</v>
      </c>
      <c r="B41" s="15">
        <v>40</v>
      </c>
      <c r="C41" s="15">
        <v>11</v>
      </c>
      <c r="D41" s="15">
        <v>8</v>
      </c>
      <c r="E41" s="15">
        <v>40</v>
      </c>
      <c r="F41" s="15">
        <v>11</v>
      </c>
      <c r="G41" s="15">
        <v>8</v>
      </c>
      <c r="H41" s="15" t="s">
        <v>84</v>
      </c>
      <c r="I41" s="15" t="s">
        <v>84</v>
      </c>
      <c r="J41" s="15" t="s">
        <v>84</v>
      </c>
    </row>
    <row r="42" spans="1:10" ht="60" x14ac:dyDescent="0.25">
      <c r="A42" s="15" t="s">
        <v>154</v>
      </c>
      <c r="B42" s="15">
        <v>3</v>
      </c>
      <c r="C42" s="15">
        <v>1</v>
      </c>
      <c r="D42" s="15">
        <v>1</v>
      </c>
      <c r="E42" s="15">
        <v>3</v>
      </c>
      <c r="F42" s="15">
        <v>1</v>
      </c>
      <c r="G42" s="15">
        <v>1</v>
      </c>
      <c r="H42" s="15" t="s">
        <v>84</v>
      </c>
      <c r="I42" s="15" t="s">
        <v>84</v>
      </c>
      <c r="J42" s="15" t="s">
        <v>84</v>
      </c>
    </row>
    <row r="44" spans="1:10" x14ac:dyDescent="0.25">
      <c r="A44" t="s">
        <v>138</v>
      </c>
    </row>
    <row r="45" spans="1:10" x14ac:dyDescent="0.25">
      <c r="A45" t="s">
        <v>139</v>
      </c>
    </row>
    <row r="46" spans="1:10" x14ac:dyDescent="0.25">
      <c r="A46" t="s">
        <v>202</v>
      </c>
    </row>
    <row r="47" spans="1:10" x14ac:dyDescent="0.25">
      <c r="A47" t="s">
        <v>175</v>
      </c>
    </row>
    <row r="50" spans="1:1" x14ac:dyDescent="0.25">
      <c r="A50" t="s">
        <v>203</v>
      </c>
    </row>
    <row r="51" spans="1:1" x14ac:dyDescent="0.25">
      <c r="A51" t="s">
        <v>204</v>
      </c>
    </row>
    <row r="52" spans="1:1" x14ac:dyDescent="0.25">
      <c r="A52" t="s">
        <v>205</v>
      </c>
    </row>
    <row r="55" spans="1:1" x14ac:dyDescent="0.25">
      <c r="A55" t="s">
        <v>206</v>
      </c>
    </row>
    <row r="56" spans="1:1" x14ac:dyDescent="0.25">
      <c r="A56" t="s">
        <v>207</v>
      </c>
    </row>
    <row r="60" spans="1:1" x14ac:dyDescent="0.25">
      <c r="A60" s="19" t="s">
        <v>147</v>
      </c>
    </row>
    <row r="62" spans="1:1" x14ac:dyDescent="0.25">
      <c r="A62" s="20" t="s">
        <v>171</v>
      </c>
    </row>
    <row r="63" spans="1:1" x14ac:dyDescent="0.25">
      <c r="A63" s="20" t="s">
        <v>149</v>
      </c>
    </row>
    <row r="65" spans="1:13" x14ac:dyDescent="0.25">
      <c r="A65" s="10" t="s">
        <v>66</v>
      </c>
    </row>
    <row r="67" spans="1:13" x14ac:dyDescent="0.25">
      <c r="A67" t="s">
        <v>67</v>
      </c>
    </row>
    <row r="68" spans="1:13" x14ac:dyDescent="0.25">
      <c r="A68" t="s">
        <v>172</v>
      </c>
    </row>
    <row r="69" spans="1:13" x14ac:dyDescent="0.25">
      <c r="A69" t="s">
        <v>69</v>
      </c>
    </row>
    <row r="71" spans="1:13" x14ac:dyDescent="0.25">
      <c r="A71" t="s">
        <v>150</v>
      </c>
    </row>
    <row r="72" spans="1:13" x14ac:dyDescent="0.25">
      <c r="A72" s="124" t="s">
        <v>208</v>
      </c>
    </row>
    <row r="74" spans="1:13" ht="30" x14ac:dyDescent="0.25">
      <c r="A74" s="70" t="s">
        <v>63</v>
      </c>
      <c r="B74" s="213" t="s">
        <v>174</v>
      </c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5"/>
    </row>
    <row r="75" spans="1:13" ht="30" x14ac:dyDescent="0.25">
      <c r="A75" s="68" t="s">
        <v>70</v>
      </c>
      <c r="B75" s="216"/>
      <c r="C75" s="217"/>
      <c r="D75" s="217"/>
      <c r="E75" s="217"/>
      <c r="F75" s="217"/>
      <c r="G75" s="217"/>
      <c r="H75" s="217"/>
      <c r="I75" s="217"/>
      <c r="J75" s="217"/>
      <c r="K75" s="217"/>
      <c r="L75" s="217"/>
      <c r="M75" s="218"/>
    </row>
    <row r="76" spans="1:13" ht="15" customHeight="1" x14ac:dyDescent="0.25">
      <c r="A76" s="68" t="s">
        <v>71</v>
      </c>
      <c r="B76" s="219" t="s">
        <v>75</v>
      </c>
      <c r="C76" s="220"/>
      <c r="D76" s="220"/>
      <c r="E76" s="221"/>
      <c r="F76" s="219" t="s">
        <v>76</v>
      </c>
      <c r="G76" s="220"/>
      <c r="H76" s="220"/>
      <c r="I76" s="221"/>
      <c r="J76" s="219" t="s">
        <v>77</v>
      </c>
      <c r="K76" s="220"/>
      <c r="L76" s="220"/>
      <c r="M76" s="221"/>
    </row>
    <row r="77" spans="1:13" x14ac:dyDescent="0.25">
      <c r="A77" s="68" t="s">
        <v>72</v>
      </c>
      <c r="B77" s="210" t="s">
        <v>78</v>
      </c>
      <c r="C77" s="210" t="s">
        <v>79</v>
      </c>
      <c r="D77" s="210" t="s">
        <v>80</v>
      </c>
      <c r="E77" s="70" t="s">
        <v>80</v>
      </c>
      <c r="F77" s="210" t="s">
        <v>78</v>
      </c>
      <c r="G77" s="210" t="s">
        <v>79</v>
      </c>
      <c r="H77" s="210" t="s">
        <v>80</v>
      </c>
      <c r="I77" s="70" t="s">
        <v>80</v>
      </c>
      <c r="J77" s="210" t="s">
        <v>78</v>
      </c>
      <c r="K77" s="210" t="s">
        <v>79</v>
      </c>
      <c r="L77" s="210" t="s">
        <v>80</v>
      </c>
      <c r="M77" s="70" t="s">
        <v>80</v>
      </c>
    </row>
    <row r="78" spans="1:13" ht="45" x14ac:dyDescent="0.25">
      <c r="A78" s="68" t="s">
        <v>73</v>
      </c>
      <c r="B78" s="211"/>
      <c r="C78" s="211"/>
      <c r="D78" s="211"/>
      <c r="E78" s="68" t="s">
        <v>79</v>
      </c>
      <c r="F78" s="211"/>
      <c r="G78" s="211"/>
      <c r="H78" s="211"/>
      <c r="I78" s="68" t="s">
        <v>79</v>
      </c>
      <c r="J78" s="211"/>
      <c r="K78" s="211"/>
      <c r="L78" s="211"/>
      <c r="M78" s="68" t="s">
        <v>79</v>
      </c>
    </row>
    <row r="79" spans="1:13" x14ac:dyDescent="0.25">
      <c r="A79" s="68"/>
      <c r="B79" s="212"/>
      <c r="C79" s="212"/>
      <c r="D79" s="212"/>
      <c r="E79" s="69" t="s">
        <v>81</v>
      </c>
      <c r="F79" s="212"/>
      <c r="G79" s="212"/>
      <c r="H79" s="212"/>
      <c r="I79" s="69" t="s">
        <v>81</v>
      </c>
      <c r="J79" s="212"/>
      <c r="K79" s="212"/>
      <c r="L79" s="212"/>
      <c r="M79" s="69" t="s">
        <v>81</v>
      </c>
    </row>
    <row r="80" spans="1:13" x14ac:dyDescent="0.25">
      <c r="A80" s="69"/>
      <c r="B80" s="14">
        <v>1</v>
      </c>
      <c r="C80" s="14">
        <v>2</v>
      </c>
      <c r="D80" s="14">
        <v>3</v>
      </c>
      <c r="E80" s="14">
        <v>4</v>
      </c>
      <c r="F80" s="14">
        <v>5</v>
      </c>
      <c r="G80" s="14">
        <v>6</v>
      </c>
      <c r="H80" s="14">
        <v>7</v>
      </c>
      <c r="I80" s="14">
        <v>8</v>
      </c>
      <c r="J80" s="14">
        <v>9</v>
      </c>
      <c r="K80" s="14">
        <v>10</v>
      </c>
      <c r="L80" s="14">
        <v>11</v>
      </c>
      <c r="M80" s="14">
        <v>12</v>
      </c>
    </row>
    <row r="81" spans="1:13" x14ac:dyDescent="0.25">
      <c r="A81" s="16"/>
      <c r="M81" s="17"/>
    </row>
    <row r="82" spans="1:13" ht="15" customHeight="1" x14ac:dyDescent="0.25">
      <c r="A82" s="207" t="s">
        <v>98</v>
      </c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9"/>
    </row>
    <row r="83" spans="1:13" x14ac:dyDescent="0.25">
      <c r="A83" s="207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9"/>
    </row>
    <row r="84" spans="1:13" x14ac:dyDescent="0.25">
      <c r="A84" s="15" t="s">
        <v>83</v>
      </c>
      <c r="B84" s="15">
        <v>4189</v>
      </c>
      <c r="C84" s="15">
        <v>2096</v>
      </c>
      <c r="D84" s="15">
        <v>180</v>
      </c>
      <c r="E84" s="15" t="s">
        <v>84</v>
      </c>
      <c r="F84" s="15">
        <v>3875</v>
      </c>
      <c r="G84" s="15">
        <v>1953</v>
      </c>
      <c r="H84" s="15">
        <v>173</v>
      </c>
      <c r="I84" s="15" t="s">
        <v>84</v>
      </c>
      <c r="J84" s="15">
        <v>314</v>
      </c>
      <c r="K84" s="15">
        <v>143</v>
      </c>
      <c r="L84" s="15">
        <v>7</v>
      </c>
      <c r="M84" s="15" t="s">
        <v>84</v>
      </c>
    </row>
    <row r="85" spans="1:13" ht="30" x14ac:dyDescent="0.25">
      <c r="A85" s="15" t="s">
        <v>151</v>
      </c>
      <c r="B85" s="15">
        <v>2063</v>
      </c>
      <c r="C85" s="15">
        <v>1181</v>
      </c>
      <c r="D85" s="15">
        <v>47</v>
      </c>
      <c r="E85" s="15" t="s">
        <v>84</v>
      </c>
      <c r="F85" s="15">
        <v>1941</v>
      </c>
      <c r="G85" s="15">
        <v>1120</v>
      </c>
      <c r="H85" s="15">
        <v>45</v>
      </c>
      <c r="I85" s="15" t="s">
        <v>84</v>
      </c>
      <c r="J85" s="15">
        <v>122</v>
      </c>
      <c r="K85" s="15">
        <v>61</v>
      </c>
      <c r="L85" s="15">
        <v>2</v>
      </c>
      <c r="M85" s="15" t="s">
        <v>84</v>
      </c>
    </row>
    <row r="86" spans="1:13" ht="60" x14ac:dyDescent="0.25">
      <c r="A86" s="15" t="s">
        <v>152</v>
      </c>
      <c r="B86" s="15">
        <v>48</v>
      </c>
      <c r="C86" s="15">
        <v>24</v>
      </c>
      <c r="D86" s="15">
        <v>1</v>
      </c>
      <c r="E86" s="15" t="s">
        <v>84</v>
      </c>
      <c r="F86" s="15">
        <v>45</v>
      </c>
      <c r="G86" s="15">
        <v>23</v>
      </c>
      <c r="H86" s="15">
        <v>1</v>
      </c>
      <c r="I86" s="15" t="s">
        <v>84</v>
      </c>
      <c r="J86" s="15">
        <v>3</v>
      </c>
      <c r="K86" s="15">
        <v>1</v>
      </c>
      <c r="L86" s="15" t="s">
        <v>84</v>
      </c>
      <c r="M86" s="15" t="s">
        <v>84</v>
      </c>
    </row>
    <row r="87" spans="1:13" ht="30" x14ac:dyDescent="0.25">
      <c r="A87" s="15" t="s">
        <v>85</v>
      </c>
      <c r="B87" s="15">
        <v>1397</v>
      </c>
      <c r="C87" s="15">
        <v>633</v>
      </c>
      <c r="D87" s="15">
        <v>46</v>
      </c>
      <c r="E87" s="15" t="s">
        <v>84</v>
      </c>
      <c r="F87" s="15">
        <v>1257</v>
      </c>
      <c r="G87" s="15">
        <v>565</v>
      </c>
      <c r="H87" s="15">
        <v>44</v>
      </c>
      <c r="I87" s="15" t="s">
        <v>84</v>
      </c>
      <c r="J87" s="15">
        <v>140</v>
      </c>
      <c r="K87" s="15">
        <v>68</v>
      </c>
      <c r="L87" s="15">
        <v>2</v>
      </c>
      <c r="M87" s="15" t="s">
        <v>84</v>
      </c>
    </row>
    <row r="88" spans="1:13" ht="30" x14ac:dyDescent="0.25">
      <c r="A88" s="15" t="s">
        <v>86</v>
      </c>
      <c r="B88" s="15">
        <v>482</v>
      </c>
      <c r="C88" s="15">
        <v>185</v>
      </c>
      <c r="D88" s="15">
        <v>49</v>
      </c>
      <c r="E88" s="15" t="s">
        <v>84</v>
      </c>
      <c r="F88" s="15">
        <v>449</v>
      </c>
      <c r="G88" s="15">
        <v>175</v>
      </c>
      <c r="H88" s="15">
        <v>47</v>
      </c>
      <c r="I88" s="15" t="s">
        <v>84</v>
      </c>
      <c r="J88" s="15">
        <v>33</v>
      </c>
      <c r="K88" s="15">
        <v>10</v>
      </c>
      <c r="L88" s="15">
        <v>2</v>
      </c>
      <c r="M88" s="15" t="s">
        <v>84</v>
      </c>
    </row>
    <row r="89" spans="1:13" ht="45" x14ac:dyDescent="0.25">
      <c r="A89" s="15" t="s">
        <v>87</v>
      </c>
      <c r="B89" s="15">
        <v>199</v>
      </c>
      <c r="C89" s="15">
        <v>73</v>
      </c>
      <c r="D89" s="15">
        <v>37</v>
      </c>
      <c r="E89" s="15" t="s">
        <v>84</v>
      </c>
      <c r="F89" s="15">
        <v>183</v>
      </c>
      <c r="G89" s="15">
        <v>70</v>
      </c>
      <c r="H89" s="15">
        <v>36</v>
      </c>
      <c r="I89" s="15" t="s">
        <v>84</v>
      </c>
      <c r="J89" s="15">
        <v>16</v>
      </c>
      <c r="K89" s="15">
        <v>3</v>
      </c>
      <c r="L89" s="15">
        <v>1</v>
      </c>
      <c r="M89" s="15" t="s">
        <v>84</v>
      </c>
    </row>
    <row r="90" spans="1:13" ht="45" x14ac:dyDescent="0.25">
      <c r="A90" s="15" t="s">
        <v>153</v>
      </c>
      <c r="B90" s="15">
        <v>57</v>
      </c>
      <c r="C90" s="15">
        <v>22</v>
      </c>
      <c r="D90" s="15">
        <v>11</v>
      </c>
      <c r="E90" s="15" t="s">
        <v>84</v>
      </c>
      <c r="F90" s="15">
        <v>49</v>
      </c>
      <c r="G90" s="15">
        <v>21</v>
      </c>
      <c r="H90" s="15">
        <v>11</v>
      </c>
      <c r="I90" s="15" t="s">
        <v>84</v>
      </c>
      <c r="J90" s="15">
        <v>8</v>
      </c>
      <c r="K90" s="15">
        <v>1</v>
      </c>
      <c r="L90" s="15" t="s">
        <v>84</v>
      </c>
      <c r="M90" s="15" t="s">
        <v>84</v>
      </c>
    </row>
    <row r="91" spans="1:13" ht="60" x14ac:dyDescent="0.25">
      <c r="A91" s="15" t="s">
        <v>154</v>
      </c>
      <c r="B91" s="15">
        <v>29</v>
      </c>
      <c r="C91" s="15">
        <v>14</v>
      </c>
      <c r="D91" s="15">
        <v>3</v>
      </c>
      <c r="E91" s="15" t="s">
        <v>84</v>
      </c>
      <c r="F91" s="15">
        <v>29</v>
      </c>
      <c r="G91" s="15">
        <v>14</v>
      </c>
      <c r="H91" s="15">
        <v>3</v>
      </c>
      <c r="I91" s="15" t="s">
        <v>84</v>
      </c>
      <c r="J91" s="15" t="s">
        <v>84</v>
      </c>
      <c r="K91" s="15" t="s">
        <v>84</v>
      </c>
      <c r="L91" s="15" t="s">
        <v>84</v>
      </c>
      <c r="M91" s="15" t="s">
        <v>84</v>
      </c>
    </row>
    <row r="93" spans="1:13" x14ac:dyDescent="0.25">
      <c r="A93" t="s">
        <v>138</v>
      </c>
    </row>
    <row r="94" spans="1:13" x14ac:dyDescent="0.25">
      <c r="A94" t="s">
        <v>139</v>
      </c>
    </row>
    <row r="95" spans="1:13" x14ac:dyDescent="0.25">
      <c r="A95" t="s">
        <v>140</v>
      </c>
    </row>
    <row r="96" spans="1:13" x14ac:dyDescent="0.25">
      <c r="A96" t="s">
        <v>175</v>
      </c>
    </row>
    <row r="99" spans="1:1" x14ac:dyDescent="0.25">
      <c r="A99" t="s">
        <v>142</v>
      </c>
    </row>
    <row r="100" spans="1:1" x14ac:dyDescent="0.25">
      <c r="A100" t="s">
        <v>176</v>
      </c>
    </row>
    <row r="101" spans="1:1" x14ac:dyDescent="0.25">
      <c r="A101" t="s">
        <v>144</v>
      </c>
    </row>
    <row r="103" spans="1:1" x14ac:dyDescent="0.25">
      <c r="A103" t="s">
        <v>145</v>
      </c>
    </row>
    <row r="105" spans="1:1" x14ac:dyDescent="0.25">
      <c r="A105" t="s">
        <v>146</v>
      </c>
    </row>
    <row r="109" spans="1:1" x14ac:dyDescent="0.25">
      <c r="A109" s="19" t="s">
        <v>147</v>
      </c>
    </row>
    <row r="111" spans="1:1" x14ac:dyDescent="0.25">
      <c r="A111" s="20" t="s">
        <v>171</v>
      </c>
    </row>
    <row r="112" spans="1:1" x14ac:dyDescent="0.25">
      <c r="A112" s="20" t="s">
        <v>149</v>
      </c>
    </row>
    <row r="114" spans="1:13" x14ac:dyDescent="0.25">
      <c r="A114" s="10" t="s">
        <v>66</v>
      </c>
    </row>
    <row r="116" spans="1:13" x14ac:dyDescent="0.25">
      <c r="A116" t="s">
        <v>67</v>
      </c>
    </row>
    <row r="117" spans="1:13" x14ac:dyDescent="0.25">
      <c r="A117" t="s">
        <v>172</v>
      </c>
    </row>
    <row r="118" spans="1:13" x14ac:dyDescent="0.25">
      <c r="A118" t="s">
        <v>69</v>
      </c>
    </row>
    <row r="120" spans="1:13" x14ac:dyDescent="0.25">
      <c r="A120" t="s">
        <v>150</v>
      </c>
    </row>
    <row r="121" spans="1:13" x14ac:dyDescent="0.25">
      <c r="A121" s="124" t="s">
        <v>209</v>
      </c>
    </row>
    <row r="123" spans="1:13" ht="30" x14ac:dyDescent="0.25">
      <c r="A123" s="70" t="s">
        <v>63</v>
      </c>
      <c r="B123" s="213" t="s">
        <v>174</v>
      </c>
      <c r="C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5"/>
    </row>
    <row r="124" spans="1:13" ht="30" x14ac:dyDescent="0.25">
      <c r="A124" s="68" t="s">
        <v>70</v>
      </c>
      <c r="B124" s="216"/>
      <c r="C124" s="217"/>
      <c r="D124" s="217"/>
      <c r="E124" s="217"/>
      <c r="F124" s="217"/>
      <c r="G124" s="217"/>
      <c r="H124" s="217"/>
      <c r="I124" s="217"/>
      <c r="J124" s="217"/>
      <c r="K124" s="217"/>
      <c r="L124" s="217"/>
      <c r="M124" s="218"/>
    </row>
    <row r="125" spans="1:13" ht="15" customHeight="1" x14ac:dyDescent="0.25">
      <c r="A125" s="68" t="s">
        <v>71</v>
      </c>
      <c r="B125" s="219" t="s">
        <v>75</v>
      </c>
      <c r="C125" s="220"/>
      <c r="D125" s="220"/>
      <c r="E125" s="221"/>
      <c r="F125" s="219" t="s">
        <v>76</v>
      </c>
      <c r="G125" s="220"/>
      <c r="H125" s="220"/>
      <c r="I125" s="221"/>
      <c r="J125" s="219" t="s">
        <v>77</v>
      </c>
      <c r="K125" s="220"/>
      <c r="L125" s="220"/>
      <c r="M125" s="221"/>
    </row>
    <row r="126" spans="1:13" x14ac:dyDescent="0.25">
      <c r="A126" s="68" t="s">
        <v>72</v>
      </c>
      <c r="B126" s="210" t="s">
        <v>78</v>
      </c>
      <c r="C126" s="210" t="s">
        <v>79</v>
      </c>
      <c r="D126" s="210" t="s">
        <v>80</v>
      </c>
      <c r="E126" s="70" t="s">
        <v>80</v>
      </c>
      <c r="F126" s="210" t="s">
        <v>78</v>
      </c>
      <c r="G126" s="210" t="s">
        <v>79</v>
      </c>
      <c r="H126" s="210" t="s">
        <v>80</v>
      </c>
      <c r="I126" s="70" t="s">
        <v>80</v>
      </c>
      <c r="J126" s="210" t="s">
        <v>78</v>
      </c>
      <c r="K126" s="210" t="s">
        <v>79</v>
      </c>
      <c r="L126" s="210" t="s">
        <v>80</v>
      </c>
      <c r="M126" s="70" t="s">
        <v>80</v>
      </c>
    </row>
    <row r="127" spans="1:13" ht="45" x14ac:dyDescent="0.25">
      <c r="A127" s="68" t="s">
        <v>73</v>
      </c>
      <c r="B127" s="211"/>
      <c r="C127" s="211"/>
      <c r="D127" s="211"/>
      <c r="E127" s="68" t="s">
        <v>79</v>
      </c>
      <c r="F127" s="211"/>
      <c r="G127" s="211"/>
      <c r="H127" s="211"/>
      <c r="I127" s="68" t="s">
        <v>79</v>
      </c>
      <c r="J127" s="211"/>
      <c r="K127" s="211"/>
      <c r="L127" s="211"/>
      <c r="M127" s="68" t="s">
        <v>79</v>
      </c>
    </row>
    <row r="128" spans="1:13" x14ac:dyDescent="0.25">
      <c r="A128" s="68"/>
      <c r="B128" s="212"/>
      <c r="C128" s="212"/>
      <c r="D128" s="212"/>
      <c r="E128" s="69" t="s">
        <v>81</v>
      </c>
      <c r="F128" s="212"/>
      <c r="G128" s="212"/>
      <c r="H128" s="212"/>
      <c r="I128" s="69" t="s">
        <v>81</v>
      </c>
      <c r="J128" s="212"/>
      <c r="K128" s="212"/>
      <c r="L128" s="212"/>
      <c r="M128" s="69" t="s">
        <v>81</v>
      </c>
    </row>
    <row r="129" spans="1:13" x14ac:dyDescent="0.25">
      <c r="A129" s="69"/>
      <c r="B129" s="14">
        <v>1</v>
      </c>
      <c r="C129" s="14">
        <v>2</v>
      </c>
      <c r="D129" s="14">
        <v>3</v>
      </c>
      <c r="E129" s="14">
        <v>4</v>
      </c>
      <c r="F129" s="14">
        <v>5</v>
      </c>
      <c r="G129" s="14">
        <v>6</v>
      </c>
      <c r="H129" s="14">
        <v>7</v>
      </c>
      <c r="I129" s="14">
        <v>8</v>
      </c>
      <c r="J129" s="14">
        <v>9</v>
      </c>
      <c r="K129" s="14">
        <v>10</v>
      </c>
      <c r="L129" s="14">
        <v>11</v>
      </c>
      <c r="M129" s="14">
        <v>12</v>
      </c>
    </row>
    <row r="130" spans="1:13" x14ac:dyDescent="0.25">
      <c r="A130" s="16"/>
      <c r="M130" s="17"/>
    </row>
    <row r="131" spans="1:13" ht="15" customHeight="1" x14ac:dyDescent="0.25">
      <c r="A131" s="207" t="s">
        <v>98</v>
      </c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09"/>
    </row>
    <row r="132" spans="1:13" x14ac:dyDescent="0.25">
      <c r="A132" s="207"/>
      <c r="B132" s="208"/>
      <c r="C132" s="208"/>
      <c r="D132" s="208"/>
      <c r="E132" s="208"/>
      <c r="F132" s="208"/>
      <c r="G132" s="208"/>
      <c r="H132" s="208"/>
      <c r="I132" s="208"/>
      <c r="J132" s="208"/>
      <c r="K132" s="208"/>
      <c r="L132" s="208"/>
      <c r="M132" s="209"/>
    </row>
    <row r="133" spans="1:13" x14ac:dyDescent="0.25">
      <c r="A133" s="15" t="s">
        <v>83</v>
      </c>
      <c r="B133" s="15">
        <v>3389</v>
      </c>
      <c r="C133" s="15">
        <v>1592</v>
      </c>
      <c r="D133" s="15">
        <v>181</v>
      </c>
      <c r="E133" s="15" t="s">
        <v>84</v>
      </c>
      <c r="F133" s="15">
        <v>3111</v>
      </c>
      <c r="G133" s="15">
        <v>1488</v>
      </c>
      <c r="H133" s="15">
        <v>170</v>
      </c>
      <c r="I133" s="15" t="s">
        <v>84</v>
      </c>
      <c r="J133" s="15">
        <v>278</v>
      </c>
      <c r="K133" s="15">
        <v>104</v>
      </c>
      <c r="L133" s="15">
        <v>11</v>
      </c>
      <c r="M133" s="15" t="s">
        <v>84</v>
      </c>
    </row>
    <row r="134" spans="1:13" ht="30" x14ac:dyDescent="0.25">
      <c r="A134" s="15" t="s">
        <v>151</v>
      </c>
      <c r="B134" s="15">
        <v>1320</v>
      </c>
      <c r="C134" s="15">
        <v>697</v>
      </c>
      <c r="D134" s="15">
        <v>30</v>
      </c>
      <c r="E134" s="15" t="s">
        <v>84</v>
      </c>
      <c r="F134" s="15">
        <v>1247</v>
      </c>
      <c r="G134" s="15">
        <v>667</v>
      </c>
      <c r="H134" s="15">
        <v>29</v>
      </c>
      <c r="I134" s="15" t="s">
        <v>84</v>
      </c>
      <c r="J134" s="15">
        <v>73</v>
      </c>
      <c r="K134" s="15">
        <v>30</v>
      </c>
      <c r="L134" s="15">
        <v>1</v>
      </c>
      <c r="M134" s="15" t="s">
        <v>84</v>
      </c>
    </row>
    <row r="135" spans="1:13" ht="60" x14ac:dyDescent="0.25">
      <c r="A135" s="15" t="s">
        <v>152</v>
      </c>
      <c r="B135" s="15">
        <v>51</v>
      </c>
      <c r="C135" s="15">
        <v>22</v>
      </c>
      <c r="D135" s="15">
        <v>1</v>
      </c>
      <c r="E135" s="15" t="s">
        <v>84</v>
      </c>
      <c r="F135" s="15">
        <v>48</v>
      </c>
      <c r="G135" s="15">
        <v>21</v>
      </c>
      <c r="H135" s="15">
        <v>1</v>
      </c>
      <c r="I135" s="15" t="s">
        <v>84</v>
      </c>
      <c r="J135" s="15">
        <v>3</v>
      </c>
      <c r="K135" s="15">
        <v>1</v>
      </c>
      <c r="L135" s="15" t="s">
        <v>84</v>
      </c>
      <c r="M135" s="15" t="s">
        <v>84</v>
      </c>
    </row>
    <row r="136" spans="1:13" ht="30" x14ac:dyDescent="0.25">
      <c r="A136" s="15" t="s">
        <v>85</v>
      </c>
      <c r="B136" s="15">
        <v>1336</v>
      </c>
      <c r="C136" s="15">
        <v>638</v>
      </c>
      <c r="D136" s="15">
        <v>75</v>
      </c>
      <c r="E136" s="15" t="s">
        <v>84</v>
      </c>
      <c r="F136" s="15">
        <v>1207</v>
      </c>
      <c r="G136" s="15">
        <v>584</v>
      </c>
      <c r="H136" s="15">
        <v>71</v>
      </c>
      <c r="I136" s="15" t="s">
        <v>84</v>
      </c>
      <c r="J136" s="15">
        <v>129</v>
      </c>
      <c r="K136" s="15">
        <v>54</v>
      </c>
      <c r="L136" s="15">
        <v>4</v>
      </c>
      <c r="M136" s="15" t="s">
        <v>84</v>
      </c>
    </row>
    <row r="137" spans="1:13" ht="30" x14ac:dyDescent="0.25">
      <c r="A137" s="15" t="s">
        <v>86</v>
      </c>
      <c r="B137" s="15">
        <v>531</v>
      </c>
      <c r="C137" s="15">
        <v>180</v>
      </c>
      <c r="D137" s="15">
        <v>53</v>
      </c>
      <c r="E137" s="15" t="s">
        <v>84</v>
      </c>
      <c r="F137" s="15">
        <v>471</v>
      </c>
      <c r="G137" s="15">
        <v>163</v>
      </c>
      <c r="H137" s="15">
        <v>47</v>
      </c>
      <c r="I137" s="15" t="s">
        <v>84</v>
      </c>
      <c r="J137" s="15">
        <v>60</v>
      </c>
      <c r="K137" s="15">
        <v>17</v>
      </c>
      <c r="L137" s="15">
        <v>6</v>
      </c>
      <c r="M137" s="15" t="s">
        <v>84</v>
      </c>
    </row>
    <row r="138" spans="1:13" ht="45" x14ac:dyDescent="0.25">
      <c r="A138" s="15" t="s">
        <v>87</v>
      </c>
      <c r="B138" s="15">
        <v>151</v>
      </c>
      <c r="C138" s="15">
        <v>55</v>
      </c>
      <c r="D138" s="15">
        <v>22</v>
      </c>
      <c r="E138" s="15" t="s">
        <v>84</v>
      </c>
      <c r="F138" s="15">
        <v>138</v>
      </c>
      <c r="G138" s="15">
        <v>53</v>
      </c>
      <c r="H138" s="15">
        <v>22</v>
      </c>
      <c r="I138" s="15" t="s">
        <v>84</v>
      </c>
      <c r="J138" s="15">
        <v>13</v>
      </c>
      <c r="K138" s="15">
        <v>2</v>
      </c>
      <c r="L138" s="15" t="s">
        <v>84</v>
      </c>
      <c r="M138" s="15" t="s">
        <v>84</v>
      </c>
    </row>
    <row r="139" spans="1:13" ht="45" x14ac:dyDescent="0.25">
      <c r="A139" s="15" t="s">
        <v>153</v>
      </c>
      <c r="B139" s="15">
        <v>39</v>
      </c>
      <c r="C139" s="15">
        <v>13</v>
      </c>
      <c r="D139" s="15">
        <v>3</v>
      </c>
      <c r="E139" s="15" t="s">
        <v>84</v>
      </c>
      <c r="F139" s="15">
        <v>34</v>
      </c>
      <c r="G139" s="15">
        <v>12</v>
      </c>
      <c r="H139" s="15">
        <v>3</v>
      </c>
      <c r="I139" s="15" t="s">
        <v>84</v>
      </c>
      <c r="J139" s="15">
        <v>5</v>
      </c>
      <c r="K139" s="15">
        <v>1</v>
      </c>
      <c r="L139" s="15" t="s">
        <v>84</v>
      </c>
      <c r="M139" s="15" t="s">
        <v>84</v>
      </c>
    </row>
    <row r="140" spans="1:13" ht="60" x14ac:dyDescent="0.25">
      <c r="A140" s="15" t="s">
        <v>154</v>
      </c>
      <c r="B140" s="15">
        <v>38</v>
      </c>
      <c r="C140" s="15">
        <v>17</v>
      </c>
      <c r="D140" s="15">
        <v>6</v>
      </c>
      <c r="E140" s="15" t="s">
        <v>84</v>
      </c>
      <c r="F140" s="15">
        <v>38</v>
      </c>
      <c r="G140" s="15">
        <v>17</v>
      </c>
      <c r="H140" s="15">
        <v>6</v>
      </c>
      <c r="I140" s="15" t="s">
        <v>84</v>
      </c>
      <c r="J140" s="15" t="s">
        <v>84</v>
      </c>
      <c r="K140" s="15" t="s">
        <v>84</v>
      </c>
      <c r="L140" s="15" t="s">
        <v>84</v>
      </c>
      <c r="M140" s="15" t="s">
        <v>84</v>
      </c>
    </row>
    <row r="142" spans="1:13" x14ac:dyDescent="0.25">
      <c r="A142" t="s">
        <v>138</v>
      </c>
    </row>
    <row r="143" spans="1:13" x14ac:dyDescent="0.25">
      <c r="A143" t="s">
        <v>139</v>
      </c>
    </row>
    <row r="144" spans="1:13" x14ac:dyDescent="0.25">
      <c r="A144" t="s">
        <v>140</v>
      </c>
    </row>
    <row r="145" spans="1:1" x14ac:dyDescent="0.25">
      <c r="A145" t="s">
        <v>175</v>
      </c>
    </row>
    <row r="148" spans="1:1" x14ac:dyDescent="0.25">
      <c r="A148" t="s">
        <v>142</v>
      </c>
    </row>
    <row r="149" spans="1:1" x14ac:dyDescent="0.25">
      <c r="A149" t="s">
        <v>176</v>
      </c>
    </row>
    <row r="150" spans="1:1" x14ac:dyDescent="0.25">
      <c r="A150" t="s">
        <v>144</v>
      </c>
    </row>
    <row r="152" spans="1:1" x14ac:dyDescent="0.25">
      <c r="A152" t="s">
        <v>145</v>
      </c>
    </row>
    <row r="154" spans="1:1" x14ac:dyDescent="0.25">
      <c r="A154" t="s">
        <v>146</v>
      </c>
    </row>
  </sheetData>
  <mergeCells count="46">
    <mergeCell ref="A24:J24"/>
    <mergeCell ref="B15:J18"/>
    <mergeCell ref="B19:D19"/>
    <mergeCell ref="E19:G19"/>
    <mergeCell ref="H19:J19"/>
    <mergeCell ref="A23:J23"/>
    <mergeCell ref="A33:J33"/>
    <mergeCell ref="A34:J34"/>
    <mergeCell ref="B74:M75"/>
    <mergeCell ref="B76:E76"/>
    <mergeCell ref="F76:I76"/>
    <mergeCell ref="J76:M76"/>
    <mergeCell ref="B123:M124"/>
    <mergeCell ref="B77:B79"/>
    <mergeCell ref="C77:C79"/>
    <mergeCell ref="D77:D79"/>
    <mergeCell ref="F77:F79"/>
    <mergeCell ref="G77:G79"/>
    <mergeCell ref="H77:H79"/>
    <mergeCell ref="J77:J79"/>
    <mergeCell ref="K77:K79"/>
    <mergeCell ref="L77:L79"/>
    <mergeCell ref="A82:M82"/>
    <mergeCell ref="A83:M83"/>
    <mergeCell ref="K126:K128"/>
    <mergeCell ref="L126:L128"/>
    <mergeCell ref="A131:M131"/>
    <mergeCell ref="A132:M132"/>
    <mergeCell ref="B125:E125"/>
    <mergeCell ref="F125:I125"/>
    <mergeCell ref="J125:M125"/>
    <mergeCell ref="B126:B128"/>
    <mergeCell ref="C126:C128"/>
    <mergeCell ref="D126:D128"/>
    <mergeCell ref="F126:F128"/>
    <mergeCell ref="G126:G128"/>
    <mergeCell ref="H126:H128"/>
    <mergeCell ref="J126:J128"/>
    <mergeCell ref="AC16:AD16"/>
    <mergeCell ref="AE16:AF16"/>
    <mergeCell ref="AA18:AF18"/>
    <mergeCell ref="O18:Z18"/>
    <mergeCell ref="AA16:AB16"/>
    <mergeCell ref="O16:R16"/>
    <mergeCell ref="S16:V16"/>
    <mergeCell ref="W16:Z16"/>
  </mergeCells>
  <hyperlinks>
    <hyperlink ref="A1" r:id="rId1" display="https://www1.nls.niedersachsen.de/Statistik/pool/K3002520/K3002520_000017553EB1B3EB34D542F6E38DF7F30373DB21CC14B08831F6.zip" xr:uid="{4B0C058C-0912-4123-A8D6-48BFF9864DBF}"/>
    <hyperlink ref="A60" r:id="rId2" display="https://www1.nls.niedersachsen.de/Statistik/pool/K3002519/K3002519_000017553EB1FC603A07C413BD8A2B91031C916447D74BC2903F.zip" xr:uid="{7B6E7010-8213-4210-B0DC-F09408B8094A}"/>
    <hyperlink ref="A109" r:id="rId3" display="https://www1.nls.niedersachsen.de/Statistik/pool/K3002519/K3002519_000017553EB1A969278422F244BA64F7CFE41BB613AA2CD53BBC.zip" xr:uid="{C78E95AA-FD0D-41FD-BE3E-3CD65115F6DC}"/>
  </hyperlink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I51"/>
  <sheetViews>
    <sheetView workbookViewId="0"/>
  </sheetViews>
  <sheetFormatPr baseColWidth="10" defaultRowHeight="15" x14ac:dyDescent="0.25"/>
  <cols>
    <col min="2" max="2" width="31.85546875" bestFit="1" customWidth="1"/>
  </cols>
  <sheetData>
    <row r="1" spans="1:9" x14ac:dyDescent="0.25">
      <c r="A1" t="s">
        <v>168</v>
      </c>
      <c r="B1" t="s">
        <v>169</v>
      </c>
      <c r="C1" t="s">
        <v>170</v>
      </c>
    </row>
    <row r="2" spans="1:9" x14ac:dyDescent="0.25">
      <c r="A2">
        <v>3101</v>
      </c>
      <c r="B2" t="s">
        <v>12</v>
      </c>
      <c r="C2" s="47">
        <f>VLOOKUP(A2,'2019_B5_Berechnung'!$A$279:$M$330,12,FALSE)</f>
        <v>17.419354838709676</v>
      </c>
      <c r="G2">
        <v>30</v>
      </c>
      <c r="H2" t="s">
        <v>63</v>
      </c>
      <c r="I2" s="47">
        <v>23.1</v>
      </c>
    </row>
    <row r="3" spans="1:9" x14ac:dyDescent="0.25">
      <c r="A3">
        <v>3102</v>
      </c>
      <c r="B3" t="s">
        <v>13</v>
      </c>
      <c r="C3" s="47">
        <f>VLOOKUP(A3,'2019_B5_Berechnung'!$A$279:$M$330,12,FALSE)</f>
        <v>14.414414414414415</v>
      </c>
      <c r="G3">
        <v>3241</v>
      </c>
      <c r="H3" t="s">
        <v>23</v>
      </c>
      <c r="I3" s="47">
        <v>19.8</v>
      </c>
    </row>
    <row r="4" spans="1:9" x14ac:dyDescent="0.25">
      <c r="A4">
        <v>3103</v>
      </c>
      <c r="B4" t="s">
        <v>14</v>
      </c>
      <c r="C4" s="47">
        <f>VLOOKUP(A4,'2019_B5_Berechnung'!$A$279:$M$330,12,FALSE)</f>
        <v>15.508021390374333</v>
      </c>
    </row>
    <row r="5" spans="1:9" x14ac:dyDescent="0.25">
      <c r="A5">
        <v>3151</v>
      </c>
      <c r="B5" t="s">
        <v>15</v>
      </c>
      <c r="C5" s="47">
        <f>VLOOKUP(A5,'2019_B5_Berechnung'!$A$279:$M$330,12,FALSE)</f>
        <v>10.526315789473683</v>
      </c>
    </row>
    <row r="6" spans="1:9" x14ac:dyDescent="0.25">
      <c r="A6">
        <v>3153</v>
      </c>
      <c r="B6" t="s">
        <v>17</v>
      </c>
      <c r="C6" s="47">
        <f>VLOOKUP(A6,'2019_B5_Berechnung'!$A$279:$M$330,12,FALSE)</f>
        <v>18.367346938775512</v>
      </c>
    </row>
    <row r="7" spans="1:9" x14ac:dyDescent="0.25">
      <c r="A7">
        <v>3154</v>
      </c>
      <c r="B7" t="s">
        <v>18</v>
      </c>
      <c r="C7" s="47">
        <f>VLOOKUP(A7,'2019_B5_Berechnung'!$A$279:$M$330,12,FALSE)</f>
        <v>20.37037037037037</v>
      </c>
    </row>
    <row r="8" spans="1:9" x14ac:dyDescent="0.25">
      <c r="A8">
        <v>3155</v>
      </c>
      <c r="B8" t="s">
        <v>19</v>
      </c>
      <c r="C8" s="47">
        <f>VLOOKUP(A8,'2019_B5_Berechnung'!$A$279:$M$330,12,FALSE)</f>
        <v>20.253164556962027</v>
      </c>
    </row>
    <row r="9" spans="1:9" x14ac:dyDescent="0.25">
      <c r="A9">
        <v>3157</v>
      </c>
      <c r="B9" t="s">
        <v>20</v>
      </c>
      <c r="C9" s="47">
        <f>VLOOKUP(A9,'2019_B5_Berechnung'!$A$279:$M$330,12,FALSE)</f>
        <v>17.82178217821782</v>
      </c>
    </row>
    <row r="10" spans="1:9" x14ac:dyDescent="0.25">
      <c r="A10">
        <v>3158</v>
      </c>
      <c r="B10" t="s">
        <v>21</v>
      </c>
      <c r="C10" s="47">
        <f>VLOOKUP(A10,'2019_B5_Berechnung'!$A$279:$M$330,12,FALSE)</f>
        <v>27.419354838709676</v>
      </c>
    </row>
    <row r="11" spans="1:9" x14ac:dyDescent="0.25">
      <c r="A11">
        <v>3159</v>
      </c>
      <c r="B11" t="s">
        <v>167</v>
      </c>
      <c r="C11" s="47">
        <f>VLOOKUP(A11,'2019_B5_Berechnung'!$A$279:$M$330,12,FALSE)</f>
        <v>25.957446808510635</v>
      </c>
    </row>
    <row r="12" spans="1:9" x14ac:dyDescent="0.25">
      <c r="A12">
        <v>31</v>
      </c>
      <c r="B12" t="s">
        <v>22</v>
      </c>
      <c r="C12" s="47">
        <f>VLOOKUP(A12,'2019_B5_Berechnung'!$A$279:$M$330,12,FALSE)</f>
        <v>18.67612293144208</v>
      </c>
    </row>
    <row r="13" spans="1:9" x14ac:dyDescent="0.25">
      <c r="A13">
        <v>3241001</v>
      </c>
      <c r="B13" t="s">
        <v>24</v>
      </c>
      <c r="C13" s="47">
        <f>VLOOKUP(A13,'2019_B5_Berechnung'!$A$279:$M$330,12,FALSE)</f>
        <v>21.159874608150471</v>
      </c>
    </row>
    <row r="14" spans="1:9" x14ac:dyDescent="0.25">
      <c r="A14">
        <v>3241999</v>
      </c>
      <c r="B14" t="s">
        <v>25</v>
      </c>
      <c r="C14" s="47">
        <f>VLOOKUP(A14,'2019_B5_Berechnung'!$A$279:$M$330,12,FALSE)</f>
        <v>18.424962852897476</v>
      </c>
    </row>
    <row r="15" spans="1:9" x14ac:dyDescent="0.25">
      <c r="A15">
        <v>3251</v>
      </c>
      <c r="B15" t="s">
        <v>26</v>
      </c>
      <c r="C15" s="47">
        <f>VLOOKUP(A15,'2019_B5_Berechnung'!$A$279:$M$330,12,FALSE)</f>
        <v>28.666666666666668</v>
      </c>
    </row>
    <row r="16" spans="1:9" x14ac:dyDescent="0.25">
      <c r="A16">
        <v>3252</v>
      </c>
      <c r="B16" t="s">
        <v>27</v>
      </c>
      <c r="C16" s="47">
        <f>VLOOKUP(A16,'2019_B5_Berechnung'!$A$279:$M$330,12,FALSE)</f>
        <v>31.578947368421051</v>
      </c>
    </row>
    <row r="17" spans="1:3" x14ac:dyDescent="0.25">
      <c r="A17">
        <v>3254</v>
      </c>
      <c r="B17" t="s">
        <v>28</v>
      </c>
      <c r="C17" s="47">
        <f>VLOOKUP(A17,'2019_B5_Berechnung'!$A$279:$M$330,12,FALSE)</f>
        <v>27.480916030534353</v>
      </c>
    </row>
    <row r="18" spans="1:3" x14ac:dyDescent="0.25">
      <c r="A18">
        <v>3255</v>
      </c>
      <c r="B18" t="s">
        <v>29</v>
      </c>
      <c r="C18" s="47">
        <f>VLOOKUP(A18,'2019_B5_Berechnung'!$A$279:$M$330,12,FALSE)</f>
        <v>20.588235294117645</v>
      </c>
    </row>
    <row r="19" spans="1:3" x14ac:dyDescent="0.25">
      <c r="A19">
        <v>3256</v>
      </c>
      <c r="B19" t="s">
        <v>30</v>
      </c>
      <c r="C19" s="47">
        <f>VLOOKUP(A19,'2019_B5_Berechnung'!$A$279:$M$330,12,FALSE)</f>
        <v>20.161290322580644</v>
      </c>
    </row>
    <row r="20" spans="1:3" x14ac:dyDescent="0.25">
      <c r="A20">
        <v>3257</v>
      </c>
      <c r="B20" t="s">
        <v>31</v>
      </c>
      <c r="C20" s="47">
        <f>VLOOKUP(A20,'2019_B5_Berechnung'!$A$279:$M$330,12,FALSE)</f>
        <v>22.900763358778626</v>
      </c>
    </row>
    <row r="21" spans="1:3" x14ac:dyDescent="0.25">
      <c r="A21">
        <v>32</v>
      </c>
      <c r="B21" t="s">
        <v>32</v>
      </c>
      <c r="C21" s="47">
        <f>VLOOKUP(A21,'2019_B5_Berechnung'!$A$279:$M$330,12,FALSE)</f>
        <v>22.44617498854787</v>
      </c>
    </row>
    <row r="22" spans="1:3" x14ac:dyDescent="0.25">
      <c r="A22">
        <v>3351</v>
      </c>
      <c r="B22" t="s">
        <v>33</v>
      </c>
      <c r="C22" s="47">
        <f>VLOOKUP(A22,'2019_B5_Berechnung'!$A$279:$M$330,12,FALSE)</f>
        <v>24.793388429752067</v>
      </c>
    </row>
    <row r="23" spans="1:3" x14ac:dyDescent="0.25">
      <c r="A23">
        <v>3352</v>
      </c>
      <c r="B23" t="s">
        <v>34</v>
      </c>
      <c r="C23" s="47">
        <f>VLOOKUP(A23,'2019_B5_Berechnung'!$A$279:$M$330,12,FALSE)</f>
        <v>27.34375</v>
      </c>
    </row>
    <row r="24" spans="1:3" x14ac:dyDescent="0.25">
      <c r="A24">
        <v>3353</v>
      </c>
      <c r="B24" t="s">
        <v>35</v>
      </c>
      <c r="C24" s="47">
        <f>VLOOKUP(A24,'2019_B5_Berechnung'!$A$279:$M$330,12,FALSE)</f>
        <v>18.103448275862068</v>
      </c>
    </row>
    <row r="25" spans="1:3" x14ac:dyDescent="0.25">
      <c r="A25">
        <v>3354</v>
      </c>
      <c r="B25" t="s">
        <v>36</v>
      </c>
      <c r="C25" s="47">
        <f>VLOOKUP(A25,'2019_B5_Berechnung'!$A$279:$M$330,12,FALSE)</f>
        <v>16.666666666666664</v>
      </c>
    </row>
    <row r="26" spans="1:3" x14ac:dyDescent="0.25">
      <c r="A26">
        <v>3355</v>
      </c>
      <c r="B26" t="s">
        <v>37</v>
      </c>
      <c r="C26" s="47">
        <f>VLOOKUP(A26,'2019_B5_Berechnung'!$A$279:$M$330,12,FALSE)</f>
        <v>20.300751879699249</v>
      </c>
    </row>
    <row r="27" spans="1:3" x14ac:dyDescent="0.25">
      <c r="A27">
        <v>3356</v>
      </c>
      <c r="B27" t="s">
        <v>38</v>
      </c>
      <c r="C27" s="47">
        <f>VLOOKUP(A27,'2019_B5_Berechnung'!$A$279:$M$330,12,FALSE)</f>
        <v>28.888888888888886</v>
      </c>
    </row>
    <row r="28" spans="1:3" x14ac:dyDescent="0.25">
      <c r="A28">
        <v>3357</v>
      </c>
      <c r="B28" t="s">
        <v>39</v>
      </c>
      <c r="C28" s="47">
        <f>VLOOKUP(A28,'2019_B5_Berechnung'!$A$279:$M$330,12,FALSE)</f>
        <v>30.76923076923077</v>
      </c>
    </row>
    <row r="29" spans="1:3" x14ac:dyDescent="0.25">
      <c r="A29">
        <v>3358</v>
      </c>
      <c r="B29" t="s">
        <v>40</v>
      </c>
      <c r="C29" s="47">
        <f>VLOOKUP(A29,'2019_B5_Berechnung'!$A$279:$M$330,12,FALSE)</f>
        <v>19.696969696969695</v>
      </c>
    </row>
    <row r="30" spans="1:3" x14ac:dyDescent="0.25">
      <c r="A30">
        <v>3359</v>
      </c>
      <c r="B30" t="s">
        <v>41</v>
      </c>
      <c r="C30" s="47">
        <f>VLOOKUP(A30,'2019_B5_Berechnung'!$A$279:$M$330,12,FALSE)</f>
        <v>26.865671641791046</v>
      </c>
    </row>
    <row r="31" spans="1:3" x14ac:dyDescent="0.25">
      <c r="A31">
        <v>3360</v>
      </c>
      <c r="B31" t="s">
        <v>42</v>
      </c>
      <c r="C31" s="47">
        <f>VLOOKUP(A31,'2019_B5_Berechnung'!$A$279:$M$330,12,FALSE)</f>
        <v>25.714285714285712</v>
      </c>
    </row>
    <row r="32" spans="1:3" x14ac:dyDescent="0.25">
      <c r="A32">
        <v>3361</v>
      </c>
      <c r="B32" t="s">
        <v>43</v>
      </c>
      <c r="C32" s="47">
        <f>VLOOKUP(A32,'2019_B5_Berechnung'!$A$279:$M$330,12,FALSE)</f>
        <v>26.923076923076923</v>
      </c>
    </row>
    <row r="33" spans="1:3" x14ac:dyDescent="0.25">
      <c r="A33">
        <v>33</v>
      </c>
      <c r="B33" t="s">
        <v>44</v>
      </c>
      <c r="C33" s="47">
        <f>VLOOKUP(A33,'2019_B5_Berechnung'!$A$279:$M$330,12,FALSE)</f>
        <v>24.387646432374869</v>
      </c>
    </row>
    <row r="34" spans="1:3" x14ac:dyDescent="0.25">
      <c r="A34">
        <v>3401</v>
      </c>
      <c r="B34" t="s">
        <v>45</v>
      </c>
      <c r="C34" s="47">
        <f>VLOOKUP(A34,'2019_B5_Berechnung'!$A$279:$M$330,12,FALSE)</f>
        <v>41.212121212121211</v>
      </c>
    </row>
    <row r="35" spans="1:3" x14ac:dyDescent="0.25">
      <c r="A35">
        <v>3402</v>
      </c>
      <c r="B35" t="s">
        <v>46</v>
      </c>
      <c r="C35" s="47">
        <f>VLOOKUP(A35,'2019_B5_Berechnung'!$A$279:$M$330,12,FALSE)</f>
        <v>26.923076923076923</v>
      </c>
    </row>
    <row r="36" spans="1:3" x14ac:dyDescent="0.25">
      <c r="A36">
        <v>3403</v>
      </c>
      <c r="B36" t="s">
        <v>47</v>
      </c>
      <c r="C36" s="47">
        <f>VLOOKUP(A36,'2019_B5_Berechnung'!$A$279:$M$330,12,FALSE)</f>
        <v>19.25925925925926</v>
      </c>
    </row>
    <row r="37" spans="1:3" x14ac:dyDescent="0.25">
      <c r="A37">
        <v>3404</v>
      </c>
      <c r="B37" t="s">
        <v>48</v>
      </c>
      <c r="C37" s="47">
        <f>VLOOKUP(A37,'2019_B5_Berechnung'!$A$279:$M$330,12,FALSE)</f>
        <v>19.834710743801654</v>
      </c>
    </row>
    <row r="38" spans="1:3" x14ac:dyDescent="0.25">
      <c r="A38">
        <v>3405</v>
      </c>
      <c r="B38" t="s">
        <v>49</v>
      </c>
      <c r="C38" s="47">
        <f>VLOOKUP(A38,'2019_B5_Berechnung'!$A$279:$M$330,12,FALSE)</f>
        <v>27.941176470588236</v>
      </c>
    </row>
    <row r="39" spans="1:3" x14ac:dyDescent="0.25">
      <c r="A39">
        <v>3451</v>
      </c>
      <c r="B39" t="s">
        <v>50</v>
      </c>
      <c r="C39" s="47">
        <f>VLOOKUP(A39,'2019_B5_Berechnung'!$A$279:$M$330,12,FALSE)</f>
        <v>4.0540540540540544</v>
      </c>
    </row>
    <row r="40" spans="1:3" x14ac:dyDescent="0.25">
      <c r="A40">
        <v>3452</v>
      </c>
      <c r="B40" t="s">
        <v>51</v>
      </c>
      <c r="C40" s="47">
        <f>VLOOKUP(A40,'2019_B5_Berechnung'!$A$279:$M$330,12,FALSE)</f>
        <v>23.076923076923077</v>
      </c>
    </row>
    <row r="41" spans="1:3" x14ac:dyDescent="0.25">
      <c r="A41">
        <v>3453</v>
      </c>
      <c r="B41" t="s">
        <v>52</v>
      </c>
      <c r="C41" s="47">
        <f>VLOOKUP(A41,'2019_B5_Berechnung'!$A$279:$M$330,12,FALSE)</f>
        <v>34.857142857142861</v>
      </c>
    </row>
    <row r="42" spans="1:3" x14ac:dyDescent="0.25">
      <c r="A42">
        <v>3454</v>
      </c>
      <c r="B42" t="s">
        <v>53</v>
      </c>
      <c r="C42" s="47">
        <f>VLOOKUP(A42,'2019_B5_Berechnung'!$A$279:$M$330,12,FALSE)</f>
        <v>36.213991769547327</v>
      </c>
    </row>
    <row r="43" spans="1:3" x14ac:dyDescent="0.25">
      <c r="A43">
        <v>3455</v>
      </c>
      <c r="B43" t="s">
        <v>54</v>
      </c>
      <c r="C43" s="47">
        <f>VLOOKUP(A43,'2019_B5_Berechnung'!$A$279:$M$330,12,FALSE)</f>
        <v>25</v>
      </c>
    </row>
    <row r="44" spans="1:3" x14ac:dyDescent="0.25">
      <c r="A44">
        <v>3456</v>
      </c>
      <c r="B44" t="s">
        <v>55</v>
      </c>
      <c r="C44" s="47">
        <f>VLOOKUP(A44,'2019_B5_Berechnung'!$A$279:$M$330,12,FALSE)</f>
        <v>18.539325842696631</v>
      </c>
    </row>
    <row r="45" spans="1:3" x14ac:dyDescent="0.25">
      <c r="A45">
        <v>3457</v>
      </c>
      <c r="B45" t="s">
        <v>56</v>
      </c>
      <c r="C45" s="47">
        <f>VLOOKUP(A45,'2019_B5_Berechnung'!$A$279:$M$330,12,FALSE)</f>
        <v>28.8135593220339</v>
      </c>
    </row>
    <row r="46" spans="1:3" x14ac:dyDescent="0.25">
      <c r="A46">
        <v>3458</v>
      </c>
      <c r="B46" t="s">
        <v>57</v>
      </c>
      <c r="C46" s="47">
        <f>VLOOKUP(A46,'2019_B5_Berechnung'!$A$279:$M$330,12,FALSE)</f>
        <v>14.85148514851485</v>
      </c>
    </row>
    <row r="47" spans="1:3" x14ac:dyDescent="0.25">
      <c r="A47">
        <v>3459</v>
      </c>
      <c r="B47" t="s">
        <v>58</v>
      </c>
      <c r="C47" s="47">
        <f>VLOOKUP(A47,'2019_B5_Berechnung'!$A$279:$M$330,12,FALSE)</f>
        <v>26.288659793814436</v>
      </c>
    </row>
    <row r="48" spans="1:3" x14ac:dyDescent="0.25">
      <c r="A48">
        <v>3460</v>
      </c>
      <c r="B48" t="s">
        <v>59</v>
      </c>
      <c r="C48" s="47">
        <f>VLOOKUP(A48,'2019_B5_Berechnung'!$A$279:$M$330,12,FALSE)</f>
        <v>29.850746268656714</v>
      </c>
    </row>
    <row r="49" spans="1:3" x14ac:dyDescent="0.25">
      <c r="A49">
        <v>3461</v>
      </c>
      <c r="B49" t="s">
        <v>60</v>
      </c>
      <c r="C49" s="47">
        <f>VLOOKUP(A49,'2019_B5_Berechnung'!$A$279:$M$330,12,FALSE)</f>
        <v>11.827956989247312</v>
      </c>
    </row>
    <row r="50" spans="1:3" x14ac:dyDescent="0.25">
      <c r="A50">
        <v>3462</v>
      </c>
      <c r="B50" t="s">
        <v>61</v>
      </c>
      <c r="C50" s="47">
        <f>VLOOKUP(A50,'2019_B5_Berechnung'!$A$279:$M$330,12,FALSE)</f>
        <v>34.375</v>
      </c>
    </row>
    <row r="51" spans="1:3" x14ac:dyDescent="0.25">
      <c r="A51">
        <v>34</v>
      </c>
      <c r="B51" t="s">
        <v>62</v>
      </c>
      <c r="C51" s="47">
        <f>VLOOKUP(A51,'2019_B5_Berechnung'!$A$279:$M$330,12,FALSE)</f>
        <v>25.878003696857672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J523"/>
  <sheetViews>
    <sheetView workbookViewId="0"/>
  </sheetViews>
  <sheetFormatPr baseColWidth="10" defaultRowHeight="15" x14ac:dyDescent="0.25"/>
  <sheetData>
    <row r="1" spans="1:10" x14ac:dyDescent="0.25">
      <c r="A1" s="19" t="s">
        <v>147</v>
      </c>
    </row>
    <row r="3" spans="1:10" x14ac:dyDescent="0.25">
      <c r="A3" s="20" t="s">
        <v>171</v>
      </c>
    </row>
    <row r="4" spans="1:10" x14ac:dyDescent="0.25">
      <c r="A4" s="20" t="s">
        <v>149</v>
      </c>
    </row>
    <row r="6" spans="1:10" x14ac:dyDescent="0.25">
      <c r="A6" s="10" t="s">
        <v>195</v>
      </c>
    </row>
    <row r="8" spans="1:10" x14ac:dyDescent="0.25">
      <c r="A8" t="s">
        <v>67</v>
      </c>
    </row>
    <row r="9" spans="1:10" x14ac:dyDescent="0.25">
      <c r="A9" t="s">
        <v>172</v>
      </c>
    </row>
    <row r="10" spans="1:10" x14ac:dyDescent="0.25">
      <c r="A10" t="s">
        <v>196</v>
      </c>
    </row>
    <row r="12" spans="1:10" ht="15" customHeight="1" x14ac:dyDescent="0.25">
      <c r="A12" t="s">
        <v>150</v>
      </c>
    </row>
    <row r="13" spans="1:10" x14ac:dyDescent="0.25">
      <c r="A13" t="s">
        <v>197</v>
      </c>
    </row>
    <row r="15" spans="1:10" ht="30" x14ac:dyDescent="0.25">
      <c r="A15" s="70" t="s">
        <v>63</v>
      </c>
      <c r="B15" s="213" t="s">
        <v>174</v>
      </c>
      <c r="C15" s="214"/>
      <c r="D15" s="214"/>
      <c r="E15" s="214"/>
      <c r="F15" s="214"/>
      <c r="G15" s="214"/>
      <c r="H15" s="214"/>
      <c r="I15" s="214"/>
      <c r="J15" s="215"/>
    </row>
    <row r="16" spans="1:10" ht="30" x14ac:dyDescent="0.25">
      <c r="A16" s="68" t="s">
        <v>70</v>
      </c>
      <c r="B16" s="246"/>
      <c r="C16" s="247"/>
      <c r="D16" s="247"/>
      <c r="E16" s="247"/>
      <c r="F16" s="247"/>
      <c r="G16" s="247"/>
      <c r="H16" s="247"/>
      <c r="I16" s="247"/>
      <c r="J16" s="249"/>
    </row>
    <row r="17" spans="1:10" ht="15" customHeight="1" x14ac:dyDescent="0.25">
      <c r="A17" s="68" t="s">
        <v>71</v>
      </c>
      <c r="B17" s="246"/>
      <c r="C17" s="247"/>
      <c r="D17" s="247"/>
      <c r="E17" s="247"/>
      <c r="F17" s="247"/>
      <c r="G17" s="247"/>
      <c r="H17" s="247"/>
      <c r="I17" s="247"/>
      <c r="J17" s="249"/>
    </row>
    <row r="18" spans="1:10" ht="15" customHeight="1" x14ac:dyDescent="0.25">
      <c r="A18" s="68" t="s">
        <v>198</v>
      </c>
      <c r="B18" s="216"/>
      <c r="C18" s="217"/>
      <c r="D18" s="217"/>
      <c r="E18" s="217"/>
      <c r="F18" s="217"/>
      <c r="G18" s="217"/>
      <c r="H18" s="217"/>
      <c r="I18" s="217"/>
      <c r="J18" s="218"/>
    </row>
    <row r="19" spans="1:10" ht="30" x14ac:dyDescent="0.25">
      <c r="A19" s="68" t="s">
        <v>199</v>
      </c>
      <c r="B19" s="219" t="s">
        <v>75</v>
      </c>
      <c r="C19" s="220"/>
      <c r="D19" s="221"/>
      <c r="E19" s="219" t="s">
        <v>76</v>
      </c>
      <c r="F19" s="220"/>
      <c r="G19" s="221"/>
      <c r="H19" s="219" t="s">
        <v>77</v>
      </c>
      <c r="I19" s="220"/>
      <c r="J19" s="221"/>
    </row>
    <row r="20" spans="1:10" x14ac:dyDescent="0.25">
      <c r="A20" s="68" t="s">
        <v>72</v>
      </c>
      <c r="B20" s="14" t="s">
        <v>78</v>
      </c>
      <c r="C20" s="14" t="s">
        <v>79</v>
      </c>
      <c r="D20" s="14" t="s">
        <v>80</v>
      </c>
      <c r="E20" s="14" t="s">
        <v>78</v>
      </c>
      <c r="F20" s="14" t="s">
        <v>79</v>
      </c>
      <c r="G20" s="14" t="s">
        <v>80</v>
      </c>
      <c r="H20" s="14" t="s">
        <v>78</v>
      </c>
      <c r="I20" s="14" t="s">
        <v>79</v>
      </c>
      <c r="J20" s="14" t="s">
        <v>80</v>
      </c>
    </row>
    <row r="21" spans="1:10" ht="45" x14ac:dyDescent="0.25">
      <c r="A21" s="69" t="s">
        <v>73</v>
      </c>
      <c r="B21" s="14">
        <v>1</v>
      </c>
      <c r="C21" s="14">
        <v>2</v>
      </c>
      <c r="D21" s="14">
        <v>3</v>
      </c>
      <c r="E21" s="14">
        <v>4</v>
      </c>
      <c r="F21" s="14">
        <v>5</v>
      </c>
      <c r="G21" s="14">
        <v>6</v>
      </c>
      <c r="H21" s="14">
        <v>7</v>
      </c>
      <c r="I21" s="14">
        <v>8</v>
      </c>
      <c r="J21" s="14">
        <v>9</v>
      </c>
    </row>
    <row r="22" spans="1:10" x14ac:dyDescent="0.25">
      <c r="A22" s="16"/>
      <c r="J22" s="17"/>
    </row>
    <row r="23" spans="1:10" ht="15" customHeight="1" x14ac:dyDescent="0.25">
      <c r="A23" s="207" t="s">
        <v>200</v>
      </c>
      <c r="B23" s="208"/>
      <c r="C23" s="208"/>
      <c r="D23" s="208"/>
      <c r="E23" s="208"/>
      <c r="F23" s="208"/>
      <c r="G23" s="208"/>
      <c r="H23" s="208"/>
      <c r="I23" s="208"/>
      <c r="J23" s="209"/>
    </row>
    <row r="24" spans="1:10" ht="15" customHeight="1" x14ac:dyDescent="0.25">
      <c r="A24" s="207"/>
      <c r="B24" s="208"/>
      <c r="C24" s="208"/>
      <c r="D24" s="208"/>
      <c r="E24" s="208"/>
      <c r="F24" s="208"/>
      <c r="G24" s="208"/>
      <c r="H24" s="208"/>
      <c r="I24" s="208"/>
      <c r="J24" s="209"/>
    </row>
    <row r="25" spans="1:10" x14ac:dyDescent="0.25">
      <c r="A25" s="15" t="s">
        <v>83</v>
      </c>
      <c r="B25" s="15">
        <v>2962</v>
      </c>
      <c r="C25" s="15">
        <v>1472</v>
      </c>
      <c r="D25" s="15">
        <v>199</v>
      </c>
      <c r="E25" s="15">
        <v>2725</v>
      </c>
      <c r="F25" s="15">
        <v>1371</v>
      </c>
      <c r="G25" s="15">
        <v>198</v>
      </c>
      <c r="H25" s="15">
        <v>237</v>
      </c>
      <c r="I25" s="15">
        <v>101</v>
      </c>
      <c r="J25" s="15">
        <v>1</v>
      </c>
    </row>
    <row r="26" spans="1:10" ht="30" x14ac:dyDescent="0.25">
      <c r="A26" s="15" t="s">
        <v>151</v>
      </c>
      <c r="B26" s="15">
        <v>983</v>
      </c>
      <c r="C26" s="15">
        <v>565</v>
      </c>
      <c r="D26" s="15">
        <v>25</v>
      </c>
      <c r="E26" s="15">
        <v>959</v>
      </c>
      <c r="F26" s="15">
        <v>545</v>
      </c>
      <c r="G26" s="15">
        <v>25</v>
      </c>
      <c r="H26" s="15">
        <v>24</v>
      </c>
      <c r="I26" s="15">
        <v>20</v>
      </c>
      <c r="J26" s="15" t="s">
        <v>84</v>
      </c>
    </row>
    <row r="27" spans="1:10" ht="60" x14ac:dyDescent="0.25">
      <c r="A27" s="15" t="s">
        <v>152</v>
      </c>
      <c r="B27" s="15">
        <v>43</v>
      </c>
      <c r="C27" s="15">
        <v>15</v>
      </c>
      <c r="D27" s="15">
        <v>6</v>
      </c>
      <c r="E27" s="15">
        <v>43</v>
      </c>
      <c r="F27" s="15">
        <v>15</v>
      </c>
      <c r="G27" s="15">
        <v>6</v>
      </c>
      <c r="H27" s="15" t="s">
        <v>84</v>
      </c>
      <c r="I27" s="15" t="s">
        <v>84</v>
      </c>
      <c r="J27" s="15" t="s">
        <v>84</v>
      </c>
    </row>
    <row r="28" spans="1:10" ht="30" x14ac:dyDescent="0.25">
      <c r="A28" s="15" t="s">
        <v>85</v>
      </c>
      <c r="B28" s="15">
        <v>1231</v>
      </c>
      <c r="C28" s="15">
        <v>616</v>
      </c>
      <c r="D28" s="15">
        <v>64</v>
      </c>
      <c r="E28" s="15">
        <v>1117</v>
      </c>
      <c r="F28" s="15">
        <v>575</v>
      </c>
      <c r="G28" s="15">
        <v>64</v>
      </c>
      <c r="H28" s="15">
        <v>114</v>
      </c>
      <c r="I28" s="15">
        <v>41</v>
      </c>
      <c r="J28" s="15" t="s">
        <v>84</v>
      </c>
    </row>
    <row r="29" spans="1:10" ht="30" x14ac:dyDescent="0.25">
      <c r="A29" s="15" t="s">
        <v>86</v>
      </c>
      <c r="B29" s="15">
        <v>455</v>
      </c>
      <c r="C29" s="15">
        <v>181</v>
      </c>
      <c r="D29" s="15">
        <v>48</v>
      </c>
      <c r="E29" s="15">
        <v>384</v>
      </c>
      <c r="F29" s="15">
        <v>151</v>
      </c>
      <c r="G29" s="15">
        <v>47</v>
      </c>
      <c r="H29" s="15">
        <v>71</v>
      </c>
      <c r="I29" s="15">
        <v>30</v>
      </c>
      <c r="J29" s="15">
        <v>1</v>
      </c>
    </row>
    <row r="30" spans="1:10" ht="15" customHeight="1" x14ac:dyDescent="0.25">
      <c r="A30" s="15" t="s">
        <v>87</v>
      </c>
      <c r="B30" s="15">
        <v>250</v>
      </c>
      <c r="C30" s="15">
        <v>95</v>
      </c>
      <c r="D30" s="15">
        <v>56</v>
      </c>
      <c r="E30" s="15">
        <v>222</v>
      </c>
      <c r="F30" s="15">
        <v>85</v>
      </c>
      <c r="G30" s="15">
        <v>56</v>
      </c>
      <c r="H30" s="15">
        <v>28</v>
      </c>
      <c r="I30" s="15">
        <v>10</v>
      </c>
      <c r="J30" s="15" t="s">
        <v>84</v>
      </c>
    </row>
    <row r="31" spans="1:10" ht="45" x14ac:dyDescent="0.25">
      <c r="A31" s="15" t="s">
        <v>153</v>
      </c>
      <c r="B31" s="15">
        <v>68</v>
      </c>
      <c r="C31" s="15">
        <v>25</v>
      </c>
      <c r="D31" s="15">
        <v>18</v>
      </c>
      <c r="E31" s="15">
        <v>62</v>
      </c>
      <c r="F31" s="15">
        <v>23</v>
      </c>
      <c r="G31" s="15">
        <v>18</v>
      </c>
      <c r="H31" s="15">
        <v>6</v>
      </c>
      <c r="I31" s="15">
        <v>2</v>
      </c>
      <c r="J31" s="15" t="s">
        <v>84</v>
      </c>
    </row>
    <row r="32" spans="1:10" ht="60" x14ac:dyDescent="0.25">
      <c r="A32" s="15" t="s">
        <v>154</v>
      </c>
      <c r="B32" s="15">
        <v>12</v>
      </c>
      <c r="C32" s="15">
        <v>6</v>
      </c>
      <c r="D32" s="15">
        <v>1</v>
      </c>
      <c r="E32" s="15">
        <v>12</v>
      </c>
      <c r="F32" s="15">
        <v>6</v>
      </c>
      <c r="G32" s="15">
        <v>1</v>
      </c>
      <c r="H32" s="15" t="s">
        <v>84</v>
      </c>
      <c r="I32" s="15" t="s">
        <v>84</v>
      </c>
      <c r="J32" s="15" t="s">
        <v>84</v>
      </c>
    </row>
    <row r="33" spans="1:10" ht="15" customHeight="1" x14ac:dyDescent="0.25">
      <c r="A33" s="207" t="s">
        <v>201</v>
      </c>
      <c r="B33" s="208"/>
      <c r="C33" s="208"/>
      <c r="D33" s="208"/>
      <c r="E33" s="208"/>
      <c r="F33" s="208"/>
      <c r="G33" s="208"/>
      <c r="H33" s="208"/>
      <c r="I33" s="208"/>
      <c r="J33" s="209"/>
    </row>
    <row r="34" spans="1:10" x14ac:dyDescent="0.25">
      <c r="A34" s="207"/>
      <c r="B34" s="208"/>
      <c r="C34" s="208"/>
      <c r="D34" s="208"/>
      <c r="E34" s="208"/>
      <c r="F34" s="208"/>
      <c r="G34" s="208"/>
      <c r="H34" s="208"/>
      <c r="I34" s="208"/>
      <c r="J34" s="209"/>
    </row>
    <row r="35" spans="1:10" x14ac:dyDescent="0.25">
      <c r="A35" s="15" t="s">
        <v>83</v>
      </c>
      <c r="B35" s="15">
        <v>915</v>
      </c>
      <c r="C35" s="15">
        <v>412</v>
      </c>
      <c r="D35" s="15">
        <v>58</v>
      </c>
      <c r="E35" s="15">
        <v>841</v>
      </c>
      <c r="F35" s="15">
        <v>382</v>
      </c>
      <c r="G35" s="15">
        <v>57</v>
      </c>
      <c r="H35" s="15">
        <v>74</v>
      </c>
      <c r="I35" s="15">
        <v>30</v>
      </c>
      <c r="J35" s="15">
        <v>1</v>
      </c>
    </row>
    <row r="36" spans="1:10" ht="15" customHeight="1" x14ac:dyDescent="0.25">
      <c r="A36" s="15" t="s">
        <v>151</v>
      </c>
      <c r="B36" s="15">
        <v>197</v>
      </c>
      <c r="C36" s="15">
        <v>100</v>
      </c>
      <c r="D36" s="15">
        <v>1</v>
      </c>
      <c r="E36" s="15">
        <v>137</v>
      </c>
      <c r="F36" s="15">
        <v>75</v>
      </c>
      <c r="G36" s="15" t="s">
        <v>84</v>
      </c>
      <c r="H36" s="15">
        <v>60</v>
      </c>
      <c r="I36" s="15">
        <v>25</v>
      </c>
      <c r="J36" s="15">
        <v>1</v>
      </c>
    </row>
    <row r="37" spans="1:10" ht="60" x14ac:dyDescent="0.25">
      <c r="A37" s="15" t="s">
        <v>152</v>
      </c>
      <c r="B37" s="15">
        <v>16</v>
      </c>
      <c r="C37" s="15">
        <v>6</v>
      </c>
      <c r="D37" s="15">
        <v>1</v>
      </c>
      <c r="E37" s="15">
        <v>10</v>
      </c>
      <c r="F37" s="15">
        <v>5</v>
      </c>
      <c r="G37" s="15">
        <v>1</v>
      </c>
      <c r="H37" s="15">
        <v>6</v>
      </c>
      <c r="I37" s="15">
        <v>1</v>
      </c>
      <c r="J37" s="15" t="s">
        <v>84</v>
      </c>
    </row>
    <row r="38" spans="1:10" ht="30" x14ac:dyDescent="0.25">
      <c r="A38" s="15" t="s">
        <v>85</v>
      </c>
      <c r="B38" s="15">
        <v>412</v>
      </c>
      <c r="C38" s="15">
        <v>198</v>
      </c>
      <c r="D38" s="15">
        <v>18</v>
      </c>
      <c r="E38" s="15">
        <v>404</v>
      </c>
      <c r="F38" s="15">
        <v>194</v>
      </c>
      <c r="G38" s="15">
        <v>18</v>
      </c>
      <c r="H38" s="15">
        <v>8</v>
      </c>
      <c r="I38" s="15">
        <v>4</v>
      </c>
      <c r="J38" s="15" t="s">
        <v>84</v>
      </c>
    </row>
    <row r="39" spans="1:10" ht="30" x14ac:dyDescent="0.25">
      <c r="A39" s="15" t="s">
        <v>86</v>
      </c>
      <c r="B39" s="15">
        <v>185</v>
      </c>
      <c r="C39" s="15">
        <v>73</v>
      </c>
      <c r="D39" s="15">
        <v>22</v>
      </c>
      <c r="E39" s="15">
        <v>185</v>
      </c>
      <c r="F39" s="15">
        <v>73</v>
      </c>
      <c r="G39" s="15">
        <v>22</v>
      </c>
      <c r="H39" s="15" t="s">
        <v>84</v>
      </c>
      <c r="I39" s="15" t="s">
        <v>84</v>
      </c>
      <c r="J39" s="15" t="s">
        <v>84</v>
      </c>
    </row>
    <row r="40" spans="1:10" ht="15" customHeight="1" x14ac:dyDescent="0.25">
      <c r="A40" s="15" t="s">
        <v>87</v>
      </c>
      <c r="B40" s="15">
        <v>105</v>
      </c>
      <c r="C40" s="15">
        <v>35</v>
      </c>
      <c r="D40" s="15">
        <v>16</v>
      </c>
      <c r="E40" s="15">
        <v>105</v>
      </c>
      <c r="F40" s="15">
        <v>35</v>
      </c>
      <c r="G40" s="15">
        <v>16</v>
      </c>
      <c r="H40" s="15" t="s">
        <v>84</v>
      </c>
      <c r="I40" s="15" t="s">
        <v>84</v>
      </c>
      <c r="J40" s="15" t="s">
        <v>84</v>
      </c>
    </row>
    <row r="41" spans="1:10" ht="45" x14ac:dyDescent="0.25">
      <c r="A41" s="15" t="s">
        <v>153</v>
      </c>
      <c r="B41" s="15">
        <v>40</v>
      </c>
      <c r="C41" s="15">
        <v>11</v>
      </c>
      <c r="D41" s="15">
        <v>8</v>
      </c>
      <c r="E41" s="15">
        <v>40</v>
      </c>
      <c r="F41" s="15">
        <v>11</v>
      </c>
      <c r="G41" s="15">
        <v>8</v>
      </c>
      <c r="H41" s="15" t="s">
        <v>84</v>
      </c>
      <c r="I41" s="15" t="s">
        <v>84</v>
      </c>
      <c r="J41" s="15" t="s">
        <v>84</v>
      </c>
    </row>
    <row r="42" spans="1:10" ht="15" customHeight="1" x14ac:dyDescent="0.25">
      <c r="A42" s="15" t="s">
        <v>154</v>
      </c>
      <c r="B42" s="15">
        <v>3</v>
      </c>
      <c r="C42" s="15">
        <v>1</v>
      </c>
      <c r="D42" s="15">
        <v>1</v>
      </c>
      <c r="E42" s="15">
        <v>3</v>
      </c>
      <c r="F42" s="15">
        <v>1</v>
      </c>
      <c r="G42" s="15">
        <v>1</v>
      </c>
      <c r="H42" s="15" t="s">
        <v>84</v>
      </c>
      <c r="I42" s="15" t="s">
        <v>84</v>
      </c>
      <c r="J42" s="15" t="s">
        <v>84</v>
      </c>
    </row>
    <row r="44" spans="1:10" x14ac:dyDescent="0.25">
      <c r="A44" t="s">
        <v>138</v>
      </c>
    </row>
    <row r="45" spans="1:10" x14ac:dyDescent="0.25">
      <c r="A45" t="s">
        <v>139</v>
      </c>
    </row>
    <row r="46" spans="1:10" x14ac:dyDescent="0.25">
      <c r="A46" t="s">
        <v>202</v>
      </c>
    </row>
    <row r="47" spans="1:10" x14ac:dyDescent="0.25">
      <c r="A47" t="s">
        <v>175</v>
      </c>
    </row>
    <row r="48" spans="1:10" ht="15" customHeight="1" x14ac:dyDescent="0.25"/>
    <row r="50" spans="1:1" ht="15" customHeight="1" x14ac:dyDescent="0.25">
      <c r="A50" t="s">
        <v>203</v>
      </c>
    </row>
    <row r="51" spans="1:1" x14ac:dyDescent="0.25">
      <c r="A51" t="s">
        <v>204</v>
      </c>
    </row>
    <row r="52" spans="1:1" x14ac:dyDescent="0.25">
      <c r="A52" t="s">
        <v>205</v>
      </c>
    </row>
    <row r="54" spans="1:1" ht="15" customHeight="1" x14ac:dyDescent="0.25"/>
    <row r="55" spans="1:1" x14ac:dyDescent="0.25">
      <c r="A55" t="s">
        <v>206</v>
      </c>
    </row>
    <row r="56" spans="1:1" x14ac:dyDescent="0.25">
      <c r="A56" t="s">
        <v>207</v>
      </c>
    </row>
    <row r="60" spans="1:1" ht="15" customHeight="1" x14ac:dyDescent="0.25"/>
    <row r="66" ht="15" customHeight="1" x14ac:dyDescent="0.25"/>
    <row r="70" ht="15" customHeight="1" x14ac:dyDescent="0.25"/>
    <row r="72" ht="15" customHeight="1" x14ac:dyDescent="0.25"/>
    <row r="78" ht="15" customHeight="1" x14ac:dyDescent="0.25"/>
    <row r="80" ht="15" customHeight="1" x14ac:dyDescent="0.25"/>
    <row r="84" ht="15" customHeight="1" x14ac:dyDescent="0.25"/>
    <row r="89" ht="15" customHeight="1" x14ac:dyDescent="0.25"/>
    <row r="90" ht="15" customHeight="1" x14ac:dyDescent="0.25"/>
    <row r="96" ht="15" customHeight="1" x14ac:dyDescent="0.25"/>
    <row r="98" ht="15" customHeight="1" x14ac:dyDescent="0.25"/>
    <row r="102" ht="15" customHeight="1" x14ac:dyDescent="0.25"/>
    <row r="108" ht="15" customHeight="1" x14ac:dyDescent="0.25"/>
    <row r="114" ht="15" customHeight="1" x14ac:dyDescent="0.25"/>
    <row r="118" ht="15" customHeight="1" x14ac:dyDescent="0.25"/>
    <row r="120" ht="15" customHeight="1" x14ac:dyDescent="0.25"/>
    <row r="126" ht="15" customHeight="1" x14ac:dyDescent="0.25"/>
    <row r="128" ht="15" customHeight="1" x14ac:dyDescent="0.25"/>
    <row r="132" ht="15" customHeight="1" x14ac:dyDescent="0.25"/>
    <row r="138" ht="15" customHeight="1" x14ac:dyDescent="0.25"/>
    <row r="144" ht="15" customHeight="1" x14ac:dyDescent="0.25"/>
    <row r="148" ht="15" customHeight="1" x14ac:dyDescent="0.25"/>
    <row r="150" ht="15" customHeight="1" x14ac:dyDescent="0.25"/>
    <row r="156" ht="15" customHeight="1" x14ac:dyDescent="0.25"/>
    <row r="158" ht="15" customHeight="1" x14ac:dyDescent="0.25"/>
    <row r="162" ht="15" customHeight="1" x14ac:dyDescent="0.25"/>
    <row r="168" ht="15" customHeight="1" x14ac:dyDescent="0.25"/>
    <row r="174" ht="15" customHeight="1" x14ac:dyDescent="0.25"/>
    <row r="178" ht="15" customHeight="1" x14ac:dyDescent="0.25"/>
    <row r="180" ht="15" customHeight="1" x14ac:dyDescent="0.25"/>
    <row r="186" ht="15" customHeight="1" x14ac:dyDescent="0.25"/>
    <row r="187" ht="15" customHeight="1" x14ac:dyDescent="0.25"/>
    <row r="192" ht="15" customHeight="1" x14ac:dyDescent="0.25"/>
    <row r="197" ht="15" customHeight="1" x14ac:dyDescent="0.25"/>
    <row r="198" ht="15" customHeight="1" x14ac:dyDescent="0.25"/>
    <row r="204" ht="15" customHeight="1" x14ac:dyDescent="0.25"/>
    <row r="207" ht="15" customHeight="1" x14ac:dyDescent="0.25"/>
    <row r="210" ht="15" customHeight="1" x14ac:dyDescent="0.25"/>
    <row r="216" ht="15" customHeight="1" x14ac:dyDescent="0.25"/>
    <row r="217" ht="15" customHeight="1" x14ac:dyDescent="0.25"/>
    <row r="222" ht="15" customHeight="1" x14ac:dyDescent="0.25"/>
    <row r="227" ht="15" customHeight="1" x14ac:dyDescent="0.25"/>
    <row r="228" ht="15" customHeight="1" x14ac:dyDescent="0.25"/>
    <row r="234" ht="15" customHeight="1" x14ac:dyDescent="0.25"/>
    <row r="237" ht="15" customHeight="1" x14ac:dyDescent="0.25"/>
    <row r="240" ht="15" customHeight="1" x14ac:dyDescent="0.25"/>
    <row r="246" ht="15" customHeight="1" x14ac:dyDescent="0.25"/>
    <row r="247" ht="15" customHeight="1" x14ac:dyDescent="0.25"/>
    <row r="252" ht="15" customHeight="1" x14ac:dyDescent="0.25"/>
    <row r="257" ht="15" customHeight="1" x14ac:dyDescent="0.25"/>
    <row r="258" ht="15" customHeight="1" x14ac:dyDescent="0.25"/>
    <row r="264" ht="15" customHeight="1" x14ac:dyDescent="0.25"/>
    <row r="267" ht="15" customHeight="1" x14ac:dyDescent="0.25"/>
    <row r="270" ht="15" customHeight="1" x14ac:dyDescent="0.25"/>
    <row r="276" ht="15" customHeight="1" x14ac:dyDescent="0.25"/>
    <row r="277" ht="15" customHeight="1" x14ac:dyDescent="0.25"/>
    <row r="282" ht="15" customHeight="1" x14ac:dyDescent="0.25"/>
    <row r="287" ht="15" customHeight="1" x14ac:dyDescent="0.25"/>
    <row r="288" ht="15" customHeight="1" x14ac:dyDescent="0.25"/>
    <row r="294" ht="15" customHeight="1" x14ac:dyDescent="0.25"/>
    <row r="297" ht="15" customHeight="1" x14ac:dyDescent="0.25"/>
    <row r="300" ht="15" customHeight="1" x14ac:dyDescent="0.25"/>
    <row r="306" ht="15" customHeight="1" x14ac:dyDescent="0.25"/>
    <row r="307" ht="15" customHeight="1" x14ac:dyDescent="0.25"/>
    <row r="312" ht="15" customHeight="1" x14ac:dyDescent="0.25"/>
    <row r="317" ht="15" customHeight="1" x14ac:dyDescent="0.25"/>
    <row r="318" ht="15" customHeight="1" x14ac:dyDescent="0.25"/>
    <row r="327" ht="15" customHeight="1" x14ac:dyDescent="0.25"/>
    <row r="336" ht="15" customHeight="1" x14ac:dyDescent="0.25"/>
    <row r="345" ht="15" customHeight="1" x14ac:dyDescent="0.25"/>
    <row r="355" ht="15" customHeight="1" x14ac:dyDescent="0.25"/>
    <row r="365" ht="15" customHeight="1" x14ac:dyDescent="0.25"/>
    <row r="375" ht="15" customHeight="1" x14ac:dyDescent="0.25"/>
    <row r="385" ht="15" customHeight="1" x14ac:dyDescent="0.25"/>
    <row r="395" ht="15" customHeight="1" x14ac:dyDescent="0.25"/>
    <row r="405" ht="15" customHeight="1" x14ac:dyDescent="0.25"/>
    <row r="414" ht="15" customHeight="1" x14ac:dyDescent="0.25"/>
    <row r="424" ht="15" customHeight="1" x14ac:dyDescent="0.25"/>
    <row r="434" ht="15" customHeight="1" x14ac:dyDescent="0.25"/>
    <row r="444" ht="15" customHeight="1" x14ac:dyDescent="0.25"/>
    <row r="453" ht="15" customHeight="1" x14ac:dyDescent="0.25"/>
    <row r="463" ht="15" customHeight="1" x14ac:dyDescent="0.25"/>
    <row r="473" ht="15" customHeight="1" x14ac:dyDescent="0.25"/>
    <row r="483" ht="15" customHeight="1" x14ac:dyDescent="0.25"/>
    <row r="493" ht="15" customHeight="1" x14ac:dyDescent="0.25"/>
    <row r="503" ht="15" customHeight="1" x14ac:dyDescent="0.25"/>
    <row r="513" ht="15" customHeight="1" x14ac:dyDescent="0.25"/>
    <row r="523" ht="15" customHeight="1" x14ac:dyDescent="0.25"/>
  </sheetData>
  <mergeCells count="8">
    <mergeCell ref="A24:J24"/>
    <mergeCell ref="A33:J33"/>
    <mergeCell ref="A34:J34"/>
    <mergeCell ref="B15:J18"/>
    <mergeCell ref="B19:D19"/>
    <mergeCell ref="E19:G19"/>
    <mergeCell ref="H19:J19"/>
    <mergeCell ref="A23:J23"/>
  </mergeCells>
  <hyperlinks>
    <hyperlink ref="A1" r:id="rId1" display="https://www1.nls.niedersachsen.de/Statistik/pool/K3002520/K3002520_000017553EB1B3EB34D542F6E38DF7F30373DB21CC14B08831F6.zip" xr:uid="{7B041785-96EC-4CA7-8F4D-43733D9EC985}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/>
  <dimension ref="A2:M536"/>
  <sheetViews>
    <sheetView workbookViewId="0"/>
  </sheetViews>
  <sheetFormatPr baseColWidth="10" defaultRowHeight="15" x14ac:dyDescent="0.25"/>
  <cols>
    <col min="1" max="1" width="109.5703125" bestFit="1" customWidth="1"/>
  </cols>
  <sheetData>
    <row r="2" spans="1:13" x14ac:dyDescent="0.25">
      <c r="A2" s="20" t="s">
        <v>148</v>
      </c>
    </row>
    <row r="3" spans="1:13" x14ac:dyDescent="0.25">
      <c r="A3" s="20" t="s">
        <v>149</v>
      </c>
    </row>
    <row r="5" spans="1:13" x14ac:dyDescent="0.25">
      <c r="A5" s="10" t="s">
        <v>66</v>
      </c>
    </row>
    <row r="7" spans="1:13" x14ac:dyDescent="0.25">
      <c r="A7" t="s">
        <v>67</v>
      </c>
    </row>
    <row r="8" spans="1:13" x14ac:dyDescent="0.25">
      <c r="A8" t="s">
        <v>68</v>
      </c>
    </row>
    <row r="9" spans="1:13" x14ac:dyDescent="0.25">
      <c r="A9" t="s">
        <v>69</v>
      </c>
    </row>
    <row r="11" spans="1:13" x14ac:dyDescent="0.25">
      <c r="A11" t="s">
        <v>150</v>
      </c>
    </row>
    <row r="12" spans="1:13" x14ac:dyDescent="0.25">
      <c r="A12" t="s">
        <v>155</v>
      </c>
    </row>
    <row r="14" spans="1:13" x14ac:dyDescent="0.25">
      <c r="A14" s="11" t="s">
        <v>63</v>
      </c>
      <c r="B14" s="213" t="s">
        <v>74</v>
      </c>
      <c r="C14" s="214"/>
      <c r="D14" s="214"/>
      <c r="E14" s="214"/>
      <c r="F14" s="214"/>
      <c r="G14" s="214"/>
      <c r="H14" s="214"/>
      <c r="I14" s="214"/>
      <c r="J14" s="214"/>
      <c r="K14" s="214"/>
      <c r="L14" s="214"/>
      <c r="M14" s="215"/>
    </row>
    <row r="15" spans="1:13" x14ac:dyDescent="0.25">
      <c r="A15" s="12" t="s">
        <v>70</v>
      </c>
      <c r="B15" s="216"/>
      <c r="C15" s="217"/>
      <c r="D15" s="217"/>
      <c r="E15" s="217"/>
      <c r="F15" s="217"/>
      <c r="G15" s="217"/>
      <c r="H15" s="217"/>
      <c r="I15" s="217"/>
      <c r="J15" s="217"/>
      <c r="K15" s="217"/>
      <c r="L15" s="217"/>
      <c r="M15" s="218"/>
    </row>
    <row r="16" spans="1:13" ht="15" customHeight="1" x14ac:dyDescent="0.25">
      <c r="A16" s="12" t="s">
        <v>71</v>
      </c>
      <c r="B16" s="219" t="s">
        <v>75</v>
      </c>
      <c r="C16" s="220"/>
      <c r="D16" s="220"/>
      <c r="E16" s="221"/>
      <c r="F16" s="219" t="s">
        <v>76</v>
      </c>
      <c r="G16" s="220"/>
      <c r="H16" s="220"/>
      <c r="I16" s="221"/>
      <c r="J16" s="219" t="s">
        <v>77</v>
      </c>
      <c r="K16" s="220"/>
      <c r="L16" s="220"/>
      <c r="M16" s="221"/>
    </row>
    <row r="17" spans="1:13" x14ac:dyDescent="0.25">
      <c r="A17" s="12" t="s">
        <v>72</v>
      </c>
      <c r="B17" s="210" t="s">
        <v>78</v>
      </c>
      <c r="C17" s="210" t="s">
        <v>79</v>
      </c>
      <c r="D17" s="210" t="s">
        <v>80</v>
      </c>
      <c r="E17" s="11" t="s">
        <v>80</v>
      </c>
      <c r="F17" s="210" t="s">
        <v>78</v>
      </c>
      <c r="G17" s="210" t="s">
        <v>79</v>
      </c>
      <c r="H17" s="210" t="s">
        <v>80</v>
      </c>
      <c r="I17" s="11" t="s">
        <v>80</v>
      </c>
      <c r="J17" s="210" t="s">
        <v>78</v>
      </c>
      <c r="K17" s="210" t="s">
        <v>79</v>
      </c>
      <c r="L17" s="210" t="s">
        <v>80</v>
      </c>
      <c r="M17" s="11" t="s">
        <v>80</v>
      </c>
    </row>
    <row r="18" spans="1:13" x14ac:dyDescent="0.25">
      <c r="A18" s="12" t="s">
        <v>73</v>
      </c>
      <c r="B18" s="211"/>
      <c r="C18" s="211"/>
      <c r="D18" s="211"/>
      <c r="E18" s="12" t="s">
        <v>79</v>
      </c>
      <c r="F18" s="211"/>
      <c r="G18" s="211"/>
      <c r="H18" s="211"/>
      <c r="I18" s="12" t="s">
        <v>79</v>
      </c>
      <c r="J18" s="211"/>
      <c r="K18" s="211"/>
      <c r="L18" s="211"/>
      <c r="M18" s="12" t="s">
        <v>79</v>
      </c>
    </row>
    <row r="19" spans="1:13" x14ac:dyDescent="0.25">
      <c r="A19" s="12"/>
      <c r="B19" s="212"/>
      <c r="C19" s="212"/>
      <c r="D19" s="212"/>
      <c r="E19" s="13" t="s">
        <v>81</v>
      </c>
      <c r="F19" s="212"/>
      <c r="G19" s="212"/>
      <c r="H19" s="212"/>
      <c r="I19" s="13" t="s">
        <v>81</v>
      </c>
      <c r="J19" s="212"/>
      <c r="K19" s="212"/>
      <c r="L19" s="212"/>
      <c r="M19" s="13" t="s">
        <v>81</v>
      </c>
    </row>
    <row r="20" spans="1:13" x14ac:dyDescent="0.25">
      <c r="A20" s="13"/>
      <c r="B20" s="14">
        <v>1</v>
      </c>
      <c r="C20" s="14">
        <v>2</v>
      </c>
      <c r="D20" s="14">
        <v>3</v>
      </c>
      <c r="E20" s="14">
        <v>4</v>
      </c>
      <c r="F20" s="14">
        <v>5</v>
      </c>
      <c r="G20" s="14">
        <v>6</v>
      </c>
      <c r="H20" s="14">
        <v>7</v>
      </c>
      <c r="I20" s="14">
        <v>8</v>
      </c>
      <c r="J20" s="14">
        <v>9</v>
      </c>
      <c r="K20" s="14">
        <v>10</v>
      </c>
      <c r="L20" s="14">
        <v>11</v>
      </c>
      <c r="M20" s="14">
        <v>12</v>
      </c>
    </row>
    <row r="21" spans="1:13" x14ac:dyDescent="0.25">
      <c r="A21" s="16"/>
      <c r="M21" s="17"/>
    </row>
    <row r="22" spans="1:13" ht="15" customHeight="1" x14ac:dyDescent="0.25">
      <c r="A22" s="207" t="s">
        <v>82</v>
      </c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9"/>
    </row>
    <row r="23" spans="1:13" x14ac:dyDescent="0.25">
      <c r="A23" s="207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9"/>
    </row>
    <row r="24" spans="1:13" x14ac:dyDescent="0.25">
      <c r="A24" s="15" t="s">
        <v>83</v>
      </c>
      <c r="B24" s="27">
        <v>85789</v>
      </c>
      <c r="C24" s="15">
        <v>41995</v>
      </c>
      <c r="D24" s="27">
        <v>5569</v>
      </c>
      <c r="E24" s="15">
        <v>2706</v>
      </c>
      <c r="F24" s="15">
        <v>79578</v>
      </c>
      <c r="G24" s="15">
        <v>38892</v>
      </c>
      <c r="H24" s="15">
        <v>5391</v>
      </c>
      <c r="I24" s="15">
        <v>2625</v>
      </c>
      <c r="J24" s="15">
        <v>6211</v>
      </c>
      <c r="K24" s="15">
        <v>3103</v>
      </c>
      <c r="L24" s="15">
        <v>178</v>
      </c>
      <c r="M24" s="15">
        <v>81</v>
      </c>
    </row>
    <row r="25" spans="1:13" x14ac:dyDescent="0.25">
      <c r="A25" s="15" t="s">
        <v>151</v>
      </c>
      <c r="B25" s="15">
        <v>27892</v>
      </c>
      <c r="C25" s="15">
        <v>15555</v>
      </c>
      <c r="D25" s="15">
        <v>651</v>
      </c>
      <c r="E25" s="15">
        <v>383</v>
      </c>
      <c r="F25" s="15">
        <v>24981</v>
      </c>
      <c r="G25" s="15">
        <v>13887</v>
      </c>
      <c r="H25" s="15">
        <v>617</v>
      </c>
      <c r="I25" s="15">
        <v>359</v>
      </c>
      <c r="J25" s="15">
        <v>2911</v>
      </c>
      <c r="K25" s="15">
        <v>1668</v>
      </c>
      <c r="L25" s="15">
        <v>34</v>
      </c>
      <c r="M25" s="15">
        <v>24</v>
      </c>
    </row>
    <row r="26" spans="1:13" x14ac:dyDescent="0.25">
      <c r="A26" s="15" t="s">
        <v>152</v>
      </c>
      <c r="B26" s="15">
        <v>1797</v>
      </c>
      <c r="C26" s="15">
        <v>936</v>
      </c>
      <c r="D26" s="15">
        <v>134</v>
      </c>
      <c r="E26" s="15">
        <v>69</v>
      </c>
      <c r="F26" s="15">
        <v>1692</v>
      </c>
      <c r="G26" s="15">
        <v>888</v>
      </c>
      <c r="H26" s="15">
        <v>132</v>
      </c>
      <c r="I26" s="15">
        <v>69</v>
      </c>
      <c r="J26" s="15">
        <v>105</v>
      </c>
      <c r="K26" s="15">
        <v>48</v>
      </c>
      <c r="L26" s="15">
        <v>2</v>
      </c>
      <c r="M26" s="15" t="s">
        <v>84</v>
      </c>
    </row>
    <row r="27" spans="1:13" x14ac:dyDescent="0.25">
      <c r="A27" s="15" t="s">
        <v>85</v>
      </c>
      <c r="B27" s="15">
        <v>40641</v>
      </c>
      <c r="C27" s="15">
        <v>19535</v>
      </c>
      <c r="D27" s="15">
        <v>2734</v>
      </c>
      <c r="E27" s="15">
        <v>1363</v>
      </c>
      <c r="F27" s="15">
        <v>38340</v>
      </c>
      <c r="G27" s="15">
        <v>18433</v>
      </c>
      <c r="H27" s="15">
        <v>2625</v>
      </c>
      <c r="I27" s="15">
        <v>1315</v>
      </c>
      <c r="J27" s="15">
        <v>2301</v>
      </c>
      <c r="K27" s="15">
        <v>1102</v>
      </c>
      <c r="L27" s="15">
        <v>109</v>
      </c>
      <c r="M27" s="15">
        <v>48</v>
      </c>
    </row>
    <row r="28" spans="1:13" x14ac:dyDescent="0.25">
      <c r="A28" s="15" t="s">
        <v>86</v>
      </c>
      <c r="B28" s="15">
        <v>11120</v>
      </c>
      <c r="C28" s="15">
        <v>4292</v>
      </c>
      <c r="D28" s="15">
        <v>1247</v>
      </c>
      <c r="E28" s="15">
        <v>525</v>
      </c>
      <c r="F28" s="15">
        <v>10589</v>
      </c>
      <c r="G28" s="15">
        <v>4120</v>
      </c>
      <c r="H28" s="15">
        <v>1224</v>
      </c>
      <c r="I28" s="15">
        <v>517</v>
      </c>
      <c r="J28" s="15">
        <v>531</v>
      </c>
      <c r="K28" s="15">
        <v>172</v>
      </c>
      <c r="L28" s="15">
        <v>23</v>
      </c>
      <c r="M28" s="15">
        <v>8</v>
      </c>
    </row>
    <row r="29" spans="1:13" x14ac:dyDescent="0.25">
      <c r="A29" s="15" t="s">
        <v>87</v>
      </c>
      <c r="B29" s="15">
        <v>4339</v>
      </c>
      <c r="C29" s="15">
        <v>1677</v>
      </c>
      <c r="D29" s="15">
        <v>803</v>
      </c>
      <c r="E29" s="15">
        <v>366</v>
      </c>
      <c r="F29" s="15">
        <v>3976</v>
      </c>
      <c r="G29" s="15">
        <v>1564</v>
      </c>
      <c r="H29" s="15">
        <v>793</v>
      </c>
      <c r="I29" s="15">
        <v>365</v>
      </c>
      <c r="J29" s="15">
        <v>363</v>
      </c>
      <c r="K29" s="15">
        <v>113</v>
      </c>
      <c r="L29" s="15">
        <v>10</v>
      </c>
      <c r="M29" s="15">
        <v>1</v>
      </c>
    </row>
    <row r="30" spans="1:13" x14ac:dyDescent="0.25">
      <c r="A30" s="15" t="s">
        <v>153</v>
      </c>
      <c r="B30" s="15">
        <v>1375</v>
      </c>
      <c r="C30" s="15">
        <v>529</v>
      </c>
      <c r="D30" s="15">
        <v>199</v>
      </c>
      <c r="E30" s="15">
        <v>98</v>
      </c>
      <c r="F30" s="15">
        <v>1293</v>
      </c>
      <c r="G30" s="15">
        <v>508</v>
      </c>
      <c r="H30" s="15">
        <v>199</v>
      </c>
      <c r="I30" s="15">
        <v>98</v>
      </c>
      <c r="J30" s="15">
        <v>82</v>
      </c>
      <c r="K30" s="15">
        <v>21</v>
      </c>
      <c r="L30" s="15" t="s">
        <v>84</v>
      </c>
      <c r="M30" s="15" t="s">
        <v>84</v>
      </c>
    </row>
    <row r="31" spans="1:13" x14ac:dyDescent="0.25">
      <c r="A31" s="15" t="s">
        <v>154</v>
      </c>
      <c r="B31" s="15">
        <v>632</v>
      </c>
      <c r="C31" s="15">
        <v>244</v>
      </c>
      <c r="D31" s="15">
        <v>81</v>
      </c>
      <c r="E31" s="15">
        <v>33</v>
      </c>
      <c r="F31" s="15">
        <v>520</v>
      </c>
      <c r="G31" s="15">
        <v>201</v>
      </c>
      <c r="H31" s="15">
        <v>79</v>
      </c>
      <c r="I31" s="15">
        <v>33</v>
      </c>
      <c r="J31" s="15">
        <v>112</v>
      </c>
      <c r="K31" s="15">
        <v>43</v>
      </c>
      <c r="L31" s="15">
        <v>2</v>
      </c>
      <c r="M31" s="15" t="s">
        <v>84</v>
      </c>
    </row>
    <row r="32" spans="1:13" ht="15" customHeight="1" x14ac:dyDescent="0.25">
      <c r="A32" s="207" t="s">
        <v>88</v>
      </c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9"/>
    </row>
    <row r="33" spans="1:13" x14ac:dyDescent="0.25">
      <c r="A33" s="207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9"/>
    </row>
    <row r="34" spans="1:13" x14ac:dyDescent="0.25">
      <c r="A34" s="15" t="s">
        <v>83</v>
      </c>
      <c r="B34" s="27">
        <v>16167</v>
      </c>
      <c r="C34" s="15">
        <v>7835</v>
      </c>
      <c r="D34" s="27">
        <v>1136</v>
      </c>
      <c r="E34" s="15">
        <v>565</v>
      </c>
      <c r="F34" s="15">
        <v>15465</v>
      </c>
      <c r="G34" s="15">
        <v>7522</v>
      </c>
      <c r="H34" s="15">
        <v>1099</v>
      </c>
      <c r="I34" s="15">
        <v>549</v>
      </c>
      <c r="J34" s="15">
        <v>702</v>
      </c>
      <c r="K34" s="15">
        <v>313</v>
      </c>
      <c r="L34" s="15">
        <v>37</v>
      </c>
      <c r="M34" s="15">
        <v>16</v>
      </c>
    </row>
    <row r="35" spans="1:13" x14ac:dyDescent="0.25">
      <c r="A35" s="15" t="s">
        <v>151</v>
      </c>
      <c r="B35" s="15">
        <v>5950</v>
      </c>
      <c r="C35" s="15">
        <v>3257</v>
      </c>
      <c r="D35" s="15">
        <v>150</v>
      </c>
      <c r="E35" s="15">
        <v>91</v>
      </c>
      <c r="F35" s="15">
        <v>5616</v>
      </c>
      <c r="G35" s="15">
        <v>3076</v>
      </c>
      <c r="H35" s="15">
        <v>146</v>
      </c>
      <c r="I35" s="15">
        <v>88</v>
      </c>
      <c r="J35" s="15">
        <v>334</v>
      </c>
      <c r="K35" s="15">
        <v>181</v>
      </c>
      <c r="L35" s="15">
        <v>4</v>
      </c>
      <c r="M35" s="15">
        <v>3</v>
      </c>
    </row>
    <row r="36" spans="1:13" x14ac:dyDescent="0.25">
      <c r="A36" s="15" t="s">
        <v>152</v>
      </c>
      <c r="B36" s="15">
        <v>418</v>
      </c>
      <c r="C36" s="15">
        <v>226</v>
      </c>
      <c r="D36" s="15">
        <v>30</v>
      </c>
      <c r="E36" s="15">
        <v>14</v>
      </c>
      <c r="F36" s="15">
        <v>403</v>
      </c>
      <c r="G36" s="15">
        <v>219</v>
      </c>
      <c r="H36" s="15">
        <v>30</v>
      </c>
      <c r="I36" s="15">
        <v>14</v>
      </c>
      <c r="J36" s="15">
        <v>15</v>
      </c>
      <c r="K36" s="15">
        <v>7</v>
      </c>
      <c r="L36" s="15" t="s">
        <v>84</v>
      </c>
      <c r="M36" s="15" t="s">
        <v>84</v>
      </c>
    </row>
    <row r="37" spans="1:13" x14ac:dyDescent="0.25">
      <c r="A37" s="15" t="s">
        <v>85</v>
      </c>
      <c r="B37" s="15">
        <v>7134</v>
      </c>
      <c r="C37" s="15">
        <v>3346</v>
      </c>
      <c r="D37" s="15">
        <v>534</v>
      </c>
      <c r="E37" s="15">
        <v>258</v>
      </c>
      <c r="F37" s="15">
        <v>6885</v>
      </c>
      <c r="G37" s="15">
        <v>3243</v>
      </c>
      <c r="H37" s="15">
        <v>511</v>
      </c>
      <c r="I37" s="15">
        <v>248</v>
      </c>
      <c r="J37" s="15">
        <v>249</v>
      </c>
      <c r="K37" s="15">
        <v>103</v>
      </c>
      <c r="L37" s="15">
        <v>23</v>
      </c>
      <c r="M37" s="15">
        <v>10</v>
      </c>
    </row>
    <row r="38" spans="1:13" x14ac:dyDescent="0.25">
      <c r="A38" s="15" t="s">
        <v>86</v>
      </c>
      <c r="B38" s="15">
        <v>1920</v>
      </c>
      <c r="C38" s="15">
        <v>740</v>
      </c>
      <c r="D38" s="15">
        <v>264</v>
      </c>
      <c r="E38" s="15">
        <v>126</v>
      </c>
      <c r="F38" s="15">
        <v>1846</v>
      </c>
      <c r="G38" s="15">
        <v>723</v>
      </c>
      <c r="H38" s="15">
        <v>257</v>
      </c>
      <c r="I38" s="15">
        <v>124</v>
      </c>
      <c r="J38" s="15">
        <v>74</v>
      </c>
      <c r="K38" s="15">
        <v>17</v>
      </c>
      <c r="L38" s="15">
        <v>7</v>
      </c>
      <c r="M38" s="15">
        <v>2</v>
      </c>
    </row>
    <row r="39" spans="1:13" x14ac:dyDescent="0.25">
      <c r="A39" s="15" t="s">
        <v>87</v>
      </c>
      <c r="B39" s="15">
        <v>745</v>
      </c>
      <c r="C39" s="15">
        <v>266</v>
      </c>
      <c r="D39" s="15">
        <v>158</v>
      </c>
      <c r="E39" s="15">
        <v>76</v>
      </c>
      <c r="F39" s="15">
        <v>715</v>
      </c>
      <c r="G39" s="15">
        <v>261</v>
      </c>
      <c r="H39" s="15">
        <v>155</v>
      </c>
      <c r="I39" s="15">
        <v>75</v>
      </c>
      <c r="J39" s="15">
        <v>30</v>
      </c>
      <c r="K39" s="15">
        <v>5</v>
      </c>
      <c r="L39" s="15">
        <v>3</v>
      </c>
      <c r="M39" s="15">
        <v>1</v>
      </c>
    </row>
    <row r="40" spans="1:13" x14ac:dyDescent="0.25">
      <c r="A40" s="15" t="s">
        <v>153</v>
      </c>
      <c r="B40" s="15">
        <v>232</v>
      </c>
      <c r="C40" s="15">
        <v>75</v>
      </c>
      <c r="D40" s="15">
        <v>40</v>
      </c>
      <c r="E40" s="15">
        <v>21</v>
      </c>
      <c r="F40" s="15">
        <v>220</v>
      </c>
      <c r="G40" s="15">
        <v>73</v>
      </c>
      <c r="H40" s="15">
        <v>40</v>
      </c>
      <c r="I40" s="15">
        <v>21</v>
      </c>
      <c r="J40" s="15">
        <v>12</v>
      </c>
      <c r="K40" s="15">
        <v>2</v>
      </c>
      <c r="L40" s="15" t="s">
        <v>84</v>
      </c>
      <c r="M40" s="15" t="s">
        <v>84</v>
      </c>
    </row>
    <row r="41" spans="1:13" x14ac:dyDescent="0.25">
      <c r="A41" s="15" t="s">
        <v>154</v>
      </c>
      <c r="B41" s="15">
        <v>125</v>
      </c>
      <c r="C41" s="15">
        <v>48</v>
      </c>
      <c r="D41" s="15">
        <v>24</v>
      </c>
      <c r="E41" s="15">
        <v>11</v>
      </c>
      <c r="F41" s="15">
        <v>125</v>
      </c>
      <c r="G41" s="15">
        <v>48</v>
      </c>
      <c r="H41" s="15">
        <v>24</v>
      </c>
      <c r="I41" s="15">
        <v>11</v>
      </c>
      <c r="J41" s="15" t="s">
        <v>84</v>
      </c>
      <c r="K41" s="15" t="s">
        <v>84</v>
      </c>
      <c r="L41" s="15" t="s">
        <v>84</v>
      </c>
      <c r="M41" s="15" t="s">
        <v>84</v>
      </c>
    </row>
    <row r="42" spans="1:13" ht="15" customHeight="1" x14ac:dyDescent="0.25">
      <c r="A42" s="207" t="s">
        <v>89</v>
      </c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9"/>
    </row>
    <row r="43" spans="1:13" x14ac:dyDescent="0.25">
      <c r="A43" s="207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9"/>
    </row>
    <row r="44" spans="1:13" x14ac:dyDescent="0.25">
      <c r="A44" s="15" t="s">
        <v>83</v>
      </c>
      <c r="B44" s="27">
        <v>2612</v>
      </c>
      <c r="C44" s="15">
        <v>1358</v>
      </c>
      <c r="D44" s="27">
        <v>208</v>
      </c>
      <c r="E44" s="15">
        <v>93</v>
      </c>
      <c r="F44" s="15">
        <v>2479</v>
      </c>
      <c r="G44" s="15">
        <v>1299</v>
      </c>
      <c r="H44" s="15">
        <v>207</v>
      </c>
      <c r="I44" s="15">
        <v>93</v>
      </c>
      <c r="J44" s="15">
        <v>133</v>
      </c>
      <c r="K44" s="15">
        <v>59</v>
      </c>
      <c r="L44" s="15">
        <v>1</v>
      </c>
      <c r="M44" s="15" t="s">
        <v>84</v>
      </c>
    </row>
    <row r="45" spans="1:13" x14ac:dyDescent="0.25">
      <c r="A45" s="15" t="s">
        <v>151</v>
      </c>
      <c r="B45" s="15">
        <v>1279</v>
      </c>
      <c r="C45" s="15">
        <v>741</v>
      </c>
      <c r="D45" s="15">
        <v>47</v>
      </c>
      <c r="E45" s="15">
        <v>28</v>
      </c>
      <c r="F45" s="15">
        <v>1185</v>
      </c>
      <c r="G45" s="15">
        <v>692</v>
      </c>
      <c r="H45" s="15">
        <v>46</v>
      </c>
      <c r="I45" s="15">
        <v>28</v>
      </c>
      <c r="J45" s="15">
        <v>94</v>
      </c>
      <c r="K45" s="15">
        <v>49</v>
      </c>
      <c r="L45" s="15">
        <v>1</v>
      </c>
      <c r="M45" s="15" t="s">
        <v>84</v>
      </c>
    </row>
    <row r="46" spans="1:13" x14ac:dyDescent="0.25">
      <c r="A46" s="15" t="s">
        <v>152</v>
      </c>
      <c r="B46" s="15">
        <v>139</v>
      </c>
      <c r="C46" s="15">
        <v>77</v>
      </c>
      <c r="D46" s="15">
        <v>8</v>
      </c>
      <c r="E46" s="15">
        <v>3</v>
      </c>
      <c r="F46" s="15">
        <v>137</v>
      </c>
      <c r="G46" s="15">
        <v>77</v>
      </c>
      <c r="H46" s="15">
        <v>8</v>
      </c>
      <c r="I46" s="15">
        <v>3</v>
      </c>
      <c r="J46" s="15">
        <v>2</v>
      </c>
      <c r="K46" s="15" t="s">
        <v>84</v>
      </c>
      <c r="L46" s="15" t="s">
        <v>84</v>
      </c>
      <c r="M46" s="15" t="s">
        <v>84</v>
      </c>
    </row>
    <row r="47" spans="1:13" x14ac:dyDescent="0.25">
      <c r="A47" s="15" t="s">
        <v>85</v>
      </c>
      <c r="B47" s="15">
        <v>809</v>
      </c>
      <c r="C47" s="15">
        <v>387</v>
      </c>
      <c r="D47" s="15">
        <v>92</v>
      </c>
      <c r="E47" s="15">
        <v>39</v>
      </c>
      <c r="F47" s="15">
        <v>781</v>
      </c>
      <c r="G47" s="15">
        <v>378</v>
      </c>
      <c r="H47" s="15">
        <v>92</v>
      </c>
      <c r="I47" s="15">
        <v>39</v>
      </c>
      <c r="J47" s="15">
        <v>28</v>
      </c>
      <c r="K47" s="15">
        <v>9</v>
      </c>
      <c r="L47" s="15" t="s">
        <v>84</v>
      </c>
      <c r="M47" s="15" t="s">
        <v>84</v>
      </c>
    </row>
    <row r="48" spans="1:13" x14ac:dyDescent="0.25">
      <c r="A48" s="15" t="s">
        <v>86</v>
      </c>
      <c r="B48" s="15">
        <v>255</v>
      </c>
      <c r="C48" s="15">
        <v>101</v>
      </c>
      <c r="D48" s="15">
        <v>37</v>
      </c>
      <c r="E48" s="15">
        <v>13</v>
      </c>
      <c r="F48" s="15">
        <v>249</v>
      </c>
      <c r="G48" s="15">
        <v>101</v>
      </c>
      <c r="H48" s="15">
        <v>37</v>
      </c>
      <c r="I48" s="15">
        <v>13</v>
      </c>
      <c r="J48" s="15">
        <v>6</v>
      </c>
      <c r="K48" s="15" t="s">
        <v>84</v>
      </c>
      <c r="L48" s="15" t="s">
        <v>84</v>
      </c>
      <c r="M48" s="15" t="s">
        <v>84</v>
      </c>
    </row>
    <row r="49" spans="1:13" x14ac:dyDescent="0.25">
      <c r="A49" s="15" t="s">
        <v>87</v>
      </c>
      <c r="B49" s="15">
        <v>130</v>
      </c>
      <c r="C49" s="15">
        <v>52</v>
      </c>
      <c r="D49" s="15">
        <v>24</v>
      </c>
      <c r="E49" s="15">
        <v>10</v>
      </c>
      <c r="F49" s="15">
        <v>127</v>
      </c>
      <c r="G49" s="15">
        <v>51</v>
      </c>
      <c r="H49" s="15">
        <v>24</v>
      </c>
      <c r="I49" s="15">
        <v>10</v>
      </c>
      <c r="J49" s="15">
        <v>3</v>
      </c>
      <c r="K49" s="15">
        <v>1</v>
      </c>
      <c r="L49" s="15" t="s">
        <v>84</v>
      </c>
      <c r="M49" s="15" t="s">
        <v>84</v>
      </c>
    </row>
    <row r="50" spans="1:13" x14ac:dyDescent="0.25">
      <c r="A50" s="15" t="s">
        <v>153</v>
      </c>
      <c r="B50" s="15">
        <v>36</v>
      </c>
      <c r="C50" s="15">
        <v>15</v>
      </c>
      <c r="D50" s="15">
        <v>8</v>
      </c>
      <c r="E50" s="15">
        <v>4</v>
      </c>
      <c r="F50" s="15">
        <v>34</v>
      </c>
      <c r="G50" s="15">
        <v>14</v>
      </c>
      <c r="H50" s="15">
        <v>8</v>
      </c>
      <c r="I50" s="15">
        <v>4</v>
      </c>
      <c r="J50" s="15">
        <v>2</v>
      </c>
      <c r="K50" s="15">
        <v>1</v>
      </c>
      <c r="L50" s="15" t="s">
        <v>84</v>
      </c>
      <c r="M50" s="15" t="s">
        <v>84</v>
      </c>
    </row>
    <row r="51" spans="1:13" x14ac:dyDescent="0.25">
      <c r="A51" s="15" t="s">
        <v>154</v>
      </c>
      <c r="B51" s="15">
        <v>25</v>
      </c>
      <c r="C51" s="15">
        <v>12</v>
      </c>
      <c r="D51" s="15">
        <v>2</v>
      </c>
      <c r="E51" s="15">
        <v>1</v>
      </c>
      <c r="F51" s="15">
        <v>25</v>
      </c>
      <c r="G51" s="15">
        <v>12</v>
      </c>
      <c r="H51" s="15">
        <v>2</v>
      </c>
      <c r="I51" s="15">
        <v>1</v>
      </c>
      <c r="J51" s="15" t="s">
        <v>84</v>
      </c>
      <c r="K51" s="15" t="s">
        <v>84</v>
      </c>
      <c r="L51" s="15" t="s">
        <v>84</v>
      </c>
      <c r="M51" s="15" t="s">
        <v>84</v>
      </c>
    </row>
    <row r="52" spans="1:13" ht="15" customHeight="1" x14ac:dyDescent="0.25">
      <c r="A52" s="207" t="s">
        <v>90</v>
      </c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9"/>
    </row>
    <row r="53" spans="1:13" x14ac:dyDescent="0.25">
      <c r="A53" s="207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9"/>
    </row>
    <row r="54" spans="1:13" x14ac:dyDescent="0.25">
      <c r="A54" s="15" t="s">
        <v>83</v>
      </c>
      <c r="B54" s="27">
        <v>1017</v>
      </c>
      <c r="C54" s="15">
        <v>471</v>
      </c>
      <c r="D54" s="27">
        <v>174</v>
      </c>
      <c r="E54" s="15">
        <v>85</v>
      </c>
      <c r="F54" s="15">
        <v>1017</v>
      </c>
      <c r="G54" s="15">
        <v>471</v>
      </c>
      <c r="H54" s="15">
        <v>174</v>
      </c>
      <c r="I54" s="15">
        <v>85</v>
      </c>
      <c r="J54" s="15" t="s">
        <v>84</v>
      </c>
      <c r="K54" s="15" t="s">
        <v>84</v>
      </c>
      <c r="L54" s="15" t="s">
        <v>84</v>
      </c>
      <c r="M54" s="15" t="s">
        <v>84</v>
      </c>
    </row>
    <row r="55" spans="1:13" x14ac:dyDescent="0.25">
      <c r="A55" s="15" t="s">
        <v>151</v>
      </c>
      <c r="B55" s="15">
        <v>242</v>
      </c>
      <c r="C55" s="15">
        <v>137</v>
      </c>
      <c r="D55" s="15">
        <v>18</v>
      </c>
      <c r="E55" s="15">
        <v>8</v>
      </c>
      <c r="F55" s="15">
        <v>242</v>
      </c>
      <c r="G55" s="15">
        <v>137</v>
      </c>
      <c r="H55" s="15">
        <v>18</v>
      </c>
      <c r="I55" s="15">
        <v>8</v>
      </c>
      <c r="J55" s="15" t="s">
        <v>84</v>
      </c>
      <c r="K55" s="15" t="s">
        <v>84</v>
      </c>
      <c r="L55" s="15" t="s">
        <v>84</v>
      </c>
      <c r="M55" s="15" t="s">
        <v>84</v>
      </c>
    </row>
    <row r="56" spans="1:13" x14ac:dyDescent="0.25">
      <c r="A56" s="15" t="s">
        <v>152</v>
      </c>
      <c r="B56" s="15">
        <v>24</v>
      </c>
      <c r="C56" s="15">
        <v>11</v>
      </c>
      <c r="D56" s="15">
        <v>4</v>
      </c>
      <c r="E56" s="15">
        <v>3</v>
      </c>
      <c r="F56" s="15">
        <v>24</v>
      </c>
      <c r="G56" s="15">
        <v>11</v>
      </c>
      <c r="H56" s="15">
        <v>4</v>
      </c>
      <c r="I56" s="15">
        <v>3</v>
      </c>
      <c r="J56" s="15" t="s">
        <v>84</v>
      </c>
      <c r="K56" s="15" t="s">
        <v>84</v>
      </c>
      <c r="L56" s="15" t="s">
        <v>84</v>
      </c>
      <c r="M56" s="15" t="s">
        <v>84</v>
      </c>
    </row>
    <row r="57" spans="1:13" x14ac:dyDescent="0.25">
      <c r="A57" s="15" t="s">
        <v>85</v>
      </c>
      <c r="B57" s="15">
        <v>523</v>
      </c>
      <c r="C57" s="15">
        <v>234</v>
      </c>
      <c r="D57" s="15">
        <v>80</v>
      </c>
      <c r="E57" s="15">
        <v>35</v>
      </c>
      <c r="F57" s="15">
        <v>523</v>
      </c>
      <c r="G57" s="15">
        <v>234</v>
      </c>
      <c r="H57" s="15">
        <v>80</v>
      </c>
      <c r="I57" s="15">
        <v>35</v>
      </c>
      <c r="J57" s="15" t="s">
        <v>84</v>
      </c>
      <c r="K57" s="15" t="s">
        <v>84</v>
      </c>
      <c r="L57" s="15" t="s">
        <v>84</v>
      </c>
      <c r="M57" s="15" t="s">
        <v>84</v>
      </c>
    </row>
    <row r="58" spans="1:13" x14ac:dyDescent="0.25">
      <c r="A58" s="15" t="s">
        <v>86</v>
      </c>
      <c r="B58" s="15">
        <v>179</v>
      </c>
      <c r="C58" s="15">
        <v>72</v>
      </c>
      <c r="D58" s="15">
        <v>53</v>
      </c>
      <c r="E58" s="15">
        <v>31</v>
      </c>
      <c r="F58" s="15">
        <v>179</v>
      </c>
      <c r="G58" s="15">
        <v>72</v>
      </c>
      <c r="H58" s="15">
        <v>53</v>
      </c>
      <c r="I58" s="15">
        <v>31</v>
      </c>
      <c r="J58" s="15" t="s">
        <v>84</v>
      </c>
      <c r="K58" s="15" t="s">
        <v>84</v>
      </c>
      <c r="L58" s="15" t="s">
        <v>84</v>
      </c>
      <c r="M58" s="15" t="s">
        <v>84</v>
      </c>
    </row>
    <row r="59" spans="1:13" x14ac:dyDescent="0.25">
      <c r="A59" s="15" t="s">
        <v>87</v>
      </c>
      <c r="B59" s="15">
        <v>49</v>
      </c>
      <c r="C59" s="15">
        <v>17</v>
      </c>
      <c r="D59" s="15">
        <v>19</v>
      </c>
      <c r="E59" s="15">
        <v>8</v>
      </c>
      <c r="F59" s="15">
        <v>49</v>
      </c>
      <c r="G59" s="15">
        <v>17</v>
      </c>
      <c r="H59" s="15">
        <v>19</v>
      </c>
      <c r="I59" s="15">
        <v>8</v>
      </c>
      <c r="J59" s="15" t="s">
        <v>84</v>
      </c>
      <c r="K59" s="15" t="s">
        <v>84</v>
      </c>
      <c r="L59" s="15" t="s">
        <v>84</v>
      </c>
      <c r="M59" s="15" t="s">
        <v>84</v>
      </c>
    </row>
    <row r="60" spans="1:13" x14ac:dyDescent="0.25">
      <c r="A60" s="15" t="s">
        <v>153</v>
      </c>
      <c r="B60" s="15">
        <v>17</v>
      </c>
      <c r="C60" s="15">
        <v>3</v>
      </c>
      <c r="D60" s="15">
        <v>4</v>
      </c>
      <c r="E60" s="15">
        <v>2</v>
      </c>
      <c r="F60" s="15">
        <v>17</v>
      </c>
      <c r="G60" s="15">
        <v>3</v>
      </c>
      <c r="H60" s="15">
        <v>4</v>
      </c>
      <c r="I60" s="15">
        <v>2</v>
      </c>
      <c r="J60" s="15" t="s">
        <v>84</v>
      </c>
      <c r="K60" s="15" t="s">
        <v>84</v>
      </c>
      <c r="L60" s="15" t="s">
        <v>84</v>
      </c>
      <c r="M60" s="15" t="s">
        <v>84</v>
      </c>
    </row>
    <row r="61" spans="1:13" x14ac:dyDescent="0.25">
      <c r="A61" s="15" t="s">
        <v>154</v>
      </c>
      <c r="B61" s="15">
        <v>3</v>
      </c>
      <c r="C61" s="15">
        <v>1</v>
      </c>
      <c r="D61" s="15">
        <v>2</v>
      </c>
      <c r="E61" s="15">
        <v>1</v>
      </c>
      <c r="F61" s="15">
        <v>3</v>
      </c>
      <c r="G61" s="15">
        <v>1</v>
      </c>
      <c r="H61" s="15">
        <v>2</v>
      </c>
      <c r="I61" s="15">
        <v>1</v>
      </c>
      <c r="J61" s="15" t="s">
        <v>84</v>
      </c>
      <c r="K61" s="15" t="s">
        <v>84</v>
      </c>
      <c r="L61" s="15" t="s">
        <v>84</v>
      </c>
      <c r="M61" s="15" t="s">
        <v>84</v>
      </c>
    </row>
    <row r="62" spans="1:13" ht="15" customHeight="1" x14ac:dyDescent="0.25">
      <c r="A62" s="207" t="s">
        <v>91</v>
      </c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9"/>
    </row>
    <row r="63" spans="1:13" x14ac:dyDescent="0.25">
      <c r="A63" s="207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9"/>
    </row>
    <row r="64" spans="1:13" x14ac:dyDescent="0.25">
      <c r="A64" s="15" t="s">
        <v>83</v>
      </c>
      <c r="B64" s="27">
        <v>1447</v>
      </c>
      <c r="C64" s="15">
        <v>706</v>
      </c>
      <c r="D64" s="27">
        <v>112</v>
      </c>
      <c r="E64" s="15">
        <v>60</v>
      </c>
      <c r="F64" s="15">
        <v>1255</v>
      </c>
      <c r="G64" s="15">
        <v>620</v>
      </c>
      <c r="H64" s="15">
        <v>89</v>
      </c>
      <c r="I64" s="15">
        <v>52</v>
      </c>
      <c r="J64" s="15">
        <v>192</v>
      </c>
      <c r="K64" s="15">
        <v>86</v>
      </c>
      <c r="L64" s="15">
        <v>23</v>
      </c>
      <c r="M64" s="15">
        <v>8</v>
      </c>
    </row>
    <row r="65" spans="1:13" x14ac:dyDescent="0.25">
      <c r="A65" s="15" t="s">
        <v>151</v>
      </c>
      <c r="B65" s="15">
        <v>562</v>
      </c>
      <c r="C65" s="15">
        <v>301</v>
      </c>
      <c r="D65" s="15">
        <v>17</v>
      </c>
      <c r="E65" s="15">
        <v>12</v>
      </c>
      <c r="F65" s="15">
        <v>494</v>
      </c>
      <c r="G65" s="15">
        <v>269</v>
      </c>
      <c r="H65" s="15">
        <v>16</v>
      </c>
      <c r="I65" s="15">
        <v>11</v>
      </c>
      <c r="J65" s="15">
        <v>68</v>
      </c>
      <c r="K65" s="15">
        <v>32</v>
      </c>
      <c r="L65" s="15">
        <v>1</v>
      </c>
      <c r="M65" s="15">
        <v>1</v>
      </c>
    </row>
    <row r="66" spans="1:13" x14ac:dyDescent="0.25">
      <c r="A66" s="15" t="s">
        <v>152</v>
      </c>
      <c r="B66" s="15">
        <v>65</v>
      </c>
      <c r="C66" s="15">
        <v>34</v>
      </c>
      <c r="D66" s="15">
        <v>5</v>
      </c>
      <c r="E66" s="15">
        <v>3</v>
      </c>
      <c r="F66" s="15">
        <v>64</v>
      </c>
      <c r="G66" s="15">
        <v>34</v>
      </c>
      <c r="H66" s="15">
        <v>5</v>
      </c>
      <c r="I66" s="15">
        <v>3</v>
      </c>
      <c r="J66" s="15">
        <v>1</v>
      </c>
      <c r="K66" s="15" t="s">
        <v>84</v>
      </c>
      <c r="L66" s="15" t="s">
        <v>84</v>
      </c>
      <c r="M66" s="15" t="s">
        <v>84</v>
      </c>
    </row>
    <row r="67" spans="1:13" x14ac:dyDescent="0.25">
      <c r="A67" s="15" t="s">
        <v>85</v>
      </c>
      <c r="B67" s="15">
        <v>671</v>
      </c>
      <c r="C67" s="15">
        <v>315</v>
      </c>
      <c r="D67" s="15">
        <v>67</v>
      </c>
      <c r="E67" s="15">
        <v>30</v>
      </c>
      <c r="F67" s="15">
        <v>556</v>
      </c>
      <c r="G67" s="15">
        <v>265</v>
      </c>
      <c r="H67" s="15">
        <v>48</v>
      </c>
      <c r="I67" s="15">
        <v>23</v>
      </c>
      <c r="J67" s="15">
        <v>115</v>
      </c>
      <c r="K67" s="15">
        <v>50</v>
      </c>
      <c r="L67" s="15">
        <v>19</v>
      </c>
      <c r="M67" s="15">
        <v>7</v>
      </c>
    </row>
    <row r="68" spans="1:13" x14ac:dyDescent="0.25">
      <c r="A68" s="15" t="s">
        <v>86</v>
      </c>
      <c r="B68" s="15">
        <v>108</v>
      </c>
      <c r="C68" s="15">
        <v>42</v>
      </c>
      <c r="D68" s="15">
        <v>17</v>
      </c>
      <c r="E68" s="15">
        <v>10</v>
      </c>
      <c r="F68" s="15">
        <v>100</v>
      </c>
      <c r="G68" s="15">
        <v>38</v>
      </c>
      <c r="H68" s="15">
        <v>14</v>
      </c>
      <c r="I68" s="15">
        <v>10</v>
      </c>
      <c r="J68" s="15">
        <v>8</v>
      </c>
      <c r="K68" s="15">
        <v>4</v>
      </c>
      <c r="L68" s="15">
        <v>3</v>
      </c>
      <c r="M68" s="15" t="s">
        <v>84</v>
      </c>
    </row>
    <row r="69" spans="1:13" x14ac:dyDescent="0.25">
      <c r="A69" s="15" t="s">
        <v>87</v>
      </c>
      <c r="B69" s="15">
        <v>41</v>
      </c>
      <c r="C69" s="15">
        <v>14</v>
      </c>
      <c r="D69" s="15">
        <v>6</v>
      </c>
      <c r="E69" s="15">
        <v>5</v>
      </c>
      <c r="F69" s="15">
        <v>41</v>
      </c>
      <c r="G69" s="15">
        <v>14</v>
      </c>
      <c r="H69" s="15">
        <v>6</v>
      </c>
      <c r="I69" s="15">
        <v>5</v>
      </c>
      <c r="J69" s="15" t="s">
        <v>84</v>
      </c>
      <c r="K69" s="15" t="s">
        <v>84</v>
      </c>
      <c r="L69" s="15" t="s">
        <v>84</v>
      </c>
      <c r="M69" s="15" t="s">
        <v>84</v>
      </c>
    </row>
    <row r="70" spans="1:13" x14ac:dyDescent="0.25">
      <c r="A70" s="15" t="s">
        <v>153</v>
      </c>
      <c r="B70" s="15">
        <v>12</v>
      </c>
      <c r="C70" s="15">
        <v>3</v>
      </c>
      <c r="D70" s="15" t="s">
        <v>84</v>
      </c>
      <c r="E70" s="15" t="s">
        <v>84</v>
      </c>
      <c r="F70" s="15">
        <v>12</v>
      </c>
      <c r="G70" s="15">
        <v>3</v>
      </c>
      <c r="H70" s="15" t="s">
        <v>84</v>
      </c>
      <c r="I70" s="15" t="s">
        <v>84</v>
      </c>
      <c r="J70" s="15" t="s">
        <v>84</v>
      </c>
      <c r="K70" s="15" t="s">
        <v>84</v>
      </c>
      <c r="L70" s="15" t="s">
        <v>84</v>
      </c>
      <c r="M70" s="15" t="s">
        <v>84</v>
      </c>
    </row>
    <row r="71" spans="1:13" x14ac:dyDescent="0.25">
      <c r="A71" s="15" t="s">
        <v>154</v>
      </c>
      <c r="B71" s="15">
        <v>9</v>
      </c>
      <c r="C71" s="15">
        <v>4</v>
      </c>
      <c r="D71" s="15">
        <v>2</v>
      </c>
      <c r="E71" s="15">
        <v>2</v>
      </c>
      <c r="F71" s="15">
        <v>9</v>
      </c>
      <c r="G71" s="15">
        <v>4</v>
      </c>
      <c r="H71" s="15">
        <v>2</v>
      </c>
      <c r="I71" s="15">
        <v>2</v>
      </c>
      <c r="J71" s="15" t="s">
        <v>84</v>
      </c>
      <c r="K71" s="15" t="s">
        <v>84</v>
      </c>
      <c r="L71" s="15" t="s">
        <v>84</v>
      </c>
      <c r="M71" s="15" t="s">
        <v>84</v>
      </c>
    </row>
    <row r="72" spans="1:13" ht="15" customHeight="1" x14ac:dyDescent="0.25">
      <c r="A72" s="207" t="s">
        <v>92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9"/>
    </row>
    <row r="73" spans="1:13" x14ac:dyDescent="0.25">
      <c r="A73" s="207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9"/>
    </row>
    <row r="74" spans="1:13" x14ac:dyDescent="0.25">
      <c r="A74" s="15" t="s">
        <v>83</v>
      </c>
      <c r="B74" s="27">
        <v>1664</v>
      </c>
      <c r="C74" s="15">
        <v>765</v>
      </c>
      <c r="D74" s="27">
        <v>79</v>
      </c>
      <c r="E74" s="15">
        <v>43</v>
      </c>
      <c r="F74" s="15">
        <v>1660</v>
      </c>
      <c r="G74" s="15">
        <v>765</v>
      </c>
      <c r="H74" s="15">
        <v>78</v>
      </c>
      <c r="I74" s="15">
        <v>43</v>
      </c>
      <c r="J74" s="15">
        <v>4</v>
      </c>
      <c r="K74" s="15" t="s">
        <v>84</v>
      </c>
      <c r="L74" s="15">
        <v>1</v>
      </c>
      <c r="M74" s="15" t="s">
        <v>84</v>
      </c>
    </row>
    <row r="75" spans="1:13" x14ac:dyDescent="0.25">
      <c r="A75" s="15" t="s">
        <v>151</v>
      </c>
      <c r="B75" s="15">
        <v>494</v>
      </c>
      <c r="C75" s="15">
        <v>261</v>
      </c>
      <c r="D75" s="15">
        <v>10</v>
      </c>
      <c r="E75" s="15">
        <v>7</v>
      </c>
      <c r="F75" s="15">
        <v>494</v>
      </c>
      <c r="G75" s="15">
        <v>261</v>
      </c>
      <c r="H75" s="15">
        <v>10</v>
      </c>
      <c r="I75" s="15">
        <v>7</v>
      </c>
      <c r="J75" s="15" t="s">
        <v>84</v>
      </c>
      <c r="K75" s="15" t="s">
        <v>84</v>
      </c>
      <c r="L75" s="15" t="s">
        <v>84</v>
      </c>
      <c r="M75" s="15" t="s">
        <v>84</v>
      </c>
    </row>
    <row r="76" spans="1:13" x14ac:dyDescent="0.25">
      <c r="A76" s="15" t="s">
        <v>152</v>
      </c>
      <c r="B76" s="15">
        <v>27</v>
      </c>
      <c r="C76" s="15">
        <v>15</v>
      </c>
      <c r="D76" s="15">
        <v>3</v>
      </c>
      <c r="E76" s="15">
        <v>2</v>
      </c>
      <c r="F76" s="15">
        <v>27</v>
      </c>
      <c r="G76" s="15">
        <v>15</v>
      </c>
      <c r="H76" s="15">
        <v>3</v>
      </c>
      <c r="I76" s="15">
        <v>2</v>
      </c>
      <c r="J76" s="15" t="s">
        <v>84</v>
      </c>
      <c r="K76" s="15" t="s">
        <v>84</v>
      </c>
      <c r="L76" s="15" t="s">
        <v>84</v>
      </c>
      <c r="M76" s="15" t="s">
        <v>84</v>
      </c>
    </row>
    <row r="77" spans="1:13" x14ac:dyDescent="0.25">
      <c r="A77" s="15" t="s">
        <v>85</v>
      </c>
      <c r="B77" s="15">
        <v>897</v>
      </c>
      <c r="C77" s="15">
        <v>411</v>
      </c>
      <c r="D77" s="15">
        <v>36</v>
      </c>
      <c r="E77" s="15">
        <v>18</v>
      </c>
      <c r="F77" s="15">
        <v>897</v>
      </c>
      <c r="G77" s="15">
        <v>411</v>
      </c>
      <c r="H77" s="15">
        <v>36</v>
      </c>
      <c r="I77" s="15">
        <v>18</v>
      </c>
      <c r="J77" s="15" t="s">
        <v>84</v>
      </c>
      <c r="K77" s="15" t="s">
        <v>84</v>
      </c>
      <c r="L77" s="15" t="s">
        <v>84</v>
      </c>
      <c r="M77" s="15" t="s">
        <v>84</v>
      </c>
    </row>
    <row r="78" spans="1:13" x14ac:dyDescent="0.25">
      <c r="A78" s="15" t="s">
        <v>86</v>
      </c>
      <c r="B78" s="15">
        <v>180</v>
      </c>
      <c r="C78" s="15">
        <v>56</v>
      </c>
      <c r="D78" s="15">
        <v>23</v>
      </c>
      <c r="E78" s="15">
        <v>10</v>
      </c>
      <c r="F78" s="15">
        <v>179</v>
      </c>
      <c r="G78" s="15">
        <v>56</v>
      </c>
      <c r="H78" s="15">
        <v>22</v>
      </c>
      <c r="I78" s="15">
        <v>10</v>
      </c>
      <c r="J78" s="15">
        <v>1</v>
      </c>
      <c r="K78" s="15" t="s">
        <v>84</v>
      </c>
      <c r="L78" s="15">
        <v>1</v>
      </c>
      <c r="M78" s="15" t="s">
        <v>84</v>
      </c>
    </row>
    <row r="79" spans="1:13" x14ac:dyDescent="0.25">
      <c r="A79" s="15" t="s">
        <v>87</v>
      </c>
      <c r="B79" s="15">
        <v>66</v>
      </c>
      <c r="C79" s="15">
        <v>22</v>
      </c>
      <c r="D79" s="15">
        <v>7</v>
      </c>
      <c r="E79" s="15">
        <v>6</v>
      </c>
      <c r="F79" s="15">
        <v>63</v>
      </c>
      <c r="G79" s="15">
        <v>22</v>
      </c>
      <c r="H79" s="15">
        <v>7</v>
      </c>
      <c r="I79" s="15">
        <v>6</v>
      </c>
      <c r="J79" s="15">
        <v>3</v>
      </c>
      <c r="K79" s="15" t="s">
        <v>84</v>
      </c>
      <c r="L79" s="15" t="s">
        <v>84</v>
      </c>
      <c r="M79" s="15" t="s">
        <v>84</v>
      </c>
    </row>
    <row r="80" spans="1:13" x14ac:dyDescent="0.25">
      <c r="A80" s="15" t="s">
        <v>153</v>
      </c>
      <c r="B80" s="15">
        <v>34</v>
      </c>
      <c r="C80" s="15">
        <v>9</v>
      </c>
      <c r="D80" s="15">
        <v>3</v>
      </c>
      <c r="E80" s="15">
        <v>2</v>
      </c>
      <c r="F80" s="15">
        <v>33</v>
      </c>
      <c r="G80" s="15">
        <v>9</v>
      </c>
      <c r="H80" s="15">
        <v>3</v>
      </c>
      <c r="I80" s="15">
        <v>2</v>
      </c>
      <c r="J80" s="15">
        <v>1</v>
      </c>
      <c r="K80" s="15" t="s">
        <v>84</v>
      </c>
      <c r="L80" s="15" t="s">
        <v>84</v>
      </c>
      <c r="M80" s="15" t="s">
        <v>84</v>
      </c>
    </row>
    <row r="81" spans="1:13" ht="15" customHeight="1" x14ac:dyDescent="0.25">
      <c r="A81" s="207" t="s">
        <v>93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9"/>
    </row>
    <row r="82" spans="1:13" x14ac:dyDescent="0.25">
      <c r="A82" s="207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9"/>
    </row>
    <row r="83" spans="1:13" x14ac:dyDescent="0.25">
      <c r="A83" s="15" t="s">
        <v>83</v>
      </c>
      <c r="B83" s="27">
        <v>1200</v>
      </c>
      <c r="C83" s="15">
        <v>578</v>
      </c>
      <c r="D83" s="27">
        <v>48</v>
      </c>
      <c r="E83" s="15">
        <v>25</v>
      </c>
      <c r="F83" s="15">
        <v>1149</v>
      </c>
      <c r="G83" s="15">
        <v>564</v>
      </c>
      <c r="H83" s="15">
        <v>46</v>
      </c>
      <c r="I83" s="15">
        <v>24</v>
      </c>
      <c r="J83" s="15">
        <v>51</v>
      </c>
      <c r="K83" s="15">
        <v>14</v>
      </c>
      <c r="L83" s="15">
        <v>2</v>
      </c>
      <c r="M83" s="15">
        <v>1</v>
      </c>
    </row>
    <row r="84" spans="1:13" x14ac:dyDescent="0.25">
      <c r="A84" s="15" t="s">
        <v>151</v>
      </c>
      <c r="B84" s="15">
        <v>303</v>
      </c>
      <c r="C84" s="15">
        <v>165</v>
      </c>
      <c r="D84" s="15">
        <v>3</v>
      </c>
      <c r="E84" s="15">
        <v>2</v>
      </c>
      <c r="F84" s="15">
        <v>289</v>
      </c>
      <c r="G84" s="15">
        <v>159</v>
      </c>
      <c r="H84" s="15">
        <v>3</v>
      </c>
      <c r="I84" s="15">
        <v>2</v>
      </c>
      <c r="J84" s="15">
        <v>14</v>
      </c>
      <c r="K84" s="15">
        <v>6</v>
      </c>
      <c r="L84" s="15" t="s">
        <v>84</v>
      </c>
      <c r="M84" s="15" t="s">
        <v>84</v>
      </c>
    </row>
    <row r="85" spans="1:13" x14ac:dyDescent="0.25">
      <c r="A85" s="15" t="s">
        <v>152</v>
      </c>
      <c r="B85" s="15">
        <v>14</v>
      </c>
      <c r="C85" s="15">
        <v>8</v>
      </c>
      <c r="D85" s="15" t="s">
        <v>84</v>
      </c>
      <c r="E85" s="15" t="s">
        <v>84</v>
      </c>
      <c r="F85" s="15">
        <v>14</v>
      </c>
      <c r="G85" s="15">
        <v>8</v>
      </c>
      <c r="H85" s="15" t="s">
        <v>84</v>
      </c>
      <c r="I85" s="15" t="s">
        <v>84</v>
      </c>
      <c r="J85" s="15" t="s">
        <v>84</v>
      </c>
      <c r="K85" s="15" t="s">
        <v>84</v>
      </c>
      <c r="L85" s="15" t="s">
        <v>84</v>
      </c>
      <c r="M85" s="15" t="s">
        <v>84</v>
      </c>
    </row>
    <row r="86" spans="1:13" x14ac:dyDescent="0.25">
      <c r="A86" s="15" t="s">
        <v>85</v>
      </c>
      <c r="B86" s="15">
        <v>640</v>
      </c>
      <c r="C86" s="15">
        <v>312</v>
      </c>
      <c r="D86" s="15">
        <v>25</v>
      </c>
      <c r="E86" s="15">
        <v>12</v>
      </c>
      <c r="F86" s="15">
        <v>627</v>
      </c>
      <c r="G86" s="15">
        <v>309</v>
      </c>
      <c r="H86" s="15">
        <v>25</v>
      </c>
      <c r="I86" s="15">
        <v>12</v>
      </c>
      <c r="J86" s="15">
        <v>13</v>
      </c>
      <c r="K86" s="15">
        <v>3</v>
      </c>
      <c r="L86" s="15" t="s">
        <v>84</v>
      </c>
      <c r="M86" s="15" t="s">
        <v>84</v>
      </c>
    </row>
    <row r="87" spans="1:13" x14ac:dyDescent="0.25">
      <c r="A87" s="15" t="s">
        <v>86</v>
      </c>
      <c r="B87" s="15">
        <v>189</v>
      </c>
      <c r="C87" s="15">
        <v>73</v>
      </c>
      <c r="D87" s="15">
        <v>11</v>
      </c>
      <c r="E87" s="15">
        <v>5</v>
      </c>
      <c r="F87" s="15">
        <v>175</v>
      </c>
      <c r="G87" s="15">
        <v>70</v>
      </c>
      <c r="H87" s="15">
        <v>10</v>
      </c>
      <c r="I87" s="15">
        <v>5</v>
      </c>
      <c r="J87" s="15">
        <v>14</v>
      </c>
      <c r="K87" s="15">
        <v>3</v>
      </c>
      <c r="L87" s="15">
        <v>1</v>
      </c>
      <c r="M87" s="15" t="s">
        <v>84</v>
      </c>
    </row>
    <row r="88" spans="1:13" x14ac:dyDescent="0.25">
      <c r="A88" s="15" t="s">
        <v>87</v>
      </c>
      <c r="B88" s="15">
        <v>54</v>
      </c>
      <c r="C88" s="15">
        <v>20</v>
      </c>
      <c r="D88" s="15">
        <v>9</v>
      </c>
      <c r="E88" s="15">
        <v>6</v>
      </c>
      <c r="F88" s="15">
        <v>44</v>
      </c>
      <c r="G88" s="15">
        <v>18</v>
      </c>
      <c r="H88" s="15">
        <v>8</v>
      </c>
      <c r="I88" s="15">
        <v>5</v>
      </c>
      <c r="J88" s="15">
        <v>10</v>
      </c>
      <c r="K88" s="15">
        <v>2</v>
      </c>
      <c r="L88" s="15">
        <v>1</v>
      </c>
      <c r="M88" s="15">
        <v>1</v>
      </c>
    </row>
    <row r="89" spans="1:13" x14ac:dyDescent="0.25">
      <c r="A89" s="15" t="s">
        <v>153</v>
      </c>
      <c r="B89" s="15">
        <v>21</v>
      </c>
      <c r="C89" s="15">
        <v>5</v>
      </c>
      <c r="D89" s="15">
        <v>4</v>
      </c>
      <c r="E89" s="15">
        <v>2</v>
      </c>
      <c r="F89" s="15">
        <v>16</v>
      </c>
      <c r="G89" s="15">
        <v>5</v>
      </c>
      <c r="H89" s="15">
        <v>4</v>
      </c>
      <c r="I89" s="15">
        <v>2</v>
      </c>
      <c r="J89" s="15">
        <v>5</v>
      </c>
      <c r="K89" s="15" t="s">
        <v>84</v>
      </c>
      <c r="L89" s="15" t="s">
        <v>84</v>
      </c>
      <c r="M89" s="15" t="s">
        <v>84</v>
      </c>
    </row>
    <row r="90" spans="1:13" x14ac:dyDescent="0.25">
      <c r="A90" s="15" t="s">
        <v>154</v>
      </c>
      <c r="B90" s="15">
        <v>8</v>
      </c>
      <c r="C90" s="15">
        <v>4</v>
      </c>
      <c r="D90" s="15">
        <v>1</v>
      </c>
      <c r="E90" s="15">
        <v>1</v>
      </c>
      <c r="F90" s="15">
        <v>8</v>
      </c>
      <c r="G90" s="15">
        <v>4</v>
      </c>
      <c r="H90" s="15">
        <v>1</v>
      </c>
      <c r="I90" s="15">
        <v>1</v>
      </c>
      <c r="J90" s="15" t="s">
        <v>84</v>
      </c>
      <c r="K90" s="15" t="s">
        <v>84</v>
      </c>
      <c r="L90" s="15" t="s">
        <v>84</v>
      </c>
      <c r="M90" s="15" t="s">
        <v>84</v>
      </c>
    </row>
    <row r="91" spans="1:13" ht="15" customHeight="1" x14ac:dyDescent="0.25">
      <c r="A91" s="207" t="s">
        <v>94</v>
      </c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9"/>
    </row>
    <row r="92" spans="1:13" x14ac:dyDescent="0.25">
      <c r="A92" s="207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9"/>
    </row>
    <row r="93" spans="1:13" x14ac:dyDescent="0.25">
      <c r="A93" s="15" t="s">
        <v>83</v>
      </c>
      <c r="B93" s="27">
        <v>831</v>
      </c>
      <c r="C93" s="15">
        <v>380</v>
      </c>
      <c r="D93" s="27">
        <v>32</v>
      </c>
      <c r="E93" s="15">
        <v>10</v>
      </c>
      <c r="F93" s="15">
        <v>831</v>
      </c>
      <c r="G93" s="15">
        <v>380</v>
      </c>
      <c r="H93" s="15">
        <v>32</v>
      </c>
      <c r="I93" s="15">
        <v>10</v>
      </c>
      <c r="J93" s="15" t="s">
        <v>84</v>
      </c>
      <c r="K93" s="15" t="s">
        <v>84</v>
      </c>
      <c r="L93" s="15" t="s">
        <v>84</v>
      </c>
      <c r="M93" s="15" t="s">
        <v>84</v>
      </c>
    </row>
    <row r="94" spans="1:13" x14ac:dyDescent="0.25">
      <c r="A94" s="15" t="s">
        <v>151</v>
      </c>
      <c r="B94" s="15">
        <v>276</v>
      </c>
      <c r="C94" s="15">
        <v>146</v>
      </c>
      <c r="D94" s="15">
        <v>4</v>
      </c>
      <c r="E94" s="15">
        <v>2</v>
      </c>
      <c r="F94" s="15">
        <v>276</v>
      </c>
      <c r="G94" s="15">
        <v>146</v>
      </c>
      <c r="H94" s="15">
        <v>4</v>
      </c>
      <c r="I94" s="15">
        <v>2</v>
      </c>
      <c r="J94" s="15" t="s">
        <v>84</v>
      </c>
      <c r="K94" s="15" t="s">
        <v>84</v>
      </c>
      <c r="L94" s="15" t="s">
        <v>84</v>
      </c>
      <c r="M94" s="15" t="s">
        <v>84</v>
      </c>
    </row>
    <row r="95" spans="1:13" x14ac:dyDescent="0.25">
      <c r="A95" s="15" t="s">
        <v>152</v>
      </c>
      <c r="B95" s="15">
        <v>22</v>
      </c>
      <c r="C95" s="15">
        <v>12</v>
      </c>
      <c r="D95" s="15">
        <v>1</v>
      </c>
      <c r="E95" s="15">
        <v>1</v>
      </c>
      <c r="F95" s="15">
        <v>22</v>
      </c>
      <c r="G95" s="15">
        <v>12</v>
      </c>
      <c r="H95" s="15">
        <v>1</v>
      </c>
      <c r="I95" s="15">
        <v>1</v>
      </c>
      <c r="J95" s="15" t="s">
        <v>84</v>
      </c>
      <c r="K95" s="15" t="s">
        <v>84</v>
      </c>
      <c r="L95" s="15" t="s">
        <v>84</v>
      </c>
      <c r="M95" s="15" t="s">
        <v>84</v>
      </c>
    </row>
    <row r="96" spans="1:13" x14ac:dyDescent="0.25">
      <c r="A96" s="15" t="s">
        <v>85</v>
      </c>
      <c r="B96" s="15">
        <v>370</v>
      </c>
      <c r="C96" s="15">
        <v>161</v>
      </c>
      <c r="D96" s="15">
        <v>13</v>
      </c>
      <c r="E96" s="15">
        <v>3</v>
      </c>
      <c r="F96" s="15">
        <v>370</v>
      </c>
      <c r="G96" s="15">
        <v>161</v>
      </c>
      <c r="H96" s="15">
        <v>13</v>
      </c>
      <c r="I96" s="15">
        <v>3</v>
      </c>
      <c r="J96" s="15" t="s">
        <v>84</v>
      </c>
      <c r="K96" s="15" t="s">
        <v>84</v>
      </c>
      <c r="L96" s="15" t="s">
        <v>84</v>
      </c>
      <c r="M96" s="15" t="s">
        <v>84</v>
      </c>
    </row>
    <row r="97" spans="1:13" x14ac:dyDescent="0.25">
      <c r="A97" s="15" t="s">
        <v>86</v>
      </c>
      <c r="B97" s="15">
        <v>90</v>
      </c>
      <c r="C97" s="15">
        <v>38</v>
      </c>
      <c r="D97" s="15">
        <v>4</v>
      </c>
      <c r="E97" s="15">
        <v>1</v>
      </c>
      <c r="F97" s="15">
        <v>90</v>
      </c>
      <c r="G97" s="15">
        <v>38</v>
      </c>
      <c r="H97" s="15">
        <v>4</v>
      </c>
      <c r="I97" s="15">
        <v>1</v>
      </c>
      <c r="J97" s="15" t="s">
        <v>84</v>
      </c>
      <c r="K97" s="15" t="s">
        <v>84</v>
      </c>
      <c r="L97" s="15" t="s">
        <v>84</v>
      </c>
      <c r="M97" s="15" t="s">
        <v>84</v>
      </c>
    </row>
    <row r="98" spans="1:13" x14ac:dyDescent="0.25">
      <c r="A98" s="15" t="s">
        <v>87</v>
      </c>
      <c r="B98" s="15">
        <v>73</v>
      </c>
      <c r="C98" s="15">
        <v>23</v>
      </c>
      <c r="D98" s="15">
        <v>10</v>
      </c>
      <c r="E98" s="15">
        <v>3</v>
      </c>
      <c r="F98" s="15">
        <v>73</v>
      </c>
      <c r="G98" s="15">
        <v>23</v>
      </c>
      <c r="H98" s="15">
        <v>10</v>
      </c>
      <c r="I98" s="15">
        <v>3</v>
      </c>
      <c r="J98" s="15" t="s">
        <v>84</v>
      </c>
      <c r="K98" s="15" t="s">
        <v>84</v>
      </c>
      <c r="L98" s="15" t="s">
        <v>84</v>
      </c>
      <c r="M98" s="15" t="s">
        <v>84</v>
      </c>
    </row>
    <row r="99" spans="1:13" x14ac:dyDescent="0.25">
      <c r="A99" s="15" t="s">
        <v>153</v>
      </c>
      <c r="B99" s="15">
        <v>25</v>
      </c>
      <c r="C99" s="15">
        <v>9</v>
      </c>
      <c r="D99" s="15">
        <v>2</v>
      </c>
      <c r="E99" s="15" t="s">
        <v>84</v>
      </c>
      <c r="F99" s="15">
        <v>25</v>
      </c>
      <c r="G99" s="15">
        <v>9</v>
      </c>
      <c r="H99" s="15">
        <v>2</v>
      </c>
      <c r="I99" s="15" t="s">
        <v>84</v>
      </c>
      <c r="J99" s="15" t="s">
        <v>84</v>
      </c>
      <c r="K99" s="15" t="s">
        <v>84</v>
      </c>
      <c r="L99" s="15" t="s">
        <v>84</v>
      </c>
      <c r="M99" s="15" t="s">
        <v>84</v>
      </c>
    </row>
    <row r="100" spans="1:13" x14ac:dyDescent="0.25">
      <c r="A100" s="15" t="s">
        <v>154</v>
      </c>
      <c r="B100" s="15">
        <v>8</v>
      </c>
      <c r="C100" s="15">
        <v>5</v>
      </c>
      <c r="D100" s="15" t="s">
        <v>84</v>
      </c>
      <c r="E100" s="15" t="s">
        <v>84</v>
      </c>
      <c r="F100" s="15">
        <v>8</v>
      </c>
      <c r="G100" s="15">
        <v>5</v>
      </c>
      <c r="H100" s="15" t="s">
        <v>84</v>
      </c>
      <c r="I100" s="15" t="s">
        <v>84</v>
      </c>
      <c r="J100" s="15" t="s">
        <v>84</v>
      </c>
      <c r="K100" s="15" t="s">
        <v>84</v>
      </c>
      <c r="L100" s="15" t="s">
        <v>84</v>
      </c>
      <c r="M100" s="15" t="s">
        <v>84</v>
      </c>
    </row>
    <row r="101" spans="1:13" ht="15" customHeight="1" x14ac:dyDescent="0.25">
      <c r="A101" s="207" t="s">
        <v>95</v>
      </c>
      <c r="B101" s="208"/>
      <c r="C101" s="208"/>
      <c r="D101" s="208"/>
      <c r="E101" s="208"/>
      <c r="F101" s="208"/>
      <c r="G101" s="208"/>
      <c r="H101" s="208"/>
      <c r="I101" s="208"/>
      <c r="J101" s="208"/>
      <c r="K101" s="208"/>
      <c r="L101" s="208"/>
      <c r="M101" s="209"/>
    </row>
    <row r="102" spans="1:13" x14ac:dyDescent="0.25">
      <c r="A102" s="207"/>
      <c r="B102" s="208"/>
      <c r="C102" s="208"/>
      <c r="D102" s="208"/>
      <c r="E102" s="208"/>
      <c r="F102" s="208"/>
      <c r="G102" s="208"/>
      <c r="H102" s="208"/>
      <c r="I102" s="208"/>
      <c r="J102" s="208"/>
      <c r="K102" s="208"/>
      <c r="L102" s="208"/>
      <c r="M102" s="209"/>
    </row>
    <row r="103" spans="1:13" x14ac:dyDescent="0.25">
      <c r="A103" s="15" t="s">
        <v>83</v>
      </c>
      <c r="B103" s="27">
        <v>1571</v>
      </c>
      <c r="C103" s="15">
        <v>765</v>
      </c>
      <c r="D103" s="27">
        <v>71</v>
      </c>
      <c r="E103" s="15">
        <v>35</v>
      </c>
      <c r="F103" s="15">
        <v>1433</v>
      </c>
      <c r="G103" s="15">
        <v>697</v>
      </c>
      <c r="H103" s="15">
        <v>64</v>
      </c>
      <c r="I103" s="15">
        <v>31</v>
      </c>
      <c r="J103" s="15">
        <v>138</v>
      </c>
      <c r="K103" s="15">
        <v>68</v>
      </c>
      <c r="L103" s="15">
        <v>7</v>
      </c>
      <c r="M103" s="15">
        <v>4</v>
      </c>
    </row>
    <row r="104" spans="1:13" x14ac:dyDescent="0.25">
      <c r="A104" s="15" t="s">
        <v>151</v>
      </c>
      <c r="B104" s="15">
        <v>543</v>
      </c>
      <c r="C104" s="15">
        <v>314</v>
      </c>
      <c r="D104" s="15">
        <v>5</v>
      </c>
      <c r="E104" s="15">
        <v>3</v>
      </c>
      <c r="F104" s="15">
        <v>457</v>
      </c>
      <c r="G104" s="15">
        <v>262</v>
      </c>
      <c r="H104" s="15">
        <v>3</v>
      </c>
      <c r="I104" s="15">
        <v>1</v>
      </c>
      <c r="J104" s="15">
        <v>86</v>
      </c>
      <c r="K104" s="15">
        <v>52</v>
      </c>
      <c r="L104" s="15">
        <v>2</v>
      </c>
      <c r="M104" s="15">
        <v>2</v>
      </c>
    </row>
    <row r="105" spans="1:13" x14ac:dyDescent="0.25">
      <c r="A105" s="15" t="s">
        <v>152</v>
      </c>
      <c r="B105" s="15">
        <v>41</v>
      </c>
      <c r="C105" s="15">
        <v>22</v>
      </c>
      <c r="D105" s="15">
        <v>2</v>
      </c>
      <c r="E105" s="15">
        <v>1</v>
      </c>
      <c r="F105" s="15">
        <v>29</v>
      </c>
      <c r="G105" s="15">
        <v>15</v>
      </c>
      <c r="H105" s="15">
        <v>2</v>
      </c>
      <c r="I105" s="15">
        <v>1</v>
      </c>
      <c r="J105" s="15">
        <v>12</v>
      </c>
      <c r="K105" s="15">
        <v>7</v>
      </c>
      <c r="L105" s="15" t="s">
        <v>84</v>
      </c>
      <c r="M105" s="15" t="s">
        <v>84</v>
      </c>
    </row>
    <row r="106" spans="1:13" x14ac:dyDescent="0.25">
      <c r="A106" s="15" t="s">
        <v>85</v>
      </c>
      <c r="B106" s="15">
        <v>710</v>
      </c>
      <c r="C106" s="15">
        <v>327</v>
      </c>
      <c r="D106" s="15">
        <v>31</v>
      </c>
      <c r="E106" s="15">
        <v>16</v>
      </c>
      <c r="F106" s="15">
        <v>687</v>
      </c>
      <c r="G106" s="15">
        <v>320</v>
      </c>
      <c r="H106" s="15">
        <v>30</v>
      </c>
      <c r="I106" s="15">
        <v>16</v>
      </c>
      <c r="J106" s="15">
        <v>23</v>
      </c>
      <c r="K106" s="15">
        <v>7</v>
      </c>
      <c r="L106" s="15">
        <v>1</v>
      </c>
      <c r="M106" s="15" t="s">
        <v>84</v>
      </c>
    </row>
    <row r="107" spans="1:13" x14ac:dyDescent="0.25">
      <c r="A107" s="15" t="s">
        <v>86</v>
      </c>
      <c r="B107" s="15">
        <v>206</v>
      </c>
      <c r="C107" s="15">
        <v>80</v>
      </c>
      <c r="D107" s="15">
        <v>15</v>
      </c>
      <c r="E107" s="15">
        <v>8</v>
      </c>
      <c r="F107" s="15">
        <v>194</v>
      </c>
      <c r="G107" s="15">
        <v>78</v>
      </c>
      <c r="H107" s="15">
        <v>13</v>
      </c>
      <c r="I107" s="15">
        <v>6</v>
      </c>
      <c r="J107" s="15">
        <v>12</v>
      </c>
      <c r="K107" s="15">
        <v>2</v>
      </c>
      <c r="L107" s="15">
        <v>2</v>
      </c>
      <c r="M107" s="15">
        <v>2</v>
      </c>
    </row>
    <row r="108" spans="1:13" x14ac:dyDescent="0.25">
      <c r="A108" s="15" t="s">
        <v>87</v>
      </c>
      <c r="B108" s="15">
        <v>71</v>
      </c>
      <c r="C108" s="15">
        <v>22</v>
      </c>
      <c r="D108" s="15">
        <v>18</v>
      </c>
      <c r="E108" s="15">
        <v>7</v>
      </c>
      <c r="F108" s="15">
        <v>66</v>
      </c>
      <c r="G108" s="15">
        <v>22</v>
      </c>
      <c r="H108" s="15">
        <v>16</v>
      </c>
      <c r="I108" s="15">
        <v>7</v>
      </c>
      <c r="J108" s="15">
        <v>5</v>
      </c>
      <c r="K108" s="15" t="s">
        <v>84</v>
      </c>
      <c r="L108" s="15">
        <v>2</v>
      </c>
      <c r="M108" s="15" t="s">
        <v>84</v>
      </c>
    </row>
    <row r="109" spans="1:13" x14ac:dyDescent="0.25">
      <c r="A109" s="15" t="s">
        <v>153</v>
      </c>
      <c r="B109" s="15">
        <v>22</v>
      </c>
      <c r="C109" s="15">
        <v>7</v>
      </c>
      <c r="D109" s="15">
        <v>5</v>
      </c>
      <c r="E109" s="15">
        <v>4</v>
      </c>
      <c r="F109" s="15">
        <v>22</v>
      </c>
      <c r="G109" s="15">
        <v>7</v>
      </c>
      <c r="H109" s="15">
        <v>5</v>
      </c>
      <c r="I109" s="15">
        <v>4</v>
      </c>
      <c r="J109" s="15" t="s">
        <v>84</v>
      </c>
      <c r="K109" s="15" t="s">
        <v>84</v>
      </c>
      <c r="L109" s="15" t="s">
        <v>84</v>
      </c>
      <c r="M109" s="15" t="s">
        <v>84</v>
      </c>
    </row>
    <row r="110" spans="1:13" x14ac:dyDescent="0.25">
      <c r="A110" s="15" t="s">
        <v>154</v>
      </c>
      <c r="B110" s="15">
        <v>5</v>
      </c>
      <c r="C110" s="15">
        <v>1</v>
      </c>
      <c r="D110" s="15" t="s">
        <v>84</v>
      </c>
      <c r="E110" s="15" t="s">
        <v>84</v>
      </c>
      <c r="F110" s="15">
        <v>5</v>
      </c>
      <c r="G110" s="15">
        <v>1</v>
      </c>
      <c r="H110" s="15" t="s">
        <v>84</v>
      </c>
      <c r="I110" s="15" t="s">
        <v>84</v>
      </c>
      <c r="J110" s="15" t="s">
        <v>84</v>
      </c>
      <c r="K110" s="15" t="s">
        <v>84</v>
      </c>
      <c r="L110" s="15" t="s">
        <v>84</v>
      </c>
      <c r="M110" s="15" t="s">
        <v>84</v>
      </c>
    </row>
    <row r="111" spans="1:13" ht="15" customHeight="1" x14ac:dyDescent="0.25">
      <c r="A111" s="207" t="s">
        <v>96</v>
      </c>
      <c r="B111" s="208"/>
      <c r="C111" s="208"/>
      <c r="D111" s="208"/>
      <c r="E111" s="208"/>
      <c r="F111" s="208"/>
      <c r="G111" s="208"/>
      <c r="H111" s="208"/>
      <c r="I111" s="208"/>
      <c r="J111" s="208"/>
      <c r="K111" s="208"/>
      <c r="L111" s="208"/>
      <c r="M111" s="209"/>
    </row>
    <row r="112" spans="1:13" x14ac:dyDescent="0.25">
      <c r="A112" s="207"/>
      <c r="B112" s="208"/>
      <c r="C112" s="208"/>
      <c r="D112" s="208"/>
      <c r="E112" s="208"/>
      <c r="F112" s="208"/>
      <c r="G112" s="208"/>
      <c r="H112" s="208"/>
      <c r="I112" s="208"/>
      <c r="J112" s="208"/>
      <c r="K112" s="208"/>
      <c r="L112" s="208"/>
      <c r="M112" s="209"/>
    </row>
    <row r="113" spans="1:13" x14ac:dyDescent="0.25">
      <c r="A113" s="15" t="s">
        <v>83</v>
      </c>
      <c r="B113" s="27">
        <v>1515</v>
      </c>
      <c r="C113" s="15">
        <v>722</v>
      </c>
      <c r="D113" s="27">
        <v>139</v>
      </c>
      <c r="E113" s="15">
        <v>73</v>
      </c>
      <c r="F113" s="15">
        <v>1515</v>
      </c>
      <c r="G113" s="15">
        <v>722</v>
      </c>
      <c r="H113" s="15">
        <v>139</v>
      </c>
      <c r="I113" s="15">
        <v>73</v>
      </c>
      <c r="J113" s="15" t="s">
        <v>84</v>
      </c>
      <c r="K113" s="15" t="s">
        <v>84</v>
      </c>
      <c r="L113" s="15" t="s">
        <v>84</v>
      </c>
      <c r="M113" s="15" t="s">
        <v>84</v>
      </c>
    </row>
    <row r="114" spans="1:13" x14ac:dyDescent="0.25">
      <c r="A114" s="15" t="s">
        <v>151</v>
      </c>
      <c r="B114" s="15">
        <v>523</v>
      </c>
      <c r="C114" s="15">
        <v>264</v>
      </c>
      <c r="D114" s="15">
        <v>11</v>
      </c>
      <c r="E114" s="15">
        <v>7</v>
      </c>
      <c r="F114" s="15">
        <v>523</v>
      </c>
      <c r="G114" s="15">
        <v>264</v>
      </c>
      <c r="H114" s="15">
        <v>11</v>
      </c>
      <c r="I114" s="15">
        <v>7</v>
      </c>
      <c r="J114" s="15" t="s">
        <v>84</v>
      </c>
      <c r="K114" s="15" t="s">
        <v>84</v>
      </c>
      <c r="L114" s="15" t="s">
        <v>84</v>
      </c>
      <c r="M114" s="15" t="s">
        <v>84</v>
      </c>
    </row>
    <row r="115" spans="1:13" x14ac:dyDescent="0.25">
      <c r="A115" s="15" t="s">
        <v>152</v>
      </c>
      <c r="B115" s="15">
        <v>23</v>
      </c>
      <c r="C115" s="15">
        <v>11</v>
      </c>
      <c r="D115" s="15">
        <v>2</v>
      </c>
      <c r="E115" s="15" t="s">
        <v>84</v>
      </c>
      <c r="F115" s="15">
        <v>23</v>
      </c>
      <c r="G115" s="15">
        <v>11</v>
      </c>
      <c r="H115" s="15">
        <v>2</v>
      </c>
      <c r="I115" s="15" t="s">
        <v>84</v>
      </c>
      <c r="J115" s="15" t="s">
        <v>84</v>
      </c>
      <c r="K115" s="15" t="s">
        <v>84</v>
      </c>
      <c r="L115" s="15" t="s">
        <v>84</v>
      </c>
      <c r="M115" s="15" t="s">
        <v>84</v>
      </c>
    </row>
    <row r="116" spans="1:13" x14ac:dyDescent="0.25">
      <c r="A116" s="15" t="s">
        <v>85</v>
      </c>
      <c r="B116" s="15">
        <v>706</v>
      </c>
      <c r="C116" s="15">
        <v>345</v>
      </c>
      <c r="D116" s="15">
        <v>78</v>
      </c>
      <c r="E116" s="15">
        <v>44</v>
      </c>
      <c r="F116" s="15">
        <v>706</v>
      </c>
      <c r="G116" s="15">
        <v>345</v>
      </c>
      <c r="H116" s="15">
        <v>78</v>
      </c>
      <c r="I116" s="15">
        <v>44</v>
      </c>
      <c r="J116" s="15" t="s">
        <v>84</v>
      </c>
      <c r="K116" s="15" t="s">
        <v>84</v>
      </c>
      <c r="L116" s="15" t="s">
        <v>84</v>
      </c>
      <c r="M116" s="15" t="s">
        <v>84</v>
      </c>
    </row>
    <row r="117" spans="1:13" x14ac:dyDescent="0.25">
      <c r="A117" s="15" t="s">
        <v>86</v>
      </c>
      <c r="B117" s="15">
        <v>192</v>
      </c>
      <c r="C117" s="15">
        <v>76</v>
      </c>
      <c r="D117" s="15">
        <v>26</v>
      </c>
      <c r="E117" s="15">
        <v>10</v>
      </c>
      <c r="F117" s="15">
        <v>192</v>
      </c>
      <c r="G117" s="15">
        <v>76</v>
      </c>
      <c r="H117" s="15">
        <v>26</v>
      </c>
      <c r="I117" s="15">
        <v>10</v>
      </c>
      <c r="J117" s="15" t="s">
        <v>84</v>
      </c>
      <c r="K117" s="15" t="s">
        <v>84</v>
      </c>
      <c r="L117" s="15" t="s">
        <v>84</v>
      </c>
      <c r="M117" s="15" t="s">
        <v>84</v>
      </c>
    </row>
    <row r="118" spans="1:13" x14ac:dyDescent="0.25">
      <c r="A118" s="15" t="s">
        <v>87</v>
      </c>
      <c r="B118" s="15">
        <v>71</v>
      </c>
      <c r="C118" s="15">
        <v>26</v>
      </c>
      <c r="D118" s="15">
        <v>22</v>
      </c>
      <c r="E118" s="15">
        <v>12</v>
      </c>
      <c r="F118" s="15">
        <v>71</v>
      </c>
      <c r="G118" s="15">
        <v>26</v>
      </c>
      <c r="H118" s="15">
        <v>22</v>
      </c>
      <c r="I118" s="15">
        <v>12</v>
      </c>
      <c r="J118" s="15" t="s">
        <v>84</v>
      </c>
      <c r="K118" s="15" t="s">
        <v>84</v>
      </c>
      <c r="L118" s="15" t="s">
        <v>84</v>
      </c>
      <c r="M118" s="15" t="s">
        <v>84</v>
      </c>
    </row>
    <row r="119" spans="1:13" x14ac:dyDescent="0.25">
      <c r="A119" s="15" t="s">
        <v>153</v>
      </c>
      <c r="B119" s="15">
        <v>13</v>
      </c>
      <c r="C119" s="15">
        <v>6</v>
      </c>
      <c r="D119" s="15">
        <v>5</v>
      </c>
      <c r="E119" s="15">
        <v>4</v>
      </c>
      <c r="F119" s="15">
        <v>13</v>
      </c>
      <c r="G119" s="15">
        <v>6</v>
      </c>
      <c r="H119" s="15">
        <v>5</v>
      </c>
      <c r="I119" s="15">
        <v>4</v>
      </c>
      <c r="J119" s="15" t="s">
        <v>84</v>
      </c>
      <c r="K119" s="15" t="s">
        <v>84</v>
      </c>
      <c r="L119" s="15" t="s">
        <v>84</v>
      </c>
      <c r="M119" s="15" t="s">
        <v>84</v>
      </c>
    </row>
    <row r="120" spans="1:13" x14ac:dyDescent="0.25">
      <c r="A120" s="15" t="s">
        <v>154</v>
      </c>
      <c r="B120" s="15">
        <v>25</v>
      </c>
      <c r="C120" s="15">
        <v>8</v>
      </c>
      <c r="D120" s="15">
        <v>8</v>
      </c>
      <c r="E120" s="15">
        <v>3</v>
      </c>
      <c r="F120" s="15">
        <v>25</v>
      </c>
      <c r="G120" s="15">
        <v>8</v>
      </c>
      <c r="H120" s="15">
        <v>8</v>
      </c>
      <c r="I120" s="15">
        <v>3</v>
      </c>
      <c r="J120" s="15" t="s">
        <v>84</v>
      </c>
      <c r="K120" s="15" t="s">
        <v>84</v>
      </c>
      <c r="L120" s="15" t="s">
        <v>84</v>
      </c>
      <c r="M120" s="15" t="s">
        <v>84</v>
      </c>
    </row>
    <row r="121" spans="1:13" ht="15" customHeight="1" x14ac:dyDescent="0.25">
      <c r="A121" s="207" t="s">
        <v>97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9"/>
    </row>
    <row r="122" spans="1:13" x14ac:dyDescent="0.25">
      <c r="A122" s="207"/>
      <c r="B122" s="208"/>
      <c r="C122" s="208"/>
      <c r="D122" s="208"/>
      <c r="E122" s="208"/>
      <c r="F122" s="208"/>
      <c r="G122" s="208"/>
      <c r="H122" s="208"/>
      <c r="I122" s="208"/>
      <c r="J122" s="208"/>
      <c r="K122" s="208"/>
      <c r="L122" s="208"/>
      <c r="M122" s="209"/>
    </row>
    <row r="123" spans="1:13" x14ac:dyDescent="0.25">
      <c r="A123" s="15" t="s">
        <v>83</v>
      </c>
      <c r="B123" s="27">
        <v>1168</v>
      </c>
      <c r="C123" s="15">
        <v>578</v>
      </c>
      <c r="D123" s="27">
        <v>51</v>
      </c>
      <c r="E123" s="15">
        <v>30</v>
      </c>
      <c r="F123" s="15">
        <v>1156</v>
      </c>
      <c r="G123" s="15">
        <v>574</v>
      </c>
      <c r="H123" s="15">
        <v>51</v>
      </c>
      <c r="I123" s="15">
        <v>30</v>
      </c>
      <c r="J123" s="15">
        <v>12</v>
      </c>
      <c r="K123" s="15">
        <v>4</v>
      </c>
      <c r="L123" s="15" t="s">
        <v>84</v>
      </c>
      <c r="M123" s="15" t="s">
        <v>84</v>
      </c>
    </row>
    <row r="124" spans="1:13" x14ac:dyDescent="0.25">
      <c r="A124" s="15" t="s">
        <v>151</v>
      </c>
      <c r="B124" s="15">
        <v>333</v>
      </c>
      <c r="C124" s="15">
        <v>185</v>
      </c>
      <c r="D124" s="15">
        <v>2</v>
      </c>
      <c r="E124" s="15">
        <v>1</v>
      </c>
      <c r="F124" s="15">
        <v>333</v>
      </c>
      <c r="G124" s="15">
        <v>185</v>
      </c>
      <c r="H124" s="15">
        <v>2</v>
      </c>
      <c r="I124" s="15">
        <v>1</v>
      </c>
      <c r="J124" s="15" t="s">
        <v>84</v>
      </c>
      <c r="K124" s="15" t="s">
        <v>84</v>
      </c>
      <c r="L124" s="15" t="s">
        <v>84</v>
      </c>
      <c r="M124" s="15" t="s">
        <v>84</v>
      </c>
    </row>
    <row r="125" spans="1:13" x14ac:dyDescent="0.25">
      <c r="A125" s="15" t="s">
        <v>152</v>
      </c>
      <c r="B125" s="15">
        <v>30</v>
      </c>
      <c r="C125" s="15">
        <v>19</v>
      </c>
      <c r="D125" s="15">
        <v>2</v>
      </c>
      <c r="E125" s="15">
        <v>1</v>
      </c>
      <c r="F125" s="15">
        <v>30</v>
      </c>
      <c r="G125" s="15">
        <v>19</v>
      </c>
      <c r="H125" s="15">
        <v>2</v>
      </c>
      <c r="I125" s="15">
        <v>1</v>
      </c>
      <c r="J125" s="15" t="s">
        <v>84</v>
      </c>
      <c r="K125" s="15" t="s">
        <v>84</v>
      </c>
      <c r="L125" s="15" t="s">
        <v>84</v>
      </c>
      <c r="M125" s="15" t="s">
        <v>84</v>
      </c>
    </row>
    <row r="126" spans="1:13" x14ac:dyDescent="0.25">
      <c r="A126" s="15" t="s">
        <v>85</v>
      </c>
      <c r="B126" s="15">
        <v>604</v>
      </c>
      <c r="C126" s="15">
        <v>300</v>
      </c>
      <c r="D126" s="15">
        <v>27</v>
      </c>
      <c r="E126" s="15">
        <v>16</v>
      </c>
      <c r="F126" s="15">
        <v>603</v>
      </c>
      <c r="G126" s="15">
        <v>300</v>
      </c>
      <c r="H126" s="15">
        <v>27</v>
      </c>
      <c r="I126" s="15">
        <v>16</v>
      </c>
      <c r="J126" s="15">
        <v>1</v>
      </c>
      <c r="K126" s="15" t="s">
        <v>84</v>
      </c>
      <c r="L126" s="15" t="s">
        <v>84</v>
      </c>
      <c r="M126" s="15" t="s">
        <v>84</v>
      </c>
    </row>
    <row r="127" spans="1:13" x14ac:dyDescent="0.25">
      <c r="A127" s="15" t="s">
        <v>86</v>
      </c>
      <c r="B127" s="15">
        <v>136</v>
      </c>
      <c r="C127" s="15">
        <v>53</v>
      </c>
      <c r="D127" s="15">
        <v>13</v>
      </c>
      <c r="E127" s="15">
        <v>8</v>
      </c>
      <c r="F127" s="15">
        <v>128</v>
      </c>
      <c r="G127" s="15">
        <v>50</v>
      </c>
      <c r="H127" s="15">
        <v>13</v>
      </c>
      <c r="I127" s="15">
        <v>8</v>
      </c>
      <c r="J127" s="15">
        <v>8</v>
      </c>
      <c r="K127" s="15">
        <v>3</v>
      </c>
      <c r="L127" s="15" t="s">
        <v>84</v>
      </c>
      <c r="M127" s="15" t="s">
        <v>84</v>
      </c>
    </row>
    <row r="128" spans="1:13" x14ac:dyDescent="0.25">
      <c r="A128" s="15" t="s">
        <v>87</v>
      </c>
      <c r="B128" s="15">
        <v>65</v>
      </c>
      <c r="C128" s="15">
        <v>21</v>
      </c>
      <c r="D128" s="15">
        <v>7</v>
      </c>
      <c r="E128" s="15">
        <v>4</v>
      </c>
      <c r="F128" s="15">
        <v>62</v>
      </c>
      <c r="G128" s="15">
        <v>20</v>
      </c>
      <c r="H128" s="15">
        <v>7</v>
      </c>
      <c r="I128" s="15">
        <v>4</v>
      </c>
      <c r="J128" s="15">
        <v>3</v>
      </c>
      <c r="K128" s="15">
        <v>1</v>
      </c>
      <c r="L128" s="15" t="s">
        <v>84</v>
      </c>
      <c r="M128" s="15" t="s">
        <v>84</v>
      </c>
    </row>
    <row r="129" spans="1:13" x14ac:dyDescent="0.25">
      <c r="A129" s="15" t="s">
        <v>153</v>
      </c>
      <c r="B129" s="15">
        <v>25</v>
      </c>
      <c r="C129" s="15">
        <v>7</v>
      </c>
      <c r="D129" s="15">
        <v>3</v>
      </c>
      <c r="E129" s="15">
        <v>1</v>
      </c>
      <c r="F129" s="15">
        <v>23</v>
      </c>
      <c r="G129" s="15">
        <v>7</v>
      </c>
      <c r="H129" s="15">
        <v>3</v>
      </c>
      <c r="I129" s="15">
        <v>1</v>
      </c>
      <c r="J129" s="15">
        <v>2</v>
      </c>
      <c r="K129" s="15" t="s">
        <v>84</v>
      </c>
      <c r="L129" s="15" t="s">
        <v>84</v>
      </c>
      <c r="M129" s="15" t="s">
        <v>84</v>
      </c>
    </row>
    <row r="130" spans="1:13" ht="15" customHeight="1" x14ac:dyDescent="0.25">
      <c r="A130" s="15" t="s">
        <v>154</v>
      </c>
      <c r="B130" s="15">
        <v>13</v>
      </c>
      <c r="C130" s="15">
        <v>4</v>
      </c>
      <c r="D130" s="15">
        <v>1</v>
      </c>
      <c r="E130" s="15" t="s">
        <v>84</v>
      </c>
      <c r="F130" s="15">
        <v>13</v>
      </c>
      <c r="G130" s="15">
        <v>4</v>
      </c>
      <c r="H130" s="15">
        <v>1</v>
      </c>
      <c r="I130" s="15" t="s">
        <v>84</v>
      </c>
      <c r="J130" s="15" t="s">
        <v>84</v>
      </c>
      <c r="K130" s="15" t="s">
        <v>84</v>
      </c>
      <c r="L130" s="15" t="s">
        <v>84</v>
      </c>
      <c r="M130" s="15" t="s">
        <v>84</v>
      </c>
    </row>
    <row r="131" spans="1:13" ht="15" customHeight="1" x14ac:dyDescent="0.25">
      <c r="A131" s="207" t="s">
        <v>98</v>
      </c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09"/>
    </row>
    <row r="132" spans="1:13" x14ac:dyDescent="0.25">
      <c r="A132" s="207"/>
      <c r="B132" s="208"/>
      <c r="C132" s="208"/>
      <c r="D132" s="208"/>
      <c r="E132" s="208"/>
      <c r="F132" s="208"/>
      <c r="G132" s="208"/>
      <c r="H132" s="208"/>
      <c r="I132" s="208"/>
      <c r="J132" s="208"/>
      <c r="K132" s="208"/>
      <c r="L132" s="208"/>
      <c r="M132" s="209"/>
    </row>
    <row r="133" spans="1:13" x14ac:dyDescent="0.25">
      <c r="A133" s="15" t="s">
        <v>83</v>
      </c>
      <c r="B133" s="27">
        <v>3142</v>
      </c>
      <c r="C133" s="15">
        <v>1512</v>
      </c>
      <c r="D133" s="27">
        <v>222</v>
      </c>
      <c r="E133" s="15">
        <v>111</v>
      </c>
      <c r="F133" s="15">
        <v>2970</v>
      </c>
      <c r="G133" s="15">
        <v>1430</v>
      </c>
      <c r="H133" s="15">
        <v>219</v>
      </c>
      <c r="I133" s="15">
        <v>108</v>
      </c>
      <c r="J133" s="15">
        <v>172</v>
      </c>
      <c r="K133" s="15">
        <v>82</v>
      </c>
      <c r="L133" s="15">
        <v>3</v>
      </c>
      <c r="M133" s="15">
        <v>3</v>
      </c>
    </row>
    <row r="134" spans="1:13" x14ac:dyDescent="0.25">
      <c r="A134" s="15" t="s">
        <v>151</v>
      </c>
      <c r="B134" s="15">
        <v>1395</v>
      </c>
      <c r="C134" s="15">
        <v>743</v>
      </c>
      <c r="D134" s="15">
        <v>33</v>
      </c>
      <c r="E134" s="15">
        <v>21</v>
      </c>
      <c r="F134" s="15">
        <v>1323</v>
      </c>
      <c r="G134" s="15">
        <v>701</v>
      </c>
      <c r="H134" s="15">
        <v>33</v>
      </c>
      <c r="I134" s="15">
        <v>21</v>
      </c>
      <c r="J134" s="15">
        <v>72</v>
      </c>
      <c r="K134" s="15">
        <v>42</v>
      </c>
      <c r="L134" s="15" t="s">
        <v>84</v>
      </c>
      <c r="M134" s="15" t="s">
        <v>84</v>
      </c>
    </row>
    <row r="135" spans="1:13" x14ac:dyDescent="0.25">
      <c r="A135" s="15" t="s">
        <v>152</v>
      </c>
      <c r="B135" s="15">
        <v>33</v>
      </c>
      <c r="C135" s="15">
        <v>17</v>
      </c>
      <c r="D135" s="15">
        <v>3</v>
      </c>
      <c r="E135" s="15" t="s">
        <v>84</v>
      </c>
      <c r="F135" s="15">
        <v>33</v>
      </c>
      <c r="G135" s="15">
        <v>17</v>
      </c>
      <c r="H135" s="15">
        <v>3</v>
      </c>
      <c r="I135" s="15" t="s">
        <v>84</v>
      </c>
      <c r="J135" s="15" t="s">
        <v>84</v>
      </c>
      <c r="K135" s="15" t="s">
        <v>84</v>
      </c>
      <c r="L135" s="15" t="s">
        <v>84</v>
      </c>
      <c r="M135" s="15" t="s">
        <v>84</v>
      </c>
    </row>
    <row r="136" spans="1:13" x14ac:dyDescent="0.25">
      <c r="A136" s="15" t="s">
        <v>85</v>
      </c>
      <c r="B136" s="15">
        <v>1204</v>
      </c>
      <c r="C136" s="15">
        <v>554</v>
      </c>
      <c r="D136" s="15">
        <v>85</v>
      </c>
      <c r="E136" s="15">
        <v>45</v>
      </c>
      <c r="F136" s="15">
        <v>1135</v>
      </c>
      <c r="G136" s="15">
        <v>520</v>
      </c>
      <c r="H136" s="15">
        <v>82</v>
      </c>
      <c r="I136" s="15">
        <v>42</v>
      </c>
      <c r="J136" s="15">
        <v>69</v>
      </c>
      <c r="K136" s="15">
        <v>34</v>
      </c>
      <c r="L136" s="15">
        <v>3</v>
      </c>
      <c r="M136" s="15">
        <v>3</v>
      </c>
    </row>
    <row r="137" spans="1:13" x14ac:dyDescent="0.25">
      <c r="A137" s="15" t="s">
        <v>86</v>
      </c>
      <c r="B137" s="15">
        <v>385</v>
      </c>
      <c r="C137" s="15">
        <v>149</v>
      </c>
      <c r="D137" s="15">
        <v>65</v>
      </c>
      <c r="E137" s="15">
        <v>30</v>
      </c>
      <c r="F137" s="15">
        <v>360</v>
      </c>
      <c r="G137" s="15">
        <v>144</v>
      </c>
      <c r="H137" s="15">
        <v>65</v>
      </c>
      <c r="I137" s="15">
        <v>30</v>
      </c>
      <c r="J137" s="15">
        <v>25</v>
      </c>
      <c r="K137" s="15">
        <v>5</v>
      </c>
      <c r="L137" s="15" t="s">
        <v>84</v>
      </c>
      <c r="M137" s="15" t="s">
        <v>84</v>
      </c>
    </row>
    <row r="138" spans="1:13" x14ac:dyDescent="0.25">
      <c r="A138" s="15" t="s">
        <v>87</v>
      </c>
      <c r="B138" s="15">
        <v>125</v>
      </c>
      <c r="C138" s="15">
        <v>49</v>
      </c>
      <c r="D138" s="15">
        <v>36</v>
      </c>
      <c r="E138" s="15">
        <v>15</v>
      </c>
      <c r="F138" s="15">
        <v>119</v>
      </c>
      <c r="G138" s="15">
        <v>48</v>
      </c>
      <c r="H138" s="15">
        <v>36</v>
      </c>
      <c r="I138" s="15">
        <v>15</v>
      </c>
      <c r="J138" s="15">
        <v>6</v>
      </c>
      <c r="K138" s="15">
        <v>1</v>
      </c>
      <c r="L138" s="15" t="s">
        <v>84</v>
      </c>
      <c r="M138" s="15" t="s">
        <v>84</v>
      </c>
    </row>
    <row r="139" spans="1:13" x14ac:dyDescent="0.25">
      <c r="A139" s="15" t="s">
        <v>153</v>
      </c>
      <c r="B139" s="15">
        <v>27</v>
      </c>
      <c r="C139" s="15">
        <v>11</v>
      </c>
      <c r="D139" s="15">
        <v>6</v>
      </c>
      <c r="E139" s="15">
        <v>2</v>
      </c>
      <c r="F139" s="15">
        <v>25</v>
      </c>
      <c r="G139" s="15">
        <v>10</v>
      </c>
      <c r="H139" s="15">
        <v>6</v>
      </c>
      <c r="I139" s="15">
        <v>2</v>
      </c>
      <c r="J139" s="15">
        <v>2</v>
      </c>
      <c r="K139" s="15">
        <v>1</v>
      </c>
      <c r="L139" s="15" t="s">
        <v>84</v>
      </c>
      <c r="M139" s="15" t="s">
        <v>84</v>
      </c>
    </row>
    <row r="140" spans="1:13" ht="15" customHeight="1" x14ac:dyDescent="0.25">
      <c r="A140" s="15" t="s">
        <v>154</v>
      </c>
      <c r="B140" s="15">
        <v>29</v>
      </c>
      <c r="C140" s="15">
        <v>9</v>
      </c>
      <c r="D140" s="15">
        <v>8</v>
      </c>
      <c r="E140" s="15">
        <v>3</v>
      </c>
      <c r="F140" s="15">
        <v>29</v>
      </c>
      <c r="G140" s="15">
        <v>9</v>
      </c>
      <c r="H140" s="15">
        <v>8</v>
      </c>
      <c r="I140" s="15">
        <v>3</v>
      </c>
      <c r="J140" s="15" t="s">
        <v>84</v>
      </c>
      <c r="K140" s="15" t="s">
        <v>84</v>
      </c>
      <c r="L140" s="15" t="s">
        <v>84</v>
      </c>
      <c r="M140" s="15" t="s">
        <v>84</v>
      </c>
    </row>
    <row r="141" spans="1:13" ht="15" customHeight="1" x14ac:dyDescent="0.25">
      <c r="A141" s="207" t="s">
        <v>99</v>
      </c>
      <c r="B141" s="208"/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M141" s="209"/>
    </row>
    <row r="142" spans="1:13" x14ac:dyDescent="0.25">
      <c r="A142" s="207"/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M142" s="209"/>
    </row>
    <row r="143" spans="1:13" x14ac:dyDescent="0.25">
      <c r="A143" s="15" t="s">
        <v>83</v>
      </c>
      <c r="B143" s="27">
        <v>22250</v>
      </c>
      <c r="C143" s="15">
        <v>10886</v>
      </c>
      <c r="D143" s="27">
        <v>2053</v>
      </c>
      <c r="E143" s="15">
        <v>961</v>
      </c>
      <c r="F143" s="15">
        <v>20604</v>
      </c>
      <c r="G143" s="15">
        <v>10080</v>
      </c>
      <c r="H143" s="15">
        <v>1961</v>
      </c>
      <c r="I143" s="15">
        <v>923</v>
      </c>
      <c r="J143" s="15">
        <v>1646</v>
      </c>
      <c r="K143" s="15">
        <v>806</v>
      </c>
      <c r="L143" s="15">
        <v>92</v>
      </c>
      <c r="M143" s="15">
        <v>38</v>
      </c>
    </row>
    <row r="144" spans="1:13" x14ac:dyDescent="0.25">
      <c r="A144" s="15" t="s">
        <v>151</v>
      </c>
      <c r="B144" s="15">
        <v>8031</v>
      </c>
      <c r="C144" s="15">
        <v>4488</v>
      </c>
      <c r="D144" s="15">
        <v>308</v>
      </c>
      <c r="E144" s="15">
        <v>177</v>
      </c>
      <c r="F144" s="15">
        <v>7250</v>
      </c>
      <c r="G144" s="15">
        <v>4055</v>
      </c>
      <c r="H144" s="15">
        <v>293</v>
      </c>
      <c r="I144" s="15">
        <v>167</v>
      </c>
      <c r="J144" s="15">
        <v>781</v>
      </c>
      <c r="K144" s="15">
        <v>433</v>
      </c>
      <c r="L144" s="15">
        <v>15</v>
      </c>
      <c r="M144" s="15">
        <v>10</v>
      </c>
    </row>
    <row r="145" spans="1:13" x14ac:dyDescent="0.25">
      <c r="A145" s="15" t="s">
        <v>152</v>
      </c>
      <c r="B145" s="15">
        <v>581</v>
      </c>
      <c r="C145" s="15">
        <v>284</v>
      </c>
      <c r="D145" s="15">
        <v>72</v>
      </c>
      <c r="E145" s="15">
        <v>35</v>
      </c>
      <c r="F145" s="15">
        <v>554</v>
      </c>
      <c r="G145" s="15">
        <v>275</v>
      </c>
      <c r="H145" s="15">
        <v>70</v>
      </c>
      <c r="I145" s="15">
        <v>35</v>
      </c>
      <c r="J145" s="15">
        <v>27</v>
      </c>
      <c r="K145" s="15">
        <v>9</v>
      </c>
      <c r="L145" s="15">
        <v>2</v>
      </c>
      <c r="M145" s="15" t="s">
        <v>84</v>
      </c>
    </row>
    <row r="146" spans="1:13" x14ac:dyDescent="0.25">
      <c r="A146" s="15" t="s">
        <v>85</v>
      </c>
      <c r="B146" s="15">
        <v>9744</v>
      </c>
      <c r="C146" s="15">
        <v>4556</v>
      </c>
      <c r="D146" s="15">
        <v>998</v>
      </c>
      <c r="E146" s="15">
        <v>480</v>
      </c>
      <c r="F146" s="15">
        <v>9143</v>
      </c>
      <c r="G146" s="15">
        <v>4271</v>
      </c>
      <c r="H146" s="15">
        <v>936</v>
      </c>
      <c r="I146" s="15">
        <v>455</v>
      </c>
      <c r="J146" s="15">
        <v>601</v>
      </c>
      <c r="K146" s="15">
        <v>285</v>
      </c>
      <c r="L146" s="15">
        <v>62</v>
      </c>
      <c r="M146" s="15">
        <v>25</v>
      </c>
    </row>
    <row r="147" spans="1:13" x14ac:dyDescent="0.25">
      <c r="A147" s="15" t="s">
        <v>86</v>
      </c>
      <c r="B147" s="15">
        <v>2793</v>
      </c>
      <c r="C147" s="15">
        <v>1113</v>
      </c>
      <c r="D147" s="15">
        <v>436</v>
      </c>
      <c r="E147" s="15">
        <v>166</v>
      </c>
      <c r="F147" s="15">
        <v>2654</v>
      </c>
      <c r="G147" s="15">
        <v>1067</v>
      </c>
      <c r="H147" s="15">
        <v>427</v>
      </c>
      <c r="I147" s="15">
        <v>163</v>
      </c>
      <c r="J147" s="15">
        <v>139</v>
      </c>
      <c r="K147" s="15">
        <v>46</v>
      </c>
      <c r="L147" s="15">
        <v>9</v>
      </c>
      <c r="M147" s="15">
        <v>3</v>
      </c>
    </row>
    <row r="148" spans="1:13" x14ac:dyDescent="0.25">
      <c r="A148" s="15" t="s">
        <v>87</v>
      </c>
      <c r="B148" s="15">
        <v>1101</v>
      </c>
      <c r="C148" s="15">
        <v>445</v>
      </c>
      <c r="D148" s="15">
        <v>239</v>
      </c>
      <c r="E148" s="15">
        <v>103</v>
      </c>
      <c r="F148" s="15">
        <v>1003</v>
      </c>
      <c r="G148" s="15">
        <v>412</v>
      </c>
      <c r="H148" s="15">
        <v>235</v>
      </c>
      <c r="I148" s="15">
        <v>103</v>
      </c>
      <c r="J148" s="15">
        <v>98</v>
      </c>
      <c r="K148" s="15">
        <v>33</v>
      </c>
      <c r="L148" s="15">
        <v>4</v>
      </c>
      <c r="M148" s="15" t="s">
        <v>84</v>
      </c>
    </row>
    <row r="149" spans="1:13" x14ac:dyDescent="0.25">
      <c r="A149" s="15" t="s">
        <v>153</v>
      </c>
      <c r="B149" s="15">
        <v>237</v>
      </c>
      <c r="C149" s="15">
        <v>101</v>
      </c>
      <c r="D149" s="15">
        <v>52</v>
      </c>
      <c r="E149" s="15">
        <v>25</v>
      </c>
      <c r="F149" s="15">
        <v>225</v>
      </c>
      <c r="G149" s="15">
        <v>99</v>
      </c>
      <c r="H149" s="15">
        <v>52</v>
      </c>
      <c r="I149" s="15">
        <v>25</v>
      </c>
      <c r="J149" s="15">
        <v>12</v>
      </c>
      <c r="K149" s="15">
        <v>2</v>
      </c>
      <c r="L149" s="15" t="s">
        <v>84</v>
      </c>
      <c r="M149" s="15" t="s">
        <v>84</v>
      </c>
    </row>
    <row r="150" spans="1:13" ht="15" customHeight="1" x14ac:dyDescent="0.25">
      <c r="A150" s="15" t="s">
        <v>154</v>
      </c>
      <c r="B150" s="15">
        <v>172</v>
      </c>
      <c r="C150" s="15">
        <v>58</v>
      </c>
      <c r="D150" s="15">
        <v>25</v>
      </c>
      <c r="E150" s="15">
        <v>10</v>
      </c>
      <c r="F150" s="15">
        <v>141</v>
      </c>
      <c r="G150" s="15">
        <v>46</v>
      </c>
      <c r="H150" s="15">
        <v>24</v>
      </c>
      <c r="I150" s="15">
        <v>10</v>
      </c>
      <c r="J150" s="15">
        <v>31</v>
      </c>
      <c r="K150" s="15">
        <v>12</v>
      </c>
      <c r="L150" s="15">
        <v>1</v>
      </c>
      <c r="M150" s="15" t="s">
        <v>84</v>
      </c>
    </row>
    <row r="151" spans="1:13" ht="15" customHeight="1" x14ac:dyDescent="0.25">
      <c r="A151" s="207" t="s">
        <v>100</v>
      </c>
      <c r="B151" s="208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M151" s="209"/>
    </row>
    <row r="152" spans="1:13" x14ac:dyDescent="0.25">
      <c r="A152" s="207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M152" s="209"/>
    </row>
    <row r="153" spans="1:13" x14ac:dyDescent="0.25">
      <c r="A153" s="15" t="s">
        <v>83</v>
      </c>
      <c r="B153" s="27">
        <v>11277</v>
      </c>
      <c r="C153" s="15">
        <v>5540</v>
      </c>
      <c r="D153" s="27">
        <v>1329</v>
      </c>
      <c r="E153" s="15">
        <v>620</v>
      </c>
      <c r="F153" s="15">
        <v>10630</v>
      </c>
      <c r="G153" s="15">
        <v>5238</v>
      </c>
      <c r="H153" s="15">
        <v>1262</v>
      </c>
      <c r="I153" s="15">
        <v>594</v>
      </c>
      <c r="J153" s="15">
        <v>647</v>
      </c>
      <c r="K153" s="15">
        <v>302</v>
      </c>
      <c r="L153" s="15">
        <v>67</v>
      </c>
      <c r="M153" s="15">
        <v>26</v>
      </c>
    </row>
    <row r="154" spans="1:13" x14ac:dyDescent="0.25">
      <c r="A154" s="15" t="s">
        <v>151</v>
      </c>
      <c r="B154" s="15">
        <v>4501</v>
      </c>
      <c r="C154" s="15">
        <v>2462</v>
      </c>
      <c r="D154" s="15">
        <v>217</v>
      </c>
      <c r="E154" s="15">
        <v>120</v>
      </c>
      <c r="F154" s="15">
        <v>4257</v>
      </c>
      <c r="G154" s="15">
        <v>2328</v>
      </c>
      <c r="H154" s="15">
        <v>214</v>
      </c>
      <c r="I154" s="15">
        <v>118</v>
      </c>
      <c r="J154" s="15">
        <v>244</v>
      </c>
      <c r="K154" s="15">
        <v>134</v>
      </c>
      <c r="L154" s="15">
        <v>3</v>
      </c>
      <c r="M154" s="15">
        <v>2</v>
      </c>
    </row>
    <row r="155" spans="1:13" x14ac:dyDescent="0.25">
      <c r="A155" s="15" t="s">
        <v>152</v>
      </c>
      <c r="B155" s="15">
        <v>356</v>
      </c>
      <c r="C155" s="15">
        <v>175</v>
      </c>
      <c r="D155" s="15">
        <v>53</v>
      </c>
      <c r="E155" s="15">
        <v>26</v>
      </c>
      <c r="F155" s="15">
        <v>349</v>
      </c>
      <c r="G155" s="15">
        <v>174</v>
      </c>
      <c r="H155" s="15">
        <v>52</v>
      </c>
      <c r="I155" s="15">
        <v>26</v>
      </c>
      <c r="J155" s="15">
        <v>7</v>
      </c>
      <c r="K155" s="15">
        <v>1</v>
      </c>
      <c r="L155" s="15">
        <v>1</v>
      </c>
      <c r="M155" s="15" t="s">
        <v>84</v>
      </c>
    </row>
    <row r="156" spans="1:13" x14ac:dyDescent="0.25">
      <c r="A156" s="15" t="s">
        <v>85</v>
      </c>
      <c r="B156" s="15">
        <v>4546</v>
      </c>
      <c r="C156" s="15">
        <v>2153</v>
      </c>
      <c r="D156" s="15">
        <v>645</v>
      </c>
      <c r="E156" s="15">
        <v>310</v>
      </c>
      <c r="F156" s="15">
        <v>4265</v>
      </c>
      <c r="G156" s="15">
        <v>2023</v>
      </c>
      <c r="H156" s="15">
        <v>591</v>
      </c>
      <c r="I156" s="15">
        <v>287</v>
      </c>
      <c r="J156" s="15">
        <v>281</v>
      </c>
      <c r="K156" s="15">
        <v>130</v>
      </c>
      <c r="L156" s="15">
        <v>54</v>
      </c>
      <c r="M156" s="15">
        <v>23</v>
      </c>
    </row>
    <row r="157" spans="1:13" x14ac:dyDescent="0.25">
      <c r="A157" s="15" t="s">
        <v>86</v>
      </c>
      <c r="B157" s="15">
        <v>1338</v>
      </c>
      <c r="C157" s="15">
        <v>538</v>
      </c>
      <c r="D157" s="15">
        <v>275</v>
      </c>
      <c r="E157" s="15">
        <v>104</v>
      </c>
      <c r="F157" s="15">
        <v>1270</v>
      </c>
      <c r="G157" s="15">
        <v>520</v>
      </c>
      <c r="H157" s="15">
        <v>268</v>
      </c>
      <c r="I157" s="15">
        <v>103</v>
      </c>
      <c r="J157" s="15">
        <v>68</v>
      </c>
      <c r="K157" s="15">
        <v>18</v>
      </c>
      <c r="L157" s="15">
        <v>7</v>
      </c>
      <c r="M157" s="15">
        <v>1</v>
      </c>
    </row>
    <row r="158" spans="1:13" x14ac:dyDescent="0.25">
      <c r="A158" s="15" t="s">
        <v>87</v>
      </c>
      <c r="B158" s="15">
        <v>536</v>
      </c>
      <c r="C158" s="15">
        <v>212</v>
      </c>
      <c r="D158" s="15">
        <v>139</v>
      </c>
      <c r="E158" s="15">
        <v>60</v>
      </c>
      <c r="F158" s="15">
        <v>489</v>
      </c>
      <c r="G158" s="15">
        <v>193</v>
      </c>
      <c r="H158" s="15">
        <v>137</v>
      </c>
      <c r="I158" s="15">
        <v>60</v>
      </c>
      <c r="J158" s="15">
        <v>47</v>
      </c>
      <c r="K158" s="15">
        <v>19</v>
      </c>
      <c r="L158" s="15">
        <v>2</v>
      </c>
      <c r="M158" s="15" t="s">
        <v>84</v>
      </c>
    </row>
    <row r="159" spans="1:13" x14ac:dyDescent="0.25">
      <c r="A159" s="15" t="s">
        <v>153</v>
      </c>
      <c r="B159" s="15">
        <v>116</v>
      </c>
      <c r="C159" s="15">
        <v>53</v>
      </c>
      <c r="D159" s="15">
        <v>27</v>
      </c>
      <c r="E159" s="15">
        <v>17</v>
      </c>
      <c r="F159" s="15">
        <v>109</v>
      </c>
      <c r="G159" s="15">
        <v>51</v>
      </c>
      <c r="H159" s="15">
        <v>27</v>
      </c>
      <c r="I159" s="15">
        <v>17</v>
      </c>
      <c r="J159" s="15">
        <v>7</v>
      </c>
      <c r="K159" s="15">
        <v>2</v>
      </c>
      <c r="L159" s="15" t="s">
        <v>84</v>
      </c>
      <c r="M159" s="15" t="s">
        <v>84</v>
      </c>
    </row>
    <row r="160" spans="1:13" ht="15" customHeight="1" x14ac:dyDescent="0.25">
      <c r="A160" s="15" t="s">
        <v>154</v>
      </c>
      <c r="B160" s="15">
        <v>79</v>
      </c>
      <c r="C160" s="15">
        <v>25</v>
      </c>
      <c r="D160" s="15">
        <v>14</v>
      </c>
      <c r="E160" s="15">
        <v>5</v>
      </c>
      <c r="F160" s="15">
        <v>71</v>
      </c>
      <c r="G160" s="15">
        <v>23</v>
      </c>
      <c r="H160" s="15">
        <v>14</v>
      </c>
      <c r="I160" s="15">
        <v>5</v>
      </c>
      <c r="J160" s="15">
        <v>8</v>
      </c>
      <c r="K160" s="15">
        <v>2</v>
      </c>
      <c r="L160" s="15" t="s">
        <v>84</v>
      </c>
      <c r="M160" s="15" t="s">
        <v>84</v>
      </c>
    </row>
    <row r="161" spans="1:13" ht="15" customHeight="1" x14ac:dyDescent="0.25">
      <c r="A161" s="207" t="s">
        <v>101</v>
      </c>
      <c r="B161" s="208"/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M161" s="209"/>
    </row>
    <row r="162" spans="1:13" x14ac:dyDescent="0.25">
      <c r="A162" s="207"/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M162" s="209"/>
    </row>
    <row r="163" spans="1:13" x14ac:dyDescent="0.25">
      <c r="A163" s="15" t="s">
        <v>83</v>
      </c>
      <c r="B163" s="27">
        <v>4740</v>
      </c>
      <c r="C163" s="15">
        <v>2336</v>
      </c>
      <c r="D163" s="27">
        <v>731</v>
      </c>
      <c r="E163" s="15">
        <v>335</v>
      </c>
      <c r="F163" s="15">
        <v>4127</v>
      </c>
      <c r="G163" s="15">
        <v>2046</v>
      </c>
      <c r="H163" s="15">
        <v>664</v>
      </c>
      <c r="I163" s="15">
        <v>309</v>
      </c>
      <c r="J163" s="15">
        <v>613</v>
      </c>
      <c r="K163" s="15">
        <v>290</v>
      </c>
      <c r="L163" s="15">
        <v>67</v>
      </c>
      <c r="M163" s="15">
        <v>26</v>
      </c>
    </row>
    <row r="164" spans="1:13" x14ac:dyDescent="0.25">
      <c r="A164" s="15" t="s">
        <v>151</v>
      </c>
      <c r="B164" s="15">
        <v>2158</v>
      </c>
      <c r="C164" s="15">
        <v>1180</v>
      </c>
      <c r="D164" s="15">
        <v>151</v>
      </c>
      <c r="E164" s="15">
        <v>87</v>
      </c>
      <c r="F164" s="15">
        <v>1914</v>
      </c>
      <c r="G164" s="15">
        <v>1046</v>
      </c>
      <c r="H164" s="15">
        <v>148</v>
      </c>
      <c r="I164" s="15">
        <v>85</v>
      </c>
      <c r="J164" s="15">
        <v>244</v>
      </c>
      <c r="K164" s="15">
        <v>134</v>
      </c>
      <c r="L164" s="15">
        <v>3</v>
      </c>
      <c r="M164" s="15">
        <v>2</v>
      </c>
    </row>
    <row r="165" spans="1:13" x14ac:dyDescent="0.25">
      <c r="A165" s="15" t="s">
        <v>152</v>
      </c>
      <c r="B165" s="15">
        <v>214</v>
      </c>
      <c r="C165" s="15">
        <v>106</v>
      </c>
      <c r="D165" s="15">
        <v>39</v>
      </c>
      <c r="E165" s="15">
        <v>20</v>
      </c>
      <c r="F165" s="15">
        <v>207</v>
      </c>
      <c r="G165" s="15">
        <v>105</v>
      </c>
      <c r="H165" s="15">
        <v>38</v>
      </c>
      <c r="I165" s="15">
        <v>20</v>
      </c>
      <c r="J165" s="15">
        <v>7</v>
      </c>
      <c r="K165" s="15">
        <v>1</v>
      </c>
      <c r="L165" s="15">
        <v>1</v>
      </c>
      <c r="M165" s="15" t="s">
        <v>84</v>
      </c>
    </row>
    <row r="166" spans="1:13" x14ac:dyDescent="0.25">
      <c r="A166" s="15" t="s">
        <v>85</v>
      </c>
      <c r="B166" s="15">
        <v>1541</v>
      </c>
      <c r="C166" s="15">
        <v>713</v>
      </c>
      <c r="D166" s="15">
        <v>320</v>
      </c>
      <c r="E166" s="15">
        <v>152</v>
      </c>
      <c r="F166" s="15">
        <v>1274</v>
      </c>
      <c r="G166" s="15">
        <v>591</v>
      </c>
      <c r="H166" s="15">
        <v>266</v>
      </c>
      <c r="I166" s="15">
        <v>129</v>
      </c>
      <c r="J166" s="15">
        <v>267</v>
      </c>
      <c r="K166" s="15">
        <v>122</v>
      </c>
      <c r="L166" s="15">
        <v>54</v>
      </c>
      <c r="M166" s="15">
        <v>23</v>
      </c>
    </row>
    <row r="167" spans="1:13" x14ac:dyDescent="0.25">
      <c r="A167" s="15" t="s">
        <v>86</v>
      </c>
      <c r="B167" s="15">
        <v>550</v>
      </c>
      <c r="C167" s="15">
        <v>220</v>
      </c>
      <c r="D167" s="15">
        <v>149</v>
      </c>
      <c r="E167" s="15">
        <v>47</v>
      </c>
      <c r="F167" s="15">
        <v>489</v>
      </c>
      <c r="G167" s="15">
        <v>202</v>
      </c>
      <c r="H167" s="15">
        <v>142</v>
      </c>
      <c r="I167" s="15">
        <v>46</v>
      </c>
      <c r="J167" s="15">
        <v>61</v>
      </c>
      <c r="K167" s="15">
        <v>18</v>
      </c>
      <c r="L167" s="15">
        <v>7</v>
      </c>
      <c r="M167" s="15">
        <v>1</v>
      </c>
    </row>
    <row r="168" spans="1:13" x14ac:dyDescent="0.25">
      <c r="A168" s="15" t="s">
        <v>87</v>
      </c>
      <c r="B168" s="15">
        <v>277</v>
      </c>
      <c r="C168" s="15">
        <v>117</v>
      </c>
      <c r="D168" s="15">
        <v>72</v>
      </c>
      <c r="E168" s="15">
        <v>29</v>
      </c>
      <c r="F168" s="15">
        <v>243</v>
      </c>
      <c r="G168" s="15">
        <v>102</v>
      </c>
      <c r="H168" s="15">
        <v>70</v>
      </c>
      <c r="I168" s="15">
        <v>29</v>
      </c>
      <c r="J168" s="15">
        <v>34</v>
      </c>
      <c r="K168" s="15">
        <v>15</v>
      </c>
      <c r="L168" s="15">
        <v>2</v>
      </c>
      <c r="M168" s="15" t="s">
        <v>84</v>
      </c>
    </row>
    <row r="169" spans="1:13" x14ac:dyDescent="0.25">
      <c r="A169" s="15" t="s">
        <v>153</v>
      </c>
      <c r="B169" s="15">
        <v>36</v>
      </c>
      <c r="C169" s="15">
        <v>19</v>
      </c>
      <c r="D169" s="15">
        <v>6</v>
      </c>
      <c r="E169" s="15">
        <v>4</v>
      </c>
      <c r="F169" s="15">
        <v>30</v>
      </c>
      <c r="G169" s="15">
        <v>17</v>
      </c>
      <c r="H169" s="15">
        <v>6</v>
      </c>
      <c r="I169" s="15">
        <v>4</v>
      </c>
      <c r="J169" s="15">
        <v>6</v>
      </c>
      <c r="K169" s="15">
        <v>2</v>
      </c>
      <c r="L169" s="15" t="s">
        <v>84</v>
      </c>
      <c r="M169" s="15" t="s">
        <v>84</v>
      </c>
    </row>
    <row r="170" spans="1:13" ht="15" customHeight="1" x14ac:dyDescent="0.25">
      <c r="A170" s="15" t="s">
        <v>154</v>
      </c>
      <c r="B170" s="15">
        <v>31</v>
      </c>
      <c r="C170" s="15">
        <v>10</v>
      </c>
      <c r="D170" s="15">
        <v>5</v>
      </c>
      <c r="E170" s="15">
        <v>2</v>
      </c>
      <c r="F170" s="15">
        <v>31</v>
      </c>
      <c r="G170" s="15">
        <v>10</v>
      </c>
      <c r="H170" s="15">
        <v>5</v>
      </c>
      <c r="I170" s="15">
        <v>2</v>
      </c>
      <c r="J170" s="15" t="s">
        <v>84</v>
      </c>
      <c r="K170" s="15" t="s">
        <v>84</v>
      </c>
      <c r="L170" s="15" t="s">
        <v>84</v>
      </c>
      <c r="M170" s="15" t="s">
        <v>84</v>
      </c>
    </row>
    <row r="171" spans="1:13" ht="15" customHeight="1" x14ac:dyDescent="0.25">
      <c r="A171" s="207" t="s">
        <v>102</v>
      </c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M171" s="209"/>
    </row>
    <row r="172" spans="1:13" x14ac:dyDescent="0.25">
      <c r="A172" s="207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M172" s="209"/>
    </row>
    <row r="173" spans="1:13" x14ac:dyDescent="0.25">
      <c r="A173" s="15" t="s">
        <v>83</v>
      </c>
      <c r="B173" s="27">
        <v>2414</v>
      </c>
      <c r="C173" s="15">
        <v>1153</v>
      </c>
      <c r="D173" s="27">
        <v>143</v>
      </c>
      <c r="E173" s="15">
        <v>61</v>
      </c>
      <c r="F173" s="15">
        <v>2269</v>
      </c>
      <c r="G173" s="15">
        <v>1082</v>
      </c>
      <c r="H173" s="15">
        <v>141</v>
      </c>
      <c r="I173" s="15">
        <v>61</v>
      </c>
      <c r="J173" s="15">
        <v>145</v>
      </c>
      <c r="K173" s="15">
        <v>71</v>
      </c>
      <c r="L173" s="15">
        <v>2</v>
      </c>
      <c r="M173" s="15" t="s">
        <v>84</v>
      </c>
    </row>
    <row r="174" spans="1:13" x14ac:dyDescent="0.25">
      <c r="A174" s="15" t="s">
        <v>151</v>
      </c>
      <c r="B174" s="15">
        <v>693</v>
      </c>
      <c r="C174" s="15">
        <v>399</v>
      </c>
      <c r="D174" s="15">
        <v>26</v>
      </c>
      <c r="E174" s="15">
        <v>14</v>
      </c>
      <c r="F174" s="15">
        <v>622</v>
      </c>
      <c r="G174" s="15">
        <v>358</v>
      </c>
      <c r="H174" s="15">
        <v>25</v>
      </c>
      <c r="I174" s="15">
        <v>14</v>
      </c>
      <c r="J174" s="15">
        <v>71</v>
      </c>
      <c r="K174" s="15">
        <v>41</v>
      </c>
      <c r="L174" s="15">
        <v>1</v>
      </c>
      <c r="M174" s="15" t="s">
        <v>84</v>
      </c>
    </row>
    <row r="175" spans="1:13" x14ac:dyDescent="0.25">
      <c r="A175" s="15" t="s">
        <v>152</v>
      </c>
      <c r="B175" s="15">
        <v>63</v>
      </c>
      <c r="C175" s="15">
        <v>31</v>
      </c>
      <c r="D175" s="15">
        <v>4</v>
      </c>
      <c r="E175" s="15">
        <v>1</v>
      </c>
      <c r="F175" s="15">
        <v>59</v>
      </c>
      <c r="G175" s="15">
        <v>29</v>
      </c>
      <c r="H175" s="15">
        <v>4</v>
      </c>
      <c r="I175" s="15">
        <v>1</v>
      </c>
      <c r="J175" s="15">
        <v>4</v>
      </c>
      <c r="K175" s="15">
        <v>2</v>
      </c>
      <c r="L175" s="15" t="s">
        <v>84</v>
      </c>
      <c r="M175" s="15" t="s">
        <v>84</v>
      </c>
    </row>
    <row r="176" spans="1:13" x14ac:dyDescent="0.25">
      <c r="A176" s="15" t="s">
        <v>85</v>
      </c>
      <c r="B176" s="15">
        <v>1322</v>
      </c>
      <c r="C176" s="15">
        <v>607</v>
      </c>
      <c r="D176" s="15">
        <v>73</v>
      </c>
      <c r="E176" s="15">
        <v>34</v>
      </c>
      <c r="F176" s="15">
        <v>1277</v>
      </c>
      <c r="G176" s="15">
        <v>586</v>
      </c>
      <c r="H176" s="15">
        <v>73</v>
      </c>
      <c r="I176" s="15">
        <v>34</v>
      </c>
      <c r="J176" s="15">
        <v>45</v>
      </c>
      <c r="K176" s="15">
        <v>21</v>
      </c>
      <c r="L176" s="15" t="s">
        <v>84</v>
      </c>
      <c r="M176" s="15" t="s">
        <v>84</v>
      </c>
    </row>
    <row r="177" spans="1:13" x14ac:dyDescent="0.25">
      <c r="A177" s="15" t="s">
        <v>86</v>
      </c>
      <c r="B177" s="15">
        <v>265</v>
      </c>
      <c r="C177" s="15">
        <v>92</v>
      </c>
      <c r="D177" s="15">
        <v>29</v>
      </c>
      <c r="E177" s="15">
        <v>10</v>
      </c>
      <c r="F177" s="15">
        <v>251</v>
      </c>
      <c r="G177" s="15">
        <v>87</v>
      </c>
      <c r="H177" s="15">
        <v>29</v>
      </c>
      <c r="I177" s="15">
        <v>10</v>
      </c>
      <c r="J177" s="15">
        <v>14</v>
      </c>
      <c r="K177" s="15">
        <v>5</v>
      </c>
      <c r="L177" s="15" t="s">
        <v>84</v>
      </c>
      <c r="M177" s="15" t="s">
        <v>84</v>
      </c>
    </row>
    <row r="178" spans="1:13" x14ac:dyDescent="0.25">
      <c r="A178" s="15" t="s">
        <v>87</v>
      </c>
      <c r="B178" s="15">
        <v>71</v>
      </c>
      <c r="C178" s="15">
        <v>24</v>
      </c>
      <c r="D178" s="15">
        <v>11</v>
      </c>
      <c r="E178" s="15">
        <v>2</v>
      </c>
      <c r="F178" s="15">
        <v>60</v>
      </c>
      <c r="G178" s="15">
        <v>22</v>
      </c>
      <c r="H178" s="15">
        <v>10</v>
      </c>
      <c r="I178" s="15">
        <v>2</v>
      </c>
      <c r="J178" s="15">
        <v>11</v>
      </c>
      <c r="K178" s="15">
        <v>2</v>
      </c>
      <c r="L178" s="15">
        <v>1</v>
      </c>
      <c r="M178" s="15" t="s">
        <v>84</v>
      </c>
    </row>
    <row r="179" spans="1:13" ht="15" customHeight="1" x14ac:dyDescent="0.25">
      <c r="A179" s="15" t="s">
        <v>153</v>
      </c>
      <c r="B179" s="15">
        <v>33</v>
      </c>
      <c r="C179" s="15">
        <v>9</v>
      </c>
      <c r="D179" s="15">
        <v>8</v>
      </c>
      <c r="E179" s="15">
        <v>2</v>
      </c>
      <c r="F179" s="15">
        <v>30</v>
      </c>
      <c r="G179" s="15">
        <v>9</v>
      </c>
      <c r="H179" s="15">
        <v>8</v>
      </c>
      <c r="I179" s="15">
        <v>2</v>
      </c>
      <c r="J179" s="15">
        <v>3</v>
      </c>
      <c r="K179" s="15" t="s">
        <v>84</v>
      </c>
      <c r="L179" s="15" t="s">
        <v>84</v>
      </c>
      <c r="M179" s="15" t="s">
        <v>84</v>
      </c>
    </row>
    <row r="180" spans="1:13" ht="15" customHeight="1" x14ac:dyDescent="0.25">
      <c r="A180" s="207" t="s">
        <v>103</v>
      </c>
      <c r="B180" s="208"/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M180" s="209"/>
    </row>
    <row r="181" spans="1:13" x14ac:dyDescent="0.25">
      <c r="A181" s="207"/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M181" s="209"/>
    </row>
    <row r="182" spans="1:13" x14ac:dyDescent="0.25">
      <c r="A182" s="15" t="s">
        <v>83</v>
      </c>
      <c r="B182" s="27">
        <v>1615</v>
      </c>
      <c r="C182" s="15">
        <v>796</v>
      </c>
      <c r="D182" s="27">
        <v>175</v>
      </c>
      <c r="E182" s="15">
        <v>80</v>
      </c>
      <c r="F182" s="15">
        <v>1615</v>
      </c>
      <c r="G182" s="15">
        <v>796</v>
      </c>
      <c r="H182" s="15">
        <v>175</v>
      </c>
      <c r="I182" s="15">
        <v>80</v>
      </c>
      <c r="J182" s="15" t="s">
        <v>84</v>
      </c>
      <c r="K182" s="15" t="s">
        <v>84</v>
      </c>
      <c r="L182" s="15" t="s">
        <v>84</v>
      </c>
      <c r="M182" s="15" t="s">
        <v>84</v>
      </c>
    </row>
    <row r="183" spans="1:13" x14ac:dyDescent="0.25">
      <c r="A183" s="15" t="s">
        <v>151</v>
      </c>
      <c r="B183" s="15">
        <v>504</v>
      </c>
      <c r="C183" s="15">
        <v>310</v>
      </c>
      <c r="D183" s="15">
        <v>24</v>
      </c>
      <c r="E183" s="15">
        <v>13</v>
      </c>
      <c r="F183" s="15">
        <v>504</v>
      </c>
      <c r="G183" s="15">
        <v>310</v>
      </c>
      <c r="H183" s="15">
        <v>24</v>
      </c>
      <c r="I183" s="15">
        <v>13</v>
      </c>
      <c r="J183" s="15" t="s">
        <v>84</v>
      </c>
      <c r="K183" s="15" t="s">
        <v>84</v>
      </c>
      <c r="L183" s="15" t="s">
        <v>84</v>
      </c>
      <c r="M183" s="15" t="s">
        <v>84</v>
      </c>
    </row>
    <row r="184" spans="1:13" x14ac:dyDescent="0.25">
      <c r="A184" s="15" t="s">
        <v>152</v>
      </c>
      <c r="B184" s="15">
        <v>28</v>
      </c>
      <c r="C184" s="15">
        <v>13</v>
      </c>
      <c r="D184" s="15">
        <v>5</v>
      </c>
      <c r="E184" s="15">
        <v>2</v>
      </c>
      <c r="F184" s="15">
        <v>28</v>
      </c>
      <c r="G184" s="15">
        <v>13</v>
      </c>
      <c r="H184" s="15">
        <v>5</v>
      </c>
      <c r="I184" s="15">
        <v>2</v>
      </c>
      <c r="J184" s="15" t="s">
        <v>84</v>
      </c>
      <c r="K184" s="15" t="s">
        <v>84</v>
      </c>
      <c r="L184" s="15" t="s">
        <v>84</v>
      </c>
      <c r="M184" s="15" t="s">
        <v>84</v>
      </c>
    </row>
    <row r="185" spans="1:13" x14ac:dyDescent="0.25">
      <c r="A185" s="15" t="s">
        <v>85</v>
      </c>
      <c r="B185" s="15">
        <v>766</v>
      </c>
      <c r="C185" s="15">
        <v>333</v>
      </c>
      <c r="D185" s="15">
        <v>92</v>
      </c>
      <c r="E185" s="15">
        <v>40</v>
      </c>
      <c r="F185" s="15">
        <v>766</v>
      </c>
      <c r="G185" s="15">
        <v>333</v>
      </c>
      <c r="H185" s="15">
        <v>92</v>
      </c>
      <c r="I185" s="15">
        <v>40</v>
      </c>
      <c r="J185" s="15" t="s">
        <v>84</v>
      </c>
      <c r="K185" s="15" t="s">
        <v>84</v>
      </c>
      <c r="L185" s="15" t="s">
        <v>84</v>
      </c>
      <c r="M185" s="15" t="s">
        <v>84</v>
      </c>
    </row>
    <row r="186" spans="1:13" x14ac:dyDescent="0.25">
      <c r="A186" s="15" t="s">
        <v>86</v>
      </c>
      <c r="B186" s="15">
        <v>229</v>
      </c>
      <c r="C186" s="15">
        <v>106</v>
      </c>
      <c r="D186" s="15">
        <v>33</v>
      </c>
      <c r="E186" s="15">
        <v>14</v>
      </c>
      <c r="F186" s="15">
        <v>229</v>
      </c>
      <c r="G186" s="15">
        <v>106</v>
      </c>
      <c r="H186" s="15">
        <v>33</v>
      </c>
      <c r="I186" s="15">
        <v>14</v>
      </c>
      <c r="J186" s="15" t="s">
        <v>84</v>
      </c>
      <c r="K186" s="15" t="s">
        <v>84</v>
      </c>
      <c r="L186" s="15" t="s">
        <v>84</v>
      </c>
      <c r="M186" s="15" t="s">
        <v>84</v>
      </c>
    </row>
    <row r="187" spans="1:13" x14ac:dyDescent="0.25">
      <c r="A187" s="15" t="s">
        <v>87</v>
      </c>
      <c r="B187" s="15">
        <v>88</v>
      </c>
      <c r="C187" s="15">
        <v>34</v>
      </c>
      <c r="D187" s="15">
        <v>21</v>
      </c>
      <c r="E187" s="15">
        <v>11</v>
      </c>
      <c r="F187" s="15">
        <v>88</v>
      </c>
      <c r="G187" s="15">
        <v>34</v>
      </c>
      <c r="H187" s="15">
        <v>21</v>
      </c>
      <c r="I187" s="15">
        <v>11</v>
      </c>
      <c r="J187" s="15" t="s">
        <v>84</v>
      </c>
      <c r="K187" s="15" t="s">
        <v>84</v>
      </c>
      <c r="L187" s="15" t="s">
        <v>84</v>
      </c>
      <c r="M187" s="15" t="s">
        <v>84</v>
      </c>
    </row>
    <row r="188" spans="1:13" x14ac:dyDescent="0.25">
      <c r="A188" s="15" t="s">
        <v>153</v>
      </c>
      <c r="B188" s="15">
        <v>22</v>
      </c>
      <c r="C188" s="15">
        <v>10</v>
      </c>
      <c r="D188" s="15">
        <v>4</v>
      </c>
      <c r="E188" s="15">
        <v>1</v>
      </c>
      <c r="F188" s="15">
        <v>22</v>
      </c>
      <c r="G188" s="15">
        <v>10</v>
      </c>
      <c r="H188" s="15">
        <v>4</v>
      </c>
      <c r="I188" s="15">
        <v>1</v>
      </c>
      <c r="J188" s="15" t="s">
        <v>84</v>
      </c>
      <c r="K188" s="15" t="s">
        <v>84</v>
      </c>
      <c r="L188" s="15" t="s">
        <v>84</v>
      </c>
      <c r="M188" s="15" t="s">
        <v>84</v>
      </c>
    </row>
    <row r="189" spans="1:13" ht="15" customHeight="1" x14ac:dyDescent="0.25">
      <c r="A189" s="15" t="s">
        <v>154</v>
      </c>
      <c r="B189" s="15">
        <v>16</v>
      </c>
      <c r="C189" s="15">
        <v>1</v>
      </c>
      <c r="D189" s="15" t="s">
        <v>84</v>
      </c>
      <c r="E189" s="15" t="s">
        <v>84</v>
      </c>
      <c r="F189" s="15">
        <v>16</v>
      </c>
      <c r="G189" s="15">
        <v>1</v>
      </c>
      <c r="H189" s="15" t="s">
        <v>84</v>
      </c>
      <c r="I189" s="15" t="s">
        <v>84</v>
      </c>
      <c r="J189" s="15" t="s">
        <v>84</v>
      </c>
      <c r="K189" s="15" t="s">
        <v>84</v>
      </c>
      <c r="L189" s="15" t="s">
        <v>84</v>
      </c>
      <c r="M189" s="15" t="s">
        <v>84</v>
      </c>
    </row>
    <row r="190" spans="1:13" ht="15" customHeight="1" x14ac:dyDescent="0.25">
      <c r="A190" s="207" t="s">
        <v>104</v>
      </c>
      <c r="B190" s="208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209"/>
    </row>
    <row r="191" spans="1:13" x14ac:dyDescent="0.25">
      <c r="A191" s="207"/>
      <c r="B191" s="208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209"/>
    </row>
    <row r="192" spans="1:13" x14ac:dyDescent="0.25">
      <c r="A192" s="15" t="s">
        <v>83</v>
      </c>
      <c r="B192" s="27">
        <v>3133</v>
      </c>
      <c r="C192" s="15">
        <v>1530</v>
      </c>
      <c r="D192" s="27">
        <v>155</v>
      </c>
      <c r="E192" s="15">
        <v>75</v>
      </c>
      <c r="F192" s="15">
        <v>2331</v>
      </c>
      <c r="G192" s="15">
        <v>1121</v>
      </c>
      <c r="H192" s="15">
        <v>144</v>
      </c>
      <c r="I192" s="15">
        <v>71</v>
      </c>
      <c r="J192" s="15">
        <v>802</v>
      </c>
      <c r="K192" s="15">
        <v>409</v>
      </c>
      <c r="L192" s="15">
        <v>11</v>
      </c>
      <c r="M192" s="15">
        <v>4</v>
      </c>
    </row>
    <row r="193" spans="1:13" x14ac:dyDescent="0.25">
      <c r="A193" s="15" t="s">
        <v>151</v>
      </c>
      <c r="B193" s="15">
        <v>1107</v>
      </c>
      <c r="C193" s="15">
        <v>592</v>
      </c>
      <c r="D193" s="15">
        <v>9</v>
      </c>
      <c r="E193" s="15">
        <v>3</v>
      </c>
      <c r="F193" s="15">
        <v>684</v>
      </c>
      <c r="G193" s="15">
        <v>356</v>
      </c>
      <c r="H193" s="15">
        <v>9</v>
      </c>
      <c r="I193" s="15">
        <v>3</v>
      </c>
      <c r="J193" s="15">
        <v>423</v>
      </c>
      <c r="K193" s="15">
        <v>236</v>
      </c>
      <c r="L193" s="15" t="s">
        <v>84</v>
      </c>
      <c r="M193" s="15" t="s">
        <v>84</v>
      </c>
    </row>
    <row r="194" spans="1:13" x14ac:dyDescent="0.25">
      <c r="A194" s="15" t="s">
        <v>152</v>
      </c>
      <c r="B194" s="15">
        <v>35</v>
      </c>
      <c r="C194" s="15">
        <v>15</v>
      </c>
      <c r="D194" s="15">
        <v>2</v>
      </c>
      <c r="E194" s="15">
        <v>1</v>
      </c>
      <c r="F194" s="15">
        <v>22</v>
      </c>
      <c r="G194" s="15">
        <v>10</v>
      </c>
      <c r="H194" s="15">
        <v>2</v>
      </c>
      <c r="I194" s="15">
        <v>1</v>
      </c>
      <c r="J194" s="15">
        <v>13</v>
      </c>
      <c r="K194" s="15">
        <v>5</v>
      </c>
      <c r="L194" s="15" t="s">
        <v>84</v>
      </c>
      <c r="M194" s="15" t="s">
        <v>84</v>
      </c>
    </row>
    <row r="195" spans="1:13" x14ac:dyDescent="0.25">
      <c r="A195" s="15" t="s">
        <v>85</v>
      </c>
      <c r="B195" s="15">
        <v>1377</v>
      </c>
      <c r="C195" s="15">
        <v>660</v>
      </c>
      <c r="D195" s="15">
        <v>83</v>
      </c>
      <c r="E195" s="15">
        <v>42</v>
      </c>
      <c r="F195" s="15">
        <v>1103</v>
      </c>
      <c r="G195" s="15">
        <v>527</v>
      </c>
      <c r="H195" s="15">
        <v>75</v>
      </c>
      <c r="I195" s="15">
        <v>40</v>
      </c>
      <c r="J195" s="15">
        <v>274</v>
      </c>
      <c r="K195" s="15">
        <v>133</v>
      </c>
      <c r="L195" s="15">
        <v>8</v>
      </c>
      <c r="M195" s="15">
        <v>2</v>
      </c>
    </row>
    <row r="196" spans="1:13" x14ac:dyDescent="0.25">
      <c r="A196" s="15" t="s">
        <v>86</v>
      </c>
      <c r="B196" s="15">
        <v>398</v>
      </c>
      <c r="C196" s="15">
        <v>166</v>
      </c>
      <c r="D196" s="15">
        <v>36</v>
      </c>
      <c r="E196" s="15">
        <v>19</v>
      </c>
      <c r="F196" s="15">
        <v>344</v>
      </c>
      <c r="G196" s="15">
        <v>143</v>
      </c>
      <c r="H196" s="15">
        <v>34</v>
      </c>
      <c r="I196" s="15">
        <v>17</v>
      </c>
      <c r="J196" s="15">
        <v>54</v>
      </c>
      <c r="K196" s="15">
        <v>23</v>
      </c>
      <c r="L196" s="15">
        <v>2</v>
      </c>
      <c r="M196" s="15">
        <v>2</v>
      </c>
    </row>
    <row r="197" spans="1:13" x14ac:dyDescent="0.25">
      <c r="A197" s="15" t="s">
        <v>87</v>
      </c>
      <c r="B197" s="15">
        <v>216</v>
      </c>
      <c r="C197" s="15">
        <v>97</v>
      </c>
      <c r="D197" s="15">
        <v>25</v>
      </c>
      <c r="E197" s="15">
        <v>10</v>
      </c>
      <c r="F197" s="15">
        <v>178</v>
      </c>
      <c r="G197" s="15">
        <v>85</v>
      </c>
      <c r="H197" s="15">
        <v>24</v>
      </c>
      <c r="I197" s="15">
        <v>10</v>
      </c>
      <c r="J197" s="15">
        <v>38</v>
      </c>
      <c r="K197" s="15">
        <v>12</v>
      </c>
      <c r="L197" s="15">
        <v>1</v>
      </c>
      <c r="M197" s="15" t="s">
        <v>84</v>
      </c>
    </row>
    <row r="198" spans="1:13" x14ac:dyDescent="0.25">
      <c r="A198" s="15" t="s">
        <v>153</v>
      </c>
      <c r="B198" s="15">
        <v>15</v>
      </c>
      <c r="C198" s="15">
        <v>7</v>
      </c>
      <c r="D198" s="15">
        <v>3</v>
      </c>
      <c r="E198" s="15">
        <v>1</v>
      </c>
      <c r="F198" s="15">
        <v>14</v>
      </c>
      <c r="G198" s="15">
        <v>7</v>
      </c>
      <c r="H198" s="15">
        <v>3</v>
      </c>
      <c r="I198" s="15">
        <v>1</v>
      </c>
      <c r="J198" s="15">
        <v>1</v>
      </c>
      <c r="K198" s="15" t="s">
        <v>84</v>
      </c>
      <c r="L198" s="15" t="s">
        <v>84</v>
      </c>
      <c r="M198" s="15" t="s">
        <v>84</v>
      </c>
    </row>
    <row r="199" spans="1:13" ht="15" customHeight="1" x14ac:dyDescent="0.25">
      <c r="A199" s="15" t="s">
        <v>154</v>
      </c>
      <c r="B199" s="15">
        <v>54</v>
      </c>
      <c r="C199" s="15">
        <v>22</v>
      </c>
      <c r="D199" s="15">
        <v>7</v>
      </c>
      <c r="E199" s="15">
        <v>3</v>
      </c>
      <c r="F199" s="15">
        <v>31</v>
      </c>
      <c r="G199" s="15">
        <v>12</v>
      </c>
      <c r="H199" s="15">
        <v>6</v>
      </c>
      <c r="I199" s="15">
        <v>3</v>
      </c>
      <c r="J199" s="15">
        <v>23</v>
      </c>
      <c r="K199" s="15">
        <v>10</v>
      </c>
      <c r="L199" s="15">
        <v>1</v>
      </c>
      <c r="M199" s="15" t="s">
        <v>84</v>
      </c>
    </row>
    <row r="200" spans="1:13" ht="15" customHeight="1" x14ac:dyDescent="0.25">
      <c r="A200" s="207" t="s">
        <v>105</v>
      </c>
      <c r="B200" s="208"/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M200" s="209"/>
    </row>
    <row r="201" spans="1:13" x14ac:dyDescent="0.25">
      <c r="A201" s="207"/>
      <c r="B201" s="208"/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M201" s="209"/>
    </row>
    <row r="202" spans="1:13" x14ac:dyDescent="0.25">
      <c r="A202" s="15" t="s">
        <v>83</v>
      </c>
      <c r="B202" s="27">
        <v>668</v>
      </c>
      <c r="C202" s="15">
        <v>320</v>
      </c>
      <c r="D202" s="27">
        <v>58</v>
      </c>
      <c r="E202" s="15">
        <v>32</v>
      </c>
      <c r="F202" s="15">
        <v>621</v>
      </c>
      <c r="G202" s="15">
        <v>296</v>
      </c>
      <c r="H202" s="15">
        <v>46</v>
      </c>
      <c r="I202" s="15">
        <v>24</v>
      </c>
      <c r="J202" s="15">
        <v>47</v>
      </c>
      <c r="K202" s="15">
        <v>24</v>
      </c>
      <c r="L202" s="15">
        <v>12</v>
      </c>
      <c r="M202" s="15">
        <v>8</v>
      </c>
    </row>
    <row r="203" spans="1:13" x14ac:dyDescent="0.25">
      <c r="A203" s="15" t="s">
        <v>151</v>
      </c>
      <c r="B203" s="15">
        <v>160</v>
      </c>
      <c r="C203" s="15">
        <v>88</v>
      </c>
      <c r="D203" s="15">
        <v>16</v>
      </c>
      <c r="E203" s="15">
        <v>12</v>
      </c>
      <c r="F203" s="15">
        <v>117</v>
      </c>
      <c r="G203" s="15">
        <v>66</v>
      </c>
      <c r="H203" s="15">
        <v>5</v>
      </c>
      <c r="I203" s="15">
        <v>4</v>
      </c>
      <c r="J203" s="15">
        <v>43</v>
      </c>
      <c r="K203" s="15">
        <v>22</v>
      </c>
      <c r="L203" s="15">
        <v>11</v>
      </c>
      <c r="M203" s="15">
        <v>8</v>
      </c>
    </row>
    <row r="204" spans="1:13" x14ac:dyDescent="0.25">
      <c r="A204" s="15" t="s">
        <v>152</v>
      </c>
      <c r="B204" s="15">
        <v>5</v>
      </c>
      <c r="C204" s="15">
        <v>3</v>
      </c>
      <c r="D204" s="15">
        <v>1</v>
      </c>
      <c r="E204" s="15" t="s">
        <v>84</v>
      </c>
      <c r="F204" s="15">
        <v>2</v>
      </c>
      <c r="G204" s="15">
        <v>2</v>
      </c>
      <c r="H204" s="15" t="s">
        <v>84</v>
      </c>
      <c r="I204" s="15" t="s">
        <v>84</v>
      </c>
      <c r="J204" s="15">
        <v>3</v>
      </c>
      <c r="K204" s="15">
        <v>1</v>
      </c>
      <c r="L204" s="15">
        <v>1</v>
      </c>
      <c r="M204" s="15" t="s">
        <v>84</v>
      </c>
    </row>
    <row r="205" spans="1:13" x14ac:dyDescent="0.25">
      <c r="A205" s="15" t="s">
        <v>85</v>
      </c>
      <c r="B205" s="15">
        <v>325</v>
      </c>
      <c r="C205" s="15">
        <v>158</v>
      </c>
      <c r="D205" s="15">
        <v>22</v>
      </c>
      <c r="E205" s="15">
        <v>13</v>
      </c>
      <c r="F205" s="15">
        <v>324</v>
      </c>
      <c r="G205" s="15">
        <v>157</v>
      </c>
      <c r="H205" s="15">
        <v>22</v>
      </c>
      <c r="I205" s="15">
        <v>13</v>
      </c>
      <c r="J205" s="15">
        <v>1</v>
      </c>
      <c r="K205" s="15">
        <v>1</v>
      </c>
      <c r="L205" s="15" t="s">
        <v>84</v>
      </c>
      <c r="M205" s="15" t="s">
        <v>84</v>
      </c>
    </row>
    <row r="206" spans="1:13" x14ac:dyDescent="0.25">
      <c r="A206" s="15" t="s">
        <v>86</v>
      </c>
      <c r="B206" s="15">
        <v>121</v>
      </c>
      <c r="C206" s="15">
        <v>45</v>
      </c>
      <c r="D206" s="15">
        <v>13</v>
      </c>
      <c r="E206" s="15">
        <v>5</v>
      </c>
      <c r="F206" s="15">
        <v>121</v>
      </c>
      <c r="G206" s="15">
        <v>45</v>
      </c>
      <c r="H206" s="15">
        <v>13</v>
      </c>
      <c r="I206" s="15">
        <v>5</v>
      </c>
      <c r="J206" s="15" t="s">
        <v>84</v>
      </c>
      <c r="K206" s="15" t="s">
        <v>84</v>
      </c>
      <c r="L206" s="15" t="s">
        <v>84</v>
      </c>
      <c r="M206" s="15" t="s">
        <v>84</v>
      </c>
    </row>
    <row r="207" spans="1:13" x14ac:dyDescent="0.25">
      <c r="A207" s="15" t="s">
        <v>87</v>
      </c>
      <c r="B207" s="15">
        <v>57</v>
      </c>
      <c r="C207" s="15">
        <v>26</v>
      </c>
      <c r="D207" s="15">
        <v>6</v>
      </c>
      <c r="E207" s="15">
        <v>2</v>
      </c>
      <c r="F207" s="15">
        <v>57</v>
      </c>
      <c r="G207" s="15">
        <v>26</v>
      </c>
      <c r="H207" s="15">
        <v>6</v>
      </c>
      <c r="I207" s="15">
        <v>2</v>
      </c>
      <c r="J207" s="15" t="s">
        <v>84</v>
      </c>
      <c r="K207" s="15" t="s">
        <v>84</v>
      </c>
      <c r="L207" s="15" t="s">
        <v>84</v>
      </c>
      <c r="M207" s="15" t="s">
        <v>84</v>
      </c>
    </row>
    <row r="208" spans="1:13" x14ac:dyDescent="0.25">
      <c r="A208" s="15" t="s">
        <v>153</v>
      </c>
      <c r="B208" s="15">
        <v>24</v>
      </c>
      <c r="C208" s="15">
        <v>11</v>
      </c>
      <c r="D208" s="15">
        <v>2</v>
      </c>
      <c r="E208" s="15">
        <v>1</v>
      </c>
      <c r="F208" s="15">
        <v>24</v>
      </c>
      <c r="G208" s="15">
        <v>11</v>
      </c>
      <c r="H208" s="15">
        <v>2</v>
      </c>
      <c r="I208" s="15">
        <v>1</v>
      </c>
      <c r="J208" s="15" t="s">
        <v>84</v>
      </c>
      <c r="K208" s="15" t="s">
        <v>84</v>
      </c>
      <c r="L208" s="15" t="s">
        <v>84</v>
      </c>
      <c r="M208" s="15" t="s">
        <v>84</v>
      </c>
    </row>
    <row r="209" spans="1:13" ht="15" customHeight="1" x14ac:dyDescent="0.25">
      <c r="A209" s="15" t="s">
        <v>154</v>
      </c>
      <c r="B209" s="15">
        <v>7</v>
      </c>
      <c r="C209" s="15">
        <v>3</v>
      </c>
      <c r="D209" s="15">
        <v>1</v>
      </c>
      <c r="E209" s="15" t="s">
        <v>84</v>
      </c>
      <c r="F209" s="15">
        <v>7</v>
      </c>
      <c r="G209" s="15">
        <v>3</v>
      </c>
      <c r="H209" s="15">
        <v>1</v>
      </c>
      <c r="I209" s="15" t="s">
        <v>84</v>
      </c>
      <c r="J209" s="15" t="s">
        <v>84</v>
      </c>
      <c r="K209" s="15" t="s">
        <v>84</v>
      </c>
      <c r="L209" s="15" t="s">
        <v>84</v>
      </c>
      <c r="M209" s="15" t="s">
        <v>84</v>
      </c>
    </row>
    <row r="210" spans="1:13" ht="15" customHeight="1" x14ac:dyDescent="0.25">
      <c r="A210" s="207" t="s">
        <v>106</v>
      </c>
      <c r="B210" s="208"/>
      <c r="C210" s="208"/>
      <c r="D210" s="208"/>
      <c r="E210" s="208"/>
      <c r="F210" s="208"/>
      <c r="G210" s="208"/>
      <c r="H210" s="208"/>
      <c r="I210" s="208"/>
      <c r="J210" s="208"/>
      <c r="K210" s="208"/>
      <c r="L210" s="208"/>
      <c r="M210" s="209"/>
    </row>
    <row r="211" spans="1:13" x14ac:dyDescent="0.25">
      <c r="A211" s="207"/>
      <c r="B211" s="208"/>
      <c r="C211" s="208"/>
      <c r="D211" s="208"/>
      <c r="E211" s="208"/>
      <c r="F211" s="208"/>
      <c r="G211" s="208"/>
      <c r="H211" s="208"/>
      <c r="I211" s="208"/>
      <c r="J211" s="208"/>
      <c r="K211" s="208"/>
      <c r="L211" s="208"/>
      <c r="M211" s="209"/>
    </row>
    <row r="212" spans="1:13" x14ac:dyDescent="0.25">
      <c r="A212" s="15" t="s">
        <v>83</v>
      </c>
      <c r="B212" s="27">
        <v>1470</v>
      </c>
      <c r="C212" s="15">
        <v>739</v>
      </c>
      <c r="D212" s="27">
        <v>83</v>
      </c>
      <c r="E212" s="15">
        <v>45</v>
      </c>
      <c r="F212" s="15">
        <v>1465</v>
      </c>
      <c r="G212" s="15">
        <v>739</v>
      </c>
      <c r="H212" s="15">
        <v>83</v>
      </c>
      <c r="I212" s="15">
        <v>45</v>
      </c>
      <c r="J212" s="15">
        <v>5</v>
      </c>
      <c r="K212" s="15" t="s">
        <v>84</v>
      </c>
      <c r="L212" s="15" t="s">
        <v>84</v>
      </c>
      <c r="M212" s="15" t="s">
        <v>84</v>
      </c>
    </row>
    <row r="213" spans="1:13" x14ac:dyDescent="0.25">
      <c r="A213" s="15" t="s">
        <v>151</v>
      </c>
      <c r="B213" s="15">
        <v>373</v>
      </c>
      <c r="C213" s="15">
        <v>227</v>
      </c>
      <c r="D213" s="15">
        <v>4</v>
      </c>
      <c r="E213" s="15">
        <v>4</v>
      </c>
      <c r="F213" s="15">
        <v>373</v>
      </c>
      <c r="G213" s="15">
        <v>227</v>
      </c>
      <c r="H213" s="15">
        <v>4</v>
      </c>
      <c r="I213" s="15">
        <v>4</v>
      </c>
      <c r="J213" s="15" t="s">
        <v>84</v>
      </c>
      <c r="K213" s="15" t="s">
        <v>84</v>
      </c>
      <c r="L213" s="15" t="s">
        <v>84</v>
      </c>
      <c r="M213" s="15" t="s">
        <v>84</v>
      </c>
    </row>
    <row r="214" spans="1:13" x14ac:dyDescent="0.25">
      <c r="A214" s="15" t="s">
        <v>152</v>
      </c>
      <c r="B214" s="15">
        <v>35</v>
      </c>
      <c r="C214" s="15">
        <v>15</v>
      </c>
      <c r="D214" s="15" t="s">
        <v>84</v>
      </c>
      <c r="E214" s="15" t="s">
        <v>84</v>
      </c>
      <c r="F214" s="15">
        <v>35</v>
      </c>
      <c r="G214" s="15">
        <v>15</v>
      </c>
      <c r="H214" s="15" t="s">
        <v>84</v>
      </c>
      <c r="I214" s="15" t="s">
        <v>84</v>
      </c>
      <c r="J214" s="15" t="s">
        <v>84</v>
      </c>
      <c r="K214" s="15" t="s">
        <v>84</v>
      </c>
      <c r="L214" s="15" t="s">
        <v>84</v>
      </c>
      <c r="M214" s="15" t="s">
        <v>84</v>
      </c>
    </row>
    <row r="215" spans="1:13" x14ac:dyDescent="0.25">
      <c r="A215" s="15" t="s">
        <v>85</v>
      </c>
      <c r="B215" s="15">
        <v>761</v>
      </c>
      <c r="C215" s="15">
        <v>373</v>
      </c>
      <c r="D215" s="15">
        <v>33</v>
      </c>
      <c r="E215" s="15">
        <v>23</v>
      </c>
      <c r="F215" s="15">
        <v>761</v>
      </c>
      <c r="G215" s="15">
        <v>373</v>
      </c>
      <c r="H215" s="15">
        <v>33</v>
      </c>
      <c r="I215" s="15">
        <v>23</v>
      </c>
      <c r="J215" s="15" t="s">
        <v>84</v>
      </c>
      <c r="K215" s="15" t="s">
        <v>84</v>
      </c>
      <c r="L215" s="15" t="s">
        <v>84</v>
      </c>
      <c r="M215" s="15" t="s">
        <v>84</v>
      </c>
    </row>
    <row r="216" spans="1:13" x14ac:dyDescent="0.25">
      <c r="A216" s="15" t="s">
        <v>86</v>
      </c>
      <c r="B216" s="15">
        <v>222</v>
      </c>
      <c r="C216" s="15">
        <v>91</v>
      </c>
      <c r="D216" s="15">
        <v>27</v>
      </c>
      <c r="E216" s="15">
        <v>9</v>
      </c>
      <c r="F216" s="15">
        <v>219</v>
      </c>
      <c r="G216" s="15">
        <v>91</v>
      </c>
      <c r="H216" s="15">
        <v>27</v>
      </c>
      <c r="I216" s="15">
        <v>9</v>
      </c>
      <c r="J216" s="15">
        <v>3</v>
      </c>
      <c r="K216" s="15" t="s">
        <v>84</v>
      </c>
      <c r="L216" s="15" t="s">
        <v>84</v>
      </c>
      <c r="M216" s="15" t="s">
        <v>84</v>
      </c>
    </row>
    <row r="217" spans="1:13" x14ac:dyDescent="0.25">
      <c r="A217" s="15" t="s">
        <v>87</v>
      </c>
      <c r="B217" s="15">
        <v>79</v>
      </c>
      <c r="C217" s="15">
        <v>33</v>
      </c>
      <c r="D217" s="15">
        <v>19</v>
      </c>
      <c r="E217" s="15">
        <v>9</v>
      </c>
      <c r="F217" s="15">
        <v>77</v>
      </c>
      <c r="G217" s="15">
        <v>33</v>
      </c>
      <c r="H217" s="15">
        <v>19</v>
      </c>
      <c r="I217" s="15">
        <v>9</v>
      </c>
      <c r="J217" s="15">
        <v>2</v>
      </c>
      <c r="K217" s="15" t="s">
        <v>84</v>
      </c>
      <c r="L217" s="15" t="s">
        <v>84</v>
      </c>
      <c r="M217" s="15" t="s">
        <v>84</v>
      </c>
    </row>
    <row r="218" spans="1:13" x14ac:dyDescent="0.25">
      <c r="A218" s="15" t="s">
        <v>153</v>
      </c>
      <c r="B218" s="15">
        <v>23</v>
      </c>
      <c r="C218" s="15">
        <v>8</v>
      </c>
      <c r="D218" s="15">
        <v>6</v>
      </c>
      <c r="E218" s="15">
        <v>1</v>
      </c>
      <c r="F218" s="15">
        <v>22</v>
      </c>
      <c r="G218" s="15">
        <v>8</v>
      </c>
      <c r="H218" s="15">
        <v>6</v>
      </c>
      <c r="I218" s="15">
        <v>1</v>
      </c>
      <c r="J218" s="15">
        <v>1</v>
      </c>
      <c r="K218" s="15" t="s">
        <v>84</v>
      </c>
      <c r="L218" s="15" t="s">
        <v>84</v>
      </c>
      <c r="M218" s="15" t="s">
        <v>84</v>
      </c>
    </row>
    <row r="219" spans="1:13" ht="15" customHeight="1" x14ac:dyDescent="0.25">
      <c r="A219" s="15" t="s">
        <v>154</v>
      </c>
      <c r="B219" s="15">
        <v>11</v>
      </c>
      <c r="C219" s="15">
        <v>6</v>
      </c>
      <c r="D219" s="15">
        <v>1</v>
      </c>
      <c r="E219" s="15">
        <v>1</v>
      </c>
      <c r="F219" s="15">
        <v>11</v>
      </c>
      <c r="G219" s="15">
        <v>6</v>
      </c>
      <c r="H219" s="15">
        <v>1</v>
      </c>
      <c r="I219" s="15">
        <v>1</v>
      </c>
      <c r="J219" s="15" t="s">
        <v>84</v>
      </c>
      <c r="K219" s="15" t="s">
        <v>84</v>
      </c>
      <c r="L219" s="15" t="s">
        <v>84</v>
      </c>
      <c r="M219" s="15" t="s">
        <v>84</v>
      </c>
    </row>
    <row r="220" spans="1:13" ht="15" customHeight="1" x14ac:dyDescent="0.25">
      <c r="A220" s="207" t="s">
        <v>107</v>
      </c>
      <c r="B220" s="208"/>
      <c r="C220" s="208"/>
      <c r="D220" s="208"/>
      <c r="E220" s="208"/>
      <c r="F220" s="208"/>
      <c r="G220" s="208"/>
      <c r="H220" s="208"/>
      <c r="I220" s="208"/>
      <c r="J220" s="208"/>
      <c r="K220" s="208"/>
      <c r="L220" s="208"/>
      <c r="M220" s="209"/>
    </row>
    <row r="221" spans="1:13" x14ac:dyDescent="0.25">
      <c r="A221" s="207"/>
      <c r="B221" s="208"/>
      <c r="C221" s="208"/>
      <c r="D221" s="208"/>
      <c r="E221" s="208"/>
      <c r="F221" s="208"/>
      <c r="G221" s="208"/>
      <c r="H221" s="208"/>
      <c r="I221" s="208"/>
      <c r="J221" s="208"/>
      <c r="K221" s="208"/>
      <c r="L221" s="208"/>
      <c r="M221" s="209"/>
    </row>
    <row r="222" spans="1:13" x14ac:dyDescent="0.25">
      <c r="A222" s="15" t="s">
        <v>83</v>
      </c>
      <c r="B222" s="27">
        <v>1673</v>
      </c>
      <c r="C222" s="15">
        <v>808</v>
      </c>
      <c r="D222" s="27">
        <v>110</v>
      </c>
      <c r="E222" s="15">
        <v>48</v>
      </c>
      <c r="F222" s="15">
        <v>1673</v>
      </c>
      <c r="G222" s="15">
        <v>808</v>
      </c>
      <c r="H222" s="15">
        <v>110</v>
      </c>
      <c r="I222" s="15">
        <v>48</v>
      </c>
      <c r="J222" s="15" t="s">
        <v>84</v>
      </c>
      <c r="K222" s="15" t="s">
        <v>84</v>
      </c>
      <c r="L222" s="15" t="s">
        <v>84</v>
      </c>
      <c r="M222" s="15" t="s">
        <v>84</v>
      </c>
    </row>
    <row r="223" spans="1:13" x14ac:dyDescent="0.25">
      <c r="A223" s="15" t="s">
        <v>151</v>
      </c>
      <c r="B223" s="15">
        <v>693</v>
      </c>
      <c r="C223" s="15">
        <v>410</v>
      </c>
      <c r="D223" s="15">
        <v>12</v>
      </c>
      <c r="E223" s="15">
        <v>11</v>
      </c>
      <c r="F223" s="15">
        <v>693</v>
      </c>
      <c r="G223" s="15">
        <v>410</v>
      </c>
      <c r="H223" s="15">
        <v>12</v>
      </c>
      <c r="I223" s="15">
        <v>11</v>
      </c>
      <c r="J223" s="15" t="s">
        <v>84</v>
      </c>
      <c r="K223" s="15" t="s">
        <v>84</v>
      </c>
      <c r="L223" s="15" t="s">
        <v>84</v>
      </c>
      <c r="M223" s="15" t="s">
        <v>84</v>
      </c>
    </row>
    <row r="224" spans="1:13" x14ac:dyDescent="0.25">
      <c r="A224" s="15" t="s">
        <v>152</v>
      </c>
      <c r="B224" s="15">
        <v>59</v>
      </c>
      <c r="C224" s="15">
        <v>32</v>
      </c>
      <c r="D224" s="15">
        <v>7</v>
      </c>
      <c r="E224" s="15">
        <v>5</v>
      </c>
      <c r="F224" s="15">
        <v>59</v>
      </c>
      <c r="G224" s="15">
        <v>32</v>
      </c>
      <c r="H224" s="15">
        <v>7</v>
      </c>
      <c r="I224" s="15">
        <v>5</v>
      </c>
      <c r="J224" s="15" t="s">
        <v>84</v>
      </c>
      <c r="K224" s="15" t="s">
        <v>84</v>
      </c>
      <c r="L224" s="15" t="s">
        <v>84</v>
      </c>
      <c r="M224" s="15" t="s">
        <v>84</v>
      </c>
    </row>
    <row r="225" spans="1:13" x14ac:dyDescent="0.25">
      <c r="A225" s="15" t="s">
        <v>85</v>
      </c>
      <c r="B225" s="15">
        <v>647</v>
      </c>
      <c r="C225" s="15">
        <v>272</v>
      </c>
      <c r="D225" s="15">
        <v>50</v>
      </c>
      <c r="E225" s="15">
        <v>18</v>
      </c>
      <c r="F225" s="15">
        <v>647</v>
      </c>
      <c r="G225" s="15">
        <v>272</v>
      </c>
      <c r="H225" s="15">
        <v>50</v>
      </c>
      <c r="I225" s="15">
        <v>18</v>
      </c>
      <c r="J225" s="15" t="s">
        <v>84</v>
      </c>
      <c r="K225" s="15" t="s">
        <v>84</v>
      </c>
      <c r="L225" s="15" t="s">
        <v>84</v>
      </c>
      <c r="M225" s="15" t="s">
        <v>84</v>
      </c>
    </row>
    <row r="226" spans="1:13" x14ac:dyDescent="0.25">
      <c r="A226" s="15" t="s">
        <v>86</v>
      </c>
      <c r="B226" s="15">
        <v>220</v>
      </c>
      <c r="C226" s="15">
        <v>75</v>
      </c>
      <c r="D226" s="15">
        <v>23</v>
      </c>
      <c r="E226" s="15">
        <v>5</v>
      </c>
      <c r="F226" s="15">
        <v>220</v>
      </c>
      <c r="G226" s="15">
        <v>75</v>
      </c>
      <c r="H226" s="15">
        <v>23</v>
      </c>
      <c r="I226" s="15">
        <v>5</v>
      </c>
      <c r="J226" s="15" t="s">
        <v>84</v>
      </c>
      <c r="K226" s="15" t="s">
        <v>84</v>
      </c>
      <c r="L226" s="15" t="s">
        <v>84</v>
      </c>
      <c r="M226" s="15" t="s">
        <v>84</v>
      </c>
    </row>
    <row r="227" spans="1:13" x14ac:dyDescent="0.25">
      <c r="A227" s="15" t="s">
        <v>87</v>
      </c>
      <c r="B227" s="15">
        <v>54</v>
      </c>
      <c r="C227" s="15">
        <v>19</v>
      </c>
      <c r="D227" s="15">
        <v>18</v>
      </c>
      <c r="E227" s="15">
        <v>9</v>
      </c>
      <c r="F227" s="15">
        <v>54</v>
      </c>
      <c r="G227" s="15">
        <v>19</v>
      </c>
      <c r="H227" s="15">
        <v>18</v>
      </c>
      <c r="I227" s="15">
        <v>9</v>
      </c>
      <c r="J227" s="15" t="s">
        <v>84</v>
      </c>
      <c r="K227" s="15" t="s">
        <v>84</v>
      </c>
      <c r="L227" s="15" t="s">
        <v>84</v>
      </c>
      <c r="M227" s="15" t="s">
        <v>84</v>
      </c>
    </row>
    <row r="228" spans="1:13" ht="15" customHeight="1" x14ac:dyDescent="0.25">
      <c r="A228" s="15" t="s">
        <v>153</v>
      </c>
      <c r="B228" s="15">
        <v>4</v>
      </c>
      <c r="C228" s="15">
        <v>3</v>
      </c>
      <c r="D228" s="15">
        <v>2</v>
      </c>
      <c r="E228" s="15">
        <v>2</v>
      </c>
      <c r="F228" s="15">
        <v>4</v>
      </c>
      <c r="G228" s="15">
        <v>3</v>
      </c>
      <c r="H228" s="15">
        <v>2</v>
      </c>
      <c r="I228" s="15">
        <v>2</v>
      </c>
      <c r="J228" s="15" t="s">
        <v>84</v>
      </c>
      <c r="K228" s="15" t="s">
        <v>84</v>
      </c>
      <c r="L228" s="15" t="s">
        <v>84</v>
      </c>
      <c r="M228" s="15" t="s">
        <v>84</v>
      </c>
    </row>
    <row r="229" spans="1:13" x14ac:dyDescent="0.25">
      <c r="A229" s="15" t="s">
        <v>154</v>
      </c>
      <c r="B229" s="15">
        <v>5</v>
      </c>
      <c r="C229" s="15">
        <v>1</v>
      </c>
      <c r="D229" s="15">
        <v>2</v>
      </c>
      <c r="E229" s="15">
        <v>1</v>
      </c>
      <c r="F229" s="15">
        <v>5</v>
      </c>
      <c r="G229" s="15">
        <v>1</v>
      </c>
      <c r="H229" s="15">
        <v>2</v>
      </c>
      <c r="I229" s="15">
        <v>1</v>
      </c>
      <c r="J229" s="15" t="s">
        <v>84</v>
      </c>
      <c r="K229" s="15" t="s">
        <v>84</v>
      </c>
      <c r="L229" s="15" t="s">
        <v>84</v>
      </c>
      <c r="M229" s="15" t="s">
        <v>84</v>
      </c>
    </row>
    <row r="230" spans="1:13" ht="15" customHeight="1" x14ac:dyDescent="0.25">
      <c r="A230" s="207" t="s">
        <v>108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9"/>
    </row>
    <row r="231" spans="1:13" x14ac:dyDescent="0.25">
      <c r="A231" s="207"/>
      <c r="B231" s="208"/>
      <c r="C231" s="208"/>
      <c r="D231" s="208"/>
      <c r="E231" s="208"/>
      <c r="F231" s="208"/>
      <c r="G231" s="208"/>
      <c r="H231" s="208"/>
      <c r="I231" s="208"/>
      <c r="J231" s="208"/>
      <c r="K231" s="208"/>
      <c r="L231" s="208"/>
      <c r="M231" s="209"/>
    </row>
    <row r="232" spans="1:13" x14ac:dyDescent="0.25">
      <c r="A232" s="15" t="s">
        <v>83</v>
      </c>
      <c r="B232" s="27">
        <v>18795</v>
      </c>
      <c r="C232" s="15">
        <v>9175</v>
      </c>
      <c r="D232" s="27">
        <v>832</v>
      </c>
      <c r="E232" s="15">
        <v>403</v>
      </c>
      <c r="F232" s="15">
        <v>18176</v>
      </c>
      <c r="G232" s="15">
        <v>8892</v>
      </c>
      <c r="H232" s="15">
        <v>826</v>
      </c>
      <c r="I232" s="15">
        <v>401</v>
      </c>
      <c r="J232" s="15">
        <v>619</v>
      </c>
      <c r="K232" s="15">
        <v>283</v>
      </c>
      <c r="L232" s="15">
        <v>6</v>
      </c>
      <c r="M232" s="15">
        <v>2</v>
      </c>
    </row>
    <row r="233" spans="1:13" x14ac:dyDescent="0.25">
      <c r="A233" s="15" t="s">
        <v>151</v>
      </c>
      <c r="B233" s="15">
        <v>5780</v>
      </c>
      <c r="C233" s="15">
        <v>3137</v>
      </c>
      <c r="D233" s="15">
        <v>68</v>
      </c>
      <c r="E233" s="15">
        <v>38</v>
      </c>
      <c r="F233" s="15">
        <v>5420</v>
      </c>
      <c r="G233" s="15">
        <v>2965</v>
      </c>
      <c r="H233" s="15">
        <v>62</v>
      </c>
      <c r="I233" s="15">
        <v>36</v>
      </c>
      <c r="J233" s="15">
        <v>360</v>
      </c>
      <c r="K233" s="15">
        <v>172</v>
      </c>
      <c r="L233" s="15">
        <v>6</v>
      </c>
      <c r="M233" s="15">
        <v>2</v>
      </c>
    </row>
    <row r="234" spans="1:13" x14ac:dyDescent="0.25">
      <c r="A234" s="15" t="s">
        <v>152</v>
      </c>
      <c r="B234" s="15">
        <v>312</v>
      </c>
      <c r="C234" s="15">
        <v>169</v>
      </c>
      <c r="D234" s="15">
        <v>13</v>
      </c>
      <c r="E234" s="15">
        <v>10</v>
      </c>
      <c r="F234" s="15">
        <v>299</v>
      </c>
      <c r="G234" s="15">
        <v>162</v>
      </c>
      <c r="H234" s="15">
        <v>13</v>
      </c>
      <c r="I234" s="15">
        <v>10</v>
      </c>
      <c r="J234" s="15">
        <v>13</v>
      </c>
      <c r="K234" s="15">
        <v>7</v>
      </c>
      <c r="L234" s="15" t="s">
        <v>84</v>
      </c>
      <c r="M234" s="15" t="s">
        <v>84</v>
      </c>
    </row>
    <row r="235" spans="1:13" x14ac:dyDescent="0.25">
      <c r="A235" s="15" t="s">
        <v>85</v>
      </c>
      <c r="B235" s="15">
        <v>9458</v>
      </c>
      <c r="C235" s="15">
        <v>4618</v>
      </c>
      <c r="D235" s="15">
        <v>422</v>
      </c>
      <c r="E235" s="15">
        <v>208</v>
      </c>
      <c r="F235" s="15">
        <v>9334</v>
      </c>
      <c r="G235" s="15">
        <v>4550</v>
      </c>
      <c r="H235" s="15">
        <v>422</v>
      </c>
      <c r="I235" s="15">
        <v>208</v>
      </c>
      <c r="J235" s="15">
        <v>124</v>
      </c>
      <c r="K235" s="15">
        <v>68</v>
      </c>
      <c r="L235" s="15" t="s">
        <v>84</v>
      </c>
      <c r="M235" s="15" t="s">
        <v>84</v>
      </c>
    </row>
    <row r="236" spans="1:13" x14ac:dyDescent="0.25">
      <c r="A236" s="15" t="s">
        <v>86</v>
      </c>
      <c r="B236" s="15">
        <v>2440</v>
      </c>
      <c r="C236" s="15">
        <v>940</v>
      </c>
      <c r="D236" s="15">
        <v>205</v>
      </c>
      <c r="E236" s="15">
        <v>87</v>
      </c>
      <c r="F236" s="15">
        <v>2399</v>
      </c>
      <c r="G236" s="15">
        <v>930</v>
      </c>
      <c r="H236" s="15">
        <v>205</v>
      </c>
      <c r="I236" s="15">
        <v>87</v>
      </c>
      <c r="J236" s="15">
        <v>41</v>
      </c>
      <c r="K236" s="15">
        <v>10</v>
      </c>
      <c r="L236" s="15" t="s">
        <v>84</v>
      </c>
      <c r="M236" s="15" t="s">
        <v>84</v>
      </c>
    </row>
    <row r="237" spans="1:13" x14ac:dyDescent="0.25">
      <c r="A237" s="15" t="s">
        <v>87</v>
      </c>
      <c r="B237" s="15">
        <v>805</v>
      </c>
      <c r="C237" s="15">
        <v>311</v>
      </c>
      <c r="D237" s="15">
        <v>124</v>
      </c>
      <c r="E237" s="15">
        <v>60</v>
      </c>
      <c r="F237" s="15">
        <v>724</v>
      </c>
      <c r="G237" s="15">
        <v>285</v>
      </c>
      <c r="H237" s="15">
        <v>124</v>
      </c>
      <c r="I237" s="15">
        <v>60</v>
      </c>
      <c r="J237" s="15">
        <v>81</v>
      </c>
      <c r="K237" s="15">
        <v>26</v>
      </c>
      <c r="L237" s="15" t="s">
        <v>84</v>
      </c>
      <c r="M237" s="15" t="s">
        <v>84</v>
      </c>
    </row>
    <row r="238" spans="1:13" ht="15" customHeight="1" x14ac:dyDescent="0.25">
      <c r="A238" s="15" t="s">
        <v>153</v>
      </c>
      <c r="B238" s="15">
        <v>252</v>
      </c>
      <c r="C238" s="15">
        <v>104</v>
      </c>
      <c r="D238" s="15">
        <v>31</v>
      </c>
      <c r="E238" s="15">
        <v>18</v>
      </c>
      <c r="F238" s="15">
        <v>242</v>
      </c>
      <c r="G238" s="15">
        <v>101</v>
      </c>
      <c r="H238" s="15">
        <v>31</v>
      </c>
      <c r="I238" s="15">
        <v>18</v>
      </c>
      <c r="J238" s="15">
        <v>10</v>
      </c>
      <c r="K238" s="15">
        <v>3</v>
      </c>
      <c r="L238" s="15" t="s">
        <v>84</v>
      </c>
      <c r="M238" s="15" t="s">
        <v>84</v>
      </c>
    </row>
    <row r="239" spans="1:13" x14ac:dyDescent="0.25">
      <c r="A239" s="15" t="s">
        <v>154</v>
      </c>
      <c r="B239" s="15">
        <v>124</v>
      </c>
      <c r="C239" s="15">
        <v>49</v>
      </c>
      <c r="D239" s="15">
        <v>1</v>
      </c>
      <c r="E239" s="15" t="s">
        <v>84</v>
      </c>
      <c r="F239" s="15">
        <v>64</v>
      </c>
      <c r="G239" s="15">
        <v>29</v>
      </c>
      <c r="H239" s="15">
        <v>1</v>
      </c>
      <c r="I239" s="15" t="s">
        <v>84</v>
      </c>
      <c r="J239" s="15">
        <v>60</v>
      </c>
      <c r="K239" s="15">
        <v>20</v>
      </c>
      <c r="L239" s="15" t="s">
        <v>84</v>
      </c>
      <c r="M239" s="15" t="s">
        <v>84</v>
      </c>
    </row>
    <row r="240" spans="1:13" ht="15" customHeight="1" x14ac:dyDescent="0.25">
      <c r="A240" s="207" t="s">
        <v>109</v>
      </c>
      <c r="B240" s="208"/>
      <c r="C240" s="208"/>
      <c r="D240" s="208"/>
      <c r="E240" s="208"/>
      <c r="F240" s="208"/>
      <c r="G240" s="208"/>
      <c r="H240" s="208"/>
      <c r="I240" s="208"/>
      <c r="J240" s="208"/>
      <c r="K240" s="208"/>
      <c r="L240" s="208"/>
      <c r="M240" s="209"/>
    </row>
    <row r="241" spans="1:13" x14ac:dyDescent="0.25">
      <c r="A241" s="207"/>
      <c r="B241" s="208"/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9"/>
    </row>
    <row r="242" spans="1:13" x14ac:dyDescent="0.25">
      <c r="A242" s="15" t="s">
        <v>83</v>
      </c>
      <c r="B242" s="27">
        <v>1935</v>
      </c>
      <c r="C242" s="15">
        <v>962</v>
      </c>
      <c r="D242" s="27">
        <v>87</v>
      </c>
      <c r="E242" s="15">
        <v>39</v>
      </c>
      <c r="F242" s="15">
        <v>1929</v>
      </c>
      <c r="G242" s="15">
        <v>962</v>
      </c>
      <c r="H242" s="15">
        <v>87</v>
      </c>
      <c r="I242" s="15">
        <v>39</v>
      </c>
      <c r="J242" s="15">
        <v>6</v>
      </c>
      <c r="K242" s="15" t="s">
        <v>84</v>
      </c>
      <c r="L242" s="15" t="s">
        <v>84</v>
      </c>
      <c r="M242" s="15" t="s">
        <v>84</v>
      </c>
    </row>
    <row r="243" spans="1:13" x14ac:dyDescent="0.25">
      <c r="A243" s="15" t="s">
        <v>151</v>
      </c>
      <c r="B243" s="15">
        <v>507</v>
      </c>
      <c r="C243" s="15">
        <v>286</v>
      </c>
      <c r="D243" s="15">
        <v>5</v>
      </c>
      <c r="E243" s="15">
        <v>3</v>
      </c>
      <c r="F243" s="15">
        <v>507</v>
      </c>
      <c r="G243" s="15">
        <v>286</v>
      </c>
      <c r="H243" s="15">
        <v>5</v>
      </c>
      <c r="I243" s="15">
        <v>3</v>
      </c>
      <c r="J243" s="15" t="s">
        <v>84</v>
      </c>
      <c r="K243" s="15" t="s">
        <v>84</v>
      </c>
      <c r="L243" s="15" t="s">
        <v>84</v>
      </c>
      <c r="M243" s="15" t="s">
        <v>84</v>
      </c>
    </row>
    <row r="244" spans="1:13" x14ac:dyDescent="0.25">
      <c r="A244" s="15" t="s">
        <v>152</v>
      </c>
      <c r="B244" s="15">
        <v>36</v>
      </c>
      <c r="C244" s="15">
        <v>16</v>
      </c>
      <c r="D244" s="15">
        <v>1</v>
      </c>
      <c r="E244" s="15" t="s">
        <v>84</v>
      </c>
      <c r="F244" s="15">
        <v>36</v>
      </c>
      <c r="G244" s="15">
        <v>16</v>
      </c>
      <c r="H244" s="15">
        <v>1</v>
      </c>
      <c r="I244" s="15" t="s">
        <v>84</v>
      </c>
      <c r="J244" s="15" t="s">
        <v>84</v>
      </c>
      <c r="K244" s="15" t="s">
        <v>84</v>
      </c>
      <c r="L244" s="15" t="s">
        <v>84</v>
      </c>
      <c r="M244" s="15" t="s">
        <v>84</v>
      </c>
    </row>
    <row r="245" spans="1:13" x14ac:dyDescent="0.25">
      <c r="A245" s="15" t="s">
        <v>85</v>
      </c>
      <c r="B245" s="15">
        <v>1000</v>
      </c>
      <c r="C245" s="15">
        <v>511</v>
      </c>
      <c r="D245" s="15">
        <v>46</v>
      </c>
      <c r="E245" s="15">
        <v>18</v>
      </c>
      <c r="F245" s="15">
        <v>1000</v>
      </c>
      <c r="G245" s="15">
        <v>511</v>
      </c>
      <c r="H245" s="15">
        <v>46</v>
      </c>
      <c r="I245" s="15">
        <v>18</v>
      </c>
      <c r="J245" s="15" t="s">
        <v>84</v>
      </c>
      <c r="K245" s="15" t="s">
        <v>84</v>
      </c>
      <c r="L245" s="15" t="s">
        <v>84</v>
      </c>
      <c r="M245" s="15" t="s">
        <v>84</v>
      </c>
    </row>
    <row r="246" spans="1:13" x14ac:dyDescent="0.25">
      <c r="A246" s="15" t="s">
        <v>86</v>
      </c>
      <c r="B246" s="15">
        <v>297</v>
      </c>
      <c r="C246" s="15">
        <v>119</v>
      </c>
      <c r="D246" s="15">
        <v>26</v>
      </c>
      <c r="E246" s="15">
        <v>12</v>
      </c>
      <c r="F246" s="15">
        <v>295</v>
      </c>
      <c r="G246" s="15">
        <v>119</v>
      </c>
      <c r="H246" s="15">
        <v>26</v>
      </c>
      <c r="I246" s="15">
        <v>12</v>
      </c>
      <c r="J246" s="15">
        <v>2</v>
      </c>
      <c r="K246" s="15" t="s">
        <v>84</v>
      </c>
      <c r="L246" s="15" t="s">
        <v>84</v>
      </c>
      <c r="M246" s="15" t="s">
        <v>84</v>
      </c>
    </row>
    <row r="247" spans="1:13" x14ac:dyDescent="0.25">
      <c r="A247" s="15" t="s">
        <v>87</v>
      </c>
      <c r="B247" s="15">
        <v>95</v>
      </c>
      <c r="C247" s="15">
        <v>30</v>
      </c>
      <c r="D247" s="15">
        <v>9</v>
      </c>
      <c r="E247" s="15">
        <v>6</v>
      </c>
      <c r="F247" s="15">
        <v>91</v>
      </c>
      <c r="G247" s="15">
        <v>30</v>
      </c>
      <c r="H247" s="15">
        <v>9</v>
      </c>
      <c r="I247" s="15">
        <v>6</v>
      </c>
      <c r="J247" s="15">
        <v>4</v>
      </c>
      <c r="K247" s="15" t="s">
        <v>84</v>
      </c>
      <c r="L247" s="15" t="s">
        <v>84</v>
      </c>
      <c r="M247" s="15" t="s">
        <v>84</v>
      </c>
    </row>
    <row r="248" spans="1:13" ht="15" customHeight="1" x14ac:dyDescent="0.25">
      <c r="A248" s="15" t="s">
        <v>153</v>
      </c>
      <c r="B248" s="15">
        <v>38</v>
      </c>
      <c r="C248" s="15">
        <v>15</v>
      </c>
      <c r="D248" s="15">
        <v>5</v>
      </c>
      <c r="E248" s="15">
        <v>3</v>
      </c>
      <c r="F248" s="15">
        <v>38</v>
      </c>
      <c r="G248" s="15">
        <v>15</v>
      </c>
      <c r="H248" s="15">
        <v>5</v>
      </c>
      <c r="I248" s="15">
        <v>3</v>
      </c>
      <c r="J248" s="15" t="s">
        <v>84</v>
      </c>
      <c r="K248" s="15" t="s">
        <v>84</v>
      </c>
      <c r="L248" s="15" t="s">
        <v>84</v>
      </c>
      <c r="M248" s="15" t="s">
        <v>84</v>
      </c>
    </row>
    <row r="249" spans="1:13" x14ac:dyDescent="0.25">
      <c r="A249" s="15" t="s">
        <v>154</v>
      </c>
      <c r="B249" s="15">
        <v>15</v>
      </c>
      <c r="C249" s="15">
        <v>6</v>
      </c>
      <c r="D249" s="15">
        <v>1</v>
      </c>
      <c r="E249" s="15" t="s">
        <v>84</v>
      </c>
      <c r="F249" s="15">
        <v>15</v>
      </c>
      <c r="G249" s="15">
        <v>6</v>
      </c>
      <c r="H249" s="15">
        <v>1</v>
      </c>
      <c r="I249" s="15" t="s">
        <v>84</v>
      </c>
      <c r="J249" s="15" t="s">
        <v>84</v>
      </c>
      <c r="K249" s="15" t="s">
        <v>84</v>
      </c>
      <c r="L249" s="15" t="s">
        <v>84</v>
      </c>
      <c r="M249" s="15" t="s">
        <v>84</v>
      </c>
    </row>
    <row r="250" spans="1:13" ht="15" customHeight="1" x14ac:dyDescent="0.25">
      <c r="A250" s="207" t="s">
        <v>110</v>
      </c>
      <c r="B250" s="208"/>
      <c r="C250" s="208"/>
      <c r="D250" s="208"/>
      <c r="E250" s="208"/>
      <c r="F250" s="208"/>
      <c r="G250" s="208"/>
      <c r="H250" s="208"/>
      <c r="I250" s="208"/>
      <c r="J250" s="208"/>
      <c r="K250" s="208"/>
      <c r="L250" s="208"/>
      <c r="M250" s="209"/>
    </row>
    <row r="251" spans="1:13" x14ac:dyDescent="0.25">
      <c r="A251" s="207"/>
      <c r="B251" s="208"/>
      <c r="C251" s="208"/>
      <c r="D251" s="208"/>
      <c r="E251" s="208"/>
      <c r="F251" s="208"/>
      <c r="G251" s="208"/>
      <c r="H251" s="208"/>
      <c r="I251" s="208"/>
      <c r="J251" s="208"/>
      <c r="K251" s="208"/>
      <c r="L251" s="208"/>
      <c r="M251" s="209"/>
    </row>
    <row r="252" spans="1:13" x14ac:dyDescent="0.25">
      <c r="A252" s="15" t="s">
        <v>83</v>
      </c>
      <c r="B252" s="27">
        <v>2013</v>
      </c>
      <c r="C252" s="15">
        <v>1011</v>
      </c>
      <c r="D252" s="27">
        <v>102</v>
      </c>
      <c r="E252" s="15">
        <v>49</v>
      </c>
      <c r="F252" s="15">
        <v>1935</v>
      </c>
      <c r="G252" s="15">
        <v>972</v>
      </c>
      <c r="H252" s="15">
        <v>102</v>
      </c>
      <c r="I252" s="15">
        <v>49</v>
      </c>
      <c r="J252" s="15">
        <v>78</v>
      </c>
      <c r="K252" s="15">
        <v>39</v>
      </c>
      <c r="L252" s="15" t="s">
        <v>84</v>
      </c>
      <c r="M252" s="15" t="s">
        <v>84</v>
      </c>
    </row>
    <row r="253" spans="1:13" x14ac:dyDescent="0.25">
      <c r="A253" s="15" t="s">
        <v>151</v>
      </c>
      <c r="B253" s="15">
        <v>466</v>
      </c>
      <c r="C253" s="15">
        <v>247</v>
      </c>
      <c r="D253" s="15">
        <v>9</v>
      </c>
      <c r="E253" s="15">
        <v>5</v>
      </c>
      <c r="F253" s="15">
        <v>407</v>
      </c>
      <c r="G253" s="15">
        <v>219</v>
      </c>
      <c r="H253" s="15">
        <v>9</v>
      </c>
      <c r="I253" s="15">
        <v>5</v>
      </c>
      <c r="J253" s="15">
        <v>59</v>
      </c>
      <c r="K253" s="15">
        <v>28</v>
      </c>
      <c r="L253" s="15" t="s">
        <v>84</v>
      </c>
      <c r="M253" s="15" t="s">
        <v>84</v>
      </c>
    </row>
    <row r="254" spans="1:13" x14ac:dyDescent="0.25">
      <c r="A254" s="15" t="s">
        <v>152</v>
      </c>
      <c r="B254" s="15">
        <v>21</v>
      </c>
      <c r="C254" s="15">
        <v>10</v>
      </c>
      <c r="D254" s="15">
        <v>1</v>
      </c>
      <c r="E254" s="15">
        <v>1</v>
      </c>
      <c r="F254" s="15">
        <v>21</v>
      </c>
      <c r="G254" s="15">
        <v>10</v>
      </c>
      <c r="H254" s="15">
        <v>1</v>
      </c>
      <c r="I254" s="15">
        <v>1</v>
      </c>
      <c r="J254" s="15" t="s">
        <v>84</v>
      </c>
      <c r="K254" s="15" t="s">
        <v>84</v>
      </c>
      <c r="L254" s="15" t="s">
        <v>84</v>
      </c>
      <c r="M254" s="15" t="s">
        <v>84</v>
      </c>
    </row>
    <row r="255" spans="1:13" x14ac:dyDescent="0.25">
      <c r="A255" s="15" t="s">
        <v>85</v>
      </c>
      <c r="B255" s="15">
        <v>1092</v>
      </c>
      <c r="C255" s="15">
        <v>582</v>
      </c>
      <c r="D255" s="15">
        <v>49</v>
      </c>
      <c r="E255" s="15">
        <v>28</v>
      </c>
      <c r="F255" s="15">
        <v>1076</v>
      </c>
      <c r="G255" s="15">
        <v>572</v>
      </c>
      <c r="H255" s="15">
        <v>49</v>
      </c>
      <c r="I255" s="15">
        <v>28</v>
      </c>
      <c r="J255" s="15">
        <v>16</v>
      </c>
      <c r="K255" s="15">
        <v>10</v>
      </c>
      <c r="L255" s="15" t="s">
        <v>84</v>
      </c>
      <c r="M255" s="15" t="s">
        <v>84</v>
      </c>
    </row>
    <row r="256" spans="1:13" x14ac:dyDescent="0.25">
      <c r="A256" s="15" t="s">
        <v>86</v>
      </c>
      <c r="B256" s="15">
        <v>351</v>
      </c>
      <c r="C256" s="15">
        <v>140</v>
      </c>
      <c r="D256" s="15">
        <v>26</v>
      </c>
      <c r="E256" s="15">
        <v>9</v>
      </c>
      <c r="F256" s="15">
        <v>348</v>
      </c>
      <c r="G256" s="15">
        <v>139</v>
      </c>
      <c r="H256" s="15">
        <v>26</v>
      </c>
      <c r="I256" s="15">
        <v>9</v>
      </c>
      <c r="J256" s="15">
        <v>3</v>
      </c>
      <c r="K256" s="15">
        <v>1</v>
      </c>
      <c r="L256" s="15" t="s">
        <v>84</v>
      </c>
      <c r="M256" s="15" t="s">
        <v>84</v>
      </c>
    </row>
    <row r="257" spans="1:13" x14ac:dyDescent="0.25">
      <c r="A257" s="15" t="s">
        <v>87</v>
      </c>
      <c r="B257" s="15">
        <v>83</v>
      </c>
      <c r="C257" s="15">
        <v>32</v>
      </c>
      <c r="D257" s="15">
        <v>17</v>
      </c>
      <c r="E257" s="15">
        <v>6</v>
      </c>
      <c r="F257" s="15">
        <v>83</v>
      </c>
      <c r="G257" s="15">
        <v>32</v>
      </c>
      <c r="H257" s="15">
        <v>17</v>
      </c>
      <c r="I257" s="15">
        <v>6</v>
      </c>
      <c r="J257" s="15" t="s">
        <v>84</v>
      </c>
      <c r="K257" s="15" t="s">
        <v>84</v>
      </c>
      <c r="L257" s="15" t="s">
        <v>84</v>
      </c>
      <c r="M257" s="15" t="s">
        <v>84</v>
      </c>
    </row>
    <row r="258" spans="1:13" ht="15" customHeight="1" x14ac:dyDescent="0.25">
      <c r="A258" s="15" t="s">
        <v>153</v>
      </c>
      <c r="B258" s="15">
        <v>24</v>
      </c>
      <c r="C258" s="15">
        <v>9</v>
      </c>
      <c r="D258" s="15">
        <v>2</v>
      </c>
      <c r="E258" s="15">
        <v>1</v>
      </c>
      <c r="F258" s="15">
        <v>24</v>
      </c>
      <c r="G258" s="15">
        <v>9</v>
      </c>
      <c r="H258" s="15">
        <v>2</v>
      </c>
      <c r="I258" s="15">
        <v>1</v>
      </c>
      <c r="J258" s="15" t="s">
        <v>84</v>
      </c>
      <c r="K258" s="15" t="s">
        <v>84</v>
      </c>
      <c r="L258" s="15" t="s">
        <v>84</v>
      </c>
      <c r="M258" s="15" t="s">
        <v>84</v>
      </c>
    </row>
    <row r="259" spans="1:13" x14ac:dyDescent="0.25">
      <c r="A259" s="15" t="s">
        <v>154</v>
      </c>
      <c r="B259" s="15">
        <v>4</v>
      </c>
      <c r="C259" s="15" t="s">
        <v>84</v>
      </c>
      <c r="D259" s="15" t="s">
        <v>84</v>
      </c>
      <c r="E259" s="15" t="s">
        <v>84</v>
      </c>
      <c r="F259" s="15">
        <v>4</v>
      </c>
      <c r="G259" s="15" t="s">
        <v>84</v>
      </c>
      <c r="H259" s="15" t="s">
        <v>84</v>
      </c>
      <c r="I259" s="15" t="s">
        <v>84</v>
      </c>
      <c r="J259" s="15" t="s">
        <v>84</v>
      </c>
      <c r="K259" s="15" t="s">
        <v>84</v>
      </c>
      <c r="L259" s="15" t="s">
        <v>84</v>
      </c>
      <c r="M259" s="15" t="s">
        <v>84</v>
      </c>
    </row>
    <row r="260" spans="1:13" ht="15" customHeight="1" x14ac:dyDescent="0.25">
      <c r="A260" s="207" t="s">
        <v>111</v>
      </c>
      <c r="B260" s="208"/>
      <c r="C260" s="208"/>
      <c r="D260" s="208"/>
      <c r="E260" s="208"/>
      <c r="F260" s="208"/>
      <c r="G260" s="208"/>
      <c r="H260" s="208"/>
      <c r="I260" s="208"/>
      <c r="J260" s="208"/>
      <c r="K260" s="208"/>
      <c r="L260" s="208"/>
      <c r="M260" s="209"/>
    </row>
    <row r="261" spans="1:13" x14ac:dyDescent="0.25">
      <c r="A261" s="207"/>
      <c r="B261" s="208"/>
      <c r="C261" s="208"/>
      <c r="D261" s="208"/>
      <c r="E261" s="208"/>
      <c r="F261" s="208"/>
      <c r="G261" s="208"/>
      <c r="H261" s="208"/>
      <c r="I261" s="208"/>
      <c r="J261" s="208"/>
      <c r="K261" s="208"/>
      <c r="L261" s="208"/>
      <c r="M261" s="209"/>
    </row>
    <row r="262" spans="1:13" x14ac:dyDescent="0.25">
      <c r="A262" s="15" t="s">
        <v>83</v>
      </c>
      <c r="B262" s="27">
        <v>2621</v>
      </c>
      <c r="C262" s="15">
        <v>1290</v>
      </c>
      <c r="D262" s="27">
        <v>106</v>
      </c>
      <c r="E262" s="15">
        <v>51</v>
      </c>
      <c r="F262" s="15">
        <v>2582</v>
      </c>
      <c r="G262" s="15">
        <v>1268</v>
      </c>
      <c r="H262" s="15">
        <v>106</v>
      </c>
      <c r="I262" s="15">
        <v>51</v>
      </c>
      <c r="J262" s="15">
        <v>39</v>
      </c>
      <c r="K262" s="15">
        <v>22</v>
      </c>
      <c r="L262" s="15" t="s">
        <v>84</v>
      </c>
      <c r="M262" s="15" t="s">
        <v>84</v>
      </c>
    </row>
    <row r="263" spans="1:13" x14ac:dyDescent="0.25">
      <c r="A263" s="15" t="s">
        <v>151</v>
      </c>
      <c r="B263" s="15">
        <v>926</v>
      </c>
      <c r="C263" s="15">
        <v>498</v>
      </c>
      <c r="D263" s="15">
        <v>9</v>
      </c>
      <c r="E263" s="15">
        <v>6</v>
      </c>
      <c r="F263" s="15">
        <v>913</v>
      </c>
      <c r="G263" s="15">
        <v>491</v>
      </c>
      <c r="H263" s="15">
        <v>9</v>
      </c>
      <c r="I263" s="15">
        <v>6</v>
      </c>
      <c r="J263" s="15">
        <v>13</v>
      </c>
      <c r="K263" s="15">
        <v>7</v>
      </c>
      <c r="L263" s="15" t="s">
        <v>84</v>
      </c>
      <c r="M263" s="15" t="s">
        <v>84</v>
      </c>
    </row>
    <row r="264" spans="1:13" x14ac:dyDescent="0.25">
      <c r="A264" s="15" t="s">
        <v>152</v>
      </c>
      <c r="B264" s="15">
        <v>35</v>
      </c>
      <c r="C264" s="15">
        <v>18</v>
      </c>
      <c r="D264" s="15">
        <v>1</v>
      </c>
      <c r="E264" s="15">
        <v>1</v>
      </c>
      <c r="F264" s="15">
        <v>35</v>
      </c>
      <c r="G264" s="15">
        <v>18</v>
      </c>
      <c r="H264" s="15">
        <v>1</v>
      </c>
      <c r="I264" s="15">
        <v>1</v>
      </c>
      <c r="J264" s="15" t="s">
        <v>84</v>
      </c>
      <c r="K264" s="15" t="s">
        <v>84</v>
      </c>
      <c r="L264" s="15" t="s">
        <v>84</v>
      </c>
      <c r="M264" s="15" t="s">
        <v>84</v>
      </c>
    </row>
    <row r="265" spans="1:13" x14ac:dyDescent="0.25">
      <c r="A265" s="15" t="s">
        <v>85</v>
      </c>
      <c r="B265" s="15">
        <v>1324</v>
      </c>
      <c r="C265" s="15">
        <v>632</v>
      </c>
      <c r="D265" s="15">
        <v>60</v>
      </c>
      <c r="E265" s="15">
        <v>30</v>
      </c>
      <c r="F265" s="15">
        <v>1304</v>
      </c>
      <c r="G265" s="15">
        <v>622</v>
      </c>
      <c r="H265" s="15">
        <v>60</v>
      </c>
      <c r="I265" s="15">
        <v>30</v>
      </c>
      <c r="J265" s="15">
        <v>20</v>
      </c>
      <c r="K265" s="15">
        <v>10</v>
      </c>
      <c r="L265" s="15" t="s">
        <v>84</v>
      </c>
      <c r="M265" s="15" t="s">
        <v>84</v>
      </c>
    </row>
    <row r="266" spans="1:13" x14ac:dyDescent="0.25">
      <c r="A266" s="15" t="s">
        <v>86</v>
      </c>
      <c r="B266" s="15">
        <v>276</v>
      </c>
      <c r="C266" s="15">
        <v>111</v>
      </c>
      <c r="D266" s="15">
        <v>29</v>
      </c>
      <c r="E266" s="15">
        <v>11</v>
      </c>
      <c r="F266" s="15">
        <v>270</v>
      </c>
      <c r="G266" s="15">
        <v>106</v>
      </c>
      <c r="H266" s="15">
        <v>29</v>
      </c>
      <c r="I266" s="15">
        <v>11</v>
      </c>
      <c r="J266" s="15">
        <v>6</v>
      </c>
      <c r="K266" s="15">
        <v>5</v>
      </c>
      <c r="L266" s="15" t="s">
        <v>84</v>
      </c>
      <c r="M266" s="15" t="s">
        <v>84</v>
      </c>
    </row>
    <row r="267" spans="1:13" x14ac:dyDescent="0.25">
      <c r="A267" s="15" t="s">
        <v>87</v>
      </c>
      <c r="B267" s="15">
        <v>60</v>
      </c>
      <c r="C267" s="15">
        <v>31</v>
      </c>
      <c r="D267" s="15">
        <v>7</v>
      </c>
      <c r="E267" s="15">
        <v>3</v>
      </c>
      <c r="F267" s="15">
        <v>60</v>
      </c>
      <c r="G267" s="15">
        <v>31</v>
      </c>
      <c r="H267" s="15">
        <v>7</v>
      </c>
      <c r="I267" s="15">
        <v>3</v>
      </c>
      <c r="J267" s="15" t="s">
        <v>84</v>
      </c>
      <c r="K267" s="15" t="s">
        <v>84</v>
      </c>
      <c r="L267" s="15" t="s">
        <v>84</v>
      </c>
      <c r="M267" s="15" t="s">
        <v>84</v>
      </c>
    </row>
    <row r="268" spans="1:13" ht="15" customHeight="1" x14ac:dyDescent="0.25">
      <c r="A268" s="15" t="s">
        <v>153</v>
      </c>
      <c r="B268" s="15">
        <v>14</v>
      </c>
      <c r="C268" s="15">
        <v>6</v>
      </c>
      <c r="D268" s="15" t="s">
        <v>84</v>
      </c>
      <c r="E268" s="15" t="s">
        <v>84</v>
      </c>
      <c r="F268" s="15">
        <v>14</v>
      </c>
      <c r="G268" s="15">
        <v>6</v>
      </c>
      <c r="H268" s="15" t="s">
        <v>84</v>
      </c>
      <c r="I268" s="15" t="s">
        <v>84</v>
      </c>
      <c r="J268" s="15" t="s">
        <v>84</v>
      </c>
      <c r="K268" s="15" t="s">
        <v>84</v>
      </c>
      <c r="L268" s="15" t="s">
        <v>84</v>
      </c>
      <c r="M268" s="15" t="s">
        <v>84</v>
      </c>
    </row>
    <row r="269" spans="1:13" x14ac:dyDescent="0.25">
      <c r="A269" s="15" t="s">
        <v>154</v>
      </c>
      <c r="B269" s="15">
        <v>14</v>
      </c>
      <c r="C269" s="15">
        <v>7</v>
      </c>
      <c r="D269" s="15" t="s">
        <v>84</v>
      </c>
      <c r="E269" s="15" t="s">
        <v>84</v>
      </c>
      <c r="F269" s="15">
        <v>14</v>
      </c>
      <c r="G269" s="15">
        <v>7</v>
      </c>
      <c r="H269" s="15" t="s">
        <v>84</v>
      </c>
      <c r="I269" s="15" t="s">
        <v>84</v>
      </c>
      <c r="J269" s="15" t="s">
        <v>84</v>
      </c>
      <c r="K269" s="15" t="s">
        <v>84</v>
      </c>
      <c r="L269" s="15" t="s">
        <v>84</v>
      </c>
      <c r="M269" s="15" t="s">
        <v>84</v>
      </c>
    </row>
    <row r="270" spans="1:13" ht="15" customHeight="1" x14ac:dyDescent="0.25">
      <c r="A270" s="207" t="s">
        <v>112</v>
      </c>
      <c r="B270" s="208"/>
      <c r="C270" s="208"/>
      <c r="D270" s="208"/>
      <c r="E270" s="208"/>
      <c r="F270" s="208"/>
      <c r="G270" s="208"/>
      <c r="H270" s="208"/>
      <c r="I270" s="208"/>
      <c r="J270" s="208"/>
      <c r="K270" s="208"/>
      <c r="L270" s="208"/>
      <c r="M270" s="209"/>
    </row>
    <row r="271" spans="1:13" x14ac:dyDescent="0.25">
      <c r="A271" s="207"/>
      <c r="B271" s="208"/>
      <c r="C271" s="208"/>
      <c r="D271" s="208"/>
      <c r="E271" s="208"/>
      <c r="F271" s="208"/>
      <c r="G271" s="208"/>
      <c r="H271" s="208"/>
      <c r="I271" s="208"/>
      <c r="J271" s="208"/>
      <c r="K271" s="208"/>
      <c r="L271" s="208"/>
      <c r="M271" s="209"/>
    </row>
    <row r="272" spans="1:13" x14ac:dyDescent="0.25">
      <c r="A272" s="15" t="s">
        <v>83</v>
      </c>
      <c r="B272" s="27">
        <v>523</v>
      </c>
      <c r="C272" s="15">
        <v>226</v>
      </c>
      <c r="D272" s="27">
        <v>11</v>
      </c>
      <c r="E272" s="15">
        <v>7</v>
      </c>
      <c r="F272" s="15">
        <v>467</v>
      </c>
      <c r="G272" s="15">
        <v>203</v>
      </c>
      <c r="H272" s="15">
        <v>11</v>
      </c>
      <c r="I272" s="15">
        <v>7</v>
      </c>
      <c r="J272" s="15">
        <v>56</v>
      </c>
      <c r="K272" s="15">
        <v>23</v>
      </c>
      <c r="L272" s="15" t="s">
        <v>84</v>
      </c>
      <c r="M272" s="15" t="s">
        <v>84</v>
      </c>
    </row>
    <row r="273" spans="1:13" x14ac:dyDescent="0.25">
      <c r="A273" s="15" t="s">
        <v>151</v>
      </c>
      <c r="B273" s="15">
        <v>148</v>
      </c>
      <c r="C273" s="15">
        <v>79</v>
      </c>
      <c r="D273" s="15">
        <v>1</v>
      </c>
      <c r="E273" s="15">
        <v>1</v>
      </c>
      <c r="F273" s="15">
        <v>137</v>
      </c>
      <c r="G273" s="15">
        <v>73</v>
      </c>
      <c r="H273" s="15">
        <v>1</v>
      </c>
      <c r="I273" s="15">
        <v>1</v>
      </c>
      <c r="J273" s="15">
        <v>11</v>
      </c>
      <c r="K273" s="15">
        <v>6</v>
      </c>
      <c r="L273" s="15" t="s">
        <v>84</v>
      </c>
      <c r="M273" s="15" t="s">
        <v>84</v>
      </c>
    </row>
    <row r="274" spans="1:13" x14ac:dyDescent="0.25">
      <c r="A274" s="15" t="s">
        <v>152</v>
      </c>
      <c r="B274" s="15">
        <v>6</v>
      </c>
      <c r="C274" s="15">
        <v>3</v>
      </c>
      <c r="D274" s="15" t="s">
        <v>84</v>
      </c>
      <c r="E274" s="15" t="s">
        <v>84</v>
      </c>
      <c r="F274" s="15">
        <v>6</v>
      </c>
      <c r="G274" s="15">
        <v>3</v>
      </c>
      <c r="H274" s="15" t="s">
        <v>84</v>
      </c>
      <c r="I274" s="15" t="s">
        <v>84</v>
      </c>
      <c r="J274" s="15" t="s">
        <v>84</v>
      </c>
      <c r="K274" s="15" t="s">
        <v>84</v>
      </c>
      <c r="L274" s="15" t="s">
        <v>84</v>
      </c>
      <c r="M274" s="15" t="s">
        <v>84</v>
      </c>
    </row>
    <row r="275" spans="1:13" x14ac:dyDescent="0.25">
      <c r="A275" s="15" t="s">
        <v>85</v>
      </c>
      <c r="B275" s="15">
        <v>246</v>
      </c>
      <c r="C275" s="15">
        <v>102</v>
      </c>
      <c r="D275" s="15">
        <v>3</v>
      </c>
      <c r="E275" s="15">
        <v>1</v>
      </c>
      <c r="F275" s="15">
        <v>230</v>
      </c>
      <c r="G275" s="15">
        <v>94</v>
      </c>
      <c r="H275" s="15">
        <v>3</v>
      </c>
      <c r="I275" s="15">
        <v>1</v>
      </c>
      <c r="J275" s="15">
        <v>16</v>
      </c>
      <c r="K275" s="15">
        <v>8</v>
      </c>
      <c r="L275" s="15" t="s">
        <v>84</v>
      </c>
      <c r="M275" s="15" t="s">
        <v>84</v>
      </c>
    </row>
    <row r="276" spans="1:13" x14ac:dyDescent="0.25">
      <c r="A276" s="15" t="s">
        <v>86</v>
      </c>
      <c r="B276" s="15">
        <v>86</v>
      </c>
      <c r="C276" s="15">
        <v>31</v>
      </c>
      <c r="D276" s="15">
        <v>5</v>
      </c>
      <c r="E276" s="15">
        <v>4</v>
      </c>
      <c r="F276" s="15">
        <v>77</v>
      </c>
      <c r="G276" s="15">
        <v>29</v>
      </c>
      <c r="H276" s="15">
        <v>5</v>
      </c>
      <c r="I276" s="15">
        <v>4</v>
      </c>
      <c r="J276" s="15">
        <v>9</v>
      </c>
      <c r="K276" s="15">
        <v>2</v>
      </c>
      <c r="L276" s="15" t="s">
        <v>84</v>
      </c>
      <c r="M276" s="15" t="s">
        <v>84</v>
      </c>
    </row>
    <row r="277" spans="1:13" x14ac:dyDescent="0.25">
      <c r="A277" s="15" t="s">
        <v>87</v>
      </c>
      <c r="B277" s="15">
        <v>37</v>
      </c>
      <c r="C277" s="15">
        <v>11</v>
      </c>
      <c r="D277" s="15">
        <v>2</v>
      </c>
      <c r="E277" s="15">
        <v>1</v>
      </c>
      <c r="F277" s="15">
        <v>17</v>
      </c>
      <c r="G277" s="15">
        <v>4</v>
      </c>
      <c r="H277" s="15">
        <v>2</v>
      </c>
      <c r="I277" s="15">
        <v>1</v>
      </c>
      <c r="J277" s="15">
        <v>20</v>
      </c>
      <c r="K277" s="15">
        <v>7</v>
      </c>
      <c r="L277" s="15" t="s">
        <v>84</v>
      </c>
      <c r="M277" s="15" t="s">
        <v>84</v>
      </c>
    </row>
    <row r="278" spans="1:13" ht="15" customHeight="1" x14ac:dyDescent="0.25">
      <c r="A278" s="15" t="s">
        <v>153</v>
      </c>
      <c r="B278" s="15">
        <v>5</v>
      </c>
      <c r="C278" s="15">
        <v>3</v>
      </c>
      <c r="D278" s="15" t="s">
        <v>84</v>
      </c>
      <c r="E278" s="15" t="s">
        <v>84</v>
      </c>
      <c r="F278" s="15">
        <v>3</v>
      </c>
      <c r="G278" s="15">
        <v>1</v>
      </c>
      <c r="H278" s="15" t="s">
        <v>84</v>
      </c>
      <c r="I278" s="15" t="s">
        <v>84</v>
      </c>
      <c r="J278" s="15">
        <v>2</v>
      </c>
      <c r="K278" s="15">
        <v>2</v>
      </c>
      <c r="L278" s="15" t="s">
        <v>84</v>
      </c>
      <c r="M278" s="15" t="s">
        <v>84</v>
      </c>
    </row>
    <row r="279" spans="1:13" x14ac:dyDescent="0.25">
      <c r="A279" s="15" t="s">
        <v>154</v>
      </c>
      <c r="B279" s="15">
        <v>18</v>
      </c>
      <c r="C279" s="15">
        <v>5</v>
      </c>
      <c r="D279" s="15" t="s">
        <v>84</v>
      </c>
      <c r="E279" s="15" t="s">
        <v>84</v>
      </c>
      <c r="F279" s="15" t="s">
        <v>84</v>
      </c>
      <c r="G279" s="15" t="s">
        <v>84</v>
      </c>
      <c r="H279" s="15" t="s">
        <v>84</v>
      </c>
      <c r="I279" s="15" t="s">
        <v>84</v>
      </c>
      <c r="J279" s="15">
        <v>18</v>
      </c>
      <c r="K279" s="15">
        <v>5</v>
      </c>
      <c r="L279" s="15" t="s">
        <v>84</v>
      </c>
      <c r="M279" s="15" t="s">
        <v>84</v>
      </c>
    </row>
    <row r="280" spans="1:13" ht="15" customHeight="1" x14ac:dyDescent="0.25">
      <c r="A280" s="207" t="s">
        <v>113</v>
      </c>
      <c r="B280" s="208"/>
      <c r="C280" s="208"/>
      <c r="D280" s="208"/>
      <c r="E280" s="208"/>
      <c r="F280" s="208"/>
      <c r="G280" s="208"/>
      <c r="H280" s="208"/>
      <c r="I280" s="208"/>
      <c r="J280" s="208"/>
      <c r="K280" s="208"/>
      <c r="L280" s="208"/>
      <c r="M280" s="209"/>
    </row>
    <row r="281" spans="1:13" x14ac:dyDescent="0.25">
      <c r="A281" s="207"/>
      <c r="B281" s="208"/>
      <c r="C281" s="208"/>
      <c r="D281" s="208"/>
      <c r="E281" s="208"/>
      <c r="F281" s="208"/>
      <c r="G281" s="208"/>
      <c r="H281" s="208"/>
      <c r="I281" s="208"/>
      <c r="J281" s="208"/>
      <c r="K281" s="208"/>
      <c r="L281" s="208"/>
      <c r="M281" s="209"/>
    </row>
    <row r="282" spans="1:13" x14ac:dyDescent="0.25">
      <c r="A282" s="15" t="s">
        <v>83</v>
      </c>
      <c r="B282" s="27">
        <v>1976</v>
      </c>
      <c r="C282" s="15">
        <v>984</v>
      </c>
      <c r="D282" s="27">
        <v>72</v>
      </c>
      <c r="E282" s="15">
        <v>36</v>
      </c>
      <c r="F282" s="15">
        <v>1838</v>
      </c>
      <c r="G282" s="15">
        <v>921</v>
      </c>
      <c r="H282" s="15">
        <v>66</v>
      </c>
      <c r="I282" s="15">
        <v>34</v>
      </c>
      <c r="J282" s="15">
        <v>138</v>
      </c>
      <c r="K282" s="15">
        <v>63</v>
      </c>
      <c r="L282" s="15">
        <v>6</v>
      </c>
      <c r="M282" s="15">
        <v>2</v>
      </c>
    </row>
    <row r="283" spans="1:13" x14ac:dyDescent="0.25">
      <c r="A283" s="15" t="s">
        <v>151</v>
      </c>
      <c r="B283" s="15">
        <v>767</v>
      </c>
      <c r="C283" s="15">
        <v>413</v>
      </c>
      <c r="D283" s="15">
        <v>9</v>
      </c>
      <c r="E283" s="15">
        <v>4</v>
      </c>
      <c r="F283" s="15">
        <v>651</v>
      </c>
      <c r="G283" s="15">
        <v>361</v>
      </c>
      <c r="H283" s="15">
        <v>3</v>
      </c>
      <c r="I283" s="15">
        <v>2</v>
      </c>
      <c r="J283" s="15">
        <v>116</v>
      </c>
      <c r="K283" s="15">
        <v>52</v>
      </c>
      <c r="L283" s="15">
        <v>6</v>
      </c>
      <c r="M283" s="15">
        <v>2</v>
      </c>
    </row>
    <row r="284" spans="1:13" x14ac:dyDescent="0.25">
      <c r="A284" s="15" t="s">
        <v>152</v>
      </c>
      <c r="B284" s="15">
        <v>33</v>
      </c>
      <c r="C284" s="15">
        <v>23</v>
      </c>
      <c r="D284" s="15" t="s">
        <v>84</v>
      </c>
      <c r="E284" s="15" t="s">
        <v>84</v>
      </c>
      <c r="F284" s="15">
        <v>30</v>
      </c>
      <c r="G284" s="15">
        <v>22</v>
      </c>
      <c r="H284" s="15" t="s">
        <v>84</v>
      </c>
      <c r="I284" s="15" t="s">
        <v>84</v>
      </c>
      <c r="J284" s="15">
        <v>3</v>
      </c>
      <c r="K284" s="15">
        <v>1</v>
      </c>
      <c r="L284" s="15" t="s">
        <v>84</v>
      </c>
      <c r="M284" s="15" t="s">
        <v>84</v>
      </c>
    </row>
    <row r="285" spans="1:13" x14ac:dyDescent="0.25">
      <c r="A285" s="15" t="s">
        <v>85</v>
      </c>
      <c r="B285" s="15">
        <v>871</v>
      </c>
      <c r="C285" s="15">
        <v>415</v>
      </c>
      <c r="D285" s="15">
        <v>32</v>
      </c>
      <c r="E285" s="15">
        <v>16</v>
      </c>
      <c r="F285" s="15">
        <v>858</v>
      </c>
      <c r="G285" s="15">
        <v>406</v>
      </c>
      <c r="H285" s="15">
        <v>32</v>
      </c>
      <c r="I285" s="15">
        <v>16</v>
      </c>
      <c r="J285" s="15">
        <v>13</v>
      </c>
      <c r="K285" s="15">
        <v>9</v>
      </c>
      <c r="L285" s="15" t="s">
        <v>84</v>
      </c>
      <c r="M285" s="15" t="s">
        <v>84</v>
      </c>
    </row>
    <row r="286" spans="1:13" x14ac:dyDescent="0.25">
      <c r="A286" s="15" t="s">
        <v>86</v>
      </c>
      <c r="B286" s="15">
        <v>242</v>
      </c>
      <c r="C286" s="15">
        <v>103</v>
      </c>
      <c r="D286" s="15">
        <v>24</v>
      </c>
      <c r="E286" s="15">
        <v>13</v>
      </c>
      <c r="F286" s="15">
        <v>236</v>
      </c>
      <c r="G286" s="15">
        <v>102</v>
      </c>
      <c r="H286" s="15">
        <v>24</v>
      </c>
      <c r="I286" s="15">
        <v>13</v>
      </c>
      <c r="J286" s="15">
        <v>6</v>
      </c>
      <c r="K286" s="15">
        <v>1</v>
      </c>
      <c r="L286" s="15" t="s">
        <v>84</v>
      </c>
      <c r="M286" s="15" t="s">
        <v>84</v>
      </c>
    </row>
    <row r="287" spans="1:13" x14ac:dyDescent="0.25">
      <c r="A287" s="15" t="s">
        <v>87</v>
      </c>
      <c r="B287" s="15">
        <v>63</v>
      </c>
      <c r="C287" s="15">
        <v>30</v>
      </c>
      <c r="D287" s="15">
        <v>7</v>
      </c>
      <c r="E287" s="15">
        <v>3</v>
      </c>
      <c r="F287" s="15">
        <v>63</v>
      </c>
      <c r="G287" s="15">
        <v>30</v>
      </c>
      <c r="H287" s="15">
        <v>7</v>
      </c>
      <c r="I287" s="15">
        <v>3</v>
      </c>
      <c r="J287" s="15" t="s">
        <v>84</v>
      </c>
      <c r="K287" s="15" t="s">
        <v>84</v>
      </c>
      <c r="L287" s="15" t="s">
        <v>84</v>
      </c>
      <c r="M287" s="15" t="s">
        <v>84</v>
      </c>
    </row>
    <row r="288" spans="1:13" ht="15" customHeight="1" x14ac:dyDescent="0.25">
      <c r="A288" s="15" t="s">
        <v>153</v>
      </c>
      <c r="B288" s="15">
        <v>23</v>
      </c>
      <c r="C288" s="15">
        <v>11</v>
      </c>
      <c r="D288" s="15">
        <v>2</v>
      </c>
      <c r="E288" s="15">
        <v>1</v>
      </c>
      <c r="F288" s="15">
        <v>23</v>
      </c>
      <c r="G288" s="15">
        <v>11</v>
      </c>
      <c r="H288" s="15">
        <v>2</v>
      </c>
      <c r="I288" s="15">
        <v>1</v>
      </c>
      <c r="J288" s="15" t="s">
        <v>84</v>
      </c>
      <c r="K288" s="15" t="s">
        <v>84</v>
      </c>
      <c r="L288" s="15" t="s">
        <v>84</v>
      </c>
      <c r="M288" s="15" t="s">
        <v>84</v>
      </c>
    </row>
    <row r="289" spans="1:13" x14ac:dyDescent="0.25">
      <c r="A289" s="15" t="s">
        <v>154</v>
      </c>
      <c r="B289" s="15">
        <v>17</v>
      </c>
      <c r="C289" s="15">
        <v>11</v>
      </c>
      <c r="D289" s="15" t="s">
        <v>84</v>
      </c>
      <c r="E289" s="15" t="s">
        <v>84</v>
      </c>
      <c r="F289" s="15">
        <v>17</v>
      </c>
      <c r="G289" s="15">
        <v>11</v>
      </c>
      <c r="H289" s="15" t="s">
        <v>84</v>
      </c>
      <c r="I289" s="15" t="s">
        <v>84</v>
      </c>
      <c r="J289" s="15" t="s">
        <v>84</v>
      </c>
      <c r="K289" s="15" t="s">
        <v>84</v>
      </c>
      <c r="L289" s="15" t="s">
        <v>84</v>
      </c>
      <c r="M289" s="15" t="s">
        <v>84</v>
      </c>
    </row>
    <row r="290" spans="1:13" ht="15" customHeight="1" x14ac:dyDescent="0.25">
      <c r="A290" s="207" t="s">
        <v>114</v>
      </c>
      <c r="B290" s="208"/>
      <c r="C290" s="208"/>
      <c r="D290" s="208"/>
      <c r="E290" s="208"/>
      <c r="F290" s="208"/>
      <c r="G290" s="208"/>
      <c r="H290" s="208"/>
      <c r="I290" s="208"/>
      <c r="J290" s="208"/>
      <c r="K290" s="208"/>
      <c r="L290" s="208"/>
      <c r="M290" s="209"/>
    </row>
    <row r="291" spans="1:13" x14ac:dyDescent="0.25">
      <c r="A291" s="207"/>
      <c r="B291" s="208"/>
      <c r="C291" s="208"/>
      <c r="D291" s="208"/>
      <c r="E291" s="208"/>
      <c r="F291" s="208"/>
      <c r="G291" s="208"/>
      <c r="H291" s="208"/>
      <c r="I291" s="208"/>
      <c r="J291" s="208"/>
      <c r="K291" s="208"/>
      <c r="L291" s="208"/>
      <c r="M291" s="209"/>
    </row>
    <row r="292" spans="1:13" x14ac:dyDescent="0.25">
      <c r="A292" s="15" t="s">
        <v>83</v>
      </c>
      <c r="B292" s="27">
        <v>1226</v>
      </c>
      <c r="C292" s="15">
        <v>572</v>
      </c>
      <c r="D292" s="27">
        <v>44</v>
      </c>
      <c r="E292" s="15">
        <v>21</v>
      </c>
      <c r="F292" s="15">
        <v>1226</v>
      </c>
      <c r="G292" s="15">
        <v>572</v>
      </c>
      <c r="H292" s="15">
        <v>44</v>
      </c>
      <c r="I292" s="15">
        <v>21</v>
      </c>
      <c r="J292" s="15" t="s">
        <v>84</v>
      </c>
      <c r="K292" s="15" t="s">
        <v>84</v>
      </c>
      <c r="L292" s="15" t="s">
        <v>84</v>
      </c>
      <c r="M292" s="15" t="s">
        <v>84</v>
      </c>
    </row>
    <row r="293" spans="1:13" x14ac:dyDescent="0.25">
      <c r="A293" s="15" t="s">
        <v>151</v>
      </c>
      <c r="B293" s="15">
        <v>424</v>
      </c>
      <c r="C293" s="15">
        <v>226</v>
      </c>
      <c r="D293" s="15">
        <v>4</v>
      </c>
      <c r="E293" s="15">
        <v>2</v>
      </c>
      <c r="F293" s="15">
        <v>424</v>
      </c>
      <c r="G293" s="15">
        <v>226</v>
      </c>
      <c r="H293" s="15">
        <v>4</v>
      </c>
      <c r="I293" s="15">
        <v>2</v>
      </c>
      <c r="J293" s="15" t="s">
        <v>84</v>
      </c>
      <c r="K293" s="15" t="s">
        <v>84</v>
      </c>
      <c r="L293" s="15" t="s">
        <v>84</v>
      </c>
      <c r="M293" s="15" t="s">
        <v>84</v>
      </c>
    </row>
    <row r="294" spans="1:13" x14ac:dyDescent="0.25">
      <c r="A294" s="15" t="s">
        <v>152</v>
      </c>
      <c r="B294" s="15">
        <v>19</v>
      </c>
      <c r="C294" s="15">
        <v>11</v>
      </c>
      <c r="D294" s="15">
        <v>4</v>
      </c>
      <c r="E294" s="15">
        <v>4</v>
      </c>
      <c r="F294" s="15">
        <v>19</v>
      </c>
      <c r="G294" s="15">
        <v>11</v>
      </c>
      <c r="H294" s="15">
        <v>4</v>
      </c>
      <c r="I294" s="15">
        <v>4</v>
      </c>
      <c r="J294" s="15" t="s">
        <v>84</v>
      </c>
      <c r="K294" s="15" t="s">
        <v>84</v>
      </c>
      <c r="L294" s="15" t="s">
        <v>84</v>
      </c>
      <c r="M294" s="15" t="s">
        <v>84</v>
      </c>
    </row>
    <row r="295" spans="1:13" x14ac:dyDescent="0.25">
      <c r="A295" s="15" t="s">
        <v>85</v>
      </c>
      <c r="B295" s="15">
        <v>602</v>
      </c>
      <c r="C295" s="15">
        <v>261</v>
      </c>
      <c r="D295" s="15">
        <v>22</v>
      </c>
      <c r="E295" s="15">
        <v>6</v>
      </c>
      <c r="F295" s="15">
        <v>602</v>
      </c>
      <c r="G295" s="15">
        <v>261</v>
      </c>
      <c r="H295" s="15">
        <v>22</v>
      </c>
      <c r="I295" s="15">
        <v>6</v>
      </c>
      <c r="J295" s="15" t="s">
        <v>84</v>
      </c>
      <c r="K295" s="15" t="s">
        <v>84</v>
      </c>
      <c r="L295" s="15" t="s">
        <v>84</v>
      </c>
      <c r="M295" s="15" t="s">
        <v>84</v>
      </c>
    </row>
    <row r="296" spans="1:13" x14ac:dyDescent="0.25">
      <c r="A296" s="15" t="s">
        <v>86</v>
      </c>
      <c r="B296" s="15">
        <v>142</v>
      </c>
      <c r="C296" s="15">
        <v>55</v>
      </c>
      <c r="D296" s="15">
        <v>10</v>
      </c>
      <c r="E296" s="15">
        <v>5</v>
      </c>
      <c r="F296" s="15">
        <v>142</v>
      </c>
      <c r="G296" s="15">
        <v>55</v>
      </c>
      <c r="H296" s="15">
        <v>10</v>
      </c>
      <c r="I296" s="15">
        <v>5</v>
      </c>
      <c r="J296" s="15" t="s">
        <v>84</v>
      </c>
      <c r="K296" s="15" t="s">
        <v>84</v>
      </c>
      <c r="L296" s="15" t="s">
        <v>84</v>
      </c>
      <c r="M296" s="15" t="s">
        <v>84</v>
      </c>
    </row>
    <row r="297" spans="1:13" x14ac:dyDescent="0.25">
      <c r="A297" s="15" t="s">
        <v>87</v>
      </c>
      <c r="B297" s="15">
        <v>39</v>
      </c>
      <c r="C297" s="15">
        <v>19</v>
      </c>
      <c r="D297" s="15">
        <v>4</v>
      </c>
      <c r="E297" s="15">
        <v>4</v>
      </c>
      <c r="F297" s="15">
        <v>39</v>
      </c>
      <c r="G297" s="15">
        <v>19</v>
      </c>
      <c r="H297" s="15">
        <v>4</v>
      </c>
      <c r="I297" s="15">
        <v>4</v>
      </c>
      <c r="J297" s="15" t="s">
        <v>84</v>
      </c>
      <c r="K297" s="15" t="s">
        <v>84</v>
      </c>
      <c r="L297" s="15" t="s">
        <v>84</v>
      </c>
      <c r="M297" s="15" t="s">
        <v>84</v>
      </c>
    </row>
    <row r="298" spans="1:13" ht="15" customHeight="1" x14ac:dyDescent="0.25">
      <c r="A298" s="15" t="s">
        <v>153</v>
      </c>
      <c r="B298" s="15">
        <v>12</v>
      </c>
      <c r="C298" s="15">
        <v>6</v>
      </c>
      <c r="D298" s="15">
        <v>2</v>
      </c>
      <c r="E298" s="15">
        <v>2</v>
      </c>
      <c r="F298" s="15">
        <v>12</v>
      </c>
      <c r="G298" s="15">
        <v>6</v>
      </c>
      <c r="H298" s="15">
        <v>2</v>
      </c>
      <c r="I298" s="15">
        <v>2</v>
      </c>
      <c r="J298" s="15" t="s">
        <v>84</v>
      </c>
      <c r="K298" s="15" t="s">
        <v>84</v>
      </c>
      <c r="L298" s="15" t="s">
        <v>84</v>
      </c>
      <c r="M298" s="15" t="s">
        <v>84</v>
      </c>
    </row>
    <row r="299" spans="1:13" x14ac:dyDescent="0.25">
      <c r="A299" s="15" t="s">
        <v>154</v>
      </c>
      <c r="B299" s="15">
        <v>7</v>
      </c>
      <c r="C299" s="15">
        <v>3</v>
      </c>
      <c r="D299" s="15" t="s">
        <v>84</v>
      </c>
      <c r="E299" s="15" t="s">
        <v>84</v>
      </c>
      <c r="F299" s="15">
        <v>7</v>
      </c>
      <c r="G299" s="15">
        <v>3</v>
      </c>
      <c r="H299" s="15" t="s">
        <v>84</v>
      </c>
      <c r="I299" s="15" t="s">
        <v>84</v>
      </c>
      <c r="J299" s="15" t="s">
        <v>84</v>
      </c>
      <c r="K299" s="15" t="s">
        <v>84</v>
      </c>
      <c r="L299" s="15" t="s">
        <v>84</v>
      </c>
      <c r="M299" s="15" t="s">
        <v>84</v>
      </c>
    </row>
    <row r="300" spans="1:13" ht="15" customHeight="1" x14ac:dyDescent="0.25">
      <c r="A300" s="207" t="s">
        <v>115</v>
      </c>
      <c r="B300" s="208"/>
      <c r="C300" s="208"/>
      <c r="D300" s="208"/>
      <c r="E300" s="208"/>
      <c r="F300" s="208"/>
      <c r="G300" s="208"/>
      <c r="H300" s="208"/>
      <c r="I300" s="208"/>
      <c r="J300" s="208"/>
      <c r="K300" s="208"/>
      <c r="L300" s="208"/>
      <c r="M300" s="209"/>
    </row>
    <row r="301" spans="1:13" x14ac:dyDescent="0.25">
      <c r="A301" s="207"/>
      <c r="B301" s="208"/>
      <c r="C301" s="208"/>
      <c r="D301" s="208"/>
      <c r="E301" s="208"/>
      <c r="F301" s="208"/>
      <c r="G301" s="208"/>
      <c r="H301" s="208"/>
      <c r="I301" s="208"/>
      <c r="J301" s="208"/>
      <c r="K301" s="208"/>
      <c r="L301" s="208"/>
      <c r="M301" s="209"/>
    </row>
    <row r="302" spans="1:13" x14ac:dyDescent="0.25">
      <c r="A302" s="15" t="s">
        <v>83</v>
      </c>
      <c r="B302" s="27">
        <v>2021</v>
      </c>
      <c r="C302" s="15">
        <v>948</v>
      </c>
      <c r="D302" s="27">
        <v>84</v>
      </c>
      <c r="E302" s="15">
        <v>44</v>
      </c>
      <c r="F302" s="15">
        <v>1864</v>
      </c>
      <c r="G302" s="15">
        <v>880</v>
      </c>
      <c r="H302" s="15">
        <v>84</v>
      </c>
      <c r="I302" s="15">
        <v>44</v>
      </c>
      <c r="J302" s="15">
        <v>157</v>
      </c>
      <c r="K302" s="15">
        <v>68</v>
      </c>
      <c r="L302" s="15" t="s">
        <v>84</v>
      </c>
      <c r="M302" s="15" t="s">
        <v>84</v>
      </c>
    </row>
    <row r="303" spans="1:13" x14ac:dyDescent="0.25">
      <c r="A303" s="15" t="s">
        <v>151</v>
      </c>
      <c r="B303" s="15">
        <v>558</v>
      </c>
      <c r="C303" s="15">
        <v>297</v>
      </c>
      <c r="D303" s="15">
        <v>8</v>
      </c>
      <c r="E303" s="15">
        <v>4</v>
      </c>
      <c r="F303" s="15">
        <v>438</v>
      </c>
      <c r="G303" s="15">
        <v>240</v>
      </c>
      <c r="H303" s="15">
        <v>8</v>
      </c>
      <c r="I303" s="15">
        <v>4</v>
      </c>
      <c r="J303" s="15">
        <v>120</v>
      </c>
      <c r="K303" s="15">
        <v>57</v>
      </c>
      <c r="L303" s="15" t="s">
        <v>84</v>
      </c>
      <c r="M303" s="15" t="s">
        <v>84</v>
      </c>
    </row>
    <row r="304" spans="1:13" x14ac:dyDescent="0.25">
      <c r="A304" s="15" t="s">
        <v>152</v>
      </c>
      <c r="B304" s="15">
        <v>34</v>
      </c>
      <c r="C304" s="15">
        <v>20</v>
      </c>
      <c r="D304" s="15">
        <v>4</v>
      </c>
      <c r="E304" s="15">
        <v>3</v>
      </c>
      <c r="F304" s="15">
        <v>26</v>
      </c>
      <c r="G304" s="15">
        <v>16</v>
      </c>
      <c r="H304" s="15">
        <v>4</v>
      </c>
      <c r="I304" s="15">
        <v>3</v>
      </c>
      <c r="J304" s="15">
        <v>8</v>
      </c>
      <c r="K304" s="15">
        <v>4</v>
      </c>
      <c r="L304" s="15" t="s">
        <v>84</v>
      </c>
      <c r="M304" s="15" t="s">
        <v>84</v>
      </c>
    </row>
    <row r="305" spans="1:13" x14ac:dyDescent="0.25">
      <c r="A305" s="15" t="s">
        <v>85</v>
      </c>
      <c r="B305" s="15">
        <v>1061</v>
      </c>
      <c r="C305" s="15">
        <v>503</v>
      </c>
      <c r="D305" s="15">
        <v>45</v>
      </c>
      <c r="E305" s="15">
        <v>26</v>
      </c>
      <c r="F305" s="15">
        <v>1060</v>
      </c>
      <c r="G305" s="15">
        <v>503</v>
      </c>
      <c r="H305" s="15">
        <v>45</v>
      </c>
      <c r="I305" s="15">
        <v>26</v>
      </c>
      <c r="J305" s="15">
        <v>1</v>
      </c>
      <c r="K305" s="15" t="s">
        <v>84</v>
      </c>
      <c r="L305" s="15" t="s">
        <v>84</v>
      </c>
      <c r="M305" s="15" t="s">
        <v>84</v>
      </c>
    </row>
    <row r="306" spans="1:13" x14ac:dyDescent="0.25">
      <c r="A306" s="15" t="s">
        <v>86</v>
      </c>
      <c r="B306" s="15">
        <v>261</v>
      </c>
      <c r="C306" s="15">
        <v>100</v>
      </c>
      <c r="D306" s="15">
        <v>18</v>
      </c>
      <c r="E306" s="15">
        <v>9</v>
      </c>
      <c r="F306" s="15">
        <v>256</v>
      </c>
      <c r="G306" s="15">
        <v>99</v>
      </c>
      <c r="H306" s="15">
        <v>18</v>
      </c>
      <c r="I306" s="15">
        <v>9</v>
      </c>
      <c r="J306" s="15">
        <v>5</v>
      </c>
      <c r="K306" s="15">
        <v>1</v>
      </c>
      <c r="L306" s="15" t="s">
        <v>84</v>
      </c>
      <c r="M306" s="15" t="s">
        <v>84</v>
      </c>
    </row>
    <row r="307" spans="1:13" x14ac:dyDescent="0.25">
      <c r="A307" s="15" t="s">
        <v>87</v>
      </c>
      <c r="B307" s="15">
        <v>107</v>
      </c>
      <c r="C307" s="15">
        <v>28</v>
      </c>
      <c r="D307" s="15">
        <v>9</v>
      </c>
      <c r="E307" s="15">
        <v>2</v>
      </c>
      <c r="F307" s="15">
        <v>84</v>
      </c>
      <c r="G307" s="15">
        <v>22</v>
      </c>
      <c r="H307" s="15">
        <v>9</v>
      </c>
      <c r="I307" s="15">
        <v>2</v>
      </c>
      <c r="J307" s="15">
        <v>23</v>
      </c>
      <c r="K307" s="15">
        <v>6</v>
      </c>
      <c r="L307" s="15" t="s">
        <v>84</v>
      </c>
      <c r="M307" s="15" t="s">
        <v>84</v>
      </c>
    </row>
    <row r="308" spans="1:13" ht="15" customHeight="1" x14ac:dyDescent="0.25">
      <c r="A308" s="15" t="s">
        <v>153</v>
      </c>
      <c r="B308" s="15">
        <v>21</v>
      </c>
      <c r="C308" s="15">
        <v>4</v>
      </c>
      <c r="D308" s="15">
        <v>1</v>
      </c>
      <c r="E308" s="15" t="s">
        <v>84</v>
      </c>
      <c r="F308" s="15">
        <v>20</v>
      </c>
      <c r="G308" s="15">
        <v>4</v>
      </c>
      <c r="H308" s="15">
        <v>1</v>
      </c>
      <c r="I308" s="15" t="s">
        <v>84</v>
      </c>
      <c r="J308" s="15">
        <v>1</v>
      </c>
      <c r="K308" s="15" t="s">
        <v>84</v>
      </c>
      <c r="L308" s="15" t="s">
        <v>84</v>
      </c>
      <c r="M308" s="15" t="s">
        <v>84</v>
      </c>
    </row>
    <row r="309" spans="1:13" x14ac:dyDescent="0.25">
      <c r="A309" s="15" t="s">
        <v>154</v>
      </c>
      <c r="B309" s="15">
        <v>23</v>
      </c>
      <c r="C309" s="15">
        <v>6</v>
      </c>
      <c r="D309" s="15" t="s">
        <v>84</v>
      </c>
      <c r="E309" s="15" t="s">
        <v>84</v>
      </c>
      <c r="F309" s="15">
        <v>1</v>
      </c>
      <c r="G309" s="15" t="s">
        <v>84</v>
      </c>
      <c r="H309" s="15" t="s">
        <v>84</v>
      </c>
      <c r="I309" s="15" t="s">
        <v>84</v>
      </c>
      <c r="J309" s="15">
        <v>22</v>
      </c>
      <c r="K309" s="15">
        <v>6</v>
      </c>
      <c r="L309" s="15" t="s">
        <v>84</v>
      </c>
      <c r="M309" s="15" t="s">
        <v>84</v>
      </c>
    </row>
    <row r="310" spans="1:13" ht="15" customHeight="1" x14ac:dyDescent="0.25">
      <c r="A310" s="207" t="s">
        <v>116</v>
      </c>
      <c r="B310" s="208"/>
      <c r="C310" s="208"/>
      <c r="D310" s="208"/>
      <c r="E310" s="208"/>
      <c r="F310" s="208"/>
      <c r="G310" s="208"/>
      <c r="H310" s="208"/>
      <c r="I310" s="208"/>
      <c r="J310" s="208"/>
      <c r="K310" s="208"/>
      <c r="L310" s="208"/>
      <c r="M310" s="209"/>
    </row>
    <row r="311" spans="1:13" x14ac:dyDescent="0.25">
      <c r="A311" s="207"/>
      <c r="B311" s="208"/>
      <c r="C311" s="208"/>
      <c r="D311" s="208"/>
      <c r="E311" s="208"/>
      <c r="F311" s="208"/>
      <c r="G311" s="208"/>
      <c r="H311" s="208"/>
      <c r="I311" s="208"/>
      <c r="J311" s="208"/>
      <c r="K311" s="208"/>
      <c r="L311" s="208"/>
      <c r="M311" s="209"/>
    </row>
    <row r="312" spans="1:13" x14ac:dyDescent="0.25">
      <c r="A312" s="15" t="s">
        <v>83</v>
      </c>
      <c r="B312" s="27">
        <v>1627</v>
      </c>
      <c r="C312" s="15">
        <v>802</v>
      </c>
      <c r="D312" s="27">
        <v>72</v>
      </c>
      <c r="E312" s="15">
        <v>25</v>
      </c>
      <c r="F312" s="15">
        <v>1590</v>
      </c>
      <c r="G312" s="15">
        <v>784</v>
      </c>
      <c r="H312" s="15">
        <v>72</v>
      </c>
      <c r="I312" s="15">
        <v>25</v>
      </c>
      <c r="J312" s="15">
        <v>37</v>
      </c>
      <c r="K312" s="15">
        <v>18</v>
      </c>
      <c r="L312" s="15" t="s">
        <v>84</v>
      </c>
      <c r="M312" s="15" t="s">
        <v>84</v>
      </c>
    </row>
    <row r="313" spans="1:13" x14ac:dyDescent="0.25">
      <c r="A313" s="15" t="s">
        <v>151</v>
      </c>
      <c r="B313" s="15">
        <v>482</v>
      </c>
      <c r="C313" s="15">
        <v>281</v>
      </c>
      <c r="D313" s="15">
        <v>6</v>
      </c>
      <c r="E313" s="15">
        <v>4</v>
      </c>
      <c r="F313" s="15">
        <v>472</v>
      </c>
      <c r="G313" s="15">
        <v>276</v>
      </c>
      <c r="H313" s="15">
        <v>6</v>
      </c>
      <c r="I313" s="15">
        <v>4</v>
      </c>
      <c r="J313" s="15">
        <v>10</v>
      </c>
      <c r="K313" s="15">
        <v>5</v>
      </c>
      <c r="L313" s="15" t="s">
        <v>84</v>
      </c>
      <c r="M313" s="15" t="s">
        <v>84</v>
      </c>
    </row>
    <row r="314" spans="1:13" x14ac:dyDescent="0.25">
      <c r="A314" s="15" t="s">
        <v>152</v>
      </c>
      <c r="B314" s="15">
        <v>33</v>
      </c>
      <c r="C314" s="15">
        <v>20</v>
      </c>
      <c r="D314" s="15">
        <v>1</v>
      </c>
      <c r="E314" s="15" t="s">
        <v>84</v>
      </c>
      <c r="F314" s="15">
        <v>33</v>
      </c>
      <c r="G314" s="15">
        <v>20</v>
      </c>
      <c r="H314" s="15">
        <v>1</v>
      </c>
      <c r="I314" s="15" t="s">
        <v>84</v>
      </c>
      <c r="J314" s="15" t="s">
        <v>84</v>
      </c>
      <c r="K314" s="15" t="s">
        <v>84</v>
      </c>
      <c r="L314" s="15" t="s">
        <v>84</v>
      </c>
      <c r="M314" s="15" t="s">
        <v>84</v>
      </c>
    </row>
    <row r="315" spans="1:13" x14ac:dyDescent="0.25">
      <c r="A315" s="15" t="s">
        <v>85</v>
      </c>
      <c r="B315" s="15">
        <v>769</v>
      </c>
      <c r="C315" s="15">
        <v>374</v>
      </c>
      <c r="D315" s="15">
        <v>31</v>
      </c>
      <c r="E315" s="15">
        <v>11</v>
      </c>
      <c r="F315" s="15">
        <v>760</v>
      </c>
      <c r="G315" s="15">
        <v>369</v>
      </c>
      <c r="H315" s="15">
        <v>31</v>
      </c>
      <c r="I315" s="15">
        <v>11</v>
      </c>
      <c r="J315" s="15">
        <v>9</v>
      </c>
      <c r="K315" s="15">
        <v>5</v>
      </c>
      <c r="L315" s="15" t="s">
        <v>84</v>
      </c>
      <c r="M315" s="15" t="s">
        <v>84</v>
      </c>
    </row>
    <row r="316" spans="1:13" x14ac:dyDescent="0.25">
      <c r="A316" s="15" t="s">
        <v>86</v>
      </c>
      <c r="B316" s="15">
        <v>233</v>
      </c>
      <c r="C316" s="15">
        <v>81</v>
      </c>
      <c r="D316" s="15">
        <v>19</v>
      </c>
      <c r="E316" s="15">
        <v>5</v>
      </c>
      <c r="F316" s="15">
        <v>233</v>
      </c>
      <c r="G316" s="15">
        <v>81</v>
      </c>
      <c r="H316" s="15">
        <v>19</v>
      </c>
      <c r="I316" s="15">
        <v>5</v>
      </c>
      <c r="J316" s="15" t="s">
        <v>84</v>
      </c>
      <c r="K316" s="15" t="s">
        <v>84</v>
      </c>
      <c r="L316" s="15" t="s">
        <v>84</v>
      </c>
      <c r="M316" s="15" t="s">
        <v>84</v>
      </c>
    </row>
    <row r="317" spans="1:13" x14ac:dyDescent="0.25">
      <c r="A317" s="15" t="s">
        <v>87</v>
      </c>
      <c r="B317" s="15">
        <v>110</v>
      </c>
      <c r="C317" s="15">
        <v>46</v>
      </c>
      <c r="D317" s="15">
        <v>15</v>
      </c>
      <c r="E317" s="15">
        <v>5</v>
      </c>
      <c r="F317" s="15">
        <v>92</v>
      </c>
      <c r="G317" s="15">
        <v>38</v>
      </c>
      <c r="H317" s="15">
        <v>15</v>
      </c>
      <c r="I317" s="15">
        <v>5</v>
      </c>
      <c r="J317" s="15">
        <v>18</v>
      </c>
      <c r="K317" s="15">
        <v>8</v>
      </c>
      <c r="L317" s="15" t="s">
        <v>84</v>
      </c>
      <c r="M317" s="15" t="s">
        <v>84</v>
      </c>
    </row>
    <row r="318" spans="1:13" ht="15" customHeight="1" x14ac:dyDescent="0.25">
      <c r="A318" s="15" t="s">
        <v>153</v>
      </c>
      <c r="B318" s="15">
        <v>59</v>
      </c>
      <c r="C318" s="15">
        <v>28</v>
      </c>
      <c r="D318" s="15">
        <v>9</v>
      </c>
      <c r="E318" s="15">
        <v>4</v>
      </c>
      <c r="F318" s="15">
        <v>58</v>
      </c>
      <c r="G318" s="15">
        <v>27</v>
      </c>
      <c r="H318" s="15">
        <v>9</v>
      </c>
      <c r="I318" s="15">
        <v>4</v>
      </c>
      <c r="J318" s="15">
        <v>1</v>
      </c>
      <c r="K318" s="15">
        <v>1</v>
      </c>
      <c r="L318" s="15" t="s">
        <v>84</v>
      </c>
      <c r="M318" s="15" t="s">
        <v>84</v>
      </c>
    </row>
    <row r="319" spans="1:13" x14ac:dyDescent="0.25">
      <c r="A319" s="15" t="s">
        <v>154</v>
      </c>
      <c r="B319" s="15">
        <v>16</v>
      </c>
      <c r="C319" s="15">
        <v>6</v>
      </c>
      <c r="D319" s="15" t="s">
        <v>84</v>
      </c>
      <c r="E319" s="15" t="s">
        <v>84</v>
      </c>
      <c r="F319" s="15" t="s">
        <v>84</v>
      </c>
      <c r="G319" s="15" t="s">
        <v>84</v>
      </c>
      <c r="H319" s="15" t="s">
        <v>84</v>
      </c>
      <c r="I319" s="15" t="s">
        <v>84</v>
      </c>
      <c r="J319" s="15">
        <v>16</v>
      </c>
      <c r="K319" s="15">
        <v>6</v>
      </c>
      <c r="L319" s="15" t="s">
        <v>84</v>
      </c>
      <c r="M319" s="15" t="s">
        <v>84</v>
      </c>
    </row>
    <row r="320" spans="1:13" ht="15" customHeight="1" x14ac:dyDescent="0.25">
      <c r="A320" s="207" t="s">
        <v>117</v>
      </c>
      <c r="B320" s="208"/>
      <c r="C320" s="208"/>
      <c r="D320" s="208"/>
      <c r="E320" s="208"/>
      <c r="F320" s="208"/>
      <c r="G320" s="208"/>
      <c r="H320" s="208"/>
      <c r="I320" s="208"/>
      <c r="J320" s="208"/>
      <c r="K320" s="208"/>
      <c r="L320" s="208"/>
      <c r="M320" s="209"/>
    </row>
    <row r="321" spans="1:13" x14ac:dyDescent="0.25">
      <c r="A321" s="207"/>
      <c r="B321" s="208"/>
      <c r="C321" s="208"/>
      <c r="D321" s="208"/>
      <c r="E321" s="208"/>
      <c r="F321" s="208"/>
      <c r="G321" s="208"/>
      <c r="H321" s="208"/>
      <c r="I321" s="208"/>
      <c r="J321" s="208"/>
      <c r="K321" s="208"/>
      <c r="L321" s="208"/>
      <c r="M321" s="209"/>
    </row>
    <row r="322" spans="1:13" x14ac:dyDescent="0.25">
      <c r="A322" s="15" t="s">
        <v>83</v>
      </c>
      <c r="B322" s="27">
        <v>2383</v>
      </c>
      <c r="C322" s="15">
        <v>1171</v>
      </c>
      <c r="D322" s="27">
        <v>136</v>
      </c>
      <c r="E322" s="15">
        <v>62</v>
      </c>
      <c r="F322" s="15">
        <v>2343</v>
      </c>
      <c r="G322" s="15">
        <v>1146</v>
      </c>
      <c r="H322" s="15">
        <v>136</v>
      </c>
      <c r="I322" s="15">
        <v>62</v>
      </c>
      <c r="J322" s="15">
        <v>40</v>
      </c>
      <c r="K322" s="15">
        <v>25</v>
      </c>
      <c r="L322" s="15" t="s">
        <v>84</v>
      </c>
      <c r="M322" s="15" t="s">
        <v>84</v>
      </c>
    </row>
    <row r="323" spans="1:13" x14ac:dyDescent="0.25">
      <c r="A323" s="15" t="s">
        <v>151</v>
      </c>
      <c r="B323" s="15">
        <v>665</v>
      </c>
      <c r="C323" s="15">
        <v>361</v>
      </c>
      <c r="D323" s="15">
        <v>12</v>
      </c>
      <c r="E323" s="15">
        <v>5</v>
      </c>
      <c r="F323" s="15">
        <v>654</v>
      </c>
      <c r="G323" s="15">
        <v>354</v>
      </c>
      <c r="H323" s="15">
        <v>12</v>
      </c>
      <c r="I323" s="15">
        <v>5</v>
      </c>
      <c r="J323" s="15">
        <v>11</v>
      </c>
      <c r="K323" s="15">
        <v>7</v>
      </c>
      <c r="L323" s="15" t="s">
        <v>84</v>
      </c>
      <c r="M323" s="15" t="s">
        <v>84</v>
      </c>
    </row>
    <row r="324" spans="1:13" x14ac:dyDescent="0.25">
      <c r="A324" s="15" t="s">
        <v>152</v>
      </c>
      <c r="B324" s="15">
        <v>52</v>
      </c>
      <c r="C324" s="15">
        <v>26</v>
      </c>
      <c r="D324" s="15">
        <v>1</v>
      </c>
      <c r="E324" s="15">
        <v>1</v>
      </c>
      <c r="F324" s="15">
        <v>50</v>
      </c>
      <c r="G324" s="15">
        <v>24</v>
      </c>
      <c r="H324" s="15">
        <v>1</v>
      </c>
      <c r="I324" s="15">
        <v>1</v>
      </c>
      <c r="J324" s="15">
        <v>2</v>
      </c>
      <c r="K324" s="15">
        <v>2</v>
      </c>
      <c r="L324" s="15" t="s">
        <v>84</v>
      </c>
      <c r="M324" s="15" t="s">
        <v>84</v>
      </c>
    </row>
    <row r="325" spans="1:13" x14ac:dyDescent="0.25">
      <c r="A325" s="15" t="s">
        <v>85</v>
      </c>
      <c r="B325" s="15">
        <v>1273</v>
      </c>
      <c r="C325" s="15">
        <v>636</v>
      </c>
      <c r="D325" s="15">
        <v>67</v>
      </c>
      <c r="E325" s="15">
        <v>31</v>
      </c>
      <c r="F325" s="15">
        <v>1246</v>
      </c>
      <c r="G325" s="15">
        <v>620</v>
      </c>
      <c r="H325" s="15">
        <v>67</v>
      </c>
      <c r="I325" s="15">
        <v>31</v>
      </c>
      <c r="J325" s="15">
        <v>27</v>
      </c>
      <c r="K325" s="15">
        <v>16</v>
      </c>
      <c r="L325" s="15" t="s">
        <v>84</v>
      </c>
      <c r="M325" s="15" t="s">
        <v>84</v>
      </c>
    </row>
    <row r="326" spans="1:13" x14ac:dyDescent="0.25">
      <c r="A326" s="15" t="s">
        <v>86</v>
      </c>
      <c r="B326" s="15">
        <v>291</v>
      </c>
      <c r="C326" s="15">
        <v>113</v>
      </c>
      <c r="D326" s="15">
        <v>28</v>
      </c>
      <c r="E326" s="15">
        <v>12</v>
      </c>
      <c r="F326" s="15">
        <v>291</v>
      </c>
      <c r="G326" s="15">
        <v>113</v>
      </c>
      <c r="H326" s="15">
        <v>28</v>
      </c>
      <c r="I326" s="15">
        <v>12</v>
      </c>
      <c r="J326" s="15" t="s">
        <v>84</v>
      </c>
      <c r="K326" s="15" t="s">
        <v>84</v>
      </c>
      <c r="L326" s="15" t="s">
        <v>84</v>
      </c>
      <c r="M326" s="15" t="s">
        <v>84</v>
      </c>
    </row>
    <row r="327" spans="1:13" x14ac:dyDescent="0.25">
      <c r="A327" s="15" t="s">
        <v>87</v>
      </c>
      <c r="B327" s="15">
        <v>102</v>
      </c>
      <c r="C327" s="15">
        <v>35</v>
      </c>
      <c r="D327" s="15">
        <v>28</v>
      </c>
      <c r="E327" s="15">
        <v>13</v>
      </c>
      <c r="F327" s="15">
        <v>102</v>
      </c>
      <c r="G327" s="15">
        <v>35</v>
      </c>
      <c r="H327" s="15">
        <v>28</v>
      </c>
      <c r="I327" s="15">
        <v>13</v>
      </c>
      <c r="J327" s="15" t="s">
        <v>84</v>
      </c>
      <c r="K327" s="15" t="s">
        <v>84</v>
      </c>
      <c r="L327" s="15" t="s">
        <v>84</v>
      </c>
      <c r="M327" s="15" t="s">
        <v>84</v>
      </c>
    </row>
    <row r="328" spans="1:13" ht="15" customHeight="1" x14ac:dyDescent="0.25">
      <c r="A328" s="15" t="s">
        <v>153</v>
      </c>
      <c r="B328" s="15">
        <v>14</v>
      </c>
      <c r="C328" s="15">
        <v>4</v>
      </c>
      <c r="D328" s="15">
        <v>3</v>
      </c>
      <c r="E328" s="15">
        <v>1</v>
      </c>
      <c r="F328" s="15">
        <v>14</v>
      </c>
      <c r="G328" s="15">
        <v>4</v>
      </c>
      <c r="H328" s="15">
        <v>3</v>
      </c>
      <c r="I328" s="15">
        <v>1</v>
      </c>
      <c r="J328" s="15" t="s">
        <v>84</v>
      </c>
      <c r="K328" s="15" t="s">
        <v>84</v>
      </c>
      <c r="L328" s="15" t="s">
        <v>84</v>
      </c>
      <c r="M328" s="15" t="s">
        <v>84</v>
      </c>
    </row>
    <row r="329" spans="1:13" x14ac:dyDescent="0.25">
      <c r="A329" s="15" t="s">
        <v>154</v>
      </c>
      <c r="B329" s="15">
        <v>6</v>
      </c>
      <c r="C329" s="15">
        <v>2</v>
      </c>
      <c r="D329" s="15" t="s">
        <v>84</v>
      </c>
      <c r="E329" s="15" t="s">
        <v>84</v>
      </c>
      <c r="F329" s="15">
        <v>6</v>
      </c>
      <c r="G329" s="15">
        <v>2</v>
      </c>
      <c r="H329" s="15" t="s">
        <v>84</v>
      </c>
      <c r="I329" s="15" t="s">
        <v>84</v>
      </c>
      <c r="J329" s="15" t="s">
        <v>84</v>
      </c>
      <c r="K329" s="15" t="s">
        <v>84</v>
      </c>
      <c r="L329" s="15" t="s">
        <v>84</v>
      </c>
      <c r="M329" s="15" t="s">
        <v>84</v>
      </c>
    </row>
    <row r="330" spans="1:13" ht="15" customHeight="1" x14ac:dyDescent="0.25">
      <c r="A330" s="207" t="s">
        <v>118</v>
      </c>
      <c r="B330" s="208"/>
      <c r="C330" s="208"/>
      <c r="D330" s="208"/>
      <c r="E330" s="208"/>
      <c r="F330" s="208"/>
      <c r="G330" s="208"/>
      <c r="H330" s="208"/>
      <c r="I330" s="208"/>
      <c r="J330" s="208"/>
      <c r="K330" s="208"/>
      <c r="L330" s="208"/>
      <c r="M330" s="209"/>
    </row>
    <row r="331" spans="1:13" x14ac:dyDescent="0.25">
      <c r="A331" s="207"/>
      <c r="B331" s="208"/>
      <c r="C331" s="208"/>
      <c r="D331" s="208"/>
      <c r="E331" s="208"/>
      <c r="F331" s="208"/>
      <c r="G331" s="208"/>
      <c r="H331" s="208"/>
      <c r="I331" s="208"/>
      <c r="J331" s="208"/>
      <c r="K331" s="208"/>
      <c r="L331" s="208"/>
      <c r="M331" s="209"/>
    </row>
    <row r="332" spans="1:13" x14ac:dyDescent="0.25">
      <c r="A332" s="15" t="s">
        <v>83</v>
      </c>
      <c r="B332" s="27">
        <v>1023</v>
      </c>
      <c r="C332" s="15">
        <v>487</v>
      </c>
      <c r="D332" s="27">
        <v>23</v>
      </c>
      <c r="E332" s="15">
        <v>19</v>
      </c>
      <c r="F332" s="15">
        <v>1004</v>
      </c>
      <c r="G332" s="15">
        <v>485</v>
      </c>
      <c r="H332" s="15">
        <v>23</v>
      </c>
      <c r="I332" s="15">
        <v>19</v>
      </c>
      <c r="J332" s="15">
        <v>19</v>
      </c>
      <c r="K332" s="15">
        <v>2</v>
      </c>
      <c r="L332" s="15" t="s">
        <v>84</v>
      </c>
      <c r="M332" s="15" t="s">
        <v>84</v>
      </c>
    </row>
    <row r="333" spans="1:13" x14ac:dyDescent="0.25">
      <c r="A333" s="15" t="s">
        <v>151</v>
      </c>
      <c r="B333" s="15">
        <v>327</v>
      </c>
      <c r="C333" s="15">
        <v>174</v>
      </c>
      <c r="D333" s="15">
        <v>1</v>
      </c>
      <c r="E333" s="15">
        <v>1</v>
      </c>
      <c r="F333" s="15">
        <v>327</v>
      </c>
      <c r="G333" s="15">
        <v>174</v>
      </c>
      <c r="H333" s="15">
        <v>1</v>
      </c>
      <c r="I333" s="15">
        <v>1</v>
      </c>
      <c r="J333" s="15" t="s">
        <v>84</v>
      </c>
      <c r="K333" s="15" t="s">
        <v>84</v>
      </c>
      <c r="L333" s="15" t="s">
        <v>84</v>
      </c>
      <c r="M333" s="15" t="s">
        <v>84</v>
      </c>
    </row>
    <row r="334" spans="1:13" x14ac:dyDescent="0.25">
      <c r="A334" s="15" t="s">
        <v>152</v>
      </c>
      <c r="B334" s="15">
        <v>34</v>
      </c>
      <c r="C334" s="15">
        <v>17</v>
      </c>
      <c r="D334" s="15" t="s">
        <v>84</v>
      </c>
      <c r="E334" s="15" t="s">
        <v>84</v>
      </c>
      <c r="F334" s="15">
        <v>34</v>
      </c>
      <c r="G334" s="15">
        <v>17</v>
      </c>
      <c r="H334" s="15" t="s">
        <v>84</v>
      </c>
      <c r="I334" s="15" t="s">
        <v>84</v>
      </c>
      <c r="J334" s="15" t="s">
        <v>84</v>
      </c>
      <c r="K334" s="15" t="s">
        <v>84</v>
      </c>
      <c r="L334" s="15" t="s">
        <v>84</v>
      </c>
      <c r="M334" s="15" t="s">
        <v>84</v>
      </c>
    </row>
    <row r="335" spans="1:13" x14ac:dyDescent="0.25">
      <c r="A335" s="15" t="s">
        <v>85</v>
      </c>
      <c r="B335" s="15">
        <v>531</v>
      </c>
      <c r="C335" s="15">
        <v>248</v>
      </c>
      <c r="D335" s="15">
        <v>14</v>
      </c>
      <c r="E335" s="15">
        <v>13</v>
      </c>
      <c r="F335" s="15">
        <v>531</v>
      </c>
      <c r="G335" s="15">
        <v>248</v>
      </c>
      <c r="H335" s="15">
        <v>14</v>
      </c>
      <c r="I335" s="15">
        <v>13</v>
      </c>
      <c r="J335" s="15" t="s">
        <v>84</v>
      </c>
      <c r="K335" s="15" t="s">
        <v>84</v>
      </c>
      <c r="L335" s="15" t="s">
        <v>84</v>
      </c>
      <c r="M335" s="15" t="s">
        <v>84</v>
      </c>
    </row>
    <row r="336" spans="1:13" x14ac:dyDescent="0.25">
      <c r="A336" s="15" t="s">
        <v>86</v>
      </c>
      <c r="B336" s="15">
        <v>97</v>
      </c>
      <c r="C336" s="15">
        <v>36</v>
      </c>
      <c r="D336" s="15">
        <v>3</v>
      </c>
      <c r="E336" s="15">
        <v>3</v>
      </c>
      <c r="F336" s="15">
        <v>87</v>
      </c>
      <c r="G336" s="15">
        <v>36</v>
      </c>
      <c r="H336" s="15">
        <v>3</v>
      </c>
      <c r="I336" s="15">
        <v>3</v>
      </c>
      <c r="J336" s="15">
        <v>10</v>
      </c>
      <c r="K336" s="15" t="s">
        <v>84</v>
      </c>
      <c r="L336" s="15" t="s">
        <v>84</v>
      </c>
      <c r="M336" s="15" t="s">
        <v>84</v>
      </c>
    </row>
    <row r="337" spans="1:13" ht="15" customHeight="1" x14ac:dyDescent="0.25">
      <c r="A337" s="15" t="s">
        <v>87</v>
      </c>
      <c r="B337" s="15">
        <v>34</v>
      </c>
      <c r="C337" s="15">
        <v>12</v>
      </c>
      <c r="D337" s="15">
        <v>5</v>
      </c>
      <c r="E337" s="15">
        <v>2</v>
      </c>
      <c r="F337" s="15">
        <v>25</v>
      </c>
      <c r="G337" s="15">
        <v>10</v>
      </c>
      <c r="H337" s="15">
        <v>5</v>
      </c>
      <c r="I337" s="15">
        <v>2</v>
      </c>
      <c r="J337" s="15">
        <v>9</v>
      </c>
      <c r="K337" s="15">
        <v>2</v>
      </c>
      <c r="L337" s="15" t="s">
        <v>84</v>
      </c>
      <c r="M337" s="15" t="s">
        <v>84</v>
      </c>
    </row>
    <row r="338" spans="1:13" x14ac:dyDescent="0.25">
      <c r="A338" s="15" t="s">
        <v>153</v>
      </c>
      <c r="B338" s="15">
        <v>15</v>
      </c>
      <c r="C338" s="15">
        <v>4</v>
      </c>
      <c r="D338" s="15" t="s">
        <v>84</v>
      </c>
      <c r="E338" s="15" t="s">
        <v>84</v>
      </c>
      <c r="F338" s="15">
        <v>9</v>
      </c>
      <c r="G338" s="15">
        <v>4</v>
      </c>
      <c r="H338" s="15" t="s">
        <v>84</v>
      </c>
      <c r="I338" s="15" t="s">
        <v>84</v>
      </c>
      <c r="J338" s="15">
        <v>6</v>
      </c>
      <c r="K338" s="15" t="s">
        <v>84</v>
      </c>
      <c r="L338" s="15" t="s">
        <v>84</v>
      </c>
      <c r="M338" s="15" t="s">
        <v>84</v>
      </c>
    </row>
    <row r="339" spans="1:13" ht="15" customHeight="1" x14ac:dyDescent="0.25">
      <c r="A339" s="207" t="s">
        <v>119</v>
      </c>
      <c r="B339" s="208"/>
      <c r="C339" s="208"/>
      <c r="D339" s="208"/>
      <c r="E339" s="208"/>
      <c r="F339" s="208"/>
      <c r="G339" s="208"/>
      <c r="H339" s="208"/>
      <c r="I339" s="208"/>
      <c r="J339" s="208"/>
      <c r="K339" s="208"/>
      <c r="L339" s="208"/>
      <c r="M339" s="209"/>
    </row>
    <row r="340" spans="1:13" x14ac:dyDescent="0.25">
      <c r="A340" s="207"/>
      <c r="B340" s="208"/>
      <c r="C340" s="208"/>
      <c r="D340" s="208"/>
      <c r="E340" s="208"/>
      <c r="F340" s="208"/>
      <c r="G340" s="208"/>
      <c r="H340" s="208"/>
      <c r="I340" s="208"/>
      <c r="J340" s="208"/>
      <c r="K340" s="208"/>
      <c r="L340" s="208"/>
      <c r="M340" s="209"/>
    </row>
    <row r="341" spans="1:13" x14ac:dyDescent="0.25">
      <c r="A341" s="15" t="s">
        <v>83</v>
      </c>
      <c r="B341" s="27">
        <v>1447</v>
      </c>
      <c r="C341" s="15">
        <v>722</v>
      </c>
      <c r="D341" s="27">
        <v>95</v>
      </c>
      <c r="E341" s="15">
        <v>50</v>
      </c>
      <c r="F341" s="15">
        <v>1398</v>
      </c>
      <c r="G341" s="15">
        <v>699</v>
      </c>
      <c r="H341" s="15">
        <v>95</v>
      </c>
      <c r="I341" s="15">
        <v>50</v>
      </c>
      <c r="J341" s="15">
        <v>49</v>
      </c>
      <c r="K341" s="15">
        <v>23</v>
      </c>
      <c r="L341" s="15" t="s">
        <v>84</v>
      </c>
      <c r="M341" s="15" t="s">
        <v>84</v>
      </c>
    </row>
    <row r="342" spans="1:13" x14ac:dyDescent="0.25">
      <c r="A342" s="15" t="s">
        <v>151</v>
      </c>
      <c r="B342" s="15">
        <v>510</v>
      </c>
      <c r="C342" s="15">
        <v>275</v>
      </c>
      <c r="D342" s="15">
        <v>4</v>
      </c>
      <c r="E342" s="15">
        <v>3</v>
      </c>
      <c r="F342" s="15">
        <v>490</v>
      </c>
      <c r="G342" s="15">
        <v>265</v>
      </c>
      <c r="H342" s="15">
        <v>4</v>
      </c>
      <c r="I342" s="15">
        <v>3</v>
      </c>
      <c r="J342" s="15">
        <v>20</v>
      </c>
      <c r="K342" s="15">
        <v>10</v>
      </c>
      <c r="L342" s="15" t="s">
        <v>84</v>
      </c>
      <c r="M342" s="15" t="s">
        <v>84</v>
      </c>
    </row>
    <row r="343" spans="1:13" x14ac:dyDescent="0.25">
      <c r="A343" s="15" t="s">
        <v>152</v>
      </c>
      <c r="B343" s="15">
        <v>9</v>
      </c>
      <c r="C343" s="15">
        <v>5</v>
      </c>
      <c r="D343" s="15" t="s">
        <v>84</v>
      </c>
      <c r="E343" s="15" t="s">
        <v>84</v>
      </c>
      <c r="F343" s="15">
        <v>9</v>
      </c>
      <c r="G343" s="15">
        <v>5</v>
      </c>
      <c r="H343" s="15" t="s">
        <v>84</v>
      </c>
      <c r="I343" s="15" t="s">
        <v>84</v>
      </c>
      <c r="J343" s="15" t="s">
        <v>84</v>
      </c>
      <c r="K343" s="15" t="s">
        <v>84</v>
      </c>
      <c r="L343" s="15" t="s">
        <v>84</v>
      </c>
      <c r="M343" s="15" t="s">
        <v>84</v>
      </c>
    </row>
    <row r="344" spans="1:13" x14ac:dyDescent="0.25">
      <c r="A344" s="15" t="s">
        <v>85</v>
      </c>
      <c r="B344" s="15">
        <v>689</v>
      </c>
      <c r="C344" s="15">
        <v>354</v>
      </c>
      <c r="D344" s="15">
        <v>53</v>
      </c>
      <c r="E344" s="15">
        <v>28</v>
      </c>
      <c r="F344" s="15">
        <v>667</v>
      </c>
      <c r="G344" s="15">
        <v>344</v>
      </c>
      <c r="H344" s="15">
        <v>53</v>
      </c>
      <c r="I344" s="15">
        <v>28</v>
      </c>
      <c r="J344" s="15">
        <v>22</v>
      </c>
      <c r="K344" s="15">
        <v>10</v>
      </c>
      <c r="L344" s="15" t="s">
        <v>84</v>
      </c>
      <c r="M344" s="15" t="s">
        <v>84</v>
      </c>
    </row>
    <row r="345" spans="1:13" x14ac:dyDescent="0.25">
      <c r="A345" s="15" t="s">
        <v>86</v>
      </c>
      <c r="B345" s="15">
        <v>164</v>
      </c>
      <c r="C345" s="15">
        <v>51</v>
      </c>
      <c r="D345" s="15">
        <v>17</v>
      </c>
      <c r="E345" s="15">
        <v>4</v>
      </c>
      <c r="F345" s="15">
        <v>164</v>
      </c>
      <c r="G345" s="15">
        <v>51</v>
      </c>
      <c r="H345" s="15">
        <v>17</v>
      </c>
      <c r="I345" s="15">
        <v>4</v>
      </c>
      <c r="J345" s="15" t="s">
        <v>84</v>
      </c>
      <c r="K345" s="15" t="s">
        <v>84</v>
      </c>
      <c r="L345" s="15" t="s">
        <v>84</v>
      </c>
      <c r="M345" s="15" t="s">
        <v>84</v>
      </c>
    </row>
    <row r="346" spans="1:13" x14ac:dyDescent="0.25">
      <c r="A346" s="15" t="s">
        <v>87</v>
      </c>
      <c r="B346" s="15">
        <v>75</v>
      </c>
      <c r="C346" s="15">
        <v>37</v>
      </c>
      <c r="D346" s="15">
        <v>21</v>
      </c>
      <c r="E346" s="15">
        <v>15</v>
      </c>
      <c r="F346" s="15">
        <v>68</v>
      </c>
      <c r="G346" s="15">
        <v>34</v>
      </c>
      <c r="H346" s="15">
        <v>21</v>
      </c>
      <c r="I346" s="15">
        <v>15</v>
      </c>
      <c r="J346" s="15">
        <v>7</v>
      </c>
      <c r="K346" s="15">
        <v>3</v>
      </c>
      <c r="L346" s="15" t="s">
        <v>84</v>
      </c>
      <c r="M346" s="15" t="s">
        <v>84</v>
      </c>
    </row>
    <row r="347" spans="1:13" ht="15" customHeight="1" x14ac:dyDescent="0.25">
      <c r="A347" s="15" t="s">
        <v>153</v>
      </c>
      <c r="B347" s="15">
        <v>27</v>
      </c>
      <c r="C347" s="15">
        <v>14</v>
      </c>
      <c r="D347" s="15">
        <v>7</v>
      </c>
      <c r="E347" s="15">
        <v>6</v>
      </c>
      <c r="F347" s="15">
        <v>27</v>
      </c>
      <c r="G347" s="15">
        <v>14</v>
      </c>
      <c r="H347" s="15">
        <v>7</v>
      </c>
      <c r="I347" s="15">
        <v>6</v>
      </c>
      <c r="J347" s="15" t="s">
        <v>84</v>
      </c>
      <c r="K347" s="15" t="s">
        <v>84</v>
      </c>
      <c r="L347" s="15" t="s">
        <v>84</v>
      </c>
      <c r="M347" s="15" t="s">
        <v>84</v>
      </c>
    </row>
    <row r="348" spans="1:13" x14ac:dyDescent="0.25">
      <c r="A348" s="15" t="s">
        <v>154</v>
      </c>
      <c r="B348" s="15">
        <v>4</v>
      </c>
      <c r="C348" s="15">
        <v>3</v>
      </c>
      <c r="D348" s="15" t="s">
        <v>84</v>
      </c>
      <c r="E348" s="15" t="s">
        <v>84</v>
      </c>
      <c r="F348" s="15" t="s">
        <v>84</v>
      </c>
      <c r="G348" s="15" t="s">
        <v>84</v>
      </c>
      <c r="H348" s="15" t="s">
        <v>84</v>
      </c>
      <c r="I348" s="15" t="s">
        <v>84</v>
      </c>
      <c r="J348" s="15">
        <v>4</v>
      </c>
      <c r="K348" s="15">
        <v>3</v>
      </c>
      <c r="L348" s="15" t="s">
        <v>84</v>
      </c>
      <c r="M348" s="15" t="s">
        <v>84</v>
      </c>
    </row>
    <row r="349" spans="1:13" ht="15" customHeight="1" x14ac:dyDescent="0.25">
      <c r="A349" s="207" t="s">
        <v>120</v>
      </c>
      <c r="B349" s="208"/>
      <c r="C349" s="208"/>
      <c r="D349" s="208"/>
      <c r="E349" s="208"/>
      <c r="F349" s="208"/>
      <c r="G349" s="208"/>
      <c r="H349" s="208"/>
      <c r="I349" s="208"/>
      <c r="J349" s="208"/>
      <c r="K349" s="208"/>
      <c r="L349" s="208"/>
      <c r="M349" s="209"/>
    </row>
    <row r="350" spans="1:13" x14ac:dyDescent="0.25">
      <c r="A350" s="207"/>
      <c r="B350" s="208"/>
      <c r="C350" s="208"/>
      <c r="D350" s="208"/>
      <c r="E350" s="208"/>
      <c r="F350" s="208"/>
      <c r="G350" s="208"/>
      <c r="H350" s="208"/>
      <c r="I350" s="208"/>
      <c r="J350" s="208"/>
      <c r="K350" s="208"/>
      <c r="L350" s="208"/>
      <c r="M350" s="209"/>
    </row>
    <row r="351" spans="1:13" x14ac:dyDescent="0.25">
      <c r="A351" s="15" t="s">
        <v>83</v>
      </c>
      <c r="B351" s="27">
        <v>28577</v>
      </c>
      <c r="C351" s="15">
        <v>14099</v>
      </c>
      <c r="D351" s="27">
        <v>1548</v>
      </c>
      <c r="E351" s="15">
        <v>777</v>
      </c>
      <c r="F351" s="15">
        <v>25333</v>
      </c>
      <c r="G351" s="15">
        <v>12398</v>
      </c>
      <c r="H351" s="15">
        <v>1505</v>
      </c>
      <c r="I351" s="15">
        <v>752</v>
      </c>
      <c r="J351" s="15">
        <v>3244</v>
      </c>
      <c r="K351" s="15">
        <v>1701</v>
      </c>
      <c r="L351" s="15">
        <v>43</v>
      </c>
      <c r="M351" s="15">
        <v>25</v>
      </c>
    </row>
    <row r="352" spans="1:13" x14ac:dyDescent="0.25">
      <c r="A352" s="15" t="s">
        <v>151</v>
      </c>
      <c r="B352" s="15">
        <v>8131</v>
      </c>
      <c r="C352" s="15">
        <v>4673</v>
      </c>
      <c r="D352" s="15">
        <v>125</v>
      </c>
      <c r="E352" s="15">
        <v>77</v>
      </c>
      <c r="F352" s="15">
        <v>6695</v>
      </c>
      <c r="G352" s="15">
        <v>3791</v>
      </c>
      <c r="H352" s="15">
        <v>116</v>
      </c>
      <c r="I352" s="15">
        <v>68</v>
      </c>
      <c r="J352" s="15">
        <v>1436</v>
      </c>
      <c r="K352" s="15">
        <v>882</v>
      </c>
      <c r="L352" s="15">
        <v>9</v>
      </c>
      <c r="M352" s="15">
        <v>9</v>
      </c>
    </row>
    <row r="353" spans="1:13" x14ac:dyDescent="0.25">
      <c r="A353" s="15" t="s">
        <v>152</v>
      </c>
      <c r="B353" s="15">
        <v>486</v>
      </c>
      <c r="C353" s="15">
        <v>257</v>
      </c>
      <c r="D353" s="15">
        <v>19</v>
      </c>
      <c r="E353" s="15">
        <v>10</v>
      </c>
      <c r="F353" s="15">
        <v>436</v>
      </c>
      <c r="G353" s="15">
        <v>232</v>
      </c>
      <c r="H353" s="15">
        <v>19</v>
      </c>
      <c r="I353" s="15">
        <v>10</v>
      </c>
      <c r="J353" s="15">
        <v>50</v>
      </c>
      <c r="K353" s="15">
        <v>25</v>
      </c>
      <c r="L353" s="15" t="s">
        <v>84</v>
      </c>
      <c r="M353" s="15" t="s">
        <v>84</v>
      </c>
    </row>
    <row r="354" spans="1:13" x14ac:dyDescent="0.25">
      <c r="A354" s="15" t="s">
        <v>85</v>
      </c>
      <c r="B354" s="15">
        <v>14305</v>
      </c>
      <c r="C354" s="15">
        <v>7015</v>
      </c>
      <c r="D354" s="15">
        <v>780</v>
      </c>
      <c r="E354" s="15">
        <v>417</v>
      </c>
      <c r="F354" s="15">
        <v>12978</v>
      </c>
      <c r="G354" s="15">
        <v>6369</v>
      </c>
      <c r="H354" s="15">
        <v>756</v>
      </c>
      <c r="I354" s="15">
        <v>404</v>
      </c>
      <c r="J354" s="15">
        <v>1327</v>
      </c>
      <c r="K354" s="15">
        <v>646</v>
      </c>
      <c r="L354" s="15">
        <v>24</v>
      </c>
      <c r="M354" s="15">
        <v>13</v>
      </c>
    </row>
    <row r="355" spans="1:13" x14ac:dyDescent="0.25">
      <c r="A355" s="15" t="s">
        <v>86</v>
      </c>
      <c r="B355" s="15">
        <v>3967</v>
      </c>
      <c r="C355" s="15">
        <v>1499</v>
      </c>
      <c r="D355" s="15">
        <v>342</v>
      </c>
      <c r="E355" s="15">
        <v>146</v>
      </c>
      <c r="F355" s="15">
        <v>3690</v>
      </c>
      <c r="G355" s="15">
        <v>1400</v>
      </c>
      <c r="H355" s="15">
        <v>335</v>
      </c>
      <c r="I355" s="15">
        <v>143</v>
      </c>
      <c r="J355" s="15">
        <v>277</v>
      </c>
      <c r="K355" s="15">
        <v>99</v>
      </c>
      <c r="L355" s="15">
        <v>7</v>
      </c>
      <c r="M355" s="15">
        <v>3</v>
      </c>
    </row>
    <row r="356" spans="1:13" x14ac:dyDescent="0.25">
      <c r="A356" s="15" t="s">
        <v>87</v>
      </c>
      <c r="B356" s="15">
        <v>1688</v>
      </c>
      <c r="C356" s="15">
        <v>655</v>
      </c>
      <c r="D356" s="15">
        <v>282</v>
      </c>
      <c r="E356" s="15">
        <v>127</v>
      </c>
      <c r="F356" s="15">
        <v>1534</v>
      </c>
      <c r="G356" s="15">
        <v>606</v>
      </c>
      <c r="H356" s="15">
        <v>279</v>
      </c>
      <c r="I356" s="15">
        <v>127</v>
      </c>
      <c r="J356" s="15">
        <v>154</v>
      </c>
      <c r="K356" s="15">
        <v>49</v>
      </c>
      <c r="L356" s="15">
        <v>3</v>
      </c>
      <c r="M356" s="15" t="s">
        <v>84</v>
      </c>
    </row>
    <row r="357" spans="1:13" ht="15" customHeight="1" x14ac:dyDescent="0.25">
      <c r="A357" s="15" t="s">
        <v>153</v>
      </c>
      <c r="B357" s="15">
        <v>654</v>
      </c>
      <c r="C357" s="15">
        <v>249</v>
      </c>
      <c r="D357" s="15">
        <v>76</v>
      </c>
      <c r="E357" s="15">
        <v>34</v>
      </c>
      <c r="F357" s="15">
        <v>606</v>
      </c>
      <c r="G357" s="15">
        <v>235</v>
      </c>
      <c r="H357" s="15">
        <v>76</v>
      </c>
      <c r="I357" s="15">
        <v>34</v>
      </c>
      <c r="J357" s="15">
        <v>48</v>
      </c>
      <c r="K357" s="15">
        <v>14</v>
      </c>
      <c r="L357" s="15" t="s">
        <v>84</v>
      </c>
      <c r="M357" s="15" t="s">
        <v>84</v>
      </c>
    </row>
    <row r="358" spans="1:13" x14ac:dyDescent="0.25">
      <c r="A358" s="15" t="s">
        <v>154</v>
      </c>
      <c r="B358" s="15">
        <v>211</v>
      </c>
      <c r="C358" s="15">
        <v>89</v>
      </c>
      <c r="D358" s="15">
        <v>31</v>
      </c>
      <c r="E358" s="15">
        <v>12</v>
      </c>
      <c r="F358" s="15">
        <v>190</v>
      </c>
      <c r="G358" s="15">
        <v>78</v>
      </c>
      <c r="H358" s="15">
        <v>30</v>
      </c>
      <c r="I358" s="15">
        <v>12</v>
      </c>
      <c r="J358" s="15">
        <v>21</v>
      </c>
      <c r="K358" s="15">
        <v>11</v>
      </c>
      <c r="L358" s="15">
        <v>1</v>
      </c>
      <c r="M358" s="15" t="s">
        <v>84</v>
      </c>
    </row>
    <row r="359" spans="1:13" ht="15" customHeight="1" x14ac:dyDescent="0.25">
      <c r="A359" s="207" t="s">
        <v>121</v>
      </c>
      <c r="B359" s="208"/>
      <c r="C359" s="208"/>
      <c r="D359" s="208"/>
      <c r="E359" s="208"/>
      <c r="F359" s="208"/>
      <c r="G359" s="208"/>
      <c r="H359" s="208"/>
      <c r="I359" s="208"/>
      <c r="J359" s="208"/>
      <c r="K359" s="208"/>
      <c r="L359" s="208"/>
      <c r="M359" s="209"/>
    </row>
    <row r="360" spans="1:13" x14ac:dyDescent="0.25">
      <c r="A360" s="207"/>
      <c r="B360" s="208"/>
      <c r="C360" s="208"/>
      <c r="D360" s="208"/>
      <c r="E360" s="208"/>
      <c r="F360" s="208"/>
      <c r="G360" s="208"/>
      <c r="H360" s="208"/>
      <c r="I360" s="208"/>
      <c r="J360" s="208"/>
      <c r="K360" s="208"/>
      <c r="L360" s="208"/>
      <c r="M360" s="209"/>
    </row>
    <row r="361" spans="1:13" x14ac:dyDescent="0.25">
      <c r="A361" s="15" t="s">
        <v>83</v>
      </c>
      <c r="B361" s="27">
        <v>889</v>
      </c>
      <c r="C361" s="15">
        <v>457</v>
      </c>
      <c r="D361" s="27">
        <v>171</v>
      </c>
      <c r="E361" s="15">
        <v>78</v>
      </c>
      <c r="F361" s="15">
        <v>889</v>
      </c>
      <c r="G361" s="15">
        <v>457</v>
      </c>
      <c r="H361" s="15">
        <v>171</v>
      </c>
      <c r="I361" s="15">
        <v>78</v>
      </c>
      <c r="J361" s="15" t="s">
        <v>84</v>
      </c>
      <c r="K361" s="15" t="s">
        <v>84</v>
      </c>
      <c r="L361" s="15" t="s">
        <v>84</v>
      </c>
      <c r="M361" s="15" t="s">
        <v>84</v>
      </c>
    </row>
    <row r="362" spans="1:13" x14ac:dyDescent="0.25">
      <c r="A362" s="15" t="s">
        <v>151</v>
      </c>
      <c r="B362" s="15">
        <v>260</v>
      </c>
      <c r="C362" s="15">
        <v>155</v>
      </c>
      <c r="D362" s="15">
        <v>6</v>
      </c>
      <c r="E362" s="15">
        <v>2</v>
      </c>
      <c r="F362" s="15">
        <v>260</v>
      </c>
      <c r="G362" s="15">
        <v>155</v>
      </c>
      <c r="H362" s="15">
        <v>6</v>
      </c>
      <c r="I362" s="15">
        <v>2</v>
      </c>
      <c r="J362" s="15" t="s">
        <v>84</v>
      </c>
      <c r="K362" s="15" t="s">
        <v>84</v>
      </c>
      <c r="L362" s="15" t="s">
        <v>84</v>
      </c>
      <c r="M362" s="15" t="s">
        <v>84</v>
      </c>
    </row>
    <row r="363" spans="1:13" x14ac:dyDescent="0.25">
      <c r="A363" s="15" t="s">
        <v>152</v>
      </c>
      <c r="B363" s="15">
        <v>8</v>
      </c>
      <c r="C363" s="15">
        <v>6</v>
      </c>
      <c r="D363" s="15" t="s">
        <v>84</v>
      </c>
      <c r="E363" s="15" t="s">
        <v>84</v>
      </c>
      <c r="F363" s="15">
        <v>8</v>
      </c>
      <c r="G363" s="15">
        <v>6</v>
      </c>
      <c r="H363" s="15" t="s">
        <v>84</v>
      </c>
      <c r="I363" s="15" t="s">
        <v>84</v>
      </c>
      <c r="J363" s="15" t="s">
        <v>84</v>
      </c>
      <c r="K363" s="15" t="s">
        <v>84</v>
      </c>
      <c r="L363" s="15" t="s">
        <v>84</v>
      </c>
      <c r="M363" s="15" t="s">
        <v>84</v>
      </c>
    </row>
    <row r="364" spans="1:13" x14ac:dyDescent="0.25">
      <c r="A364" s="15" t="s">
        <v>85</v>
      </c>
      <c r="B364" s="15">
        <v>382</v>
      </c>
      <c r="C364" s="15">
        <v>207</v>
      </c>
      <c r="D364" s="15">
        <v>86</v>
      </c>
      <c r="E364" s="15">
        <v>46</v>
      </c>
      <c r="F364" s="15">
        <v>382</v>
      </c>
      <c r="G364" s="15">
        <v>207</v>
      </c>
      <c r="H364" s="15">
        <v>86</v>
      </c>
      <c r="I364" s="15">
        <v>46</v>
      </c>
      <c r="J364" s="15" t="s">
        <v>84</v>
      </c>
      <c r="K364" s="15" t="s">
        <v>84</v>
      </c>
      <c r="L364" s="15" t="s">
        <v>84</v>
      </c>
      <c r="M364" s="15" t="s">
        <v>84</v>
      </c>
    </row>
    <row r="365" spans="1:13" x14ac:dyDescent="0.25">
      <c r="A365" s="15" t="s">
        <v>86</v>
      </c>
      <c r="B365" s="15">
        <v>181</v>
      </c>
      <c r="C365" s="15">
        <v>63</v>
      </c>
      <c r="D365" s="15">
        <v>51</v>
      </c>
      <c r="E365" s="15">
        <v>19</v>
      </c>
      <c r="F365" s="15">
        <v>181</v>
      </c>
      <c r="G365" s="15">
        <v>63</v>
      </c>
      <c r="H365" s="15">
        <v>51</v>
      </c>
      <c r="I365" s="15">
        <v>19</v>
      </c>
      <c r="J365" s="15" t="s">
        <v>84</v>
      </c>
      <c r="K365" s="15" t="s">
        <v>84</v>
      </c>
      <c r="L365" s="15" t="s">
        <v>84</v>
      </c>
      <c r="M365" s="15" t="s">
        <v>84</v>
      </c>
    </row>
    <row r="366" spans="1:13" x14ac:dyDescent="0.25">
      <c r="A366" s="15" t="s">
        <v>87</v>
      </c>
      <c r="B366" s="15">
        <v>58</v>
      </c>
      <c r="C366" s="15">
        <v>26</v>
      </c>
      <c r="D366" s="15">
        <v>28</v>
      </c>
      <c r="E366" s="15">
        <v>11</v>
      </c>
      <c r="F366" s="15">
        <v>58</v>
      </c>
      <c r="G366" s="15">
        <v>26</v>
      </c>
      <c r="H366" s="15">
        <v>28</v>
      </c>
      <c r="I366" s="15">
        <v>11</v>
      </c>
      <c r="J366" s="15" t="s">
        <v>84</v>
      </c>
      <c r="K366" s="15" t="s">
        <v>84</v>
      </c>
      <c r="L366" s="15" t="s">
        <v>84</v>
      </c>
      <c r="M366" s="15" t="s">
        <v>84</v>
      </c>
    </row>
    <row r="367" spans="1:13" ht="15" customHeight="1" x14ac:dyDescent="0.25">
      <c r="A367" s="15" t="s">
        <v>153</v>
      </c>
      <c r="B367" s="15">
        <v>15</v>
      </c>
      <c r="C367" s="15">
        <v>7</v>
      </c>
      <c r="D367" s="15">
        <v>9</v>
      </c>
      <c r="E367" s="15">
        <v>2</v>
      </c>
      <c r="F367" s="15">
        <v>15</v>
      </c>
      <c r="G367" s="15">
        <v>7</v>
      </c>
      <c r="H367" s="15">
        <v>9</v>
      </c>
      <c r="I367" s="15">
        <v>2</v>
      </c>
      <c r="J367" s="15" t="s">
        <v>84</v>
      </c>
      <c r="K367" s="15" t="s">
        <v>84</v>
      </c>
      <c r="L367" s="15" t="s">
        <v>84</v>
      </c>
      <c r="M367" s="15" t="s">
        <v>84</v>
      </c>
    </row>
    <row r="368" spans="1:13" x14ac:dyDescent="0.25">
      <c r="A368" s="15" t="s">
        <v>154</v>
      </c>
      <c r="B368" s="15">
        <v>12</v>
      </c>
      <c r="C368" s="15">
        <v>2</v>
      </c>
      <c r="D368" s="15">
        <v>3</v>
      </c>
      <c r="E368" s="15" t="s">
        <v>84</v>
      </c>
      <c r="F368" s="15">
        <v>12</v>
      </c>
      <c r="G368" s="15">
        <v>2</v>
      </c>
      <c r="H368" s="15">
        <v>3</v>
      </c>
      <c r="I368" s="15" t="s">
        <v>84</v>
      </c>
      <c r="J368" s="15" t="s">
        <v>84</v>
      </c>
      <c r="K368" s="15" t="s">
        <v>84</v>
      </c>
      <c r="L368" s="15" t="s">
        <v>84</v>
      </c>
      <c r="M368" s="15" t="s">
        <v>84</v>
      </c>
    </row>
    <row r="369" spans="1:13" ht="15" customHeight="1" x14ac:dyDescent="0.25">
      <c r="A369" s="207" t="s">
        <v>122</v>
      </c>
      <c r="B369" s="208"/>
      <c r="C369" s="208"/>
      <c r="D369" s="208"/>
      <c r="E369" s="208"/>
      <c r="F369" s="208"/>
      <c r="G369" s="208"/>
      <c r="H369" s="208"/>
      <c r="I369" s="208"/>
      <c r="J369" s="208"/>
      <c r="K369" s="208"/>
      <c r="L369" s="208"/>
      <c r="M369" s="209"/>
    </row>
    <row r="370" spans="1:13" x14ac:dyDescent="0.25">
      <c r="A370" s="207"/>
      <c r="B370" s="208"/>
      <c r="C370" s="208"/>
      <c r="D370" s="208"/>
      <c r="E370" s="208"/>
      <c r="F370" s="208"/>
      <c r="G370" s="208"/>
      <c r="H370" s="208"/>
      <c r="I370" s="208"/>
      <c r="J370" s="208"/>
      <c r="K370" s="208"/>
      <c r="L370" s="208"/>
      <c r="M370" s="209"/>
    </row>
    <row r="371" spans="1:13" x14ac:dyDescent="0.25">
      <c r="A371" s="15" t="s">
        <v>83</v>
      </c>
      <c r="B371" s="27">
        <v>498</v>
      </c>
      <c r="C371" s="15">
        <v>260</v>
      </c>
      <c r="D371" s="27">
        <v>15</v>
      </c>
      <c r="E371" s="15">
        <v>4</v>
      </c>
      <c r="F371" s="15">
        <v>498</v>
      </c>
      <c r="G371" s="15">
        <v>260</v>
      </c>
      <c r="H371" s="15">
        <v>15</v>
      </c>
      <c r="I371" s="15">
        <v>4</v>
      </c>
      <c r="J371" s="15" t="s">
        <v>84</v>
      </c>
      <c r="K371" s="15" t="s">
        <v>84</v>
      </c>
      <c r="L371" s="15" t="s">
        <v>84</v>
      </c>
      <c r="M371" s="15" t="s">
        <v>84</v>
      </c>
    </row>
    <row r="372" spans="1:13" x14ac:dyDescent="0.25">
      <c r="A372" s="15" t="s">
        <v>151</v>
      </c>
      <c r="B372" s="15">
        <v>184</v>
      </c>
      <c r="C372" s="15">
        <v>114</v>
      </c>
      <c r="D372" s="15">
        <v>2</v>
      </c>
      <c r="E372" s="15">
        <v>1</v>
      </c>
      <c r="F372" s="15">
        <v>184</v>
      </c>
      <c r="G372" s="15">
        <v>114</v>
      </c>
      <c r="H372" s="15">
        <v>2</v>
      </c>
      <c r="I372" s="15">
        <v>1</v>
      </c>
      <c r="J372" s="15" t="s">
        <v>84</v>
      </c>
      <c r="K372" s="15" t="s">
        <v>84</v>
      </c>
      <c r="L372" s="15" t="s">
        <v>84</v>
      </c>
      <c r="M372" s="15" t="s">
        <v>84</v>
      </c>
    </row>
    <row r="373" spans="1:13" x14ac:dyDescent="0.25">
      <c r="A373" s="15" t="s">
        <v>152</v>
      </c>
      <c r="B373" s="15">
        <v>8</v>
      </c>
      <c r="C373" s="15">
        <v>2</v>
      </c>
      <c r="D373" s="15" t="s">
        <v>84</v>
      </c>
      <c r="E373" s="15" t="s">
        <v>84</v>
      </c>
      <c r="F373" s="15">
        <v>8</v>
      </c>
      <c r="G373" s="15">
        <v>2</v>
      </c>
      <c r="H373" s="15" t="s">
        <v>84</v>
      </c>
      <c r="I373" s="15" t="s">
        <v>84</v>
      </c>
      <c r="J373" s="15" t="s">
        <v>84</v>
      </c>
      <c r="K373" s="15" t="s">
        <v>84</v>
      </c>
      <c r="L373" s="15" t="s">
        <v>84</v>
      </c>
      <c r="M373" s="15" t="s">
        <v>84</v>
      </c>
    </row>
    <row r="374" spans="1:13" x14ac:dyDescent="0.25">
      <c r="A374" s="15" t="s">
        <v>85</v>
      </c>
      <c r="B374" s="15">
        <v>201</v>
      </c>
      <c r="C374" s="15">
        <v>101</v>
      </c>
      <c r="D374" s="15">
        <v>2</v>
      </c>
      <c r="E374" s="15" t="s">
        <v>84</v>
      </c>
      <c r="F374" s="15">
        <v>201</v>
      </c>
      <c r="G374" s="15">
        <v>101</v>
      </c>
      <c r="H374" s="15">
        <v>2</v>
      </c>
      <c r="I374" s="15" t="s">
        <v>84</v>
      </c>
      <c r="J374" s="15" t="s">
        <v>84</v>
      </c>
      <c r="K374" s="15" t="s">
        <v>84</v>
      </c>
      <c r="L374" s="15" t="s">
        <v>84</v>
      </c>
      <c r="M374" s="15" t="s">
        <v>84</v>
      </c>
    </row>
    <row r="375" spans="1:13" x14ac:dyDescent="0.25">
      <c r="A375" s="15" t="s">
        <v>86</v>
      </c>
      <c r="B375" s="15">
        <v>54</v>
      </c>
      <c r="C375" s="15">
        <v>20</v>
      </c>
      <c r="D375" s="15">
        <v>2</v>
      </c>
      <c r="E375" s="15">
        <v>1</v>
      </c>
      <c r="F375" s="15">
        <v>54</v>
      </c>
      <c r="G375" s="15">
        <v>20</v>
      </c>
      <c r="H375" s="15">
        <v>2</v>
      </c>
      <c r="I375" s="15">
        <v>1</v>
      </c>
      <c r="J375" s="15" t="s">
        <v>84</v>
      </c>
      <c r="K375" s="15" t="s">
        <v>84</v>
      </c>
      <c r="L375" s="15" t="s">
        <v>84</v>
      </c>
      <c r="M375" s="15" t="s">
        <v>84</v>
      </c>
    </row>
    <row r="376" spans="1:13" x14ac:dyDescent="0.25">
      <c r="A376" s="15" t="s">
        <v>87</v>
      </c>
      <c r="B376" s="15">
        <v>51</v>
      </c>
      <c r="C376" s="15">
        <v>23</v>
      </c>
      <c r="D376" s="15">
        <v>9</v>
      </c>
      <c r="E376" s="15">
        <v>2</v>
      </c>
      <c r="F376" s="15">
        <v>51</v>
      </c>
      <c r="G376" s="15">
        <v>23</v>
      </c>
      <c r="H376" s="15">
        <v>9</v>
      </c>
      <c r="I376" s="15">
        <v>2</v>
      </c>
      <c r="J376" s="15" t="s">
        <v>84</v>
      </c>
      <c r="K376" s="15" t="s">
        <v>84</v>
      </c>
      <c r="L376" s="15" t="s">
        <v>84</v>
      </c>
      <c r="M376" s="15" t="s">
        <v>84</v>
      </c>
    </row>
    <row r="377" spans="1:13" ht="15" customHeight="1" x14ac:dyDescent="0.25">
      <c r="A377" s="15" t="s">
        <v>153</v>
      </c>
      <c r="B377" s="15">
        <v>12</v>
      </c>
      <c r="C377" s="15">
        <v>4</v>
      </c>
      <c r="D377" s="15" t="s">
        <v>84</v>
      </c>
      <c r="E377" s="15" t="s">
        <v>84</v>
      </c>
      <c r="F377" s="15">
        <v>12</v>
      </c>
      <c r="G377" s="15">
        <v>4</v>
      </c>
      <c r="H377" s="15" t="s">
        <v>84</v>
      </c>
      <c r="I377" s="15" t="s">
        <v>84</v>
      </c>
      <c r="J377" s="15" t="s">
        <v>84</v>
      </c>
      <c r="K377" s="15" t="s">
        <v>84</v>
      </c>
      <c r="L377" s="15" t="s">
        <v>84</v>
      </c>
      <c r="M377" s="15" t="s">
        <v>84</v>
      </c>
    </row>
    <row r="378" spans="1:13" x14ac:dyDescent="0.25">
      <c r="A378" s="15" t="s">
        <v>154</v>
      </c>
      <c r="B378" s="15">
        <v>5</v>
      </c>
      <c r="C378" s="15">
        <v>4</v>
      </c>
      <c r="D378" s="15" t="s">
        <v>84</v>
      </c>
      <c r="E378" s="15" t="s">
        <v>84</v>
      </c>
      <c r="F378" s="15">
        <v>5</v>
      </c>
      <c r="G378" s="15">
        <v>4</v>
      </c>
      <c r="H378" s="15" t="s">
        <v>84</v>
      </c>
      <c r="I378" s="15" t="s">
        <v>84</v>
      </c>
      <c r="J378" s="15" t="s">
        <v>84</v>
      </c>
      <c r="K378" s="15" t="s">
        <v>84</v>
      </c>
      <c r="L378" s="15" t="s">
        <v>84</v>
      </c>
      <c r="M378" s="15" t="s">
        <v>84</v>
      </c>
    </row>
    <row r="379" spans="1:13" ht="15" customHeight="1" x14ac:dyDescent="0.25">
      <c r="A379" s="207" t="s">
        <v>123</v>
      </c>
      <c r="B379" s="208"/>
      <c r="C379" s="208"/>
      <c r="D379" s="208"/>
      <c r="E379" s="208"/>
      <c r="F379" s="208"/>
      <c r="G379" s="208"/>
      <c r="H379" s="208"/>
      <c r="I379" s="208"/>
      <c r="J379" s="208"/>
      <c r="K379" s="208"/>
      <c r="L379" s="208"/>
      <c r="M379" s="209"/>
    </row>
    <row r="380" spans="1:13" x14ac:dyDescent="0.25">
      <c r="A380" s="207"/>
      <c r="B380" s="208"/>
      <c r="C380" s="208"/>
      <c r="D380" s="208"/>
      <c r="E380" s="208"/>
      <c r="F380" s="208"/>
      <c r="G380" s="208"/>
      <c r="H380" s="208"/>
      <c r="I380" s="208"/>
      <c r="J380" s="208"/>
      <c r="K380" s="208"/>
      <c r="L380" s="208"/>
      <c r="M380" s="209"/>
    </row>
    <row r="381" spans="1:13" x14ac:dyDescent="0.25">
      <c r="A381" s="15" t="s">
        <v>83</v>
      </c>
      <c r="B381" s="27">
        <v>1884</v>
      </c>
      <c r="C381" s="15">
        <v>939</v>
      </c>
      <c r="D381" s="27">
        <v>116</v>
      </c>
      <c r="E381" s="15">
        <v>72</v>
      </c>
      <c r="F381" s="15">
        <v>1647</v>
      </c>
      <c r="G381" s="15">
        <v>817</v>
      </c>
      <c r="H381" s="15">
        <v>113</v>
      </c>
      <c r="I381" s="15">
        <v>70</v>
      </c>
      <c r="J381" s="15">
        <v>237</v>
      </c>
      <c r="K381" s="15">
        <v>122</v>
      </c>
      <c r="L381" s="15">
        <v>3</v>
      </c>
      <c r="M381" s="15">
        <v>2</v>
      </c>
    </row>
    <row r="382" spans="1:13" x14ac:dyDescent="0.25">
      <c r="A382" s="15" t="s">
        <v>151</v>
      </c>
      <c r="B382" s="15">
        <v>918</v>
      </c>
      <c r="C382" s="15">
        <v>524</v>
      </c>
      <c r="D382" s="15">
        <v>14</v>
      </c>
      <c r="E382" s="15">
        <v>9</v>
      </c>
      <c r="F382" s="15">
        <v>794</v>
      </c>
      <c r="G382" s="15">
        <v>449</v>
      </c>
      <c r="H382" s="15">
        <v>12</v>
      </c>
      <c r="I382" s="15">
        <v>7</v>
      </c>
      <c r="J382" s="15">
        <v>124</v>
      </c>
      <c r="K382" s="15">
        <v>75</v>
      </c>
      <c r="L382" s="15">
        <v>2</v>
      </c>
      <c r="M382" s="15">
        <v>2</v>
      </c>
    </row>
    <row r="383" spans="1:13" x14ac:dyDescent="0.25">
      <c r="A383" s="15" t="s">
        <v>152</v>
      </c>
      <c r="B383" s="15">
        <v>66</v>
      </c>
      <c r="C383" s="15">
        <v>34</v>
      </c>
      <c r="D383" s="15">
        <v>2</v>
      </c>
      <c r="E383" s="15" t="s">
        <v>84</v>
      </c>
      <c r="F383" s="15">
        <v>63</v>
      </c>
      <c r="G383" s="15">
        <v>33</v>
      </c>
      <c r="H383" s="15">
        <v>2</v>
      </c>
      <c r="I383" s="15" t="s">
        <v>84</v>
      </c>
      <c r="J383" s="15">
        <v>3</v>
      </c>
      <c r="K383" s="15">
        <v>1</v>
      </c>
      <c r="L383" s="15" t="s">
        <v>84</v>
      </c>
      <c r="M383" s="15" t="s">
        <v>84</v>
      </c>
    </row>
    <row r="384" spans="1:13" x14ac:dyDescent="0.25">
      <c r="A384" s="15" t="s">
        <v>85</v>
      </c>
      <c r="B384" s="15">
        <v>579</v>
      </c>
      <c r="C384" s="15">
        <v>254</v>
      </c>
      <c r="D384" s="15">
        <v>57</v>
      </c>
      <c r="E384" s="15">
        <v>35</v>
      </c>
      <c r="F384" s="15">
        <v>492</v>
      </c>
      <c r="G384" s="15">
        <v>216</v>
      </c>
      <c r="H384" s="15">
        <v>57</v>
      </c>
      <c r="I384" s="15">
        <v>35</v>
      </c>
      <c r="J384" s="15">
        <v>87</v>
      </c>
      <c r="K384" s="15">
        <v>38</v>
      </c>
      <c r="L384" s="15" t="s">
        <v>84</v>
      </c>
      <c r="M384" s="15" t="s">
        <v>84</v>
      </c>
    </row>
    <row r="385" spans="1:13" x14ac:dyDescent="0.25">
      <c r="A385" s="15" t="s">
        <v>86</v>
      </c>
      <c r="B385" s="15">
        <v>206</v>
      </c>
      <c r="C385" s="15">
        <v>80</v>
      </c>
      <c r="D385" s="15">
        <v>28</v>
      </c>
      <c r="E385" s="15">
        <v>18</v>
      </c>
      <c r="F385" s="15">
        <v>191</v>
      </c>
      <c r="G385" s="15">
        <v>74</v>
      </c>
      <c r="H385" s="15">
        <v>28</v>
      </c>
      <c r="I385" s="15">
        <v>18</v>
      </c>
      <c r="J385" s="15">
        <v>15</v>
      </c>
      <c r="K385" s="15">
        <v>6</v>
      </c>
      <c r="L385" s="15" t="s">
        <v>84</v>
      </c>
      <c r="M385" s="15" t="s">
        <v>84</v>
      </c>
    </row>
    <row r="386" spans="1:13" x14ac:dyDescent="0.25">
      <c r="A386" s="15" t="s">
        <v>87</v>
      </c>
      <c r="B386" s="15">
        <v>115</v>
      </c>
      <c r="C386" s="15">
        <v>47</v>
      </c>
      <c r="D386" s="15">
        <v>15</v>
      </c>
      <c r="E386" s="15">
        <v>10</v>
      </c>
      <c r="F386" s="15">
        <v>107</v>
      </c>
      <c r="G386" s="15">
        <v>45</v>
      </c>
      <c r="H386" s="15">
        <v>14</v>
      </c>
      <c r="I386" s="15">
        <v>10</v>
      </c>
      <c r="J386" s="15">
        <v>8</v>
      </c>
      <c r="K386" s="15">
        <v>2</v>
      </c>
      <c r="L386" s="15">
        <v>1</v>
      </c>
      <c r="M386" s="15" t="s">
        <v>84</v>
      </c>
    </row>
    <row r="387" spans="1:13" ht="15" customHeight="1" x14ac:dyDescent="0.25">
      <c r="A387" s="15" t="s">
        <v>153</v>
      </c>
      <c r="B387" s="15">
        <v>45</v>
      </c>
      <c r="C387" s="15">
        <v>19</v>
      </c>
      <c r="D387" s="15">
        <v>9</v>
      </c>
      <c r="E387" s="15">
        <v>6</v>
      </c>
      <c r="F387" s="15">
        <v>45</v>
      </c>
      <c r="G387" s="15">
        <v>19</v>
      </c>
      <c r="H387" s="15">
        <v>9</v>
      </c>
      <c r="I387" s="15">
        <v>6</v>
      </c>
      <c r="J387" s="15" t="s">
        <v>84</v>
      </c>
      <c r="K387" s="15" t="s">
        <v>84</v>
      </c>
      <c r="L387" s="15" t="s">
        <v>84</v>
      </c>
      <c r="M387" s="15" t="s">
        <v>84</v>
      </c>
    </row>
    <row r="388" spans="1:13" x14ac:dyDescent="0.25">
      <c r="A388" s="15" t="s">
        <v>154</v>
      </c>
      <c r="B388" s="15">
        <v>18</v>
      </c>
      <c r="C388" s="15">
        <v>7</v>
      </c>
      <c r="D388" s="15">
        <v>1</v>
      </c>
      <c r="E388" s="15" t="s">
        <v>84</v>
      </c>
      <c r="F388" s="15">
        <v>11</v>
      </c>
      <c r="G388" s="15">
        <v>5</v>
      </c>
      <c r="H388" s="15" t="s">
        <v>84</v>
      </c>
      <c r="I388" s="15" t="s">
        <v>84</v>
      </c>
      <c r="J388" s="15">
        <v>7</v>
      </c>
      <c r="K388" s="15">
        <v>2</v>
      </c>
      <c r="L388" s="15">
        <v>1</v>
      </c>
      <c r="M388" s="15" t="s">
        <v>84</v>
      </c>
    </row>
    <row r="389" spans="1:13" ht="15" customHeight="1" x14ac:dyDescent="0.25">
      <c r="A389" s="207" t="s">
        <v>124</v>
      </c>
      <c r="B389" s="208"/>
      <c r="C389" s="208"/>
      <c r="D389" s="208"/>
      <c r="E389" s="208"/>
      <c r="F389" s="208"/>
      <c r="G389" s="208"/>
      <c r="H389" s="208"/>
      <c r="I389" s="208"/>
      <c r="J389" s="208"/>
      <c r="K389" s="208"/>
      <c r="L389" s="208"/>
      <c r="M389" s="209"/>
    </row>
    <row r="390" spans="1:13" x14ac:dyDescent="0.25">
      <c r="A390" s="207"/>
      <c r="B390" s="208"/>
      <c r="C390" s="208"/>
      <c r="D390" s="208"/>
      <c r="E390" s="208"/>
      <c r="F390" s="208"/>
      <c r="G390" s="208"/>
      <c r="H390" s="208"/>
      <c r="I390" s="208"/>
      <c r="J390" s="208"/>
      <c r="K390" s="208"/>
      <c r="L390" s="208"/>
      <c r="M390" s="209"/>
    </row>
    <row r="391" spans="1:13" x14ac:dyDescent="0.25">
      <c r="A391" s="15" t="s">
        <v>83</v>
      </c>
      <c r="B391" s="27">
        <v>2052</v>
      </c>
      <c r="C391" s="15">
        <v>1035</v>
      </c>
      <c r="D391" s="27">
        <v>125</v>
      </c>
      <c r="E391" s="15">
        <v>54</v>
      </c>
      <c r="F391" s="15">
        <v>1473</v>
      </c>
      <c r="G391" s="15">
        <v>721</v>
      </c>
      <c r="H391" s="15">
        <v>123</v>
      </c>
      <c r="I391" s="15">
        <v>53</v>
      </c>
      <c r="J391" s="15">
        <v>579</v>
      </c>
      <c r="K391" s="15">
        <v>314</v>
      </c>
      <c r="L391" s="15">
        <v>2</v>
      </c>
      <c r="M391" s="15">
        <v>1</v>
      </c>
    </row>
    <row r="392" spans="1:13" x14ac:dyDescent="0.25">
      <c r="A392" s="15" t="s">
        <v>151</v>
      </c>
      <c r="B392" s="15">
        <v>952</v>
      </c>
      <c r="C392" s="15">
        <v>541</v>
      </c>
      <c r="D392" s="15">
        <v>20</v>
      </c>
      <c r="E392" s="15">
        <v>13</v>
      </c>
      <c r="F392" s="15">
        <v>699</v>
      </c>
      <c r="G392" s="15">
        <v>388</v>
      </c>
      <c r="H392" s="15">
        <v>20</v>
      </c>
      <c r="I392" s="15">
        <v>13</v>
      </c>
      <c r="J392" s="15">
        <v>253</v>
      </c>
      <c r="K392" s="15">
        <v>153</v>
      </c>
      <c r="L392" s="15" t="s">
        <v>84</v>
      </c>
      <c r="M392" s="15" t="s">
        <v>84</v>
      </c>
    </row>
    <row r="393" spans="1:13" x14ac:dyDescent="0.25">
      <c r="A393" s="15" t="s">
        <v>152</v>
      </c>
      <c r="B393" s="15">
        <v>112</v>
      </c>
      <c r="C393" s="15">
        <v>52</v>
      </c>
      <c r="D393" s="15">
        <v>8</v>
      </c>
      <c r="E393" s="15">
        <v>4</v>
      </c>
      <c r="F393" s="15">
        <v>99</v>
      </c>
      <c r="G393" s="15">
        <v>46</v>
      </c>
      <c r="H393" s="15">
        <v>8</v>
      </c>
      <c r="I393" s="15">
        <v>4</v>
      </c>
      <c r="J393" s="15">
        <v>13</v>
      </c>
      <c r="K393" s="15">
        <v>6</v>
      </c>
      <c r="L393" s="15" t="s">
        <v>84</v>
      </c>
      <c r="M393" s="15" t="s">
        <v>84</v>
      </c>
    </row>
    <row r="394" spans="1:13" x14ac:dyDescent="0.25">
      <c r="A394" s="15" t="s">
        <v>85</v>
      </c>
      <c r="B394" s="15">
        <v>715</v>
      </c>
      <c r="C394" s="15">
        <v>346</v>
      </c>
      <c r="D394" s="15">
        <v>56</v>
      </c>
      <c r="E394" s="15">
        <v>24</v>
      </c>
      <c r="F394" s="15">
        <v>433</v>
      </c>
      <c r="G394" s="15">
        <v>200</v>
      </c>
      <c r="H394" s="15">
        <v>54</v>
      </c>
      <c r="I394" s="15">
        <v>23</v>
      </c>
      <c r="J394" s="15">
        <v>282</v>
      </c>
      <c r="K394" s="15">
        <v>146</v>
      </c>
      <c r="L394" s="15">
        <v>2</v>
      </c>
      <c r="M394" s="15">
        <v>1</v>
      </c>
    </row>
    <row r="395" spans="1:13" x14ac:dyDescent="0.25">
      <c r="A395" s="15" t="s">
        <v>86</v>
      </c>
      <c r="B395" s="15">
        <v>143</v>
      </c>
      <c r="C395" s="15">
        <v>48</v>
      </c>
      <c r="D395" s="15">
        <v>20</v>
      </c>
      <c r="E395" s="15">
        <v>5</v>
      </c>
      <c r="F395" s="15">
        <v>119</v>
      </c>
      <c r="G395" s="15">
        <v>43</v>
      </c>
      <c r="H395" s="15">
        <v>20</v>
      </c>
      <c r="I395" s="15">
        <v>5</v>
      </c>
      <c r="J395" s="15">
        <v>24</v>
      </c>
      <c r="K395" s="15">
        <v>5</v>
      </c>
      <c r="L395" s="15" t="s">
        <v>84</v>
      </c>
      <c r="M395" s="15" t="s">
        <v>84</v>
      </c>
    </row>
    <row r="396" spans="1:13" x14ac:dyDescent="0.25">
      <c r="A396" s="15" t="s">
        <v>87</v>
      </c>
      <c r="B396" s="15">
        <v>130</v>
      </c>
      <c r="C396" s="15">
        <v>48</v>
      </c>
      <c r="D396" s="15">
        <v>21</v>
      </c>
      <c r="E396" s="15">
        <v>8</v>
      </c>
      <c r="F396" s="15">
        <v>123</v>
      </c>
      <c r="G396" s="15">
        <v>44</v>
      </c>
      <c r="H396" s="15">
        <v>21</v>
      </c>
      <c r="I396" s="15">
        <v>8</v>
      </c>
      <c r="J396" s="15">
        <v>7</v>
      </c>
      <c r="K396" s="15">
        <v>4</v>
      </c>
      <c r="L396" s="15" t="s">
        <v>84</v>
      </c>
      <c r="M396" s="15" t="s">
        <v>84</v>
      </c>
    </row>
    <row r="397" spans="1:13" ht="15" customHeight="1" x14ac:dyDescent="0.25">
      <c r="A397" s="15" t="s">
        <v>153</v>
      </c>
      <c r="B397" s="15">
        <v>15</v>
      </c>
      <c r="C397" s="15">
        <v>5</v>
      </c>
      <c r="D397" s="15">
        <v>2</v>
      </c>
      <c r="E397" s="15">
        <v>1</v>
      </c>
      <c r="F397" s="15">
        <v>15</v>
      </c>
      <c r="G397" s="15">
        <v>5</v>
      </c>
      <c r="H397" s="15">
        <v>2</v>
      </c>
      <c r="I397" s="15">
        <v>1</v>
      </c>
      <c r="J397" s="15" t="s">
        <v>84</v>
      </c>
      <c r="K397" s="15" t="s">
        <v>84</v>
      </c>
      <c r="L397" s="15" t="s">
        <v>84</v>
      </c>
      <c r="M397" s="15" t="s">
        <v>84</v>
      </c>
    </row>
    <row r="398" spans="1:13" x14ac:dyDescent="0.25">
      <c r="A398" s="15" t="s">
        <v>154</v>
      </c>
      <c r="B398" s="15">
        <v>33</v>
      </c>
      <c r="C398" s="15">
        <v>14</v>
      </c>
      <c r="D398" s="15">
        <v>7</v>
      </c>
      <c r="E398" s="15">
        <v>2</v>
      </c>
      <c r="F398" s="15">
        <v>33</v>
      </c>
      <c r="G398" s="15">
        <v>14</v>
      </c>
      <c r="H398" s="15">
        <v>7</v>
      </c>
      <c r="I398" s="15">
        <v>2</v>
      </c>
      <c r="J398" s="15" t="s">
        <v>84</v>
      </c>
      <c r="K398" s="15" t="s">
        <v>84</v>
      </c>
      <c r="L398" s="15" t="s">
        <v>84</v>
      </c>
      <c r="M398" s="15" t="s">
        <v>84</v>
      </c>
    </row>
    <row r="399" spans="1:13" ht="15" customHeight="1" x14ac:dyDescent="0.25">
      <c r="A399" s="207" t="s">
        <v>125</v>
      </c>
      <c r="B399" s="208"/>
      <c r="C399" s="208"/>
      <c r="D399" s="208"/>
      <c r="E399" s="208"/>
      <c r="F399" s="208"/>
      <c r="G399" s="208"/>
      <c r="H399" s="208"/>
      <c r="I399" s="208"/>
      <c r="J399" s="208"/>
      <c r="K399" s="208"/>
      <c r="L399" s="208"/>
      <c r="M399" s="209"/>
    </row>
    <row r="400" spans="1:13" x14ac:dyDescent="0.25">
      <c r="A400" s="207"/>
      <c r="B400" s="208"/>
      <c r="C400" s="208"/>
      <c r="D400" s="208"/>
      <c r="E400" s="208"/>
      <c r="F400" s="208"/>
      <c r="G400" s="208"/>
      <c r="H400" s="208"/>
      <c r="I400" s="208"/>
      <c r="J400" s="208"/>
      <c r="K400" s="208"/>
      <c r="L400" s="208"/>
      <c r="M400" s="209"/>
    </row>
    <row r="401" spans="1:13" x14ac:dyDescent="0.25">
      <c r="A401" s="15" t="s">
        <v>83</v>
      </c>
      <c r="B401" s="27">
        <v>744</v>
      </c>
      <c r="C401" s="15">
        <v>391</v>
      </c>
      <c r="D401" s="27">
        <v>48</v>
      </c>
      <c r="E401" s="15">
        <v>28</v>
      </c>
      <c r="F401" s="15">
        <v>569</v>
      </c>
      <c r="G401" s="15">
        <v>286</v>
      </c>
      <c r="H401" s="15">
        <v>45</v>
      </c>
      <c r="I401" s="15">
        <v>26</v>
      </c>
      <c r="J401" s="15">
        <v>175</v>
      </c>
      <c r="K401" s="15">
        <v>105</v>
      </c>
      <c r="L401" s="15">
        <v>3</v>
      </c>
      <c r="M401" s="15">
        <v>2</v>
      </c>
    </row>
    <row r="402" spans="1:13" x14ac:dyDescent="0.25">
      <c r="A402" s="15" t="s">
        <v>151</v>
      </c>
      <c r="B402" s="15">
        <v>275</v>
      </c>
      <c r="C402" s="15">
        <v>160</v>
      </c>
      <c r="D402" s="15">
        <v>3</v>
      </c>
      <c r="E402" s="15">
        <v>3</v>
      </c>
      <c r="F402" s="15">
        <v>185</v>
      </c>
      <c r="G402" s="15">
        <v>103</v>
      </c>
      <c r="H402" s="15">
        <v>2</v>
      </c>
      <c r="I402" s="15">
        <v>2</v>
      </c>
      <c r="J402" s="15">
        <v>90</v>
      </c>
      <c r="K402" s="15">
        <v>57</v>
      </c>
      <c r="L402" s="15">
        <v>1</v>
      </c>
      <c r="M402" s="15">
        <v>1</v>
      </c>
    </row>
    <row r="403" spans="1:13" x14ac:dyDescent="0.25">
      <c r="A403" s="15" t="s">
        <v>152</v>
      </c>
      <c r="B403" s="15">
        <v>11</v>
      </c>
      <c r="C403" s="15">
        <v>7</v>
      </c>
      <c r="D403" s="15">
        <v>1</v>
      </c>
      <c r="E403" s="15">
        <v>1</v>
      </c>
      <c r="F403" s="15">
        <v>10</v>
      </c>
      <c r="G403" s="15">
        <v>7</v>
      </c>
      <c r="H403" s="15">
        <v>1</v>
      </c>
      <c r="I403" s="15">
        <v>1</v>
      </c>
      <c r="J403" s="15">
        <v>1</v>
      </c>
      <c r="K403" s="15" t="s">
        <v>84</v>
      </c>
      <c r="L403" s="15" t="s">
        <v>84</v>
      </c>
      <c r="M403" s="15" t="s">
        <v>84</v>
      </c>
    </row>
    <row r="404" spans="1:13" x14ac:dyDescent="0.25">
      <c r="A404" s="15" t="s">
        <v>85</v>
      </c>
      <c r="B404" s="15">
        <v>330</v>
      </c>
      <c r="C404" s="15">
        <v>160</v>
      </c>
      <c r="D404" s="15">
        <v>18</v>
      </c>
      <c r="E404" s="15">
        <v>9</v>
      </c>
      <c r="F404" s="15">
        <v>258</v>
      </c>
      <c r="G404" s="15">
        <v>119</v>
      </c>
      <c r="H404" s="15">
        <v>17</v>
      </c>
      <c r="I404" s="15">
        <v>9</v>
      </c>
      <c r="J404" s="15">
        <v>72</v>
      </c>
      <c r="K404" s="15">
        <v>41</v>
      </c>
      <c r="L404" s="15">
        <v>1</v>
      </c>
      <c r="M404" s="15" t="s">
        <v>84</v>
      </c>
    </row>
    <row r="405" spans="1:13" x14ac:dyDescent="0.25">
      <c r="A405" s="15" t="s">
        <v>86</v>
      </c>
      <c r="B405" s="15">
        <v>101</v>
      </c>
      <c r="C405" s="15">
        <v>52</v>
      </c>
      <c r="D405" s="15">
        <v>24</v>
      </c>
      <c r="E405" s="15">
        <v>14</v>
      </c>
      <c r="F405" s="15">
        <v>89</v>
      </c>
      <c r="G405" s="15">
        <v>45</v>
      </c>
      <c r="H405" s="15">
        <v>23</v>
      </c>
      <c r="I405" s="15">
        <v>13</v>
      </c>
      <c r="J405" s="15">
        <v>12</v>
      </c>
      <c r="K405" s="15">
        <v>7</v>
      </c>
      <c r="L405" s="15">
        <v>1</v>
      </c>
      <c r="M405" s="15">
        <v>1</v>
      </c>
    </row>
    <row r="406" spans="1:13" ht="15" customHeight="1" x14ac:dyDescent="0.25">
      <c r="A406" s="15" t="s">
        <v>87</v>
      </c>
      <c r="B406" s="15">
        <v>27</v>
      </c>
      <c r="C406" s="15">
        <v>12</v>
      </c>
      <c r="D406" s="15">
        <v>2</v>
      </c>
      <c r="E406" s="15">
        <v>1</v>
      </c>
      <c r="F406" s="15">
        <v>27</v>
      </c>
      <c r="G406" s="15">
        <v>12</v>
      </c>
      <c r="H406" s="15">
        <v>2</v>
      </c>
      <c r="I406" s="15">
        <v>1</v>
      </c>
      <c r="J406" s="15" t="s">
        <v>84</v>
      </c>
      <c r="K406" s="15" t="s">
        <v>84</v>
      </c>
      <c r="L406" s="15" t="s">
        <v>84</v>
      </c>
      <c r="M406" s="15" t="s">
        <v>84</v>
      </c>
    </row>
    <row r="407" spans="1:13" x14ac:dyDescent="0.25">
      <c r="A407" s="15" t="s">
        <v>153</v>
      </c>
      <c r="B407" s="15">
        <v>18</v>
      </c>
      <c r="C407" s="15">
        <v>8</v>
      </c>
      <c r="D407" s="15">
        <v>2</v>
      </c>
      <c r="E407" s="15">
        <v>1</v>
      </c>
      <c r="F407" s="15">
        <v>18</v>
      </c>
      <c r="G407" s="15">
        <v>8</v>
      </c>
      <c r="H407" s="15">
        <v>2</v>
      </c>
      <c r="I407" s="15">
        <v>1</v>
      </c>
      <c r="J407" s="15" t="s">
        <v>84</v>
      </c>
      <c r="K407" s="15" t="s">
        <v>84</v>
      </c>
      <c r="L407" s="15" t="s">
        <v>84</v>
      </c>
      <c r="M407" s="15" t="s">
        <v>84</v>
      </c>
    </row>
    <row r="408" spans="1:13" ht="15" customHeight="1" x14ac:dyDescent="0.25">
      <c r="A408" s="207" t="s">
        <v>126</v>
      </c>
      <c r="B408" s="208"/>
      <c r="C408" s="208"/>
      <c r="D408" s="208"/>
      <c r="E408" s="208"/>
      <c r="F408" s="208"/>
      <c r="G408" s="208"/>
      <c r="H408" s="208"/>
      <c r="I408" s="208"/>
      <c r="J408" s="208"/>
      <c r="K408" s="208"/>
      <c r="L408" s="208"/>
      <c r="M408" s="209"/>
    </row>
    <row r="409" spans="1:13" x14ac:dyDescent="0.25">
      <c r="A409" s="207"/>
      <c r="B409" s="208"/>
      <c r="C409" s="208"/>
      <c r="D409" s="208"/>
      <c r="E409" s="208"/>
      <c r="F409" s="208"/>
      <c r="G409" s="208"/>
      <c r="H409" s="208"/>
      <c r="I409" s="208"/>
      <c r="J409" s="208"/>
      <c r="K409" s="208"/>
      <c r="L409" s="208"/>
      <c r="M409" s="209"/>
    </row>
    <row r="410" spans="1:13" x14ac:dyDescent="0.25">
      <c r="A410" s="15" t="s">
        <v>83</v>
      </c>
      <c r="B410" s="27">
        <v>1375</v>
      </c>
      <c r="C410" s="15">
        <v>664</v>
      </c>
      <c r="D410" s="27">
        <v>32</v>
      </c>
      <c r="E410" s="15">
        <v>17</v>
      </c>
      <c r="F410" s="15">
        <v>1353</v>
      </c>
      <c r="G410" s="15">
        <v>659</v>
      </c>
      <c r="H410" s="15">
        <v>32</v>
      </c>
      <c r="I410" s="15">
        <v>17</v>
      </c>
      <c r="J410" s="15">
        <v>22</v>
      </c>
      <c r="K410" s="15">
        <v>5</v>
      </c>
      <c r="L410" s="15" t="s">
        <v>84</v>
      </c>
      <c r="M410" s="15" t="s">
        <v>84</v>
      </c>
    </row>
    <row r="411" spans="1:13" x14ac:dyDescent="0.25">
      <c r="A411" s="15" t="s">
        <v>151</v>
      </c>
      <c r="B411" s="15">
        <v>342</v>
      </c>
      <c r="C411" s="15">
        <v>199</v>
      </c>
      <c r="D411" s="15">
        <v>4</v>
      </c>
      <c r="E411" s="15">
        <v>3</v>
      </c>
      <c r="F411" s="15">
        <v>342</v>
      </c>
      <c r="G411" s="15">
        <v>199</v>
      </c>
      <c r="H411" s="15">
        <v>4</v>
      </c>
      <c r="I411" s="15">
        <v>3</v>
      </c>
      <c r="J411" s="15" t="s">
        <v>84</v>
      </c>
      <c r="K411" s="15" t="s">
        <v>84</v>
      </c>
      <c r="L411" s="15" t="s">
        <v>84</v>
      </c>
      <c r="M411" s="15" t="s">
        <v>84</v>
      </c>
    </row>
    <row r="412" spans="1:13" x14ac:dyDescent="0.25">
      <c r="A412" s="15" t="s">
        <v>152</v>
      </c>
      <c r="B412" s="15">
        <v>26</v>
      </c>
      <c r="C412" s="15">
        <v>17</v>
      </c>
      <c r="D412" s="15">
        <v>1</v>
      </c>
      <c r="E412" s="15">
        <v>1</v>
      </c>
      <c r="F412" s="15">
        <v>26</v>
      </c>
      <c r="G412" s="15">
        <v>17</v>
      </c>
      <c r="H412" s="15">
        <v>1</v>
      </c>
      <c r="I412" s="15">
        <v>1</v>
      </c>
      <c r="J412" s="15" t="s">
        <v>84</v>
      </c>
      <c r="K412" s="15" t="s">
        <v>84</v>
      </c>
      <c r="L412" s="15" t="s">
        <v>84</v>
      </c>
      <c r="M412" s="15" t="s">
        <v>84</v>
      </c>
    </row>
    <row r="413" spans="1:13" x14ac:dyDescent="0.25">
      <c r="A413" s="15" t="s">
        <v>85</v>
      </c>
      <c r="B413" s="15">
        <v>733</v>
      </c>
      <c r="C413" s="15">
        <v>346</v>
      </c>
      <c r="D413" s="15">
        <v>19</v>
      </c>
      <c r="E413" s="15">
        <v>9</v>
      </c>
      <c r="F413" s="15">
        <v>726</v>
      </c>
      <c r="G413" s="15">
        <v>345</v>
      </c>
      <c r="H413" s="15">
        <v>19</v>
      </c>
      <c r="I413" s="15">
        <v>9</v>
      </c>
      <c r="J413" s="15">
        <v>7</v>
      </c>
      <c r="K413" s="15">
        <v>1</v>
      </c>
      <c r="L413" s="15" t="s">
        <v>84</v>
      </c>
      <c r="M413" s="15" t="s">
        <v>84</v>
      </c>
    </row>
    <row r="414" spans="1:13" x14ac:dyDescent="0.25">
      <c r="A414" s="15" t="s">
        <v>86</v>
      </c>
      <c r="B414" s="15">
        <v>219</v>
      </c>
      <c r="C414" s="15">
        <v>82</v>
      </c>
      <c r="D414" s="15">
        <v>6</v>
      </c>
      <c r="E414" s="15">
        <v>4</v>
      </c>
      <c r="F414" s="15">
        <v>211</v>
      </c>
      <c r="G414" s="15">
        <v>80</v>
      </c>
      <c r="H414" s="15">
        <v>6</v>
      </c>
      <c r="I414" s="15">
        <v>4</v>
      </c>
      <c r="J414" s="15">
        <v>8</v>
      </c>
      <c r="K414" s="15">
        <v>2</v>
      </c>
      <c r="L414" s="15" t="s">
        <v>84</v>
      </c>
      <c r="M414" s="15" t="s">
        <v>84</v>
      </c>
    </row>
    <row r="415" spans="1:13" x14ac:dyDescent="0.25">
      <c r="A415" s="15" t="s">
        <v>87</v>
      </c>
      <c r="B415" s="15">
        <v>55</v>
      </c>
      <c r="C415" s="15">
        <v>20</v>
      </c>
      <c r="D415" s="15">
        <v>2</v>
      </c>
      <c r="E415" s="15" t="s">
        <v>84</v>
      </c>
      <c r="F415" s="15">
        <v>48</v>
      </c>
      <c r="G415" s="15">
        <v>18</v>
      </c>
      <c r="H415" s="15">
        <v>2</v>
      </c>
      <c r="I415" s="15" t="s">
        <v>84</v>
      </c>
      <c r="J415" s="15">
        <v>7</v>
      </c>
      <c r="K415" s="15">
        <v>2</v>
      </c>
      <c r="L415" s="15" t="s">
        <v>84</v>
      </c>
      <c r="M415" s="15" t="s">
        <v>84</v>
      </c>
    </row>
    <row r="416" spans="1:13" ht="15" customHeight="1" x14ac:dyDescent="0.25">
      <c r="A416" s="15" t="s">
        <v>153</v>
      </c>
      <c r="B416" s="15">
        <v>26</v>
      </c>
      <c r="C416" s="15">
        <v>12</v>
      </c>
      <c r="D416" s="15" t="s">
        <v>84</v>
      </c>
      <c r="E416" s="15" t="s">
        <v>84</v>
      </c>
      <c r="F416" s="15">
        <v>22</v>
      </c>
      <c r="G416" s="15">
        <v>10</v>
      </c>
      <c r="H416" s="15" t="s">
        <v>84</v>
      </c>
      <c r="I416" s="15" t="s">
        <v>84</v>
      </c>
      <c r="J416" s="15">
        <v>4</v>
      </c>
      <c r="K416" s="15">
        <v>2</v>
      </c>
      <c r="L416" s="15" t="s">
        <v>84</v>
      </c>
      <c r="M416" s="15" t="s">
        <v>84</v>
      </c>
    </row>
    <row r="417" spans="1:13" x14ac:dyDescent="0.25">
      <c r="A417" s="15" t="s">
        <v>154</v>
      </c>
      <c r="B417" s="15">
        <v>8</v>
      </c>
      <c r="C417" s="15">
        <v>2</v>
      </c>
      <c r="D417" s="15">
        <v>1</v>
      </c>
      <c r="E417" s="15" t="s">
        <v>84</v>
      </c>
      <c r="F417" s="15">
        <v>8</v>
      </c>
      <c r="G417" s="15">
        <v>2</v>
      </c>
      <c r="H417" s="15">
        <v>1</v>
      </c>
      <c r="I417" s="15" t="s">
        <v>84</v>
      </c>
      <c r="J417" s="15" t="s">
        <v>84</v>
      </c>
      <c r="K417" s="15" t="s">
        <v>84</v>
      </c>
      <c r="L417" s="15" t="s">
        <v>84</v>
      </c>
      <c r="M417" s="15" t="s">
        <v>84</v>
      </c>
    </row>
    <row r="418" spans="1:13" ht="15" customHeight="1" x14ac:dyDescent="0.25">
      <c r="A418" s="207" t="s">
        <v>127</v>
      </c>
      <c r="B418" s="208"/>
      <c r="C418" s="208"/>
      <c r="D418" s="208"/>
      <c r="E418" s="208"/>
      <c r="F418" s="208"/>
      <c r="G418" s="208"/>
      <c r="H418" s="208"/>
      <c r="I418" s="208"/>
      <c r="J418" s="208"/>
      <c r="K418" s="208"/>
      <c r="L418" s="208"/>
      <c r="M418" s="209"/>
    </row>
    <row r="419" spans="1:13" x14ac:dyDescent="0.25">
      <c r="A419" s="207"/>
      <c r="B419" s="208"/>
      <c r="C419" s="208"/>
      <c r="D419" s="208"/>
      <c r="E419" s="208"/>
      <c r="F419" s="208"/>
      <c r="G419" s="208"/>
      <c r="H419" s="208"/>
      <c r="I419" s="208"/>
      <c r="J419" s="208"/>
      <c r="K419" s="208"/>
      <c r="L419" s="208"/>
      <c r="M419" s="209"/>
    </row>
    <row r="420" spans="1:13" x14ac:dyDescent="0.25">
      <c r="A420" s="15" t="s">
        <v>83</v>
      </c>
      <c r="B420" s="27">
        <v>2279</v>
      </c>
      <c r="C420" s="15">
        <v>1103</v>
      </c>
      <c r="D420" s="27">
        <v>52</v>
      </c>
      <c r="E420" s="15">
        <v>27</v>
      </c>
      <c r="F420" s="15">
        <v>2242</v>
      </c>
      <c r="G420" s="15">
        <v>1092</v>
      </c>
      <c r="H420" s="15">
        <v>52</v>
      </c>
      <c r="I420" s="15">
        <v>27</v>
      </c>
      <c r="J420" s="15">
        <v>37</v>
      </c>
      <c r="K420" s="15">
        <v>11</v>
      </c>
      <c r="L420" s="15" t="s">
        <v>84</v>
      </c>
      <c r="M420" s="15" t="s">
        <v>84</v>
      </c>
    </row>
    <row r="421" spans="1:13" x14ac:dyDescent="0.25">
      <c r="A421" s="15" t="s">
        <v>151</v>
      </c>
      <c r="B421" s="15">
        <v>574</v>
      </c>
      <c r="C421" s="15">
        <v>327</v>
      </c>
      <c r="D421" s="15">
        <v>9</v>
      </c>
      <c r="E421" s="15">
        <v>6</v>
      </c>
      <c r="F421" s="15">
        <v>574</v>
      </c>
      <c r="G421" s="15">
        <v>327</v>
      </c>
      <c r="H421" s="15">
        <v>9</v>
      </c>
      <c r="I421" s="15">
        <v>6</v>
      </c>
      <c r="J421" s="15" t="s">
        <v>84</v>
      </c>
      <c r="K421" s="15" t="s">
        <v>84</v>
      </c>
      <c r="L421" s="15" t="s">
        <v>84</v>
      </c>
      <c r="M421" s="15" t="s">
        <v>84</v>
      </c>
    </row>
    <row r="422" spans="1:13" x14ac:dyDescent="0.25">
      <c r="A422" s="15" t="s">
        <v>152</v>
      </c>
      <c r="B422" s="15">
        <v>33</v>
      </c>
      <c r="C422" s="15">
        <v>21</v>
      </c>
      <c r="D422" s="15" t="s">
        <v>84</v>
      </c>
      <c r="E422" s="15" t="s">
        <v>84</v>
      </c>
      <c r="F422" s="15">
        <v>33</v>
      </c>
      <c r="G422" s="15">
        <v>21</v>
      </c>
      <c r="H422" s="15" t="s">
        <v>84</v>
      </c>
      <c r="I422" s="15" t="s">
        <v>84</v>
      </c>
      <c r="J422" s="15" t="s">
        <v>84</v>
      </c>
      <c r="K422" s="15" t="s">
        <v>84</v>
      </c>
      <c r="L422" s="15" t="s">
        <v>84</v>
      </c>
      <c r="M422" s="15" t="s">
        <v>84</v>
      </c>
    </row>
    <row r="423" spans="1:13" x14ac:dyDescent="0.25">
      <c r="A423" s="15" t="s">
        <v>85</v>
      </c>
      <c r="B423" s="15">
        <v>1138</v>
      </c>
      <c r="C423" s="15">
        <v>565</v>
      </c>
      <c r="D423" s="15">
        <v>21</v>
      </c>
      <c r="E423" s="15">
        <v>12</v>
      </c>
      <c r="F423" s="15">
        <v>1126</v>
      </c>
      <c r="G423" s="15">
        <v>559</v>
      </c>
      <c r="H423" s="15">
        <v>21</v>
      </c>
      <c r="I423" s="15">
        <v>12</v>
      </c>
      <c r="J423" s="15">
        <v>12</v>
      </c>
      <c r="K423" s="15">
        <v>6</v>
      </c>
      <c r="L423" s="15" t="s">
        <v>84</v>
      </c>
      <c r="M423" s="15" t="s">
        <v>84</v>
      </c>
    </row>
    <row r="424" spans="1:13" x14ac:dyDescent="0.25">
      <c r="A424" s="15" t="s">
        <v>86</v>
      </c>
      <c r="B424" s="15">
        <v>375</v>
      </c>
      <c r="C424" s="15">
        <v>137</v>
      </c>
      <c r="D424" s="15">
        <v>15</v>
      </c>
      <c r="E424" s="15">
        <v>6</v>
      </c>
      <c r="F424" s="15">
        <v>362</v>
      </c>
      <c r="G424" s="15">
        <v>133</v>
      </c>
      <c r="H424" s="15">
        <v>15</v>
      </c>
      <c r="I424" s="15">
        <v>6</v>
      </c>
      <c r="J424" s="15">
        <v>13</v>
      </c>
      <c r="K424" s="15">
        <v>4</v>
      </c>
      <c r="L424" s="15" t="s">
        <v>84</v>
      </c>
      <c r="M424" s="15" t="s">
        <v>84</v>
      </c>
    </row>
    <row r="425" spans="1:13" x14ac:dyDescent="0.25">
      <c r="A425" s="15" t="s">
        <v>87</v>
      </c>
      <c r="B425" s="15">
        <v>159</v>
      </c>
      <c r="C425" s="15">
        <v>53</v>
      </c>
      <c r="D425" s="15">
        <v>7</v>
      </c>
      <c r="E425" s="15">
        <v>3</v>
      </c>
      <c r="F425" s="15">
        <v>147</v>
      </c>
      <c r="G425" s="15">
        <v>52</v>
      </c>
      <c r="H425" s="15">
        <v>7</v>
      </c>
      <c r="I425" s="15">
        <v>3</v>
      </c>
      <c r="J425" s="15">
        <v>12</v>
      </c>
      <c r="K425" s="15">
        <v>1</v>
      </c>
      <c r="L425" s="15" t="s">
        <v>84</v>
      </c>
      <c r="M425" s="15" t="s">
        <v>84</v>
      </c>
    </row>
    <row r="426" spans="1:13" ht="15" customHeight="1" x14ac:dyDescent="0.25">
      <c r="A426" s="15" t="s">
        <v>153</v>
      </c>
      <c r="B426" s="15">
        <v>64</v>
      </c>
      <c r="C426" s="15">
        <v>18</v>
      </c>
      <c r="D426" s="15">
        <v>4</v>
      </c>
      <c r="E426" s="15">
        <v>2</v>
      </c>
      <c r="F426" s="15">
        <v>60</v>
      </c>
      <c r="G426" s="15">
        <v>18</v>
      </c>
      <c r="H426" s="15">
        <v>4</v>
      </c>
      <c r="I426" s="15">
        <v>2</v>
      </c>
      <c r="J426" s="15">
        <v>4</v>
      </c>
      <c r="K426" s="15" t="s">
        <v>84</v>
      </c>
      <c r="L426" s="15" t="s">
        <v>84</v>
      </c>
      <c r="M426" s="15" t="s">
        <v>84</v>
      </c>
    </row>
    <row r="427" spans="1:13" x14ac:dyDescent="0.25">
      <c r="A427" s="15" t="s">
        <v>154</v>
      </c>
      <c r="B427" s="15">
        <v>16</v>
      </c>
      <c r="C427" s="15">
        <v>8</v>
      </c>
      <c r="D427" s="15" t="s">
        <v>84</v>
      </c>
      <c r="E427" s="15" t="s">
        <v>84</v>
      </c>
      <c r="F427" s="15">
        <v>16</v>
      </c>
      <c r="G427" s="15">
        <v>8</v>
      </c>
      <c r="H427" s="15" t="s">
        <v>84</v>
      </c>
      <c r="I427" s="15" t="s">
        <v>84</v>
      </c>
      <c r="J427" s="15" t="s">
        <v>84</v>
      </c>
      <c r="K427" s="15" t="s">
        <v>84</v>
      </c>
      <c r="L427" s="15" t="s">
        <v>84</v>
      </c>
      <c r="M427" s="15" t="s">
        <v>84</v>
      </c>
    </row>
    <row r="428" spans="1:13" ht="15" customHeight="1" x14ac:dyDescent="0.25">
      <c r="A428" s="207" t="s">
        <v>128</v>
      </c>
      <c r="B428" s="208"/>
      <c r="C428" s="208"/>
      <c r="D428" s="208"/>
      <c r="E428" s="208"/>
      <c r="F428" s="208"/>
      <c r="G428" s="208"/>
      <c r="H428" s="208"/>
      <c r="I428" s="208"/>
      <c r="J428" s="208"/>
      <c r="K428" s="208"/>
      <c r="L428" s="208"/>
      <c r="M428" s="209"/>
    </row>
    <row r="429" spans="1:13" x14ac:dyDescent="0.25">
      <c r="A429" s="207"/>
      <c r="B429" s="208"/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9"/>
    </row>
    <row r="430" spans="1:13" x14ac:dyDescent="0.25">
      <c r="A430" s="15" t="s">
        <v>83</v>
      </c>
      <c r="B430" s="27">
        <v>2113</v>
      </c>
      <c r="C430" s="15">
        <v>1063</v>
      </c>
      <c r="D430" s="27">
        <v>66</v>
      </c>
      <c r="E430" s="15">
        <v>33</v>
      </c>
      <c r="F430" s="15">
        <v>1846</v>
      </c>
      <c r="G430" s="15">
        <v>908</v>
      </c>
      <c r="H430" s="15">
        <v>60</v>
      </c>
      <c r="I430" s="15">
        <v>30</v>
      </c>
      <c r="J430" s="15">
        <v>267</v>
      </c>
      <c r="K430" s="15">
        <v>155</v>
      </c>
      <c r="L430" s="15">
        <v>6</v>
      </c>
      <c r="M430" s="15">
        <v>3</v>
      </c>
    </row>
    <row r="431" spans="1:13" x14ac:dyDescent="0.25">
      <c r="A431" s="15" t="s">
        <v>151</v>
      </c>
      <c r="B431" s="15">
        <v>442</v>
      </c>
      <c r="C431" s="15">
        <v>255</v>
      </c>
      <c r="D431" s="15">
        <v>2</v>
      </c>
      <c r="E431" s="15">
        <v>1</v>
      </c>
      <c r="F431" s="15">
        <v>344</v>
      </c>
      <c r="G431" s="15">
        <v>191</v>
      </c>
      <c r="H431" s="15">
        <v>2</v>
      </c>
      <c r="I431" s="15">
        <v>1</v>
      </c>
      <c r="J431" s="15">
        <v>98</v>
      </c>
      <c r="K431" s="15">
        <v>64</v>
      </c>
      <c r="L431" s="15" t="s">
        <v>84</v>
      </c>
      <c r="M431" s="15" t="s">
        <v>84</v>
      </c>
    </row>
    <row r="432" spans="1:13" x14ac:dyDescent="0.25">
      <c r="A432" s="15" t="s">
        <v>152</v>
      </c>
      <c r="B432" s="15">
        <v>23</v>
      </c>
      <c r="C432" s="15">
        <v>10</v>
      </c>
      <c r="D432" s="15" t="s">
        <v>84</v>
      </c>
      <c r="E432" s="15" t="s">
        <v>84</v>
      </c>
      <c r="F432" s="15">
        <v>19</v>
      </c>
      <c r="G432" s="15">
        <v>8</v>
      </c>
      <c r="H432" s="15" t="s">
        <v>84</v>
      </c>
      <c r="I432" s="15" t="s">
        <v>84</v>
      </c>
      <c r="J432" s="15">
        <v>4</v>
      </c>
      <c r="K432" s="15">
        <v>2</v>
      </c>
      <c r="L432" s="15" t="s">
        <v>84</v>
      </c>
      <c r="M432" s="15" t="s">
        <v>84</v>
      </c>
    </row>
    <row r="433" spans="1:13" x14ac:dyDescent="0.25">
      <c r="A433" s="15" t="s">
        <v>85</v>
      </c>
      <c r="B433" s="15">
        <v>1215</v>
      </c>
      <c r="C433" s="15">
        <v>624</v>
      </c>
      <c r="D433" s="15">
        <v>44</v>
      </c>
      <c r="E433" s="15">
        <v>22</v>
      </c>
      <c r="F433" s="15">
        <v>1070</v>
      </c>
      <c r="G433" s="15">
        <v>548</v>
      </c>
      <c r="H433" s="15">
        <v>38</v>
      </c>
      <c r="I433" s="15">
        <v>19</v>
      </c>
      <c r="J433" s="15">
        <v>145</v>
      </c>
      <c r="K433" s="15">
        <v>76</v>
      </c>
      <c r="L433" s="15">
        <v>6</v>
      </c>
      <c r="M433" s="15">
        <v>3</v>
      </c>
    </row>
    <row r="434" spans="1:13" x14ac:dyDescent="0.25">
      <c r="A434" s="15" t="s">
        <v>86</v>
      </c>
      <c r="B434" s="15">
        <v>347</v>
      </c>
      <c r="C434" s="15">
        <v>139</v>
      </c>
      <c r="D434" s="15">
        <v>13</v>
      </c>
      <c r="E434" s="15">
        <v>7</v>
      </c>
      <c r="F434" s="15">
        <v>336</v>
      </c>
      <c r="G434" s="15">
        <v>133</v>
      </c>
      <c r="H434" s="15">
        <v>13</v>
      </c>
      <c r="I434" s="15">
        <v>7</v>
      </c>
      <c r="J434" s="15">
        <v>11</v>
      </c>
      <c r="K434" s="15">
        <v>6</v>
      </c>
      <c r="L434" s="15" t="s">
        <v>84</v>
      </c>
      <c r="M434" s="15" t="s">
        <v>84</v>
      </c>
    </row>
    <row r="435" spans="1:13" x14ac:dyDescent="0.25">
      <c r="A435" s="15" t="s">
        <v>87</v>
      </c>
      <c r="B435" s="15">
        <v>86</v>
      </c>
      <c r="C435" s="15">
        <v>35</v>
      </c>
      <c r="D435" s="15">
        <v>7</v>
      </c>
      <c r="E435" s="15">
        <v>3</v>
      </c>
      <c r="F435" s="15">
        <v>77</v>
      </c>
      <c r="G435" s="15">
        <v>28</v>
      </c>
      <c r="H435" s="15">
        <v>7</v>
      </c>
      <c r="I435" s="15">
        <v>3</v>
      </c>
      <c r="J435" s="15">
        <v>9</v>
      </c>
      <c r="K435" s="15">
        <v>7</v>
      </c>
      <c r="L435" s="15" t="s">
        <v>84</v>
      </c>
      <c r="M435" s="15" t="s">
        <v>84</v>
      </c>
    </row>
    <row r="436" spans="1:13" ht="15" customHeight="1" x14ac:dyDescent="0.25">
      <c r="A436" s="15" t="s">
        <v>153</v>
      </c>
      <c r="B436" s="15">
        <v>35</v>
      </c>
      <c r="C436" s="15">
        <v>18</v>
      </c>
      <c r="D436" s="15" t="s">
        <v>84</v>
      </c>
      <c r="E436" s="15" t="s">
        <v>84</v>
      </c>
      <c r="F436" s="15">
        <v>34</v>
      </c>
      <c r="G436" s="15">
        <v>17</v>
      </c>
      <c r="H436" s="15" t="s">
        <v>84</v>
      </c>
      <c r="I436" s="15" t="s">
        <v>84</v>
      </c>
      <c r="J436" s="15">
        <v>1</v>
      </c>
      <c r="K436" s="15">
        <v>1</v>
      </c>
      <c r="L436" s="15" t="s">
        <v>84</v>
      </c>
      <c r="M436" s="15" t="s">
        <v>84</v>
      </c>
    </row>
    <row r="437" spans="1:13" x14ac:dyDescent="0.25">
      <c r="A437" s="15" t="s">
        <v>154</v>
      </c>
      <c r="B437" s="15">
        <v>10</v>
      </c>
      <c r="C437" s="15">
        <v>6</v>
      </c>
      <c r="D437" s="15" t="s">
        <v>84</v>
      </c>
      <c r="E437" s="15" t="s">
        <v>84</v>
      </c>
      <c r="F437" s="15">
        <v>2</v>
      </c>
      <c r="G437" s="15" t="s">
        <v>84</v>
      </c>
      <c r="H437" s="15" t="s">
        <v>84</v>
      </c>
      <c r="I437" s="15" t="s">
        <v>84</v>
      </c>
      <c r="J437" s="15">
        <v>8</v>
      </c>
      <c r="K437" s="15">
        <v>6</v>
      </c>
      <c r="L437" s="15" t="s">
        <v>84</v>
      </c>
      <c r="M437" s="15" t="s">
        <v>84</v>
      </c>
    </row>
    <row r="438" spans="1:13" ht="15" customHeight="1" x14ac:dyDescent="0.25">
      <c r="A438" s="207" t="s">
        <v>129</v>
      </c>
      <c r="B438" s="208"/>
      <c r="C438" s="208"/>
      <c r="D438" s="208"/>
      <c r="E438" s="208"/>
      <c r="F438" s="208"/>
      <c r="G438" s="208"/>
      <c r="H438" s="208"/>
      <c r="I438" s="208"/>
      <c r="J438" s="208"/>
      <c r="K438" s="208"/>
      <c r="L438" s="208"/>
      <c r="M438" s="209"/>
    </row>
    <row r="439" spans="1:13" x14ac:dyDescent="0.25">
      <c r="A439" s="207"/>
      <c r="B439" s="208"/>
      <c r="C439" s="208"/>
      <c r="D439" s="208"/>
      <c r="E439" s="208"/>
      <c r="F439" s="208"/>
      <c r="G439" s="208"/>
      <c r="H439" s="208"/>
      <c r="I439" s="208"/>
      <c r="J439" s="208"/>
      <c r="K439" s="208"/>
      <c r="L439" s="208"/>
      <c r="M439" s="209"/>
    </row>
    <row r="440" spans="1:13" x14ac:dyDescent="0.25">
      <c r="A440" s="15" t="s">
        <v>83</v>
      </c>
      <c r="B440" s="27">
        <v>3850</v>
      </c>
      <c r="C440" s="15">
        <v>1863</v>
      </c>
      <c r="D440" s="27">
        <v>146</v>
      </c>
      <c r="E440" s="15">
        <v>65</v>
      </c>
      <c r="F440" s="15">
        <v>2889</v>
      </c>
      <c r="G440" s="15">
        <v>1348</v>
      </c>
      <c r="H440" s="15">
        <v>135</v>
      </c>
      <c r="I440" s="15">
        <v>58</v>
      </c>
      <c r="J440" s="15">
        <v>961</v>
      </c>
      <c r="K440" s="15">
        <v>515</v>
      </c>
      <c r="L440" s="15">
        <v>11</v>
      </c>
      <c r="M440" s="15">
        <v>7</v>
      </c>
    </row>
    <row r="441" spans="1:13" x14ac:dyDescent="0.25">
      <c r="A441" s="15" t="s">
        <v>151</v>
      </c>
      <c r="B441" s="15">
        <v>1011</v>
      </c>
      <c r="C441" s="15">
        <v>581</v>
      </c>
      <c r="D441" s="15">
        <v>10</v>
      </c>
      <c r="E441" s="15">
        <v>5</v>
      </c>
      <c r="F441" s="15">
        <v>547</v>
      </c>
      <c r="G441" s="15">
        <v>288</v>
      </c>
      <c r="H441" s="15">
        <v>10</v>
      </c>
      <c r="I441" s="15">
        <v>5</v>
      </c>
      <c r="J441" s="15">
        <v>464</v>
      </c>
      <c r="K441" s="15">
        <v>293</v>
      </c>
      <c r="L441" s="15" t="s">
        <v>84</v>
      </c>
      <c r="M441" s="15" t="s">
        <v>84</v>
      </c>
    </row>
    <row r="442" spans="1:13" x14ac:dyDescent="0.25">
      <c r="A442" s="15" t="s">
        <v>152</v>
      </c>
      <c r="B442" s="15">
        <v>29</v>
      </c>
      <c r="C442" s="15">
        <v>20</v>
      </c>
      <c r="D442" s="15">
        <v>1</v>
      </c>
      <c r="E442" s="15" t="s">
        <v>84</v>
      </c>
      <c r="F442" s="15">
        <v>23</v>
      </c>
      <c r="G442" s="15">
        <v>15</v>
      </c>
      <c r="H442" s="15">
        <v>1</v>
      </c>
      <c r="I442" s="15" t="s">
        <v>84</v>
      </c>
      <c r="J442" s="15">
        <v>6</v>
      </c>
      <c r="K442" s="15">
        <v>5</v>
      </c>
      <c r="L442" s="15" t="s">
        <v>84</v>
      </c>
      <c r="M442" s="15" t="s">
        <v>84</v>
      </c>
    </row>
    <row r="443" spans="1:13" x14ac:dyDescent="0.25">
      <c r="A443" s="15" t="s">
        <v>85</v>
      </c>
      <c r="B443" s="15">
        <v>2101</v>
      </c>
      <c r="C443" s="15">
        <v>1008</v>
      </c>
      <c r="D443" s="15">
        <v>74</v>
      </c>
      <c r="E443" s="15">
        <v>41</v>
      </c>
      <c r="F443" s="15">
        <v>1737</v>
      </c>
      <c r="G443" s="15">
        <v>835</v>
      </c>
      <c r="H443" s="15">
        <v>67</v>
      </c>
      <c r="I443" s="15">
        <v>36</v>
      </c>
      <c r="J443" s="15">
        <v>364</v>
      </c>
      <c r="K443" s="15">
        <v>173</v>
      </c>
      <c r="L443" s="15">
        <v>7</v>
      </c>
      <c r="M443" s="15">
        <v>5</v>
      </c>
    </row>
    <row r="444" spans="1:13" x14ac:dyDescent="0.25">
      <c r="A444" s="15" t="s">
        <v>86</v>
      </c>
      <c r="B444" s="15">
        <v>498</v>
      </c>
      <c r="C444" s="15">
        <v>185</v>
      </c>
      <c r="D444" s="15">
        <v>26</v>
      </c>
      <c r="E444" s="15">
        <v>8</v>
      </c>
      <c r="F444" s="15">
        <v>400</v>
      </c>
      <c r="G444" s="15">
        <v>148</v>
      </c>
      <c r="H444" s="15">
        <v>22</v>
      </c>
      <c r="I444" s="15">
        <v>6</v>
      </c>
      <c r="J444" s="15">
        <v>98</v>
      </c>
      <c r="K444" s="15">
        <v>37</v>
      </c>
      <c r="L444" s="15">
        <v>4</v>
      </c>
      <c r="M444" s="15">
        <v>2</v>
      </c>
    </row>
    <row r="445" spans="1:13" ht="15" customHeight="1" x14ac:dyDescent="0.25">
      <c r="A445" s="15" t="s">
        <v>87</v>
      </c>
      <c r="B445" s="15">
        <v>211</v>
      </c>
      <c r="C445" s="15">
        <v>69</v>
      </c>
      <c r="D445" s="15">
        <v>35</v>
      </c>
      <c r="E445" s="15">
        <v>11</v>
      </c>
      <c r="F445" s="15">
        <v>182</v>
      </c>
      <c r="G445" s="15">
        <v>62</v>
      </c>
      <c r="H445" s="15">
        <v>35</v>
      </c>
      <c r="I445" s="15">
        <v>11</v>
      </c>
      <c r="J445" s="15">
        <v>29</v>
      </c>
      <c r="K445" s="15">
        <v>7</v>
      </c>
      <c r="L445" s="15" t="s">
        <v>84</v>
      </c>
      <c r="M445" s="15" t="s">
        <v>84</v>
      </c>
    </row>
    <row r="446" spans="1:13" x14ac:dyDescent="0.25">
      <c r="A446" s="15" t="s">
        <v>153</v>
      </c>
      <c r="B446" s="15">
        <v>129</v>
      </c>
      <c r="C446" s="15">
        <v>48</v>
      </c>
      <c r="D446" s="15">
        <v>11</v>
      </c>
      <c r="E446" s="15">
        <v>4</v>
      </c>
      <c r="F446" s="15">
        <v>119</v>
      </c>
      <c r="G446" s="15">
        <v>46</v>
      </c>
      <c r="H446" s="15">
        <v>11</v>
      </c>
      <c r="I446" s="15">
        <v>4</v>
      </c>
      <c r="J446" s="15">
        <v>10</v>
      </c>
      <c r="K446" s="15">
        <v>2</v>
      </c>
      <c r="L446" s="15" t="s">
        <v>84</v>
      </c>
      <c r="M446" s="15" t="s">
        <v>84</v>
      </c>
    </row>
    <row r="447" spans="1:13" ht="15" customHeight="1" x14ac:dyDescent="0.25">
      <c r="A447" s="207" t="s">
        <v>130</v>
      </c>
      <c r="B447" s="208"/>
      <c r="C447" s="208"/>
      <c r="D447" s="208"/>
      <c r="E447" s="208"/>
      <c r="F447" s="208"/>
      <c r="G447" s="208"/>
      <c r="H447" s="208"/>
      <c r="I447" s="208"/>
      <c r="J447" s="208"/>
      <c r="K447" s="208"/>
      <c r="L447" s="208"/>
      <c r="M447" s="209"/>
    </row>
    <row r="448" spans="1:13" x14ac:dyDescent="0.25">
      <c r="A448" s="207"/>
      <c r="B448" s="208"/>
      <c r="C448" s="208"/>
      <c r="D448" s="208"/>
      <c r="E448" s="208"/>
      <c r="F448" s="208"/>
      <c r="G448" s="208"/>
      <c r="H448" s="208"/>
      <c r="I448" s="208"/>
      <c r="J448" s="208"/>
      <c r="K448" s="208"/>
      <c r="L448" s="208"/>
      <c r="M448" s="209"/>
    </row>
    <row r="449" spans="1:13" x14ac:dyDescent="0.25">
      <c r="A449" s="15" t="s">
        <v>83</v>
      </c>
      <c r="B449" s="27">
        <v>1008</v>
      </c>
      <c r="C449" s="15">
        <v>498</v>
      </c>
      <c r="D449" s="27">
        <v>43</v>
      </c>
      <c r="E449" s="15">
        <v>17</v>
      </c>
      <c r="F449" s="15">
        <v>1006</v>
      </c>
      <c r="G449" s="15">
        <v>498</v>
      </c>
      <c r="H449" s="15">
        <v>43</v>
      </c>
      <c r="I449" s="15">
        <v>17</v>
      </c>
      <c r="J449" s="15">
        <v>2</v>
      </c>
      <c r="K449" s="15" t="s">
        <v>84</v>
      </c>
      <c r="L449" s="15" t="s">
        <v>84</v>
      </c>
      <c r="M449" s="15" t="s">
        <v>84</v>
      </c>
    </row>
    <row r="450" spans="1:13" x14ac:dyDescent="0.25">
      <c r="A450" s="15" t="s">
        <v>151</v>
      </c>
      <c r="B450" s="15">
        <v>243</v>
      </c>
      <c r="C450" s="15">
        <v>140</v>
      </c>
      <c r="D450" s="15">
        <v>1</v>
      </c>
      <c r="E450" s="15">
        <v>1</v>
      </c>
      <c r="F450" s="15">
        <v>243</v>
      </c>
      <c r="G450" s="15">
        <v>140</v>
      </c>
      <c r="H450" s="15">
        <v>1</v>
      </c>
      <c r="I450" s="15">
        <v>1</v>
      </c>
      <c r="J450" s="15" t="s">
        <v>84</v>
      </c>
      <c r="K450" s="15" t="s">
        <v>84</v>
      </c>
      <c r="L450" s="15" t="s">
        <v>84</v>
      </c>
      <c r="M450" s="15" t="s">
        <v>84</v>
      </c>
    </row>
    <row r="451" spans="1:13" x14ac:dyDescent="0.25">
      <c r="A451" s="15" t="s">
        <v>152</v>
      </c>
      <c r="B451" s="15">
        <v>14</v>
      </c>
      <c r="C451" s="15">
        <v>8</v>
      </c>
      <c r="D451" s="15" t="s">
        <v>84</v>
      </c>
      <c r="E451" s="15" t="s">
        <v>84</v>
      </c>
      <c r="F451" s="15">
        <v>14</v>
      </c>
      <c r="G451" s="15">
        <v>8</v>
      </c>
      <c r="H451" s="15" t="s">
        <v>84</v>
      </c>
      <c r="I451" s="15" t="s">
        <v>84</v>
      </c>
      <c r="J451" s="15" t="s">
        <v>84</v>
      </c>
      <c r="K451" s="15" t="s">
        <v>84</v>
      </c>
      <c r="L451" s="15" t="s">
        <v>84</v>
      </c>
      <c r="M451" s="15" t="s">
        <v>84</v>
      </c>
    </row>
    <row r="452" spans="1:13" x14ac:dyDescent="0.25">
      <c r="A452" s="15" t="s">
        <v>85</v>
      </c>
      <c r="B452" s="15">
        <v>481</v>
      </c>
      <c r="C452" s="15">
        <v>250</v>
      </c>
      <c r="D452" s="15">
        <v>14</v>
      </c>
      <c r="E452" s="15">
        <v>7</v>
      </c>
      <c r="F452" s="15">
        <v>481</v>
      </c>
      <c r="G452" s="15">
        <v>250</v>
      </c>
      <c r="H452" s="15">
        <v>14</v>
      </c>
      <c r="I452" s="15">
        <v>7</v>
      </c>
      <c r="J452" s="15" t="s">
        <v>84</v>
      </c>
      <c r="K452" s="15" t="s">
        <v>84</v>
      </c>
      <c r="L452" s="15" t="s">
        <v>84</v>
      </c>
      <c r="M452" s="15" t="s">
        <v>84</v>
      </c>
    </row>
    <row r="453" spans="1:13" x14ac:dyDescent="0.25">
      <c r="A453" s="15" t="s">
        <v>86</v>
      </c>
      <c r="B453" s="15">
        <v>224</v>
      </c>
      <c r="C453" s="15">
        <v>82</v>
      </c>
      <c r="D453" s="15">
        <v>18</v>
      </c>
      <c r="E453" s="15">
        <v>3</v>
      </c>
      <c r="F453" s="15">
        <v>222</v>
      </c>
      <c r="G453" s="15">
        <v>82</v>
      </c>
      <c r="H453" s="15">
        <v>18</v>
      </c>
      <c r="I453" s="15">
        <v>3</v>
      </c>
      <c r="J453" s="15">
        <v>2</v>
      </c>
      <c r="K453" s="15" t="s">
        <v>84</v>
      </c>
      <c r="L453" s="15" t="s">
        <v>84</v>
      </c>
      <c r="M453" s="15" t="s">
        <v>84</v>
      </c>
    </row>
    <row r="454" spans="1:13" x14ac:dyDescent="0.25">
      <c r="A454" s="15" t="s">
        <v>87</v>
      </c>
      <c r="B454" s="15">
        <v>46</v>
      </c>
      <c r="C454" s="15">
        <v>18</v>
      </c>
      <c r="D454" s="15">
        <v>10</v>
      </c>
      <c r="E454" s="15">
        <v>6</v>
      </c>
      <c r="F454" s="15">
        <v>46</v>
      </c>
      <c r="G454" s="15">
        <v>18</v>
      </c>
      <c r="H454" s="15">
        <v>10</v>
      </c>
      <c r="I454" s="15">
        <v>6</v>
      </c>
      <c r="J454" s="15" t="s">
        <v>84</v>
      </c>
      <c r="K454" s="15" t="s">
        <v>84</v>
      </c>
      <c r="L454" s="15" t="s">
        <v>84</v>
      </c>
      <c r="M454" s="15" t="s">
        <v>84</v>
      </c>
    </row>
    <row r="455" spans="1:13" ht="15" customHeight="1" x14ac:dyDescent="0.25">
      <c r="A455" s="15" t="s">
        <v>153</v>
      </c>
      <c r="B455" s="15">
        <v>15</v>
      </c>
      <c r="C455" s="15">
        <v>1</v>
      </c>
      <c r="D455" s="15" t="s">
        <v>84</v>
      </c>
      <c r="E455" s="15" t="s">
        <v>84</v>
      </c>
      <c r="F455" s="15">
        <v>15</v>
      </c>
      <c r="G455" s="15">
        <v>1</v>
      </c>
      <c r="H455" s="15" t="s">
        <v>84</v>
      </c>
      <c r="I455" s="15" t="s">
        <v>84</v>
      </c>
      <c r="J455" s="15" t="s">
        <v>84</v>
      </c>
      <c r="K455" s="15" t="s">
        <v>84</v>
      </c>
      <c r="L455" s="15" t="s">
        <v>84</v>
      </c>
      <c r="M455" s="15" t="s">
        <v>84</v>
      </c>
    </row>
    <row r="456" spans="1:13" x14ac:dyDescent="0.25">
      <c r="A456" s="15" t="s">
        <v>154</v>
      </c>
      <c r="B456" s="15">
        <v>7</v>
      </c>
      <c r="C456" s="15">
        <v>5</v>
      </c>
      <c r="D456" s="15">
        <v>1</v>
      </c>
      <c r="E456" s="15" t="s">
        <v>84</v>
      </c>
      <c r="F456" s="15">
        <v>7</v>
      </c>
      <c r="G456" s="15">
        <v>5</v>
      </c>
      <c r="H456" s="15">
        <v>1</v>
      </c>
      <c r="I456" s="15" t="s">
        <v>84</v>
      </c>
      <c r="J456" s="15" t="s">
        <v>84</v>
      </c>
      <c r="K456" s="15" t="s">
        <v>84</v>
      </c>
      <c r="L456" s="15" t="s">
        <v>84</v>
      </c>
      <c r="M456" s="15" t="s">
        <v>84</v>
      </c>
    </row>
    <row r="457" spans="1:13" ht="15" customHeight="1" x14ac:dyDescent="0.25">
      <c r="A457" s="207" t="s">
        <v>131</v>
      </c>
      <c r="B457" s="208"/>
      <c r="C457" s="208"/>
      <c r="D457" s="208"/>
      <c r="E457" s="208"/>
      <c r="F457" s="208"/>
      <c r="G457" s="208"/>
      <c r="H457" s="208"/>
      <c r="I457" s="208"/>
      <c r="J457" s="208"/>
      <c r="K457" s="208"/>
      <c r="L457" s="208"/>
      <c r="M457" s="209"/>
    </row>
    <row r="458" spans="1:13" x14ac:dyDescent="0.25">
      <c r="A458" s="207"/>
      <c r="B458" s="208"/>
      <c r="C458" s="208"/>
      <c r="D458" s="208"/>
      <c r="E458" s="208"/>
      <c r="F458" s="208"/>
      <c r="G458" s="208"/>
      <c r="H458" s="208"/>
      <c r="I458" s="208"/>
      <c r="J458" s="208"/>
      <c r="K458" s="208"/>
      <c r="L458" s="208"/>
      <c r="M458" s="209"/>
    </row>
    <row r="459" spans="1:13" x14ac:dyDescent="0.25">
      <c r="A459" s="15" t="s">
        <v>83</v>
      </c>
      <c r="B459" s="27">
        <v>1610</v>
      </c>
      <c r="C459" s="15">
        <v>804</v>
      </c>
      <c r="D459" s="27">
        <v>151</v>
      </c>
      <c r="E459" s="15">
        <v>76</v>
      </c>
      <c r="F459" s="15">
        <v>1496</v>
      </c>
      <c r="G459" s="15">
        <v>758</v>
      </c>
      <c r="H459" s="15">
        <v>145</v>
      </c>
      <c r="I459" s="15">
        <v>73</v>
      </c>
      <c r="J459" s="15">
        <v>114</v>
      </c>
      <c r="K459" s="15">
        <v>46</v>
      </c>
      <c r="L459" s="15">
        <v>6</v>
      </c>
      <c r="M459" s="15">
        <v>3</v>
      </c>
    </row>
    <row r="460" spans="1:13" x14ac:dyDescent="0.25">
      <c r="A460" s="15" t="s">
        <v>151</v>
      </c>
      <c r="B460" s="15">
        <v>416</v>
      </c>
      <c r="C460" s="15">
        <v>240</v>
      </c>
      <c r="D460" s="15">
        <v>17</v>
      </c>
      <c r="E460" s="15">
        <v>9</v>
      </c>
      <c r="F460" s="15">
        <v>351</v>
      </c>
      <c r="G460" s="15">
        <v>201</v>
      </c>
      <c r="H460" s="15">
        <v>14</v>
      </c>
      <c r="I460" s="15">
        <v>6</v>
      </c>
      <c r="J460" s="15">
        <v>65</v>
      </c>
      <c r="K460" s="15">
        <v>39</v>
      </c>
      <c r="L460" s="15">
        <v>3</v>
      </c>
      <c r="M460" s="15">
        <v>3</v>
      </c>
    </row>
    <row r="461" spans="1:13" x14ac:dyDescent="0.25">
      <c r="A461" s="15" t="s">
        <v>152</v>
      </c>
      <c r="B461" s="15">
        <v>15</v>
      </c>
      <c r="C461" s="15">
        <v>7</v>
      </c>
      <c r="D461" s="15">
        <v>3</v>
      </c>
      <c r="E461" s="15">
        <v>1</v>
      </c>
      <c r="F461" s="15">
        <v>15</v>
      </c>
      <c r="G461" s="15">
        <v>7</v>
      </c>
      <c r="H461" s="15">
        <v>3</v>
      </c>
      <c r="I461" s="15">
        <v>1</v>
      </c>
      <c r="J461" s="15" t="s">
        <v>84</v>
      </c>
      <c r="K461" s="15" t="s">
        <v>84</v>
      </c>
      <c r="L461" s="15" t="s">
        <v>84</v>
      </c>
      <c r="M461" s="15" t="s">
        <v>84</v>
      </c>
    </row>
    <row r="462" spans="1:13" x14ac:dyDescent="0.25">
      <c r="A462" s="15" t="s">
        <v>85</v>
      </c>
      <c r="B462" s="15">
        <v>826</v>
      </c>
      <c r="C462" s="15">
        <v>421</v>
      </c>
      <c r="D462" s="15">
        <v>74</v>
      </c>
      <c r="E462" s="15">
        <v>44</v>
      </c>
      <c r="F462" s="15">
        <v>812</v>
      </c>
      <c r="G462" s="15">
        <v>419</v>
      </c>
      <c r="H462" s="15">
        <v>73</v>
      </c>
      <c r="I462" s="15">
        <v>44</v>
      </c>
      <c r="J462" s="15">
        <v>14</v>
      </c>
      <c r="K462" s="15">
        <v>2</v>
      </c>
      <c r="L462" s="15">
        <v>1</v>
      </c>
      <c r="M462" s="15" t="s">
        <v>84</v>
      </c>
    </row>
    <row r="463" spans="1:13" x14ac:dyDescent="0.25">
      <c r="A463" s="15" t="s">
        <v>86</v>
      </c>
      <c r="B463" s="15">
        <v>231</v>
      </c>
      <c r="C463" s="15">
        <v>93</v>
      </c>
      <c r="D463" s="15">
        <v>26</v>
      </c>
      <c r="E463" s="15">
        <v>13</v>
      </c>
      <c r="F463" s="15">
        <v>218</v>
      </c>
      <c r="G463" s="15">
        <v>91</v>
      </c>
      <c r="H463" s="15">
        <v>26</v>
      </c>
      <c r="I463" s="15">
        <v>13</v>
      </c>
      <c r="J463" s="15">
        <v>13</v>
      </c>
      <c r="K463" s="15">
        <v>2</v>
      </c>
      <c r="L463" s="15" t="s">
        <v>84</v>
      </c>
      <c r="M463" s="15" t="s">
        <v>84</v>
      </c>
    </row>
    <row r="464" spans="1:13" x14ac:dyDescent="0.25">
      <c r="A464" s="15" t="s">
        <v>87</v>
      </c>
      <c r="B464" s="15">
        <v>122</v>
      </c>
      <c r="C464" s="15">
        <v>43</v>
      </c>
      <c r="D464" s="15">
        <v>31</v>
      </c>
      <c r="E464" s="15">
        <v>9</v>
      </c>
      <c r="F464" s="15">
        <v>100</v>
      </c>
      <c r="G464" s="15">
        <v>40</v>
      </c>
      <c r="H464" s="15">
        <v>29</v>
      </c>
      <c r="I464" s="15">
        <v>9</v>
      </c>
      <c r="J464" s="15">
        <v>22</v>
      </c>
      <c r="K464" s="15">
        <v>3</v>
      </c>
      <c r="L464" s="15">
        <v>2</v>
      </c>
      <c r="M464" s="15" t="s">
        <v>84</v>
      </c>
    </row>
    <row r="465" spans="1:13" ht="15" customHeight="1" x14ac:dyDescent="0.25">
      <c r="A465" s="15" t="s">
        <v>153</v>
      </c>
      <c r="B465" s="15">
        <v>41</v>
      </c>
      <c r="C465" s="15">
        <v>15</v>
      </c>
      <c r="D465" s="15">
        <v>9</v>
      </c>
      <c r="E465" s="15">
        <v>3</v>
      </c>
      <c r="F465" s="15">
        <v>30</v>
      </c>
      <c r="G465" s="15">
        <v>13</v>
      </c>
      <c r="H465" s="15">
        <v>9</v>
      </c>
      <c r="I465" s="15">
        <v>3</v>
      </c>
      <c r="J465" s="15">
        <v>11</v>
      </c>
      <c r="K465" s="15">
        <v>2</v>
      </c>
      <c r="L465" s="15" t="s">
        <v>84</v>
      </c>
      <c r="M465" s="15" t="s">
        <v>84</v>
      </c>
    </row>
    <row r="466" spans="1:13" x14ac:dyDescent="0.25">
      <c r="A466" s="15" t="s">
        <v>154</v>
      </c>
      <c r="B466" s="15">
        <v>28</v>
      </c>
      <c r="C466" s="15">
        <v>11</v>
      </c>
      <c r="D466" s="15">
        <v>3</v>
      </c>
      <c r="E466" s="15">
        <v>1</v>
      </c>
      <c r="F466" s="15">
        <v>28</v>
      </c>
      <c r="G466" s="15">
        <v>11</v>
      </c>
      <c r="H466" s="15">
        <v>3</v>
      </c>
      <c r="I466" s="15">
        <v>1</v>
      </c>
      <c r="J466" s="15" t="s">
        <v>84</v>
      </c>
      <c r="K466" s="15" t="s">
        <v>84</v>
      </c>
      <c r="L466" s="15" t="s">
        <v>84</v>
      </c>
      <c r="M466" s="15" t="s">
        <v>84</v>
      </c>
    </row>
    <row r="467" spans="1:13" ht="15" customHeight="1" x14ac:dyDescent="0.25">
      <c r="A467" s="207" t="s">
        <v>132</v>
      </c>
      <c r="B467" s="208"/>
      <c r="C467" s="208"/>
      <c r="D467" s="208"/>
      <c r="E467" s="208"/>
      <c r="F467" s="208"/>
      <c r="G467" s="208"/>
      <c r="H467" s="208"/>
      <c r="I467" s="208"/>
      <c r="J467" s="208"/>
      <c r="K467" s="208"/>
      <c r="L467" s="208"/>
      <c r="M467" s="209"/>
    </row>
    <row r="468" spans="1:13" x14ac:dyDescent="0.25">
      <c r="A468" s="207"/>
      <c r="B468" s="208"/>
      <c r="C468" s="208"/>
      <c r="D468" s="208"/>
      <c r="E468" s="208"/>
      <c r="F468" s="208"/>
      <c r="G468" s="208"/>
      <c r="H468" s="208"/>
      <c r="I468" s="208"/>
      <c r="J468" s="208"/>
      <c r="K468" s="208"/>
      <c r="L468" s="208"/>
      <c r="M468" s="209"/>
    </row>
    <row r="469" spans="1:13" x14ac:dyDescent="0.25">
      <c r="A469" s="15" t="s">
        <v>83</v>
      </c>
      <c r="B469" s="27">
        <v>1846</v>
      </c>
      <c r="C469" s="15">
        <v>895</v>
      </c>
      <c r="D469" s="27">
        <v>97</v>
      </c>
      <c r="E469" s="15">
        <v>53</v>
      </c>
      <c r="F469" s="15">
        <v>1680</v>
      </c>
      <c r="G469" s="15">
        <v>826</v>
      </c>
      <c r="H469" s="15">
        <v>95</v>
      </c>
      <c r="I469" s="15">
        <v>52</v>
      </c>
      <c r="J469" s="15">
        <v>166</v>
      </c>
      <c r="K469" s="15">
        <v>69</v>
      </c>
      <c r="L469" s="15">
        <v>2</v>
      </c>
      <c r="M469" s="15">
        <v>1</v>
      </c>
    </row>
    <row r="470" spans="1:13" x14ac:dyDescent="0.25">
      <c r="A470" s="15" t="s">
        <v>151</v>
      </c>
      <c r="B470" s="15">
        <v>365</v>
      </c>
      <c r="C470" s="15">
        <v>198</v>
      </c>
      <c r="D470" s="15">
        <v>3</v>
      </c>
      <c r="E470" s="15">
        <v>3</v>
      </c>
      <c r="F470" s="15">
        <v>314</v>
      </c>
      <c r="G470" s="15">
        <v>177</v>
      </c>
      <c r="H470" s="15">
        <v>3</v>
      </c>
      <c r="I470" s="15">
        <v>3</v>
      </c>
      <c r="J470" s="15">
        <v>51</v>
      </c>
      <c r="K470" s="15">
        <v>21</v>
      </c>
      <c r="L470" s="15" t="s">
        <v>84</v>
      </c>
      <c r="M470" s="15" t="s">
        <v>84</v>
      </c>
    </row>
    <row r="471" spans="1:13" x14ac:dyDescent="0.25">
      <c r="A471" s="15" t="s">
        <v>152</v>
      </c>
      <c r="B471" s="15">
        <v>22</v>
      </c>
      <c r="C471" s="15">
        <v>7</v>
      </c>
      <c r="D471" s="15" t="s">
        <v>84</v>
      </c>
      <c r="E471" s="15" t="s">
        <v>84</v>
      </c>
      <c r="F471" s="15">
        <v>12</v>
      </c>
      <c r="G471" s="15">
        <v>4</v>
      </c>
      <c r="H471" s="15" t="s">
        <v>84</v>
      </c>
      <c r="I471" s="15" t="s">
        <v>84</v>
      </c>
      <c r="J471" s="15">
        <v>10</v>
      </c>
      <c r="K471" s="15">
        <v>3</v>
      </c>
      <c r="L471" s="15" t="s">
        <v>84</v>
      </c>
      <c r="M471" s="15" t="s">
        <v>84</v>
      </c>
    </row>
    <row r="472" spans="1:13" x14ac:dyDescent="0.25">
      <c r="A472" s="15" t="s">
        <v>85</v>
      </c>
      <c r="B472" s="15">
        <v>1025</v>
      </c>
      <c r="C472" s="15">
        <v>523</v>
      </c>
      <c r="D472" s="15">
        <v>54</v>
      </c>
      <c r="E472" s="15">
        <v>33</v>
      </c>
      <c r="F472" s="15">
        <v>937</v>
      </c>
      <c r="G472" s="15">
        <v>483</v>
      </c>
      <c r="H472" s="15">
        <v>52</v>
      </c>
      <c r="I472" s="15">
        <v>32</v>
      </c>
      <c r="J472" s="15">
        <v>88</v>
      </c>
      <c r="K472" s="15">
        <v>40</v>
      </c>
      <c r="L472" s="15">
        <v>2</v>
      </c>
      <c r="M472" s="15">
        <v>1</v>
      </c>
    </row>
    <row r="473" spans="1:13" x14ac:dyDescent="0.25">
      <c r="A473" s="15" t="s">
        <v>86</v>
      </c>
      <c r="B473" s="15">
        <v>279</v>
      </c>
      <c r="C473" s="15">
        <v>96</v>
      </c>
      <c r="D473" s="15">
        <v>23</v>
      </c>
      <c r="E473" s="15">
        <v>9</v>
      </c>
      <c r="F473" s="15">
        <v>267</v>
      </c>
      <c r="G473" s="15">
        <v>93</v>
      </c>
      <c r="H473" s="15">
        <v>23</v>
      </c>
      <c r="I473" s="15">
        <v>9</v>
      </c>
      <c r="J473" s="15">
        <v>12</v>
      </c>
      <c r="K473" s="15">
        <v>3</v>
      </c>
      <c r="L473" s="15" t="s">
        <v>84</v>
      </c>
      <c r="M473" s="15" t="s">
        <v>84</v>
      </c>
    </row>
    <row r="474" spans="1:13" x14ac:dyDescent="0.25">
      <c r="A474" s="15" t="s">
        <v>87</v>
      </c>
      <c r="B474" s="15">
        <v>155</v>
      </c>
      <c r="C474" s="15">
        <v>71</v>
      </c>
      <c r="D474" s="15">
        <v>17</v>
      </c>
      <c r="E474" s="15">
        <v>8</v>
      </c>
      <c r="F474" s="15">
        <v>150</v>
      </c>
      <c r="G474" s="15">
        <v>69</v>
      </c>
      <c r="H474" s="15">
        <v>17</v>
      </c>
      <c r="I474" s="15">
        <v>8</v>
      </c>
      <c r="J474" s="15">
        <v>5</v>
      </c>
      <c r="K474" s="15">
        <v>2</v>
      </c>
      <c r="L474" s="15" t="s">
        <v>84</v>
      </c>
      <c r="M474" s="15" t="s">
        <v>84</v>
      </c>
    </row>
    <row r="475" spans="1:13" ht="15" customHeight="1" x14ac:dyDescent="0.25">
      <c r="A475" s="15" t="s">
        <v>153</v>
      </c>
      <c r="B475" s="15">
        <v>65</v>
      </c>
      <c r="C475" s="15">
        <v>35</v>
      </c>
      <c r="D475" s="15">
        <v>2</v>
      </c>
      <c r="E475" s="15">
        <v>1</v>
      </c>
      <c r="F475" s="15">
        <v>61</v>
      </c>
      <c r="G475" s="15">
        <v>33</v>
      </c>
      <c r="H475" s="15">
        <v>2</v>
      </c>
      <c r="I475" s="15">
        <v>1</v>
      </c>
      <c r="J475" s="15">
        <v>4</v>
      </c>
      <c r="K475" s="15">
        <v>2</v>
      </c>
      <c r="L475" s="15" t="s">
        <v>84</v>
      </c>
      <c r="M475" s="15" t="s">
        <v>84</v>
      </c>
    </row>
    <row r="476" spans="1:13" x14ac:dyDescent="0.25">
      <c r="A476" s="15" t="s">
        <v>154</v>
      </c>
      <c r="B476" s="15">
        <v>25</v>
      </c>
      <c r="C476" s="15">
        <v>11</v>
      </c>
      <c r="D476" s="15">
        <v>5</v>
      </c>
      <c r="E476" s="15">
        <v>3</v>
      </c>
      <c r="F476" s="15">
        <v>24</v>
      </c>
      <c r="G476" s="15">
        <v>11</v>
      </c>
      <c r="H476" s="15">
        <v>5</v>
      </c>
      <c r="I476" s="15">
        <v>3</v>
      </c>
      <c r="J476" s="15">
        <v>1</v>
      </c>
      <c r="K476" s="15" t="s">
        <v>84</v>
      </c>
      <c r="L476" s="15" t="s">
        <v>84</v>
      </c>
      <c r="M476" s="15" t="s">
        <v>84</v>
      </c>
    </row>
    <row r="477" spans="1:13" ht="15" customHeight="1" x14ac:dyDescent="0.25">
      <c r="A477" s="207" t="s">
        <v>133</v>
      </c>
      <c r="B477" s="208"/>
      <c r="C477" s="208"/>
      <c r="D477" s="208"/>
      <c r="E477" s="208"/>
      <c r="F477" s="208"/>
      <c r="G477" s="208"/>
      <c r="H477" s="208"/>
      <c r="I477" s="208"/>
      <c r="J477" s="208"/>
      <c r="K477" s="208"/>
      <c r="L477" s="208"/>
      <c r="M477" s="209"/>
    </row>
    <row r="478" spans="1:13" x14ac:dyDescent="0.25">
      <c r="A478" s="207"/>
      <c r="B478" s="208"/>
      <c r="C478" s="208"/>
      <c r="D478" s="208"/>
      <c r="E478" s="208"/>
      <c r="F478" s="208"/>
      <c r="G478" s="208"/>
      <c r="H478" s="208"/>
      <c r="I478" s="208"/>
      <c r="J478" s="208"/>
      <c r="K478" s="208"/>
      <c r="L478" s="208"/>
      <c r="M478" s="209"/>
    </row>
    <row r="479" spans="1:13" x14ac:dyDescent="0.25">
      <c r="A479" s="15" t="s">
        <v>83</v>
      </c>
      <c r="B479" s="27">
        <v>1218</v>
      </c>
      <c r="C479" s="15">
        <v>548</v>
      </c>
      <c r="D479" s="27">
        <v>70</v>
      </c>
      <c r="E479" s="15">
        <v>32</v>
      </c>
      <c r="F479" s="15">
        <v>1187</v>
      </c>
      <c r="G479" s="15">
        <v>543</v>
      </c>
      <c r="H479" s="15">
        <v>70</v>
      </c>
      <c r="I479" s="15">
        <v>32</v>
      </c>
      <c r="J479" s="15">
        <v>31</v>
      </c>
      <c r="K479" s="15">
        <v>5</v>
      </c>
      <c r="L479" s="15" t="s">
        <v>84</v>
      </c>
      <c r="M479" s="15" t="s">
        <v>84</v>
      </c>
    </row>
    <row r="480" spans="1:13" x14ac:dyDescent="0.25">
      <c r="A480" s="15" t="s">
        <v>151</v>
      </c>
      <c r="B480" s="15">
        <v>236</v>
      </c>
      <c r="C480" s="15">
        <v>127</v>
      </c>
      <c r="D480" s="15">
        <v>2</v>
      </c>
      <c r="E480" s="15">
        <v>2</v>
      </c>
      <c r="F480" s="15">
        <v>236</v>
      </c>
      <c r="G480" s="15">
        <v>127</v>
      </c>
      <c r="H480" s="15">
        <v>2</v>
      </c>
      <c r="I480" s="15">
        <v>2</v>
      </c>
      <c r="J480" s="15" t="s">
        <v>84</v>
      </c>
      <c r="K480" s="15" t="s">
        <v>84</v>
      </c>
      <c r="L480" s="15" t="s">
        <v>84</v>
      </c>
      <c r="M480" s="15" t="s">
        <v>84</v>
      </c>
    </row>
    <row r="481" spans="1:13" x14ac:dyDescent="0.25">
      <c r="A481" s="15" t="s">
        <v>152</v>
      </c>
      <c r="B481" s="15">
        <v>19</v>
      </c>
      <c r="C481" s="15">
        <v>12</v>
      </c>
      <c r="D481" s="15" t="s">
        <v>84</v>
      </c>
      <c r="E481" s="15" t="s">
        <v>84</v>
      </c>
      <c r="F481" s="15">
        <v>19</v>
      </c>
      <c r="G481" s="15">
        <v>12</v>
      </c>
      <c r="H481" s="15" t="s">
        <v>84</v>
      </c>
      <c r="I481" s="15" t="s">
        <v>84</v>
      </c>
      <c r="J481" s="15" t="s">
        <v>84</v>
      </c>
      <c r="K481" s="15" t="s">
        <v>84</v>
      </c>
      <c r="L481" s="15" t="s">
        <v>84</v>
      </c>
      <c r="M481" s="15" t="s">
        <v>84</v>
      </c>
    </row>
    <row r="482" spans="1:13" x14ac:dyDescent="0.25">
      <c r="A482" s="15" t="s">
        <v>85</v>
      </c>
      <c r="B482" s="15">
        <v>738</v>
      </c>
      <c r="C482" s="15">
        <v>341</v>
      </c>
      <c r="D482" s="15">
        <v>43</v>
      </c>
      <c r="E482" s="15">
        <v>20</v>
      </c>
      <c r="F482" s="15">
        <v>723</v>
      </c>
      <c r="G482" s="15">
        <v>337</v>
      </c>
      <c r="H482" s="15">
        <v>43</v>
      </c>
      <c r="I482" s="15">
        <v>20</v>
      </c>
      <c r="J482" s="15">
        <v>15</v>
      </c>
      <c r="K482" s="15">
        <v>4</v>
      </c>
      <c r="L482" s="15" t="s">
        <v>84</v>
      </c>
      <c r="M482" s="15" t="s">
        <v>84</v>
      </c>
    </row>
    <row r="483" spans="1:13" x14ac:dyDescent="0.25">
      <c r="A483" s="15" t="s">
        <v>86</v>
      </c>
      <c r="B483" s="15">
        <v>176</v>
      </c>
      <c r="C483" s="15">
        <v>55</v>
      </c>
      <c r="D483" s="15">
        <v>17</v>
      </c>
      <c r="E483" s="15">
        <v>5</v>
      </c>
      <c r="F483" s="15">
        <v>164</v>
      </c>
      <c r="G483" s="15">
        <v>55</v>
      </c>
      <c r="H483" s="15">
        <v>17</v>
      </c>
      <c r="I483" s="15">
        <v>5</v>
      </c>
      <c r="J483" s="15">
        <v>12</v>
      </c>
      <c r="K483" s="15" t="s">
        <v>84</v>
      </c>
      <c r="L483" s="15" t="s">
        <v>84</v>
      </c>
      <c r="M483" s="15" t="s">
        <v>84</v>
      </c>
    </row>
    <row r="484" spans="1:13" ht="15" customHeight="1" x14ac:dyDescent="0.25">
      <c r="A484" s="15" t="s">
        <v>87</v>
      </c>
      <c r="B484" s="15">
        <v>49</v>
      </c>
      <c r="C484" s="15">
        <v>13</v>
      </c>
      <c r="D484" s="15">
        <v>8</v>
      </c>
      <c r="E484" s="15">
        <v>5</v>
      </c>
      <c r="F484" s="15">
        <v>45</v>
      </c>
      <c r="G484" s="15">
        <v>12</v>
      </c>
      <c r="H484" s="15">
        <v>8</v>
      </c>
      <c r="I484" s="15">
        <v>5</v>
      </c>
      <c r="J484" s="15">
        <v>4</v>
      </c>
      <c r="K484" s="15">
        <v>1</v>
      </c>
      <c r="L484" s="15" t="s">
        <v>84</v>
      </c>
      <c r="M484" s="15" t="s">
        <v>84</v>
      </c>
    </row>
    <row r="485" spans="1:13" x14ac:dyDescent="0.25">
      <c r="A485" s="15" t="s">
        <v>153</v>
      </c>
      <c r="B485" s="15">
        <v>17</v>
      </c>
      <c r="C485" s="15">
        <v>2</v>
      </c>
      <c r="D485" s="15" t="s">
        <v>84</v>
      </c>
      <c r="E485" s="15" t="s">
        <v>84</v>
      </c>
      <c r="F485" s="15">
        <v>14</v>
      </c>
      <c r="G485" s="15">
        <v>1</v>
      </c>
      <c r="H485" s="15" t="s">
        <v>84</v>
      </c>
      <c r="I485" s="15" t="s">
        <v>84</v>
      </c>
      <c r="J485" s="15">
        <v>3</v>
      </c>
      <c r="K485" s="15">
        <v>1</v>
      </c>
      <c r="L485" s="15" t="s">
        <v>84</v>
      </c>
      <c r="M485" s="15" t="s">
        <v>84</v>
      </c>
    </row>
    <row r="486" spans="1:13" x14ac:dyDescent="0.25">
      <c r="A486" s="15" t="s">
        <v>154</v>
      </c>
      <c r="B486" s="15">
        <v>12</v>
      </c>
      <c r="C486" s="15">
        <v>5</v>
      </c>
      <c r="D486" s="15">
        <v>3</v>
      </c>
      <c r="E486" s="15">
        <v>2</v>
      </c>
      <c r="F486" s="15">
        <v>12</v>
      </c>
      <c r="G486" s="15">
        <v>5</v>
      </c>
      <c r="H486" s="15">
        <v>3</v>
      </c>
      <c r="I486" s="15">
        <v>2</v>
      </c>
      <c r="J486" s="15" t="s">
        <v>84</v>
      </c>
      <c r="K486" s="15" t="s">
        <v>84</v>
      </c>
      <c r="L486" s="15" t="s">
        <v>84</v>
      </c>
      <c r="M486" s="15" t="s">
        <v>84</v>
      </c>
    </row>
    <row r="487" spans="1:13" ht="15" customHeight="1" x14ac:dyDescent="0.25">
      <c r="A487" s="207" t="s">
        <v>134</v>
      </c>
      <c r="B487" s="208"/>
      <c r="C487" s="208"/>
      <c r="D487" s="208"/>
      <c r="E487" s="208"/>
      <c r="F487" s="208"/>
      <c r="G487" s="208"/>
      <c r="H487" s="208"/>
      <c r="I487" s="208"/>
      <c r="J487" s="208"/>
      <c r="K487" s="208"/>
      <c r="L487" s="208"/>
      <c r="M487" s="209"/>
    </row>
    <row r="488" spans="1:13" x14ac:dyDescent="0.25">
      <c r="A488" s="207"/>
      <c r="B488" s="208"/>
      <c r="C488" s="208"/>
      <c r="D488" s="208"/>
      <c r="E488" s="208"/>
      <c r="F488" s="208"/>
      <c r="G488" s="208"/>
      <c r="H488" s="208"/>
      <c r="I488" s="208"/>
      <c r="J488" s="208"/>
      <c r="K488" s="208"/>
      <c r="L488" s="208"/>
      <c r="M488" s="209"/>
    </row>
    <row r="489" spans="1:13" x14ac:dyDescent="0.25">
      <c r="A489" s="15" t="s">
        <v>83</v>
      </c>
      <c r="B489" s="27">
        <v>3640</v>
      </c>
      <c r="C489" s="15">
        <v>1759</v>
      </c>
      <c r="D489" s="27">
        <v>220</v>
      </c>
      <c r="E489" s="15">
        <v>117</v>
      </c>
      <c r="F489" s="15">
        <v>3519</v>
      </c>
      <c r="G489" s="15">
        <v>1694</v>
      </c>
      <c r="H489" s="15">
        <v>220</v>
      </c>
      <c r="I489" s="15">
        <v>117</v>
      </c>
      <c r="J489" s="15">
        <v>121</v>
      </c>
      <c r="K489" s="15">
        <v>65</v>
      </c>
      <c r="L489" s="15" t="s">
        <v>84</v>
      </c>
      <c r="M489" s="15" t="s">
        <v>84</v>
      </c>
    </row>
    <row r="490" spans="1:13" x14ac:dyDescent="0.25">
      <c r="A490" s="15" t="s">
        <v>151</v>
      </c>
      <c r="B490" s="15">
        <v>841</v>
      </c>
      <c r="C490" s="15">
        <v>457</v>
      </c>
      <c r="D490" s="15">
        <v>13</v>
      </c>
      <c r="E490" s="15">
        <v>6</v>
      </c>
      <c r="F490" s="15">
        <v>841</v>
      </c>
      <c r="G490" s="15">
        <v>457</v>
      </c>
      <c r="H490" s="15">
        <v>13</v>
      </c>
      <c r="I490" s="15">
        <v>6</v>
      </c>
      <c r="J490" s="15" t="s">
        <v>84</v>
      </c>
      <c r="K490" s="15" t="s">
        <v>84</v>
      </c>
      <c r="L490" s="15" t="s">
        <v>84</v>
      </c>
      <c r="M490" s="15" t="s">
        <v>84</v>
      </c>
    </row>
    <row r="491" spans="1:13" x14ac:dyDescent="0.25">
      <c r="A491" s="15" t="s">
        <v>152</v>
      </c>
      <c r="B491" s="15">
        <v>33</v>
      </c>
      <c r="C491" s="15">
        <v>15</v>
      </c>
      <c r="D491" s="15">
        <v>2</v>
      </c>
      <c r="E491" s="15">
        <v>2</v>
      </c>
      <c r="F491" s="15">
        <v>33</v>
      </c>
      <c r="G491" s="15">
        <v>15</v>
      </c>
      <c r="H491" s="15">
        <v>2</v>
      </c>
      <c r="I491" s="15">
        <v>2</v>
      </c>
      <c r="J491" s="15" t="s">
        <v>84</v>
      </c>
      <c r="K491" s="15" t="s">
        <v>84</v>
      </c>
      <c r="L491" s="15" t="s">
        <v>84</v>
      </c>
      <c r="M491" s="15" t="s">
        <v>84</v>
      </c>
    </row>
    <row r="492" spans="1:13" x14ac:dyDescent="0.25">
      <c r="A492" s="15" t="s">
        <v>85</v>
      </c>
      <c r="B492" s="15">
        <v>2069</v>
      </c>
      <c r="C492" s="15">
        <v>1021</v>
      </c>
      <c r="D492" s="15">
        <v>119</v>
      </c>
      <c r="E492" s="15">
        <v>68</v>
      </c>
      <c r="F492" s="15">
        <v>1986</v>
      </c>
      <c r="G492" s="15">
        <v>975</v>
      </c>
      <c r="H492" s="15">
        <v>119</v>
      </c>
      <c r="I492" s="15">
        <v>68</v>
      </c>
      <c r="J492" s="15">
        <v>83</v>
      </c>
      <c r="K492" s="15">
        <v>46</v>
      </c>
      <c r="L492" s="15" t="s">
        <v>84</v>
      </c>
      <c r="M492" s="15" t="s">
        <v>84</v>
      </c>
    </row>
    <row r="493" spans="1:13" x14ac:dyDescent="0.25">
      <c r="A493" s="15" t="s">
        <v>86</v>
      </c>
      <c r="B493" s="15">
        <v>485</v>
      </c>
      <c r="C493" s="15">
        <v>179</v>
      </c>
      <c r="D493" s="15">
        <v>34</v>
      </c>
      <c r="E493" s="15">
        <v>16</v>
      </c>
      <c r="F493" s="15">
        <v>466</v>
      </c>
      <c r="G493" s="15">
        <v>167</v>
      </c>
      <c r="H493" s="15">
        <v>34</v>
      </c>
      <c r="I493" s="15">
        <v>16</v>
      </c>
      <c r="J493" s="15">
        <v>19</v>
      </c>
      <c r="K493" s="15">
        <v>12</v>
      </c>
      <c r="L493" s="15" t="s">
        <v>84</v>
      </c>
      <c r="M493" s="15" t="s">
        <v>84</v>
      </c>
    </row>
    <row r="494" spans="1:13" ht="15" customHeight="1" x14ac:dyDescent="0.25">
      <c r="A494" s="15" t="s">
        <v>87</v>
      </c>
      <c r="B494" s="15">
        <v>212</v>
      </c>
      <c r="C494" s="15">
        <v>87</v>
      </c>
      <c r="D494" s="15">
        <v>52</v>
      </c>
      <c r="E494" s="15">
        <v>25</v>
      </c>
      <c r="F494" s="15">
        <v>193</v>
      </c>
      <c r="G494" s="15">
        <v>80</v>
      </c>
      <c r="H494" s="15">
        <v>52</v>
      </c>
      <c r="I494" s="15">
        <v>25</v>
      </c>
      <c r="J494" s="15">
        <v>19</v>
      </c>
      <c r="K494" s="15">
        <v>7</v>
      </c>
      <c r="L494" s="15" t="s">
        <v>84</v>
      </c>
      <c r="M494" s="15" t="s">
        <v>84</v>
      </c>
    </row>
    <row r="495" spans="1:13" x14ac:dyDescent="0.25">
      <c r="A495" s="15" t="s">
        <v>153</v>
      </c>
      <c r="B495" s="15">
        <v>89</v>
      </c>
      <c r="C495" s="15">
        <v>34</v>
      </c>
      <c r="D495" s="15">
        <v>24</v>
      </c>
      <c r="E495" s="15">
        <v>11</v>
      </c>
      <c r="F495" s="15">
        <v>88</v>
      </c>
      <c r="G495" s="15">
        <v>34</v>
      </c>
      <c r="H495" s="15">
        <v>24</v>
      </c>
      <c r="I495" s="15">
        <v>11</v>
      </c>
      <c r="J495" s="15">
        <v>1</v>
      </c>
      <c r="K495" s="15" t="s">
        <v>84</v>
      </c>
      <c r="L495" s="15" t="s">
        <v>84</v>
      </c>
      <c r="M495" s="15" t="s">
        <v>84</v>
      </c>
    </row>
    <row r="496" spans="1:13" x14ac:dyDescent="0.25">
      <c r="A496" s="15" t="s">
        <v>154</v>
      </c>
      <c r="B496" s="15">
        <v>19</v>
      </c>
      <c r="C496" s="15">
        <v>8</v>
      </c>
      <c r="D496" s="15">
        <v>5</v>
      </c>
      <c r="E496" s="15">
        <v>3</v>
      </c>
      <c r="F496" s="15">
        <v>14</v>
      </c>
      <c r="G496" s="15">
        <v>5</v>
      </c>
      <c r="H496" s="15">
        <v>5</v>
      </c>
      <c r="I496" s="15">
        <v>3</v>
      </c>
      <c r="J496" s="15">
        <v>5</v>
      </c>
      <c r="K496" s="15">
        <v>3</v>
      </c>
      <c r="L496" s="15" t="s">
        <v>84</v>
      </c>
      <c r="M496" s="15" t="s">
        <v>84</v>
      </c>
    </row>
    <row r="497" spans="1:13" ht="15" customHeight="1" x14ac:dyDescent="0.25">
      <c r="A497" s="207" t="s">
        <v>135</v>
      </c>
      <c r="B497" s="208"/>
      <c r="C497" s="208"/>
      <c r="D497" s="208"/>
      <c r="E497" s="208"/>
      <c r="F497" s="208"/>
      <c r="G497" s="208"/>
      <c r="H497" s="208"/>
      <c r="I497" s="208"/>
      <c r="J497" s="208"/>
      <c r="K497" s="208"/>
      <c r="L497" s="208"/>
      <c r="M497" s="209"/>
    </row>
    <row r="498" spans="1:13" x14ac:dyDescent="0.25">
      <c r="A498" s="207"/>
      <c r="B498" s="208"/>
      <c r="C498" s="208"/>
      <c r="D498" s="208"/>
      <c r="E498" s="208"/>
      <c r="F498" s="208"/>
      <c r="G498" s="208"/>
      <c r="H498" s="208"/>
      <c r="I498" s="208"/>
      <c r="J498" s="208"/>
      <c r="K498" s="208"/>
      <c r="L498" s="208"/>
      <c r="M498" s="209"/>
    </row>
    <row r="499" spans="1:13" x14ac:dyDescent="0.25">
      <c r="A499" s="15" t="s">
        <v>83</v>
      </c>
      <c r="B499" s="27">
        <v>1762</v>
      </c>
      <c r="C499" s="15">
        <v>916</v>
      </c>
      <c r="D499" s="27">
        <v>122</v>
      </c>
      <c r="E499" s="15">
        <v>61</v>
      </c>
      <c r="F499" s="15">
        <v>1433</v>
      </c>
      <c r="G499" s="15">
        <v>728</v>
      </c>
      <c r="H499" s="15">
        <v>114</v>
      </c>
      <c r="I499" s="15">
        <v>56</v>
      </c>
      <c r="J499" s="15">
        <v>329</v>
      </c>
      <c r="K499" s="15">
        <v>188</v>
      </c>
      <c r="L499" s="15">
        <v>8</v>
      </c>
      <c r="M499" s="15">
        <v>5</v>
      </c>
    </row>
    <row r="500" spans="1:13" x14ac:dyDescent="0.25">
      <c r="A500" s="15" t="s">
        <v>151</v>
      </c>
      <c r="B500" s="15">
        <v>546</v>
      </c>
      <c r="C500" s="15">
        <v>353</v>
      </c>
      <c r="D500" s="15">
        <v>12</v>
      </c>
      <c r="E500" s="15">
        <v>9</v>
      </c>
      <c r="F500" s="15">
        <v>378</v>
      </c>
      <c r="G500" s="15">
        <v>235</v>
      </c>
      <c r="H500" s="15">
        <v>9</v>
      </c>
      <c r="I500" s="15">
        <v>6</v>
      </c>
      <c r="J500" s="15">
        <v>168</v>
      </c>
      <c r="K500" s="15">
        <v>118</v>
      </c>
      <c r="L500" s="15">
        <v>3</v>
      </c>
      <c r="M500" s="15">
        <v>3</v>
      </c>
    </row>
    <row r="501" spans="1:13" x14ac:dyDescent="0.25">
      <c r="A501" s="15" t="s">
        <v>152</v>
      </c>
      <c r="B501" s="15">
        <v>7</v>
      </c>
      <c r="C501" s="15">
        <v>4</v>
      </c>
      <c r="D501" s="15" t="s">
        <v>84</v>
      </c>
      <c r="E501" s="15" t="s">
        <v>84</v>
      </c>
      <c r="F501" s="15">
        <v>2</v>
      </c>
      <c r="G501" s="15">
        <v>1</v>
      </c>
      <c r="H501" s="15" t="s">
        <v>84</v>
      </c>
      <c r="I501" s="15" t="s">
        <v>84</v>
      </c>
      <c r="J501" s="15">
        <v>5</v>
      </c>
      <c r="K501" s="15">
        <v>3</v>
      </c>
      <c r="L501" s="15" t="s">
        <v>84</v>
      </c>
      <c r="M501" s="15" t="s">
        <v>84</v>
      </c>
    </row>
    <row r="502" spans="1:13" x14ac:dyDescent="0.25">
      <c r="A502" s="15" t="s">
        <v>85</v>
      </c>
      <c r="B502" s="15">
        <v>890</v>
      </c>
      <c r="C502" s="15">
        <v>418</v>
      </c>
      <c r="D502" s="15">
        <v>60</v>
      </c>
      <c r="E502" s="15">
        <v>24</v>
      </c>
      <c r="F502" s="15">
        <v>786</v>
      </c>
      <c r="G502" s="15">
        <v>372</v>
      </c>
      <c r="H502" s="15">
        <v>56</v>
      </c>
      <c r="I502" s="15">
        <v>22</v>
      </c>
      <c r="J502" s="15">
        <v>104</v>
      </c>
      <c r="K502" s="15">
        <v>46</v>
      </c>
      <c r="L502" s="15">
        <v>4</v>
      </c>
      <c r="M502" s="15">
        <v>2</v>
      </c>
    </row>
    <row r="503" spans="1:13" x14ac:dyDescent="0.25">
      <c r="A503" s="15" t="s">
        <v>86</v>
      </c>
      <c r="B503" s="15">
        <v>207</v>
      </c>
      <c r="C503" s="15">
        <v>87</v>
      </c>
      <c r="D503" s="15">
        <v>26</v>
      </c>
      <c r="E503" s="15">
        <v>13</v>
      </c>
      <c r="F503" s="15">
        <v>181</v>
      </c>
      <c r="G503" s="15">
        <v>78</v>
      </c>
      <c r="H503" s="15">
        <v>25</v>
      </c>
      <c r="I503" s="15">
        <v>13</v>
      </c>
      <c r="J503" s="15">
        <v>26</v>
      </c>
      <c r="K503" s="15">
        <v>9</v>
      </c>
      <c r="L503" s="15">
        <v>1</v>
      </c>
      <c r="M503" s="15" t="s">
        <v>84</v>
      </c>
    </row>
    <row r="504" spans="1:13" ht="15" customHeight="1" x14ac:dyDescent="0.25">
      <c r="A504" s="15" t="s">
        <v>87</v>
      </c>
      <c r="B504" s="15">
        <v>112</v>
      </c>
      <c r="C504" s="15">
        <v>54</v>
      </c>
      <c r="D504" s="15">
        <v>24</v>
      </c>
      <c r="E504" s="15">
        <v>15</v>
      </c>
      <c r="F504" s="15">
        <v>86</v>
      </c>
      <c r="G504" s="15">
        <v>42</v>
      </c>
      <c r="H504" s="15">
        <v>24</v>
      </c>
      <c r="I504" s="15">
        <v>15</v>
      </c>
      <c r="J504" s="15">
        <v>26</v>
      </c>
      <c r="K504" s="15">
        <v>12</v>
      </c>
      <c r="L504" s="15" t="s">
        <v>84</v>
      </c>
      <c r="M504" s="15" t="s">
        <v>84</v>
      </c>
    </row>
    <row r="505" spans="1:13" x14ac:dyDescent="0.25">
      <c r="A505" s="15" t="s">
        <v>153</v>
      </c>
      <c r="B505" s="15">
        <v>32</v>
      </c>
      <c r="C505" s="15">
        <v>13</v>
      </c>
      <c r="D505" s="15">
        <v>3</v>
      </c>
      <c r="E505" s="15">
        <v>2</v>
      </c>
      <c r="F505" s="15">
        <v>23</v>
      </c>
      <c r="G505" s="15">
        <v>10</v>
      </c>
      <c r="H505" s="15">
        <v>3</v>
      </c>
      <c r="I505" s="15">
        <v>2</v>
      </c>
      <c r="J505" s="15">
        <v>9</v>
      </c>
      <c r="K505" s="15">
        <v>3</v>
      </c>
      <c r="L505" s="15" t="s">
        <v>84</v>
      </c>
      <c r="M505" s="15" t="s">
        <v>84</v>
      </c>
    </row>
    <row r="506" spans="1:13" x14ac:dyDescent="0.25">
      <c r="A506" s="15" t="s">
        <v>154</v>
      </c>
      <c r="B506" s="15">
        <v>8</v>
      </c>
      <c r="C506" s="15">
        <v>4</v>
      </c>
      <c r="D506" s="15">
        <v>2</v>
      </c>
      <c r="E506" s="15">
        <v>1</v>
      </c>
      <c r="F506" s="15">
        <v>8</v>
      </c>
      <c r="G506" s="15">
        <v>4</v>
      </c>
      <c r="H506" s="15">
        <v>2</v>
      </c>
      <c r="I506" s="15">
        <v>1</v>
      </c>
      <c r="J506" s="15" t="s">
        <v>84</v>
      </c>
      <c r="K506" s="15" t="s">
        <v>84</v>
      </c>
      <c r="L506" s="15" t="s">
        <v>84</v>
      </c>
      <c r="M506" s="15" t="s">
        <v>84</v>
      </c>
    </row>
    <row r="507" spans="1:13" ht="15" customHeight="1" x14ac:dyDescent="0.25">
      <c r="A507" s="207" t="s">
        <v>136</v>
      </c>
      <c r="B507" s="208"/>
      <c r="C507" s="208"/>
      <c r="D507" s="208"/>
      <c r="E507" s="208"/>
      <c r="F507" s="208"/>
      <c r="G507" s="208"/>
      <c r="H507" s="208"/>
      <c r="I507" s="208"/>
      <c r="J507" s="208"/>
      <c r="K507" s="208"/>
      <c r="L507" s="208"/>
      <c r="M507" s="209"/>
    </row>
    <row r="508" spans="1:13" x14ac:dyDescent="0.25">
      <c r="A508" s="207"/>
      <c r="B508" s="208"/>
      <c r="C508" s="208"/>
      <c r="D508" s="208"/>
      <c r="E508" s="208"/>
      <c r="F508" s="208"/>
      <c r="G508" s="208"/>
      <c r="H508" s="208"/>
      <c r="I508" s="208"/>
      <c r="J508" s="208"/>
      <c r="K508" s="208"/>
      <c r="L508" s="208"/>
      <c r="M508" s="209"/>
    </row>
    <row r="509" spans="1:13" x14ac:dyDescent="0.25">
      <c r="A509" s="15" t="s">
        <v>83</v>
      </c>
      <c r="B509" s="27">
        <v>1090</v>
      </c>
      <c r="C509" s="15">
        <v>514</v>
      </c>
      <c r="D509" s="27">
        <v>50</v>
      </c>
      <c r="E509" s="15">
        <v>29</v>
      </c>
      <c r="F509" s="15">
        <v>907</v>
      </c>
      <c r="G509" s="15">
        <v>424</v>
      </c>
      <c r="H509" s="15">
        <v>48</v>
      </c>
      <c r="I509" s="15">
        <v>28</v>
      </c>
      <c r="J509" s="15">
        <v>183</v>
      </c>
      <c r="K509" s="15">
        <v>90</v>
      </c>
      <c r="L509" s="15">
        <v>2</v>
      </c>
      <c r="M509" s="15">
        <v>1</v>
      </c>
    </row>
    <row r="510" spans="1:13" x14ac:dyDescent="0.25">
      <c r="A510" s="15" t="s">
        <v>151</v>
      </c>
      <c r="B510" s="15">
        <v>281</v>
      </c>
      <c r="C510" s="15">
        <v>151</v>
      </c>
      <c r="D510" s="15">
        <v>1</v>
      </c>
      <c r="E510" s="15">
        <v>1</v>
      </c>
      <c r="F510" s="15">
        <v>178</v>
      </c>
      <c r="G510" s="15">
        <v>100</v>
      </c>
      <c r="H510" s="15">
        <v>1</v>
      </c>
      <c r="I510" s="15">
        <v>1</v>
      </c>
      <c r="J510" s="15">
        <v>103</v>
      </c>
      <c r="K510" s="15">
        <v>51</v>
      </c>
      <c r="L510" s="15" t="s">
        <v>84</v>
      </c>
      <c r="M510" s="15" t="s">
        <v>84</v>
      </c>
    </row>
    <row r="511" spans="1:13" x14ac:dyDescent="0.25">
      <c r="A511" s="15" t="s">
        <v>152</v>
      </c>
      <c r="B511" s="15">
        <v>36</v>
      </c>
      <c r="C511" s="15">
        <v>19</v>
      </c>
      <c r="D511" s="15">
        <v>1</v>
      </c>
      <c r="E511" s="15">
        <v>1</v>
      </c>
      <c r="F511" s="15">
        <v>28</v>
      </c>
      <c r="G511" s="15">
        <v>14</v>
      </c>
      <c r="H511" s="15">
        <v>1</v>
      </c>
      <c r="I511" s="15">
        <v>1</v>
      </c>
      <c r="J511" s="15">
        <v>8</v>
      </c>
      <c r="K511" s="15">
        <v>5</v>
      </c>
      <c r="L511" s="15" t="s">
        <v>84</v>
      </c>
      <c r="M511" s="15" t="s">
        <v>84</v>
      </c>
    </row>
    <row r="512" spans="1:13" x14ac:dyDescent="0.25">
      <c r="A512" s="15" t="s">
        <v>85</v>
      </c>
      <c r="B512" s="15">
        <v>564</v>
      </c>
      <c r="C512" s="15">
        <v>269</v>
      </c>
      <c r="D512" s="15">
        <v>30</v>
      </c>
      <c r="E512" s="15">
        <v>17</v>
      </c>
      <c r="F512" s="15">
        <v>510</v>
      </c>
      <c r="G512" s="15">
        <v>242</v>
      </c>
      <c r="H512" s="15">
        <v>29</v>
      </c>
      <c r="I512" s="15">
        <v>16</v>
      </c>
      <c r="J512" s="15">
        <v>54</v>
      </c>
      <c r="K512" s="15">
        <v>27</v>
      </c>
      <c r="L512" s="15">
        <v>1</v>
      </c>
      <c r="M512" s="15">
        <v>1</v>
      </c>
    </row>
    <row r="513" spans="1:13" x14ac:dyDescent="0.25">
      <c r="A513" s="15" t="s">
        <v>86</v>
      </c>
      <c r="B513" s="15">
        <v>149</v>
      </c>
      <c r="C513" s="15">
        <v>55</v>
      </c>
      <c r="D513" s="15">
        <v>10</v>
      </c>
      <c r="E513" s="15">
        <v>3</v>
      </c>
      <c r="F513" s="15">
        <v>137</v>
      </c>
      <c r="G513" s="15">
        <v>49</v>
      </c>
      <c r="H513" s="15">
        <v>9</v>
      </c>
      <c r="I513" s="15">
        <v>3</v>
      </c>
      <c r="J513" s="15">
        <v>12</v>
      </c>
      <c r="K513" s="15">
        <v>6</v>
      </c>
      <c r="L513" s="15">
        <v>1</v>
      </c>
      <c r="M513" s="15" t="s">
        <v>84</v>
      </c>
    </row>
    <row r="514" spans="1:13" ht="15" customHeight="1" x14ac:dyDescent="0.25">
      <c r="A514" s="15" t="s">
        <v>87</v>
      </c>
      <c r="B514" s="15">
        <v>60</v>
      </c>
      <c r="C514" s="15">
        <v>20</v>
      </c>
      <c r="D514" s="15">
        <v>8</v>
      </c>
      <c r="E514" s="15">
        <v>7</v>
      </c>
      <c r="F514" s="15">
        <v>54</v>
      </c>
      <c r="G514" s="15">
        <v>19</v>
      </c>
      <c r="H514" s="15">
        <v>8</v>
      </c>
      <c r="I514" s="15">
        <v>7</v>
      </c>
      <c r="J514" s="15">
        <v>6</v>
      </c>
      <c r="K514" s="15">
        <v>1</v>
      </c>
      <c r="L514" s="15" t="s">
        <v>84</v>
      </c>
      <c r="M514" s="15" t="s">
        <v>84</v>
      </c>
    </row>
    <row r="515" spans="1:13" x14ac:dyDescent="0.25">
      <c r="A515" s="15" t="s">
        <v>153</v>
      </c>
      <c r="B515" s="15">
        <v>29</v>
      </c>
      <c r="C515" s="15">
        <v>8</v>
      </c>
      <c r="D515" s="15" t="s">
        <v>84</v>
      </c>
      <c r="E515" s="15" t="s">
        <v>84</v>
      </c>
      <c r="F515" s="15">
        <v>28</v>
      </c>
      <c r="G515" s="15">
        <v>7</v>
      </c>
      <c r="H515" s="15" t="s">
        <v>84</v>
      </c>
      <c r="I515" s="15" t="s">
        <v>84</v>
      </c>
      <c r="J515" s="15">
        <v>1</v>
      </c>
      <c r="K515" s="15">
        <v>1</v>
      </c>
      <c r="L515" s="15" t="s">
        <v>84</v>
      </c>
      <c r="M515" s="15" t="s">
        <v>84</v>
      </c>
    </row>
    <row r="516" spans="1:13" x14ac:dyDescent="0.25">
      <c r="A516" s="15" t="s">
        <v>154</v>
      </c>
      <c r="B516" s="15">
        <v>4</v>
      </c>
      <c r="C516" s="15" t="s">
        <v>84</v>
      </c>
      <c r="D516" s="15" t="s">
        <v>84</v>
      </c>
      <c r="E516" s="15" t="s">
        <v>84</v>
      </c>
      <c r="F516" s="15">
        <v>4</v>
      </c>
      <c r="G516" s="15" t="s">
        <v>84</v>
      </c>
      <c r="H516" s="15" t="s">
        <v>84</v>
      </c>
      <c r="I516" s="15" t="s">
        <v>84</v>
      </c>
      <c r="J516" s="15" t="s">
        <v>84</v>
      </c>
      <c r="K516" s="15" t="s">
        <v>84</v>
      </c>
      <c r="L516" s="15" t="s">
        <v>84</v>
      </c>
      <c r="M516" s="15" t="s">
        <v>84</v>
      </c>
    </row>
    <row r="517" spans="1:13" ht="15" customHeight="1" x14ac:dyDescent="0.25">
      <c r="A517" s="207" t="s">
        <v>137</v>
      </c>
      <c r="B517" s="208"/>
      <c r="C517" s="208"/>
      <c r="D517" s="208"/>
      <c r="E517" s="208"/>
      <c r="F517" s="208"/>
      <c r="G517" s="208"/>
      <c r="H517" s="208"/>
      <c r="I517" s="208"/>
      <c r="J517" s="208"/>
      <c r="K517" s="208"/>
      <c r="L517" s="208"/>
      <c r="M517" s="209"/>
    </row>
    <row r="518" spans="1:13" x14ac:dyDescent="0.25">
      <c r="A518" s="207"/>
      <c r="B518" s="208"/>
      <c r="C518" s="208"/>
      <c r="D518" s="208"/>
      <c r="E518" s="208"/>
      <c r="F518" s="208"/>
      <c r="G518" s="208"/>
      <c r="H518" s="208"/>
      <c r="I518" s="208"/>
      <c r="J518" s="208"/>
      <c r="K518" s="208"/>
      <c r="L518" s="208"/>
      <c r="M518" s="209"/>
    </row>
    <row r="519" spans="1:13" x14ac:dyDescent="0.25">
      <c r="A519" s="15" t="s">
        <v>83</v>
      </c>
      <c r="B519" s="27">
        <v>719</v>
      </c>
      <c r="C519" s="15">
        <v>390</v>
      </c>
      <c r="D519" s="27">
        <v>24</v>
      </c>
      <c r="E519" s="15">
        <v>14</v>
      </c>
      <c r="F519" s="15">
        <v>699</v>
      </c>
      <c r="G519" s="15">
        <v>379</v>
      </c>
      <c r="H519" s="15">
        <v>24</v>
      </c>
      <c r="I519" s="15">
        <v>14</v>
      </c>
      <c r="J519" s="15">
        <v>20</v>
      </c>
      <c r="K519" s="15">
        <v>11</v>
      </c>
      <c r="L519" s="15" t="s">
        <v>84</v>
      </c>
      <c r="M519" s="15" t="s">
        <v>84</v>
      </c>
    </row>
    <row r="520" spans="1:13" x14ac:dyDescent="0.25">
      <c r="A520" s="15" t="s">
        <v>151</v>
      </c>
      <c r="B520" s="15">
        <v>245</v>
      </c>
      <c r="C520" s="15">
        <v>151</v>
      </c>
      <c r="D520" s="15">
        <v>6</v>
      </c>
      <c r="E520" s="15">
        <v>3</v>
      </c>
      <c r="F520" s="15">
        <v>225</v>
      </c>
      <c r="G520" s="15">
        <v>140</v>
      </c>
      <c r="H520" s="15">
        <v>6</v>
      </c>
      <c r="I520" s="15">
        <v>3</v>
      </c>
      <c r="J520" s="15">
        <v>20</v>
      </c>
      <c r="K520" s="15">
        <v>11</v>
      </c>
      <c r="L520" s="15" t="s">
        <v>84</v>
      </c>
      <c r="M520" s="15" t="s">
        <v>84</v>
      </c>
    </row>
    <row r="521" spans="1:13" x14ac:dyDescent="0.25">
      <c r="A521" s="15" t="s">
        <v>152</v>
      </c>
      <c r="B521" s="15">
        <v>24</v>
      </c>
      <c r="C521" s="15">
        <v>16</v>
      </c>
      <c r="D521" s="15" t="s">
        <v>84</v>
      </c>
      <c r="E521" s="15" t="s">
        <v>84</v>
      </c>
      <c r="F521" s="15">
        <v>24</v>
      </c>
      <c r="G521" s="15">
        <v>16</v>
      </c>
      <c r="H521" s="15" t="s">
        <v>84</v>
      </c>
      <c r="I521" s="15" t="s">
        <v>84</v>
      </c>
      <c r="J521" s="15" t="s">
        <v>84</v>
      </c>
      <c r="K521" s="15" t="s">
        <v>84</v>
      </c>
      <c r="L521" s="15" t="s">
        <v>84</v>
      </c>
      <c r="M521" s="15" t="s">
        <v>84</v>
      </c>
    </row>
    <row r="522" spans="1:13" x14ac:dyDescent="0.25">
      <c r="A522" s="15" t="s">
        <v>85</v>
      </c>
      <c r="B522" s="15">
        <v>318</v>
      </c>
      <c r="C522" s="15">
        <v>161</v>
      </c>
      <c r="D522" s="15">
        <v>9</v>
      </c>
      <c r="E522" s="15">
        <v>6</v>
      </c>
      <c r="F522" s="15">
        <v>318</v>
      </c>
      <c r="G522" s="15">
        <v>161</v>
      </c>
      <c r="H522" s="15">
        <v>9</v>
      </c>
      <c r="I522" s="15">
        <v>6</v>
      </c>
      <c r="J522" s="15" t="s">
        <v>84</v>
      </c>
      <c r="K522" s="15" t="s">
        <v>84</v>
      </c>
      <c r="L522" s="15" t="s">
        <v>84</v>
      </c>
      <c r="M522" s="15" t="s">
        <v>84</v>
      </c>
    </row>
    <row r="523" spans="1:13" x14ac:dyDescent="0.25">
      <c r="A523" s="15" t="s">
        <v>86</v>
      </c>
      <c r="B523" s="15">
        <v>92</v>
      </c>
      <c r="C523" s="15">
        <v>46</v>
      </c>
      <c r="D523" s="15">
        <v>3</v>
      </c>
      <c r="E523" s="15">
        <v>2</v>
      </c>
      <c r="F523" s="15">
        <v>92</v>
      </c>
      <c r="G523" s="15">
        <v>46</v>
      </c>
      <c r="H523" s="15">
        <v>3</v>
      </c>
      <c r="I523" s="15">
        <v>2</v>
      </c>
      <c r="J523" s="15" t="s">
        <v>84</v>
      </c>
      <c r="K523" s="15" t="s">
        <v>84</v>
      </c>
      <c r="L523" s="15" t="s">
        <v>84</v>
      </c>
      <c r="M523" s="15" t="s">
        <v>84</v>
      </c>
    </row>
    <row r="524" spans="1:13" x14ac:dyDescent="0.25">
      <c r="A524" s="15" t="s">
        <v>87</v>
      </c>
      <c r="B524" s="15">
        <v>40</v>
      </c>
      <c r="C524" s="15">
        <v>16</v>
      </c>
      <c r="D524" s="15">
        <v>6</v>
      </c>
      <c r="E524" s="15">
        <v>3</v>
      </c>
      <c r="F524" s="15">
        <v>40</v>
      </c>
      <c r="G524" s="15">
        <v>16</v>
      </c>
      <c r="H524" s="15">
        <v>6</v>
      </c>
      <c r="I524" s="15">
        <v>3</v>
      </c>
      <c r="J524" s="15" t="s">
        <v>84</v>
      </c>
      <c r="K524" s="15" t="s">
        <v>84</v>
      </c>
      <c r="L524" s="15" t="s">
        <v>84</v>
      </c>
      <c r="M524" s="15" t="s">
        <v>84</v>
      </c>
    </row>
    <row r="525" spans="1:13" x14ac:dyDescent="0.25">
      <c r="A525" s="15" t="s">
        <v>153</v>
      </c>
      <c r="B525" s="15">
        <v>7</v>
      </c>
      <c r="C525" s="15">
        <v>2</v>
      </c>
      <c r="D525" s="15">
        <v>1</v>
      </c>
      <c r="E525" s="15">
        <v>1</v>
      </c>
      <c r="F525" s="15">
        <v>7</v>
      </c>
      <c r="G525" s="15">
        <v>2</v>
      </c>
      <c r="H525" s="15">
        <v>1</v>
      </c>
      <c r="I525" s="15">
        <v>1</v>
      </c>
      <c r="J525" s="15" t="s">
        <v>84</v>
      </c>
      <c r="K525" s="15" t="s">
        <v>84</v>
      </c>
      <c r="L525" s="15" t="s">
        <v>84</v>
      </c>
      <c r="M525" s="15" t="s">
        <v>84</v>
      </c>
    </row>
    <row r="526" spans="1:13" x14ac:dyDescent="0.25">
      <c r="A526" s="15" t="s">
        <v>154</v>
      </c>
      <c r="B526" s="15">
        <v>6</v>
      </c>
      <c r="C526" s="15">
        <v>2</v>
      </c>
      <c r="D526" s="15" t="s">
        <v>84</v>
      </c>
      <c r="E526" s="15" t="s">
        <v>84</v>
      </c>
      <c r="F526" s="15">
        <v>6</v>
      </c>
      <c r="G526" s="15">
        <v>2</v>
      </c>
      <c r="H526" s="15" t="s">
        <v>84</v>
      </c>
      <c r="I526" s="15" t="s">
        <v>84</v>
      </c>
      <c r="J526" s="15" t="s">
        <v>84</v>
      </c>
      <c r="K526" s="15" t="s">
        <v>84</v>
      </c>
      <c r="L526" s="15" t="s">
        <v>84</v>
      </c>
      <c r="M526" s="15" t="s">
        <v>84</v>
      </c>
    </row>
    <row r="528" spans="1:13" x14ac:dyDescent="0.25">
      <c r="A528" t="s">
        <v>138</v>
      </c>
    </row>
    <row r="529" spans="1:1" x14ac:dyDescent="0.25">
      <c r="A529" t="s">
        <v>139</v>
      </c>
    </row>
    <row r="530" spans="1:1" x14ac:dyDescent="0.25">
      <c r="A530" t="s">
        <v>140</v>
      </c>
    </row>
    <row r="531" spans="1:1" x14ac:dyDescent="0.25">
      <c r="A531" t="s">
        <v>141</v>
      </c>
    </row>
    <row r="534" spans="1:1" x14ac:dyDescent="0.25">
      <c r="A534" t="s">
        <v>142</v>
      </c>
    </row>
    <row r="535" spans="1:1" x14ac:dyDescent="0.25">
      <c r="A535" t="s">
        <v>143</v>
      </c>
    </row>
    <row r="536" spans="1:1" x14ac:dyDescent="0.25">
      <c r="A536" t="s">
        <v>144</v>
      </c>
    </row>
  </sheetData>
  <mergeCells count="115">
    <mergeCell ref="A498:M498"/>
    <mergeCell ref="A507:M507"/>
    <mergeCell ref="A508:M508"/>
    <mergeCell ref="A517:M517"/>
    <mergeCell ref="A518:M518"/>
    <mergeCell ref="A438:M438"/>
    <mergeCell ref="A439:M439"/>
    <mergeCell ref="A447:M447"/>
    <mergeCell ref="A448:M448"/>
    <mergeCell ref="A457:M457"/>
    <mergeCell ref="A458:M458"/>
    <mergeCell ref="A477:M477"/>
    <mergeCell ref="A478:M478"/>
    <mergeCell ref="A487:M487"/>
    <mergeCell ref="A488:M488"/>
    <mergeCell ref="A467:M467"/>
    <mergeCell ref="A468:M468"/>
    <mergeCell ref="A350:M350"/>
    <mergeCell ref="A497:M497"/>
    <mergeCell ref="A418:M418"/>
    <mergeCell ref="A419:M419"/>
    <mergeCell ref="A428:M428"/>
    <mergeCell ref="A429:M429"/>
    <mergeCell ref="A408:M408"/>
    <mergeCell ref="A409:M409"/>
    <mergeCell ref="A359:M359"/>
    <mergeCell ref="A360:M360"/>
    <mergeCell ref="A369:M369"/>
    <mergeCell ref="A370:M370"/>
    <mergeCell ref="A379:M379"/>
    <mergeCell ref="A380:M380"/>
    <mergeCell ref="A389:M389"/>
    <mergeCell ref="A390:M390"/>
    <mergeCell ref="A399:M399"/>
    <mergeCell ref="A400:M400"/>
    <mergeCell ref="A281:M281"/>
    <mergeCell ref="A172:M172"/>
    <mergeCell ref="A181:M181"/>
    <mergeCell ref="A191:M191"/>
    <mergeCell ref="A210:M210"/>
    <mergeCell ref="A220:M220"/>
    <mergeCell ref="A211:M211"/>
    <mergeCell ref="A221:M221"/>
    <mergeCell ref="A230:M230"/>
    <mergeCell ref="A231:M231"/>
    <mergeCell ref="A180:M180"/>
    <mergeCell ref="A190:M190"/>
    <mergeCell ref="A200:M200"/>
    <mergeCell ref="A201:M201"/>
    <mergeCell ref="A320:M320"/>
    <mergeCell ref="A321:M321"/>
    <mergeCell ref="A330:M330"/>
    <mergeCell ref="A331:M331"/>
    <mergeCell ref="A339:M339"/>
    <mergeCell ref="A340:M340"/>
    <mergeCell ref="A349:M349"/>
    <mergeCell ref="A161:M161"/>
    <mergeCell ref="A171:M171"/>
    <mergeCell ref="A300:M300"/>
    <mergeCell ref="A301:M301"/>
    <mergeCell ref="A310:M310"/>
    <mergeCell ref="A311:M311"/>
    <mergeCell ref="A290:M290"/>
    <mergeCell ref="A291:M291"/>
    <mergeCell ref="A240:M240"/>
    <mergeCell ref="A241:M241"/>
    <mergeCell ref="A250:M250"/>
    <mergeCell ref="A251:M251"/>
    <mergeCell ref="A260:M260"/>
    <mergeCell ref="A261:M261"/>
    <mergeCell ref="A270:M270"/>
    <mergeCell ref="A271:M271"/>
    <mergeCell ref="A280:M280"/>
    <mergeCell ref="A142:M142"/>
    <mergeCell ref="A152:M152"/>
    <mergeCell ref="A162:M162"/>
    <mergeCell ref="A151:M151"/>
    <mergeCell ref="A63:M63"/>
    <mergeCell ref="A72:M72"/>
    <mergeCell ref="A73:M73"/>
    <mergeCell ref="A81:M81"/>
    <mergeCell ref="A82:M82"/>
    <mergeCell ref="A91:M91"/>
    <mergeCell ref="A122:M122"/>
    <mergeCell ref="A131:M131"/>
    <mergeCell ref="A141:M141"/>
    <mergeCell ref="A92:M92"/>
    <mergeCell ref="A101:M101"/>
    <mergeCell ref="A102:M102"/>
    <mergeCell ref="A111:M111"/>
    <mergeCell ref="A112:M112"/>
    <mergeCell ref="A121:M121"/>
    <mergeCell ref="A132:M132"/>
    <mergeCell ref="A33:M33"/>
    <mergeCell ref="A42:M42"/>
    <mergeCell ref="A43:M43"/>
    <mergeCell ref="A52:M52"/>
    <mergeCell ref="A53:M53"/>
    <mergeCell ref="A62:M62"/>
    <mergeCell ref="J17:J19"/>
    <mergeCell ref="K17:K19"/>
    <mergeCell ref="L17:L19"/>
    <mergeCell ref="A22:M22"/>
    <mergeCell ref="A23:M23"/>
    <mergeCell ref="A32:M32"/>
    <mergeCell ref="B14:M15"/>
    <mergeCell ref="B16:E16"/>
    <mergeCell ref="F16:I16"/>
    <mergeCell ref="J16:M16"/>
    <mergeCell ref="B17:B19"/>
    <mergeCell ref="C17:C19"/>
    <mergeCell ref="D17:D19"/>
    <mergeCell ref="F17:F19"/>
    <mergeCell ref="G17:G19"/>
    <mergeCell ref="H17:H19"/>
  </mergeCells>
  <pageMargins left="0.7" right="0.7" top="0.78740157499999996" bottom="0.78740157499999996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M541"/>
  <sheetViews>
    <sheetView workbookViewId="0"/>
  </sheetViews>
  <sheetFormatPr baseColWidth="10" defaultRowHeight="15" x14ac:dyDescent="0.25"/>
  <sheetData>
    <row r="1" spans="1:13" x14ac:dyDescent="0.25">
      <c r="A1" s="19" t="s">
        <v>147</v>
      </c>
    </row>
    <row r="3" spans="1:13" x14ac:dyDescent="0.25">
      <c r="A3" s="20" t="s">
        <v>148</v>
      </c>
    </row>
    <row r="4" spans="1:13" x14ac:dyDescent="0.25">
      <c r="A4" s="20" t="s">
        <v>149</v>
      </c>
    </row>
    <row r="6" spans="1:13" x14ac:dyDescent="0.25">
      <c r="A6" s="10" t="s">
        <v>66</v>
      </c>
    </row>
    <row r="8" spans="1:13" x14ac:dyDescent="0.25">
      <c r="A8" t="s">
        <v>67</v>
      </c>
    </row>
    <row r="9" spans="1:13" x14ac:dyDescent="0.25">
      <c r="A9" t="s">
        <v>68</v>
      </c>
    </row>
    <row r="10" spans="1:13" x14ac:dyDescent="0.25">
      <c r="A10" t="s">
        <v>69</v>
      </c>
    </row>
    <row r="12" spans="1:13" x14ac:dyDescent="0.25">
      <c r="A12" t="s">
        <v>150</v>
      </c>
    </row>
    <row r="13" spans="1:13" x14ac:dyDescent="0.25">
      <c r="A13" t="s">
        <v>156</v>
      </c>
    </row>
    <row r="15" spans="1:13" ht="30" x14ac:dyDescent="0.25">
      <c r="A15" s="11" t="s">
        <v>63</v>
      </c>
      <c r="B15" s="213" t="s">
        <v>74</v>
      </c>
      <c r="C15" s="214"/>
      <c r="D15" s="214"/>
      <c r="E15" s="214"/>
      <c r="F15" s="214"/>
      <c r="G15" s="214"/>
      <c r="H15" s="214"/>
      <c r="I15" s="214"/>
      <c r="J15" s="214"/>
      <c r="K15" s="214"/>
      <c r="L15" s="214"/>
      <c r="M15" s="215"/>
    </row>
    <row r="16" spans="1:13" ht="30" x14ac:dyDescent="0.25">
      <c r="A16" s="12" t="s">
        <v>70</v>
      </c>
      <c r="B16" s="216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8"/>
    </row>
    <row r="17" spans="1:13" ht="15" customHeight="1" x14ac:dyDescent="0.25">
      <c r="A17" s="12" t="s">
        <v>71</v>
      </c>
      <c r="B17" s="219" t="s">
        <v>75</v>
      </c>
      <c r="C17" s="220"/>
      <c r="D17" s="220"/>
      <c r="E17" s="221"/>
      <c r="F17" s="219" t="s">
        <v>76</v>
      </c>
      <c r="G17" s="220"/>
      <c r="H17" s="220"/>
      <c r="I17" s="221"/>
      <c r="J17" s="219" t="s">
        <v>77</v>
      </c>
      <c r="K17" s="220"/>
      <c r="L17" s="220"/>
      <c r="M17" s="221"/>
    </row>
    <row r="18" spans="1:13" x14ac:dyDescent="0.25">
      <c r="A18" s="12" t="s">
        <v>72</v>
      </c>
      <c r="B18" s="210" t="s">
        <v>78</v>
      </c>
      <c r="C18" s="210" t="s">
        <v>79</v>
      </c>
      <c r="D18" s="210" t="s">
        <v>80</v>
      </c>
      <c r="E18" s="11" t="s">
        <v>80</v>
      </c>
      <c r="F18" s="210" t="s">
        <v>78</v>
      </c>
      <c r="G18" s="210" t="s">
        <v>79</v>
      </c>
      <c r="H18" s="210" t="s">
        <v>80</v>
      </c>
      <c r="I18" s="11" t="s">
        <v>80</v>
      </c>
      <c r="J18" s="210" t="s">
        <v>78</v>
      </c>
      <c r="K18" s="210" t="s">
        <v>79</v>
      </c>
      <c r="L18" s="210" t="s">
        <v>80</v>
      </c>
      <c r="M18" s="11" t="s">
        <v>80</v>
      </c>
    </row>
    <row r="19" spans="1:13" ht="45" x14ac:dyDescent="0.25">
      <c r="A19" s="12" t="s">
        <v>73</v>
      </c>
      <c r="B19" s="211"/>
      <c r="C19" s="211"/>
      <c r="D19" s="211"/>
      <c r="E19" s="12" t="s">
        <v>79</v>
      </c>
      <c r="F19" s="211"/>
      <c r="G19" s="211"/>
      <c r="H19" s="211"/>
      <c r="I19" s="12" t="s">
        <v>79</v>
      </c>
      <c r="J19" s="211"/>
      <c r="K19" s="211"/>
      <c r="L19" s="211"/>
      <c r="M19" s="12" t="s">
        <v>79</v>
      </c>
    </row>
    <row r="20" spans="1:13" x14ac:dyDescent="0.25">
      <c r="A20" s="12"/>
      <c r="B20" s="212"/>
      <c r="C20" s="212"/>
      <c r="D20" s="212"/>
      <c r="E20" s="13" t="s">
        <v>81</v>
      </c>
      <c r="F20" s="212"/>
      <c r="G20" s="212"/>
      <c r="H20" s="212"/>
      <c r="I20" s="13" t="s">
        <v>81</v>
      </c>
      <c r="J20" s="212"/>
      <c r="K20" s="212"/>
      <c r="L20" s="212"/>
      <c r="M20" s="13" t="s">
        <v>81</v>
      </c>
    </row>
    <row r="21" spans="1:13" x14ac:dyDescent="0.25">
      <c r="A21" s="13"/>
      <c r="B21" s="14">
        <v>1</v>
      </c>
      <c r="C21" s="14">
        <v>2</v>
      </c>
      <c r="D21" s="14">
        <v>3</v>
      </c>
      <c r="E21" s="14">
        <v>4</v>
      </c>
      <c r="F21" s="14">
        <v>5</v>
      </c>
      <c r="G21" s="14">
        <v>6</v>
      </c>
      <c r="H21" s="14">
        <v>7</v>
      </c>
      <c r="I21" s="14">
        <v>8</v>
      </c>
      <c r="J21" s="14">
        <v>9</v>
      </c>
      <c r="K21" s="14">
        <v>10</v>
      </c>
      <c r="L21" s="14">
        <v>11</v>
      </c>
      <c r="M21" s="14">
        <v>12</v>
      </c>
    </row>
    <row r="22" spans="1:13" x14ac:dyDescent="0.25">
      <c r="A22" s="16"/>
      <c r="M22" s="17"/>
    </row>
    <row r="23" spans="1:13" ht="15" customHeight="1" x14ac:dyDescent="0.25">
      <c r="A23" s="207" t="s">
        <v>82</v>
      </c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9"/>
    </row>
    <row r="24" spans="1:13" x14ac:dyDescent="0.25">
      <c r="A24" s="207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9"/>
    </row>
    <row r="25" spans="1:13" x14ac:dyDescent="0.25">
      <c r="A25" s="15" t="s">
        <v>83</v>
      </c>
      <c r="B25" s="27">
        <v>84155</v>
      </c>
      <c r="C25" s="15">
        <v>40807</v>
      </c>
      <c r="D25" s="27">
        <v>5279</v>
      </c>
      <c r="E25" s="15">
        <v>2512</v>
      </c>
      <c r="F25" s="15">
        <v>78590</v>
      </c>
      <c r="G25" s="15">
        <v>38067</v>
      </c>
      <c r="H25" s="15">
        <v>5127</v>
      </c>
      <c r="I25" s="15">
        <v>2446</v>
      </c>
      <c r="J25" s="15">
        <v>5565</v>
      </c>
      <c r="K25" s="15">
        <v>2740</v>
      </c>
      <c r="L25" s="15">
        <v>152</v>
      </c>
      <c r="M25" s="15">
        <v>66</v>
      </c>
    </row>
    <row r="26" spans="1:13" ht="30" x14ac:dyDescent="0.25">
      <c r="A26" s="15" t="s">
        <v>151</v>
      </c>
      <c r="B26" s="15">
        <v>27554</v>
      </c>
      <c r="C26" s="15">
        <v>15092</v>
      </c>
      <c r="D26" s="15">
        <v>681</v>
      </c>
      <c r="E26" s="15">
        <v>363</v>
      </c>
      <c r="F26" s="15">
        <v>24613</v>
      </c>
      <c r="G26" s="15">
        <v>13446</v>
      </c>
      <c r="H26" s="15">
        <v>642</v>
      </c>
      <c r="I26" s="15">
        <v>337</v>
      </c>
      <c r="J26" s="15">
        <v>2941</v>
      </c>
      <c r="K26" s="15">
        <v>1646</v>
      </c>
      <c r="L26" s="15">
        <v>39</v>
      </c>
      <c r="M26" s="15">
        <v>26</v>
      </c>
    </row>
    <row r="27" spans="1:13" ht="60" x14ac:dyDescent="0.25">
      <c r="A27" s="15" t="s">
        <v>152</v>
      </c>
      <c r="B27" s="15">
        <v>1918</v>
      </c>
      <c r="C27" s="15">
        <v>972</v>
      </c>
      <c r="D27" s="15">
        <v>116</v>
      </c>
      <c r="E27" s="15">
        <v>68</v>
      </c>
      <c r="F27" s="15">
        <v>1773</v>
      </c>
      <c r="G27" s="15">
        <v>900</v>
      </c>
      <c r="H27" s="15">
        <v>111</v>
      </c>
      <c r="I27" s="15">
        <v>66</v>
      </c>
      <c r="J27" s="15">
        <v>145</v>
      </c>
      <c r="K27" s="15">
        <v>72</v>
      </c>
      <c r="L27" s="15">
        <v>5</v>
      </c>
      <c r="M27" s="15">
        <v>2</v>
      </c>
    </row>
    <row r="28" spans="1:13" ht="30" x14ac:dyDescent="0.25">
      <c r="A28" s="15" t="s">
        <v>85</v>
      </c>
      <c r="B28" s="15">
        <v>39059</v>
      </c>
      <c r="C28" s="15">
        <v>18632</v>
      </c>
      <c r="D28" s="15">
        <v>2385</v>
      </c>
      <c r="E28" s="15">
        <v>1173</v>
      </c>
      <c r="F28" s="15">
        <v>37492</v>
      </c>
      <c r="G28" s="15">
        <v>17881</v>
      </c>
      <c r="H28" s="15">
        <v>2328</v>
      </c>
      <c r="I28" s="15">
        <v>1144</v>
      </c>
      <c r="J28" s="15">
        <v>1567</v>
      </c>
      <c r="K28" s="15">
        <v>751</v>
      </c>
      <c r="L28" s="15">
        <v>57</v>
      </c>
      <c r="M28" s="15">
        <v>29</v>
      </c>
    </row>
    <row r="29" spans="1:13" ht="30" x14ac:dyDescent="0.25">
      <c r="A29" s="15" t="s">
        <v>86</v>
      </c>
      <c r="B29" s="15">
        <v>11333</v>
      </c>
      <c r="C29" s="15">
        <v>4496</v>
      </c>
      <c r="D29" s="15">
        <v>1237</v>
      </c>
      <c r="E29" s="15">
        <v>551</v>
      </c>
      <c r="F29" s="15">
        <v>10834</v>
      </c>
      <c r="G29" s="15">
        <v>4332</v>
      </c>
      <c r="H29" s="15">
        <v>1217</v>
      </c>
      <c r="I29" s="15">
        <v>549</v>
      </c>
      <c r="J29" s="15">
        <v>499</v>
      </c>
      <c r="K29" s="15">
        <v>164</v>
      </c>
      <c r="L29" s="15">
        <v>20</v>
      </c>
      <c r="M29" s="15">
        <v>2</v>
      </c>
    </row>
    <row r="30" spans="1:13" ht="45" x14ac:dyDescent="0.25">
      <c r="A30" s="15" t="s">
        <v>87</v>
      </c>
      <c r="B30" s="15">
        <v>4291</v>
      </c>
      <c r="C30" s="15">
        <v>1615</v>
      </c>
      <c r="D30" s="15">
        <v>860</v>
      </c>
      <c r="E30" s="15">
        <v>357</v>
      </c>
      <c r="F30" s="15">
        <v>3878</v>
      </c>
      <c r="G30" s="15">
        <v>1508</v>
      </c>
      <c r="H30" s="15">
        <v>829</v>
      </c>
      <c r="I30" s="15">
        <v>350</v>
      </c>
      <c r="J30" s="15">
        <v>413</v>
      </c>
      <c r="K30" s="15">
        <v>107</v>
      </c>
      <c r="L30" s="15">
        <v>31</v>
      </c>
      <c r="M30" s="15">
        <v>7</v>
      </c>
    </row>
    <row r="31" spans="1:13" ht="45" x14ac:dyDescent="0.25">
      <c r="A31" s="15" t="s">
        <v>153</v>
      </c>
      <c r="B31" s="15">
        <v>1116</v>
      </c>
      <c r="C31" s="15">
        <v>434</v>
      </c>
      <c r="D31" s="15">
        <v>149</v>
      </c>
      <c r="E31" s="15">
        <v>73</v>
      </c>
      <c r="F31" s="15">
        <v>1044</v>
      </c>
      <c r="G31" s="15">
        <v>415</v>
      </c>
      <c r="H31" s="15">
        <v>146</v>
      </c>
      <c r="I31" s="15">
        <v>72</v>
      </c>
      <c r="J31" s="15">
        <v>72</v>
      </c>
      <c r="K31" s="15">
        <v>19</v>
      </c>
      <c r="L31" s="15">
        <v>3</v>
      </c>
      <c r="M31" s="15">
        <v>1</v>
      </c>
    </row>
    <row r="32" spans="1:13" ht="60" x14ac:dyDescent="0.25">
      <c r="A32" s="15" t="s">
        <v>154</v>
      </c>
      <c r="B32" s="15">
        <v>664</v>
      </c>
      <c r="C32" s="15">
        <v>272</v>
      </c>
      <c r="D32" s="15">
        <v>49</v>
      </c>
      <c r="E32" s="15">
        <v>19</v>
      </c>
      <c r="F32" s="15">
        <v>552</v>
      </c>
      <c r="G32" s="15">
        <v>233</v>
      </c>
      <c r="H32" s="15">
        <v>45</v>
      </c>
      <c r="I32" s="15">
        <v>16</v>
      </c>
      <c r="J32" s="15">
        <v>112</v>
      </c>
      <c r="K32" s="15">
        <v>39</v>
      </c>
      <c r="L32" s="15">
        <v>4</v>
      </c>
      <c r="M32" s="15">
        <v>3</v>
      </c>
    </row>
    <row r="33" spans="1:13" ht="15" customHeight="1" x14ac:dyDescent="0.25">
      <c r="A33" s="207" t="s">
        <v>88</v>
      </c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9"/>
    </row>
    <row r="34" spans="1:13" x14ac:dyDescent="0.25">
      <c r="A34" s="207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9"/>
    </row>
    <row r="35" spans="1:13" x14ac:dyDescent="0.25">
      <c r="A35" s="15" t="s">
        <v>83</v>
      </c>
      <c r="B35" s="27">
        <v>15861</v>
      </c>
      <c r="C35" s="15">
        <v>7707</v>
      </c>
      <c r="D35" s="27">
        <v>1113</v>
      </c>
      <c r="E35" s="15">
        <v>548</v>
      </c>
      <c r="F35" s="15">
        <v>15050</v>
      </c>
      <c r="G35" s="15">
        <v>7365</v>
      </c>
      <c r="H35" s="15">
        <v>1082</v>
      </c>
      <c r="I35" s="15">
        <v>539</v>
      </c>
      <c r="J35" s="15">
        <v>811</v>
      </c>
      <c r="K35" s="15">
        <v>342</v>
      </c>
      <c r="L35" s="15">
        <v>31</v>
      </c>
      <c r="M35" s="15">
        <v>9</v>
      </c>
    </row>
    <row r="36" spans="1:13" ht="30" x14ac:dyDescent="0.25">
      <c r="A36" s="15" t="s">
        <v>151</v>
      </c>
      <c r="B36" s="15">
        <v>5844</v>
      </c>
      <c r="C36" s="15">
        <v>3234</v>
      </c>
      <c r="D36" s="15">
        <v>146</v>
      </c>
      <c r="E36" s="15">
        <v>77</v>
      </c>
      <c r="F36" s="15">
        <v>5509</v>
      </c>
      <c r="G36" s="15">
        <v>3074</v>
      </c>
      <c r="H36" s="15">
        <v>144</v>
      </c>
      <c r="I36" s="15">
        <v>76</v>
      </c>
      <c r="J36" s="15">
        <v>335</v>
      </c>
      <c r="K36" s="15">
        <v>160</v>
      </c>
      <c r="L36" s="15">
        <v>2</v>
      </c>
      <c r="M36" s="15">
        <v>1</v>
      </c>
    </row>
    <row r="37" spans="1:13" ht="60" x14ac:dyDescent="0.25">
      <c r="A37" s="15" t="s">
        <v>152</v>
      </c>
      <c r="B37" s="15">
        <v>402</v>
      </c>
      <c r="C37" s="15">
        <v>213</v>
      </c>
      <c r="D37" s="15">
        <v>29</v>
      </c>
      <c r="E37" s="15">
        <v>16</v>
      </c>
      <c r="F37" s="15">
        <v>380</v>
      </c>
      <c r="G37" s="15">
        <v>206</v>
      </c>
      <c r="H37" s="15">
        <v>27</v>
      </c>
      <c r="I37" s="15">
        <v>15</v>
      </c>
      <c r="J37" s="15">
        <v>22</v>
      </c>
      <c r="K37" s="15">
        <v>7</v>
      </c>
      <c r="L37" s="15">
        <v>2</v>
      </c>
      <c r="M37" s="15">
        <v>1</v>
      </c>
    </row>
    <row r="38" spans="1:13" ht="30" x14ac:dyDescent="0.25">
      <c r="A38" s="15" t="s">
        <v>85</v>
      </c>
      <c r="B38" s="15">
        <v>6798</v>
      </c>
      <c r="C38" s="15">
        <v>3146</v>
      </c>
      <c r="D38" s="15">
        <v>516</v>
      </c>
      <c r="E38" s="15">
        <v>273</v>
      </c>
      <c r="F38" s="15">
        <v>6480</v>
      </c>
      <c r="G38" s="15">
        <v>3003</v>
      </c>
      <c r="H38" s="15">
        <v>496</v>
      </c>
      <c r="I38" s="15">
        <v>266</v>
      </c>
      <c r="J38" s="15">
        <v>318</v>
      </c>
      <c r="K38" s="15">
        <v>143</v>
      </c>
      <c r="L38" s="15">
        <v>20</v>
      </c>
      <c r="M38" s="15">
        <v>7</v>
      </c>
    </row>
    <row r="39" spans="1:13" ht="30" x14ac:dyDescent="0.25">
      <c r="A39" s="15" t="s">
        <v>86</v>
      </c>
      <c r="B39" s="15">
        <v>2085</v>
      </c>
      <c r="C39" s="15">
        <v>817</v>
      </c>
      <c r="D39" s="15">
        <v>271</v>
      </c>
      <c r="E39" s="15">
        <v>116</v>
      </c>
      <c r="F39" s="15">
        <v>2001</v>
      </c>
      <c r="G39" s="15">
        <v>800</v>
      </c>
      <c r="H39" s="15">
        <v>266</v>
      </c>
      <c r="I39" s="15">
        <v>116</v>
      </c>
      <c r="J39" s="15">
        <v>84</v>
      </c>
      <c r="K39" s="15">
        <v>17</v>
      </c>
      <c r="L39" s="15">
        <v>5</v>
      </c>
      <c r="M39" s="15" t="s">
        <v>84</v>
      </c>
    </row>
    <row r="40" spans="1:13" ht="45" x14ac:dyDescent="0.25">
      <c r="A40" s="15" t="s">
        <v>87</v>
      </c>
      <c r="B40" s="15">
        <v>732</v>
      </c>
      <c r="C40" s="15">
        <v>297</v>
      </c>
      <c r="D40" s="15">
        <v>151</v>
      </c>
      <c r="E40" s="15">
        <v>66</v>
      </c>
      <c r="F40" s="15">
        <v>680</v>
      </c>
      <c r="G40" s="15">
        <v>282</v>
      </c>
      <c r="H40" s="15">
        <v>149</v>
      </c>
      <c r="I40" s="15">
        <v>66</v>
      </c>
      <c r="J40" s="15">
        <v>52</v>
      </c>
      <c r="K40" s="15">
        <v>15</v>
      </c>
      <c r="L40" s="15">
        <v>2</v>
      </c>
      <c r="M40" s="15" t="s">
        <v>84</v>
      </c>
    </row>
    <row r="41" spans="1:13" ht="45" x14ac:dyDescent="0.25">
      <c r="A41" s="15" t="s">
        <v>153</v>
      </c>
      <c r="B41" s="15">
        <v>165</v>
      </c>
      <c r="C41" s="15">
        <v>67</v>
      </c>
      <c r="D41" s="15">
        <v>31</v>
      </c>
      <c r="E41" s="15">
        <v>17</v>
      </c>
      <c r="F41" s="15">
        <v>156</v>
      </c>
      <c r="G41" s="15">
        <v>63</v>
      </c>
      <c r="H41" s="15">
        <v>31</v>
      </c>
      <c r="I41" s="15">
        <v>17</v>
      </c>
      <c r="J41" s="15">
        <v>9</v>
      </c>
      <c r="K41" s="15">
        <v>4</v>
      </c>
      <c r="L41" s="15" t="s">
        <v>84</v>
      </c>
      <c r="M41" s="15" t="s">
        <v>84</v>
      </c>
    </row>
    <row r="42" spans="1:13" ht="60" x14ac:dyDescent="0.25">
      <c r="A42" s="15" t="s">
        <v>154</v>
      </c>
      <c r="B42" s="15">
        <v>123</v>
      </c>
      <c r="C42" s="15">
        <v>46</v>
      </c>
      <c r="D42" s="15">
        <v>13</v>
      </c>
      <c r="E42" s="15">
        <v>3</v>
      </c>
      <c r="F42" s="15">
        <v>123</v>
      </c>
      <c r="G42" s="15">
        <v>46</v>
      </c>
      <c r="H42" s="15">
        <v>13</v>
      </c>
      <c r="I42" s="15">
        <v>3</v>
      </c>
      <c r="J42" s="15" t="s">
        <v>84</v>
      </c>
      <c r="K42" s="15" t="s">
        <v>84</v>
      </c>
      <c r="L42" s="15" t="s">
        <v>84</v>
      </c>
      <c r="M42" s="15" t="s">
        <v>84</v>
      </c>
    </row>
    <row r="43" spans="1:13" ht="15" customHeight="1" x14ac:dyDescent="0.25">
      <c r="A43" s="207" t="s">
        <v>89</v>
      </c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9"/>
    </row>
    <row r="44" spans="1:13" x14ac:dyDescent="0.25">
      <c r="A44" s="207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9"/>
    </row>
    <row r="45" spans="1:13" x14ac:dyDescent="0.25">
      <c r="A45" s="15" t="s">
        <v>83</v>
      </c>
      <c r="B45" s="27">
        <v>2627</v>
      </c>
      <c r="C45" s="15">
        <v>1279</v>
      </c>
      <c r="D45" s="27">
        <v>198</v>
      </c>
      <c r="E45" s="15">
        <v>78</v>
      </c>
      <c r="F45" s="15">
        <v>2471</v>
      </c>
      <c r="G45" s="15">
        <v>1215</v>
      </c>
      <c r="H45" s="15">
        <v>198</v>
      </c>
      <c r="I45" s="15">
        <v>78</v>
      </c>
      <c r="J45" s="15">
        <v>156</v>
      </c>
      <c r="K45" s="15">
        <v>64</v>
      </c>
      <c r="L45" s="15" t="s">
        <v>84</v>
      </c>
      <c r="M45" s="15" t="s">
        <v>84</v>
      </c>
    </row>
    <row r="46" spans="1:13" ht="30" x14ac:dyDescent="0.25">
      <c r="A46" s="15" t="s">
        <v>151</v>
      </c>
      <c r="B46" s="15">
        <v>1235</v>
      </c>
      <c r="C46" s="15">
        <v>662</v>
      </c>
      <c r="D46" s="15">
        <v>31</v>
      </c>
      <c r="E46" s="15">
        <v>12</v>
      </c>
      <c r="F46" s="15">
        <v>1125</v>
      </c>
      <c r="G46" s="15">
        <v>610</v>
      </c>
      <c r="H46" s="15">
        <v>31</v>
      </c>
      <c r="I46" s="15">
        <v>12</v>
      </c>
      <c r="J46" s="15">
        <v>110</v>
      </c>
      <c r="K46" s="15">
        <v>52</v>
      </c>
      <c r="L46" s="15" t="s">
        <v>84</v>
      </c>
      <c r="M46" s="15" t="s">
        <v>84</v>
      </c>
    </row>
    <row r="47" spans="1:13" ht="60" x14ac:dyDescent="0.25">
      <c r="A47" s="15" t="s">
        <v>152</v>
      </c>
      <c r="B47" s="15">
        <v>149</v>
      </c>
      <c r="C47" s="15">
        <v>89</v>
      </c>
      <c r="D47" s="15">
        <v>10</v>
      </c>
      <c r="E47" s="15">
        <v>3</v>
      </c>
      <c r="F47" s="15">
        <v>141</v>
      </c>
      <c r="G47" s="15">
        <v>86</v>
      </c>
      <c r="H47" s="15">
        <v>10</v>
      </c>
      <c r="I47" s="15">
        <v>3</v>
      </c>
      <c r="J47" s="15">
        <v>8</v>
      </c>
      <c r="K47" s="15">
        <v>3</v>
      </c>
      <c r="L47" s="15" t="s">
        <v>84</v>
      </c>
      <c r="M47" s="15" t="s">
        <v>84</v>
      </c>
    </row>
    <row r="48" spans="1:13" ht="30" x14ac:dyDescent="0.25">
      <c r="A48" s="15" t="s">
        <v>85</v>
      </c>
      <c r="B48" s="15">
        <v>803</v>
      </c>
      <c r="C48" s="15">
        <v>353</v>
      </c>
      <c r="D48" s="15">
        <v>82</v>
      </c>
      <c r="E48" s="15">
        <v>34</v>
      </c>
      <c r="F48" s="15">
        <v>773</v>
      </c>
      <c r="G48" s="15">
        <v>345</v>
      </c>
      <c r="H48" s="15">
        <v>82</v>
      </c>
      <c r="I48" s="15">
        <v>34</v>
      </c>
      <c r="J48" s="15">
        <v>30</v>
      </c>
      <c r="K48" s="15">
        <v>8</v>
      </c>
      <c r="L48" s="15" t="s">
        <v>84</v>
      </c>
      <c r="M48" s="15" t="s">
        <v>84</v>
      </c>
    </row>
    <row r="49" spans="1:13" ht="30" x14ac:dyDescent="0.25">
      <c r="A49" s="15" t="s">
        <v>86</v>
      </c>
      <c r="B49" s="15">
        <v>300</v>
      </c>
      <c r="C49" s="15">
        <v>129</v>
      </c>
      <c r="D49" s="15">
        <v>55</v>
      </c>
      <c r="E49" s="15">
        <v>23</v>
      </c>
      <c r="F49" s="15">
        <v>298</v>
      </c>
      <c r="G49" s="15">
        <v>129</v>
      </c>
      <c r="H49" s="15">
        <v>55</v>
      </c>
      <c r="I49" s="15">
        <v>23</v>
      </c>
      <c r="J49" s="15">
        <v>2</v>
      </c>
      <c r="K49" s="15" t="s">
        <v>84</v>
      </c>
      <c r="L49" s="15" t="s">
        <v>84</v>
      </c>
      <c r="M49" s="15" t="s">
        <v>84</v>
      </c>
    </row>
    <row r="50" spans="1:13" ht="45" x14ac:dyDescent="0.25">
      <c r="A50" s="15" t="s">
        <v>87</v>
      </c>
      <c r="B50" s="15">
        <v>140</v>
      </c>
      <c r="C50" s="15">
        <v>46</v>
      </c>
      <c r="D50" s="15">
        <v>20</v>
      </c>
      <c r="E50" s="15">
        <v>6</v>
      </c>
      <c r="F50" s="15">
        <v>134</v>
      </c>
      <c r="G50" s="15">
        <v>45</v>
      </c>
      <c r="H50" s="15">
        <v>20</v>
      </c>
      <c r="I50" s="15">
        <v>6</v>
      </c>
      <c r="J50" s="15">
        <v>6</v>
      </c>
      <c r="K50" s="15">
        <v>1</v>
      </c>
      <c r="L50" s="15" t="s">
        <v>84</v>
      </c>
      <c r="M50" s="15" t="s">
        <v>84</v>
      </c>
    </row>
    <row r="51" spans="1:13" ht="45" x14ac:dyDescent="0.25">
      <c r="A51" s="15" t="s">
        <v>153</v>
      </c>
      <c r="B51" s="15">
        <v>41</v>
      </c>
      <c r="C51" s="15">
        <v>12</v>
      </c>
      <c r="D51" s="15">
        <v>3</v>
      </c>
      <c r="E51" s="15" t="s">
        <v>84</v>
      </c>
      <c r="F51" s="15">
        <v>41</v>
      </c>
      <c r="G51" s="15">
        <v>12</v>
      </c>
      <c r="H51" s="15">
        <v>3</v>
      </c>
      <c r="I51" s="15" t="s">
        <v>84</v>
      </c>
      <c r="J51" s="15" t="s">
        <v>84</v>
      </c>
      <c r="K51" s="15" t="s">
        <v>84</v>
      </c>
      <c r="L51" s="15" t="s">
        <v>84</v>
      </c>
      <c r="M51" s="15" t="s">
        <v>84</v>
      </c>
    </row>
    <row r="52" spans="1:13" ht="60" x14ac:dyDescent="0.25">
      <c r="A52" s="15" t="s">
        <v>154</v>
      </c>
      <c r="B52" s="15">
        <v>21</v>
      </c>
      <c r="C52" s="15">
        <v>3</v>
      </c>
      <c r="D52" s="15">
        <v>3</v>
      </c>
      <c r="E52" s="15" t="s">
        <v>84</v>
      </c>
      <c r="F52" s="15">
        <v>21</v>
      </c>
      <c r="G52" s="15">
        <v>3</v>
      </c>
      <c r="H52" s="15">
        <v>3</v>
      </c>
      <c r="I52" s="15" t="s">
        <v>84</v>
      </c>
      <c r="J52" s="15" t="s">
        <v>84</v>
      </c>
      <c r="K52" s="15" t="s">
        <v>84</v>
      </c>
      <c r="L52" s="15" t="s">
        <v>84</v>
      </c>
      <c r="M52" s="15" t="s">
        <v>84</v>
      </c>
    </row>
    <row r="53" spans="1:13" ht="15" customHeight="1" x14ac:dyDescent="0.25">
      <c r="A53" s="207" t="s">
        <v>90</v>
      </c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9"/>
    </row>
    <row r="54" spans="1:13" x14ac:dyDescent="0.25">
      <c r="A54" s="207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9"/>
    </row>
    <row r="55" spans="1:13" x14ac:dyDescent="0.25">
      <c r="A55" s="15" t="s">
        <v>83</v>
      </c>
      <c r="B55" s="27">
        <v>1009</v>
      </c>
      <c r="C55" s="15">
        <v>462</v>
      </c>
      <c r="D55" s="27">
        <v>185</v>
      </c>
      <c r="E55" s="15">
        <v>90</v>
      </c>
      <c r="F55" s="15">
        <v>1009</v>
      </c>
      <c r="G55" s="15">
        <v>462</v>
      </c>
      <c r="H55" s="15">
        <v>185</v>
      </c>
      <c r="I55" s="15">
        <v>90</v>
      </c>
      <c r="J55" s="15" t="s">
        <v>84</v>
      </c>
      <c r="K55" s="15" t="s">
        <v>84</v>
      </c>
      <c r="L55" s="15" t="s">
        <v>84</v>
      </c>
      <c r="M55" s="15" t="s">
        <v>84</v>
      </c>
    </row>
    <row r="56" spans="1:13" ht="30" x14ac:dyDescent="0.25">
      <c r="A56" s="15" t="s">
        <v>151</v>
      </c>
      <c r="B56" s="15">
        <v>205</v>
      </c>
      <c r="C56" s="15">
        <v>108</v>
      </c>
      <c r="D56" s="15">
        <v>22</v>
      </c>
      <c r="E56" s="15">
        <v>12</v>
      </c>
      <c r="F56" s="15">
        <v>205</v>
      </c>
      <c r="G56" s="15">
        <v>108</v>
      </c>
      <c r="H56" s="15">
        <v>22</v>
      </c>
      <c r="I56" s="15">
        <v>12</v>
      </c>
      <c r="J56" s="15" t="s">
        <v>84</v>
      </c>
      <c r="K56" s="15" t="s">
        <v>84</v>
      </c>
      <c r="L56" s="15" t="s">
        <v>84</v>
      </c>
      <c r="M56" s="15" t="s">
        <v>84</v>
      </c>
    </row>
    <row r="57" spans="1:13" ht="60" x14ac:dyDescent="0.25">
      <c r="A57" s="15" t="s">
        <v>152</v>
      </c>
      <c r="B57" s="15">
        <v>24</v>
      </c>
      <c r="C57" s="15">
        <v>10</v>
      </c>
      <c r="D57" s="15">
        <v>3</v>
      </c>
      <c r="E57" s="15">
        <v>2</v>
      </c>
      <c r="F57" s="15">
        <v>24</v>
      </c>
      <c r="G57" s="15">
        <v>10</v>
      </c>
      <c r="H57" s="15">
        <v>3</v>
      </c>
      <c r="I57" s="15">
        <v>2</v>
      </c>
      <c r="J57" s="15" t="s">
        <v>84</v>
      </c>
      <c r="K57" s="15" t="s">
        <v>84</v>
      </c>
      <c r="L57" s="15" t="s">
        <v>84</v>
      </c>
      <c r="M57" s="15" t="s">
        <v>84</v>
      </c>
    </row>
    <row r="58" spans="1:13" ht="30" x14ac:dyDescent="0.25">
      <c r="A58" s="15" t="s">
        <v>85</v>
      </c>
      <c r="B58" s="15">
        <v>535</v>
      </c>
      <c r="C58" s="15">
        <v>253</v>
      </c>
      <c r="D58" s="15">
        <v>89</v>
      </c>
      <c r="E58" s="15">
        <v>43</v>
      </c>
      <c r="F58" s="15">
        <v>535</v>
      </c>
      <c r="G58" s="15">
        <v>253</v>
      </c>
      <c r="H58" s="15">
        <v>89</v>
      </c>
      <c r="I58" s="15">
        <v>43</v>
      </c>
      <c r="J58" s="15" t="s">
        <v>84</v>
      </c>
      <c r="K58" s="15" t="s">
        <v>84</v>
      </c>
      <c r="L58" s="15" t="s">
        <v>84</v>
      </c>
      <c r="M58" s="15" t="s">
        <v>84</v>
      </c>
    </row>
    <row r="59" spans="1:13" ht="30" x14ac:dyDescent="0.25">
      <c r="A59" s="15" t="s">
        <v>86</v>
      </c>
      <c r="B59" s="15">
        <v>191</v>
      </c>
      <c r="C59" s="15">
        <v>60</v>
      </c>
      <c r="D59" s="15">
        <v>50</v>
      </c>
      <c r="E59" s="15">
        <v>19</v>
      </c>
      <c r="F59" s="15">
        <v>191</v>
      </c>
      <c r="G59" s="15">
        <v>60</v>
      </c>
      <c r="H59" s="15">
        <v>50</v>
      </c>
      <c r="I59" s="15">
        <v>19</v>
      </c>
      <c r="J59" s="15" t="s">
        <v>84</v>
      </c>
      <c r="K59" s="15" t="s">
        <v>84</v>
      </c>
      <c r="L59" s="15" t="s">
        <v>84</v>
      </c>
      <c r="M59" s="15" t="s">
        <v>84</v>
      </c>
    </row>
    <row r="60" spans="1:13" ht="45" x14ac:dyDescent="0.25">
      <c r="A60" s="15" t="s">
        <v>87</v>
      </c>
      <c r="B60" s="15">
        <v>54</v>
      </c>
      <c r="C60" s="15">
        <v>31</v>
      </c>
      <c r="D60" s="15">
        <v>21</v>
      </c>
      <c r="E60" s="15">
        <v>14</v>
      </c>
      <c r="F60" s="15">
        <v>54</v>
      </c>
      <c r="G60" s="15">
        <v>31</v>
      </c>
      <c r="H60" s="15">
        <v>21</v>
      </c>
      <c r="I60" s="15">
        <v>14</v>
      </c>
      <c r="J60" s="15" t="s">
        <v>84</v>
      </c>
      <c r="K60" s="15" t="s">
        <v>84</v>
      </c>
      <c r="L60" s="15" t="s">
        <v>84</v>
      </c>
      <c r="M60" s="15" t="s">
        <v>84</v>
      </c>
    </row>
    <row r="61" spans="1:13" ht="45" x14ac:dyDescent="0.25">
      <c r="A61" s="15" t="s">
        <v>153</v>
      </c>
      <c r="B61" s="15">
        <v>20</v>
      </c>
      <c r="C61" s="15">
        <v>13</v>
      </c>
      <c r="D61" s="15">
        <v>9</v>
      </c>
      <c r="E61" s="15">
        <v>6</v>
      </c>
      <c r="F61" s="15">
        <v>20</v>
      </c>
      <c r="G61" s="15">
        <v>13</v>
      </c>
      <c r="H61" s="15">
        <v>9</v>
      </c>
      <c r="I61" s="15">
        <v>6</v>
      </c>
      <c r="J61" s="15" t="s">
        <v>84</v>
      </c>
      <c r="K61" s="15" t="s">
        <v>84</v>
      </c>
      <c r="L61" s="15" t="s">
        <v>84</v>
      </c>
      <c r="M61" s="15" t="s">
        <v>84</v>
      </c>
    </row>
    <row r="62" spans="1:13" ht="60" x14ac:dyDescent="0.25">
      <c r="A62" s="15" t="s">
        <v>154</v>
      </c>
      <c r="B62" s="15">
        <v>7</v>
      </c>
      <c r="C62" s="15">
        <v>3</v>
      </c>
      <c r="D62" s="15">
        <v>1</v>
      </c>
      <c r="E62" s="15" t="s">
        <v>84</v>
      </c>
      <c r="F62" s="15">
        <v>7</v>
      </c>
      <c r="G62" s="15">
        <v>3</v>
      </c>
      <c r="H62" s="15">
        <v>1</v>
      </c>
      <c r="I62" s="15" t="s">
        <v>84</v>
      </c>
      <c r="J62" s="15" t="s">
        <v>84</v>
      </c>
      <c r="K62" s="15" t="s">
        <v>84</v>
      </c>
      <c r="L62" s="15" t="s">
        <v>84</v>
      </c>
      <c r="M62" s="15" t="s">
        <v>84</v>
      </c>
    </row>
    <row r="63" spans="1:13" ht="15" customHeight="1" x14ac:dyDescent="0.25">
      <c r="A63" s="207" t="s">
        <v>91</v>
      </c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9"/>
    </row>
    <row r="64" spans="1:13" x14ac:dyDescent="0.25">
      <c r="A64" s="207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9"/>
    </row>
    <row r="65" spans="1:13" x14ac:dyDescent="0.25">
      <c r="A65" s="15" t="s">
        <v>83</v>
      </c>
      <c r="B65" s="27">
        <v>1396</v>
      </c>
      <c r="C65" s="15">
        <v>719</v>
      </c>
      <c r="D65" s="27">
        <v>116</v>
      </c>
      <c r="E65" s="15">
        <v>71</v>
      </c>
      <c r="F65" s="15">
        <v>1190</v>
      </c>
      <c r="G65" s="15">
        <v>623</v>
      </c>
      <c r="H65" s="15">
        <v>102</v>
      </c>
      <c r="I65" s="15">
        <v>64</v>
      </c>
      <c r="J65" s="15">
        <v>206</v>
      </c>
      <c r="K65" s="15">
        <v>96</v>
      </c>
      <c r="L65" s="15">
        <v>14</v>
      </c>
      <c r="M65" s="15">
        <v>7</v>
      </c>
    </row>
    <row r="66" spans="1:13" ht="30" x14ac:dyDescent="0.25">
      <c r="A66" s="15" t="s">
        <v>151</v>
      </c>
      <c r="B66" s="15">
        <v>560</v>
      </c>
      <c r="C66" s="15">
        <v>330</v>
      </c>
      <c r="D66" s="15">
        <v>9</v>
      </c>
      <c r="E66" s="15">
        <v>7</v>
      </c>
      <c r="F66" s="15">
        <v>489</v>
      </c>
      <c r="G66" s="15">
        <v>298</v>
      </c>
      <c r="H66" s="15">
        <v>9</v>
      </c>
      <c r="I66" s="15">
        <v>7</v>
      </c>
      <c r="J66" s="15">
        <v>71</v>
      </c>
      <c r="K66" s="15">
        <v>32</v>
      </c>
      <c r="L66" s="15" t="s">
        <v>84</v>
      </c>
      <c r="M66" s="15" t="s">
        <v>84</v>
      </c>
    </row>
    <row r="67" spans="1:13" ht="60" x14ac:dyDescent="0.25">
      <c r="A67" s="15" t="s">
        <v>152</v>
      </c>
      <c r="B67" s="15">
        <v>64</v>
      </c>
      <c r="C67" s="15">
        <v>29</v>
      </c>
      <c r="D67" s="15">
        <v>5</v>
      </c>
      <c r="E67" s="15">
        <v>2</v>
      </c>
      <c r="F67" s="15">
        <v>62</v>
      </c>
      <c r="G67" s="15">
        <v>29</v>
      </c>
      <c r="H67" s="15">
        <v>5</v>
      </c>
      <c r="I67" s="15">
        <v>2</v>
      </c>
      <c r="J67" s="15">
        <v>2</v>
      </c>
      <c r="K67" s="15" t="s">
        <v>84</v>
      </c>
      <c r="L67" s="15" t="s">
        <v>84</v>
      </c>
      <c r="M67" s="15" t="s">
        <v>84</v>
      </c>
    </row>
    <row r="68" spans="1:13" ht="30" x14ac:dyDescent="0.25">
      <c r="A68" s="15" t="s">
        <v>85</v>
      </c>
      <c r="B68" s="15">
        <v>601</v>
      </c>
      <c r="C68" s="15">
        <v>301</v>
      </c>
      <c r="D68" s="15">
        <v>69</v>
      </c>
      <c r="E68" s="15">
        <v>53</v>
      </c>
      <c r="F68" s="15">
        <v>477</v>
      </c>
      <c r="G68" s="15">
        <v>238</v>
      </c>
      <c r="H68" s="15">
        <v>59</v>
      </c>
      <c r="I68" s="15">
        <v>46</v>
      </c>
      <c r="J68" s="15">
        <v>124</v>
      </c>
      <c r="K68" s="15">
        <v>63</v>
      </c>
      <c r="L68" s="15">
        <v>10</v>
      </c>
      <c r="M68" s="15">
        <v>7</v>
      </c>
    </row>
    <row r="69" spans="1:13" ht="30" x14ac:dyDescent="0.25">
      <c r="A69" s="15" t="s">
        <v>86</v>
      </c>
      <c r="B69" s="15">
        <v>123</v>
      </c>
      <c r="C69" s="15">
        <v>42</v>
      </c>
      <c r="D69" s="15">
        <v>22</v>
      </c>
      <c r="E69" s="15">
        <v>8</v>
      </c>
      <c r="F69" s="15">
        <v>115</v>
      </c>
      <c r="G69" s="15">
        <v>41</v>
      </c>
      <c r="H69" s="15">
        <v>19</v>
      </c>
      <c r="I69" s="15">
        <v>8</v>
      </c>
      <c r="J69" s="15">
        <v>8</v>
      </c>
      <c r="K69" s="15">
        <v>1</v>
      </c>
      <c r="L69" s="15">
        <v>3</v>
      </c>
      <c r="M69" s="15" t="s">
        <v>84</v>
      </c>
    </row>
    <row r="70" spans="1:13" ht="45" x14ac:dyDescent="0.25">
      <c r="A70" s="15" t="s">
        <v>87</v>
      </c>
      <c r="B70" s="15">
        <v>48</v>
      </c>
      <c r="C70" s="15">
        <v>17</v>
      </c>
      <c r="D70" s="15">
        <v>11</v>
      </c>
      <c r="E70" s="15">
        <v>1</v>
      </c>
      <c r="F70" s="15">
        <v>47</v>
      </c>
      <c r="G70" s="15">
        <v>17</v>
      </c>
      <c r="H70" s="15">
        <v>10</v>
      </c>
      <c r="I70" s="15">
        <v>1</v>
      </c>
      <c r="J70" s="15">
        <v>1</v>
      </c>
      <c r="K70" s="15" t="s">
        <v>84</v>
      </c>
      <c r="L70" s="15">
        <v>1</v>
      </c>
      <c r="M70" s="15" t="s">
        <v>84</v>
      </c>
    </row>
    <row r="71" spans="1:13" ht="45" x14ac:dyDescent="0.25">
      <c r="A71" s="15" t="s">
        <v>153</v>
      </c>
      <c r="B71" s="15">
        <v>12</v>
      </c>
      <c r="C71" s="15">
        <v>5</v>
      </c>
      <c r="D71" s="15">
        <v>1</v>
      </c>
      <c r="E71" s="15" t="s">
        <v>84</v>
      </c>
      <c r="F71" s="15">
        <v>12</v>
      </c>
      <c r="G71" s="15">
        <v>5</v>
      </c>
      <c r="H71" s="15">
        <v>1</v>
      </c>
      <c r="I71" s="15" t="s">
        <v>84</v>
      </c>
      <c r="J71" s="15" t="s">
        <v>84</v>
      </c>
      <c r="K71" s="15" t="s">
        <v>84</v>
      </c>
      <c r="L71" s="15" t="s">
        <v>84</v>
      </c>
      <c r="M71" s="15" t="s">
        <v>84</v>
      </c>
    </row>
    <row r="72" spans="1:13" ht="60" x14ac:dyDescent="0.25">
      <c r="A72" s="15" t="s">
        <v>154</v>
      </c>
      <c r="B72" s="15">
        <v>14</v>
      </c>
      <c r="C72" s="15">
        <v>6</v>
      </c>
      <c r="D72" s="15">
        <v>1</v>
      </c>
      <c r="E72" s="15" t="s">
        <v>84</v>
      </c>
      <c r="F72" s="15">
        <v>14</v>
      </c>
      <c r="G72" s="15">
        <v>6</v>
      </c>
      <c r="H72" s="15">
        <v>1</v>
      </c>
      <c r="I72" s="15" t="s">
        <v>84</v>
      </c>
      <c r="J72" s="15" t="s">
        <v>84</v>
      </c>
      <c r="K72" s="15" t="s">
        <v>84</v>
      </c>
      <c r="L72" s="15" t="s">
        <v>84</v>
      </c>
      <c r="M72" s="15" t="s">
        <v>84</v>
      </c>
    </row>
    <row r="73" spans="1:13" ht="15" customHeight="1" x14ac:dyDescent="0.25">
      <c r="A73" s="207" t="s">
        <v>92</v>
      </c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9"/>
    </row>
    <row r="74" spans="1:13" x14ac:dyDescent="0.25">
      <c r="A74" s="207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9"/>
    </row>
    <row r="75" spans="1:13" x14ac:dyDescent="0.25">
      <c r="A75" s="15" t="s">
        <v>83</v>
      </c>
      <c r="B75" s="27">
        <v>1630</v>
      </c>
      <c r="C75" s="15">
        <v>806</v>
      </c>
      <c r="D75" s="27">
        <v>58</v>
      </c>
      <c r="E75" s="15">
        <v>37</v>
      </c>
      <c r="F75" s="15">
        <v>1611</v>
      </c>
      <c r="G75" s="15">
        <v>798</v>
      </c>
      <c r="H75" s="15">
        <v>58</v>
      </c>
      <c r="I75" s="15">
        <v>37</v>
      </c>
      <c r="J75" s="15">
        <v>19</v>
      </c>
      <c r="K75" s="15">
        <v>8</v>
      </c>
      <c r="L75" s="15" t="s">
        <v>84</v>
      </c>
      <c r="M75" s="15" t="s">
        <v>84</v>
      </c>
    </row>
    <row r="76" spans="1:13" ht="30" x14ac:dyDescent="0.25">
      <c r="A76" s="15" t="s">
        <v>151</v>
      </c>
      <c r="B76" s="15">
        <v>451</v>
      </c>
      <c r="C76" s="15">
        <v>257</v>
      </c>
      <c r="D76" s="15">
        <v>6</v>
      </c>
      <c r="E76" s="15">
        <v>4</v>
      </c>
      <c r="F76" s="15">
        <v>451</v>
      </c>
      <c r="G76" s="15">
        <v>257</v>
      </c>
      <c r="H76" s="15">
        <v>6</v>
      </c>
      <c r="I76" s="15">
        <v>4</v>
      </c>
      <c r="J76" s="15" t="s">
        <v>84</v>
      </c>
      <c r="K76" s="15" t="s">
        <v>84</v>
      </c>
      <c r="L76" s="15" t="s">
        <v>84</v>
      </c>
      <c r="M76" s="15" t="s">
        <v>84</v>
      </c>
    </row>
    <row r="77" spans="1:13" ht="60" x14ac:dyDescent="0.25">
      <c r="A77" s="15" t="s">
        <v>152</v>
      </c>
      <c r="B77" s="15">
        <v>37</v>
      </c>
      <c r="C77" s="15">
        <v>17</v>
      </c>
      <c r="D77" s="15">
        <v>2</v>
      </c>
      <c r="E77" s="15">
        <v>2</v>
      </c>
      <c r="F77" s="15">
        <v>37</v>
      </c>
      <c r="G77" s="15">
        <v>17</v>
      </c>
      <c r="H77" s="15">
        <v>2</v>
      </c>
      <c r="I77" s="15">
        <v>2</v>
      </c>
      <c r="J77" s="15" t="s">
        <v>84</v>
      </c>
      <c r="K77" s="15" t="s">
        <v>84</v>
      </c>
      <c r="L77" s="15" t="s">
        <v>84</v>
      </c>
      <c r="M77" s="15" t="s">
        <v>84</v>
      </c>
    </row>
    <row r="78" spans="1:13" ht="30" x14ac:dyDescent="0.25">
      <c r="A78" s="15" t="s">
        <v>85</v>
      </c>
      <c r="B78" s="15">
        <v>872</v>
      </c>
      <c r="C78" s="15">
        <v>421</v>
      </c>
      <c r="D78" s="15">
        <v>36</v>
      </c>
      <c r="E78" s="15">
        <v>23</v>
      </c>
      <c r="F78" s="15">
        <v>870</v>
      </c>
      <c r="G78" s="15">
        <v>419</v>
      </c>
      <c r="H78" s="15">
        <v>36</v>
      </c>
      <c r="I78" s="15">
        <v>23</v>
      </c>
      <c r="J78" s="15">
        <v>2</v>
      </c>
      <c r="K78" s="15">
        <v>2</v>
      </c>
      <c r="L78" s="15" t="s">
        <v>84</v>
      </c>
      <c r="M78" s="15" t="s">
        <v>84</v>
      </c>
    </row>
    <row r="79" spans="1:13" ht="30" x14ac:dyDescent="0.25">
      <c r="A79" s="15" t="s">
        <v>86</v>
      </c>
      <c r="B79" s="15">
        <v>192</v>
      </c>
      <c r="C79" s="15">
        <v>83</v>
      </c>
      <c r="D79" s="15">
        <v>9</v>
      </c>
      <c r="E79" s="15">
        <v>5</v>
      </c>
      <c r="F79" s="15">
        <v>184</v>
      </c>
      <c r="G79" s="15">
        <v>80</v>
      </c>
      <c r="H79" s="15">
        <v>9</v>
      </c>
      <c r="I79" s="15">
        <v>5</v>
      </c>
      <c r="J79" s="15">
        <v>8</v>
      </c>
      <c r="K79" s="15">
        <v>3</v>
      </c>
      <c r="L79" s="15" t="s">
        <v>84</v>
      </c>
      <c r="M79" s="15" t="s">
        <v>84</v>
      </c>
    </row>
    <row r="80" spans="1:13" ht="45" x14ac:dyDescent="0.25">
      <c r="A80" s="15" t="s">
        <v>87</v>
      </c>
      <c r="B80" s="15">
        <v>78</v>
      </c>
      <c r="C80" s="15">
        <v>28</v>
      </c>
      <c r="D80" s="15">
        <v>5</v>
      </c>
      <c r="E80" s="15">
        <v>3</v>
      </c>
      <c r="F80" s="15">
        <v>69</v>
      </c>
      <c r="G80" s="15">
        <v>25</v>
      </c>
      <c r="H80" s="15">
        <v>5</v>
      </c>
      <c r="I80" s="15">
        <v>3</v>
      </c>
      <c r="J80" s="15">
        <v>9</v>
      </c>
      <c r="K80" s="15">
        <v>3</v>
      </c>
      <c r="L80" s="15" t="s">
        <v>84</v>
      </c>
      <c r="M80" s="15" t="s">
        <v>84</v>
      </c>
    </row>
    <row r="81" spans="1:13" ht="45" x14ac:dyDescent="0.25">
      <c r="A81" s="15" t="s">
        <v>153</v>
      </c>
      <c r="B81" s="15">
        <v>22</v>
      </c>
      <c r="C81" s="15">
        <v>7</v>
      </c>
      <c r="D81" s="15">
        <v>3</v>
      </c>
      <c r="E81" s="15">
        <v>2</v>
      </c>
      <c r="F81" s="15">
        <v>20</v>
      </c>
      <c r="G81" s="15">
        <v>6</v>
      </c>
      <c r="H81" s="15">
        <v>3</v>
      </c>
      <c r="I81" s="15">
        <v>2</v>
      </c>
      <c r="J81" s="15">
        <v>2</v>
      </c>
      <c r="K81" s="15">
        <v>1</v>
      </c>
      <c r="L81" s="15" t="s">
        <v>84</v>
      </c>
      <c r="M81" s="15" t="s">
        <v>84</v>
      </c>
    </row>
    <row r="82" spans="1:13" ht="15" customHeight="1" x14ac:dyDescent="0.25">
      <c r="A82" s="207" t="s">
        <v>93</v>
      </c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9"/>
    </row>
    <row r="83" spans="1:13" x14ac:dyDescent="0.25">
      <c r="A83" s="207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9"/>
    </row>
    <row r="84" spans="1:13" x14ac:dyDescent="0.25">
      <c r="A84" s="15" t="s">
        <v>83</v>
      </c>
      <c r="B84" s="27">
        <v>1231</v>
      </c>
      <c r="C84" s="15">
        <v>605</v>
      </c>
      <c r="D84" s="27">
        <v>35</v>
      </c>
      <c r="E84" s="15">
        <v>16</v>
      </c>
      <c r="F84" s="15">
        <v>1166</v>
      </c>
      <c r="G84" s="15">
        <v>591</v>
      </c>
      <c r="H84" s="15">
        <v>31</v>
      </c>
      <c r="I84" s="15">
        <v>16</v>
      </c>
      <c r="J84" s="15">
        <v>65</v>
      </c>
      <c r="K84" s="15">
        <v>14</v>
      </c>
      <c r="L84" s="15">
        <v>4</v>
      </c>
      <c r="M84" s="15" t="s">
        <v>84</v>
      </c>
    </row>
    <row r="85" spans="1:13" ht="30" x14ac:dyDescent="0.25">
      <c r="A85" s="15" t="s">
        <v>151</v>
      </c>
      <c r="B85" s="15">
        <v>353</v>
      </c>
      <c r="C85" s="15">
        <v>206</v>
      </c>
      <c r="D85" s="15">
        <v>3</v>
      </c>
      <c r="E85" s="15">
        <v>2</v>
      </c>
      <c r="F85" s="15">
        <v>340</v>
      </c>
      <c r="G85" s="15">
        <v>200</v>
      </c>
      <c r="H85" s="15">
        <v>3</v>
      </c>
      <c r="I85" s="15">
        <v>2</v>
      </c>
      <c r="J85" s="15">
        <v>13</v>
      </c>
      <c r="K85" s="15">
        <v>6</v>
      </c>
      <c r="L85" s="15" t="s">
        <v>84</v>
      </c>
      <c r="M85" s="15" t="s">
        <v>84</v>
      </c>
    </row>
    <row r="86" spans="1:13" ht="60" x14ac:dyDescent="0.25">
      <c r="A86" s="15" t="s">
        <v>152</v>
      </c>
      <c r="B86" s="15">
        <v>14</v>
      </c>
      <c r="C86" s="15">
        <v>5</v>
      </c>
      <c r="D86" s="15" t="s">
        <v>84</v>
      </c>
      <c r="E86" s="15" t="s">
        <v>84</v>
      </c>
      <c r="F86" s="15">
        <v>12</v>
      </c>
      <c r="G86" s="15">
        <v>5</v>
      </c>
      <c r="H86" s="15" t="s">
        <v>84</v>
      </c>
      <c r="I86" s="15" t="s">
        <v>84</v>
      </c>
      <c r="J86" s="15">
        <v>2</v>
      </c>
      <c r="K86" s="15" t="s">
        <v>84</v>
      </c>
      <c r="L86" s="15" t="s">
        <v>84</v>
      </c>
      <c r="M86" s="15" t="s">
        <v>84</v>
      </c>
    </row>
    <row r="87" spans="1:13" ht="30" x14ac:dyDescent="0.25">
      <c r="A87" s="15" t="s">
        <v>85</v>
      </c>
      <c r="B87" s="15">
        <v>603</v>
      </c>
      <c r="C87" s="15">
        <v>287</v>
      </c>
      <c r="D87" s="15">
        <v>15</v>
      </c>
      <c r="E87" s="15">
        <v>5</v>
      </c>
      <c r="F87" s="15">
        <v>578</v>
      </c>
      <c r="G87" s="15">
        <v>282</v>
      </c>
      <c r="H87" s="15">
        <v>13</v>
      </c>
      <c r="I87" s="15">
        <v>5</v>
      </c>
      <c r="J87" s="15">
        <v>25</v>
      </c>
      <c r="K87" s="15">
        <v>5</v>
      </c>
      <c r="L87" s="15">
        <v>2</v>
      </c>
      <c r="M87" s="15" t="s">
        <v>84</v>
      </c>
    </row>
    <row r="88" spans="1:13" ht="30" x14ac:dyDescent="0.25">
      <c r="A88" s="15" t="s">
        <v>86</v>
      </c>
      <c r="B88" s="15">
        <v>196</v>
      </c>
      <c r="C88" s="15">
        <v>82</v>
      </c>
      <c r="D88" s="15">
        <v>11</v>
      </c>
      <c r="E88" s="15">
        <v>4</v>
      </c>
      <c r="F88" s="15">
        <v>178</v>
      </c>
      <c r="G88" s="15">
        <v>80</v>
      </c>
      <c r="H88" s="15">
        <v>9</v>
      </c>
      <c r="I88" s="15">
        <v>4</v>
      </c>
      <c r="J88" s="15">
        <v>18</v>
      </c>
      <c r="K88" s="15">
        <v>2</v>
      </c>
      <c r="L88" s="15">
        <v>2</v>
      </c>
      <c r="M88" s="15" t="s">
        <v>84</v>
      </c>
    </row>
    <row r="89" spans="1:13" ht="45" x14ac:dyDescent="0.25">
      <c r="A89" s="15" t="s">
        <v>87</v>
      </c>
      <c r="B89" s="15">
        <v>65</v>
      </c>
      <c r="C89" s="15">
        <v>25</v>
      </c>
      <c r="D89" s="15">
        <v>6</v>
      </c>
      <c r="E89" s="15">
        <v>5</v>
      </c>
      <c r="F89" s="15">
        <v>58</v>
      </c>
      <c r="G89" s="15">
        <v>24</v>
      </c>
      <c r="H89" s="15">
        <v>6</v>
      </c>
      <c r="I89" s="15">
        <v>5</v>
      </c>
      <c r="J89" s="15">
        <v>7</v>
      </c>
      <c r="K89" s="15">
        <v>1</v>
      </c>
      <c r="L89" s="15" t="s">
        <v>84</v>
      </c>
      <c r="M89" s="15" t="s">
        <v>84</v>
      </c>
    </row>
    <row r="90" spans="1:13" ht="45" x14ac:dyDescent="0.25">
      <c r="A90" s="15" t="s">
        <v>153</v>
      </c>
      <c r="B90" s="15">
        <v>18</v>
      </c>
      <c r="C90" s="15">
        <v>9</v>
      </c>
      <c r="D90" s="15">
        <v>3</v>
      </c>
      <c r="E90" s="15">
        <v>2</v>
      </c>
      <c r="F90" s="15">
        <v>18</v>
      </c>
      <c r="G90" s="15">
        <v>9</v>
      </c>
      <c r="H90" s="15">
        <v>3</v>
      </c>
      <c r="I90" s="15">
        <v>2</v>
      </c>
      <c r="J90" s="15" t="s">
        <v>84</v>
      </c>
      <c r="K90" s="15" t="s">
        <v>84</v>
      </c>
      <c r="L90" s="15" t="s">
        <v>84</v>
      </c>
      <c r="M90" s="15" t="s">
        <v>84</v>
      </c>
    </row>
    <row r="91" spans="1:13" ht="60" x14ac:dyDescent="0.25">
      <c r="A91" s="15" t="s">
        <v>154</v>
      </c>
      <c r="B91" s="15">
        <v>11</v>
      </c>
      <c r="C91" s="15">
        <v>6</v>
      </c>
      <c r="D91" s="15">
        <v>1</v>
      </c>
      <c r="E91" s="15">
        <v>1</v>
      </c>
      <c r="F91" s="15">
        <v>11</v>
      </c>
      <c r="G91" s="15">
        <v>6</v>
      </c>
      <c r="H91" s="15">
        <v>1</v>
      </c>
      <c r="I91" s="15">
        <v>1</v>
      </c>
      <c r="J91" s="15" t="s">
        <v>84</v>
      </c>
      <c r="K91" s="15" t="s">
        <v>84</v>
      </c>
      <c r="L91" s="15" t="s">
        <v>84</v>
      </c>
      <c r="M91" s="15" t="s">
        <v>84</v>
      </c>
    </row>
    <row r="92" spans="1:13" ht="15" customHeight="1" x14ac:dyDescent="0.25">
      <c r="A92" s="207" t="s">
        <v>94</v>
      </c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9"/>
    </row>
    <row r="93" spans="1:13" x14ac:dyDescent="0.25">
      <c r="A93" s="207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9"/>
    </row>
    <row r="94" spans="1:13" x14ac:dyDescent="0.25">
      <c r="A94" s="15" t="s">
        <v>83</v>
      </c>
      <c r="B94" s="27">
        <v>847</v>
      </c>
      <c r="C94" s="15">
        <v>390</v>
      </c>
      <c r="D94" s="27">
        <v>60</v>
      </c>
      <c r="E94" s="15">
        <v>25</v>
      </c>
      <c r="F94" s="15">
        <v>847</v>
      </c>
      <c r="G94" s="15">
        <v>390</v>
      </c>
      <c r="H94" s="15">
        <v>60</v>
      </c>
      <c r="I94" s="15">
        <v>25</v>
      </c>
      <c r="J94" s="15" t="s">
        <v>84</v>
      </c>
      <c r="K94" s="15" t="s">
        <v>84</v>
      </c>
      <c r="L94" s="15" t="s">
        <v>84</v>
      </c>
      <c r="M94" s="15" t="s">
        <v>84</v>
      </c>
    </row>
    <row r="95" spans="1:13" ht="30" x14ac:dyDescent="0.25">
      <c r="A95" s="15" t="s">
        <v>151</v>
      </c>
      <c r="B95" s="15">
        <v>319</v>
      </c>
      <c r="C95" s="15">
        <v>152</v>
      </c>
      <c r="D95" s="15">
        <v>24</v>
      </c>
      <c r="E95" s="15">
        <v>11</v>
      </c>
      <c r="F95" s="15">
        <v>319</v>
      </c>
      <c r="G95" s="15">
        <v>152</v>
      </c>
      <c r="H95" s="15">
        <v>24</v>
      </c>
      <c r="I95" s="15">
        <v>11</v>
      </c>
      <c r="J95" s="15" t="s">
        <v>84</v>
      </c>
      <c r="K95" s="15" t="s">
        <v>84</v>
      </c>
      <c r="L95" s="15" t="s">
        <v>84</v>
      </c>
      <c r="M95" s="15" t="s">
        <v>84</v>
      </c>
    </row>
    <row r="96" spans="1:13" ht="60" x14ac:dyDescent="0.25">
      <c r="A96" s="15" t="s">
        <v>152</v>
      </c>
      <c r="B96" s="15">
        <v>24</v>
      </c>
      <c r="C96" s="15">
        <v>20</v>
      </c>
      <c r="D96" s="15">
        <v>2</v>
      </c>
      <c r="E96" s="15">
        <v>1</v>
      </c>
      <c r="F96" s="15">
        <v>24</v>
      </c>
      <c r="G96" s="15">
        <v>20</v>
      </c>
      <c r="H96" s="15">
        <v>2</v>
      </c>
      <c r="I96" s="15">
        <v>1</v>
      </c>
      <c r="J96" s="15" t="s">
        <v>84</v>
      </c>
      <c r="K96" s="15" t="s">
        <v>84</v>
      </c>
      <c r="L96" s="15" t="s">
        <v>84</v>
      </c>
      <c r="M96" s="15" t="s">
        <v>84</v>
      </c>
    </row>
    <row r="97" spans="1:13" ht="30" x14ac:dyDescent="0.25">
      <c r="A97" s="15" t="s">
        <v>85</v>
      </c>
      <c r="B97" s="15">
        <v>334</v>
      </c>
      <c r="C97" s="15">
        <v>154</v>
      </c>
      <c r="D97" s="15">
        <v>22</v>
      </c>
      <c r="E97" s="15">
        <v>8</v>
      </c>
      <c r="F97" s="15">
        <v>334</v>
      </c>
      <c r="G97" s="15">
        <v>154</v>
      </c>
      <c r="H97" s="15">
        <v>22</v>
      </c>
      <c r="I97" s="15">
        <v>8</v>
      </c>
      <c r="J97" s="15" t="s">
        <v>84</v>
      </c>
      <c r="K97" s="15" t="s">
        <v>84</v>
      </c>
      <c r="L97" s="15" t="s">
        <v>84</v>
      </c>
      <c r="M97" s="15" t="s">
        <v>84</v>
      </c>
    </row>
    <row r="98" spans="1:13" ht="30" x14ac:dyDescent="0.25">
      <c r="A98" s="15" t="s">
        <v>86</v>
      </c>
      <c r="B98" s="15">
        <v>127</v>
      </c>
      <c r="C98" s="15">
        <v>50</v>
      </c>
      <c r="D98" s="15">
        <v>9</v>
      </c>
      <c r="E98" s="15">
        <v>4</v>
      </c>
      <c r="F98" s="15">
        <v>127</v>
      </c>
      <c r="G98" s="15">
        <v>50</v>
      </c>
      <c r="H98" s="15">
        <v>9</v>
      </c>
      <c r="I98" s="15">
        <v>4</v>
      </c>
      <c r="J98" s="15" t="s">
        <v>84</v>
      </c>
      <c r="K98" s="15" t="s">
        <v>84</v>
      </c>
      <c r="L98" s="15" t="s">
        <v>84</v>
      </c>
      <c r="M98" s="15" t="s">
        <v>84</v>
      </c>
    </row>
    <row r="99" spans="1:13" ht="45" x14ac:dyDescent="0.25">
      <c r="A99" s="15" t="s">
        <v>87</v>
      </c>
      <c r="B99" s="15">
        <v>43</v>
      </c>
      <c r="C99" s="15">
        <v>14</v>
      </c>
      <c r="D99" s="15">
        <v>3</v>
      </c>
      <c r="E99" s="15">
        <v>1</v>
      </c>
      <c r="F99" s="15">
        <v>43</v>
      </c>
      <c r="G99" s="15">
        <v>14</v>
      </c>
      <c r="H99" s="15">
        <v>3</v>
      </c>
      <c r="I99" s="15">
        <v>1</v>
      </c>
      <c r="J99" s="15" t="s">
        <v>84</v>
      </c>
      <c r="K99" s="15" t="s">
        <v>84</v>
      </c>
      <c r="L99" s="15" t="s">
        <v>84</v>
      </c>
      <c r="M99" s="15" t="s">
        <v>84</v>
      </c>
    </row>
    <row r="100" spans="1:13" ht="45" x14ac:dyDescent="0.25">
      <c r="A100" s="15" t="s">
        <v>153</v>
      </c>
      <c r="B100" s="15">
        <v>15</v>
      </c>
      <c r="C100" s="15">
        <v>4</v>
      </c>
      <c r="D100" s="15">
        <v>1</v>
      </c>
      <c r="E100" s="15" t="s">
        <v>84</v>
      </c>
      <c r="F100" s="15">
        <v>15</v>
      </c>
      <c r="G100" s="15">
        <v>4</v>
      </c>
      <c r="H100" s="15">
        <v>1</v>
      </c>
      <c r="I100" s="15" t="s">
        <v>84</v>
      </c>
      <c r="J100" s="15" t="s">
        <v>84</v>
      </c>
      <c r="K100" s="15" t="s">
        <v>84</v>
      </c>
      <c r="L100" s="15" t="s">
        <v>84</v>
      </c>
      <c r="M100" s="15" t="s">
        <v>84</v>
      </c>
    </row>
    <row r="101" spans="1:13" ht="60" x14ac:dyDescent="0.25">
      <c r="A101" s="15" t="s">
        <v>154</v>
      </c>
      <c r="B101" s="15">
        <v>10</v>
      </c>
      <c r="C101" s="15">
        <v>3</v>
      </c>
      <c r="D101" s="15">
        <v>1</v>
      </c>
      <c r="E101" s="15">
        <v>1</v>
      </c>
      <c r="F101" s="15">
        <v>10</v>
      </c>
      <c r="G101" s="15">
        <v>3</v>
      </c>
      <c r="H101" s="15">
        <v>1</v>
      </c>
      <c r="I101" s="15">
        <v>1</v>
      </c>
      <c r="J101" s="15" t="s">
        <v>84</v>
      </c>
      <c r="K101" s="15" t="s">
        <v>84</v>
      </c>
      <c r="L101" s="15" t="s">
        <v>84</v>
      </c>
      <c r="M101" s="15" t="s">
        <v>84</v>
      </c>
    </row>
    <row r="102" spans="1:13" ht="15" customHeight="1" x14ac:dyDescent="0.25">
      <c r="A102" s="207" t="s">
        <v>95</v>
      </c>
      <c r="B102" s="208"/>
      <c r="C102" s="208"/>
      <c r="D102" s="208"/>
      <c r="E102" s="208"/>
      <c r="F102" s="208"/>
      <c r="G102" s="208"/>
      <c r="H102" s="208"/>
      <c r="I102" s="208"/>
      <c r="J102" s="208"/>
      <c r="K102" s="208"/>
      <c r="L102" s="208"/>
      <c r="M102" s="209"/>
    </row>
    <row r="103" spans="1:13" x14ac:dyDescent="0.25">
      <c r="A103" s="207"/>
      <c r="B103" s="208"/>
      <c r="C103" s="208"/>
      <c r="D103" s="208"/>
      <c r="E103" s="208"/>
      <c r="F103" s="208"/>
      <c r="G103" s="208"/>
      <c r="H103" s="208"/>
      <c r="I103" s="208"/>
      <c r="J103" s="208"/>
      <c r="K103" s="208"/>
      <c r="L103" s="208"/>
      <c r="M103" s="209"/>
    </row>
    <row r="104" spans="1:13" x14ac:dyDescent="0.25">
      <c r="A104" s="15" t="s">
        <v>83</v>
      </c>
      <c r="B104" s="27">
        <v>1481</v>
      </c>
      <c r="C104" s="15">
        <v>692</v>
      </c>
      <c r="D104" s="27">
        <v>69</v>
      </c>
      <c r="E104" s="15">
        <v>27</v>
      </c>
      <c r="F104" s="15">
        <v>1358</v>
      </c>
      <c r="G104" s="15">
        <v>637</v>
      </c>
      <c r="H104" s="15">
        <v>68</v>
      </c>
      <c r="I104" s="15">
        <v>27</v>
      </c>
      <c r="J104" s="15">
        <v>123</v>
      </c>
      <c r="K104" s="15">
        <v>55</v>
      </c>
      <c r="L104" s="15">
        <v>1</v>
      </c>
      <c r="M104" s="15" t="s">
        <v>84</v>
      </c>
    </row>
    <row r="105" spans="1:13" ht="30" x14ac:dyDescent="0.25">
      <c r="A105" s="15" t="s">
        <v>151</v>
      </c>
      <c r="B105" s="15">
        <v>533</v>
      </c>
      <c r="C105" s="15">
        <v>298</v>
      </c>
      <c r="D105" s="15">
        <v>6</v>
      </c>
      <c r="E105" s="15">
        <v>2</v>
      </c>
      <c r="F105" s="15">
        <v>449</v>
      </c>
      <c r="G105" s="15">
        <v>258</v>
      </c>
      <c r="H105" s="15">
        <v>6</v>
      </c>
      <c r="I105" s="15">
        <v>2</v>
      </c>
      <c r="J105" s="15">
        <v>84</v>
      </c>
      <c r="K105" s="15">
        <v>40</v>
      </c>
      <c r="L105" s="15" t="s">
        <v>84</v>
      </c>
      <c r="M105" s="15" t="s">
        <v>84</v>
      </c>
    </row>
    <row r="106" spans="1:13" ht="60" x14ac:dyDescent="0.25">
      <c r="A106" s="15" t="s">
        <v>152</v>
      </c>
      <c r="B106" s="15">
        <v>16</v>
      </c>
      <c r="C106" s="15">
        <v>5</v>
      </c>
      <c r="D106" s="15" t="s">
        <v>84</v>
      </c>
      <c r="E106" s="15" t="s">
        <v>84</v>
      </c>
      <c r="F106" s="15">
        <v>12</v>
      </c>
      <c r="G106" s="15">
        <v>4</v>
      </c>
      <c r="H106" s="15" t="s">
        <v>84</v>
      </c>
      <c r="I106" s="15" t="s">
        <v>84</v>
      </c>
      <c r="J106" s="15">
        <v>4</v>
      </c>
      <c r="K106" s="15">
        <v>1</v>
      </c>
      <c r="L106" s="15" t="s">
        <v>84</v>
      </c>
      <c r="M106" s="15" t="s">
        <v>84</v>
      </c>
    </row>
    <row r="107" spans="1:13" ht="30" x14ac:dyDescent="0.25">
      <c r="A107" s="15" t="s">
        <v>85</v>
      </c>
      <c r="B107" s="15">
        <v>688</v>
      </c>
      <c r="C107" s="15">
        <v>296</v>
      </c>
      <c r="D107" s="15">
        <v>36</v>
      </c>
      <c r="E107" s="15">
        <v>16</v>
      </c>
      <c r="F107" s="15">
        <v>672</v>
      </c>
      <c r="G107" s="15">
        <v>289</v>
      </c>
      <c r="H107" s="15">
        <v>36</v>
      </c>
      <c r="I107" s="15">
        <v>16</v>
      </c>
      <c r="J107" s="15">
        <v>16</v>
      </c>
      <c r="K107" s="15">
        <v>7</v>
      </c>
      <c r="L107" s="15" t="s">
        <v>84</v>
      </c>
      <c r="M107" s="15" t="s">
        <v>84</v>
      </c>
    </row>
    <row r="108" spans="1:13" ht="30" x14ac:dyDescent="0.25">
      <c r="A108" s="15" t="s">
        <v>86</v>
      </c>
      <c r="B108" s="15">
        <v>182</v>
      </c>
      <c r="C108" s="15">
        <v>66</v>
      </c>
      <c r="D108" s="15">
        <v>10</v>
      </c>
      <c r="E108" s="15">
        <v>4</v>
      </c>
      <c r="F108" s="15">
        <v>172</v>
      </c>
      <c r="G108" s="15">
        <v>63</v>
      </c>
      <c r="H108" s="15">
        <v>10</v>
      </c>
      <c r="I108" s="15">
        <v>4</v>
      </c>
      <c r="J108" s="15">
        <v>10</v>
      </c>
      <c r="K108" s="15">
        <v>3</v>
      </c>
      <c r="L108" s="15" t="s">
        <v>84</v>
      </c>
      <c r="M108" s="15" t="s">
        <v>84</v>
      </c>
    </row>
    <row r="109" spans="1:13" ht="45" x14ac:dyDescent="0.25">
      <c r="A109" s="15" t="s">
        <v>87</v>
      </c>
      <c r="B109" s="15">
        <v>62</v>
      </c>
      <c r="C109" s="15">
        <v>27</v>
      </c>
      <c r="D109" s="15">
        <v>17</v>
      </c>
      <c r="E109" s="15">
        <v>5</v>
      </c>
      <c r="F109" s="15">
        <v>53</v>
      </c>
      <c r="G109" s="15">
        <v>23</v>
      </c>
      <c r="H109" s="15">
        <v>16</v>
      </c>
      <c r="I109" s="15">
        <v>5</v>
      </c>
      <c r="J109" s="15">
        <v>9</v>
      </c>
      <c r="K109" s="15">
        <v>4</v>
      </c>
      <c r="L109" s="15">
        <v>1</v>
      </c>
      <c r="M109" s="15" t="s">
        <v>84</v>
      </c>
    </row>
    <row r="110" spans="1:13" ht="45" x14ac:dyDescent="0.25">
      <c r="A110" s="15" t="s">
        <v>153</v>
      </c>
      <c r="B110" s="15">
        <v>11</v>
      </c>
      <c r="C110" s="15">
        <v>6</v>
      </c>
      <c r="D110" s="15">
        <v>5</v>
      </c>
      <c r="E110" s="15">
        <v>2</v>
      </c>
      <c r="F110" s="15">
        <v>10</v>
      </c>
      <c r="G110" s="15">
        <v>5</v>
      </c>
      <c r="H110" s="15">
        <v>5</v>
      </c>
      <c r="I110" s="15">
        <v>2</v>
      </c>
      <c r="J110" s="15">
        <v>1</v>
      </c>
      <c r="K110" s="15">
        <v>1</v>
      </c>
      <c r="L110" s="15" t="s">
        <v>84</v>
      </c>
      <c r="M110" s="15" t="s">
        <v>84</v>
      </c>
    </row>
    <row r="111" spans="1:13" ht="60" x14ac:dyDescent="0.25">
      <c r="A111" s="15" t="s">
        <v>154</v>
      </c>
      <c r="B111" s="15">
        <v>5</v>
      </c>
      <c r="C111" s="15">
        <v>2</v>
      </c>
      <c r="D111" s="15" t="s">
        <v>84</v>
      </c>
      <c r="E111" s="15" t="s">
        <v>84</v>
      </c>
      <c r="F111" s="15">
        <v>5</v>
      </c>
      <c r="G111" s="15">
        <v>2</v>
      </c>
      <c r="H111" s="15" t="s">
        <v>84</v>
      </c>
      <c r="I111" s="15" t="s">
        <v>84</v>
      </c>
      <c r="J111" s="15" t="s">
        <v>84</v>
      </c>
      <c r="K111" s="15" t="s">
        <v>84</v>
      </c>
      <c r="L111" s="15" t="s">
        <v>84</v>
      </c>
      <c r="M111" s="15" t="s">
        <v>84</v>
      </c>
    </row>
    <row r="112" spans="1:13" ht="15" customHeight="1" x14ac:dyDescent="0.25">
      <c r="A112" s="207" t="s">
        <v>96</v>
      </c>
      <c r="B112" s="208"/>
      <c r="C112" s="208"/>
      <c r="D112" s="208"/>
      <c r="E112" s="208"/>
      <c r="F112" s="208"/>
      <c r="G112" s="208"/>
      <c r="H112" s="208"/>
      <c r="I112" s="208"/>
      <c r="J112" s="208"/>
      <c r="K112" s="208"/>
      <c r="L112" s="208"/>
      <c r="M112" s="209"/>
    </row>
    <row r="113" spans="1:13" x14ac:dyDescent="0.25">
      <c r="A113" s="207"/>
      <c r="B113" s="208"/>
      <c r="C113" s="208"/>
      <c r="D113" s="208"/>
      <c r="E113" s="208"/>
      <c r="F113" s="208"/>
      <c r="G113" s="208"/>
      <c r="H113" s="208"/>
      <c r="I113" s="208"/>
      <c r="J113" s="208"/>
      <c r="K113" s="208"/>
      <c r="L113" s="208"/>
      <c r="M113" s="209"/>
    </row>
    <row r="114" spans="1:13" x14ac:dyDescent="0.25">
      <c r="A114" s="15" t="s">
        <v>83</v>
      </c>
      <c r="B114" s="27">
        <v>1444</v>
      </c>
      <c r="C114" s="15">
        <v>711</v>
      </c>
      <c r="D114" s="27">
        <v>120</v>
      </c>
      <c r="E114" s="15">
        <v>70</v>
      </c>
      <c r="F114" s="15">
        <v>1444</v>
      </c>
      <c r="G114" s="15">
        <v>711</v>
      </c>
      <c r="H114" s="15">
        <v>120</v>
      </c>
      <c r="I114" s="15">
        <v>70</v>
      </c>
      <c r="J114" s="15" t="s">
        <v>84</v>
      </c>
      <c r="K114" s="15" t="s">
        <v>84</v>
      </c>
      <c r="L114" s="15" t="s">
        <v>84</v>
      </c>
      <c r="M114" s="15" t="s">
        <v>84</v>
      </c>
    </row>
    <row r="115" spans="1:13" ht="30" x14ac:dyDescent="0.25">
      <c r="A115" s="15" t="s">
        <v>151</v>
      </c>
      <c r="B115" s="15">
        <v>474</v>
      </c>
      <c r="C115" s="15">
        <v>277</v>
      </c>
      <c r="D115" s="15">
        <v>12</v>
      </c>
      <c r="E115" s="15">
        <v>9</v>
      </c>
      <c r="F115" s="15">
        <v>474</v>
      </c>
      <c r="G115" s="15">
        <v>277</v>
      </c>
      <c r="H115" s="15">
        <v>12</v>
      </c>
      <c r="I115" s="15">
        <v>9</v>
      </c>
      <c r="J115" s="15" t="s">
        <v>84</v>
      </c>
      <c r="K115" s="15" t="s">
        <v>84</v>
      </c>
      <c r="L115" s="15" t="s">
        <v>84</v>
      </c>
      <c r="M115" s="15" t="s">
        <v>84</v>
      </c>
    </row>
    <row r="116" spans="1:13" ht="60" x14ac:dyDescent="0.25">
      <c r="A116" s="15" t="s">
        <v>152</v>
      </c>
      <c r="B116" s="15">
        <v>17</v>
      </c>
      <c r="C116" s="15">
        <v>11</v>
      </c>
      <c r="D116" s="15">
        <v>3</v>
      </c>
      <c r="E116" s="15">
        <v>3</v>
      </c>
      <c r="F116" s="15">
        <v>17</v>
      </c>
      <c r="G116" s="15">
        <v>11</v>
      </c>
      <c r="H116" s="15">
        <v>3</v>
      </c>
      <c r="I116" s="15">
        <v>3</v>
      </c>
      <c r="J116" s="15" t="s">
        <v>84</v>
      </c>
      <c r="K116" s="15" t="s">
        <v>84</v>
      </c>
      <c r="L116" s="15" t="s">
        <v>84</v>
      </c>
      <c r="M116" s="15" t="s">
        <v>84</v>
      </c>
    </row>
    <row r="117" spans="1:13" ht="30" x14ac:dyDescent="0.25">
      <c r="A117" s="15" t="s">
        <v>85</v>
      </c>
      <c r="B117" s="15">
        <v>686</v>
      </c>
      <c r="C117" s="15">
        <v>319</v>
      </c>
      <c r="D117" s="15">
        <v>68</v>
      </c>
      <c r="E117" s="15">
        <v>40</v>
      </c>
      <c r="F117" s="15">
        <v>686</v>
      </c>
      <c r="G117" s="15">
        <v>319</v>
      </c>
      <c r="H117" s="15">
        <v>68</v>
      </c>
      <c r="I117" s="15">
        <v>40</v>
      </c>
      <c r="J117" s="15" t="s">
        <v>84</v>
      </c>
      <c r="K117" s="15" t="s">
        <v>84</v>
      </c>
      <c r="L117" s="15" t="s">
        <v>84</v>
      </c>
      <c r="M117" s="15" t="s">
        <v>84</v>
      </c>
    </row>
    <row r="118" spans="1:13" ht="30" x14ac:dyDescent="0.25">
      <c r="A118" s="15" t="s">
        <v>86</v>
      </c>
      <c r="B118" s="15">
        <v>214</v>
      </c>
      <c r="C118" s="15">
        <v>76</v>
      </c>
      <c r="D118" s="15">
        <v>24</v>
      </c>
      <c r="E118" s="15">
        <v>9</v>
      </c>
      <c r="F118" s="15">
        <v>214</v>
      </c>
      <c r="G118" s="15">
        <v>76</v>
      </c>
      <c r="H118" s="15">
        <v>24</v>
      </c>
      <c r="I118" s="15">
        <v>9</v>
      </c>
      <c r="J118" s="15" t="s">
        <v>84</v>
      </c>
      <c r="K118" s="15" t="s">
        <v>84</v>
      </c>
      <c r="L118" s="15" t="s">
        <v>84</v>
      </c>
      <c r="M118" s="15" t="s">
        <v>84</v>
      </c>
    </row>
    <row r="119" spans="1:13" ht="45" x14ac:dyDescent="0.25">
      <c r="A119" s="15" t="s">
        <v>87</v>
      </c>
      <c r="B119" s="15">
        <v>53</v>
      </c>
      <c r="C119" s="15">
        <v>28</v>
      </c>
      <c r="D119" s="15">
        <v>13</v>
      </c>
      <c r="E119" s="15">
        <v>9</v>
      </c>
      <c r="F119" s="15">
        <v>53</v>
      </c>
      <c r="G119" s="15">
        <v>28</v>
      </c>
      <c r="H119" s="15">
        <v>13</v>
      </c>
      <c r="I119" s="15">
        <v>9</v>
      </c>
      <c r="J119" s="15" t="s">
        <v>84</v>
      </c>
      <c r="K119" s="15" t="s">
        <v>84</v>
      </c>
      <c r="L119" s="15" t="s">
        <v>84</v>
      </c>
      <c r="M119" s="15" t="s">
        <v>84</v>
      </c>
    </row>
    <row r="120" spans="1:13" ht="45" x14ac:dyDescent="0.25">
      <c r="A120" s="15" t="s">
        <v>153</v>
      </c>
      <c r="B120" s="15">
        <v>6</v>
      </c>
      <c r="C120" s="15">
        <v>3</v>
      </c>
      <c r="D120" s="15">
        <v>3</v>
      </c>
      <c r="E120" s="15">
        <v>3</v>
      </c>
      <c r="F120" s="15">
        <v>6</v>
      </c>
      <c r="G120" s="15">
        <v>3</v>
      </c>
      <c r="H120" s="15">
        <v>3</v>
      </c>
      <c r="I120" s="15">
        <v>3</v>
      </c>
      <c r="J120" s="15" t="s">
        <v>84</v>
      </c>
      <c r="K120" s="15" t="s">
        <v>84</v>
      </c>
      <c r="L120" s="15" t="s">
        <v>84</v>
      </c>
      <c r="M120" s="15" t="s">
        <v>84</v>
      </c>
    </row>
    <row r="121" spans="1:13" ht="60" x14ac:dyDescent="0.25">
      <c r="A121" s="15" t="s">
        <v>154</v>
      </c>
      <c r="B121" s="15">
        <v>14</v>
      </c>
      <c r="C121" s="15">
        <v>4</v>
      </c>
      <c r="D121" s="15">
        <v>2</v>
      </c>
      <c r="E121" s="15">
        <v>1</v>
      </c>
      <c r="F121" s="15">
        <v>14</v>
      </c>
      <c r="G121" s="15">
        <v>4</v>
      </c>
      <c r="H121" s="15">
        <v>2</v>
      </c>
      <c r="I121" s="15">
        <v>1</v>
      </c>
      <c r="J121" s="15" t="s">
        <v>84</v>
      </c>
      <c r="K121" s="15" t="s">
        <v>84</v>
      </c>
      <c r="L121" s="15" t="s">
        <v>84</v>
      </c>
      <c r="M121" s="15" t="s">
        <v>84</v>
      </c>
    </row>
    <row r="122" spans="1:13" ht="15" customHeight="1" x14ac:dyDescent="0.25">
      <c r="A122" s="207" t="s">
        <v>97</v>
      </c>
      <c r="B122" s="208"/>
      <c r="C122" s="208"/>
      <c r="D122" s="208"/>
      <c r="E122" s="208"/>
      <c r="F122" s="208"/>
      <c r="G122" s="208"/>
      <c r="H122" s="208"/>
      <c r="I122" s="208"/>
      <c r="J122" s="208"/>
      <c r="K122" s="208"/>
      <c r="L122" s="208"/>
      <c r="M122" s="209"/>
    </row>
    <row r="123" spans="1:13" x14ac:dyDescent="0.25">
      <c r="A123" s="207"/>
      <c r="B123" s="208"/>
      <c r="C123" s="208"/>
      <c r="D123" s="208"/>
      <c r="E123" s="208"/>
      <c r="F123" s="208"/>
      <c r="G123" s="208"/>
      <c r="H123" s="208"/>
      <c r="I123" s="208"/>
      <c r="J123" s="208"/>
      <c r="K123" s="208"/>
      <c r="L123" s="208"/>
      <c r="M123" s="209"/>
    </row>
    <row r="124" spans="1:13" x14ac:dyDescent="0.25">
      <c r="A124" s="15" t="s">
        <v>83</v>
      </c>
      <c r="B124" s="27">
        <v>1062</v>
      </c>
      <c r="C124" s="15">
        <v>521</v>
      </c>
      <c r="D124" s="27">
        <v>70</v>
      </c>
      <c r="E124" s="15">
        <v>28</v>
      </c>
      <c r="F124" s="15">
        <v>1047</v>
      </c>
      <c r="G124" s="15">
        <v>516</v>
      </c>
      <c r="H124" s="15">
        <v>70</v>
      </c>
      <c r="I124" s="15">
        <v>28</v>
      </c>
      <c r="J124" s="15">
        <v>15</v>
      </c>
      <c r="K124" s="15">
        <v>5</v>
      </c>
      <c r="L124" s="15" t="s">
        <v>84</v>
      </c>
      <c r="M124" s="15" t="s">
        <v>84</v>
      </c>
    </row>
    <row r="125" spans="1:13" ht="30" x14ac:dyDescent="0.25">
      <c r="A125" s="15" t="s">
        <v>151</v>
      </c>
      <c r="B125" s="15">
        <v>341</v>
      </c>
      <c r="C125" s="15">
        <v>193</v>
      </c>
      <c r="D125" s="15">
        <v>8</v>
      </c>
      <c r="E125" s="15">
        <v>3</v>
      </c>
      <c r="F125" s="15">
        <v>341</v>
      </c>
      <c r="G125" s="15">
        <v>193</v>
      </c>
      <c r="H125" s="15">
        <v>8</v>
      </c>
      <c r="I125" s="15">
        <v>3</v>
      </c>
      <c r="J125" s="15" t="s">
        <v>84</v>
      </c>
      <c r="K125" s="15" t="s">
        <v>84</v>
      </c>
      <c r="L125" s="15" t="s">
        <v>84</v>
      </c>
      <c r="M125" s="15" t="s">
        <v>84</v>
      </c>
    </row>
    <row r="126" spans="1:13" ht="60" x14ac:dyDescent="0.25">
      <c r="A126" s="15" t="s">
        <v>152</v>
      </c>
      <c r="B126" s="15">
        <v>11</v>
      </c>
      <c r="C126" s="15">
        <v>9</v>
      </c>
      <c r="D126" s="15" t="s">
        <v>84</v>
      </c>
      <c r="E126" s="15" t="s">
        <v>84</v>
      </c>
      <c r="F126" s="15">
        <v>11</v>
      </c>
      <c r="G126" s="15">
        <v>9</v>
      </c>
      <c r="H126" s="15" t="s">
        <v>84</v>
      </c>
      <c r="I126" s="15" t="s">
        <v>84</v>
      </c>
      <c r="J126" s="15" t="s">
        <v>84</v>
      </c>
      <c r="K126" s="15" t="s">
        <v>84</v>
      </c>
      <c r="L126" s="15" t="s">
        <v>84</v>
      </c>
      <c r="M126" s="15" t="s">
        <v>84</v>
      </c>
    </row>
    <row r="127" spans="1:13" ht="30" x14ac:dyDescent="0.25">
      <c r="A127" s="15" t="s">
        <v>85</v>
      </c>
      <c r="B127" s="15">
        <v>521</v>
      </c>
      <c r="C127" s="15">
        <v>236</v>
      </c>
      <c r="D127" s="15">
        <v>32</v>
      </c>
      <c r="E127" s="15">
        <v>13</v>
      </c>
      <c r="F127" s="15">
        <v>518</v>
      </c>
      <c r="G127" s="15">
        <v>235</v>
      </c>
      <c r="H127" s="15">
        <v>32</v>
      </c>
      <c r="I127" s="15">
        <v>13</v>
      </c>
      <c r="J127" s="15">
        <v>3</v>
      </c>
      <c r="K127" s="15">
        <v>1</v>
      </c>
      <c r="L127" s="15" t="s">
        <v>84</v>
      </c>
      <c r="M127" s="15" t="s">
        <v>84</v>
      </c>
    </row>
    <row r="128" spans="1:13" ht="30" x14ac:dyDescent="0.25">
      <c r="A128" s="15" t="s">
        <v>86</v>
      </c>
      <c r="B128" s="15">
        <v>144</v>
      </c>
      <c r="C128" s="15">
        <v>64</v>
      </c>
      <c r="D128" s="15">
        <v>19</v>
      </c>
      <c r="E128" s="15">
        <v>9</v>
      </c>
      <c r="F128" s="15">
        <v>139</v>
      </c>
      <c r="G128" s="15">
        <v>63</v>
      </c>
      <c r="H128" s="15">
        <v>19</v>
      </c>
      <c r="I128" s="15">
        <v>9</v>
      </c>
      <c r="J128" s="15">
        <v>5</v>
      </c>
      <c r="K128" s="15">
        <v>1</v>
      </c>
      <c r="L128" s="15" t="s">
        <v>84</v>
      </c>
      <c r="M128" s="15" t="s">
        <v>84</v>
      </c>
    </row>
    <row r="129" spans="1:13" ht="45" x14ac:dyDescent="0.25">
      <c r="A129" s="15" t="s">
        <v>87</v>
      </c>
      <c r="B129" s="15">
        <v>45</v>
      </c>
      <c r="C129" s="15">
        <v>19</v>
      </c>
      <c r="D129" s="15">
        <v>11</v>
      </c>
      <c r="E129" s="15">
        <v>3</v>
      </c>
      <c r="F129" s="15">
        <v>38</v>
      </c>
      <c r="G129" s="15">
        <v>16</v>
      </c>
      <c r="H129" s="15">
        <v>11</v>
      </c>
      <c r="I129" s="15">
        <v>3</v>
      </c>
      <c r="J129" s="15">
        <v>7</v>
      </c>
      <c r="K129" s="15">
        <v>3</v>
      </c>
      <c r="L129" s="15" t="s">
        <v>84</v>
      </c>
      <c r="M129" s="15" t="s">
        <v>84</v>
      </c>
    </row>
    <row r="130" spans="1:13" ht="45" x14ac:dyDescent="0.25">
      <c r="A130" s="15" t="s">
        <v>153</v>
      </c>
      <c r="B130" s="15">
        <v>1</v>
      </c>
      <c r="C130" s="15">
        <v>1</v>
      </c>
      <c r="D130" s="15" t="s">
        <v>84</v>
      </c>
      <c r="E130" s="15" t="s">
        <v>84</v>
      </c>
      <c r="F130" s="15" t="s">
        <v>84</v>
      </c>
      <c r="G130" s="15" t="s">
        <v>84</v>
      </c>
      <c r="H130" s="15" t="s">
        <v>84</v>
      </c>
      <c r="I130" s="15" t="s">
        <v>84</v>
      </c>
      <c r="J130" s="15">
        <v>1</v>
      </c>
      <c r="K130" s="15">
        <v>1</v>
      </c>
      <c r="L130" s="15" t="s">
        <v>84</v>
      </c>
      <c r="M130" s="15" t="s">
        <v>84</v>
      </c>
    </row>
    <row r="131" spans="1:13" ht="60" x14ac:dyDescent="0.25">
      <c r="A131" s="15" t="s">
        <v>154</v>
      </c>
      <c r="B131" s="15">
        <v>12</v>
      </c>
      <c r="C131" s="15">
        <v>5</v>
      </c>
      <c r="D131" s="15" t="s">
        <v>84</v>
      </c>
      <c r="E131" s="15" t="s">
        <v>84</v>
      </c>
      <c r="F131" s="15">
        <v>12</v>
      </c>
      <c r="G131" s="15">
        <v>5</v>
      </c>
      <c r="H131" s="15" t="s">
        <v>84</v>
      </c>
      <c r="I131" s="15" t="s">
        <v>84</v>
      </c>
      <c r="J131" s="15" t="s">
        <v>84</v>
      </c>
      <c r="K131" s="15" t="s">
        <v>84</v>
      </c>
      <c r="L131" s="15" t="s">
        <v>84</v>
      </c>
      <c r="M131" s="15" t="s">
        <v>84</v>
      </c>
    </row>
    <row r="132" spans="1:13" ht="15" customHeight="1" x14ac:dyDescent="0.25">
      <c r="A132" s="207" t="s">
        <v>98</v>
      </c>
      <c r="B132" s="208"/>
      <c r="C132" s="208"/>
      <c r="D132" s="208"/>
      <c r="E132" s="208"/>
      <c r="F132" s="208"/>
      <c r="G132" s="208"/>
      <c r="H132" s="208"/>
      <c r="I132" s="208"/>
      <c r="J132" s="208"/>
      <c r="K132" s="208"/>
      <c r="L132" s="208"/>
      <c r="M132" s="209"/>
    </row>
    <row r="133" spans="1:13" x14ac:dyDescent="0.25">
      <c r="A133" s="207"/>
      <c r="B133" s="208"/>
      <c r="C133" s="208"/>
      <c r="D133" s="208"/>
      <c r="E133" s="208"/>
      <c r="F133" s="208"/>
      <c r="G133" s="208"/>
      <c r="H133" s="208"/>
      <c r="I133" s="208"/>
      <c r="J133" s="208"/>
      <c r="K133" s="208"/>
      <c r="L133" s="208"/>
      <c r="M133" s="209"/>
    </row>
    <row r="134" spans="1:13" x14ac:dyDescent="0.25">
      <c r="A134" s="15" t="s">
        <v>83</v>
      </c>
      <c r="B134" s="27">
        <v>3134</v>
      </c>
      <c r="C134" s="15">
        <v>1522</v>
      </c>
      <c r="D134" s="27">
        <v>202</v>
      </c>
      <c r="E134" s="15">
        <v>106</v>
      </c>
      <c r="F134" s="15">
        <v>2907</v>
      </c>
      <c r="G134" s="15">
        <v>1422</v>
      </c>
      <c r="H134" s="15">
        <v>190</v>
      </c>
      <c r="I134" s="15">
        <v>104</v>
      </c>
      <c r="J134" s="15">
        <v>227</v>
      </c>
      <c r="K134" s="15">
        <v>100</v>
      </c>
      <c r="L134" s="15">
        <v>12</v>
      </c>
      <c r="M134" s="15">
        <v>2</v>
      </c>
    </row>
    <row r="135" spans="1:13" ht="30" x14ac:dyDescent="0.25">
      <c r="A135" s="15" t="s">
        <v>151</v>
      </c>
      <c r="B135" s="15">
        <v>1373</v>
      </c>
      <c r="C135" s="15">
        <v>751</v>
      </c>
      <c r="D135" s="15">
        <v>25</v>
      </c>
      <c r="E135" s="15">
        <v>15</v>
      </c>
      <c r="F135" s="15">
        <v>1316</v>
      </c>
      <c r="G135" s="15">
        <v>721</v>
      </c>
      <c r="H135" s="15">
        <v>23</v>
      </c>
      <c r="I135" s="15">
        <v>14</v>
      </c>
      <c r="J135" s="15">
        <v>57</v>
      </c>
      <c r="K135" s="15">
        <v>30</v>
      </c>
      <c r="L135" s="15">
        <v>2</v>
      </c>
      <c r="M135" s="15">
        <v>1</v>
      </c>
    </row>
    <row r="136" spans="1:13" ht="60" x14ac:dyDescent="0.25">
      <c r="A136" s="15" t="s">
        <v>152</v>
      </c>
      <c r="B136" s="15">
        <v>46</v>
      </c>
      <c r="C136" s="15">
        <v>18</v>
      </c>
      <c r="D136" s="15">
        <v>4</v>
      </c>
      <c r="E136" s="15">
        <v>3</v>
      </c>
      <c r="F136" s="15">
        <v>40</v>
      </c>
      <c r="G136" s="15">
        <v>15</v>
      </c>
      <c r="H136" s="15">
        <v>2</v>
      </c>
      <c r="I136" s="15">
        <v>2</v>
      </c>
      <c r="J136" s="15">
        <v>6</v>
      </c>
      <c r="K136" s="15">
        <v>3</v>
      </c>
      <c r="L136" s="15">
        <v>2</v>
      </c>
      <c r="M136" s="15">
        <v>1</v>
      </c>
    </row>
    <row r="137" spans="1:13" ht="30" x14ac:dyDescent="0.25">
      <c r="A137" s="15" t="s">
        <v>85</v>
      </c>
      <c r="B137" s="15">
        <v>1155</v>
      </c>
      <c r="C137" s="15">
        <v>526</v>
      </c>
      <c r="D137" s="15">
        <v>67</v>
      </c>
      <c r="E137" s="15">
        <v>38</v>
      </c>
      <c r="F137" s="15">
        <v>1037</v>
      </c>
      <c r="G137" s="15">
        <v>469</v>
      </c>
      <c r="H137" s="15">
        <v>59</v>
      </c>
      <c r="I137" s="15">
        <v>38</v>
      </c>
      <c r="J137" s="15">
        <v>118</v>
      </c>
      <c r="K137" s="15">
        <v>57</v>
      </c>
      <c r="L137" s="15">
        <v>8</v>
      </c>
      <c r="M137" s="15" t="s">
        <v>84</v>
      </c>
    </row>
    <row r="138" spans="1:13" ht="30" x14ac:dyDescent="0.25">
      <c r="A138" s="15" t="s">
        <v>86</v>
      </c>
      <c r="B138" s="15">
        <v>416</v>
      </c>
      <c r="C138" s="15">
        <v>165</v>
      </c>
      <c r="D138" s="15">
        <v>62</v>
      </c>
      <c r="E138" s="15">
        <v>31</v>
      </c>
      <c r="F138" s="15">
        <v>383</v>
      </c>
      <c r="G138" s="15">
        <v>158</v>
      </c>
      <c r="H138" s="15">
        <v>62</v>
      </c>
      <c r="I138" s="15">
        <v>31</v>
      </c>
      <c r="J138" s="15">
        <v>33</v>
      </c>
      <c r="K138" s="15">
        <v>7</v>
      </c>
      <c r="L138" s="15" t="s">
        <v>84</v>
      </c>
      <c r="M138" s="15" t="s">
        <v>84</v>
      </c>
    </row>
    <row r="139" spans="1:13" ht="45" x14ac:dyDescent="0.25">
      <c r="A139" s="15" t="s">
        <v>87</v>
      </c>
      <c r="B139" s="15">
        <v>144</v>
      </c>
      <c r="C139" s="15">
        <v>62</v>
      </c>
      <c r="D139" s="15">
        <v>44</v>
      </c>
      <c r="E139" s="15">
        <v>19</v>
      </c>
      <c r="F139" s="15">
        <v>131</v>
      </c>
      <c r="G139" s="15">
        <v>59</v>
      </c>
      <c r="H139" s="15">
        <v>44</v>
      </c>
      <c r="I139" s="15">
        <v>19</v>
      </c>
      <c r="J139" s="15">
        <v>13</v>
      </c>
      <c r="K139" s="15">
        <v>3</v>
      </c>
      <c r="L139" s="15" t="s">
        <v>84</v>
      </c>
      <c r="M139" s="15" t="s">
        <v>84</v>
      </c>
    </row>
    <row r="140" spans="1:13" ht="45" x14ac:dyDescent="0.25">
      <c r="A140" s="15" t="s">
        <v>153</v>
      </c>
      <c r="B140" s="15">
        <v>19</v>
      </c>
      <c r="C140" s="15">
        <v>7</v>
      </c>
      <c r="D140" s="15">
        <v>3</v>
      </c>
      <c r="E140" s="15">
        <v>2</v>
      </c>
      <c r="F140" s="15">
        <v>14</v>
      </c>
      <c r="G140" s="15">
        <v>6</v>
      </c>
      <c r="H140" s="15">
        <v>3</v>
      </c>
      <c r="I140" s="15">
        <v>2</v>
      </c>
      <c r="J140" s="15">
        <v>5</v>
      </c>
      <c r="K140" s="15">
        <v>1</v>
      </c>
      <c r="L140" s="15" t="s">
        <v>84</v>
      </c>
      <c r="M140" s="15" t="s">
        <v>84</v>
      </c>
    </row>
    <row r="141" spans="1:13" ht="60" x14ac:dyDescent="0.25">
      <c r="A141" s="15" t="s">
        <v>154</v>
      </c>
      <c r="B141" s="15">
        <v>29</v>
      </c>
      <c r="C141" s="15">
        <v>14</v>
      </c>
      <c r="D141" s="15">
        <v>4</v>
      </c>
      <c r="E141" s="15" t="s">
        <v>84</v>
      </c>
      <c r="F141" s="15">
        <v>29</v>
      </c>
      <c r="G141" s="15">
        <v>14</v>
      </c>
      <c r="H141" s="15">
        <v>4</v>
      </c>
      <c r="I141" s="15" t="s">
        <v>84</v>
      </c>
      <c r="J141" s="15" t="s">
        <v>84</v>
      </c>
      <c r="K141" s="15" t="s">
        <v>84</v>
      </c>
      <c r="L141" s="15" t="s">
        <v>84</v>
      </c>
      <c r="M141" s="15" t="s">
        <v>84</v>
      </c>
    </row>
    <row r="142" spans="1:13" ht="15" customHeight="1" x14ac:dyDescent="0.25">
      <c r="A142" s="207" t="s">
        <v>99</v>
      </c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M142" s="209"/>
    </row>
    <row r="143" spans="1:13" x14ac:dyDescent="0.25">
      <c r="A143" s="207"/>
      <c r="B143" s="208"/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M143" s="209"/>
    </row>
    <row r="144" spans="1:13" x14ac:dyDescent="0.25">
      <c r="A144" s="15" t="s">
        <v>83</v>
      </c>
      <c r="B144" s="27">
        <v>21466</v>
      </c>
      <c r="C144" s="15">
        <v>10379</v>
      </c>
      <c r="D144" s="27">
        <v>1897</v>
      </c>
      <c r="E144" s="15">
        <v>886</v>
      </c>
      <c r="F144" s="15">
        <v>19850</v>
      </c>
      <c r="G144" s="15">
        <v>9569</v>
      </c>
      <c r="H144" s="15">
        <v>1820</v>
      </c>
      <c r="I144" s="15">
        <v>849</v>
      </c>
      <c r="J144" s="15">
        <v>1616</v>
      </c>
      <c r="K144" s="15">
        <v>810</v>
      </c>
      <c r="L144" s="15">
        <v>77</v>
      </c>
      <c r="M144" s="15">
        <v>37</v>
      </c>
    </row>
    <row r="145" spans="1:13" ht="30" x14ac:dyDescent="0.25">
      <c r="A145" s="15" t="s">
        <v>151</v>
      </c>
      <c r="B145" s="15">
        <v>8016</v>
      </c>
      <c r="C145" s="15">
        <v>4297</v>
      </c>
      <c r="D145" s="15">
        <v>343</v>
      </c>
      <c r="E145" s="15">
        <v>179</v>
      </c>
      <c r="F145" s="15">
        <v>7280</v>
      </c>
      <c r="G145" s="15">
        <v>3891</v>
      </c>
      <c r="H145" s="15">
        <v>323</v>
      </c>
      <c r="I145" s="15">
        <v>168</v>
      </c>
      <c r="J145" s="15">
        <v>736</v>
      </c>
      <c r="K145" s="15">
        <v>406</v>
      </c>
      <c r="L145" s="15">
        <v>20</v>
      </c>
      <c r="M145" s="15">
        <v>11</v>
      </c>
    </row>
    <row r="146" spans="1:13" ht="60" x14ac:dyDescent="0.25">
      <c r="A146" s="15" t="s">
        <v>152</v>
      </c>
      <c r="B146" s="15">
        <v>570</v>
      </c>
      <c r="C146" s="15">
        <v>271</v>
      </c>
      <c r="D146" s="15">
        <v>45</v>
      </c>
      <c r="E146" s="15">
        <v>24</v>
      </c>
      <c r="F146" s="15">
        <v>533</v>
      </c>
      <c r="G146" s="15">
        <v>254</v>
      </c>
      <c r="H146" s="15">
        <v>43</v>
      </c>
      <c r="I146" s="15">
        <v>24</v>
      </c>
      <c r="J146" s="15">
        <v>37</v>
      </c>
      <c r="K146" s="15">
        <v>17</v>
      </c>
      <c r="L146" s="15">
        <v>2</v>
      </c>
      <c r="M146" s="15" t="s">
        <v>84</v>
      </c>
    </row>
    <row r="147" spans="1:13" ht="30" x14ac:dyDescent="0.25">
      <c r="A147" s="15" t="s">
        <v>85</v>
      </c>
      <c r="B147" s="15">
        <v>9088</v>
      </c>
      <c r="C147" s="15">
        <v>4281</v>
      </c>
      <c r="D147" s="15">
        <v>823</v>
      </c>
      <c r="E147" s="15">
        <v>378</v>
      </c>
      <c r="F147" s="15">
        <v>8461</v>
      </c>
      <c r="G147" s="15">
        <v>3974</v>
      </c>
      <c r="H147" s="15">
        <v>788</v>
      </c>
      <c r="I147" s="15">
        <v>357</v>
      </c>
      <c r="J147" s="15">
        <v>627</v>
      </c>
      <c r="K147" s="15">
        <v>307</v>
      </c>
      <c r="L147" s="15">
        <v>35</v>
      </c>
      <c r="M147" s="15">
        <v>21</v>
      </c>
    </row>
    <row r="148" spans="1:13" ht="30" x14ac:dyDescent="0.25">
      <c r="A148" s="15" t="s">
        <v>86</v>
      </c>
      <c r="B148" s="15">
        <v>2776</v>
      </c>
      <c r="C148" s="15">
        <v>1141</v>
      </c>
      <c r="D148" s="15">
        <v>428</v>
      </c>
      <c r="E148" s="15">
        <v>197</v>
      </c>
      <c r="F148" s="15">
        <v>2643</v>
      </c>
      <c r="G148" s="15">
        <v>1088</v>
      </c>
      <c r="H148" s="15">
        <v>417</v>
      </c>
      <c r="I148" s="15">
        <v>195</v>
      </c>
      <c r="J148" s="15">
        <v>133</v>
      </c>
      <c r="K148" s="15">
        <v>53</v>
      </c>
      <c r="L148" s="15">
        <v>11</v>
      </c>
      <c r="M148" s="15">
        <v>2</v>
      </c>
    </row>
    <row r="149" spans="1:13" ht="45" x14ac:dyDescent="0.25">
      <c r="A149" s="15" t="s">
        <v>87</v>
      </c>
      <c r="B149" s="15">
        <v>1016</v>
      </c>
      <c r="C149" s="15">
        <v>389</v>
      </c>
      <c r="D149" s="15">
        <v>258</v>
      </c>
      <c r="E149" s="15">
        <v>108</v>
      </c>
      <c r="F149" s="15">
        <v>933</v>
      </c>
      <c r="G149" s="15">
        <v>362</v>
      </c>
      <c r="H149" s="15">
        <v>249</v>
      </c>
      <c r="I149" s="15">
        <v>105</v>
      </c>
      <c r="J149" s="15">
        <v>83</v>
      </c>
      <c r="K149" s="15">
        <v>27</v>
      </c>
      <c r="L149" s="15">
        <v>9</v>
      </c>
      <c r="M149" s="15">
        <v>3</v>
      </c>
    </row>
    <row r="150" spans="1:13" ht="45" x14ac:dyDescent="0.25">
      <c r="A150" s="15" t="s">
        <v>153</v>
      </c>
      <c r="B150" s="15">
        <v>174</v>
      </c>
      <c r="C150" s="15">
        <v>77</v>
      </c>
      <c r="D150" s="15">
        <v>43</v>
      </c>
      <c r="E150" s="15">
        <v>22</v>
      </c>
      <c r="F150" s="15">
        <v>164</v>
      </c>
      <c r="G150" s="15">
        <v>75</v>
      </c>
      <c r="H150" s="15">
        <v>41</v>
      </c>
      <c r="I150" s="15">
        <v>22</v>
      </c>
      <c r="J150" s="15">
        <v>10</v>
      </c>
      <c r="K150" s="15">
        <v>2</v>
      </c>
      <c r="L150" s="15">
        <v>2</v>
      </c>
      <c r="M150" s="15" t="s">
        <v>84</v>
      </c>
    </row>
    <row r="151" spans="1:13" ht="60" x14ac:dyDescent="0.25">
      <c r="A151" s="15" t="s">
        <v>154</v>
      </c>
      <c r="B151" s="15">
        <v>166</v>
      </c>
      <c r="C151" s="15">
        <v>66</v>
      </c>
      <c r="D151" s="15">
        <v>18</v>
      </c>
      <c r="E151" s="15">
        <v>7</v>
      </c>
      <c r="F151" s="15">
        <v>134</v>
      </c>
      <c r="G151" s="15">
        <v>54</v>
      </c>
      <c r="H151" s="15">
        <v>14</v>
      </c>
      <c r="I151" s="15">
        <v>4</v>
      </c>
      <c r="J151" s="15">
        <v>32</v>
      </c>
      <c r="K151" s="15">
        <v>12</v>
      </c>
      <c r="L151" s="15">
        <v>4</v>
      </c>
      <c r="M151" s="15">
        <v>3</v>
      </c>
    </row>
    <row r="152" spans="1:13" ht="15" customHeight="1" x14ac:dyDescent="0.25">
      <c r="A152" s="207" t="s">
        <v>100</v>
      </c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M152" s="209"/>
    </row>
    <row r="153" spans="1:13" x14ac:dyDescent="0.25">
      <c r="A153" s="207"/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M153" s="209"/>
    </row>
    <row r="154" spans="1:13" x14ac:dyDescent="0.25">
      <c r="A154" s="15" t="s">
        <v>83</v>
      </c>
      <c r="B154" s="27">
        <v>11010</v>
      </c>
      <c r="C154" s="15">
        <v>5289</v>
      </c>
      <c r="D154" s="27">
        <v>1252</v>
      </c>
      <c r="E154" s="15">
        <v>600</v>
      </c>
      <c r="F154" s="15">
        <v>10360</v>
      </c>
      <c r="G154" s="15">
        <v>4979</v>
      </c>
      <c r="H154" s="15">
        <v>1201</v>
      </c>
      <c r="I154" s="15">
        <v>570</v>
      </c>
      <c r="J154" s="15">
        <v>650</v>
      </c>
      <c r="K154" s="15">
        <v>310</v>
      </c>
      <c r="L154" s="15">
        <v>51</v>
      </c>
      <c r="M154" s="15">
        <v>30</v>
      </c>
    </row>
    <row r="155" spans="1:13" ht="30" x14ac:dyDescent="0.25">
      <c r="A155" s="15" t="s">
        <v>151</v>
      </c>
      <c r="B155" s="15">
        <v>4507</v>
      </c>
      <c r="C155" s="15">
        <v>2392</v>
      </c>
      <c r="D155" s="15">
        <v>252</v>
      </c>
      <c r="E155" s="15">
        <v>135</v>
      </c>
      <c r="F155" s="15">
        <v>4291</v>
      </c>
      <c r="G155" s="15">
        <v>2280</v>
      </c>
      <c r="H155" s="15">
        <v>243</v>
      </c>
      <c r="I155" s="15">
        <v>129</v>
      </c>
      <c r="J155" s="15">
        <v>216</v>
      </c>
      <c r="K155" s="15">
        <v>112</v>
      </c>
      <c r="L155" s="15">
        <v>9</v>
      </c>
      <c r="M155" s="15">
        <v>6</v>
      </c>
    </row>
    <row r="156" spans="1:13" ht="60" x14ac:dyDescent="0.25">
      <c r="A156" s="15" t="s">
        <v>152</v>
      </c>
      <c r="B156" s="15">
        <v>341</v>
      </c>
      <c r="C156" s="15">
        <v>169</v>
      </c>
      <c r="D156" s="15">
        <v>37</v>
      </c>
      <c r="E156" s="15">
        <v>21</v>
      </c>
      <c r="F156" s="15">
        <v>328</v>
      </c>
      <c r="G156" s="15">
        <v>164</v>
      </c>
      <c r="H156" s="15">
        <v>37</v>
      </c>
      <c r="I156" s="15">
        <v>21</v>
      </c>
      <c r="J156" s="15">
        <v>13</v>
      </c>
      <c r="K156" s="15">
        <v>5</v>
      </c>
      <c r="L156" s="15" t="s">
        <v>84</v>
      </c>
      <c r="M156" s="15" t="s">
        <v>84</v>
      </c>
    </row>
    <row r="157" spans="1:13" ht="30" x14ac:dyDescent="0.25">
      <c r="A157" s="15" t="s">
        <v>85</v>
      </c>
      <c r="B157" s="15">
        <v>4260</v>
      </c>
      <c r="C157" s="15">
        <v>1977</v>
      </c>
      <c r="D157" s="15">
        <v>527</v>
      </c>
      <c r="E157" s="15">
        <v>250</v>
      </c>
      <c r="F157" s="15">
        <v>3956</v>
      </c>
      <c r="G157" s="15">
        <v>1825</v>
      </c>
      <c r="H157" s="15">
        <v>494</v>
      </c>
      <c r="I157" s="15">
        <v>229</v>
      </c>
      <c r="J157" s="15">
        <v>304</v>
      </c>
      <c r="K157" s="15">
        <v>152</v>
      </c>
      <c r="L157" s="15">
        <v>33</v>
      </c>
      <c r="M157" s="15">
        <v>21</v>
      </c>
    </row>
    <row r="158" spans="1:13" ht="30" x14ac:dyDescent="0.25">
      <c r="A158" s="15" t="s">
        <v>86</v>
      </c>
      <c r="B158" s="15">
        <v>1355</v>
      </c>
      <c r="C158" s="15">
        <v>530</v>
      </c>
      <c r="D158" s="15">
        <v>263</v>
      </c>
      <c r="E158" s="15">
        <v>115</v>
      </c>
      <c r="F158" s="15">
        <v>1276</v>
      </c>
      <c r="G158" s="15">
        <v>498</v>
      </c>
      <c r="H158" s="15">
        <v>257</v>
      </c>
      <c r="I158" s="15">
        <v>113</v>
      </c>
      <c r="J158" s="15">
        <v>79</v>
      </c>
      <c r="K158" s="15">
        <v>32</v>
      </c>
      <c r="L158" s="15">
        <v>6</v>
      </c>
      <c r="M158" s="15">
        <v>2</v>
      </c>
    </row>
    <row r="159" spans="1:13" ht="45" x14ac:dyDescent="0.25">
      <c r="A159" s="15" t="s">
        <v>87</v>
      </c>
      <c r="B159" s="15">
        <v>547</v>
      </c>
      <c r="C159" s="15">
        <v>221</v>
      </c>
      <c r="D159" s="15">
        <v>173</v>
      </c>
      <c r="E159" s="15">
        <v>79</v>
      </c>
      <c r="F159" s="15">
        <v>509</v>
      </c>
      <c r="G159" s="15">
        <v>212</v>
      </c>
      <c r="H159" s="15">
        <v>170</v>
      </c>
      <c r="I159" s="15">
        <v>78</v>
      </c>
      <c r="J159" s="15">
        <v>38</v>
      </c>
      <c r="K159" s="15">
        <v>9</v>
      </c>
      <c r="L159" s="15">
        <v>3</v>
      </c>
      <c r="M159" s="15">
        <v>1</v>
      </c>
    </row>
    <row r="160" spans="1:13" ht="45" x14ac:dyDescent="0.25">
      <c r="A160" s="15" t="s">
        <v>153</v>
      </c>
      <c r="B160" s="15">
        <v>75</v>
      </c>
      <c r="C160" s="15">
        <v>35</v>
      </c>
      <c r="D160" s="15">
        <v>20</v>
      </c>
      <c r="E160" s="15">
        <v>12</v>
      </c>
      <c r="F160" s="15">
        <v>68</v>
      </c>
      <c r="G160" s="15">
        <v>34</v>
      </c>
      <c r="H160" s="15">
        <v>19</v>
      </c>
      <c r="I160" s="15">
        <v>12</v>
      </c>
      <c r="J160" s="15">
        <v>7</v>
      </c>
      <c r="K160" s="15">
        <v>1</v>
      </c>
      <c r="L160" s="15">
        <v>1</v>
      </c>
      <c r="M160" s="15" t="s">
        <v>84</v>
      </c>
    </row>
    <row r="161" spans="1:13" ht="60" x14ac:dyDescent="0.25">
      <c r="A161" s="15" t="s">
        <v>154</v>
      </c>
      <c r="B161" s="15">
        <v>73</v>
      </c>
      <c r="C161" s="15">
        <v>30</v>
      </c>
      <c r="D161" s="15">
        <v>10</v>
      </c>
      <c r="E161" s="15">
        <v>4</v>
      </c>
      <c r="F161" s="15">
        <v>66</v>
      </c>
      <c r="G161" s="15">
        <v>28</v>
      </c>
      <c r="H161" s="15">
        <v>9</v>
      </c>
      <c r="I161" s="15">
        <v>3</v>
      </c>
      <c r="J161" s="15">
        <v>7</v>
      </c>
      <c r="K161" s="15">
        <v>2</v>
      </c>
      <c r="L161" s="15">
        <v>1</v>
      </c>
      <c r="M161" s="15">
        <v>1</v>
      </c>
    </row>
    <row r="162" spans="1:13" ht="15" customHeight="1" x14ac:dyDescent="0.25">
      <c r="A162" s="207" t="s">
        <v>101</v>
      </c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M162" s="209"/>
    </row>
    <row r="163" spans="1:13" x14ac:dyDescent="0.25">
      <c r="A163" s="207"/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M163" s="209"/>
    </row>
    <row r="164" spans="1:13" x14ac:dyDescent="0.25">
      <c r="A164" s="15" t="s">
        <v>83</v>
      </c>
      <c r="B164" s="27">
        <v>4523</v>
      </c>
      <c r="C164" s="15">
        <v>2201</v>
      </c>
      <c r="D164" s="27">
        <v>706</v>
      </c>
      <c r="E164" s="15">
        <v>349</v>
      </c>
      <c r="F164" s="15">
        <v>3982</v>
      </c>
      <c r="G164" s="15">
        <v>1940</v>
      </c>
      <c r="H164" s="15">
        <v>663</v>
      </c>
      <c r="I164" s="15">
        <v>324</v>
      </c>
      <c r="J164" s="15">
        <v>541</v>
      </c>
      <c r="K164" s="15">
        <v>261</v>
      </c>
      <c r="L164" s="15">
        <v>43</v>
      </c>
      <c r="M164" s="15">
        <v>25</v>
      </c>
    </row>
    <row r="165" spans="1:13" ht="30" x14ac:dyDescent="0.25">
      <c r="A165" s="15" t="s">
        <v>151</v>
      </c>
      <c r="B165" s="15">
        <v>2132</v>
      </c>
      <c r="C165" s="15">
        <v>1138</v>
      </c>
      <c r="D165" s="15">
        <v>180</v>
      </c>
      <c r="E165" s="15">
        <v>103</v>
      </c>
      <c r="F165" s="15">
        <v>1916</v>
      </c>
      <c r="G165" s="15">
        <v>1026</v>
      </c>
      <c r="H165" s="15">
        <v>171</v>
      </c>
      <c r="I165" s="15">
        <v>97</v>
      </c>
      <c r="J165" s="15">
        <v>216</v>
      </c>
      <c r="K165" s="15">
        <v>112</v>
      </c>
      <c r="L165" s="15">
        <v>9</v>
      </c>
      <c r="M165" s="15">
        <v>6</v>
      </c>
    </row>
    <row r="166" spans="1:13" ht="60" x14ac:dyDescent="0.25">
      <c r="A166" s="15" t="s">
        <v>152</v>
      </c>
      <c r="B166" s="15">
        <v>136</v>
      </c>
      <c r="C166" s="15">
        <v>66</v>
      </c>
      <c r="D166" s="15">
        <v>26</v>
      </c>
      <c r="E166" s="15">
        <v>13</v>
      </c>
      <c r="F166" s="15">
        <v>123</v>
      </c>
      <c r="G166" s="15">
        <v>61</v>
      </c>
      <c r="H166" s="15">
        <v>26</v>
      </c>
      <c r="I166" s="15">
        <v>13</v>
      </c>
      <c r="J166" s="15">
        <v>13</v>
      </c>
      <c r="K166" s="15">
        <v>5</v>
      </c>
      <c r="L166" s="15" t="s">
        <v>84</v>
      </c>
      <c r="M166" s="15" t="s">
        <v>84</v>
      </c>
    </row>
    <row r="167" spans="1:13" ht="30" x14ac:dyDescent="0.25">
      <c r="A167" s="15" t="s">
        <v>85</v>
      </c>
      <c r="B167" s="15">
        <v>1384</v>
      </c>
      <c r="C167" s="15">
        <v>638</v>
      </c>
      <c r="D167" s="15">
        <v>260</v>
      </c>
      <c r="E167" s="15">
        <v>124</v>
      </c>
      <c r="F167" s="15">
        <v>1158</v>
      </c>
      <c r="G167" s="15">
        <v>523</v>
      </c>
      <c r="H167" s="15">
        <v>234</v>
      </c>
      <c r="I167" s="15">
        <v>107</v>
      </c>
      <c r="J167" s="15">
        <v>226</v>
      </c>
      <c r="K167" s="15">
        <v>115</v>
      </c>
      <c r="L167" s="15">
        <v>26</v>
      </c>
      <c r="M167" s="15">
        <v>17</v>
      </c>
    </row>
    <row r="168" spans="1:13" ht="30" x14ac:dyDescent="0.25">
      <c r="A168" s="15" t="s">
        <v>86</v>
      </c>
      <c r="B168" s="15">
        <v>603</v>
      </c>
      <c r="C168" s="15">
        <v>251</v>
      </c>
      <c r="D168" s="15">
        <v>135</v>
      </c>
      <c r="E168" s="15">
        <v>58</v>
      </c>
      <c r="F168" s="15">
        <v>544</v>
      </c>
      <c r="G168" s="15">
        <v>228</v>
      </c>
      <c r="H168" s="15">
        <v>129</v>
      </c>
      <c r="I168" s="15">
        <v>56</v>
      </c>
      <c r="J168" s="15">
        <v>59</v>
      </c>
      <c r="K168" s="15">
        <v>23</v>
      </c>
      <c r="L168" s="15">
        <v>6</v>
      </c>
      <c r="M168" s="15">
        <v>2</v>
      </c>
    </row>
    <row r="169" spans="1:13" ht="45" x14ac:dyDescent="0.25">
      <c r="A169" s="15" t="s">
        <v>87</v>
      </c>
      <c r="B169" s="15">
        <v>268</v>
      </c>
      <c r="C169" s="15">
        <v>108</v>
      </c>
      <c r="D169" s="15">
        <v>105</v>
      </c>
      <c r="E169" s="15">
        <v>51</v>
      </c>
      <c r="F169" s="15">
        <v>241</v>
      </c>
      <c r="G169" s="15">
        <v>102</v>
      </c>
      <c r="H169" s="15">
        <v>103</v>
      </c>
      <c r="I169" s="15">
        <v>51</v>
      </c>
      <c r="J169" s="15">
        <v>27</v>
      </c>
      <c r="K169" s="15">
        <v>6</v>
      </c>
      <c r="L169" s="15">
        <v>2</v>
      </c>
      <c r="M169" s="15" t="s">
        <v>84</v>
      </c>
    </row>
    <row r="170" spans="1:13" ht="45" x14ac:dyDescent="0.25">
      <c r="A170" s="15" t="s">
        <v>153</v>
      </c>
      <c r="B170" s="15">
        <v>27</v>
      </c>
      <c r="C170" s="15">
        <v>15</v>
      </c>
      <c r="D170" s="15">
        <v>11</v>
      </c>
      <c r="E170" s="15">
        <v>7</v>
      </c>
      <c r="F170" s="15">
        <v>21</v>
      </c>
      <c r="G170" s="15">
        <v>14</v>
      </c>
      <c r="H170" s="15">
        <v>10</v>
      </c>
      <c r="I170" s="15">
        <v>7</v>
      </c>
      <c r="J170" s="15">
        <v>6</v>
      </c>
      <c r="K170" s="15">
        <v>1</v>
      </c>
      <c r="L170" s="15">
        <v>1</v>
      </c>
      <c r="M170" s="15" t="s">
        <v>84</v>
      </c>
    </row>
    <row r="171" spans="1:13" ht="60" x14ac:dyDescent="0.25">
      <c r="A171" s="15" t="s">
        <v>154</v>
      </c>
      <c r="B171" s="15">
        <v>21</v>
      </c>
      <c r="C171" s="15">
        <v>8</v>
      </c>
      <c r="D171" s="15">
        <v>7</v>
      </c>
      <c r="E171" s="15">
        <v>2</v>
      </c>
      <c r="F171" s="15">
        <v>21</v>
      </c>
      <c r="G171" s="15">
        <v>8</v>
      </c>
      <c r="H171" s="15">
        <v>7</v>
      </c>
      <c r="I171" s="15">
        <v>2</v>
      </c>
      <c r="J171" s="15" t="s">
        <v>84</v>
      </c>
      <c r="K171" s="15" t="s">
        <v>84</v>
      </c>
      <c r="L171" s="15" t="s">
        <v>84</v>
      </c>
      <c r="M171" s="15" t="s">
        <v>84</v>
      </c>
    </row>
    <row r="172" spans="1:13" ht="15" customHeight="1" x14ac:dyDescent="0.25">
      <c r="A172" s="207" t="s">
        <v>102</v>
      </c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M172" s="209"/>
    </row>
    <row r="173" spans="1:13" x14ac:dyDescent="0.25">
      <c r="A173" s="207"/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M173" s="209"/>
    </row>
    <row r="174" spans="1:13" x14ac:dyDescent="0.25">
      <c r="A174" s="15" t="s">
        <v>83</v>
      </c>
      <c r="B174" s="27">
        <v>2469</v>
      </c>
      <c r="C174" s="15">
        <v>1183</v>
      </c>
      <c r="D174" s="27">
        <v>138</v>
      </c>
      <c r="E174" s="15">
        <v>61</v>
      </c>
      <c r="F174" s="15">
        <v>2299</v>
      </c>
      <c r="G174" s="15">
        <v>1100</v>
      </c>
      <c r="H174" s="15">
        <v>135</v>
      </c>
      <c r="I174" s="15">
        <v>61</v>
      </c>
      <c r="J174" s="15">
        <v>170</v>
      </c>
      <c r="K174" s="15">
        <v>83</v>
      </c>
      <c r="L174" s="15">
        <v>3</v>
      </c>
      <c r="M174" s="15" t="s">
        <v>84</v>
      </c>
    </row>
    <row r="175" spans="1:13" ht="30" x14ac:dyDescent="0.25">
      <c r="A175" s="15" t="s">
        <v>151</v>
      </c>
      <c r="B175" s="15">
        <v>771</v>
      </c>
      <c r="C175" s="15">
        <v>428</v>
      </c>
      <c r="D175" s="15">
        <v>14</v>
      </c>
      <c r="E175" s="15">
        <v>4</v>
      </c>
      <c r="F175" s="15">
        <v>682</v>
      </c>
      <c r="G175" s="15">
        <v>378</v>
      </c>
      <c r="H175" s="15">
        <v>14</v>
      </c>
      <c r="I175" s="15">
        <v>4</v>
      </c>
      <c r="J175" s="15">
        <v>89</v>
      </c>
      <c r="K175" s="15">
        <v>50</v>
      </c>
      <c r="L175" s="15" t="s">
        <v>84</v>
      </c>
      <c r="M175" s="15" t="s">
        <v>84</v>
      </c>
    </row>
    <row r="176" spans="1:13" ht="60" x14ac:dyDescent="0.25">
      <c r="A176" s="15" t="s">
        <v>152</v>
      </c>
      <c r="B176" s="15">
        <v>60</v>
      </c>
      <c r="C176" s="15">
        <v>28</v>
      </c>
      <c r="D176" s="15">
        <v>2</v>
      </c>
      <c r="E176" s="15">
        <v>1</v>
      </c>
      <c r="F176" s="15">
        <v>51</v>
      </c>
      <c r="G176" s="15">
        <v>25</v>
      </c>
      <c r="H176" s="15">
        <v>1</v>
      </c>
      <c r="I176" s="15">
        <v>1</v>
      </c>
      <c r="J176" s="15">
        <v>9</v>
      </c>
      <c r="K176" s="15">
        <v>3</v>
      </c>
      <c r="L176" s="15">
        <v>1</v>
      </c>
      <c r="M176" s="15" t="s">
        <v>84</v>
      </c>
    </row>
    <row r="177" spans="1:13" ht="30" x14ac:dyDescent="0.25">
      <c r="A177" s="15" t="s">
        <v>85</v>
      </c>
      <c r="B177" s="15">
        <v>1222</v>
      </c>
      <c r="C177" s="15">
        <v>580</v>
      </c>
      <c r="D177" s="15">
        <v>63</v>
      </c>
      <c r="E177" s="15">
        <v>33</v>
      </c>
      <c r="F177" s="15">
        <v>1166</v>
      </c>
      <c r="G177" s="15">
        <v>552</v>
      </c>
      <c r="H177" s="15">
        <v>63</v>
      </c>
      <c r="I177" s="15">
        <v>33</v>
      </c>
      <c r="J177" s="15">
        <v>56</v>
      </c>
      <c r="K177" s="15">
        <v>28</v>
      </c>
      <c r="L177" s="15" t="s">
        <v>84</v>
      </c>
      <c r="M177" s="15" t="s">
        <v>84</v>
      </c>
    </row>
    <row r="178" spans="1:13" ht="30" x14ac:dyDescent="0.25">
      <c r="A178" s="15" t="s">
        <v>86</v>
      </c>
      <c r="B178" s="15">
        <v>335</v>
      </c>
      <c r="C178" s="15">
        <v>124</v>
      </c>
      <c r="D178" s="15">
        <v>46</v>
      </c>
      <c r="E178" s="15">
        <v>19</v>
      </c>
      <c r="F178" s="15">
        <v>327</v>
      </c>
      <c r="G178" s="15">
        <v>122</v>
      </c>
      <c r="H178" s="15">
        <v>45</v>
      </c>
      <c r="I178" s="15">
        <v>19</v>
      </c>
      <c r="J178" s="15">
        <v>8</v>
      </c>
      <c r="K178" s="15">
        <v>2</v>
      </c>
      <c r="L178" s="15">
        <v>1</v>
      </c>
      <c r="M178" s="15" t="s">
        <v>84</v>
      </c>
    </row>
    <row r="179" spans="1:13" ht="45" x14ac:dyDescent="0.25">
      <c r="A179" s="15" t="s">
        <v>87</v>
      </c>
      <c r="B179" s="15">
        <v>81</v>
      </c>
      <c r="C179" s="15">
        <v>23</v>
      </c>
      <c r="D179" s="15">
        <v>13</v>
      </c>
      <c r="E179" s="15">
        <v>4</v>
      </c>
      <c r="F179" s="15">
        <v>73</v>
      </c>
      <c r="G179" s="15">
        <v>23</v>
      </c>
      <c r="H179" s="15">
        <v>12</v>
      </c>
      <c r="I179" s="15">
        <v>4</v>
      </c>
      <c r="J179" s="15">
        <v>8</v>
      </c>
      <c r="K179" s="15" t="s">
        <v>84</v>
      </c>
      <c r="L179" s="15">
        <v>1</v>
      </c>
      <c r="M179" s="15" t="s">
        <v>84</v>
      </c>
    </row>
    <row r="180" spans="1:13" ht="45" x14ac:dyDescent="0.25">
      <c r="A180" s="15" t="s">
        <v>153</v>
      </c>
      <c r="B180" s="15">
        <v>16</v>
      </c>
      <c r="C180" s="15">
        <v>7</v>
      </c>
      <c r="D180" s="15">
        <v>2</v>
      </c>
      <c r="E180" s="15">
        <v>1</v>
      </c>
      <c r="F180" s="15">
        <v>15</v>
      </c>
      <c r="G180" s="15">
        <v>7</v>
      </c>
      <c r="H180" s="15">
        <v>1</v>
      </c>
      <c r="I180" s="15">
        <v>1</v>
      </c>
      <c r="J180" s="15">
        <v>1</v>
      </c>
      <c r="K180" s="15" t="s">
        <v>84</v>
      </c>
      <c r="L180" s="15">
        <v>1</v>
      </c>
      <c r="M180" s="15" t="s">
        <v>84</v>
      </c>
    </row>
    <row r="181" spans="1:13" ht="15" customHeight="1" x14ac:dyDescent="0.25">
      <c r="A181" s="207" t="s">
        <v>103</v>
      </c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M181" s="209"/>
    </row>
    <row r="182" spans="1:13" x14ac:dyDescent="0.25">
      <c r="A182" s="207"/>
      <c r="B182" s="208"/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M182" s="209"/>
    </row>
    <row r="183" spans="1:13" x14ac:dyDescent="0.25">
      <c r="A183" s="15" t="s">
        <v>83</v>
      </c>
      <c r="B183" s="27">
        <v>1549</v>
      </c>
      <c r="C183" s="15">
        <v>787</v>
      </c>
      <c r="D183" s="27">
        <v>132</v>
      </c>
      <c r="E183" s="15">
        <v>62</v>
      </c>
      <c r="F183" s="15">
        <v>1549</v>
      </c>
      <c r="G183" s="15">
        <v>787</v>
      </c>
      <c r="H183" s="15">
        <v>132</v>
      </c>
      <c r="I183" s="15">
        <v>62</v>
      </c>
      <c r="J183" s="15" t="s">
        <v>84</v>
      </c>
      <c r="K183" s="15" t="s">
        <v>84</v>
      </c>
      <c r="L183" s="15" t="s">
        <v>84</v>
      </c>
      <c r="M183" s="15" t="s">
        <v>84</v>
      </c>
    </row>
    <row r="184" spans="1:13" ht="30" x14ac:dyDescent="0.25">
      <c r="A184" s="15" t="s">
        <v>151</v>
      </c>
      <c r="B184" s="15">
        <v>511</v>
      </c>
      <c r="C184" s="15">
        <v>284</v>
      </c>
      <c r="D184" s="15">
        <v>21</v>
      </c>
      <c r="E184" s="15">
        <v>12</v>
      </c>
      <c r="F184" s="15">
        <v>511</v>
      </c>
      <c r="G184" s="15">
        <v>284</v>
      </c>
      <c r="H184" s="15">
        <v>21</v>
      </c>
      <c r="I184" s="15">
        <v>12</v>
      </c>
      <c r="J184" s="15" t="s">
        <v>84</v>
      </c>
      <c r="K184" s="15" t="s">
        <v>84</v>
      </c>
      <c r="L184" s="15" t="s">
        <v>84</v>
      </c>
      <c r="M184" s="15" t="s">
        <v>84</v>
      </c>
    </row>
    <row r="185" spans="1:13" ht="60" x14ac:dyDescent="0.25">
      <c r="A185" s="15" t="s">
        <v>152</v>
      </c>
      <c r="B185" s="15">
        <v>39</v>
      </c>
      <c r="C185" s="15">
        <v>19</v>
      </c>
      <c r="D185" s="15">
        <v>3</v>
      </c>
      <c r="E185" s="15">
        <v>1</v>
      </c>
      <c r="F185" s="15">
        <v>39</v>
      </c>
      <c r="G185" s="15">
        <v>19</v>
      </c>
      <c r="H185" s="15">
        <v>3</v>
      </c>
      <c r="I185" s="15">
        <v>1</v>
      </c>
      <c r="J185" s="15" t="s">
        <v>84</v>
      </c>
      <c r="K185" s="15" t="s">
        <v>84</v>
      </c>
      <c r="L185" s="15" t="s">
        <v>84</v>
      </c>
      <c r="M185" s="15" t="s">
        <v>84</v>
      </c>
    </row>
    <row r="186" spans="1:13" ht="30" x14ac:dyDescent="0.25">
      <c r="A186" s="15" t="s">
        <v>85</v>
      </c>
      <c r="B186" s="15">
        <v>749</v>
      </c>
      <c r="C186" s="15">
        <v>374</v>
      </c>
      <c r="D186" s="15">
        <v>61</v>
      </c>
      <c r="E186" s="15">
        <v>26</v>
      </c>
      <c r="F186" s="15">
        <v>749</v>
      </c>
      <c r="G186" s="15">
        <v>374</v>
      </c>
      <c r="H186" s="15">
        <v>61</v>
      </c>
      <c r="I186" s="15">
        <v>26</v>
      </c>
      <c r="J186" s="15" t="s">
        <v>84</v>
      </c>
      <c r="K186" s="15" t="s">
        <v>84</v>
      </c>
      <c r="L186" s="15" t="s">
        <v>84</v>
      </c>
      <c r="M186" s="15" t="s">
        <v>84</v>
      </c>
    </row>
    <row r="187" spans="1:13" ht="30" x14ac:dyDescent="0.25">
      <c r="A187" s="15" t="s">
        <v>86</v>
      </c>
      <c r="B187" s="15">
        <v>190</v>
      </c>
      <c r="C187" s="15">
        <v>97</v>
      </c>
      <c r="D187" s="15">
        <v>32</v>
      </c>
      <c r="E187" s="15">
        <v>19</v>
      </c>
      <c r="F187" s="15">
        <v>190</v>
      </c>
      <c r="G187" s="15">
        <v>97</v>
      </c>
      <c r="H187" s="15">
        <v>32</v>
      </c>
      <c r="I187" s="15">
        <v>19</v>
      </c>
      <c r="J187" s="15" t="s">
        <v>84</v>
      </c>
      <c r="K187" s="15" t="s">
        <v>84</v>
      </c>
      <c r="L187" s="15" t="s">
        <v>84</v>
      </c>
      <c r="M187" s="15" t="s">
        <v>84</v>
      </c>
    </row>
    <row r="188" spans="1:13" ht="45" x14ac:dyDescent="0.25">
      <c r="A188" s="15" t="s">
        <v>87</v>
      </c>
      <c r="B188" s="15">
        <v>60</v>
      </c>
      <c r="C188" s="15">
        <v>13</v>
      </c>
      <c r="D188" s="15">
        <v>15</v>
      </c>
      <c r="E188" s="15">
        <v>4</v>
      </c>
      <c r="F188" s="15">
        <v>60</v>
      </c>
      <c r="G188" s="15">
        <v>13</v>
      </c>
      <c r="H188" s="15">
        <v>15</v>
      </c>
      <c r="I188" s="15">
        <v>4</v>
      </c>
      <c r="J188" s="15" t="s">
        <v>84</v>
      </c>
      <c r="K188" s="15" t="s">
        <v>84</v>
      </c>
      <c r="L188" s="15" t="s">
        <v>84</v>
      </c>
      <c r="M188" s="15" t="s">
        <v>84</v>
      </c>
    </row>
    <row r="189" spans="1:13" ht="45" x14ac:dyDescent="0.25">
      <c r="A189" s="15" t="s">
        <v>153</v>
      </c>
      <c r="B189" s="15">
        <v>9</v>
      </c>
      <c r="C189" s="15">
        <v>1</v>
      </c>
      <c r="D189" s="15">
        <v>1</v>
      </c>
      <c r="E189" s="15" t="s">
        <v>84</v>
      </c>
      <c r="F189" s="15">
        <v>9</v>
      </c>
      <c r="G189" s="15">
        <v>1</v>
      </c>
      <c r="H189" s="15">
        <v>1</v>
      </c>
      <c r="I189" s="15" t="s">
        <v>84</v>
      </c>
      <c r="J189" s="15" t="s">
        <v>84</v>
      </c>
      <c r="K189" s="15" t="s">
        <v>84</v>
      </c>
      <c r="L189" s="15" t="s">
        <v>84</v>
      </c>
      <c r="M189" s="15" t="s">
        <v>84</v>
      </c>
    </row>
    <row r="190" spans="1:13" ht="60" x14ac:dyDescent="0.25">
      <c r="A190" s="15" t="s">
        <v>154</v>
      </c>
      <c r="B190" s="15">
        <v>11</v>
      </c>
      <c r="C190" s="15">
        <v>4</v>
      </c>
      <c r="D190" s="15" t="s">
        <v>84</v>
      </c>
      <c r="E190" s="15" t="s">
        <v>84</v>
      </c>
      <c r="F190" s="15">
        <v>11</v>
      </c>
      <c r="G190" s="15">
        <v>4</v>
      </c>
      <c r="H190" s="15" t="s">
        <v>84</v>
      </c>
      <c r="I190" s="15" t="s">
        <v>84</v>
      </c>
      <c r="J190" s="15" t="s">
        <v>84</v>
      </c>
      <c r="K190" s="15" t="s">
        <v>84</v>
      </c>
      <c r="L190" s="15" t="s">
        <v>84</v>
      </c>
      <c r="M190" s="15" t="s">
        <v>84</v>
      </c>
    </row>
    <row r="191" spans="1:13" ht="15" customHeight="1" x14ac:dyDescent="0.25">
      <c r="A191" s="207" t="s">
        <v>104</v>
      </c>
      <c r="B191" s="208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209"/>
    </row>
    <row r="192" spans="1:13" x14ac:dyDescent="0.25">
      <c r="A192" s="207"/>
      <c r="B192" s="208"/>
      <c r="C192" s="208"/>
      <c r="D192" s="208"/>
      <c r="E192" s="208"/>
      <c r="F192" s="208"/>
      <c r="G192" s="208"/>
      <c r="H192" s="208"/>
      <c r="I192" s="208"/>
      <c r="J192" s="208"/>
      <c r="K192" s="208"/>
      <c r="L192" s="208"/>
      <c r="M192" s="209"/>
    </row>
    <row r="193" spans="1:13" x14ac:dyDescent="0.25">
      <c r="A193" s="15" t="s">
        <v>83</v>
      </c>
      <c r="B193" s="27">
        <v>2907</v>
      </c>
      <c r="C193" s="15">
        <v>1417</v>
      </c>
      <c r="D193" s="27">
        <v>137</v>
      </c>
      <c r="E193" s="15">
        <v>62</v>
      </c>
      <c r="F193" s="15">
        <v>2164</v>
      </c>
      <c r="G193" s="15">
        <v>1030</v>
      </c>
      <c r="H193" s="15">
        <v>122</v>
      </c>
      <c r="I193" s="15">
        <v>58</v>
      </c>
      <c r="J193" s="15">
        <v>743</v>
      </c>
      <c r="K193" s="15">
        <v>387</v>
      </c>
      <c r="L193" s="15">
        <v>15</v>
      </c>
      <c r="M193" s="15">
        <v>4</v>
      </c>
    </row>
    <row r="194" spans="1:13" ht="30" x14ac:dyDescent="0.25">
      <c r="A194" s="15" t="s">
        <v>151</v>
      </c>
      <c r="B194" s="15">
        <v>1053</v>
      </c>
      <c r="C194" s="15">
        <v>558</v>
      </c>
      <c r="D194" s="15">
        <v>17</v>
      </c>
      <c r="E194" s="15">
        <v>9</v>
      </c>
      <c r="F194" s="15">
        <v>670</v>
      </c>
      <c r="G194" s="15">
        <v>343</v>
      </c>
      <c r="H194" s="15">
        <v>13</v>
      </c>
      <c r="I194" s="15">
        <v>7</v>
      </c>
      <c r="J194" s="15">
        <v>383</v>
      </c>
      <c r="K194" s="15">
        <v>215</v>
      </c>
      <c r="L194" s="15">
        <v>4</v>
      </c>
      <c r="M194" s="15">
        <v>2</v>
      </c>
    </row>
    <row r="195" spans="1:13" ht="60" x14ac:dyDescent="0.25">
      <c r="A195" s="15" t="s">
        <v>152</v>
      </c>
      <c r="B195" s="15">
        <v>58</v>
      </c>
      <c r="C195" s="15">
        <v>29</v>
      </c>
      <c r="D195" s="15">
        <v>2</v>
      </c>
      <c r="E195" s="15">
        <v>1</v>
      </c>
      <c r="F195" s="15">
        <v>46</v>
      </c>
      <c r="G195" s="15">
        <v>20</v>
      </c>
      <c r="H195" s="15">
        <v>2</v>
      </c>
      <c r="I195" s="15">
        <v>1</v>
      </c>
      <c r="J195" s="15">
        <v>12</v>
      </c>
      <c r="K195" s="15">
        <v>9</v>
      </c>
      <c r="L195" s="15" t="s">
        <v>84</v>
      </c>
      <c r="M195" s="15" t="s">
        <v>84</v>
      </c>
    </row>
    <row r="196" spans="1:13" ht="30" x14ac:dyDescent="0.25">
      <c r="A196" s="15" t="s">
        <v>85</v>
      </c>
      <c r="B196" s="15">
        <v>1241</v>
      </c>
      <c r="C196" s="15">
        <v>577</v>
      </c>
      <c r="D196" s="15">
        <v>52</v>
      </c>
      <c r="E196" s="15">
        <v>19</v>
      </c>
      <c r="F196" s="15">
        <v>974</v>
      </c>
      <c r="G196" s="15">
        <v>450</v>
      </c>
      <c r="H196" s="15">
        <v>50</v>
      </c>
      <c r="I196" s="15">
        <v>19</v>
      </c>
      <c r="J196" s="15">
        <v>267</v>
      </c>
      <c r="K196" s="15">
        <v>127</v>
      </c>
      <c r="L196" s="15">
        <v>2</v>
      </c>
      <c r="M196" s="15" t="s">
        <v>84</v>
      </c>
    </row>
    <row r="197" spans="1:13" ht="30" x14ac:dyDescent="0.25">
      <c r="A197" s="15" t="s">
        <v>86</v>
      </c>
      <c r="B197" s="15">
        <v>376</v>
      </c>
      <c r="C197" s="15">
        <v>174</v>
      </c>
      <c r="D197" s="15">
        <v>34</v>
      </c>
      <c r="E197" s="15">
        <v>17</v>
      </c>
      <c r="F197" s="15">
        <v>331</v>
      </c>
      <c r="G197" s="15">
        <v>155</v>
      </c>
      <c r="H197" s="15">
        <v>30</v>
      </c>
      <c r="I197" s="15">
        <v>17</v>
      </c>
      <c r="J197" s="15">
        <v>45</v>
      </c>
      <c r="K197" s="15">
        <v>19</v>
      </c>
      <c r="L197" s="15">
        <v>4</v>
      </c>
      <c r="M197" s="15" t="s">
        <v>84</v>
      </c>
    </row>
    <row r="198" spans="1:13" ht="45" x14ac:dyDescent="0.25">
      <c r="A198" s="15" t="s">
        <v>87</v>
      </c>
      <c r="B198" s="15">
        <v>179</v>
      </c>
      <c r="C198" s="15">
        <v>79</v>
      </c>
      <c r="D198" s="15">
        <v>32</v>
      </c>
      <c r="E198" s="15">
        <v>16</v>
      </c>
      <c r="F198" s="15">
        <v>143</v>
      </c>
      <c r="G198" s="15">
        <v>62</v>
      </c>
      <c r="H198" s="15">
        <v>27</v>
      </c>
      <c r="I198" s="15">
        <v>14</v>
      </c>
      <c r="J198" s="15">
        <v>36</v>
      </c>
      <c r="K198" s="15">
        <v>17</v>
      </c>
      <c r="L198" s="15">
        <v>5</v>
      </c>
      <c r="M198" s="15">
        <v>2</v>
      </c>
    </row>
    <row r="199" spans="1:13" ht="45" x14ac:dyDescent="0.25">
      <c r="A199" s="15" t="s">
        <v>153</v>
      </c>
      <c r="B199" s="15">
        <v>49</v>
      </c>
      <c r="C199" s="15">
        <v>27</v>
      </c>
      <c r="D199" s="15">
        <v>18</v>
      </c>
      <c r="E199" s="15">
        <v>9</v>
      </c>
      <c r="F199" s="15">
        <v>47</v>
      </c>
      <c r="G199" s="15">
        <v>26</v>
      </c>
      <c r="H199" s="15">
        <v>18</v>
      </c>
      <c r="I199" s="15">
        <v>9</v>
      </c>
      <c r="J199" s="15">
        <v>2</v>
      </c>
      <c r="K199" s="15">
        <v>1</v>
      </c>
      <c r="L199" s="15" t="s">
        <v>84</v>
      </c>
      <c r="M199" s="15" t="s">
        <v>84</v>
      </c>
    </row>
    <row r="200" spans="1:13" ht="60" x14ac:dyDescent="0.25">
      <c r="A200" s="15" t="s">
        <v>154</v>
      </c>
      <c r="B200" s="15">
        <v>58</v>
      </c>
      <c r="C200" s="15">
        <v>19</v>
      </c>
      <c r="D200" s="15">
        <v>7</v>
      </c>
      <c r="E200" s="15">
        <v>3</v>
      </c>
      <c r="F200" s="15">
        <v>33</v>
      </c>
      <c r="G200" s="15">
        <v>9</v>
      </c>
      <c r="H200" s="15">
        <v>4</v>
      </c>
      <c r="I200" s="15">
        <v>1</v>
      </c>
      <c r="J200" s="15">
        <v>25</v>
      </c>
      <c r="K200" s="15">
        <v>10</v>
      </c>
      <c r="L200" s="15">
        <v>3</v>
      </c>
      <c r="M200" s="15">
        <v>2</v>
      </c>
    </row>
    <row r="201" spans="1:13" ht="15" customHeight="1" x14ac:dyDescent="0.25">
      <c r="A201" s="207" t="s">
        <v>105</v>
      </c>
      <c r="B201" s="208"/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M201" s="209"/>
    </row>
    <row r="202" spans="1:13" x14ac:dyDescent="0.25">
      <c r="A202" s="207"/>
      <c r="B202" s="208"/>
      <c r="C202" s="208"/>
      <c r="D202" s="208"/>
      <c r="E202" s="208"/>
      <c r="F202" s="208"/>
      <c r="G202" s="208"/>
      <c r="H202" s="208"/>
      <c r="I202" s="208"/>
      <c r="J202" s="208"/>
      <c r="K202" s="208"/>
      <c r="L202" s="208"/>
      <c r="M202" s="209"/>
    </row>
    <row r="203" spans="1:13" x14ac:dyDescent="0.25">
      <c r="A203" s="15" t="s">
        <v>83</v>
      </c>
      <c r="B203" s="27">
        <v>571</v>
      </c>
      <c r="C203" s="15">
        <v>276</v>
      </c>
      <c r="D203" s="27">
        <v>50</v>
      </c>
      <c r="E203" s="15">
        <v>18</v>
      </c>
      <c r="F203" s="15">
        <v>520</v>
      </c>
      <c r="G203" s="15">
        <v>247</v>
      </c>
      <c r="H203" s="15">
        <v>42</v>
      </c>
      <c r="I203" s="15">
        <v>15</v>
      </c>
      <c r="J203" s="15">
        <v>51</v>
      </c>
      <c r="K203" s="15">
        <v>29</v>
      </c>
      <c r="L203" s="15">
        <v>8</v>
      </c>
      <c r="M203" s="15">
        <v>3</v>
      </c>
    </row>
    <row r="204" spans="1:13" ht="30" x14ac:dyDescent="0.25">
      <c r="A204" s="15" t="s">
        <v>151</v>
      </c>
      <c r="B204" s="15">
        <v>151</v>
      </c>
      <c r="C204" s="15">
        <v>81</v>
      </c>
      <c r="D204" s="15">
        <v>15</v>
      </c>
      <c r="E204" s="15">
        <v>6</v>
      </c>
      <c r="F204" s="15">
        <v>103</v>
      </c>
      <c r="G204" s="15">
        <v>52</v>
      </c>
      <c r="H204" s="15">
        <v>8</v>
      </c>
      <c r="I204" s="15">
        <v>3</v>
      </c>
      <c r="J204" s="15">
        <v>48</v>
      </c>
      <c r="K204" s="15">
        <v>29</v>
      </c>
      <c r="L204" s="15">
        <v>7</v>
      </c>
      <c r="M204" s="15">
        <v>3</v>
      </c>
    </row>
    <row r="205" spans="1:13" ht="60" x14ac:dyDescent="0.25">
      <c r="A205" s="15" t="s">
        <v>152</v>
      </c>
      <c r="B205" s="15">
        <v>5</v>
      </c>
      <c r="C205" s="15" t="s">
        <v>84</v>
      </c>
      <c r="D205" s="15">
        <v>1</v>
      </c>
      <c r="E205" s="15" t="s">
        <v>84</v>
      </c>
      <c r="F205" s="15">
        <v>2</v>
      </c>
      <c r="G205" s="15" t="s">
        <v>84</v>
      </c>
      <c r="H205" s="15" t="s">
        <v>84</v>
      </c>
      <c r="I205" s="15" t="s">
        <v>84</v>
      </c>
      <c r="J205" s="15">
        <v>3</v>
      </c>
      <c r="K205" s="15" t="s">
        <v>84</v>
      </c>
      <c r="L205" s="15">
        <v>1</v>
      </c>
      <c r="M205" s="15" t="s">
        <v>84</v>
      </c>
    </row>
    <row r="206" spans="1:13" ht="30" x14ac:dyDescent="0.25">
      <c r="A206" s="15" t="s">
        <v>85</v>
      </c>
      <c r="B206" s="15">
        <v>321</v>
      </c>
      <c r="C206" s="15">
        <v>160</v>
      </c>
      <c r="D206" s="15">
        <v>27</v>
      </c>
      <c r="E206" s="15">
        <v>11</v>
      </c>
      <c r="F206" s="15">
        <v>321</v>
      </c>
      <c r="G206" s="15">
        <v>160</v>
      </c>
      <c r="H206" s="15">
        <v>27</v>
      </c>
      <c r="I206" s="15">
        <v>11</v>
      </c>
      <c r="J206" s="15" t="s">
        <v>84</v>
      </c>
      <c r="K206" s="15" t="s">
        <v>84</v>
      </c>
      <c r="L206" s="15" t="s">
        <v>84</v>
      </c>
      <c r="M206" s="15" t="s">
        <v>84</v>
      </c>
    </row>
    <row r="207" spans="1:13" ht="30" x14ac:dyDescent="0.25">
      <c r="A207" s="15" t="s">
        <v>86</v>
      </c>
      <c r="B207" s="15">
        <v>71</v>
      </c>
      <c r="C207" s="15">
        <v>28</v>
      </c>
      <c r="D207" s="15">
        <v>5</v>
      </c>
      <c r="E207" s="15">
        <v>1</v>
      </c>
      <c r="F207" s="15">
        <v>71</v>
      </c>
      <c r="G207" s="15">
        <v>28</v>
      </c>
      <c r="H207" s="15">
        <v>5</v>
      </c>
      <c r="I207" s="15">
        <v>1</v>
      </c>
      <c r="J207" s="15" t="s">
        <v>84</v>
      </c>
      <c r="K207" s="15" t="s">
        <v>84</v>
      </c>
      <c r="L207" s="15" t="s">
        <v>84</v>
      </c>
      <c r="M207" s="15" t="s">
        <v>84</v>
      </c>
    </row>
    <row r="208" spans="1:13" ht="45" x14ac:dyDescent="0.25">
      <c r="A208" s="15" t="s">
        <v>87</v>
      </c>
      <c r="B208" s="15">
        <v>23</v>
      </c>
      <c r="C208" s="15">
        <v>7</v>
      </c>
      <c r="D208" s="15">
        <v>2</v>
      </c>
      <c r="E208" s="15" t="s">
        <v>84</v>
      </c>
      <c r="F208" s="15">
        <v>23</v>
      </c>
      <c r="G208" s="15">
        <v>7</v>
      </c>
      <c r="H208" s="15">
        <v>2</v>
      </c>
      <c r="I208" s="15" t="s">
        <v>84</v>
      </c>
      <c r="J208" s="15" t="s">
        <v>84</v>
      </c>
      <c r="K208" s="15" t="s">
        <v>84</v>
      </c>
      <c r="L208" s="15" t="s">
        <v>84</v>
      </c>
      <c r="M208" s="15" t="s">
        <v>84</v>
      </c>
    </row>
    <row r="209" spans="1:13" ht="45" x14ac:dyDescent="0.25">
      <c r="A209" s="15" t="s">
        <v>153</v>
      </c>
      <c r="B209" s="15">
        <v>12</v>
      </c>
      <c r="C209" s="15">
        <v>4</v>
      </c>
      <c r="D209" s="15" t="s">
        <v>84</v>
      </c>
      <c r="E209" s="15" t="s">
        <v>84</v>
      </c>
      <c r="F209" s="15">
        <v>12</v>
      </c>
      <c r="G209" s="15">
        <v>4</v>
      </c>
      <c r="H209" s="15" t="s">
        <v>84</v>
      </c>
      <c r="I209" s="15" t="s">
        <v>84</v>
      </c>
      <c r="J209" s="15" t="s">
        <v>84</v>
      </c>
      <c r="K209" s="15" t="s">
        <v>84</v>
      </c>
      <c r="L209" s="15" t="s">
        <v>84</v>
      </c>
      <c r="M209" s="15" t="s">
        <v>84</v>
      </c>
    </row>
    <row r="210" spans="1:13" ht="60" x14ac:dyDescent="0.25">
      <c r="A210" s="15" t="s">
        <v>154</v>
      </c>
      <c r="B210" s="15">
        <v>3</v>
      </c>
      <c r="C210" s="15">
        <v>2</v>
      </c>
      <c r="D210" s="15" t="s">
        <v>84</v>
      </c>
      <c r="E210" s="15" t="s">
        <v>84</v>
      </c>
      <c r="F210" s="15">
        <v>3</v>
      </c>
      <c r="G210" s="15">
        <v>2</v>
      </c>
      <c r="H210" s="15" t="s">
        <v>84</v>
      </c>
      <c r="I210" s="15" t="s">
        <v>84</v>
      </c>
      <c r="J210" s="15" t="s">
        <v>84</v>
      </c>
      <c r="K210" s="15" t="s">
        <v>84</v>
      </c>
      <c r="L210" s="15" t="s">
        <v>84</v>
      </c>
      <c r="M210" s="15" t="s">
        <v>84</v>
      </c>
    </row>
    <row r="211" spans="1:13" ht="15" customHeight="1" x14ac:dyDescent="0.25">
      <c r="A211" s="207" t="s">
        <v>106</v>
      </c>
      <c r="B211" s="208"/>
      <c r="C211" s="208"/>
      <c r="D211" s="208"/>
      <c r="E211" s="208"/>
      <c r="F211" s="208"/>
      <c r="G211" s="208"/>
      <c r="H211" s="208"/>
      <c r="I211" s="208"/>
      <c r="J211" s="208"/>
      <c r="K211" s="208"/>
      <c r="L211" s="208"/>
      <c r="M211" s="209"/>
    </row>
    <row r="212" spans="1:13" x14ac:dyDescent="0.25">
      <c r="A212" s="207"/>
      <c r="B212" s="208"/>
      <c r="C212" s="208"/>
      <c r="D212" s="208"/>
      <c r="E212" s="208"/>
      <c r="F212" s="208"/>
      <c r="G212" s="208"/>
      <c r="H212" s="208"/>
      <c r="I212" s="208"/>
      <c r="J212" s="208"/>
      <c r="K212" s="208"/>
      <c r="L212" s="208"/>
      <c r="M212" s="209"/>
    </row>
    <row r="213" spans="1:13" x14ac:dyDescent="0.25">
      <c r="A213" s="15" t="s">
        <v>83</v>
      </c>
      <c r="B213" s="27">
        <v>1336</v>
      </c>
      <c r="C213" s="15">
        <v>641</v>
      </c>
      <c r="D213" s="27">
        <v>74</v>
      </c>
      <c r="E213" s="15">
        <v>27</v>
      </c>
      <c r="F213" s="15">
        <v>1335</v>
      </c>
      <c r="G213" s="15">
        <v>641</v>
      </c>
      <c r="H213" s="15">
        <v>74</v>
      </c>
      <c r="I213" s="15">
        <v>27</v>
      </c>
      <c r="J213" s="15">
        <v>1</v>
      </c>
      <c r="K213" s="15" t="s">
        <v>84</v>
      </c>
      <c r="L213" s="15" t="s">
        <v>84</v>
      </c>
      <c r="M213" s="15" t="s">
        <v>84</v>
      </c>
    </row>
    <row r="214" spans="1:13" ht="30" x14ac:dyDescent="0.25">
      <c r="A214" s="15" t="s">
        <v>151</v>
      </c>
      <c r="B214" s="15">
        <v>406</v>
      </c>
      <c r="C214" s="15">
        <v>216</v>
      </c>
      <c r="D214" s="15">
        <v>4</v>
      </c>
      <c r="E214" s="15">
        <v>3</v>
      </c>
      <c r="F214" s="15">
        <v>406</v>
      </c>
      <c r="G214" s="15">
        <v>216</v>
      </c>
      <c r="H214" s="15">
        <v>4</v>
      </c>
      <c r="I214" s="15">
        <v>3</v>
      </c>
      <c r="J214" s="15" t="s">
        <v>84</v>
      </c>
      <c r="K214" s="15" t="s">
        <v>84</v>
      </c>
      <c r="L214" s="15" t="s">
        <v>84</v>
      </c>
      <c r="M214" s="15" t="s">
        <v>84</v>
      </c>
    </row>
    <row r="215" spans="1:13" ht="60" x14ac:dyDescent="0.25">
      <c r="A215" s="15" t="s">
        <v>152</v>
      </c>
      <c r="B215" s="15">
        <v>26</v>
      </c>
      <c r="C215" s="15">
        <v>12</v>
      </c>
      <c r="D215" s="15" t="s">
        <v>84</v>
      </c>
      <c r="E215" s="15" t="s">
        <v>84</v>
      </c>
      <c r="F215" s="15">
        <v>26</v>
      </c>
      <c r="G215" s="15">
        <v>12</v>
      </c>
      <c r="H215" s="15" t="s">
        <v>84</v>
      </c>
      <c r="I215" s="15" t="s">
        <v>84</v>
      </c>
      <c r="J215" s="15" t="s">
        <v>84</v>
      </c>
      <c r="K215" s="15" t="s">
        <v>84</v>
      </c>
      <c r="L215" s="15" t="s">
        <v>84</v>
      </c>
      <c r="M215" s="15" t="s">
        <v>84</v>
      </c>
    </row>
    <row r="216" spans="1:13" ht="30" x14ac:dyDescent="0.25">
      <c r="A216" s="15" t="s">
        <v>85</v>
      </c>
      <c r="B216" s="15">
        <v>660</v>
      </c>
      <c r="C216" s="15">
        <v>312</v>
      </c>
      <c r="D216" s="15">
        <v>34</v>
      </c>
      <c r="E216" s="15">
        <v>12</v>
      </c>
      <c r="F216" s="15">
        <v>660</v>
      </c>
      <c r="G216" s="15">
        <v>312</v>
      </c>
      <c r="H216" s="15">
        <v>34</v>
      </c>
      <c r="I216" s="15">
        <v>12</v>
      </c>
      <c r="J216" s="15" t="s">
        <v>84</v>
      </c>
      <c r="K216" s="15" t="s">
        <v>84</v>
      </c>
      <c r="L216" s="15" t="s">
        <v>84</v>
      </c>
      <c r="M216" s="15" t="s">
        <v>84</v>
      </c>
    </row>
    <row r="217" spans="1:13" ht="30" x14ac:dyDescent="0.25">
      <c r="A217" s="15" t="s">
        <v>86</v>
      </c>
      <c r="B217" s="15">
        <v>182</v>
      </c>
      <c r="C217" s="15">
        <v>74</v>
      </c>
      <c r="D217" s="15">
        <v>20</v>
      </c>
      <c r="E217" s="15">
        <v>8</v>
      </c>
      <c r="F217" s="15">
        <v>181</v>
      </c>
      <c r="G217" s="15">
        <v>74</v>
      </c>
      <c r="H217" s="15">
        <v>20</v>
      </c>
      <c r="I217" s="15">
        <v>8</v>
      </c>
      <c r="J217" s="15">
        <v>1</v>
      </c>
      <c r="K217" s="15" t="s">
        <v>84</v>
      </c>
      <c r="L217" s="15" t="s">
        <v>84</v>
      </c>
      <c r="M217" s="15" t="s">
        <v>84</v>
      </c>
    </row>
    <row r="218" spans="1:13" ht="45" x14ac:dyDescent="0.25">
      <c r="A218" s="15" t="s">
        <v>87</v>
      </c>
      <c r="B218" s="15">
        <v>62</v>
      </c>
      <c r="C218" s="15">
        <v>27</v>
      </c>
      <c r="D218" s="15">
        <v>16</v>
      </c>
      <c r="E218" s="15">
        <v>4</v>
      </c>
      <c r="F218" s="15">
        <v>62</v>
      </c>
      <c r="G218" s="15">
        <v>27</v>
      </c>
      <c r="H218" s="15">
        <v>16</v>
      </c>
      <c r="I218" s="15">
        <v>4</v>
      </c>
      <c r="J218" s="15" t="s">
        <v>84</v>
      </c>
      <c r="K218" s="15" t="s">
        <v>84</v>
      </c>
      <c r="L218" s="15" t="s">
        <v>84</v>
      </c>
      <c r="M218" s="15" t="s">
        <v>84</v>
      </c>
    </row>
    <row r="219" spans="1:13" ht="45" x14ac:dyDescent="0.25">
      <c r="A219" s="15" t="s">
        <v>153</v>
      </c>
      <c r="B219" s="15">
        <v>3</v>
      </c>
      <c r="C219" s="15" t="s">
        <v>84</v>
      </c>
      <c r="D219" s="15" t="s">
        <v>84</v>
      </c>
      <c r="E219" s="15" t="s">
        <v>84</v>
      </c>
      <c r="F219" s="15">
        <v>3</v>
      </c>
      <c r="G219" s="15" t="s">
        <v>84</v>
      </c>
      <c r="H219" s="15" t="s">
        <v>84</v>
      </c>
      <c r="I219" s="15" t="s">
        <v>84</v>
      </c>
      <c r="J219" s="15" t="s">
        <v>84</v>
      </c>
      <c r="K219" s="15" t="s">
        <v>84</v>
      </c>
      <c r="L219" s="15" t="s">
        <v>84</v>
      </c>
      <c r="M219" s="15" t="s">
        <v>84</v>
      </c>
    </row>
    <row r="220" spans="1:13" ht="60" x14ac:dyDescent="0.25">
      <c r="A220" s="15" t="s">
        <v>154</v>
      </c>
      <c r="B220" s="15">
        <v>15</v>
      </c>
      <c r="C220" s="15">
        <v>7</v>
      </c>
      <c r="D220" s="15" t="s">
        <v>84</v>
      </c>
      <c r="E220" s="15" t="s">
        <v>84</v>
      </c>
      <c r="F220" s="15">
        <v>15</v>
      </c>
      <c r="G220" s="15">
        <v>7</v>
      </c>
      <c r="H220" s="15" t="s">
        <v>84</v>
      </c>
      <c r="I220" s="15" t="s">
        <v>84</v>
      </c>
      <c r="J220" s="15" t="s">
        <v>84</v>
      </c>
      <c r="K220" s="15" t="s">
        <v>84</v>
      </c>
      <c r="L220" s="15" t="s">
        <v>84</v>
      </c>
      <c r="M220" s="15" t="s">
        <v>84</v>
      </c>
    </row>
    <row r="221" spans="1:13" ht="15" customHeight="1" x14ac:dyDescent="0.25">
      <c r="A221" s="207" t="s">
        <v>107</v>
      </c>
      <c r="B221" s="208"/>
      <c r="C221" s="208"/>
      <c r="D221" s="208"/>
      <c r="E221" s="208"/>
      <c r="F221" s="208"/>
      <c r="G221" s="208"/>
      <c r="H221" s="208"/>
      <c r="I221" s="208"/>
      <c r="J221" s="208"/>
      <c r="K221" s="208"/>
      <c r="L221" s="208"/>
      <c r="M221" s="209"/>
    </row>
    <row r="222" spans="1:13" x14ac:dyDescent="0.25">
      <c r="A222" s="207"/>
      <c r="B222" s="208"/>
      <c r="C222" s="208"/>
      <c r="D222" s="208"/>
      <c r="E222" s="208"/>
      <c r="F222" s="208"/>
      <c r="G222" s="208"/>
      <c r="H222" s="208"/>
      <c r="I222" s="208"/>
      <c r="J222" s="208"/>
      <c r="K222" s="208"/>
      <c r="L222" s="208"/>
      <c r="M222" s="209"/>
    </row>
    <row r="223" spans="1:13" x14ac:dyDescent="0.25">
      <c r="A223" s="15" t="s">
        <v>83</v>
      </c>
      <c r="B223" s="27">
        <v>1624</v>
      </c>
      <c r="C223" s="15">
        <v>786</v>
      </c>
      <c r="D223" s="27">
        <v>114</v>
      </c>
      <c r="E223" s="15">
        <v>56</v>
      </c>
      <c r="F223" s="15">
        <v>1623</v>
      </c>
      <c r="G223" s="15">
        <v>785</v>
      </c>
      <c r="H223" s="15">
        <v>114</v>
      </c>
      <c r="I223" s="15">
        <v>56</v>
      </c>
      <c r="J223" s="15">
        <v>1</v>
      </c>
      <c r="K223" s="15">
        <v>1</v>
      </c>
      <c r="L223" s="15" t="s">
        <v>84</v>
      </c>
      <c r="M223" s="15" t="s">
        <v>84</v>
      </c>
    </row>
    <row r="224" spans="1:13" ht="30" x14ac:dyDescent="0.25">
      <c r="A224" s="15" t="s">
        <v>151</v>
      </c>
      <c r="B224" s="15">
        <v>617</v>
      </c>
      <c r="C224" s="15">
        <v>338</v>
      </c>
      <c r="D224" s="15">
        <v>20</v>
      </c>
      <c r="E224" s="15">
        <v>10</v>
      </c>
      <c r="F224" s="15">
        <v>617</v>
      </c>
      <c r="G224" s="15">
        <v>338</v>
      </c>
      <c r="H224" s="15">
        <v>20</v>
      </c>
      <c r="I224" s="15">
        <v>10</v>
      </c>
      <c r="J224" s="15" t="s">
        <v>84</v>
      </c>
      <c r="K224" s="15" t="s">
        <v>84</v>
      </c>
      <c r="L224" s="15" t="s">
        <v>84</v>
      </c>
      <c r="M224" s="15" t="s">
        <v>84</v>
      </c>
    </row>
    <row r="225" spans="1:13" ht="60" x14ac:dyDescent="0.25">
      <c r="A225" s="15" t="s">
        <v>152</v>
      </c>
      <c r="B225" s="15">
        <v>41</v>
      </c>
      <c r="C225" s="15">
        <v>14</v>
      </c>
      <c r="D225" s="15" t="s">
        <v>84</v>
      </c>
      <c r="E225" s="15" t="s">
        <v>84</v>
      </c>
      <c r="F225" s="15">
        <v>41</v>
      </c>
      <c r="G225" s="15">
        <v>14</v>
      </c>
      <c r="H225" s="15" t="s">
        <v>84</v>
      </c>
      <c r="I225" s="15" t="s">
        <v>84</v>
      </c>
      <c r="J225" s="15" t="s">
        <v>84</v>
      </c>
      <c r="K225" s="15" t="s">
        <v>84</v>
      </c>
      <c r="L225" s="15" t="s">
        <v>84</v>
      </c>
      <c r="M225" s="15" t="s">
        <v>84</v>
      </c>
    </row>
    <row r="226" spans="1:13" ht="30" x14ac:dyDescent="0.25">
      <c r="A226" s="15" t="s">
        <v>85</v>
      </c>
      <c r="B226" s="15">
        <v>635</v>
      </c>
      <c r="C226" s="15">
        <v>301</v>
      </c>
      <c r="D226" s="15">
        <v>59</v>
      </c>
      <c r="E226" s="15">
        <v>27</v>
      </c>
      <c r="F226" s="15">
        <v>635</v>
      </c>
      <c r="G226" s="15">
        <v>301</v>
      </c>
      <c r="H226" s="15">
        <v>59</v>
      </c>
      <c r="I226" s="15">
        <v>27</v>
      </c>
      <c r="J226" s="15" t="s">
        <v>84</v>
      </c>
      <c r="K226" s="15" t="s">
        <v>84</v>
      </c>
      <c r="L226" s="15" t="s">
        <v>84</v>
      </c>
      <c r="M226" s="15" t="s">
        <v>84</v>
      </c>
    </row>
    <row r="227" spans="1:13" ht="30" x14ac:dyDescent="0.25">
      <c r="A227" s="15" t="s">
        <v>86</v>
      </c>
      <c r="B227" s="15">
        <v>267</v>
      </c>
      <c r="C227" s="15">
        <v>114</v>
      </c>
      <c r="D227" s="15">
        <v>28</v>
      </c>
      <c r="E227" s="15">
        <v>18</v>
      </c>
      <c r="F227" s="15">
        <v>267</v>
      </c>
      <c r="G227" s="15">
        <v>114</v>
      </c>
      <c r="H227" s="15">
        <v>28</v>
      </c>
      <c r="I227" s="15">
        <v>18</v>
      </c>
      <c r="J227" s="15" t="s">
        <v>84</v>
      </c>
      <c r="K227" s="15" t="s">
        <v>84</v>
      </c>
      <c r="L227" s="15" t="s">
        <v>84</v>
      </c>
      <c r="M227" s="15" t="s">
        <v>84</v>
      </c>
    </row>
    <row r="228" spans="1:13" ht="45" x14ac:dyDescent="0.25">
      <c r="A228" s="15" t="s">
        <v>87</v>
      </c>
      <c r="B228" s="15">
        <v>64</v>
      </c>
      <c r="C228" s="15">
        <v>19</v>
      </c>
      <c r="D228" s="15">
        <v>7</v>
      </c>
      <c r="E228" s="15">
        <v>1</v>
      </c>
      <c r="F228" s="15">
        <v>63</v>
      </c>
      <c r="G228" s="15">
        <v>18</v>
      </c>
      <c r="H228" s="15">
        <v>7</v>
      </c>
      <c r="I228" s="15">
        <v>1</v>
      </c>
      <c r="J228" s="15">
        <v>1</v>
      </c>
      <c r="K228" s="15">
        <v>1</v>
      </c>
      <c r="L228" s="15" t="s">
        <v>84</v>
      </c>
      <c r="M228" s="15" t="s">
        <v>84</v>
      </c>
    </row>
    <row r="229" spans="1:13" ht="45" x14ac:dyDescent="0.25">
      <c r="A229" s="15" t="s">
        <v>153</v>
      </c>
      <c r="B229" s="15">
        <v>10</v>
      </c>
      <c r="C229" s="15">
        <v>3</v>
      </c>
      <c r="D229" s="15">
        <v>2</v>
      </c>
      <c r="E229" s="15" t="s">
        <v>84</v>
      </c>
      <c r="F229" s="15">
        <v>10</v>
      </c>
      <c r="G229" s="15">
        <v>3</v>
      </c>
      <c r="H229" s="15">
        <v>2</v>
      </c>
      <c r="I229" s="15" t="s">
        <v>84</v>
      </c>
      <c r="J229" s="15" t="s">
        <v>84</v>
      </c>
      <c r="K229" s="15" t="s">
        <v>84</v>
      </c>
      <c r="L229" s="15" t="s">
        <v>84</v>
      </c>
      <c r="M229" s="15" t="s">
        <v>84</v>
      </c>
    </row>
    <row r="230" spans="1:13" ht="60" x14ac:dyDescent="0.25">
      <c r="A230" s="15" t="s">
        <v>154</v>
      </c>
      <c r="B230" s="15">
        <v>6</v>
      </c>
      <c r="C230" s="15">
        <v>4</v>
      </c>
      <c r="D230" s="15">
        <v>1</v>
      </c>
      <c r="E230" s="15" t="s">
        <v>84</v>
      </c>
      <c r="F230" s="15">
        <v>6</v>
      </c>
      <c r="G230" s="15">
        <v>4</v>
      </c>
      <c r="H230" s="15">
        <v>1</v>
      </c>
      <c r="I230" s="15" t="s">
        <v>84</v>
      </c>
      <c r="J230" s="15" t="s">
        <v>84</v>
      </c>
      <c r="K230" s="15" t="s">
        <v>84</v>
      </c>
      <c r="L230" s="15" t="s">
        <v>84</v>
      </c>
      <c r="M230" s="15" t="s">
        <v>84</v>
      </c>
    </row>
    <row r="231" spans="1:13" ht="15" customHeight="1" x14ac:dyDescent="0.25">
      <c r="A231" s="207" t="s">
        <v>108</v>
      </c>
      <c r="B231" s="208"/>
      <c r="C231" s="208"/>
      <c r="D231" s="208"/>
      <c r="E231" s="208"/>
      <c r="F231" s="208"/>
      <c r="G231" s="208"/>
      <c r="H231" s="208"/>
      <c r="I231" s="208"/>
      <c r="J231" s="208"/>
      <c r="K231" s="208"/>
      <c r="L231" s="208"/>
      <c r="M231" s="209"/>
    </row>
    <row r="232" spans="1:13" x14ac:dyDescent="0.25">
      <c r="A232" s="207"/>
      <c r="B232" s="208"/>
      <c r="C232" s="208"/>
      <c r="D232" s="208"/>
      <c r="E232" s="208"/>
      <c r="F232" s="208"/>
      <c r="G232" s="208"/>
      <c r="H232" s="208"/>
      <c r="I232" s="208"/>
      <c r="J232" s="208"/>
      <c r="K232" s="208"/>
      <c r="L232" s="208"/>
      <c r="M232" s="209"/>
    </row>
    <row r="233" spans="1:13" x14ac:dyDescent="0.25">
      <c r="A233" s="15" t="s">
        <v>83</v>
      </c>
      <c r="B233" s="27">
        <v>18261</v>
      </c>
      <c r="C233" s="15">
        <v>8918</v>
      </c>
      <c r="D233" s="27">
        <v>785</v>
      </c>
      <c r="E233" s="15">
        <v>374</v>
      </c>
      <c r="F233" s="15">
        <v>17557</v>
      </c>
      <c r="G233" s="15">
        <v>8601</v>
      </c>
      <c r="H233" s="15">
        <v>781</v>
      </c>
      <c r="I233" s="15">
        <v>372</v>
      </c>
      <c r="J233" s="15">
        <v>704</v>
      </c>
      <c r="K233" s="15">
        <v>317</v>
      </c>
      <c r="L233" s="15">
        <v>4</v>
      </c>
      <c r="M233" s="15">
        <v>2</v>
      </c>
    </row>
    <row r="234" spans="1:13" ht="30" x14ac:dyDescent="0.25">
      <c r="A234" s="15" t="s">
        <v>151</v>
      </c>
      <c r="B234" s="15">
        <v>5698</v>
      </c>
      <c r="C234" s="15">
        <v>3105</v>
      </c>
      <c r="D234" s="15">
        <v>69</v>
      </c>
      <c r="E234" s="15">
        <v>35</v>
      </c>
      <c r="F234" s="15">
        <v>5323</v>
      </c>
      <c r="G234" s="15">
        <v>2912</v>
      </c>
      <c r="H234" s="15">
        <v>66</v>
      </c>
      <c r="I234" s="15">
        <v>33</v>
      </c>
      <c r="J234" s="15">
        <v>375</v>
      </c>
      <c r="K234" s="15">
        <v>193</v>
      </c>
      <c r="L234" s="15">
        <v>3</v>
      </c>
      <c r="M234" s="15">
        <v>2</v>
      </c>
    </row>
    <row r="235" spans="1:13" ht="60" x14ac:dyDescent="0.25">
      <c r="A235" s="15" t="s">
        <v>152</v>
      </c>
      <c r="B235" s="15">
        <v>337</v>
      </c>
      <c r="C235" s="15">
        <v>171</v>
      </c>
      <c r="D235" s="15">
        <v>9</v>
      </c>
      <c r="E235" s="15">
        <v>6</v>
      </c>
      <c r="F235" s="15">
        <v>307</v>
      </c>
      <c r="G235" s="15">
        <v>158</v>
      </c>
      <c r="H235" s="15">
        <v>9</v>
      </c>
      <c r="I235" s="15">
        <v>6</v>
      </c>
      <c r="J235" s="15">
        <v>30</v>
      </c>
      <c r="K235" s="15">
        <v>13</v>
      </c>
      <c r="L235" s="15" t="s">
        <v>84</v>
      </c>
      <c r="M235" s="15" t="s">
        <v>84</v>
      </c>
    </row>
    <row r="236" spans="1:13" ht="30" x14ac:dyDescent="0.25">
      <c r="A236" s="15" t="s">
        <v>85</v>
      </c>
      <c r="B236" s="15">
        <v>9035</v>
      </c>
      <c r="C236" s="15">
        <v>4389</v>
      </c>
      <c r="D236" s="15">
        <v>369</v>
      </c>
      <c r="E236" s="15">
        <v>181</v>
      </c>
      <c r="F236" s="15">
        <v>8893</v>
      </c>
      <c r="G236" s="15">
        <v>4320</v>
      </c>
      <c r="H236" s="15">
        <v>369</v>
      </c>
      <c r="I236" s="15">
        <v>181</v>
      </c>
      <c r="J236" s="15">
        <v>142</v>
      </c>
      <c r="K236" s="15">
        <v>69</v>
      </c>
      <c r="L236" s="15" t="s">
        <v>84</v>
      </c>
      <c r="M236" s="15" t="s">
        <v>84</v>
      </c>
    </row>
    <row r="237" spans="1:13" ht="30" x14ac:dyDescent="0.25">
      <c r="A237" s="15" t="s">
        <v>86</v>
      </c>
      <c r="B237" s="15">
        <v>2283</v>
      </c>
      <c r="C237" s="15">
        <v>914</v>
      </c>
      <c r="D237" s="15">
        <v>176</v>
      </c>
      <c r="E237" s="15">
        <v>78</v>
      </c>
      <c r="F237" s="15">
        <v>2224</v>
      </c>
      <c r="G237" s="15">
        <v>894</v>
      </c>
      <c r="H237" s="15">
        <v>175</v>
      </c>
      <c r="I237" s="15">
        <v>78</v>
      </c>
      <c r="J237" s="15">
        <v>59</v>
      </c>
      <c r="K237" s="15">
        <v>20</v>
      </c>
      <c r="L237" s="15">
        <v>1</v>
      </c>
      <c r="M237" s="15" t="s">
        <v>84</v>
      </c>
    </row>
    <row r="238" spans="1:13" ht="45" x14ac:dyDescent="0.25">
      <c r="A238" s="15" t="s">
        <v>87</v>
      </c>
      <c r="B238" s="15">
        <v>908</v>
      </c>
      <c r="C238" s="15">
        <v>339</v>
      </c>
      <c r="D238" s="15">
        <v>162</v>
      </c>
      <c r="E238" s="15">
        <v>74</v>
      </c>
      <c r="F238" s="15">
        <v>810</v>
      </c>
      <c r="G238" s="15">
        <v>317</v>
      </c>
      <c r="H238" s="15">
        <v>162</v>
      </c>
      <c r="I238" s="15">
        <v>74</v>
      </c>
      <c r="J238" s="15">
        <v>98</v>
      </c>
      <c r="K238" s="15">
        <v>22</v>
      </c>
      <c r="L238" s="15" t="s">
        <v>84</v>
      </c>
      <c r="M238" s="15" t="s">
        <v>84</v>
      </c>
    </row>
    <row r="239" spans="1:13" ht="45" x14ac:dyDescent="0.25">
      <c r="A239" s="15" t="s">
        <v>153</v>
      </c>
      <c r="B239" s="15">
        <v>233</v>
      </c>
      <c r="C239" s="15">
        <v>85</v>
      </c>
      <c r="D239" s="15">
        <v>31</v>
      </c>
      <c r="E239" s="15">
        <v>16</v>
      </c>
      <c r="F239" s="15">
        <v>220</v>
      </c>
      <c r="G239" s="15">
        <v>82</v>
      </c>
      <c r="H239" s="15">
        <v>31</v>
      </c>
      <c r="I239" s="15">
        <v>16</v>
      </c>
      <c r="J239" s="15">
        <v>13</v>
      </c>
      <c r="K239" s="15">
        <v>3</v>
      </c>
      <c r="L239" s="15" t="s">
        <v>84</v>
      </c>
      <c r="M239" s="15" t="s">
        <v>84</v>
      </c>
    </row>
    <row r="240" spans="1:13" ht="60" x14ac:dyDescent="0.25">
      <c r="A240" s="15" t="s">
        <v>154</v>
      </c>
      <c r="B240" s="15">
        <v>145</v>
      </c>
      <c r="C240" s="15">
        <v>62</v>
      </c>
      <c r="D240" s="15">
        <v>5</v>
      </c>
      <c r="E240" s="15">
        <v>3</v>
      </c>
      <c r="F240" s="15">
        <v>95</v>
      </c>
      <c r="G240" s="15">
        <v>45</v>
      </c>
      <c r="H240" s="15">
        <v>5</v>
      </c>
      <c r="I240" s="15">
        <v>3</v>
      </c>
      <c r="J240" s="15">
        <v>50</v>
      </c>
      <c r="K240" s="15">
        <v>17</v>
      </c>
      <c r="L240" s="15" t="s">
        <v>84</v>
      </c>
      <c r="M240" s="15" t="s">
        <v>84</v>
      </c>
    </row>
    <row r="241" spans="1:13" ht="15" customHeight="1" x14ac:dyDescent="0.25">
      <c r="A241" s="207" t="s">
        <v>109</v>
      </c>
      <c r="B241" s="208"/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9"/>
    </row>
    <row r="242" spans="1:13" x14ac:dyDescent="0.25">
      <c r="A242" s="207"/>
      <c r="B242" s="208"/>
      <c r="C242" s="208"/>
      <c r="D242" s="208"/>
      <c r="E242" s="208"/>
      <c r="F242" s="208"/>
      <c r="G242" s="208"/>
      <c r="H242" s="208"/>
      <c r="I242" s="208"/>
      <c r="J242" s="208"/>
      <c r="K242" s="208"/>
      <c r="L242" s="208"/>
      <c r="M242" s="209"/>
    </row>
    <row r="243" spans="1:13" x14ac:dyDescent="0.25">
      <c r="A243" s="15" t="s">
        <v>83</v>
      </c>
      <c r="B243" s="27">
        <v>1628</v>
      </c>
      <c r="C243" s="15">
        <v>811</v>
      </c>
      <c r="D243" s="27">
        <v>65</v>
      </c>
      <c r="E243" s="15">
        <v>25</v>
      </c>
      <c r="F243" s="15">
        <v>1602</v>
      </c>
      <c r="G243" s="15">
        <v>809</v>
      </c>
      <c r="H243" s="15">
        <v>65</v>
      </c>
      <c r="I243" s="15">
        <v>25</v>
      </c>
      <c r="J243" s="15">
        <v>26</v>
      </c>
      <c r="K243" s="15">
        <v>2</v>
      </c>
      <c r="L243" s="15" t="s">
        <v>84</v>
      </c>
      <c r="M243" s="15" t="s">
        <v>84</v>
      </c>
    </row>
    <row r="244" spans="1:13" ht="30" x14ac:dyDescent="0.25">
      <c r="A244" s="15" t="s">
        <v>151</v>
      </c>
      <c r="B244" s="15">
        <v>444</v>
      </c>
      <c r="C244" s="15">
        <v>249</v>
      </c>
      <c r="D244" s="15">
        <v>2</v>
      </c>
      <c r="E244" s="15">
        <v>2</v>
      </c>
      <c r="F244" s="15">
        <v>444</v>
      </c>
      <c r="G244" s="15">
        <v>249</v>
      </c>
      <c r="H244" s="15">
        <v>2</v>
      </c>
      <c r="I244" s="15">
        <v>2</v>
      </c>
      <c r="J244" s="15" t="s">
        <v>84</v>
      </c>
      <c r="K244" s="15" t="s">
        <v>84</v>
      </c>
      <c r="L244" s="15" t="s">
        <v>84</v>
      </c>
      <c r="M244" s="15" t="s">
        <v>84</v>
      </c>
    </row>
    <row r="245" spans="1:13" ht="60" x14ac:dyDescent="0.25">
      <c r="A245" s="15" t="s">
        <v>152</v>
      </c>
      <c r="B245" s="15">
        <v>22</v>
      </c>
      <c r="C245" s="15">
        <v>12</v>
      </c>
      <c r="D245" s="15">
        <v>1</v>
      </c>
      <c r="E245" s="15" t="s">
        <v>84</v>
      </c>
      <c r="F245" s="15">
        <v>22</v>
      </c>
      <c r="G245" s="15">
        <v>12</v>
      </c>
      <c r="H245" s="15">
        <v>1</v>
      </c>
      <c r="I245" s="15" t="s">
        <v>84</v>
      </c>
      <c r="J245" s="15" t="s">
        <v>84</v>
      </c>
      <c r="K245" s="15" t="s">
        <v>84</v>
      </c>
      <c r="L245" s="15" t="s">
        <v>84</v>
      </c>
      <c r="M245" s="15" t="s">
        <v>84</v>
      </c>
    </row>
    <row r="246" spans="1:13" ht="30" x14ac:dyDescent="0.25">
      <c r="A246" s="15" t="s">
        <v>85</v>
      </c>
      <c r="B246" s="15">
        <v>902</v>
      </c>
      <c r="C246" s="15">
        <v>452</v>
      </c>
      <c r="D246" s="15">
        <v>44</v>
      </c>
      <c r="E246" s="15">
        <v>16</v>
      </c>
      <c r="F246" s="15">
        <v>888</v>
      </c>
      <c r="G246" s="15">
        <v>450</v>
      </c>
      <c r="H246" s="15">
        <v>44</v>
      </c>
      <c r="I246" s="15">
        <v>16</v>
      </c>
      <c r="J246" s="15">
        <v>14</v>
      </c>
      <c r="K246" s="15">
        <v>2</v>
      </c>
      <c r="L246" s="15" t="s">
        <v>84</v>
      </c>
      <c r="M246" s="15" t="s">
        <v>84</v>
      </c>
    </row>
    <row r="247" spans="1:13" ht="30" x14ac:dyDescent="0.25">
      <c r="A247" s="15" t="s">
        <v>86</v>
      </c>
      <c r="B247" s="15">
        <v>183</v>
      </c>
      <c r="C247" s="15">
        <v>76</v>
      </c>
      <c r="D247" s="15">
        <v>15</v>
      </c>
      <c r="E247" s="15">
        <v>4</v>
      </c>
      <c r="F247" s="15">
        <v>181</v>
      </c>
      <c r="G247" s="15">
        <v>76</v>
      </c>
      <c r="H247" s="15">
        <v>15</v>
      </c>
      <c r="I247" s="15">
        <v>4</v>
      </c>
      <c r="J247" s="15">
        <v>2</v>
      </c>
      <c r="K247" s="15" t="s">
        <v>84</v>
      </c>
      <c r="L247" s="15" t="s">
        <v>84</v>
      </c>
      <c r="M247" s="15" t="s">
        <v>84</v>
      </c>
    </row>
    <row r="248" spans="1:13" ht="45" x14ac:dyDescent="0.25">
      <c r="A248" s="15" t="s">
        <v>87</v>
      </c>
      <c r="B248" s="15">
        <v>77</v>
      </c>
      <c r="C248" s="15">
        <v>22</v>
      </c>
      <c r="D248" s="15">
        <v>3</v>
      </c>
      <c r="E248" s="15">
        <v>3</v>
      </c>
      <c r="F248" s="15">
        <v>67</v>
      </c>
      <c r="G248" s="15">
        <v>22</v>
      </c>
      <c r="H248" s="15">
        <v>3</v>
      </c>
      <c r="I248" s="15">
        <v>3</v>
      </c>
      <c r="J248" s="15">
        <v>10</v>
      </c>
      <c r="K248" s="15" t="s">
        <v>84</v>
      </c>
      <c r="L248" s="15" t="s">
        <v>84</v>
      </c>
      <c r="M248" s="15" t="s">
        <v>84</v>
      </c>
    </row>
    <row r="249" spans="1:13" ht="45" x14ac:dyDescent="0.25">
      <c r="A249" s="15" t="s">
        <v>153</v>
      </c>
      <c r="B249" s="15">
        <v>30</v>
      </c>
      <c r="C249" s="15">
        <v>6</v>
      </c>
      <c r="D249" s="15">
        <v>2</v>
      </c>
      <c r="E249" s="15">
        <v>2</v>
      </c>
      <c r="F249" s="15">
        <v>28</v>
      </c>
      <c r="G249" s="15">
        <v>6</v>
      </c>
      <c r="H249" s="15">
        <v>2</v>
      </c>
      <c r="I249" s="15">
        <v>2</v>
      </c>
      <c r="J249" s="15">
        <v>2</v>
      </c>
      <c r="K249" s="15" t="s">
        <v>84</v>
      </c>
      <c r="L249" s="15" t="s">
        <v>84</v>
      </c>
      <c r="M249" s="15" t="s">
        <v>84</v>
      </c>
    </row>
    <row r="250" spans="1:13" ht="60" x14ac:dyDescent="0.25">
      <c r="A250" s="15" t="s">
        <v>154</v>
      </c>
      <c r="B250" s="15">
        <v>12</v>
      </c>
      <c r="C250" s="15">
        <v>6</v>
      </c>
      <c r="D250" s="15">
        <v>1</v>
      </c>
      <c r="E250" s="15">
        <v>1</v>
      </c>
      <c r="F250" s="15">
        <v>12</v>
      </c>
      <c r="G250" s="15">
        <v>6</v>
      </c>
      <c r="H250" s="15">
        <v>1</v>
      </c>
      <c r="I250" s="15">
        <v>1</v>
      </c>
      <c r="J250" s="15" t="s">
        <v>84</v>
      </c>
      <c r="K250" s="15" t="s">
        <v>84</v>
      </c>
      <c r="L250" s="15" t="s">
        <v>84</v>
      </c>
      <c r="M250" s="15" t="s">
        <v>84</v>
      </c>
    </row>
    <row r="251" spans="1:13" ht="15" customHeight="1" x14ac:dyDescent="0.25">
      <c r="A251" s="207" t="s">
        <v>110</v>
      </c>
      <c r="B251" s="208"/>
      <c r="C251" s="208"/>
      <c r="D251" s="208"/>
      <c r="E251" s="208"/>
      <c r="F251" s="208"/>
      <c r="G251" s="208"/>
      <c r="H251" s="208"/>
      <c r="I251" s="208"/>
      <c r="J251" s="208"/>
      <c r="K251" s="208"/>
      <c r="L251" s="208"/>
      <c r="M251" s="209"/>
    </row>
    <row r="252" spans="1:13" x14ac:dyDescent="0.25">
      <c r="A252" s="207"/>
      <c r="B252" s="208"/>
      <c r="C252" s="208"/>
      <c r="D252" s="208"/>
      <c r="E252" s="208"/>
      <c r="F252" s="208"/>
      <c r="G252" s="208"/>
      <c r="H252" s="208"/>
      <c r="I252" s="208"/>
      <c r="J252" s="208"/>
      <c r="K252" s="208"/>
      <c r="L252" s="208"/>
      <c r="M252" s="209"/>
    </row>
    <row r="253" spans="1:13" x14ac:dyDescent="0.25">
      <c r="A253" s="15" t="s">
        <v>83</v>
      </c>
      <c r="B253" s="27">
        <v>2121</v>
      </c>
      <c r="C253" s="15">
        <v>1006</v>
      </c>
      <c r="D253" s="27">
        <v>91</v>
      </c>
      <c r="E253" s="15">
        <v>42</v>
      </c>
      <c r="F253" s="15">
        <v>2016</v>
      </c>
      <c r="G253" s="15">
        <v>953</v>
      </c>
      <c r="H253" s="15">
        <v>91</v>
      </c>
      <c r="I253" s="15">
        <v>42</v>
      </c>
      <c r="J253" s="15">
        <v>105</v>
      </c>
      <c r="K253" s="15">
        <v>53</v>
      </c>
      <c r="L253" s="15" t="s">
        <v>84</v>
      </c>
      <c r="M253" s="15" t="s">
        <v>84</v>
      </c>
    </row>
    <row r="254" spans="1:13" ht="30" x14ac:dyDescent="0.25">
      <c r="A254" s="15" t="s">
        <v>151</v>
      </c>
      <c r="B254" s="15">
        <v>488</v>
      </c>
      <c r="C254" s="15">
        <v>265</v>
      </c>
      <c r="D254" s="15">
        <v>6</v>
      </c>
      <c r="E254" s="15">
        <v>1</v>
      </c>
      <c r="F254" s="15">
        <v>423</v>
      </c>
      <c r="G254" s="15">
        <v>233</v>
      </c>
      <c r="H254" s="15">
        <v>6</v>
      </c>
      <c r="I254" s="15">
        <v>1</v>
      </c>
      <c r="J254" s="15">
        <v>65</v>
      </c>
      <c r="K254" s="15">
        <v>32</v>
      </c>
      <c r="L254" s="15" t="s">
        <v>84</v>
      </c>
      <c r="M254" s="15" t="s">
        <v>84</v>
      </c>
    </row>
    <row r="255" spans="1:13" ht="60" x14ac:dyDescent="0.25">
      <c r="A255" s="15" t="s">
        <v>152</v>
      </c>
      <c r="B255" s="15">
        <v>33</v>
      </c>
      <c r="C255" s="15">
        <v>17</v>
      </c>
      <c r="D255" s="15">
        <v>1</v>
      </c>
      <c r="E255" s="15">
        <v>1</v>
      </c>
      <c r="F255" s="15">
        <v>24</v>
      </c>
      <c r="G255" s="15">
        <v>14</v>
      </c>
      <c r="H255" s="15">
        <v>1</v>
      </c>
      <c r="I255" s="15">
        <v>1</v>
      </c>
      <c r="J255" s="15">
        <v>9</v>
      </c>
      <c r="K255" s="15">
        <v>3</v>
      </c>
      <c r="L255" s="15" t="s">
        <v>84</v>
      </c>
      <c r="M255" s="15" t="s">
        <v>84</v>
      </c>
    </row>
    <row r="256" spans="1:13" ht="30" x14ac:dyDescent="0.25">
      <c r="A256" s="15" t="s">
        <v>85</v>
      </c>
      <c r="B256" s="15">
        <v>1120</v>
      </c>
      <c r="C256" s="15">
        <v>538</v>
      </c>
      <c r="D256" s="15">
        <v>35</v>
      </c>
      <c r="E256" s="15">
        <v>19</v>
      </c>
      <c r="F256" s="15">
        <v>1100</v>
      </c>
      <c r="G256" s="15">
        <v>526</v>
      </c>
      <c r="H256" s="15">
        <v>35</v>
      </c>
      <c r="I256" s="15">
        <v>19</v>
      </c>
      <c r="J256" s="15">
        <v>20</v>
      </c>
      <c r="K256" s="15">
        <v>12</v>
      </c>
      <c r="L256" s="15" t="s">
        <v>84</v>
      </c>
      <c r="M256" s="15" t="s">
        <v>84</v>
      </c>
    </row>
    <row r="257" spans="1:13" ht="30" x14ac:dyDescent="0.25">
      <c r="A257" s="15" t="s">
        <v>86</v>
      </c>
      <c r="B257" s="15">
        <v>338</v>
      </c>
      <c r="C257" s="15">
        <v>129</v>
      </c>
      <c r="D257" s="15">
        <v>22</v>
      </c>
      <c r="E257" s="15">
        <v>7</v>
      </c>
      <c r="F257" s="15">
        <v>328</v>
      </c>
      <c r="G257" s="15">
        <v>124</v>
      </c>
      <c r="H257" s="15">
        <v>22</v>
      </c>
      <c r="I257" s="15">
        <v>7</v>
      </c>
      <c r="J257" s="15">
        <v>10</v>
      </c>
      <c r="K257" s="15">
        <v>5</v>
      </c>
      <c r="L257" s="15" t="s">
        <v>84</v>
      </c>
      <c r="M257" s="15" t="s">
        <v>84</v>
      </c>
    </row>
    <row r="258" spans="1:13" ht="45" x14ac:dyDescent="0.25">
      <c r="A258" s="15" t="s">
        <v>87</v>
      </c>
      <c r="B258" s="15">
        <v>142</v>
      </c>
      <c r="C258" s="15">
        <v>57</v>
      </c>
      <c r="D258" s="15">
        <v>27</v>
      </c>
      <c r="E258" s="15">
        <v>14</v>
      </c>
      <c r="F258" s="15">
        <v>141</v>
      </c>
      <c r="G258" s="15">
        <v>56</v>
      </c>
      <c r="H258" s="15">
        <v>27</v>
      </c>
      <c r="I258" s="15">
        <v>14</v>
      </c>
      <c r="J258" s="15">
        <v>1</v>
      </c>
      <c r="K258" s="15">
        <v>1</v>
      </c>
      <c r="L258" s="15" t="s">
        <v>84</v>
      </c>
      <c r="M258" s="15" t="s">
        <v>84</v>
      </c>
    </row>
    <row r="259" spans="1:13" ht="45" x14ac:dyDescent="0.25">
      <c r="A259" s="15" t="s">
        <v>153</v>
      </c>
      <c r="B259" s="15">
        <v>28</v>
      </c>
      <c r="C259" s="15">
        <v>9</v>
      </c>
      <c r="D259" s="15">
        <v>5</v>
      </c>
      <c r="E259" s="15">
        <v>1</v>
      </c>
      <c r="F259" s="15">
        <v>28</v>
      </c>
      <c r="G259" s="15">
        <v>9</v>
      </c>
      <c r="H259" s="15">
        <v>5</v>
      </c>
      <c r="I259" s="15">
        <v>1</v>
      </c>
      <c r="J259" s="15" t="s">
        <v>84</v>
      </c>
      <c r="K259" s="15" t="s">
        <v>84</v>
      </c>
      <c r="L259" s="15" t="s">
        <v>84</v>
      </c>
      <c r="M259" s="15" t="s">
        <v>84</v>
      </c>
    </row>
    <row r="260" spans="1:13" ht="60" x14ac:dyDescent="0.25">
      <c r="A260" s="15" t="s">
        <v>154</v>
      </c>
      <c r="B260" s="15">
        <v>27</v>
      </c>
      <c r="C260" s="15">
        <v>11</v>
      </c>
      <c r="D260" s="15">
        <v>2</v>
      </c>
      <c r="E260" s="15">
        <v>1</v>
      </c>
      <c r="F260" s="15">
        <v>27</v>
      </c>
      <c r="G260" s="15">
        <v>11</v>
      </c>
      <c r="H260" s="15">
        <v>2</v>
      </c>
      <c r="I260" s="15">
        <v>1</v>
      </c>
      <c r="J260" s="15" t="s">
        <v>84</v>
      </c>
      <c r="K260" s="15" t="s">
        <v>84</v>
      </c>
      <c r="L260" s="15" t="s">
        <v>84</v>
      </c>
      <c r="M260" s="15" t="s">
        <v>84</v>
      </c>
    </row>
    <row r="261" spans="1:13" ht="15" customHeight="1" x14ac:dyDescent="0.25">
      <c r="A261" s="207" t="s">
        <v>111</v>
      </c>
      <c r="B261" s="208"/>
      <c r="C261" s="208"/>
      <c r="D261" s="208"/>
      <c r="E261" s="208"/>
      <c r="F261" s="208"/>
      <c r="G261" s="208"/>
      <c r="H261" s="208"/>
      <c r="I261" s="208"/>
      <c r="J261" s="208"/>
      <c r="K261" s="208"/>
      <c r="L261" s="208"/>
      <c r="M261" s="209"/>
    </row>
    <row r="262" spans="1:13" x14ac:dyDescent="0.25">
      <c r="A262" s="207"/>
      <c r="B262" s="208"/>
      <c r="C262" s="208"/>
      <c r="D262" s="208"/>
      <c r="E262" s="208"/>
      <c r="F262" s="208"/>
      <c r="G262" s="208"/>
      <c r="H262" s="208"/>
      <c r="I262" s="208"/>
      <c r="J262" s="208"/>
      <c r="K262" s="208"/>
      <c r="L262" s="208"/>
      <c r="M262" s="209"/>
    </row>
    <row r="263" spans="1:13" x14ac:dyDescent="0.25">
      <c r="A263" s="15" t="s">
        <v>83</v>
      </c>
      <c r="B263" s="27">
        <v>2547</v>
      </c>
      <c r="C263" s="15">
        <v>1222</v>
      </c>
      <c r="D263" s="27">
        <v>94</v>
      </c>
      <c r="E263" s="15">
        <v>43</v>
      </c>
      <c r="F263" s="15">
        <v>2510</v>
      </c>
      <c r="G263" s="15">
        <v>1201</v>
      </c>
      <c r="H263" s="15">
        <v>94</v>
      </c>
      <c r="I263" s="15">
        <v>43</v>
      </c>
      <c r="J263" s="15">
        <v>37</v>
      </c>
      <c r="K263" s="15">
        <v>21</v>
      </c>
      <c r="L263" s="15" t="s">
        <v>84</v>
      </c>
      <c r="M263" s="15" t="s">
        <v>84</v>
      </c>
    </row>
    <row r="264" spans="1:13" ht="30" x14ac:dyDescent="0.25">
      <c r="A264" s="15" t="s">
        <v>151</v>
      </c>
      <c r="B264" s="15">
        <v>1004</v>
      </c>
      <c r="C264" s="15">
        <v>519</v>
      </c>
      <c r="D264" s="15">
        <v>10</v>
      </c>
      <c r="E264" s="15">
        <v>7</v>
      </c>
      <c r="F264" s="15">
        <v>986</v>
      </c>
      <c r="G264" s="15">
        <v>512</v>
      </c>
      <c r="H264" s="15">
        <v>10</v>
      </c>
      <c r="I264" s="15">
        <v>7</v>
      </c>
      <c r="J264" s="15">
        <v>18</v>
      </c>
      <c r="K264" s="15">
        <v>7</v>
      </c>
      <c r="L264" s="15" t="s">
        <v>84</v>
      </c>
      <c r="M264" s="15" t="s">
        <v>84</v>
      </c>
    </row>
    <row r="265" spans="1:13" ht="60" x14ac:dyDescent="0.25">
      <c r="A265" s="15" t="s">
        <v>152</v>
      </c>
      <c r="B265" s="15">
        <v>38</v>
      </c>
      <c r="C265" s="15">
        <v>14</v>
      </c>
      <c r="D265" s="15" t="s">
        <v>84</v>
      </c>
      <c r="E265" s="15" t="s">
        <v>84</v>
      </c>
      <c r="F265" s="15">
        <v>36</v>
      </c>
      <c r="G265" s="15">
        <v>12</v>
      </c>
      <c r="H265" s="15" t="s">
        <v>84</v>
      </c>
      <c r="I265" s="15" t="s">
        <v>84</v>
      </c>
      <c r="J265" s="15">
        <v>2</v>
      </c>
      <c r="K265" s="15">
        <v>2</v>
      </c>
      <c r="L265" s="15" t="s">
        <v>84</v>
      </c>
      <c r="M265" s="15" t="s">
        <v>84</v>
      </c>
    </row>
    <row r="266" spans="1:13" ht="30" x14ac:dyDescent="0.25">
      <c r="A266" s="15" t="s">
        <v>85</v>
      </c>
      <c r="B266" s="15">
        <v>1130</v>
      </c>
      <c r="C266" s="15">
        <v>559</v>
      </c>
      <c r="D266" s="15">
        <v>53</v>
      </c>
      <c r="E266" s="15">
        <v>25</v>
      </c>
      <c r="F266" s="15">
        <v>1119</v>
      </c>
      <c r="G266" s="15">
        <v>550</v>
      </c>
      <c r="H266" s="15">
        <v>53</v>
      </c>
      <c r="I266" s="15">
        <v>25</v>
      </c>
      <c r="J266" s="15">
        <v>11</v>
      </c>
      <c r="K266" s="15">
        <v>9</v>
      </c>
      <c r="L266" s="15" t="s">
        <v>84</v>
      </c>
      <c r="M266" s="15" t="s">
        <v>84</v>
      </c>
    </row>
    <row r="267" spans="1:13" ht="30" x14ac:dyDescent="0.25">
      <c r="A267" s="15" t="s">
        <v>86</v>
      </c>
      <c r="B267" s="15">
        <v>305</v>
      </c>
      <c r="C267" s="15">
        <v>101</v>
      </c>
      <c r="D267" s="15">
        <v>21</v>
      </c>
      <c r="E267" s="15">
        <v>8</v>
      </c>
      <c r="F267" s="15">
        <v>301</v>
      </c>
      <c r="G267" s="15">
        <v>98</v>
      </c>
      <c r="H267" s="15">
        <v>21</v>
      </c>
      <c r="I267" s="15">
        <v>8</v>
      </c>
      <c r="J267" s="15">
        <v>4</v>
      </c>
      <c r="K267" s="15">
        <v>3</v>
      </c>
      <c r="L267" s="15" t="s">
        <v>84</v>
      </c>
      <c r="M267" s="15" t="s">
        <v>84</v>
      </c>
    </row>
    <row r="268" spans="1:13" ht="45" x14ac:dyDescent="0.25">
      <c r="A268" s="15" t="s">
        <v>87</v>
      </c>
      <c r="B268" s="15">
        <v>70</v>
      </c>
      <c r="C268" s="15">
        <v>29</v>
      </c>
      <c r="D268" s="15">
        <v>10</v>
      </c>
      <c r="E268" s="15">
        <v>3</v>
      </c>
      <c r="F268" s="15">
        <v>68</v>
      </c>
      <c r="G268" s="15">
        <v>29</v>
      </c>
      <c r="H268" s="15">
        <v>10</v>
      </c>
      <c r="I268" s="15">
        <v>3</v>
      </c>
      <c r="J268" s="15">
        <v>2</v>
      </c>
      <c r="K268" s="15" t="s">
        <v>84</v>
      </c>
      <c r="L268" s="15" t="s">
        <v>84</v>
      </c>
      <c r="M268" s="15" t="s">
        <v>84</v>
      </c>
    </row>
    <row r="269" spans="1:13" ht="45" x14ac:dyDescent="0.25">
      <c r="A269" s="15" t="s">
        <v>153</v>
      </c>
      <c r="B269" s="15">
        <v>16</v>
      </c>
      <c r="C269" s="15">
        <v>8</v>
      </c>
      <c r="D269" s="15">
        <v>2</v>
      </c>
      <c r="E269" s="15">
        <v>1</v>
      </c>
      <c r="F269" s="15">
        <v>16</v>
      </c>
      <c r="G269" s="15">
        <v>8</v>
      </c>
      <c r="H269" s="15">
        <v>2</v>
      </c>
      <c r="I269" s="15">
        <v>1</v>
      </c>
      <c r="J269" s="15" t="s">
        <v>84</v>
      </c>
      <c r="K269" s="15" t="s">
        <v>84</v>
      </c>
      <c r="L269" s="15" t="s">
        <v>84</v>
      </c>
      <c r="M269" s="15" t="s">
        <v>84</v>
      </c>
    </row>
    <row r="270" spans="1:13" ht="60" x14ac:dyDescent="0.25">
      <c r="A270" s="15" t="s">
        <v>154</v>
      </c>
      <c r="B270" s="15">
        <v>21</v>
      </c>
      <c r="C270" s="15">
        <v>9</v>
      </c>
      <c r="D270" s="15" t="s">
        <v>84</v>
      </c>
      <c r="E270" s="15" t="s">
        <v>84</v>
      </c>
      <c r="F270" s="15">
        <v>21</v>
      </c>
      <c r="G270" s="15">
        <v>9</v>
      </c>
      <c r="H270" s="15" t="s">
        <v>84</v>
      </c>
      <c r="I270" s="15" t="s">
        <v>84</v>
      </c>
      <c r="J270" s="15" t="s">
        <v>84</v>
      </c>
      <c r="K270" s="15" t="s">
        <v>84</v>
      </c>
      <c r="L270" s="15" t="s">
        <v>84</v>
      </c>
      <c r="M270" s="15" t="s">
        <v>84</v>
      </c>
    </row>
    <row r="271" spans="1:13" ht="15" customHeight="1" x14ac:dyDescent="0.25">
      <c r="A271" s="207" t="s">
        <v>112</v>
      </c>
      <c r="B271" s="208"/>
      <c r="C271" s="208"/>
      <c r="D271" s="208"/>
      <c r="E271" s="208"/>
      <c r="F271" s="208"/>
      <c r="G271" s="208"/>
      <c r="H271" s="208"/>
      <c r="I271" s="208"/>
      <c r="J271" s="208"/>
      <c r="K271" s="208"/>
      <c r="L271" s="208"/>
      <c r="M271" s="209"/>
    </row>
    <row r="272" spans="1:13" x14ac:dyDescent="0.25">
      <c r="A272" s="207"/>
      <c r="B272" s="208"/>
      <c r="C272" s="208"/>
      <c r="D272" s="208"/>
      <c r="E272" s="208"/>
      <c r="F272" s="208"/>
      <c r="G272" s="208"/>
      <c r="H272" s="208"/>
      <c r="I272" s="208"/>
      <c r="J272" s="208"/>
      <c r="K272" s="208"/>
      <c r="L272" s="208"/>
      <c r="M272" s="209"/>
    </row>
    <row r="273" spans="1:13" x14ac:dyDescent="0.25">
      <c r="A273" s="15" t="s">
        <v>83</v>
      </c>
      <c r="B273" s="27">
        <v>535</v>
      </c>
      <c r="C273" s="15">
        <v>268</v>
      </c>
      <c r="D273" s="27">
        <v>22</v>
      </c>
      <c r="E273" s="15">
        <v>6</v>
      </c>
      <c r="F273" s="15">
        <v>471</v>
      </c>
      <c r="G273" s="15">
        <v>237</v>
      </c>
      <c r="H273" s="15">
        <v>22</v>
      </c>
      <c r="I273" s="15">
        <v>6</v>
      </c>
      <c r="J273" s="15">
        <v>64</v>
      </c>
      <c r="K273" s="15">
        <v>31</v>
      </c>
      <c r="L273" s="15" t="s">
        <v>84</v>
      </c>
      <c r="M273" s="15" t="s">
        <v>84</v>
      </c>
    </row>
    <row r="274" spans="1:13" ht="30" x14ac:dyDescent="0.25">
      <c r="A274" s="15" t="s">
        <v>151</v>
      </c>
      <c r="B274" s="15">
        <v>134</v>
      </c>
      <c r="C274" s="15">
        <v>74</v>
      </c>
      <c r="D274" s="15" t="s">
        <v>84</v>
      </c>
      <c r="E274" s="15" t="s">
        <v>84</v>
      </c>
      <c r="F274" s="15">
        <v>121</v>
      </c>
      <c r="G274" s="15">
        <v>67</v>
      </c>
      <c r="H274" s="15" t="s">
        <v>84</v>
      </c>
      <c r="I274" s="15" t="s">
        <v>84</v>
      </c>
      <c r="J274" s="15">
        <v>13</v>
      </c>
      <c r="K274" s="15">
        <v>7</v>
      </c>
      <c r="L274" s="15" t="s">
        <v>84</v>
      </c>
      <c r="M274" s="15" t="s">
        <v>84</v>
      </c>
    </row>
    <row r="275" spans="1:13" ht="60" x14ac:dyDescent="0.25">
      <c r="A275" s="15" t="s">
        <v>152</v>
      </c>
      <c r="B275" s="15">
        <v>4</v>
      </c>
      <c r="C275" s="15">
        <v>1</v>
      </c>
      <c r="D275" s="15" t="s">
        <v>84</v>
      </c>
      <c r="E275" s="15" t="s">
        <v>84</v>
      </c>
      <c r="F275" s="15">
        <v>4</v>
      </c>
      <c r="G275" s="15">
        <v>1</v>
      </c>
      <c r="H275" s="15" t="s">
        <v>84</v>
      </c>
      <c r="I275" s="15" t="s">
        <v>84</v>
      </c>
      <c r="J275" s="15" t="s">
        <v>84</v>
      </c>
      <c r="K275" s="15" t="s">
        <v>84</v>
      </c>
      <c r="L275" s="15" t="s">
        <v>84</v>
      </c>
      <c r="M275" s="15" t="s">
        <v>84</v>
      </c>
    </row>
    <row r="276" spans="1:13" ht="30" x14ac:dyDescent="0.25">
      <c r="A276" s="15" t="s">
        <v>85</v>
      </c>
      <c r="B276" s="15">
        <v>281</v>
      </c>
      <c r="C276" s="15">
        <v>141</v>
      </c>
      <c r="D276" s="15">
        <v>7</v>
      </c>
      <c r="E276" s="15">
        <v>1</v>
      </c>
      <c r="F276" s="15">
        <v>258</v>
      </c>
      <c r="G276" s="15">
        <v>128</v>
      </c>
      <c r="H276" s="15">
        <v>7</v>
      </c>
      <c r="I276" s="15">
        <v>1</v>
      </c>
      <c r="J276" s="15">
        <v>23</v>
      </c>
      <c r="K276" s="15">
        <v>13</v>
      </c>
      <c r="L276" s="15" t="s">
        <v>84</v>
      </c>
      <c r="M276" s="15" t="s">
        <v>84</v>
      </c>
    </row>
    <row r="277" spans="1:13" ht="30" x14ac:dyDescent="0.25">
      <c r="A277" s="15" t="s">
        <v>86</v>
      </c>
      <c r="B277" s="15">
        <v>82</v>
      </c>
      <c r="C277" s="15">
        <v>41</v>
      </c>
      <c r="D277" s="15">
        <v>6</v>
      </c>
      <c r="E277" s="15">
        <v>1</v>
      </c>
      <c r="F277" s="15">
        <v>67</v>
      </c>
      <c r="G277" s="15">
        <v>34</v>
      </c>
      <c r="H277" s="15">
        <v>6</v>
      </c>
      <c r="I277" s="15">
        <v>1</v>
      </c>
      <c r="J277" s="15">
        <v>15</v>
      </c>
      <c r="K277" s="15">
        <v>7</v>
      </c>
      <c r="L277" s="15" t="s">
        <v>84</v>
      </c>
      <c r="M277" s="15" t="s">
        <v>84</v>
      </c>
    </row>
    <row r="278" spans="1:13" ht="45" x14ac:dyDescent="0.25">
      <c r="A278" s="15" t="s">
        <v>87</v>
      </c>
      <c r="B278" s="15">
        <v>34</v>
      </c>
      <c r="C278" s="15">
        <v>11</v>
      </c>
      <c r="D278" s="15">
        <v>9</v>
      </c>
      <c r="E278" s="15">
        <v>4</v>
      </c>
      <c r="F278" s="15">
        <v>21</v>
      </c>
      <c r="G278" s="15">
        <v>7</v>
      </c>
      <c r="H278" s="15">
        <v>9</v>
      </c>
      <c r="I278" s="15">
        <v>4</v>
      </c>
      <c r="J278" s="15">
        <v>13</v>
      </c>
      <c r="K278" s="15">
        <v>4</v>
      </c>
      <c r="L278" s="15" t="s">
        <v>84</v>
      </c>
      <c r="M278" s="15" t="s">
        <v>84</v>
      </c>
    </row>
    <row r="279" spans="1:13" ht="45" x14ac:dyDescent="0.25">
      <c r="A279" s="15" t="s">
        <v>153</v>
      </c>
      <c r="B279" s="15">
        <v>7</v>
      </c>
      <c r="C279" s="15">
        <v>3</v>
      </c>
      <c r="D279" s="15">
        <v>3</v>
      </c>
      <c r="E279" s="15">
        <v>2</v>
      </c>
      <c r="F279" s="15">
        <v>5</v>
      </c>
      <c r="G279" s="15">
        <v>2</v>
      </c>
      <c r="H279" s="15">
        <v>3</v>
      </c>
      <c r="I279" s="15">
        <v>2</v>
      </c>
      <c r="J279" s="15">
        <v>2</v>
      </c>
      <c r="K279" s="15">
        <v>1</v>
      </c>
      <c r="L279" s="15" t="s">
        <v>84</v>
      </c>
      <c r="M279" s="15" t="s">
        <v>84</v>
      </c>
    </row>
    <row r="280" spans="1:13" ht="60" x14ac:dyDescent="0.25">
      <c r="A280" s="15" t="s">
        <v>154</v>
      </c>
      <c r="B280" s="15">
        <v>7</v>
      </c>
      <c r="C280" s="15">
        <v>2</v>
      </c>
      <c r="D280" s="15" t="s">
        <v>84</v>
      </c>
      <c r="E280" s="15" t="s">
        <v>84</v>
      </c>
      <c r="F280" s="15" t="s">
        <v>84</v>
      </c>
      <c r="G280" s="15" t="s">
        <v>84</v>
      </c>
      <c r="H280" s="15" t="s">
        <v>84</v>
      </c>
      <c r="I280" s="15" t="s">
        <v>84</v>
      </c>
      <c r="J280" s="15">
        <v>7</v>
      </c>
      <c r="K280" s="15">
        <v>2</v>
      </c>
      <c r="L280" s="15" t="s">
        <v>84</v>
      </c>
      <c r="M280" s="15" t="s">
        <v>84</v>
      </c>
    </row>
    <row r="281" spans="1:13" ht="15" customHeight="1" x14ac:dyDescent="0.25">
      <c r="A281" s="207" t="s">
        <v>113</v>
      </c>
      <c r="B281" s="208"/>
      <c r="C281" s="208"/>
      <c r="D281" s="208"/>
      <c r="E281" s="208"/>
      <c r="F281" s="208"/>
      <c r="G281" s="208"/>
      <c r="H281" s="208"/>
      <c r="I281" s="208"/>
      <c r="J281" s="208"/>
      <c r="K281" s="208"/>
      <c r="L281" s="208"/>
      <c r="M281" s="209"/>
    </row>
    <row r="282" spans="1:13" x14ac:dyDescent="0.25">
      <c r="A282" s="207"/>
      <c r="B282" s="208"/>
      <c r="C282" s="208"/>
      <c r="D282" s="208"/>
      <c r="E282" s="208"/>
      <c r="F282" s="208"/>
      <c r="G282" s="208"/>
      <c r="H282" s="208"/>
      <c r="I282" s="208"/>
      <c r="J282" s="208"/>
      <c r="K282" s="208"/>
      <c r="L282" s="208"/>
      <c r="M282" s="209"/>
    </row>
    <row r="283" spans="1:13" x14ac:dyDescent="0.25">
      <c r="A283" s="15" t="s">
        <v>83</v>
      </c>
      <c r="B283" s="27">
        <v>1956</v>
      </c>
      <c r="C283" s="15">
        <v>922</v>
      </c>
      <c r="D283" s="27">
        <v>72</v>
      </c>
      <c r="E283" s="15">
        <v>31</v>
      </c>
      <c r="F283" s="15">
        <v>1825</v>
      </c>
      <c r="G283" s="15">
        <v>862</v>
      </c>
      <c r="H283" s="15">
        <v>69</v>
      </c>
      <c r="I283" s="15">
        <v>29</v>
      </c>
      <c r="J283" s="15">
        <v>131</v>
      </c>
      <c r="K283" s="15">
        <v>60</v>
      </c>
      <c r="L283" s="15">
        <v>3</v>
      </c>
      <c r="M283" s="15">
        <v>2</v>
      </c>
    </row>
    <row r="284" spans="1:13" ht="30" x14ac:dyDescent="0.25">
      <c r="A284" s="15" t="s">
        <v>151</v>
      </c>
      <c r="B284" s="15">
        <v>753</v>
      </c>
      <c r="C284" s="15">
        <v>375</v>
      </c>
      <c r="D284" s="15">
        <v>8</v>
      </c>
      <c r="E284" s="15">
        <v>5</v>
      </c>
      <c r="F284" s="15">
        <v>649</v>
      </c>
      <c r="G284" s="15">
        <v>327</v>
      </c>
      <c r="H284" s="15">
        <v>5</v>
      </c>
      <c r="I284" s="15">
        <v>3</v>
      </c>
      <c r="J284" s="15">
        <v>104</v>
      </c>
      <c r="K284" s="15">
        <v>48</v>
      </c>
      <c r="L284" s="15">
        <v>3</v>
      </c>
      <c r="M284" s="15">
        <v>2</v>
      </c>
    </row>
    <row r="285" spans="1:13" ht="60" x14ac:dyDescent="0.25">
      <c r="A285" s="15" t="s">
        <v>152</v>
      </c>
      <c r="B285" s="15">
        <v>57</v>
      </c>
      <c r="C285" s="15">
        <v>32</v>
      </c>
      <c r="D285" s="15" t="s">
        <v>84</v>
      </c>
      <c r="E285" s="15" t="s">
        <v>84</v>
      </c>
      <c r="F285" s="15">
        <v>53</v>
      </c>
      <c r="G285" s="15">
        <v>30</v>
      </c>
      <c r="H285" s="15" t="s">
        <v>84</v>
      </c>
      <c r="I285" s="15" t="s">
        <v>84</v>
      </c>
      <c r="J285" s="15">
        <v>4</v>
      </c>
      <c r="K285" s="15">
        <v>2</v>
      </c>
      <c r="L285" s="15" t="s">
        <v>84</v>
      </c>
      <c r="M285" s="15" t="s">
        <v>84</v>
      </c>
    </row>
    <row r="286" spans="1:13" ht="30" x14ac:dyDescent="0.25">
      <c r="A286" s="15" t="s">
        <v>85</v>
      </c>
      <c r="B286" s="15">
        <v>889</v>
      </c>
      <c r="C286" s="15">
        <v>397</v>
      </c>
      <c r="D286" s="15">
        <v>36</v>
      </c>
      <c r="E286" s="15">
        <v>14</v>
      </c>
      <c r="F286" s="15">
        <v>867</v>
      </c>
      <c r="G286" s="15">
        <v>388</v>
      </c>
      <c r="H286" s="15">
        <v>36</v>
      </c>
      <c r="I286" s="15">
        <v>14</v>
      </c>
      <c r="J286" s="15">
        <v>22</v>
      </c>
      <c r="K286" s="15">
        <v>9</v>
      </c>
      <c r="L286" s="15" t="s">
        <v>84</v>
      </c>
      <c r="M286" s="15" t="s">
        <v>84</v>
      </c>
    </row>
    <row r="287" spans="1:13" ht="30" x14ac:dyDescent="0.25">
      <c r="A287" s="15" t="s">
        <v>86</v>
      </c>
      <c r="B287" s="15">
        <v>185</v>
      </c>
      <c r="C287" s="15">
        <v>85</v>
      </c>
      <c r="D287" s="15">
        <v>20</v>
      </c>
      <c r="E287" s="15">
        <v>8</v>
      </c>
      <c r="F287" s="15">
        <v>184</v>
      </c>
      <c r="G287" s="15">
        <v>84</v>
      </c>
      <c r="H287" s="15">
        <v>20</v>
      </c>
      <c r="I287" s="15">
        <v>8</v>
      </c>
      <c r="J287" s="15">
        <v>1</v>
      </c>
      <c r="K287" s="15">
        <v>1</v>
      </c>
      <c r="L287" s="15" t="s">
        <v>84</v>
      </c>
      <c r="M287" s="15" t="s">
        <v>84</v>
      </c>
    </row>
    <row r="288" spans="1:13" ht="45" x14ac:dyDescent="0.25">
      <c r="A288" s="15" t="s">
        <v>87</v>
      </c>
      <c r="B288" s="15">
        <v>72</v>
      </c>
      <c r="C288" s="15">
        <v>33</v>
      </c>
      <c r="D288" s="15">
        <v>8</v>
      </c>
      <c r="E288" s="15">
        <v>4</v>
      </c>
      <c r="F288" s="15">
        <v>72</v>
      </c>
      <c r="G288" s="15">
        <v>33</v>
      </c>
      <c r="H288" s="15">
        <v>8</v>
      </c>
      <c r="I288" s="15">
        <v>4</v>
      </c>
      <c r="J288" s="15" t="s">
        <v>84</v>
      </c>
      <c r="K288" s="15" t="s">
        <v>84</v>
      </c>
      <c r="L288" s="15" t="s">
        <v>84</v>
      </c>
      <c r="M288" s="15" t="s">
        <v>84</v>
      </c>
    </row>
    <row r="289" spans="1:13" ht="45" x14ac:dyDescent="0.25">
      <c r="A289" s="15" t="s">
        <v>153</v>
      </c>
      <c r="B289" s="15">
        <v>20</v>
      </c>
      <c r="C289" s="15">
        <v>9</v>
      </c>
      <c r="D289" s="15">
        <v>1</v>
      </c>
      <c r="E289" s="15">
        <v>1</v>
      </c>
      <c r="F289" s="15">
        <v>20</v>
      </c>
      <c r="G289" s="15">
        <v>9</v>
      </c>
      <c r="H289" s="15">
        <v>1</v>
      </c>
      <c r="I289" s="15">
        <v>1</v>
      </c>
      <c r="J289" s="15" t="s">
        <v>84</v>
      </c>
      <c r="K289" s="15" t="s">
        <v>84</v>
      </c>
      <c r="L289" s="15" t="s">
        <v>84</v>
      </c>
      <c r="M289" s="15" t="s">
        <v>84</v>
      </c>
    </row>
    <row r="290" spans="1:13" ht="60" x14ac:dyDescent="0.25">
      <c r="A290" s="15" t="s">
        <v>154</v>
      </c>
      <c r="B290" s="15">
        <v>15</v>
      </c>
      <c r="C290" s="15">
        <v>8</v>
      </c>
      <c r="D290" s="15" t="s">
        <v>84</v>
      </c>
      <c r="E290" s="15" t="s">
        <v>84</v>
      </c>
      <c r="F290" s="15">
        <v>15</v>
      </c>
      <c r="G290" s="15">
        <v>8</v>
      </c>
      <c r="H290" s="15" t="s">
        <v>84</v>
      </c>
      <c r="I290" s="15" t="s">
        <v>84</v>
      </c>
      <c r="J290" s="15" t="s">
        <v>84</v>
      </c>
      <c r="K290" s="15" t="s">
        <v>84</v>
      </c>
      <c r="L290" s="15" t="s">
        <v>84</v>
      </c>
      <c r="M290" s="15" t="s">
        <v>84</v>
      </c>
    </row>
    <row r="291" spans="1:13" ht="15" customHeight="1" x14ac:dyDescent="0.25">
      <c r="A291" s="207" t="s">
        <v>114</v>
      </c>
      <c r="B291" s="208"/>
      <c r="C291" s="208"/>
      <c r="D291" s="208"/>
      <c r="E291" s="208"/>
      <c r="F291" s="208"/>
      <c r="G291" s="208"/>
      <c r="H291" s="208"/>
      <c r="I291" s="208"/>
      <c r="J291" s="208"/>
      <c r="K291" s="208"/>
      <c r="L291" s="208"/>
      <c r="M291" s="209"/>
    </row>
    <row r="292" spans="1:13" x14ac:dyDescent="0.25">
      <c r="A292" s="207"/>
      <c r="B292" s="208"/>
      <c r="C292" s="208"/>
      <c r="D292" s="208"/>
      <c r="E292" s="208"/>
      <c r="F292" s="208"/>
      <c r="G292" s="208"/>
      <c r="H292" s="208"/>
      <c r="I292" s="208"/>
      <c r="J292" s="208"/>
      <c r="K292" s="208"/>
      <c r="L292" s="208"/>
      <c r="M292" s="209"/>
    </row>
    <row r="293" spans="1:13" x14ac:dyDescent="0.25">
      <c r="A293" s="15" t="s">
        <v>83</v>
      </c>
      <c r="B293" s="27">
        <v>1269</v>
      </c>
      <c r="C293" s="15">
        <v>643</v>
      </c>
      <c r="D293" s="27">
        <v>38</v>
      </c>
      <c r="E293" s="15">
        <v>22</v>
      </c>
      <c r="F293" s="15">
        <v>1269</v>
      </c>
      <c r="G293" s="15">
        <v>643</v>
      </c>
      <c r="H293" s="15">
        <v>38</v>
      </c>
      <c r="I293" s="15">
        <v>22</v>
      </c>
      <c r="J293" s="15" t="s">
        <v>84</v>
      </c>
      <c r="K293" s="15" t="s">
        <v>84</v>
      </c>
      <c r="L293" s="15" t="s">
        <v>84</v>
      </c>
      <c r="M293" s="15" t="s">
        <v>84</v>
      </c>
    </row>
    <row r="294" spans="1:13" ht="30" x14ac:dyDescent="0.25">
      <c r="A294" s="15" t="s">
        <v>151</v>
      </c>
      <c r="B294" s="15">
        <v>449</v>
      </c>
      <c r="C294" s="15">
        <v>259</v>
      </c>
      <c r="D294" s="15">
        <v>4</v>
      </c>
      <c r="E294" s="15">
        <v>1</v>
      </c>
      <c r="F294" s="15">
        <v>449</v>
      </c>
      <c r="G294" s="15">
        <v>259</v>
      </c>
      <c r="H294" s="15">
        <v>4</v>
      </c>
      <c r="I294" s="15">
        <v>1</v>
      </c>
      <c r="J294" s="15" t="s">
        <v>84</v>
      </c>
      <c r="K294" s="15" t="s">
        <v>84</v>
      </c>
      <c r="L294" s="15" t="s">
        <v>84</v>
      </c>
      <c r="M294" s="15" t="s">
        <v>84</v>
      </c>
    </row>
    <row r="295" spans="1:13" ht="60" x14ac:dyDescent="0.25">
      <c r="A295" s="15" t="s">
        <v>152</v>
      </c>
      <c r="B295" s="15">
        <v>14</v>
      </c>
      <c r="C295" s="15">
        <v>7</v>
      </c>
      <c r="D295" s="15" t="s">
        <v>84</v>
      </c>
      <c r="E295" s="15" t="s">
        <v>84</v>
      </c>
      <c r="F295" s="15">
        <v>14</v>
      </c>
      <c r="G295" s="15">
        <v>7</v>
      </c>
      <c r="H295" s="15" t="s">
        <v>84</v>
      </c>
      <c r="I295" s="15" t="s">
        <v>84</v>
      </c>
      <c r="J295" s="15" t="s">
        <v>84</v>
      </c>
      <c r="K295" s="15" t="s">
        <v>84</v>
      </c>
      <c r="L295" s="15" t="s">
        <v>84</v>
      </c>
      <c r="M295" s="15" t="s">
        <v>84</v>
      </c>
    </row>
    <row r="296" spans="1:13" ht="30" x14ac:dyDescent="0.25">
      <c r="A296" s="15" t="s">
        <v>85</v>
      </c>
      <c r="B296" s="15">
        <v>576</v>
      </c>
      <c r="C296" s="15">
        <v>280</v>
      </c>
      <c r="D296" s="15">
        <v>10</v>
      </c>
      <c r="E296" s="15">
        <v>7</v>
      </c>
      <c r="F296" s="15">
        <v>576</v>
      </c>
      <c r="G296" s="15">
        <v>280</v>
      </c>
      <c r="H296" s="15">
        <v>10</v>
      </c>
      <c r="I296" s="15">
        <v>7</v>
      </c>
      <c r="J296" s="15" t="s">
        <v>84</v>
      </c>
      <c r="K296" s="15" t="s">
        <v>84</v>
      </c>
      <c r="L296" s="15" t="s">
        <v>84</v>
      </c>
      <c r="M296" s="15" t="s">
        <v>84</v>
      </c>
    </row>
    <row r="297" spans="1:13" ht="30" x14ac:dyDescent="0.25">
      <c r="A297" s="15" t="s">
        <v>86</v>
      </c>
      <c r="B297" s="15">
        <v>192</v>
      </c>
      <c r="C297" s="15">
        <v>83</v>
      </c>
      <c r="D297" s="15">
        <v>15</v>
      </c>
      <c r="E297" s="15">
        <v>9</v>
      </c>
      <c r="F297" s="15">
        <v>192</v>
      </c>
      <c r="G297" s="15">
        <v>83</v>
      </c>
      <c r="H297" s="15">
        <v>15</v>
      </c>
      <c r="I297" s="15">
        <v>9</v>
      </c>
      <c r="J297" s="15" t="s">
        <v>84</v>
      </c>
      <c r="K297" s="15" t="s">
        <v>84</v>
      </c>
      <c r="L297" s="15" t="s">
        <v>84</v>
      </c>
      <c r="M297" s="15" t="s">
        <v>84</v>
      </c>
    </row>
    <row r="298" spans="1:13" ht="45" x14ac:dyDescent="0.25">
      <c r="A298" s="15" t="s">
        <v>87</v>
      </c>
      <c r="B298" s="15">
        <v>38</v>
      </c>
      <c r="C298" s="15">
        <v>14</v>
      </c>
      <c r="D298" s="15">
        <v>9</v>
      </c>
      <c r="E298" s="15">
        <v>5</v>
      </c>
      <c r="F298" s="15">
        <v>38</v>
      </c>
      <c r="G298" s="15">
        <v>14</v>
      </c>
      <c r="H298" s="15">
        <v>9</v>
      </c>
      <c r="I298" s="15">
        <v>5</v>
      </c>
      <c r="J298" s="15" t="s">
        <v>84</v>
      </c>
      <c r="K298" s="15" t="s">
        <v>84</v>
      </c>
      <c r="L298" s="15" t="s">
        <v>84</v>
      </c>
      <c r="M298" s="15" t="s">
        <v>84</v>
      </c>
    </row>
    <row r="299" spans="1:13" ht="45" x14ac:dyDescent="0.25">
      <c r="A299" s="15" t="s">
        <v>153</v>
      </c>
      <c r="B299" s="15">
        <v>16</v>
      </c>
      <c r="C299" s="15">
        <v>5</v>
      </c>
      <c r="D299" s="15">
        <v>3</v>
      </c>
      <c r="E299" s="15">
        <v>2</v>
      </c>
      <c r="F299" s="15">
        <v>16</v>
      </c>
      <c r="G299" s="15">
        <v>5</v>
      </c>
      <c r="H299" s="15">
        <v>3</v>
      </c>
      <c r="I299" s="15">
        <v>2</v>
      </c>
      <c r="J299" s="15" t="s">
        <v>84</v>
      </c>
      <c r="K299" s="15" t="s">
        <v>84</v>
      </c>
      <c r="L299" s="15" t="s">
        <v>84</v>
      </c>
      <c r="M299" s="15" t="s">
        <v>84</v>
      </c>
    </row>
    <row r="300" spans="1:13" ht="60" x14ac:dyDescent="0.25">
      <c r="A300" s="15" t="s">
        <v>154</v>
      </c>
      <c r="B300" s="15">
        <v>7</v>
      </c>
      <c r="C300" s="15">
        <v>4</v>
      </c>
      <c r="D300" s="15" t="s">
        <v>84</v>
      </c>
      <c r="E300" s="15" t="s">
        <v>84</v>
      </c>
      <c r="F300" s="15">
        <v>7</v>
      </c>
      <c r="G300" s="15">
        <v>4</v>
      </c>
      <c r="H300" s="15" t="s">
        <v>84</v>
      </c>
      <c r="I300" s="15" t="s">
        <v>84</v>
      </c>
      <c r="J300" s="15" t="s">
        <v>84</v>
      </c>
      <c r="K300" s="15" t="s">
        <v>84</v>
      </c>
      <c r="L300" s="15" t="s">
        <v>84</v>
      </c>
      <c r="M300" s="15" t="s">
        <v>84</v>
      </c>
    </row>
    <row r="301" spans="1:13" ht="15" customHeight="1" x14ac:dyDescent="0.25">
      <c r="A301" s="207" t="s">
        <v>115</v>
      </c>
      <c r="B301" s="208"/>
      <c r="C301" s="208"/>
      <c r="D301" s="208"/>
      <c r="E301" s="208"/>
      <c r="F301" s="208"/>
      <c r="G301" s="208"/>
      <c r="H301" s="208"/>
      <c r="I301" s="208"/>
      <c r="J301" s="208"/>
      <c r="K301" s="208"/>
      <c r="L301" s="208"/>
      <c r="M301" s="209"/>
    </row>
    <row r="302" spans="1:13" x14ac:dyDescent="0.25">
      <c r="A302" s="207"/>
      <c r="B302" s="208"/>
      <c r="C302" s="208"/>
      <c r="D302" s="208"/>
      <c r="E302" s="208"/>
      <c r="F302" s="208"/>
      <c r="G302" s="208"/>
      <c r="H302" s="208"/>
      <c r="I302" s="208"/>
      <c r="J302" s="208"/>
      <c r="K302" s="208"/>
      <c r="L302" s="208"/>
      <c r="M302" s="209"/>
    </row>
    <row r="303" spans="1:13" x14ac:dyDescent="0.25">
      <c r="A303" s="15" t="s">
        <v>83</v>
      </c>
      <c r="B303" s="27">
        <v>1960</v>
      </c>
      <c r="C303" s="15">
        <v>941</v>
      </c>
      <c r="D303" s="27">
        <v>81</v>
      </c>
      <c r="E303" s="15">
        <v>38</v>
      </c>
      <c r="F303" s="15">
        <v>1773</v>
      </c>
      <c r="G303" s="15">
        <v>852</v>
      </c>
      <c r="H303" s="15">
        <v>81</v>
      </c>
      <c r="I303" s="15">
        <v>38</v>
      </c>
      <c r="J303" s="15">
        <v>187</v>
      </c>
      <c r="K303" s="15">
        <v>89</v>
      </c>
      <c r="L303" s="15" t="s">
        <v>84</v>
      </c>
      <c r="M303" s="15" t="s">
        <v>84</v>
      </c>
    </row>
    <row r="304" spans="1:13" ht="30" x14ac:dyDescent="0.25">
      <c r="A304" s="15" t="s">
        <v>151</v>
      </c>
      <c r="B304" s="15">
        <v>609</v>
      </c>
      <c r="C304" s="15">
        <v>323</v>
      </c>
      <c r="D304" s="15">
        <v>6</v>
      </c>
      <c r="E304" s="15">
        <v>2</v>
      </c>
      <c r="F304" s="15">
        <v>472</v>
      </c>
      <c r="G304" s="15">
        <v>250</v>
      </c>
      <c r="H304" s="15">
        <v>6</v>
      </c>
      <c r="I304" s="15">
        <v>2</v>
      </c>
      <c r="J304" s="15">
        <v>137</v>
      </c>
      <c r="K304" s="15">
        <v>73</v>
      </c>
      <c r="L304" s="15" t="s">
        <v>84</v>
      </c>
      <c r="M304" s="15" t="s">
        <v>84</v>
      </c>
    </row>
    <row r="305" spans="1:13" ht="60" x14ac:dyDescent="0.25">
      <c r="A305" s="15" t="s">
        <v>152</v>
      </c>
      <c r="B305" s="15">
        <v>34</v>
      </c>
      <c r="C305" s="15">
        <v>13</v>
      </c>
      <c r="D305" s="15">
        <v>2</v>
      </c>
      <c r="E305" s="15">
        <v>1</v>
      </c>
      <c r="F305" s="15">
        <v>19</v>
      </c>
      <c r="G305" s="15">
        <v>7</v>
      </c>
      <c r="H305" s="15">
        <v>2</v>
      </c>
      <c r="I305" s="15">
        <v>1</v>
      </c>
      <c r="J305" s="15">
        <v>15</v>
      </c>
      <c r="K305" s="15">
        <v>6</v>
      </c>
      <c r="L305" s="15" t="s">
        <v>84</v>
      </c>
      <c r="M305" s="15" t="s">
        <v>84</v>
      </c>
    </row>
    <row r="306" spans="1:13" ht="30" x14ac:dyDescent="0.25">
      <c r="A306" s="15" t="s">
        <v>85</v>
      </c>
      <c r="B306" s="15">
        <v>1005</v>
      </c>
      <c r="C306" s="15">
        <v>493</v>
      </c>
      <c r="D306" s="15">
        <v>41</v>
      </c>
      <c r="E306" s="15">
        <v>27</v>
      </c>
      <c r="F306" s="15">
        <v>1005</v>
      </c>
      <c r="G306" s="15">
        <v>493</v>
      </c>
      <c r="H306" s="15">
        <v>41</v>
      </c>
      <c r="I306" s="15">
        <v>27</v>
      </c>
      <c r="J306" s="15" t="s">
        <v>84</v>
      </c>
      <c r="K306" s="15" t="s">
        <v>84</v>
      </c>
      <c r="L306" s="15" t="s">
        <v>84</v>
      </c>
      <c r="M306" s="15" t="s">
        <v>84</v>
      </c>
    </row>
    <row r="307" spans="1:13" ht="30" x14ac:dyDescent="0.25">
      <c r="A307" s="15" t="s">
        <v>86</v>
      </c>
      <c r="B307" s="15">
        <v>203</v>
      </c>
      <c r="C307" s="15">
        <v>80</v>
      </c>
      <c r="D307" s="15">
        <v>12</v>
      </c>
      <c r="E307" s="15">
        <v>3</v>
      </c>
      <c r="F307" s="15">
        <v>200</v>
      </c>
      <c r="G307" s="15">
        <v>79</v>
      </c>
      <c r="H307" s="15">
        <v>12</v>
      </c>
      <c r="I307" s="15">
        <v>3</v>
      </c>
      <c r="J307" s="15">
        <v>3</v>
      </c>
      <c r="K307" s="15">
        <v>1</v>
      </c>
      <c r="L307" s="15" t="s">
        <v>84</v>
      </c>
      <c r="M307" s="15" t="s">
        <v>84</v>
      </c>
    </row>
    <row r="308" spans="1:13" ht="45" x14ac:dyDescent="0.25">
      <c r="A308" s="15" t="s">
        <v>87</v>
      </c>
      <c r="B308" s="15">
        <v>109</v>
      </c>
      <c r="C308" s="15">
        <v>32</v>
      </c>
      <c r="D308" s="15">
        <v>20</v>
      </c>
      <c r="E308" s="15">
        <v>5</v>
      </c>
      <c r="F308" s="15">
        <v>77</v>
      </c>
      <c r="G308" s="15">
        <v>23</v>
      </c>
      <c r="H308" s="15">
        <v>20</v>
      </c>
      <c r="I308" s="15">
        <v>5</v>
      </c>
      <c r="J308" s="15">
        <v>32</v>
      </c>
      <c r="K308" s="15">
        <v>9</v>
      </c>
      <c r="L308" s="15" t="s">
        <v>84</v>
      </c>
      <c r="M308" s="15" t="s">
        <v>84</v>
      </c>
    </row>
    <row r="309" spans="1:13" ht="45" x14ac:dyDescent="0.25">
      <c r="A309" s="15" t="s">
        <v>153</v>
      </c>
      <c r="B309" s="15">
        <v>16</v>
      </c>
      <c r="C309" s="15">
        <v>5</v>
      </c>
      <c r="D309" s="15">
        <v>3</v>
      </c>
      <c r="E309" s="15">
        <v>1</v>
      </c>
      <c r="F309" s="15">
        <v>15</v>
      </c>
      <c r="G309" s="15">
        <v>5</v>
      </c>
      <c r="H309" s="15">
        <v>3</v>
      </c>
      <c r="I309" s="15">
        <v>1</v>
      </c>
      <c r="J309" s="15">
        <v>1</v>
      </c>
      <c r="K309" s="15" t="s">
        <v>84</v>
      </c>
      <c r="L309" s="15" t="s">
        <v>84</v>
      </c>
      <c r="M309" s="15" t="s">
        <v>84</v>
      </c>
    </row>
    <row r="310" spans="1:13" ht="60" x14ac:dyDescent="0.25">
      <c r="A310" s="15" t="s">
        <v>154</v>
      </c>
      <c r="B310" s="15">
        <v>33</v>
      </c>
      <c r="C310" s="15">
        <v>11</v>
      </c>
      <c r="D310" s="15">
        <v>1</v>
      </c>
      <c r="E310" s="15" t="s">
        <v>84</v>
      </c>
      <c r="F310" s="15">
        <v>3</v>
      </c>
      <c r="G310" s="15">
        <v>2</v>
      </c>
      <c r="H310" s="15">
        <v>1</v>
      </c>
      <c r="I310" s="15" t="s">
        <v>84</v>
      </c>
      <c r="J310" s="15">
        <v>30</v>
      </c>
      <c r="K310" s="15">
        <v>9</v>
      </c>
      <c r="L310" s="15" t="s">
        <v>84</v>
      </c>
      <c r="M310" s="15" t="s">
        <v>84</v>
      </c>
    </row>
    <row r="311" spans="1:13" ht="15" customHeight="1" x14ac:dyDescent="0.25">
      <c r="A311" s="207" t="s">
        <v>116</v>
      </c>
      <c r="B311" s="208"/>
      <c r="C311" s="208"/>
      <c r="D311" s="208"/>
      <c r="E311" s="208"/>
      <c r="F311" s="208"/>
      <c r="G311" s="208"/>
      <c r="H311" s="208"/>
      <c r="I311" s="208"/>
      <c r="J311" s="208"/>
      <c r="K311" s="208"/>
      <c r="L311" s="208"/>
      <c r="M311" s="209"/>
    </row>
    <row r="312" spans="1:13" x14ac:dyDescent="0.25">
      <c r="A312" s="207"/>
      <c r="B312" s="208"/>
      <c r="C312" s="208"/>
      <c r="D312" s="208"/>
      <c r="E312" s="208"/>
      <c r="F312" s="208"/>
      <c r="G312" s="208"/>
      <c r="H312" s="208"/>
      <c r="I312" s="208"/>
      <c r="J312" s="208"/>
      <c r="K312" s="208"/>
      <c r="L312" s="208"/>
      <c r="M312" s="209"/>
    </row>
    <row r="313" spans="1:13" x14ac:dyDescent="0.25">
      <c r="A313" s="15" t="s">
        <v>83</v>
      </c>
      <c r="B313" s="27">
        <v>1548</v>
      </c>
      <c r="C313" s="15">
        <v>770</v>
      </c>
      <c r="D313" s="27">
        <v>53</v>
      </c>
      <c r="E313" s="15">
        <v>27</v>
      </c>
      <c r="F313" s="15">
        <v>1491</v>
      </c>
      <c r="G313" s="15">
        <v>744</v>
      </c>
      <c r="H313" s="15">
        <v>53</v>
      </c>
      <c r="I313" s="15">
        <v>27</v>
      </c>
      <c r="J313" s="15">
        <v>57</v>
      </c>
      <c r="K313" s="15">
        <v>26</v>
      </c>
      <c r="L313" s="15" t="s">
        <v>84</v>
      </c>
      <c r="M313" s="15" t="s">
        <v>84</v>
      </c>
    </row>
    <row r="314" spans="1:13" ht="30" x14ac:dyDescent="0.25">
      <c r="A314" s="15" t="s">
        <v>151</v>
      </c>
      <c r="B314" s="15">
        <v>435</v>
      </c>
      <c r="C314" s="15">
        <v>253</v>
      </c>
      <c r="D314" s="15">
        <v>2</v>
      </c>
      <c r="E314" s="15">
        <v>1</v>
      </c>
      <c r="F314" s="15">
        <v>426</v>
      </c>
      <c r="G314" s="15">
        <v>245</v>
      </c>
      <c r="H314" s="15">
        <v>2</v>
      </c>
      <c r="I314" s="15">
        <v>1</v>
      </c>
      <c r="J314" s="15">
        <v>9</v>
      </c>
      <c r="K314" s="15">
        <v>8</v>
      </c>
      <c r="L314" s="15" t="s">
        <v>84</v>
      </c>
      <c r="M314" s="15" t="s">
        <v>84</v>
      </c>
    </row>
    <row r="315" spans="1:13" ht="60" x14ac:dyDescent="0.25">
      <c r="A315" s="15" t="s">
        <v>152</v>
      </c>
      <c r="B315" s="15">
        <v>34</v>
      </c>
      <c r="C315" s="15">
        <v>18</v>
      </c>
      <c r="D315" s="15">
        <v>2</v>
      </c>
      <c r="E315" s="15">
        <v>1</v>
      </c>
      <c r="F315" s="15">
        <v>34</v>
      </c>
      <c r="G315" s="15">
        <v>18</v>
      </c>
      <c r="H315" s="15">
        <v>2</v>
      </c>
      <c r="I315" s="15">
        <v>1</v>
      </c>
      <c r="J315" s="15" t="s">
        <v>84</v>
      </c>
      <c r="K315" s="15" t="s">
        <v>84</v>
      </c>
      <c r="L315" s="15" t="s">
        <v>84</v>
      </c>
      <c r="M315" s="15" t="s">
        <v>84</v>
      </c>
    </row>
    <row r="316" spans="1:13" ht="30" x14ac:dyDescent="0.25">
      <c r="A316" s="15" t="s">
        <v>85</v>
      </c>
      <c r="B316" s="15">
        <v>775</v>
      </c>
      <c r="C316" s="15">
        <v>389</v>
      </c>
      <c r="D316" s="15">
        <v>23</v>
      </c>
      <c r="E316" s="15">
        <v>12</v>
      </c>
      <c r="F316" s="15">
        <v>747</v>
      </c>
      <c r="G316" s="15">
        <v>376</v>
      </c>
      <c r="H316" s="15">
        <v>23</v>
      </c>
      <c r="I316" s="15">
        <v>12</v>
      </c>
      <c r="J316" s="15">
        <v>28</v>
      </c>
      <c r="K316" s="15">
        <v>13</v>
      </c>
      <c r="L316" s="15" t="s">
        <v>84</v>
      </c>
      <c r="M316" s="15" t="s">
        <v>84</v>
      </c>
    </row>
    <row r="317" spans="1:13" ht="30" x14ac:dyDescent="0.25">
      <c r="A317" s="15" t="s">
        <v>86</v>
      </c>
      <c r="B317" s="15">
        <v>193</v>
      </c>
      <c r="C317" s="15">
        <v>70</v>
      </c>
      <c r="D317" s="15">
        <v>13</v>
      </c>
      <c r="E317" s="15">
        <v>9</v>
      </c>
      <c r="F317" s="15">
        <v>185</v>
      </c>
      <c r="G317" s="15">
        <v>69</v>
      </c>
      <c r="H317" s="15">
        <v>13</v>
      </c>
      <c r="I317" s="15">
        <v>9</v>
      </c>
      <c r="J317" s="15">
        <v>8</v>
      </c>
      <c r="K317" s="15">
        <v>1</v>
      </c>
      <c r="L317" s="15" t="s">
        <v>84</v>
      </c>
      <c r="M317" s="15" t="s">
        <v>84</v>
      </c>
    </row>
    <row r="318" spans="1:13" ht="45" x14ac:dyDescent="0.25">
      <c r="A318" s="15" t="s">
        <v>87</v>
      </c>
      <c r="B318" s="15">
        <v>111</v>
      </c>
      <c r="C318" s="15">
        <v>40</v>
      </c>
      <c r="D318" s="15">
        <v>13</v>
      </c>
      <c r="E318" s="15">
        <v>4</v>
      </c>
      <c r="F318" s="15">
        <v>99</v>
      </c>
      <c r="G318" s="15">
        <v>36</v>
      </c>
      <c r="H318" s="15">
        <v>13</v>
      </c>
      <c r="I318" s="15">
        <v>4</v>
      </c>
      <c r="J318" s="15">
        <v>12</v>
      </c>
      <c r="K318" s="15">
        <v>4</v>
      </c>
      <c r="L318" s="15" t="s">
        <v>84</v>
      </c>
      <c r="M318" s="15" t="s">
        <v>84</v>
      </c>
    </row>
    <row r="319" spans="1:13" ht="45" x14ac:dyDescent="0.25">
      <c r="A319" s="15" t="s">
        <v>153</v>
      </c>
      <c r="B319" s="15">
        <v>49</v>
      </c>
      <c r="C319" s="15">
        <v>20</v>
      </c>
      <c r="D319" s="15">
        <v>3</v>
      </c>
      <c r="E319" s="15">
        <v>2</v>
      </c>
      <c r="F319" s="15">
        <v>44</v>
      </c>
      <c r="G319" s="15">
        <v>18</v>
      </c>
      <c r="H319" s="15">
        <v>3</v>
      </c>
      <c r="I319" s="15">
        <v>2</v>
      </c>
      <c r="J319" s="15">
        <v>5</v>
      </c>
      <c r="K319" s="15">
        <v>2</v>
      </c>
      <c r="L319" s="15" t="s">
        <v>84</v>
      </c>
      <c r="M319" s="15" t="s">
        <v>84</v>
      </c>
    </row>
    <row r="320" spans="1:13" ht="60" x14ac:dyDescent="0.25">
      <c r="A320" s="15" t="s">
        <v>154</v>
      </c>
      <c r="B320" s="15">
        <v>5</v>
      </c>
      <c r="C320" s="15">
        <v>2</v>
      </c>
      <c r="D320" s="15" t="s">
        <v>84</v>
      </c>
      <c r="E320" s="15" t="s">
        <v>84</v>
      </c>
      <c r="F320" s="15" t="s">
        <v>84</v>
      </c>
      <c r="G320" s="15" t="s">
        <v>84</v>
      </c>
      <c r="H320" s="15" t="s">
        <v>84</v>
      </c>
      <c r="I320" s="15" t="s">
        <v>84</v>
      </c>
      <c r="J320" s="15">
        <v>5</v>
      </c>
      <c r="K320" s="15">
        <v>2</v>
      </c>
      <c r="L320" s="15" t="s">
        <v>84</v>
      </c>
      <c r="M320" s="15" t="s">
        <v>84</v>
      </c>
    </row>
    <row r="321" spans="1:13" ht="15" customHeight="1" x14ac:dyDescent="0.25">
      <c r="A321" s="207" t="s">
        <v>117</v>
      </c>
      <c r="B321" s="208"/>
      <c r="C321" s="208"/>
      <c r="D321" s="208"/>
      <c r="E321" s="208"/>
      <c r="F321" s="208"/>
      <c r="G321" s="208"/>
      <c r="H321" s="208"/>
      <c r="I321" s="208"/>
      <c r="J321" s="208"/>
      <c r="K321" s="208"/>
      <c r="L321" s="208"/>
      <c r="M321" s="209"/>
    </row>
    <row r="322" spans="1:13" x14ac:dyDescent="0.25">
      <c r="A322" s="207"/>
      <c r="B322" s="208"/>
      <c r="C322" s="208"/>
      <c r="D322" s="208"/>
      <c r="E322" s="208"/>
      <c r="F322" s="208"/>
      <c r="G322" s="208"/>
      <c r="H322" s="208"/>
      <c r="I322" s="208"/>
      <c r="J322" s="208"/>
      <c r="K322" s="208"/>
      <c r="L322" s="208"/>
      <c r="M322" s="209"/>
    </row>
    <row r="323" spans="1:13" x14ac:dyDescent="0.25">
      <c r="A323" s="15" t="s">
        <v>83</v>
      </c>
      <c r="B323" s="27">
        <v>2216</v>
      </c>
      <c r="C323" s="15">
        <v>1124</v>
      </c>
      <c r="D323" s="27">
        <v>117</v>
      </c>
      <c r="E323" s="15">
        <v>67</v>
      </c>
      <c r="F323" s="15">
        <v>2192</v>
      </c>
      <c r="G323" s="15">
        <v>1110</v>
      </c>
      <c r="H323" s="15">
        <v>117</v>
      </c>
      <c r="I323" s="15">
        <v>67</v>
      </c>
      <c r="J323" s="15">
        <v>24</v>
      </c>
      <c r="K323" s="15">
        <v>14</v>
      </c>
      <c r="L323" s="15" t="s">
        <v>84</v>
      </c>
      <c r="M323" s="15" t="s">
        <v>84</v>
      </c>
    </row>
    <row r="324" spans="1:13" ht="30" x14ac:dyDescent="0.25">
      <c r="A324" s="15" t="s">
        <v>151</v>
      </c>
      <c r="B324" s="15">
        <v>592</v>
      </c>
      <c r="C324" s="15">
        <v>353</v>
      </c>
      <c r="D324" s="15">
        <v>12</v>
      </c>
      <c r="E324" s="15">
        <v>6</v>
      </c>
      <c r="F324" s="15">
        <v>582</v>
      </c>
      <c r="G324" s="15">
        <v>346</v>
      </c>
      <c r="H324" s="15">
        <v>12</v>
      </c>
      <c r="I324" s="15">
        <v>6</v>
      </c>
      <c r="J324" s="15">
        <v>10</v>
      </c>
      <c r="K324" s="15">
        <v>7</v>
      </c>
      <c r="L324" s="15" t="s">
        <v>84</v>
      </c>
      <c r="M324" s="15" t="s">
        <v>84</v>
      </c>
    </row>
    <row r="325" spans="1:13" ht="60" x14ac:dyDescent="0.25">
      <c r="A325" s="15" t="s">
        <v>152</v>
      </c>
      <c r="B325" s="15">
        <v>58</v>
      </c>
      <c r="C325" s="15">
        <v>32</v>
      </c>
      <c r="D325" s="15">
        <v>3</v>
      </c>
      <c r="E325" s="15">
        <v>3</v>
      </c>
      <c r="F325" s="15">
        <v>58</v>
      </c>
      <c r="G325" s="15">
        <v>32</v>
      </c>
      <c r="H325" s="15">
        <v>3</v>
      </c>
      <c r="I325" s="15">
        <v>3</v>
      </c>
      <c r="J325" s="15" t="s">
        <v>84</v>
      </c>
      <c r="K325" s="15" t="s">
        <v>84</v>
      </c>
      <c r="L325" s="15" t="s">
        <v>84</v>
      </c>
      <c r="M325" s="15" t="s">
        <v>84</v>
      </c>
    </row>
    <row r="326" spans="1:13" ht="30" x14ac:dyDescent="0.25">
      <c r="A326" s="15" t="s">
        <v>85</v>
      </c>
      <c r="B326" s="15">
        <v>1143</v>
      </c>
      <c r="C326" s="15">
        <v>571</v>
      </c>
      <c r="D326" s="15">
        <v>45</v>
      </c>
      <c r="E326" s="15">
        <v>26</v>
      </c>
      <c r="F326" s="15">
        <v>1130</v>
      </c>
      <c r="G326" s="15">
        <v>565</v>
      </c>
      <c r="H326" s="15">
        <v>45</v>
      </c>
      <c r="I326" s="15">
        <v>26</v>
      </c>
      <c r="J326" s="15">
        <v>13</v>
      </c>
      <c r="K326" s="15">
        <v>6</v>
      </c>
      <c r="L326" s="15" t="s">
        <v>84</v>
      </c>
      <c r="M326" s="15" t="s">
        <v>84</v>
      </c>
    </row>
    <row r="327" spans="1:13" ht="30" x14ac:dyDescent="0.25">
      <c r="A327" s="15" t="s">
        <v>86</v>
      </c>
      <c r="B327" s="15">
        <v>275</v>
      </c>
      <c r="C327" s="15">
        <v>109</v>
      </c>
      <c r="D327" s="15">
        <v>14</v>
      </c>
      <c r="E327" s="15">
        <v>8</v>
      </c>
      <c r="F327" s="15">
        <v>274</v>
      </c>
      <c r="G327" s="15">
        <v>108</v>
      </c>
      <c r="H327" s="15">
        <v>14</v>
      </c>
      <c r="I327" s="15">
        <v>8</v>
      </c>
      <c r="J327" s="15">
        <v>1</v>
      </c>
      <c r="K327" s="15">
        <v>1</v>
      </c>
      <c r="L327" s="15" t="s">
        <v>84</v>
      </c>
      <c r="M327" s="15" t="s">
        <v>84</v>
      </c>
    </row>
    <row r="328" spans="1:13" ht="45" x14ac:dyDescent="0.25">
      <c r="A328" s="15" t="s">
        <v>87</v>
      </c>
      <c r="B328" s="15">
        <v>148</v>
      </c>
      <c r="C328" s="15">
        <v>59</v>
      </c>
      <c r="D328" s="15">
        <v>43</v>
      </c>
      <c r="E328" s="15">
        <v>24</v>
      </c>
      <c r="F328" s="15">
        <v>148</v>
      </c>
      <c r="G328" s="15">
        <v>59</v>
      </c>
      <c r="H328" s="15">
        <v>43</v>
      </c>
      <c r="I328" s="15">
        <v>24</v>
      </c>
      <c r="J328" s="15" t="s">
        <v>84</v>
      </c>
      <c r="K328" s="15" t="s">
        <v>84</v>
      </c>
      <c r="L328" s="15" t="s">
        <v>84</v>
      </c>
      <c r="M328" s="15" t="s">
        <v>84</v>
      </c>
    </row>
    <row r="329" spans="1:13" ht="45" x14ac:dyDescent="0.25">
      <c r="A329" s="15" t="s">
        <v>153</v>
      </c>
      <c r="B329" s="15">
        <v>32</v>
      </c>
      <c r="C329" s="15">
        <v>12</v>
      </c>
      <c r="D329" s="15">
        <v>7</v>
      </c>
      <c r="E329" s="15">
        <v>4</v>
      </c>
      <c r="F329" s="15">
        <v>32</v>
      </c>
      <c r="G329" s="15">
        <v>12</v>
      </c>
      <c r="H329" s="15">
        <v>7</v>
      </c>
      <c r="I329" s="15">
        <v>4</v>
      </c>
      <c r="J329" s="15" t="s">
        <v>84</v>
      </c>
      <c r="K329" s="15" t="s">
        <v>84</v>
      </c>
      <c r="L329" s="15" t="s">
        <v>84</v>
      </c>
      <c r="M329" s="15" t="s">
        <v>84</v>
      </c>
    </row>
    <row r="330" spans="1:13" ht="60" x14ac:dyDescent="0.25">
      <c r="A330" s="15" t="s">
        <v>154</v>
      </c>
      <c r="B330" s="15">
        <v>10</v>
      </c>
      <c r="C330" s="15">
        <v>5</v>
      </c>
      <c r="D330" s="15">
        <v>1</v>
      </c>
      <c r="E330" s="15">
        <v>1</v>
      </c>
      <c r="F330" s="15">
        <v>10</v>
      </c>
      <c r="G330" s="15">
        <v>5</v>
      </c>
      <c r="H330" s="15">
        <v>1</v>
      </c>
      <c r="I330" s="15">
        <v>1</v>
      </c>
      <c r="J330" s="15" t="s">
        <v>84</v>
      </c>
      <c r="K330" s="15" t="s">
        <v>84</v>
      </c>
      <c r="L330" s="15" t="s">
        <v>84</v>
      </c>
      <c r="M330" s="15" t="s">
        <v>84</v>
      </c>
    </row>
    <row r="331" spans="1:13" ht="15" customHeight="1" x14ac:dyDescent="0.25">
      <c r="A331" s="207" t="s">
        <v>118</v>
      </c>
      <c r="B331" s="208"/>
      <c r="C331" s="208"/>
      <c r="D331" s="208"/>
      <c r="E331" s="208"/>
      <c r="F331" s="208"/>
      <c r="G331" s="208"/>
      <c r="H331" s="208"/>
      <c r="I331" s="208"/>
      <c r="J331" s="208"/>
      <c r="K331" s="208"/>
      <c r="L331" s="208"/>
      <c r="M331" s="209"/>
    </row>
    <row r="332" spans="1:13" x14ac:dyDescent="0.25">
      <c r="A332" s="207"/>
      <c r="B332" s="208"/>
      <c r="C332" s="208"/>
      <c r="D332" s="208"/>
      <c r="E332" s="208"/>
      <c r="F332" s="208"/>
      <c r="G332" s="208"/>
      <c r="H332" s="208"/>
      <c r="I332" s="208"/>
      <c r="J332" s="208"/>
      <c r="K332" s="208"/>
      <c r="L332" s="208"/>
      <c r="M332" s="209"/>
    </row>
    <row r="333" spans="1:13" x14ac:dyDescent="0.25">
      <c r="A333" s="15" t="s">
        <v>83</v>
      </c>
      <c r="B333" s="27">
        <v>1019</v>
      </c>
      <c r="C333" s="15">
        <v>469</v>
      </c>
      <c r="D333" s="27">
        <v>16</v>
      </c>
      <c r="E333" s="15">
        <v>7</v>
      </c>
      <c r="F333" s="15">
        <v>995</v>
      </c>
      <c r="G333" s="15">
        <v>468</v>
      </c>
      <c r="H333" s="15">
        <v>16</v>
      </c>
      <c r="I333" s="15">
        <v>7</v>
      </c>
      <c r="J333" s="15">
        <v>24</v>
      </c>
      <c r="K333" s="15">
        <v>1</v>
      </c>
      <c r="L333" s="15" t="s">
        <v>84</v>
      </c>
      <c r="M333" s="15" t="s">
        <v>84</v>
      </c>
    </row>
    <row r="334" spans="1:13" ht="30" x14ac:dyDescent="0.25">
      <c r="A334" s="15" t="s">
        <v>151</v>
      </c>
      <c r="B334" s="15">
        <v>294</v>
      </c>
      <c r="C334" s="15">
        <v>162</v>
      </c>
      <c r="D334" s="15">
        <v>4</v>
      </c>
      <c r="E334" s="15">
        <v>3</v>
      </c>
      <c r="F334" s="15">
        <v>294</v>
      </c>
      <c r="G334" s="15">
        <v>162</v>
      </c>
      <c r="H334" s="15">
        <v>4</v>
      </c>
      <c r="I334" s="15">
        <v>3</v>
      </c>
      <c r="J334" s="15" t="s">
        <v>84</v>
      </c>
      <c r="K334" s="15" t="s">
        <v>84</v>
      </c>
      <c r="L334" s="15" t="s">
        <v>84</v>
      </c>
      <c r="M334" s="15" t="s">
        <v>84</v>
      </c>
    </row>
    <row r="335" spans="1:13" ht="60" x14ac:dyDescent="0.25">
      <c r="A335" s="15" t="s">
        <v>152</v>
      </c>
      <c r="B335" s="15">
        <v>18</v>
      </c>
      <c r="C335" s="15">
        <v>9</v>
      </c>
      <c r="D335" s="15" t="s">
        <v>84</v>
      </c>
      <c r="E335" s="15" t="s">
        <v>84</v>
      </c>
      <c r="F335" s="15">
        <v>18</v>
      </c>
      <c r="G335" s="15">
        <v>9</v>
      </c>
      <c r="H335" s="15" t="s">
        <v>84</v>
      </c>
      <c r="I335" s="15" t="s">
        <v>84</v>
      </c>
      <c r="J335" s="15" t="s">
        <v>84</v>
      </c>
      <c r="K335" s="15" t="s">
        <v>84</v>
      </c>
      <c r="L335" s="15" t="s">
        <v>84</v>
      </c>
      <c r="M335" s="15" t="s">
        <v>84</v>
      </c>
    </row>
    <row r="336" spans="1:13" ht="30" x14ac:dyDescent="0.25">
      <c r="A336" s="15" t="s">
        <v>85</v>
      </c>
      <c r="B336" s="15">
        <v>524</v>
      </c>
      <c r="C336" s="15">
        <v>234</v>
      </c>
      <c r="D336" s="15">
        <v>3</v>
      </c>
      <c r="E336" s="15">
        <v>1</v>
      </c>
      <c r="F336" s="15">
        <v>524</v>
      </c>
      <c r="G336" s="15">
        <v>234</v>
      </c>
      <c r="H336" s="15">
        <v>3</v>
      </c>
      <c r="I336" s="15">
        <v>1</v>
      </c>
      <c r="J336" s="15" t="s">
        <v>84</v>
      </c>
      <c r="K336" s="15" t="s">
        <v>84</v>
      </c>
      <c r="L336" s="15" t="s">
        <v>84</v>
      </c>
      <c r="M336" s="15" t="s">
        <v>84</v>
      </c>
    </row>
    <row r="337" spans="1:13" ht="30" x14ac:dyDescent="0.25">
      <c r="A337" s="15" t="s">
        <v>86</v>
      </c>
      <c r="B337" s="15">
        <v>138</v>
      </c>
      <c r="C337" s="15">
        <v>53</v>
      </c>
      <c r="D337" s="15">
        <v>3</v>
      </c>
      <c r="E337" s="15">
        <v>2</v>
      </c>
      <c r="F337" s="15">
        <v>129</v>
      </c>
      <c r="G337" s="15">
        <v>52</v>
      </c>
      <c r="H337" s="15">
        <v>3</v>
      </c>
      <c r="I337" s="15">
        <v>2</v>
      </c>
      <c r="J337" s="15">
        <v>9</v>
      </c>
      <c r="K337" s="15">
        <v>1</v>
      </c>
      <c r="L337" s="15" t="s">
        <v>84</v>
      </c>
      <c r="M337" s="15" t="s">
        <v>84</v>
      </c>
    </row>
    <row r="338" spans="1:13" ht="45" x14ac:dyDescent="0.25">
      <c r="A338" s="15" t="s">
        <v>87</v>
      </c>
      <c r="B338" s="15">
        <v>45</v>
      </c>
      <c r="C338" s="15">
        <v>11</v>
      </c>
      <c r="D338" s="15">
        <v>6</v>
      </c>
      <c r="E338" s="15">
        <v>1</v>
      </c>
      <c r="F338" s="15">
        <v>30</v>
      </c>
      <c r="G338" s="15">
        <v>11</v>
      </c>
      <c r="H338" s="15">
        <v>6</v>
      </c>
      <c r="I338" s="15">
        <v>1</v>
      </c>
      <c r="J338" s="15">
        <v>15</v>
      </c>
      <c r="K338" s="15" t="s">
        <v>84</v>
      </c>
      <c r="L338" s="15" t="s">
        <v>84</v>
      </c>
      <c r="M338" s="15" t="s">
        <v>84</v>
      </c>
    </row>
    <row r="339" spans="1:13" ht="45" x14ac:dyDescent="0.25">
      <c r="A339" s="15" t="s">
        <v>153</v>
      </c>
      <c r="B339" s="15">
        <v>5</v>
      </c>
      <c r="C339" s="15" t="s">
        <v>84</v>
      </c>
      <c r="D339" s="15" t="s">
        <v>84</v>
      </c>
      <c r="E339" s="15" t="s">
        <v>84</v>
      </c>
      <c r="F339" s="15">
        <v>2</v>
      </c>
      <c r="G339" s="15" t="s">
        <v>84</v>
      </c>
      <c r="H339" s="15" t="s">
        <v>84</v>
      </c>
      <c r="I339" s="15" t="s">
        <v>84</v>
      </c>
      <c r="J339" s="15">
        <v>3</v>
      </c>
      <c r="K339" s="15" t="s">
        <v>84</v>
      </c>
      <c r="L339" s="15" t="s">
        <v>84</v>
      </c>
      <c r="M339" s="15" t="s">
        <v>84</v>
      </c>
    </row>
    <row r="340" spans="1:13" ht="15" customHeight="1" x14ac:dyDescent="0.25">
      <c r="A340" s="207" t="s">
        <v>119</v>
      </c>
      <c r="B340" s="208"/>
      <c r="C340" s="208"/>
      <c r="D340" s="208"/>
      <c r="E340" s="208"/>
      <c r="F340" s="208"/>
      <c r="G340" s="208"/>
      <c r="H340" s="208"/>
      <c r="I340" s="208"/>
      <c r="J340" s="208"/>
      <c r="K340" s="208"/>
      <c r="L340" s="208"/>
      <c r="M340" s="209"/>
    </row>
    <row r="341" spans="1:13" x14ac:dyDescent="0.25">
      <c r="A341" s="207"/>
      <c r="B341" s="208"/>
      <c r="C341" s="208"/>
      <c r="D341" s="208"/>
      <c r="E341" s="208"/>
      <c r="F341" s="208"/>
      <c r="G341" s="208"/>
      <c r="H341" s="208"/>
      <c r="I341" s="208"/>
      <c r="J341" s="208"/>
      <c r="K341" s="208"/>
      <c r="L341" s="208"/>
      <c r="M341" s="209"/>
    </row>
    <row r="342" spans="1:13" x14ac:dyDescent="0.25">
      <c r="A342" s="15" t="s">
        <v>83</v>
      </c>
      <c r="B342" s="27">
        <v>1462</v>
      </c>
      <c r="C342" s="15">
        <v>742</v>
      </c>
      <c r="D342" s="27">
        <v>136</v>
      </c>
      <c r="E342" s="15">
        <v>66</v>
      </c>
      <c r="F342" s="15">
        <v>1413</v>
      </c>
      <c r="G342" s="15">
        <v>722</v>
      </c>
      <c r="H342" s="15">
        <v>135</v>
      </c>
      <c r="I342" s="15">
        <v>66</v>
      </c>
      <c r="J342" s="15">
        <v>49</v>
      </c>
      <c r="K342" s="15">
        <v>20</v>
      </c>
      <c r="L342" s="15">
        <v>1</v>
      </c>
      <c r="M342" s="15" t="s">
        <v>84</v>
      </c>
    </row>
    <row r="343" spans="1:13" ht="30" x14ac:dyDescent="0.25">
      <c r="A343" s="15" t="s">
        <v>151</v>
      </c>
      <c r="B343" s="15">
        <v>496</v>
      </c>
      <c r="C343" s="15">
        <v>273</v>
      </c>
      <c r="D343" s="15">
        <v>15</v>
      </c>
      <c r="E343" s="15">
        <v>7</v>
      </c>
      <c r="F343" s="15">
        <v>477</v>
      </c>
      <c r="G343" s="15">
        <v>262</v>
      </c>
      <c r="H343" s="15">
        <v>15</v>
      </c>
      <c r="I343" s="15">
        <v>7</v>
      </c>
      <c r="J343" s="15">
        <v>19</v>
      </c>
      <c r="K343" s="15">
        <v>11</v>
      </c>
      <c r="L343" s="15" t="s">
        <v>84</v>
      </c>
      <c r="M343" s="15" t="s">
        <v>84</v>
      </c>
    </row>
    <row r="344" spans="1:13" ht="60" x14ac:dyDescent="0.25">
      <c r="A344" s="15" t="s">
        <v>152</v>
      </c>
      <c r="B344" s="15">
        <v>25</v>
      </c>
      <c r="C344" s="15">
        <v>16</v>
      </c>
      <c r="D344" s="15" t="s">
        <v>84</v>
      </c>
      <c r="E344" s="15" t="s">
        <v>84</v>
      </c>
      <c r="F344" s="15">
        <v>25</v>
      </c>
      <c r="G344" s="15">
        <v>16</v>
      </c>
      <c r="H344" s="15" t="s">
        <v>84</v>
      </c>
      <c r="I344" s="15" t="s">
        <v>84</v>
      </c>
      <c r="J344" s="15" t="s">
        <v>84</v>
      </c>
      <c r="K344" s="15" t="s">
        <v>84</v>
      </c>
      <c r="L344" s="15" t="s">
        <v>84</v>
      </c>
      <c r="M344" s="15" t="s">
        <v>84</v>
      </c>
    </row>
    <row r="345" spans="1:13" ht="30" x14ac:dyDescent="0.25">
      <c r="A345" s="15" t="s">
        <v>85</v>
      </c>
      <c r="B345" s="15">
        <v>690</v>
      </c>
      <c r="C345" s="15">
        <v>335</v>
      </c>
      <c r="D345" s="15">
        <v>72</v>
      </c>
      <c r="E345" s="15">
        <v>33</v>
      </c>
      <c r="F345" s="15">
        <v>679</v>
      </c>
      <c r="G345" s="15">
        <v>330</v>
      </c>
      <c r="H345" s="15">
        <v>72</v>
      </c>
      <c r="I345" s="15">
        <v>33</v>
      </c>
      <c r="J345" s="15">
        <v>11</v>
      </c>
      <c r="K345" s="15">
        <v>5</v>
      </c>
      <c r="L345" s="15" t="s">
        <v>84</v>
      </c>
      <c r="M345" s="15" t="s">
        <v>84</v>
      </c>
    </row>
    <row r="346" spans="1:13" ht="30" x14ac:dyDescent="0.25">
      <c r="A346" s="15" t="s">
        <v>86</v>
      </c>
      <c r="B346" s="15">
        <v>189</v>
      </c>
      <c r="C346" s="15">
        <v>87</v>
      </c>
      <c r="D346" s="15">
        <v>35</v>
      </c>
      <c r="E346" s="15">
        <v>19</v>
      </c>
      <c r="F346" s="15">
        <v>183</v>
      </c>
      <c r="G346" s="15">
        <v>87</v>
      </c>
      <c r="H346" s="15">
        <v>34</v>
      </c>
      <c r="I346" s="15">
        <v>19</v>
      </c>
      <c r="J346" s="15">
        <v>6</v>
      </c>
      <c r="K346" s="15" t="s">
        <v>84</v>
      </c>
      <c r="L346" s="15">
        <v>1</v>
      </c>
      <c r="M346" s="15" t="s">
        <v>84</v>
      </c>
    </row>
    <row r="347" spans="1:13" ht="45" x14ac:dyDescent="0.25">
      <c r="A347" s="15" t="s">
        <v>87</v>
      </c>
      <c r="B347" s="15">
        <v>62</v>
      </c>
      <c r="C347" s="15">
        <v>31</v>
      </c>
      <c r="D347" s="15">
        <v>14</v>
      </c>
      <c r="E347" s="15">
        <v>7</v>
      </c>
      <c r="F347" s="15">
        <v>49</v>
      </c>
      <c r="G347" s="15">
        <v>27</v>
      </c>
      <c r="H347" s="15">
        <v>14</v>
      </c>
      <c r="I347" s="15">
        <v>7</v>
      </c>
      <c r="J347" s="15">
        <v>13</v>
      </c>
      <c r="K347" s="15">
        <v>4</v>
      </c>
      <c r="L347" s="15" t="s">
        <v>84</v>
      </c>
      <c r="M347" s="15" t="s">
        <v>84</v>
      </c>
    </row>
    <row r="348" spans="1:13" ht="45" x14ac:dyDescent="0.25">
      <c r="A348" s="15" t="s">
        <v>153</v>
      </c>
      <c r="B348" s="15">
        <v>14</v>
      </c>
      <c r="C348" s="15">
        <v>8</v>
      </c>
      <c r="D348" s="15">
        <v>2</v>
      </c>
      <c r="E348" s="15" t="s">
        <v>84</v>
      </c>
      <c r="F348" s="15">
        <v>14</v>
      </c>
      <c r="G348" s="15">
        <v>8</v>
      </c>
      <c r="H348" s="15">
        <v>2</v>
      </c>
      <c r="I348" s="15" t="s">
        <v>84</v>
      </c>
      <c r="J348" s="15" t="s">
        <v>84</v>
      </c>
      <c r="K348" s="15" t="s">
        <v>84</v>
      </c>
      <c r="L348" s="15" t="s">
        <v>84</v>
      </c>
      <c r="M348" s="15" t="s">
        <v>84</v>
      </c>
    </row>
    <row r="349" spans="1:13" ht="60" x14ac:dyDescent="0.25">
      <c r="A349" s="15" t="s">
        <v>154</v>
      </c>
      <c r="B349" s="15">
        <v>8</v>
      </c>
      <c r="C349" s="15">
        <v>4</v>
      </c>
      <c r="D349" s="15" t="s">
        <v>84</v>
      </c>
      <c r="E349" s="15" t="s">
        <v>84</v>
      </c>
      <c r="F349" s="15" t="s">
        <v>84</v>
      </c>
      <c r="G349" s="15" t="s">
        <v>84</v>
      </c>
      <c r="H349" s="15" t="s">
        <v>84</v>
      </c>
      <c r="I349" s="15" t="s">
        <v>84</v>
      </c>
      <c r="J349" s="15">
        <v>8</v>
      </c>
      <c r="K349" s="15">
        <v>4</v>
      </c>
      <c r="L349" s="15" t="s">
        <v>84</v>
      </c>
      <c r="M349" s="15" t="s">
        <v>84</v>
      </c>
    </row>
    <row r="350" spans="1:13" ht="15" customHeight="1" x14ac:dyDescent="0.25">
      <c r="A350" s="207" t="s">
        <v>120</v>
      </c>
      <c r="B350" s="208"/>
      <c r="C350" s="208"/>
      <c r="D350" s="208"/>
      <c r="E350" s="208"/>
      <c r="F350" s="208"/>
      <c r="G350" s="208"/>
      <c r="H350" s="208"/>
      <c r="I350" s="208"/>
      <c r="J350" s="208"/>
      <c r="K350" s="208"/>
      <c r="L350" s="208"/>
      <c r="M350" s="209"/>
    </row>
    <row r="351" spans="1:13" x14ac:dyDescent="0.25">
      <c r="A351" s="207"/>
      <c r="B351" s="208"/>
      <c r="C351" s="208"/>
      <c r="D351" s="208"/>
      <c r="E351" s="208"/>
      <c r="F351" s="208"/>
      <c r="G351" s="208"/>
      <c r="H351" s="208"/>
      <c r="I351" s="208"/>
      <c r="J351" s="208"/>
      <c r="K351" s="208"/>
      <c r="L351" s="208"/>
      <c r="M351" s="209"/>
    </row>
    <row r="352" spans="1:13" x14ac:dyDescent="0.25">
      <c r="A352" s="15" t="s">
        <v>83</v>
      </c>
      <c r="B352" s="27">
        <v>28567</v>
      </c>
      <c r="C352" s="15">
        <v>13803</v>
      </c>
      <c r="D352" s="27">
        <v>1484</v>
      </c>
      <c r="E352" s="15">
        <v>704</v>
      </c>
      <c r="F352" s="15">
        <v>26133</v>
      </c>
      <c r="G352" s="15">
        <v>12532</v>
      </c>
      <c r="H352" s="15">
        <v>1444</v>
      </c>
      <c r="I352" s="15">
        <v>686</v>
      </c>
      <c r="J352" s="15">
        <v>2434</v>
      </c>
      <c r="K352" s="15">
        <v>1271</v>
      </c>
      <c r="L352" s="15">
        <v>40</v>
      </c>
      <c r="M352" s="15">
        <v>18</v>
      </c>
    </row>
    <row r="353" spans="1:13" ht="30" x14ac:dyDescent="0.25">
      <c r="A353" s="15" t="s">
        <v>151</v>
      </c>
      <c r="B353" s="15">
        <v>7996</v>
      </c>
      <c r="C353" s="15">
        <v>4456</v>
      </c>
      <c r="D353" s="15">
        <v>123</v>
      </c>
      <c r="E353" s="15">
        <v>72</v>
      </c>
      <c r="F353" s="15">
        <v>6501</v>
      </c>
      <c r="G353" s="15">
        <v>3569</v>
      </c>
      <c r="H353" s="15">
        <v>109</v>
      </c>
      <c r="I353" s="15">
        <v>60</v>
      </c>
      <c r="J353" s="15">
        <v>1495</v>
      </c>
      <c r="K353" s="15">
        <v>887</v>
      </c>
      <c r="L353" s="15">
        <v>14</v>
      </c>
      <c r="M353" s="15">
        <v>12</v>
      </c>
    </row>
    <row r="354" spans="1:13" ht="60" x14ac:dyDescent="0.25">
      <c r="A354" s="15" t="s">
        <v>152</v>
      </c>
      <c r="B354" s="15">
        <v>609</v>
      </c>
      <c r="C354" s="15">
        <v>317</v>
      </c>
      <c r="D354" s="15">
        <v>33</v>
      </c>
      <c r="E354" s="15">
        <v>22</v>
      </c>
      <c r="F354" s="15">
        <v>553</v>
      </c>
      <c r="G354" s="15">
        <v>282</v>
      </c>
      <c r="H354" s="15">
        <v>32</v>
      </c>
      <c r="I354" s="15">
        <v>21</v>
      </c>
      <c r="J354" s="15">
        <v>56</v>
      </c>
      <c r="K354" s="15">
        <v>35</v>
      </c>
      <c r="L354" s="15">
        <v>1</v>
      </c>
      <c r="M354" s="15">
        <v>1</v>
      </c>
    </row>
    <row r="355" spans="1:13" ht="30" x14ac:dyDescent="0.25">
      <c r="A355" s="15" t="s">
        <v>85</v>
      </c>
      <c r="B355" s="15">
        <v>14138</v>
      </c>
      <c r="C355" s="15">
        <v>6816</v>
      </c>
      <c r="D355" s="15">
        <v>677</v>
      </c>
      <c r="E355" s="15">
        <v>341</v>
      </c>
      <c r="F355" s="15">
        <v>13658</v>
      </c>
      <c r="G355" s="15">
        <v>6584</v>
      </c>
      <c r="H355" s="15">
        <v>675</v>
      </c>
      <c r="I355" s="15">
        <v>340</v>
      </c>
      <c r="J355" s="15">
        <v>480</v>
      </c>
      <c r="K355" s="15">
        <v>232</v>
      </c>
      <c r="L355" s="15">
        <v>2</v>
      </c>
      <c r="M355" s="15">
        <v>1</v>
      </c>
    </row>
    <row r="356" spans="1:13" ht="30" x14ac:dyDescent="0.25">
      <c r="A356" s="15" t="s">
        <v>86</v>
      </c>
      <c r="B356" s="15">
        <v>4189</v>
      </c>
      <c r="C356" s="15">
        <v>1624</v>
      </c>
      <c r="D356" s="15">
        <v>362</v>
      </c>
      <c r="E356" s="15">
        <v>160</v>
      </c>
      <c r="F356" s="15">
        <v>3966</v>
      </c>
      <c r="G356" s="15">
        <v>1550</v>
      </c>
      <c r="H356" s="15">
        <v>359</v>
      </c>
      <c r="I356" s="15">
        <v>160</v>
      </c>
      <c r="J356" s="15">
        <v>223</v>
      </c>
      <c r="K356" s="15">
        <v>74</v>
      </c>
      <c r="L356" s="15">
        <v>3</v>
      </c>
      <c r="M356" s="15" t="s">
        <v>84</v>
      </c>
    </row>
    <row r="357" spans="1:13" ht="45" x14ac:dyDescent="0.25">
      <c r="A357" s="15" t="s">
        <v>87</v>
      </c>
      <c r="B357" s="15">
        <v>1635</v>
      </c>
      <c r="C357" s="15">
        <v>590</v>
      </c>
      <c r="D357" s="15">
        <v>289</v>
      </c>
      <c r="E357" s="15">
        <v>109</v>
      </c>
      <c r="F357" s="15">
        <v>1455</v>
      </c>
      <c r="G357" s="15">
        <v>547</v>
      </c>
      <c r="H357" s="15">
        <v>269</v>
      </c>
      <c r="I357" s="15">
        <v>105</v>
      </c>
      <c r="J357" s="15">
        <v>180</v>
      </c>
      <c r="K357" s="15">
        <v>43</v>
      </c>
      <c r="L357" s="15">
        <v>20</v>
      </c>
      <c r="M357" s="15">
        <v>4</v>
      </c>
    </row>
    <row r="358" spans="1:13" ht="45" x14ac:dyDescent="0.25">
      <c r="A358" s="15" t="s">
        <v>153</v>
      </c>
      <c r="B358" s="15">
        <v>544</v>
      </c>
      <c r="C358" s="15">
        <v>205</v>
      </c>
      <c r="D358" s="15">
        <v>44</v>
      </c>
      <c r="E358" s="15">
        <v>18</v>
      </c>
      <c r="F358" s="15">
        <v>504</v>
      </c>
      <c r="G358" s="15">
        <v>195</v>
      </c>
      <c r="H358" s="15">
        <v>43</v>
      </c>
      <c r="I358" s="15">
        <v>17</v>
      </c>
      <c r="J358" s="15">
        <v>40</v>
      </c>
      <c r="K358" s="15">
        <v>10</v>
      </c>
      <c r="L358" s="15">
        <v>1</v>
      </c>
      <c r="M358" s="15">
        <v>1</v>
      </c>
    </row>
    <row r="359" spans="1:13" ht="60" x14ac:dyDescent="0.25">
      <c r="A359" s="15" t="s">
        <v>154</v>
      </c>
      <c r="B359" s="15">
        <v>230</v>
      </c>
      <c r="C359" s="15">
        <v>98</v>
      </c>
      <c r="D359" s="15">
        <v>13</v>
      </c>
      <c r="E359" s="15">
        <v>6</v>
      </c>
      <c r="F359" s="15">
        <v>200</v>
      </c>
      <c r="G359" s="15">
        <v>88</v>
      </c>
      <c r="H359" s="15">
        <v>13</v>
      </c>
      <c r="I359" s="15">
        <v>6</v>
      </c>
      <c r="J359" s="15">
        <v>30</v>
      </c>
      <c r="K359" s="15">
        <v>10</v>
      </c>
      <c r="L359" s="15" t="s">
        <v>84</v>
      </c>
      <c r="M359" s="15" t="s">
        <v>84</v>
      </c>
    </row>
    <row r="360" spans="1:13" ht="15" customHeight="1" x14ac:dyDescent="0.25">
      <c r="A360" s="207" t="s">
        <v>121</v>
      </c>
      <c r="B360" s="208"/>
      <c r="C360" s="208"/>
      <c r="D360" s="208"/>
      <c r="E360" s="208"/>
      <c r="F360" s="208"/>
      <c r="G360" s="208"/>
      <c r="H360" s="208"/>
      <c r="I360" s="208"/>
      <c r="J360" s="208"/>
      <c r="K360" s="208"/>
      <c r="L360" s="208"/>
      <c r="M360" s="209"/>
    </row>
    <row r="361" spans="1:13" x14ac:dyDescent="0.25">
      <c r="A361" s="207"/>
      <c r="B361" s="208"/>
      <c r="C361" s="208"/>
      <c r="D361" s="208"/>
      <c r="E361" s="208"/>
      <c r="F361" s="208"/>
      <c r="G361" s="208"/>
      <c r="H361" s="208"/>
      <c r="I361" s="208"/>
      <c r="J361" s="208"/>
      <c r="K361" s="208"/>
      <c r="L361" s="208"/>
      <c r="M361" s="209"/>
    </row>
    <row r="362" spans="1:13" x14ac:dyDescent="0.25">
      <c r="A362" s="15" t="s">
        <v>83</v>
      </c>
      <c r="B362" s="27">
        <v>879</v>
      </c>
      <c r="C362" s="15">
        <v>450</v>
      </c>
      <c r="D362" s="27">
        <v>142</v>
      </c>
      <c r="E362" s="15">
        <v>76</v>
      </c>
      <c r="F362" s="15">
        <v>879</v>
      </c>
      <c r="G362" s="15">
        <v>450</v>
      </c>
      <c r="H362" s="15">
        <v>142</v>
      </c>
      <c r="I362" s="15">
        <v>76</v>
      </c>
      <c r="J362" s="15" t="s">
        <v>84</v>
      </c>
      <c r="K362" s="15" t="s">
        <v>84</v>
      </c>
      <c r="L362" s="15" t="s">
        <v>84</v>
      </c>
      <c r="M362" s="15" t="s">
        <v>84</v>
      </c>
    </row>
    <row r="363" spans="1:13" ht="30" x14ac:dyDescent="0.25">
      <c r="A363" s="15" t="s">
        <v>151</v>
      </c>
      <c r="B363" s="15">
        <v>231</v>
      </c>
      <c r="C363" s="15">
        <v>148</v>
      </c>
      <c r="D363" s="15">
        <v>18</v>
      </c>
      <c r="E363" s="15">
        <v>13</v>
      </c>
      <c r="F363" s="15">
        <v>231</v>
      </c>
      <c r="G363" s="15">
        <v>148</v>
      </c>
      <c r="H363" s="15">
        <v>18</v>
      </c>
      <c r="I363" s="15">
        <v>13</v>
      </c>
      <c r="J363" s="15" t="s">
        <v>84</v>
      </c>
      <c r="K363" s="15" t="s">
        <v>84</v>
      </c>
      <c r="L363" s="15" t="s">
        <v>84</v>
      </c>
      <c r="M363" s="15" t="s">
        <v>84</v>
      </c>
    </row>
    <row r="364" spans="1:13" ht="60" x14ac:dyDescent="0.25">
      <c r="A364" s="15" t="s">
        <v>152</v>
      </c>
      <c r="B364" s="15">
        <v>13</v>
      </c>
      <c r="C364" s="15">
        <v>10</v>
      </c>
      <c r="D364" s="15" t="s">
        <v>84</v>
      </c>
      <c r="E364" s="15" t="s">
        <v>84</v>
      </c>
      <c r="F364" s="15">
        <v>13</v>
      </c>
      <c r="G364" s="15">
        <v>10</v>
      </c>
      <c r="H364" s="15" t="s">
        <v>84</v>
      </c>
      <c r="I364" s="15" t="s">
        <v>84</v>
      </c>
      <c r="J364" s="15" t="s">
        <v>84</v>
      </c>
      <c r="K364" s="15" t="s">
        <v>84</v>
      </c>
      <c r="L364" s="15" t="s">
        <v>84</v>
      </c>
      <c r="M364" s="15" t="s">
        <v>84</v>
      </c>
    </row>
    <row r="365" spans="1:13" ht="30" x14ac:dyDescent="0.25">
      <c r="A365" s="15" t="s">
        <v>85</v>
      </c>
      <c r="B365" s="15">
        <v>393</v>
      </c>
      <c r="C365" s="15">
        <v>182</v>
      </c>
      <c r="D365" s="15">
        <v>82</v>
      </c>
      <c r="E365" s="15">
        <v>41</v>
      </c>
      <c r="F365" s="15">
        <v>393</v>
      </c>
      <c r="G365" s="15">
        <v>182</v>
      </c>
      <c r="H365" s="15">
        <v>82</v>
      </c>
      <c r="I365" s="15">
        <v>41</v>
      </c>
      <c r="J365" s="15" t="s">
        <v>84</v>
      </c>
      <c r="K365" s="15" t="s">
        <v>84</v>
      </c>
      <c r="L365" s="15" t="s">
        <v>84</v>
      </c>
      <c r="M365" s="15" t="s">
        <v>84</v>
      </c>
    </row>
    <row r="366" spans="1:13" ht="30" x14ac:dyDescent="0.25">
      <c r="A366" s="15" t="s">
        <v>86</v>
      </c>
      <c r="B366" s="15">
        <v>194</v>
      </c>
      <c r="C366" s="15">
        <v>89</v>
      </c>
      <c r="D366" s="15">
        <v>30</v>
      </c>
      <c r="E366" s="15">
        <v>15</v>
      </c>
      <c r="F366" s="15">
        <v>194</v>
      </c>
      <c r="G366" s="15">
        <v>89</v>
      </c>
      <c r="H366" s="15">
        <v>30</v>
      </c>
      <c r="I366" s="15">
        <v>15</v>
      </c>
      <c r="J366" s="15" t="s">
        <v>84</v>
      </c>
      <c r="K366" s="15" t="s">
        <v>84</v>
      </c>
      <c r="L366" s="15" t="s">
        <v>84</v>
      </c>
      <c r="M366" s="15" t="s">
        <v>84</v>
      </c>
    </row>
    <row r="367" spans="1:13" ht="45" x14ac:dyDescent="0.25">
      <c r="A367" s="15" t="s">
        <v>87</v>
      </c>
      <c r="B367" s="15">
        <v>48</v>
      </c>
      <c r="C367" s="15">
        <v>21</v>
      </c>
      <c r="D367" s="15">
        <v>12</v>
      </c>
      <c r="E367" s="15">
        <v>7</v>
      </c>
      <c r="F367" s="15">
        <v>48</v>
      </c>
      <c r="G367" s="15">
        <v>21</v>
      </c>
      <c r="H367" s="15">
        <v>12</v>
      </c>
      <c r="I367" s="15">
        <v>7</v>
      </c>
      <c r="J367" s="15" t="s">
        <v>84</v>
      </c>
      <c r="K367" s="15" t="s">
        <v>84</v>
      </c>
      <c r="L367" s="15" t="s">
        <v>84</v>
      </c>
      <c r="M367" s="15" t="s">
        <v>84</v>
      </c>
    </row>
    <row r="368" spans="1:13" ht="45" x14ac:dyDescent="0.25">
      <c r="A368" s="15" t="s">
        <v>153</v>
      </c>
      <c r="B368" s="15">
        <v>18</v>
      </c>
      <c r="C368" s="15">
        <v>8</v>
      </c>
      <c r="D368" s="15">
        <v>2</v>
      </c>
      <c r="E368" s="15">
        <v>1</v>
      </c>
      <c r="F368" s="15">
        <v>18</v>
      </c>
      <c r="G368" s="15">
        <v>8</v>
      </c>
      <c r="H368" s="15">
        <v>2</v>
      </c>
      <c r="I368" s="15">
        <v>1</v>
      </c>
      <c r="J368" s="15" t="s">
        <v>84</v>
      </c>
      <c r="K368" s="15" t="s">
        <v>84</v>
      </c>
      <c r="L368" s="15" t="s">
        <v>84</v>
      </c>
      <c r="M368" s="15" t="s">
        <v>84</v>
      </c>
    </row>
    <row r="369" spans="1:13" ht="60" x14ac:dyDescent="0.25">
      <c r="A369" s="15" t="s">
        <v>154</v>
      </c>
      <c r="B369" s="15">
        <v>9</v>
      </c>
      <c r="C369" s="15">
        <v>3</v>
      </c>
      <c r="D369" s="15">
        <v>1</v>
      </c>
      <c r="E369" s="15" t="s">
        <v>84</v>
      </c>
      <c r="F369" s="15">
        <v>9</v>
      </c>
      <c r="G369" s="15">
        <v>3</v>
      </c>
      <c r="H369" s="15">
        <v>1</v>
      </c>
      <c r="I369" s="15" t="s">
        <v>84</v>
      </c>
      <c r="J369" s="15" t="s">
        <v>84</v>
      </c>
      <c r="K369" s="15" t="s">
        <v>84</v>
      </c>
      <c r="L369" s="15" t="s">
        <v>84</v>
      </c>
      <c r="M369" s="15" t="s">
        <v>84</v>
      </c>
    </row>
    <row r="370" spans="1:13" ht="15" customHeight="1" x14ac:dyDescent="0.25">
      <c r="A370" s="207" t="s">
        <v>122</v>
      </c>
      <c r="B370" s="208"/>
      <c r="C370" s="208"/>
      <c r="D370" s="208"/>
      <c r="E370" s="208"/>
      <c r="F370" s="208"/>
      <c r="G370" s="208"/>
      <c r="H370" s="208"/>
      <c r="I370" s="208"/>
      <c r="J370" s="208"/>
      <c r="K370" s="208"/>
      <c r="L370" s="208"/>
      <c r="M370" s="209"/>
    </row>
    <row r="371" spans="1:13" x14ac:dyDescent="0.25">
      <c r="A371" s="207"/>
      <c r="B371" s="208"/>
      <c r="C371" s="208"/>
      <c r="D371" s="208"/>
      <c r="E371" s="208"/>
      <c r="F371" s="208"/>
      <c r="G371" s="208"/>
      <c r="H371" s="208"/>
      <c r="I371" s="208"/>
      <c r="J371" s="208"/>
      <c r="K371" s="208"/>
      <c r="L371" s="208"/>
      <c r="M371" s="209"/>
    </row>
    <row r="372" spans="1:13" x14ac:dyDescent="0.25">
      <c r="A372" s="15" t="s">
        <v>83</v>
      </c>
      <c r="B372" s="27">
        <v>550</v>
      </c>
      <c r="C372" s="15">
        <v>292</v>
      </c>
      <c r="D372" s="27">
        <v>13</v>
      </c>
      <c r="E372" s="15">
        <v>9</v>
      </c>
      <c r="F372" s="15">
        <v>550</v>
      </c>
      <c r="G372" s="15">
        <v>292</v>
      </c>
      <c r="H372" s="15">
        <v>13</v>
      </c>
      <c r="I372" s="15">
        <v>9</v>
      </c>
      <c r="J372" s="15" t="s">
        <v>84</v>
      </c>
      <c r="K372" s="15" t="s">
        <v>84</v>
      </c>
      <c r="L372" s="15" t="s">
        <v>84</v>
      </c>
      <c r="M372" s="15" t="s">
        <v>84</v>
      </c>
    </row>
    <row r="373" spans="1:13" ht="30" x14ac:dyDescent="0.25">
      <c r="A373" s="15" t="s">
        <v>151</v>
      </c>
      <c r="B373" s="15">
        <v>207</v>
      </c>
      <c r="C373" s="15">
        <v>125</v>
      </c>
      <c r="D373" s="15">
        <v>1</v>
      </c>
      <c r="E373" s="15" t="s">
        <v>84</v>
      </c>
      <c r="F373" s="15">
        <v>207</v>
      </c>
      <c r="G373" s="15">
        <v>125</v>
      </c>
      <c r="H373" s="15">
        <v>1</v>
      </c>
      <c r="I373" s="15" t="s">
        <v>84</v>
      </c>
      <c r="J373" s="15" t="s">
        <v>84</v>
      </c>
      <c r="K373" s="15" t="s">
        <v>84</v>
      </c>
      <c r="L373" s="15" t="s">
        <v>84</v>
      </c>
      <c r="M373" s="15" t="s">
        <v>84</v>
      </c>
    </row>
    <row r="374" spans="1:13" ht="60" x14ac:dyDescent="0.25">
      <c r="A374" s="15" t="s">
        <v>152</v>
      </c>
      <c r="B374" s="15">
        <v>15</v>
      </c>
      <c r="C374" s="15">
        <v>8</v>
      </c>
      <c r="D374" s="15" t="s">
        <v>84</v>
      </c>
      <c r="E374" s="15" t="s">
        <v>84</v>
      </c>
      <c r="F374" s="15">
        <v>15</v>
      </c>
      <c r="G374" s="15">
        <v>8</v>
      </c>
      <c r="H374" s="15" t="s">
        <v>84</v>
      </c>
      <c r="I374" s="15" t="s">
        <v>84</v>
      </c>
      <c r="J374" s="15" t="s">
        <v>84</v>
      </c>
      <c r="K374" s="15" t="s">
        <v>84</v>
      </c>
      <c r="L374" s="15" t="s">
        <v>84</v>
      </c>
      <c r="M374" s="15" t="s">
        <v>84</v>
      </c>
    </row>
    <row r="375" spans="1:13" ht="30" x14ac:dyDescent="0.25">
      <c r="A375" s="15" t="s">
        <v>85</v>
      </c>
      <c r="B375" s="15">
        <v>217</v>
      </c>
      <c r="C375" s="15">
        <v>105</v>
      </c>
      <c r="D375" s="15" t="s">
        <v>84</v>
      </c>
      <c r="E375" s="15" t="s">
        <v>84</v>
      </c>
      <c r="F375" s="15">
        <v>217</v>
      </c>
      <c r="G375" s="15">
        <v>105</v>
      </c>
      <c r="H375" s="15" t="s">
        <v>84</v>
      </c>
      <c r="I375" s="15" t="s">
        <v>84</v>
      </c>
      <c r="J375" s="15" t="s">
        <v>84</v>
      </c>
      <c r="K375" s="15" t="s">
        <v>84</v>
      </c>
      <c r="L375" s="15" t="s">
        <v>84</v>
      </c>
      <c r="M375" s="15" t="s">
        <v>84</v>
      </c>
    </row>
    <row r="376" spans="1:13" ht="30" x14ac:dyDescent="0.25">
      <c r="A376" s="15" t="s">
        <v>86</v>
      </c>
      <c r="B376" s="15">
        <v>68</v>
      </c>
      <c r="C376" s="15">
        <v>26</v>
      </c>
      <c r="D376" s="15">
        <v>3</v>
      </c>
      <c r="E376" s="15">
        <v>2</v>
      </c>
      <c r="F376" s="15">
        <v>68</v>
      </c>
      <c r="G376" s="15">
        <v>26</v>
      </c>
      <c r="H376" s="15">
        <v>3</v>
      </c>
      <c r="I376" s="15">
        <v>2</v>
      </c>
      <c r="J376" s="15" t="s">
        <v>84</v>
      </c>
      <c r="K376" s="15" t="s">
        <v>84</v>
      </c>
      <c r="L376" s="15" t="s">
        <v>84</v>
      </c>
      <c r="M376" s="15" t="s">
        <v>84</v>
      </c>
    </row>
    <row r="377" spans="1:13" ht="45" x14ac:dyDescent="0.25">
      <c r="A377" s="15" t="s">
        <v>87</v>
      </c>
      <c r="B377" s="15">
        <v>43</v>
      </c>
      <c r="C377" s="15">
        <v>28</v>
      </c>
      <c r="D377" s="15">
        <v>9</v>
      </c>
      <c r="E377" s="15">
        <v>7</v>
      </c>
      <c r="F377" s="15">
        <v>43</v>
      </c>
      <c r="G377" s="15">
        <v>28</v>
      </c>
      <c r="H377" s="15">
        <v>9</v>
      </c>
      <c r="I377" s="15">
        <v>7</v>
      </c>
      <c r="J377" s="15" t="s">
        <v>84</v>
      </c>
      <c r="K377" s="15" t="s">
        <v>84</v>
      </c>
      <c r="L377" s="15" t="s">
        <v>84</v>
      </c>
      <c r="M377" s="15" t="s">
        <v>84</v>
      </c>
    </row>
    <row r="378" spans="1:13" ht="45" x14ac:dyDescent="0.25">
      <c r="A378" s="15" t="s">
        <v>153</v>
      </c>
      <c r="B378" s="15">
        <v>11</v>
      </c>
      <c r="C378" s="15">
        <v>5</v>
      </c>
      <c r="D378" s="15" t="s">
        <v>84</v>
      </c>
      <c r="E378" s="15" t="s">
        <v>84</v>
      </c>
      <c r="F378" s="15">
        <v>11</v>
      </c>
      <c r="G378" s="15">
        <v>5</v>
      </c>
      <c r="H378" s="15" t="s">
        <v>84</v>
      </c>
      <c r="I378" s="15" t="s">
        <v>84</v>
      </c>
      <c r="J378" s="15" t="s">
        <v>84</v>
      </c>
      <c r="K378" s="15" t="s">
        <v>84</v>
      </c>
      <c r="L378" s="15" t="s">
        <v>84</v>
      </c>
      <c r="M378" s="15" t="s">
        <v>84</v>
      </c>
    </row>
    <row r="379" spans="1:13" ht="60" x14ac:dyDescent="0.25">
      <c r="A379" s="15" t="s">
        <v>154</v>
      </c>
      <c r="B379" s="15">
        <v>9</v>
      </c>
      <c r="C379" s="15">
        <v>7</v>
      </c>
      <c r="D379" s="15" t="s">
        <v>84</v>
      </c>
      <c r="E379" s="15" t="s">
        <v>84</v>
      </c>
      <c r="F379" s="15">
        <v>9</v>
      </c>
      <c r="G379" s="15">
        <v>7</v>
      </c>
      <c r="H379" s="15" t="s">
        <v>84</v>
      </c>
      <c r="I379" s="15" t="s">
        <v>84</v>
      </c>
      <c r="J379" s="15" t="s">
        <v>84</v>
      </c>
      <c r="K379" s="15" t="s">
        <v>84</v>
      </c>
      <c r="L379" s="15" t="s">
        <v>84</v>
      </c>
      <c r="M379" s="15" t="s">
        <v>84</v>
      </c>
    </row>
    <row r="380" spans="1:13" ht="15" customHeight="1" x14ac:dyDescent="0.25">
      <c r="A380" s="207" t="s">
        <v>123</v>
      </c>
      <c r="B380" s="208"/>
      <c r="C380" s="208"/>
      <c r="D380" s="208"/>
      <c r="E380" s="208"/>
      <c r="F380" s="208"/>
      <c r="G380" s="208"/>
      <c r="H380" s="208"/>
      <c r="I380" s="208"/>
      <c r="J380" s="208"/>
      <c r="K380" s="208"/>
      <c r="L380" s="208"/>
      <c r="M380" s="209"/>
    </row>
    <row r="381" spans="1:13" x14ac:dyDescent="0.25">
      <c r="A381" s="207"/>
      <c r="B381" s="208"/>
      <c r="C381" s="208"/>
      <c r="D381" s="208"/>
      <c r="E381" s="208"/>
      <c r="F381" s="208"/>
      <c r="G381" s="208"/>
      <c r="H381" s="208"/>
      <c r="I381" s="208"/>
      <c r="J381" s="208"/>
      <c r="K381" s="208"/>
      <c r="L381" s="208"/>
      <c r="M381" s="209"/>
    </row>
    <row r="382" spans="1:13" x14ac:dyDescent="0.25">
      <c r="A382" s="15" t="s">
        <v>83</v>
      </c>
      <c r="B382" s="27">
        <v>1919</v>
      </c>
      <c r="C382" s="15">
        <v>962</v>
      </c>
      <c r="D382" s="27">
        <v>103</v>
      </c>
      <c r="E382" s="15">
        <v>49</v>
      </c>
      <c r="F382" s="15">
        <v>1669</v>
      </c>
      <c r="G382" s="15">
        <v>831</v>
      </c>
      <c r="H382" s="15">
        <v>101</v>
      </c>
      <c r="I382" s="15">
        <v>48</v>
      </c>
      <c r="J382" s="15">
        <v>250</v>
      </c>
      <c r="K382" s="15">
        <v>131</v>
      </c>
      <c r="L382" s="15">
        <v>2</v>
      </c>
      <c r="M382" s="15">
        <v>1</v>
      </c>
    </row>
    <row r="383" spans="1:13" ht="30" x14ac:dyDescent="0.25">
      <c r="A383" s="15" t="s">
        <v>151</v>
      </c>
      <c r="B383" s="15">
        <v>982</v>
      </c>
      <c r="C383" s="15">
        <v>538</v>
      </c>
      <c r="D383" s="15">
        <v>16</v>
      </c>
      <c r="E383" s="15">
        <v>8</v>
      </c>
      <c r="F383" s="15">
        <v>839</v>
      </c>
      <c r="G383" s="15">
        <v>461</v>
      </c>
      <c r="H383" s="15">
        <v>14</v>
      </c>
      <c r="I383" s="15">
        <v>7</v>
      </c>
      <c r="J383" s="15">
        <v>143</v>
      </c>
      <c r="K383" s="15">
        <v>77</v>
      </c>
      <c r="L383" s="15">
        <v>2</v>
      </c>
      <c r="M383" s="15">
        <v>1</v>
      </c>
    </row>
    <row r="384" spans="1:13" ht="60" x14ac:dyDescent="0.25">
      <c r="A384" s="15" t="s">
        <v>152</v>
      </c>
      <c r="B384" s="15">
        <v>77</v>
      </c>
      <c r="C384" s="15">
        <v>44</v>
      </c>
      <c r="D384" s="15">
        <v>6</v>
      </c>
      <c r="E384" s="15">
        <v>6</v>
      </c>
      <c r="F384" s="15">
        <v>77</v>
      </c>
      <c r="G384" s="15">
        <v>44</v>
      </c>
      <c r="H384" s="15">
        <v>6</v>
      </c>
      <c r="I384" s="15">
        <v>6</v>
      </c>
      <c r="J384" s="15" t="s">
        <v>84</v>
      </c>
      <c r="K384" s="15" t="s">
        <v>84</v>
      </c>
      <c r="L384" s="15" t="s">
        <v>84</v>
      </c>
      <c r="M384" s="15" t="s">
        <v>84</v>
      </c>
    </row>
    <row r="385" spans="1:13" ht="30" x14ac:dyDescent="0.25">
      <c r="A385" s="15" t="s">
        <v>85</v>
      </c>
      <c r="B385" s="15">
        <v>531</v>
      </c>
      <c r="C385" s="15">
        <v>246</v>
      </c>
      <c r="D385" s="15">
        <v>43</v>
      </c>
      <c r="E385" s="15">
        <v>20</v>
      </c>
      <c r="F385" s="15">
        <v>446</v>
      </c>
      <c r="G385" s="15">
        <v>201</v>
      </c>
      <c r="H385" s="15">
        <v>43</v>
      </c>
      <c r="I385" s="15">
        <v>20</v>
      </c>
      <c r="J385" s="15">
        <v>85</v>
      </c>
      <c r="K385" s="15">
        <v>45</v>
      </c>
      <c r="L385" s="15" t="s">
        <v>84</v>
      </c>
      <c r="M385" s="15" t="s">
        <v>84</v>
      </c>
    </row>
    <row r="386" spans="1:13" ht="30" x14ac:dyDescent="0.25">
      <c r="A386" s="15" t="s">
        <v>86</v>
      </c>
      <c r="B386" s="15">
        <v>229</v>
      </c>
      <c r="C386" s="15">
        <v>97</v>
      </c>
      <c r="D386" s="15">
        <v>25</v>
      </c>
      <c r="E386" s="15">
        <v>8</v>
      </c>
      <c r="F386" s="15">
        <v>214</v>
      </c>
      <c r="G386" s="15">
        <v>90</v>
      </c>
      <c r="H386" s="15">
        <v>25</v>
      </c>
      <c r="I386" s="15">
        <v>8</v>
      </c>
      <c r="J386" s="15">
        <v>15</v>
      </c>
      <c r="K386" s="15">
        <v>7</v>
      </c>
      <c r="L386" s="15" t="s">
        <v>84</v>
      </c>
      <c r="M386" s="15" t="s">
        <v>84</v>
      </c>
    </row>
    <row r="387" spans="1:13" ht="45" x14ac:dyDescent="0.25">
      <c r="A387" s="15" t="s">
        <v>87</v>
      </c>
      <c r="B387" s="15">
        <v>100</v>
      </c>
      <c r="C387" s="15">
        <v>37</v>
      </c>
      <c r="D387" s="15">
        <v>13</v>
      </c>
      <c r="E387" s="15">
        <v>7</v>
      </c>
      <c r="F387" s="15">
        <v>93</v>
      </c>
      <c r="G387" s="15">
        <v>35</v>
      </c>
      <c r="H387" s="15">
        <v>13</v>
      </c>
      <c r="I387" s="15">
        <v>7</v>
      </c>
      <c r="J387" s="15">
        <v>7</v>
      </c>
      <c r="K387" s="15">
        <v>2</v>
      </c>
      <c r="L387" s="15" t="s">
        <v>84</v>
      </c>
      <c r="M387" s="15" t="s">
        <v>84</v>
      </c>
    </row>
    <row r="388" spans="1:13" ht="45" x14ac:dyDescent="0.25">
      <c r="A388" s="15" t="s">
        <v>153</v>
      </c>
      <c r="B388" s="15">
        <v>36</v>
      </c>
      <c r="C388" s="15">
        <v>11</v>
      </c>
      <c r="D388" s="15">
        <v>4</v>
      </c>
      <c r="E388" s="15">
        <v>1</v>
      </c>
      <c r="F388" s="15">
        <v>36</v>
      </c>
      <c r="G388" s="15">
        <v>11</v>
      </c>
      <c r="H388" s="15">
        <v>4</v>
      </c>
      <c r="I388" s="15">
        <v>1</v>
      </c>
      <c r="J388" s="15" t="s">
        <v>84</v>
      </c>
      <c r="K388" s="15" t="s">
        <v>84</v>
      </c>
      <c r="L388" s="15" t="s">
        <v>84</v>
      </c>
      <c r="M388" s="15" t="s">
        <v>84</v>
      </c>
    </row>
    <row r="389" spans="1:13" ht="60" x14ac:dyDescent="0.25">
      <c r="A389" s="15" t="s">
        <v>154</v>
      </c>
      <c r="B389" s="15">
        <v>16</v>
      </c>
      <c r="C389" s="15">
        <v>8</v>
      </c>
      <c r="D389" s="15" t="s">
        <v>84</v>
      </c>
      <c r="E389" s="15" t="s">
        <v>84</v>
      </c>
      <c r="F389" s="15">
        <v>10</v>
      </c>
      <c r="G389" s="15">
        <v>6</v>
      </c>
      <c r="H389" s="15" t="s">
        <v>84</v>
      </c>
      <c r="I389" s="15" t="s">
        <v>84</v>
      </c>
      <c r="J389" s="15">
        <v>6</v>
      </c>
      <c r="K389" s="15">
        <v>2</v>
      </c>
      <c r="L389" s="15" t="s">
        <v>84</v>
      </c>
      <c r="M389" s="15" t="s">
        <v>84</v>
      </c>
    </row>
    <row r="390" spans="1:13" ht="15" customHeight="1" x14ac:dyDescent="0.25">
      <c r="A390" s="207" t="s">
        <v>124</v>
      </c>
      <c r="B390" s="208"/>
      <c r="C390" s="208"/>
      <c r="D390" s="208"/>
      <c r="E390" s="208"/>
      <c r="F390" s="208"/>
      <c r="G390" s="208"/>
      <c r="H390" s="208"/>
      <c r="I390" s="208"/>
      <c r="J390" s="208"/>
      <c r="K390" s="208"/>
      <c r="L390" s="208"/>
      <c r="M390" s="209"/>
    </row>
    <row r="391" spans="1:13" x14ac:dyDescent="0.25">
      <c r="A391" s="207"/>
      <c r="B391" s="208"/>
      <c r="C391" s="208"/>
      <c r="D391" s="208"/>
      <c r="E391" s="208"/>
      <c r="F391" s="208"/>
      <c r="G391" s="208"/>
      <c r="H391" s="208"/>
      <c r="I391" s="208"/>
      <c r="J391" s="208"/>
      <c r="K391" s="208"/>
      <c r="L391" s="208"/>
      <c r="M391" s="209"/>
    </row>
    <row r="392" spans="1:13" x14ac:dyDescent="0.25">
      <c r="A392" s="15" t="s">
        <v>83</v>
      </c>
      <c r="B392" s="27">
        <v>2220</v>
      </c>
      <c r="C392" s="15">
        <v>1070</v>
      </c>
      <c r="D392" s="27">
        <v>170</v>
      </c>
      <c r="E392" s="15">
        <v>87</v>
      </c>
      <c r="F392" s="15">
        <v>1923</v>
      </c>
      <c r="G392" s="15">
        <v>910</v>
      </c>
      <c r="H392" s="15">
        <v>170</v>
      </c>
      <c r="I392" s="15">
        <v>87</v>
      </c>
      <c r="J392" s="15">
        <v>297</v>
      </c>
      <c r="K392" s="15">
        <v>160</v>
      </c>
      <c r="L392" s="15" t="s">
        <v>84</v>
      </c>
      <c r="M392" s="15" t="s">
        <v>84</v>
      </c>
    </row>
    <row r="393" spans="1:13" ht="30" x14ac:dyDescent="0.25">
      <c r="A393" s="15" t="s">
        <v>151</v>
      </c>
      <c r="B393" s="15">
        <v>924</v>
      </c>
      <c r="C393" s="15">
        <v>477</v>
      </c>
      <c r="D393" s="15">
        <v>18</v>
      </c>
      <c r="E393" s="15">
        <v>10</v>
      </c>
      <c r="F393" s="15">
        <v>687</v>
      </c>
      <c r="G393" s="15">
        <v>343</v>
      </c>
      <c r="H393" s="15">
        <v>18</v>
      </c>
      <c r="I393" s="15">
        <v>10</v>
      </c>
      <c r="J393" s="15">
        <v>237</v>
      </c>
      <c r="K393" s="15">
        <v>134</v>
      </c>
      <c r="L393" s="15" t="s">
        <v>84</v>
      </c>
      <c r="M393" s="15" t="s">
        <v>84</v>
      </c>
    </row>
    <row r="394" spans="1:13" ht="60" x14ac:dyDescent="0.25">
      <c r="A394" s="15" t="s">
        <v>152</v>
      </c>
      <c r="B394" s="15">
        <v>107</v>
      </c>
      <c r="C394" s="15">
        <v>58</v>
      </c>
      <c r="D394" s="15">
        <v>11</v>
      </c>
      <c r="E394" s="15">
        <v>6</v>
      </c>
      <c r="F394" s="15">
        <v>97</v>
      </c>
      <c r="G394" s="15">
        <v>52</v>
      </c>
      <c r="H394" s="15">
        <v>11</v>
      </c>
      <c r="I394" s="15">
        <v>6</v>
      </c>
      <c r="J394" s="15">
        <v>10</v>
      </c>
      <c r="K394" s="15">
        <v>6</v>
      </c>
      <c r="L394" s="15" t="s">
        <v>84</v>
      </c>
      <c r="M394" s="15" t="s">
        <v>84</v>
      </c>
    </row>
    <row r="395" spans="1:13" ht="30" x14ac:dyDescent="0.25">
      <c r="A395" s="15" t="s">
        <v>85</v>
      </c>
      <c r="B395" s="15">
        <v>837</v>
      </c>
      <c r="C395" s="15">
        <v>400</v>
      </c>
      <c r="D395" s="15">
        <v>89</v>
      </c>
      <c r="E395" s="15">
        <v>43</v>
      </c>
      <c r="F395" s="15">
        <v>817</v>
      </c>
      <c r="G395" s="15">
        <v>393</v>
      </c>
      <c r="H395" s="15">
        <v>89</v>
      </c>
      <c r="I395" s="15">
        <v>43</v>
      </c>
      <c r="J395" s="15">
        <v>20</v>
      </c>
      <c r="K395" s="15">
        <v>7</v>
      </c>
      <c r="L395" s="15" t="s">
        <v>84</v>
      </c>
      <c r="M395" s="15" t="s">
        <v>84</v>
      </c>
    </row>
    <row r="396" spans="1:13" ht="30" x14ac:dyDescent="0.25">
      <c r="A396" s="15" t="s">
        <v>86</v>
      </c>
      <c r="B396" s="15">
        <v>241</v>
      </c>
      <c r="C396" s="15">
        <v>85</v>
      </c>
      <c r="D396" s="15">
        <v>29</v>
      </c>
      <c r="E396" s="15">
        <v>14</v>
      </c>
      <c r="F396" s="15">
        <v>211</v>
      </c>
      <c r="G396" s="15">
        <v>72</v>
      </c>
      <c r="H396" s="15">
        <v>29</v>
      </c>
      <c r="I396" s="15">
        <v>14</v>
      </c>
      <c r="J396" s="15">
        <v>30</v>
      </c>
      <c r="K396" s="15">
        <v>13</v>
      </c>
      <c r="L396" s="15" t="s">
        <v>84</v>
      </c>
      <c r="M396" s="15" t="s">
        <v>84</v>
      </c>
    </row>
    <row r="397" spans="1:13" ht="45" x14ac:dyDescent="0.25">
      <c r="A397" s="15" t="s">
        <v>87</v>
      </c>
      <c r="B397" s="15">
        <v>111</v>
      </c>
      <c r="C397" s="15">
        <v>50</v>
      </c>
      <c r="D397" s="15">
        <v>23</v>
      </c>
      <c r="E397" s="15">
        <v>14</v>
      </c>
      <c r="F397" s="15">
        <v>111</v>
      </c>
      <c r="G397" s="15">
        <v>50</v>
      </c>
      <c r="H397" s="15">
        <v>23</v>
      </c>
      <c r="I397" s="15">
        <v>14</v>
      </c>
      <c r="J397" s="15" t="s">
        <v>84</v>
      </c>
      <c r="K397" s="15" t="s">
        <v>84</v>
      </c>
      <c r="L397" s="15" t="s">
        <v>84</v>
      </c>
      <c r="M397" s="15" t="s">
        <v>84</v>
      </c>
    </row>
    <row r="398" spans="1:13" ht="45" x14ac:dyDescent="0.25">
      <c r="A398" s="15" t="s">
        <v>153</v>
      </c>
      <c r="B398" s="15">
        <v>23</v>
      </c>
      <c r="C398" s="15">
        <v>10</v>
      </c>
      <c r="D398" s="15">
        <v>6</v>
      </c>
      <c r="E398" s="15">
        <v>5</v>
      </c>
      <c r="F398" s="15">
        <v>23</v>
      </c>
      <c r="G398" s="15">
        <v>10</v>
      </c>
      <c r="H398" s="15">
        <v>6</v>
      </c>
      <c r="I398" s="15">
        <v>5</v>
      </c>
      <c r="J398" s="15" t="s">
        <v>84</v>
      </c>
      <c r="K398" s="15" t="s">
        <v>84</v>
      </c>
      <c r="L398" s="15" t="s">
        <v>84</v>
      </c>
      <c r="M398" s="15" t="s">
        <v>84</v>
      </c>
    </row>
    <row r="399" spans="1:13" ht="60" x14ac:dyDescent="0.25">
      <c r="A399" s="15" t="s">
        <v>154</v>
      </c>
      <c r="B399" s="15">
        <v>28</v>
      </c>
      <c r="C399" s="15">
        <v>17</v>
      </c>
      <c r="D399" s="15">
        <v>1</v>
      </c>
      <c r="E399" s="15" t="s">
        <v>84</v>
      </c>
      <c r="F399" s="15">
        <v>28</v>
      </c>
      <c r="G399" s="15">
        <v>17</v>
      </c>
      <c r="H399" s="15">
        <v>1</v>
      </c>
      <c r="I399" s="15" t="s">
        <v>84</v>
      </c>
      <c r="J399" s="15" t="s">
        <v>84</v>
      </c>
      <c r="K399" s="15" t="s">
        <v>84</v>
      </c>
      <c r="L399" s="15" t="s">
        <v>84</v>
      </c>
      <c r="M399" s="15" t="s">
        <v>84</v>
      </c>
    </row>
    <row r="400" spans="1:13" ht="15" customHeight="1" x14ac:dyDescent="0.25">
      <c r="A400" s="207" t="s">
        <v>125</v>
      </c>
      <c r="B400" s="208"/>
      <c r="C400" s="208"/>
      <c r="D400" s="208"/>
      <c r="E400" s="208"/>
      <c r="F400" s="208"/>
      <c r="G400" s="208"/>
      <c r="H400" s="208"/>
      <c r="I400" s="208"/>
      <c r="J400" s="208"/>
      <c r="K400" s="208"/>
      <c r="L400" s="208"/>
      <c r="M400" s="209"/>
    </row>
    <row r="401" spans="1:13" x14ac:dyDescent="0.25">
      <c r="A401" s="207"/>
      <c r="B401" s="208"/>
      <c r="C401" s="208"/>
      <c r="D401" s="208"/>
      <c r="E401" s="208"/>
      <c r="F401" s="208"/>
      <c r="G401" s="208"/>
      <c r="H401" s="208"/>
      <c r="I401" s="208"/>
      <c r="J401" s="208"/>
      <c r="K401" s="208"/>
      <c r="L401" s="208"/>
      <c r="M401" s="209"/>
    </row>
    <row r="402" spans="1:13" x14ac:dyDescent="0.25">
      <c r="A402" s="15" t="s">
        <v>83</v>
      </c>
      <c r="B402" s="27">
        <v>700</v>
      </c>
      <c r="C402" s="15">
        <v>340</v>
      </c>
      <c r="D402" s="27">
        <v>29</v>
      </c>
      <c r="E402" s="15">
        <v>11</v>
      </c>
      <c r="F402" s="15">
        <v>627</v>
      </c>
      <c r="G402" s="15">
        <v>299</v>
      </c>
      <c r="H402" s="15">
        <v>27</v>
      </c>
      <c r="I402" s="15">
        <v>10</v>
      </c>
      <c r="J402" s="15">
        <v>73</v>
      </c>
      <c r="K402" s="15">
        <v>41</v>
      </c>
      <c r="L402" s="15">
        <v>2</v>
      </c>
      <c r="M402" s="15">
        <v>1</v>
      </c>
    </row>
    <row r="403" spans="1:13" ht="30" x14ac:dyDescent="0.25">
      <c r="A403" s="15" t="s">
        <v>151</v>
      </c>
      <c r="B403" s="15">
        <v>263</v>
      </c>
      <c r="C403" s="15">
        <v>151</v>
      </c>
      <c r="D403" s="15">
        <v>4</v>
      </c>
      <c r="E403" s="15">
        <v>3</v>
      </c>
      <c r="F403" s="15">
        <v>192</v>
      </c>
      <c r="G403" s="15">
        <v>112</v>
      </c>
      <c r="H403" s="15">
        <v>2</v>
      </c>
      <c r="I403" s="15">
        <v>2</v>
      </c>
      <c r="J403" s="15">
        <v>71</v>
      </c>
      <c r="K403" s="15">
        <v>39</v>
      </c>
      <c r="L403" s="15">
        <v>2</v>
      </c>
      <c r="M403" s="15">
        <v>1</v>
      </c>
    </row>
    <row r="404" spans="1:13" ht="60" x14ac:dyDescent="0.25">
      <c r="A404" s="15" t="s">
        <v>152</v>
      </c>
      <c r="B404" s="15">
        <v>24</v>
      </c>
      <c r="C404" s="15">
        <v>15</v>
      </c>
      <c r="D404" s="15">
        <v>1</v>
      </c>
      <c r="E404" s="15">
        <v>1</v>
      </c>
      <c r="F404" s="15">
        <v>22</v>
      </c>
      <c r="G404" s="15">
        <v>13</v>
      </c>
      <c r="H404" s="15">
        <v>1</v>
      </c>
      <c r="I404" s="15">
        <v>1</v>
      </c>
      <c r="J404" s="15">
        <v>2</v>
      </c>
      <c r="K404" s="15">
        <v>2</v>
      </c>
      <c r="L404" s="15" t="s">
        <v>84</v>
      </c>
      <c r="M404" s="15" t="s">
        <v>84</v>
      </c>
    </row>
    <row r="405" spans="1:13" ht="30" x14ac:dyDescent="0.25">
      <c r="A405" s="15" t="s">
        <v>85</v>
      </c>
      <c r="B405" s="15">
        <v>306</v>
      </c>
      <c r="C405" s="15">
        <v>133</v>
      </c>
      <c r="D405" s="15">
        <v>15</v>
      </c>
      <c r="E405" s="15">
        <v>7</v>
      </c>
      <c r="F405" s="15">
        <v>306</v>
      </c>
      <c r="G405" s="15">
        <v>133</v>
      </c>
      <c r="H405" s="15">
        <v>15</v>
      </c>
      <c r="I405" s="15">
        <v>7</v>
      </c>
      <c r="J405" s="15" t="s">
        <v>84</v>
      </c>
      <c r="K405" s="15" t="s">
        <v>84</v>
      </c>
      <c r="L405" s="15" t="s">
        <v>84</v>
      </c>
      <c r="M405" s="15" t="s">
        <v>84</v>
      </c>
    </row>
    <row r="406" spans="1:13" ht="30" x14ac:dyDescent="0.25">
      <c r="A406" s="15" t="s">
        <v>86</v>
      </c>
      <c r="B406" s="15">
        <v>86</v>
      </c>
      <c r="C406" s="15">
        <v>30</v>
      </c>
      <c r="D406" s="15">
        <v>9</v>
      </c>
      <c r="E406" s="15" t="s">
        <v>84</v>
      </c>
      <c r="F406" s="15">
        <v>86</v>
      </c>
      <c r="G406" s="15">
        <v>30</v>
      </c>
      <c r="H406" s="15">
        <v>9</v>
      </c>
      <c r="I406" s="15" t="s">
        <v>84</v>
      </c>
      <c r="J406" s="15" t="s">
        <v>84</v>
      </c>
      <c r="K406" s="15" t="s">
        <v>84</v>
      </c>
      <c r="L406" s="15" t="s">
        <v>84</v>
      </c>
      <c r="M406" s="15" t="s">
        <v>84</v>
      </c>
    </row>
    <row r="407" spans="1:13" ht="45" x14ac:dyDescent="0.25">
      <c r="A407" s="15" t="s">
        <v>87</v>
      </c>
      <c r="B407" s="15">
        <v>21</v>
      </c>
      <c r="C407" s="15">
        <v>11</v>
      </c>
      <c r="D407" s="15" t="s">
        <v>84</v>
      </c>
      <c r="E407" s="15" t="s">
        <v>84</v>
      </c>
      <c r="F407" s="15">
        <v>21</v>
      </c>
      <c r="G407" s="15">
        <v>11</v>
      </c>
      <c r="H407" s="15" t="s">
        <v>84</v>
      </c>
      <c r="I407" s="15" t="s">
        <v>84</v>
      </c>
      <c r="J407" s="15" t="s">
        <v>84</v>
      </c>
      <c r="K407" s="15" t="s">
        <v>84</v>
      </c>
      <c r="L407" s="15" t="s">
        <v>84</v>
      </c>
      <c r="M407" s="15" t="s">
        <v>84</v>
      </c>
    </row>
    <row r="408" spans="1:13" ht="45" x14ac:dyDescent="0.25">
      <c r="A408" s="15" t="s">
        <v>153</v>
      </c>
      <c r="B408" s="15">
        <v>13</v>
      </c>
      <c r="C408" s="15">
        <v>7</v>
      </c>
      <c r="D408" s="15" t="s">
        <v>84</v>
      </c>
      <c r="E408" s="15" t="s">
        <v>84</v>
      </c>
      <c r="F408" s="15">
        <v>13</v>
      </c>
      <c r="G408" s="15">
        <v>7</v>
      </c>
      <c r="H408" s="15" t="s">
        <v>84</v>
      </c>
      <c r="I408" s="15" t="s">
        <v>84</v>
      </c>
      <c r="J408" s="15" t="s">
        <v>84</v>
      </c>
      <c r="K408" s="15" t="s">
        <v>84</v>
      </c>
      <c r="L408" s="15" t="s">
        <v>84</v>
      </c>
      <c r="M408" s="15" t="s">
        <v>84</v>
      </c>
    </row>
    <row r="409" spans="1:13" ht="15" customHeight="1" x14ac:dyDescent="0.25">
      <c r="A409" s="207" t="s">
        <v>126</v>
      </c>
      <c r="B409" s="208"/>
      <c r="C409" s="208"/>
      <c r="D409" s="208"/>
      <c r="E409" s="208"/>
      <c r="F409" s="208"/>
      <c r="G409" s="208"/>
      <c r="H409" s="208"/>
      <c r="I409" s="208"/>
      <c r="J409" s="208"/>
      <c r="K409" s="208"/>
      <c r="L409" s="208"/>
      <c r="M409" s="209"/>
    </row>
    <row r="410" spans="1:13" x14ac:dyDescent="0.25">
      <c r="A410" s="207"/>
      <c r="B410" s="208"/>
      <c r="C410" s="208"/>
      <c r="D410" s="208"/>
      <c r="E410" s="208"/>
      <c r="F410" s="208"/>
      <c r="G410" s="208"/>
      <c r="H410" s="208"/>
      <c r="I410" s="208"/>
      <c r="J410" s="208"/>
      <c r="K410" s="208"/>
      <c r="L410" s="208"/>
      <c r="M410" s="209"/>
    </row>
    <row r="411" spans="1:13" x14ac:dyDescent="0.25">
      <c r="A411" s="15" t="s">
        <v>83</v>
      </c>
      <c r="B411" s="27">
        <v>1315</v>
      </c>
      <c r="C411" s="15">
        <v>667</v>
      </c>
      <c r="D411" s="27">
        <v>26</v>
      </c>
      <c r="E411" s="15">
        <v>8</v>
      </c>
      <c r="F411" s="15">
        <v>1286</v>
      </c>
      <c r="G411" s="15">
        <v>661</v>
      </c>
      <c r="H411" s="15">
        <v>26</v>
      </c>
      <c r="I411" s="15">
        <v>8</v>
      </c>
      <c r="J411" s="15">
        <v>29</v>
      </c>
      <c r="K411" s="15">
        <v>6</v>
      </c>
      <c r="L411" s="15" t="s">
        <v>84</v>
      </c>
      <c r="M411" s="15" t="s">
        <v>84</v>
      </c>
    </row>
    <row r="412" spans="1:13" ht="30" x14ac:dyDescent="0.25">
      <c r="A412" s="15" t="s">
        <v>151</v>
      </c>
      <c r="B412" s="15">
        <v>321</v>
      </c>
      <c r="C412" s="15">
        <v>191</v>
      </c>
      <c r="D412" s="15">
        <v>1</v>
      </c>
      <c r="E412" s="15">
        <v>1</v>
      </c>
      <c r="F412" s="15">
        <v>321</v>
      </c>
      <c r="G412" s="15">
        <v>191</v>
      </c>
      <c r="H412" s="15">
        <v>1</v>
      </c>
      <c r="I412" s="15">
        <v>1</v>
      </c>
      <c r="J412" s="15" t="s">
        <v>84</v>
      </c>
      <c r="K412" s="15" t="s">
        <v>84</v>
      </c>
      <c r="L412" s="15" t="s">
        <v>84</v>
      </c>
      <c r="M412" s="15" t="s">
        <v>84</v>
      </c>
    </row>
    <row r="413" spans="1:13" ht="60" x14ac:dyDescent="0.25">
      <c r="A413" s="15" t="s">
        <v>152</v>
      </c>
      <c r="B413" s="15">
        <v>25</v>
      </c>
      <c r="C413" s="15">
        <v>14</v>
      </c>
      <c r="D413" s="15" t="s">
        <v>84</v>
      </c>
      <c r="E413" s="15" t="s">
        <v>84</v>
      </c>
      <c r="F413" s="15">
        <v>25</v>
      </c>
      <c r="G413" s="15">
        <v>14</v>
      </c>
      <c r="H413" s="15" t="s">
        <v>84</v>
      </c>
      <c r="I413" s="15" t="s">
        <v>84</v>
      </c>
      <c r="J413" s="15" t="s">
        <v>84</v>
      </c>
      <c r="K413" s="15" t="s">
        <v>84</v>
      </c>
      <c r="L413" s="15" t="s">
        <v>84</v>
      </c>
      <c r="M413" s="15" t="s">
        <v>84</v>
      </c>
    </row>
    <row r="414" spans="1:13" ht="30" x14ac:dyDescent="0.25">
      <c r="A414" s="15" t="s">
        <v>85</v>
      </c>
      <c r="B414" s="15">
        <v>697</v>
      </c>
      <c r="C414" s="15">
        <v>366</v>
      </c>
      <c r="D414" s="15">
        <v>13</v>
      </c>
      <c r="E414" s="15">
        <v>6</v>
      </c>
      <c r="F414" s="15">
        <v>690</v>
      </c>
      <c r="G414" s="15">
        <v>365</v>
      </c>
      <c r="H414" s="15">
        <v>13</v>
      </c>
      <c r="I414" s="15">
        <v>6</v>
      </c>
      <c r="J414" s="15">
        <v>7</v>
      </c>
      <c r="K414" s="15">
        <v>1</v>
      </c>
      <c r="L414" s="15" t="s">
        <v>84</v>
      </c>
      <c r="M414" s="15" t="s">
        <v>84</v>
      </c>
    </row>
    <row r="415" spans="1:13" ht="30" x14ac:dyDescent="0.25">
      <c r="A415" s="15" t="s">
        <v>86</v>
      </c>
      <c r="B415" s="15">
        <v>222</v>
      </c>
      <c r="C415" s="15">
        <v>81</v>
      </c>
      <c r="D415" s="15">
        <v>8</v>
      </c>
      <c r="E415" s="15">
        <v>1</v>
      </c>
      <c r="F415" s="15">
        <v>204</v>
      </c>
      <c r="G415" s="15">
        <v>76</v>
      </c>
      <c r="H415" s="15">
        <v>8</v>
      </c>
      <c r="I415" s="15">
        <v>1</v>
      </c>
      <c r="J415" s="15">
        <v>18</v>
      </c>
      <c r="K415" s="15">
        <v>5</v>
      </c>
      <c r="L415" s="15" t="s">
        <v>84</v>
      </c>
      <c r="M415" s="15" t="s">
        <v>84</v>
      </c>
    </row>
    <row r="416" spans="1:13" ht="45" x14ac:dyDescent="0.25">
      <c r="A416" s="15" t="s">
        <v>87</v>
      </c>
      <c r="B416" s="15">
        <v>50</v>
      </c>
      <c r="C416" s="15">
        <v>15</v>
      </c>
      <c r="D416" s="15">
        <v>4</v>
      </c>
      <c r="E416" s="15" t="s">
        <v>84</v>
      </c>
      <c r="F416" s="15">
        <v>46</v>
      </c>
      <c r="G416" s="15">
        <v>15</v>
      </c>
      <c r="H416" s="15">
        <v>4</v>
      </c>
      <c r="I416" s="15" t="s">
        <v>84</v>
      </c>
      <c r="J416" s="15">
        <v>4</v>
      </c>
      <c r="K416" s="15" t="s">
        <v>84</v>
      </c>
      <c r="L416" s="15" t="s">
        <v>84</v>
      </c>
      <c r="M416" s="15" t="s">
        <v>84</v>
      </c>
    </row>
    <row r="417" spans="1:13" ht="45" x14ac:dyDescent="0.25">
      <c r="A417" s="15" t="s">
        <v>153</v>
      </c>
      <c r="B417" s="15">
        <v>25</v>
      </c>
      <c r="C417" s="15">
        <v>9</v>
      </c>
      <c r="D417" s="15">
        <v>1</v>
      </c>
      <c r="E417" s="15" t="s">
        <v>84</v>
      </c>
      <c r="F417" s="15">
        <v>22</v>
      </c>
      <c r="G417" s="15">
        <v>9</v>
      </c>
      <c r="H417" s="15">
        <v>1</v>
      </c>
      <c r="I417" s="15" t="s">
        <v>84</v>
      </c>
      <c r="J417" s="15">
        <v>3</v>
      </c>
      <c r="K417" s="15" t="s">
        <v>84</v>
      </c>
      <c r="L417" s="15" t="s">
        <v>84</v>
      </c>
      <c r="M417" s="15" t="s">
        <v>84</v>
      </c>
    </row>
    <row r="418" spans="1:13" ht="60" x14ac:dyDescent="0.25">
      <c r="A418" s="15" t="s">
        <v>154</v>
      </c>
      <c r="B418" s="15">
        <v>10</v>
      </c>
      <c r="C418" s="15">
        <v>4</v>
      </c>
      <c r="D418" s="15" t="s">
        <v>84</v>
      </c>
      <c r="E418" s="15" t="s">
        <v>84</v>
      </c>
      <c r="F418" s="15">
        <v>10</v>
      </c>
      <c r="G418" s="15">
        <v>4</v>
      </c>
      <c r="H418" s="15" t="s">
        <v>84</v>
      </c>
      <c r="I418" s="15" t="s">
        <v>84</v>
      </c>
      <c r="J418" s="15" t="s">
        <v>84</v>
      </c>
      <c r="K418" s="15" t="s">
        <v>84</v>
      </c>
      <c r="L418" s="15" t="s">
        <v>84</v>
      </c>
      <c r="M418" s="15" t="s">
        <v>84</v>
      </c>
    </row>
    <row r="419" spans="1:13" ht="15" customHeight="1" x14ac:dyDescent="0.25">
      <c r="A419" s="207" t="s">
        <v>127</v>
      </c>
      <c r="B419" s="208"/>
      <c r="C419" s="208"/>
      <c r="D419" s="208"/>
      <c r="E419" s="208"/>
      <c r="F419" s="208"/>
      <c r="G419" s="208"/>
      <c r="H419" s="208"/>
      <c r="I419" s="208"/>
      <c r="J419" s="208"/>
      <c r="K419" s="208"/>
      <c r="L419" s="208"/>
      <c r="M419" s="209"/>
    </row>
    <row r="420" spans="1:13" x14ac:dyDescent="0.25">
      <c r="A420" s="207"/>
      <c r="B420" s="208"/>
      <c r="C420" s="208"/>
      <c r="D420" s="208"/>
      <c r="E420" s="208"/>
      <c r="F420" s="208"/>
      <c r="G420" s="208"/>
      <c r="H420" s="208"/>
      <c r="I420" s="208"/>
      <c r="J420" s="208"/>
      <c r="K420" s="208"/>
      <c r="L420" s="208"/>
      <c r="M420" s="209"/>
    </row>
    <row r="421" spans="1:13" x14ac:dyDescent="0.25">
      <c r="A421" s="15" t="s">
        <v>83</v>
      </c>
      <c r="B421" s="27">
        <v>2167</v>
      </c>
      <c r="C421" s="15">
        <v>1057</v>
      </c>
      <c r="D421" s="27">
        <v>41</v>
      </c>
      <c r="E421" s="15">
        <v>24</v>
      </c>
      <c r="F421" s="15">
        <v>2135</v>
      </c>
      <c r="G421" s="15">
        <v>1048</v>
      </c>
      <c r="H421" s="15">
        <v>40</v>
      </c>
      <c r="I421" s="15">
        <v>24</v>
      </c>
      <c r="J421" s="15">
        <v>32</v>
      </c>
      <c r="K421" s="15">
        <v>9</v>
      </c>
      <c r="L421" s="15">
        <v>1</v>
      </c>
      <c r="M421" s="15" t="s">
        <v>84</v>
      </c>
    </row>
    <row r="422" spans="1:13" ht="30" x14ac:dyDescent="0.25">
      <c r="A422" s="15" t="s">
        <v>151</v>
      </c>
      <c r="B422" s="15">
        <v>530</v>
      </c>
      <c r="C422" s="15">
        <v>298</v>
      </c>
      <c r="D422" s="15">
        <v>10</v>
      </c>
      <c r="E422" s="15">
        <v>7</v>
      </c>
      <c r="F422" s="15">
        <v>530</v>
      </c>
      <c r="G422" s="15">
        <v>298</v>
      </c>
      <c r="H422" s="15">
        <v>10</v>
      </c>
      <c r="I422" s="15">
        <v>7</v>
      </c>
      <c r="J422" s="15" t="s">
        <v>84</v>
      </c>
      <c r="K422" s="15" t="s">
        <v>84</v>
      </c>
      <c r="L422" s="15" t="s">
        <v>84</v>
      </c>
      <c r="M422" s="15" t="s">
        <v>84</v>
      </c>
    </row>
    <row r="423" spans="1:13" ht="60" x14ac:dyDescent="0.25">
      <c r="A423" s="15" t="s">
        <v>152</v>
      </c>
      <c r="B423" s="15">
        <v>51</v>
      </c>
      <c r="C423" s="15">
        <v>20</v>
      </c>
      <c r="D423" s="15" t="s">
        <v>84</v>
      </c>
      <c r="E423" s="15" t="s">
        <v>84</v>
      </c>
      <c r="F423" s="15">
        <v>51</v>
      </c>
      <c r="G423" s="15">
        <v>20</v>
      </c>
      <c r="H423" s="15" t="s">
        <v>84</v>
      </c>
      <c r="I423" s="15" t="s">
        <v>84</v>
      </c>
      <c r="J423" s="15" t="s">
        <v>84</v>
      </c>
      <c r="K423" s="15" t="s">
        <v>84</v>
      </c>
      <c r="L423" s="15" t="s">
        <v>84</v>
      </c>
      <c r="M423" s="15" t="s">
        <v>84</v>
      </c>
    </row>
    <row r="424" spans="1:13" ht="30" x14ac:dyDescent="0.25">
      <c r="A424" s="15" t="s">
        <v>85</v>
      </c>
      <c r="B424" s="15">
        <v>1082</v>
      </c>
      <c r="C424" s="15">
        <v>555</v>
      </c>
      <c r="D424" s="15">
        <v>9</v>
      </c>
      <c r="E424" s="15">
        <v>7</v>
      </c>
      <c r="F424" s="15">
        <v>1071</v>
      </c>
      <c r="G424" s="15">
        <v>549</v>
      </c>
      <c r="H424" s="15">
        <v>9</v>
      </c>
      <c r="I424" s="15">
        <v>7</v>
      </c>
      <c r="J424" s="15">
        <v>11</v>
      </c>
      <c r="K424" s="15">
        <v>6</v>
      </c>
      <c r="L424" s="15" t="s">
        <v>84</v>
      </c>
      <c r="M424" s="15" t="s">
        <v>84</v>
      </c>
    </row>
    <row r="425" spans="1:13" ht="30" x14ac:dyDescent="0.25">
      <c r="A425" s="15" t="s">
        <v>86</v>
      </c>
      <c r="B425" s="15">
        <v>332</v>
      </c>
      <c r="C425" s="15">
        <v>123</v>
      </c>
      <c r="D425" s="15">
        <v>12</v>
      </c>
      <c r="E425" s="15">
        <v>6</v>
      </c>
      <c r="F425" s="15">
        <v>324</v>
      </c>
      <c r="G425" s="15">
        <v>121</v>
      </c>
      <c r="H425" s="15">
        <v>11</v>
      </c>
      <c r="I425" s="15">
        <v>6</v>
      </c>
      <c r="J425" s="15">
        <v>8</v>
      </c>
      <c r="K425" s="15">
        <v>2</v>
      </c>
      <c r="L425" s="15">
        <v>1</v>
      </c>
      <c r="M425" s="15" t="s">
        <v>84</v>
      </c>
    </row>
    <row r="426" spans="1:13" ht="45" x14ac:dyDescent="0.25">
      <c r="A426" s="15" t="s">
        <v>87</v>
      </c>
      <c r="B426" s="15">
        <v>172</v>
      </c>
      <c r="C426" s="15">
        <v>61</v>
      </c>
      <c r="D426" s="15">
        <v>10</v>
      </c>
      <c r="E426" s="15">
        <v>4</v>
      </c>
      <c r="F426" s="15">
        <v>159</v>
      </c>
      <c r="G426" s="15">
        <v>60</v>
      </c>
      <c r="H426" s="15">
        <v>10</v>
      </c>
      <c r="I426" s="15">
        <v>4</v>
      </c>
      <c r="J426" s="15">
        <v>13</v>
      </c>
      <c r="K426" s="15">
        <v>1</v>
      </c>
      <c r="L426" s="15" t="s">
        <v>84</v>
      </c>
      <c r="M426" s="15" t="s">
        <v>84</v>
      </c>
    </row>
    <row r="427" spans="1:13" ht="45" x14ac:dyDescent="0.25">
      <c r="A427" s="15" t="s">
        <v>153</v>
      </c>
      <c r="B427" s="15">
        <v>71</v>
      </c>
      <c r="C427" s="15">
        <v>23</v>
      </c>
      <c r="D427" s="15">
        <v>4</v>
      </c>
      <c r="E427" s="15">
        <v>1</v>
      </c>
      <c r="F427" s="15">
        <v>68</v>
      </c>
      <c r="G427" s="15">
        <v>22</v>
      </c>
      <c r="H427" s="15">
        <v>4</v>
      </c>
      <c r="I427" s="15">
        <v>1</v>
      </c>
      <c r="J427" s="15">
        <v>3</v>
      </c>
      <c r="K427" s="15">
        <v>1</v>
      </c>
      <c r="L427" s="15" t="s">
        <v>84</v>
      </c>
      <c r="M427" s="15" t="s">
        <v>84</v>
      </c>
    </row>
    <row r="428" spans="1:13" ht="60" x14ac:dyDescent="0.25">
      <c r="A428" s="15" t="s">
        <v>154</v>
      </c>
      <c r="B428" s="15">
        <v>23</v>
      </c>
      <c r="C428" s="15">
        <v>11</v>
      </c>
      <c r="D428" s="15">
        <v>1</v>
      </c>
      <c r="E428" s="15" t="s">
        <v>84</v>
      </c>
      <c r="F428" s="15">
        <v>23</v>
      </c>
      <c r="G428" s="15">
        <v>11</v>
      </c>
      <c r="H428" s="15">
        <v>1</v>
      </c>
      <c r="I428" s="15" t="s">
        <v>84</v>
      </c>
      <c r="J428" s="15" t="s">
        <v>84</v>
      </c>
      <c r="K428" s="15" t="s">
        <v>84</v>
      </c>
      <c r="L428" s="15" t="s">
        <v>84</v>
      </c>
      <c r="M428" s="15" t="s">
        <v>84</v>
      </c>
    </row>
    <row r="429" spans="1:13" ht="15" customHeight="1" x14ac:dyDescent="0.25">
      <c r="A429" s="207" t="s">
        <v>128</v>
      </c>
      <c r="B429" s="208"/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9"/>
    </row>
    <row r="430" spans="1:13" x14ac:dyDescent="0.25">
      <c r="A430" s="207"/>
      <c r="B430" s="208"/>
      <c r="C430" s="208"/>
      <c r="D430" s="208"/>
      <c r="E430" s="208"/>
      <c r="F430" s="208"/>
      <c r="G430" s="208"/>
      <c r="H430" s="208"/>
      <c r="I430" s="208"/>
      <c r="J430" s="208"/>
      <c r="K430" s="208"/>
      <c r="L430" s="208"/>
      <c r="M430" s="209"/>
    </row>
    <row r="431" spans="1:13" x14ac:dyDescent="0.25">
      <c r="A431" s="15" t="s">
        <v>83</v>
      </c>
      <c r="B431" s="27">
        <v>2059</v>
      </c>
      <c r="C431" s="15">
        <v>960</v>
      </c>
      <c r="D431" s="27">
        <v>75</v>
      </c>
      <c r="E431" s="15">
        <v>28</v>
      </c>
      <c r="F431" s="15">
        <v>1877</v>
      </c>
      <c r="G431" s="15">
        <v>865</v>
      </c>
      <c r="H431" s="15">
        <v>74</v>
      </c>
      <c r="I431" s="15">
        <v>28</v>
      </c>
      <c r="J431" s="15">
        <v>182</v>
      </c>
      <c r="K431" s="15">
        <v>95</v>
      </c>
      <c r="L431" s="15">
        <v>1</v>
      </c>
      <c r="M431" s="15" t="s">
        <v>84</v>
      </c>
    </row>
    <row r="432" spans="1:13" ht="30" x14ac:dyDescent="0.25">
      <c r="A432" s="15" t="s">
        <v>151</v>
      </c>
      <c r="B432" s="15">
        <v>432</v>
      </c>
      <c r="C432" s="15">
        <v>254</v>
      </c>
      <c r="D432" s="15">
        <v>1</v>
      </c>
      <c r="E432" s="15">
        <v>1</v>
      </c>
      <c r="F432" s="15">
        <v>313</v>
      </c>
      <c r="G432" s="15">
        <v>183</v>
      </c>
      <c r="H432" s="15">
        <v>1</v>
      </c>
      <c r="I432" s="15">
        <v>1</v>
      </c>
      <c r="J432" s="15">
        <v>119</v>
      </c>
      <c r="K432" s="15">
        <v>71</v>
      </c>
      <c r="L432" s="15" t="s">
        <v>84</v>
      </c>
      <c r="M432" s="15" t="s">
        <v>84</v>
      </c>
    </row>
    <row r="433" spans="1:13" ht="60" x14ac:dyDescent="0.25">
      <c r="A433" s="15" t="s">
        <v>152</v>
      </c>
      <c r="B433" s="15">
        <v>35</v>
      </c>
      <c r="C433" s="15">
        <v>12</v>
      </c>
      <c r="D433" s="15" t="s">
        <v>84</v>
      </c>
      <c r="E433" s="15" t="s">
        <v>84</v>
      </c>
      <c r="F433" s="15">
        <v>32</v>
      </c>
      <c r="G433" s="15">
        <v>10</v>
      </c>
      <c r="H433" s="15" t="s">
        <v>84</v>
      </c>
      <c r="I433" s="15" t="s">
        <v>84</v>
      </c>
      <c r="J433" s="15">
        <v>3</v>
      </c>
      <c r="K433" s="15">
        <v>2</v>
      </c>
      <c r="L433" s="15" t="s">
        <v>84</v>
      </c>
      <c r="M433" s="15" t="s">
        <v>84</v>
      </c>
    </row>
    <row r="434" spans="1:13" ht="30" x14ac:dyDescent="0.25">
      <c r="A434" s="15" t="s">
        <v>85</v>
      </c>
      <c r="B434" s="15">
        <v>1179</v>
      </c>
      <c r="C434" s="15">
        <v>554</v>
      </c>
      <c r="D434" s="15">
        <v>39</v>
      </c>
      <c r="E434" s="15">
        <v>18</v>
      </c>
      <c r="F434" s="15">
        <v>1153</v>
      </c>
      <c r="G434" s="15">
        <v>544</v>
      </c>
      <c r="H434" s="15">
        <v>39</v>
      </c>
      <c r="I434" s="15">
        <v>18</v>
      </c>
      <c r="J434" s="15">
        <v>26</v>
      </c>
      <c r="K434" s="15">
        <v>10</v>
      </c>
      <c r="L434" s="15" t="s">
        <v>84</v>
      </c>
      <c r="M434" s="15" t="s">
        <v>84</v>
      </c>
    </row>
    <row r="435" spans="1:13" ht="30" x14ac:dyDescent="0.25">
      <c r="A435" s="15" t="s">
        <v>86</v>
      </c>
      <c r="B435" s="15">
        <v>327</v>
      </c>
      <c r="C435" s="15">
        <v>117</v>
      </c>
      <c r="D435" s="15">
        <v>21</v>
      </c>
      <c r="E435" s="15">
        <v>7</v>
      </c>
      <c r="F435" s="15">
        <v>312</v>
      </c>
      <c r="G435" s="15">
        <v>113</v>
      </c>
      <c r="H435" s="15">
        <v>20</v>
      </c>
      <c r="I435" s="15">
        <v>7</v>
      </c>
      <c r="J435" s="15">
        <v>15</v>
      </c>
      <c r="K435" s="15">
        <v>4</v>
      </c>
      <c r="L435" s="15">
        <v>1</v>
      </c>
      <c r="M435" s="15" t="s">
        <v>84</v>
      </c>
    </row>
    <row r="436" spans="1:13" ht="45" x14ac:dyDescent="0.25">
      <c r="A436" s="15" t="s">
        <v>87</v>
      </c>
      <c r="B436" s="15">
        <v>86</v>
      </c>
      <c r="C436" s="15">
        <v>23</v>
      </c>
      <c r="D436" s="15">
        <v>14</v>
      </c>
      <c r="E436" s="15">
        <v>2</v>
      </c>
      <c r="F436" s="15">
        <v>67</v>
      </c>
      <c r="G436" s="15">
        <v>15</v>
      </c>
      <c r="H436" s="15">
        <v>14</v>
      </c>
      <c r="I436" s="15">
        <v>2</v>
      </c>
      <c r="J436" s="15">
        <v>19</v>
      </c>
      <c r="K436" s="15">
        <v>8</v>
      </c>
      <c r="L436" s="15" t="s">
        <v>84</v>
      </c>
      <c r="M436" s="15" t="s">
        <v>84</v>
      </c>
    </row>
    <row r="437" spans="1:13" ht="45" x14ac:dyDescent="0.25">
      <c r="A437" s="15" t="s">
        <v>153</v>
      </c>
      <c r="B437" s="15">
        <v>15</v>
      </c>
      <c r="C437" s="15">
        <v>6</v>
      </c>
      <c r="D437" s="15" t="s">
        <v>84</v>
      </c>
      <c r="E437" s="15" t="s">
        <v>84</v>
      </c>
      <c r="F437" s="15">
        <v>13</v>
      </c>
      <c r="G437" s="15">
        <v>5</v>
      </c>
      <c r="H437" s="15" t="s">
        <v>84</v>
      </c>
      <c r="I437" s="15" t="s">
        <v>84</v>
      </c>
      <c r="J437" s="15">
        <v>2</v>
      </c>
      <c r="K437" s="15">
        <v>1</v>
      </c>
      <c r="L437" s="15" t="s">
        <v>84</v>
      </c>
      <c r="M437" s="15" t="s">
        <v>84</v>
      </c>
    </row>
    <row r="438" spans="1:13" ht="60" x14ac:dyDescent="0.25">
      <c r="A438" s="15" t="s">
        <v>154</v>
      </c>
      <c r="B438" s="15">
        <v>18</v>
      </c>
      <c r="C438" s="15">
        <v>8</v>
      </c>
      <c r="D438" s="15" t="s">
        <v>84</v>
      </c>
      <c r="E438" s="15" t="s">
        <v>84</v>
      </c>
      <c r="F438" s="15">
        <v>2</v>
      </c>
      <c r="G438" s="15">
        <v>2</v>
      </c>
      <c r="H438" s="15" t="s">
        <v>84</v>
      </c>
      <c r="I438" s="15" t="s">
        <v>84</v>
      </c>
      <c r="J438" s="15">
        <v>16</v>
      </c>
      <c r="K438" s="15">
        <v>6</v>
      </c>
      <c r="L438" s="15" t="s">
        <v>84</v>
      </c>
      <c r="M438" s="15" t="s">
        <v>84</v>
      </c>
    </row>
    <row r="439" spans="1:13" ht="15" customHeight="1" x14ac:dyDescent="0.25">
      <c r="A439" s="207" t="s">
        <v>129</v>
      </c>
      <c r="B439" s="208"/>
      <c r="C439" s="208"/>
      <c r="D439" s="208"/>
      <c r="E439" s="208"/>
      <c r="F439" s="208"/>
      <c r="G439" s="208"/>
      <c r="H439" s="208"/>
      <c r="I439" s="208"/>
      <c r="J439" s="208"/>
      <c r="K439" s="208"/>
      <c r="L439" s="208"/>
      <c r="M439" s="209"/>
    </row>
    <row r="440" spans="1:13" x14ac:dyDescent="0.25">
      <c r="A440" s="207"/>
      <c r="B440" s="208"/>
      <c r="C440" s="208"/>
      <c r="D440" s="208"/>
      <c r="E440" s="208"/>
      <c r="F440" s="208"/>
      <c r="G440" s="208"/>
      <c r="H440" s="208"/>
      <c r="I440" s="208"/>
      <c r="J440" s="208"/>
      <c r="K440" s="208"/>
      <c r="L440" s="208"/>
      <c r="M440" s="209"/>
    </row>
    <row r="441" spans="1:13" x14ac:dyDescent="0.25">
      <c r="A441" s="15" t="s">
        <v>83</v>
      </c>
      <c r="B441" s="27">
        <v>3867</v>
      </c>
      <c r="C441" s="15">
        <v>1881</v>
      </c>
      <c r="D441" s="27">
        <v>181</v>
      </c>
      <c r="E441" s="15">
        <v>69</v>
      </c>
      <c r="F441" s="15">
        <v>3205</v>
      </c>
      <c r="G441" s="15">
        <v>1507</v>
      </c>
      <c r="H441" s="15">
        <v>160</v>
      </c>
      <c r="I441" s="15">
        <v>63</v>
      </c>
      <c r="J441" s="15">
        <v>662</v>
      </c>
      <c r="K441" s="15">
        <v>374</v>
      </c>
      <c r="L441" s="15">
        <v>21</v>
      </c>
      <c r="M441" s="15">
        <v>6</v>
      </c>
    </row>
    <row r="442" spans="1:13" ht="30" x14ac:dyDescent="0.25">
      <c r="A442" s="15" t="s">
        <v>151</v>
      </c>
      <c r="B442" s="15">
        <v>981</v>
      </c>
      <c r="C442" s="15">
        <v>563</v>
      </c>
      <c r="D442" s="15">
        <v>6</v>
      </c>
      <c r="E442" s="15">
        <v>3</v>
      </c>
      <c r="F442" s="15">
        <v>534</v>
      </c>
      <c r="G442" s="15">
        <v>277</v>
      </c>
      <c r="H442" s="15">
        <v>4</v>
      </c>
      <c r="I442" s="15">
        <v>1</v>
      </c>
      <c r="J442" s="15">
        <v>447</v>
      </c>
      <c r="K442" s="15">
        <v>286</v>
      </c>
      <c r="L442" s="15">
        <v>2</v>
      </c>
      <c r="M442" s="15">
        <v>2</v>
      </c>
    </row>
    <row r="443" spans="1:13" ht="60" x14ac:dyDescent="0.25">
      <c r="A443" s="15" t="s">
        <v>152</v>
      </c>
      <c r="B443" s="15">
        <v>38</v>
      </c>
      <c r="C443" s="15">
        <v>18</v>
      </c>
      <c r="D443" s="15">
        <v>2</v>
      </c>
      <c r="E443" s="15">
        <v>1</v>
      </c>
      <c r="F443" s="15">
        <v>23</v>
      </c>
      <c r="G443" s="15">
        <v>11</v>
      </c>
      <c r="H443" s="15">
        <v>1</v>
      </c>
      <c r="I443" s="15" t="s">
        <v>84</v>
      </c>
      <c r="J443" s="15">
        <v>15</v>
      </c>
      <c r="K443" s="15">
        <v>7</v>
      </c>
      <c r="L443" s="15">
        <v>1</v>
      </c>
      <c r="M443" s="15">
        <v>1</v>
      </c>
    </row>
    <row r="444" spans="1:13" ht="30" x14ac:dyDescent="0.25">
      <c r="A444" s="15" t="s">
        <v>85</v>
      </c>
      <c r="B444" s="15">
        <v>2014</v>
      </c>
      <c r="C444" s="15">
        <v>1005</v>
      </c>
      <c r="D444" s="15">
        <v>69</v>
      </c>
      <c r="E444" s="15">
        <v>39</v>
      </c>
      <c r="F444" s="15">
        <v>1927</v>
      </c>
      <c r="G444" s="15">
        <v>957</v>
      </c>
      <c r="H444" s="15">
        <v>68</v>
      </c>
      <c r="I444" s="15">
        <v>38</v>
      </c>
      <c r="J444" s="15">
        <v>87</v>
      </c>
      <c r="K444" s="15">
        <v>48</v>
      </c>
      <c r="L444" s="15">
        <v>1</v>
      </c>
      <c r="M444" s="15">
        <v>1</v>
      </c>
    </row>
    <row r="445" spans="1:13" ht="30" x14ac:dyDescent="0.25">
      <c r="A445" s="15" t="s">
        <v>86</v>
      </c>
      <c r="B445" s="15">
        <v>560</v>
      </c>
      <c r="C445" s="15">
        <v>214</v>
      </c>
      <c r="D445" s="15">
        <v>36</v>
      </c>
      <c r="E445" s="15">
        <v>16</v>
      </c>
      <c r="F445" s="15">
        <v>494</v>
      </c>
      <c r="G445" s="15">
        <v>192</v>
      </c>
      <c r="H445" s="15">
        <v>36</v>
      </c>
      <c r="I445" s="15">
        <v>16</v>
      </c>
      <c r="J445" s="15">
        <v>66</v>
      </c>
      <c r="K445" s="15">
        <v>22</v>
      </c>
      <c r="L445" s="15" t="s">
        <v>84</v>
      </c>
      <c r="M445" s="15" t="s">
        <v>84</v>
      </c>
    </row>
    <row r="446" spans="1:13" ht="45" x14ac:dyDescent="0.25">
      <c r="A446" s="15" t="s">
        <v>87</v>
      </c>
      <c r="B446" s="15">
        <v>274</v>
      </c>
      <c r="C446" s="15">
        <v>81</v>
      </c>
      <c r="D446" s="15">
        <v>68</v>
      </c>
      <c r="E446" s="15">
        <v>10</v>
      </c>
      <c r="F446" s="15">
        <v>227</v>
      </c>
      <c r="G446" s="15">
        <v>70</v>
      </c>
      <c r="H446" s="15">
        <v>51</v>
      </c>
      <c r="I446" s="15">
        <v>8</v>
      </c>
      <c r="J446" s="15">
        <v>47</v>
      </c>
      <c r="K446" s="15">
        <v>11</v>
      </c>
      <c r="L446" s="15">
        <v>17</v>
      </c>
      <c r="M446" s="15">
        <v>2</v>
      </c>
    </row>
    <row r="447" spans="1:13" ht="45" x14ac:dyDescent="0.25">
      <c r="A447" s="15" t="s">
        <v>153</v>
      </c>
      <c r="B447" s="15">
        <v>109</v>
      </c>
      <c r="C447" s="15">
        <v>38</v>
      </c>
      <c r="D447" s="15">
        <v>5</v>
      </c>
      <c r="E447" s="15">
        <v>2</v>
      </c>
      <c r="F447" s="15">
        <v>101</v>
      </c>
      <c r="G447" s="15">
        <v>37</v>
      </c>
      <c r="H447" s="15">
        <v>5</v>
      </c>
      <c r="I447" s="15">
        <v>2</v>
      </c>
      <c r="J447" s="15">
        <v>8</v>
      </c>
      <c r="K447" s="15">
        <v>1</v>
      </c>
      <c r="L447" s="15" t="s">
        <v>84</v>
      </c>
      <c r="M447" s="15" t="s">
        <v>84</v>
      </c>
    </row>
    <row r="448" spans="1:13" ht="15" customHeight="1" x14ac:dyDescent="0.25">
      <c r="A448" s="207" t="s">
        <v>130</v>
      </c>
      <c r="B448" s="208"/>
      <c r="C448" s="208"/>
      <c r="D448" s="208"/>
      <c r="E448" s="208"/>
      <c r="F448" s="208"/>
      <c r="G448" s="208"/>
      <c r="H448" s="208"/>
      <c r="I448" s="208"/>
      <c r="J448" s="208"/>
      <c r="K448" s="208"/>
      <c r="L448" s="208"/>
      <c r="M448" s="209"/>
    </row>
    <row r="449" spans="1:13" x14ac:dyDescent="0.25">
      <c r="A449" s="207"/>
      <c r="B449" s="208"/>
      <c r="C449" s="208"/>
      <c r="D449" s="208"/>
      <c r="E449" s="208"/>
      <c r="F449" s="208"/>
      <c r="G449" s="208"/>
      <c r="H449" s="208"/>
      <c r="I449" s="208"/>
      <c r="J449" s="208"/>
      <c r="K449" s="208"/>
      <c r="L449" s="208"/>
      <c r="M449" s="209"/>
    </row>
    <row r="450" spans="1:13" x14ac:dyDescent="0.25">
      <c r="A450" s="15" t="s">
        <v>83</v>
      </c>
      <c r="B450" s="27">
        <v>1002</v>
      </c>
      <c r="C450" s="15">
        <v>448</v>
      </c>
      <c r="D450" s="27">
        <v>18</v>
      </c>
      <c r="E450" s="15">
        <v>10</v>
      </c>
      <c r="F450" s="15">
        <v>1000</v>
      </c>
      <c r="G450" s="15">
        <v>448</v>
      </c>
      <c r="H450" s="15">
        <v>18</v>
      </c>
      <c r="I450" s="15">
        <v>10</v>
      </c>
      <c r="J450" s="15">
        <v>2</v>
      </c>
      <c r="K450" s="15" t="s">
        <v>84</v>
      </c>
      <c r="L450" s="15" t="s">
        <v>84</v>
      </c>
      <c r="M450" s="15" t="s">
        <v>84</v>
      </c>
    </row>
    <row r="451" spans="1:13" ht="30" x14ac:dyDescent="0.25">
      <c r="A451" s="15" t="s">
        <v>151</v>
      </c>
      <c r="B451" s="15">
        <v>232</v>
      </c>
      <c r="C451" s="15">
        <v>107</v>
      </c>
      <c r="D451" s="15">
        <v>2</v>
      </c>
      <c r="E451" s="15">
        <v>2</v>
      </c>
      <c r="F451" s="15">
        <v>232</v>
      </c>
      <c r="G451" s="15">
        <v>107</v>
      </c>
      <c r="H451" s="15">
        <v>2</v>
      </c>
      <c r="I451" s="15">
        <v>2</v>
      </c>
      <c r="J451" s="15" t="s">
        <v>84</v>
      </c>
      <c r="K451" s="15" t="s">
        <v>84</v>
      </c>
      <c r="L451" s="15" t="s">
        <v>84</v>
      </c>
      <c r="M451" s="15" t="s">
        <v>84</v>
      </c>
    </row>
    <row r="452" spans="1:13" ht="60" x14ac:dyDescent="0.25">
      <c r="A452" s="15" t="s">
        <v>152</v>
      </c>
      <c r="B452" s="15">
        <v>20</v>
      </c>
      <c r="C452" s="15">
        <v>11</v>
      </c>
      <c r="D452" s="15" t="s">
        <v>84</v>
      </c>
      <c r="E452" s="15" t="s">
        <v>84</v>
      </c>
      <c r="F452" s="15">
        <v>20</v>
      </c>
      <c r="G452" s="15">
        <v>11</v>
      </c>
      <c r="H452" s="15" t="s">
        <v>84</v>
      </c>
      <c r="I452" s="15" t="s">
        <v>84</v>
      </c>
      <c r="J452" s="15" t="s">
        <v>84</v>
      </c>
      <c r="K452" s="15" t="s">
        <v>84</v>
      </c>
      <c r="L452" s="15" t="s">
        <v>84</v>
      </c>
      <c r="M452" s="15" t="s">
        <v>84</v>
      </c>
    </row>
    <row r="453" spans="1:13" ht="30" x14ac:dyDescent="0.25">
      <c r="A453" s="15" t="s">
        <v>85</v>
      </c>
      <c r="B453" s="15">
        <v>513</v>
      </c>
      <c r="C453" s="15">
        <v>237</v>
      </c>
      <c r="D453" s="15">
        <v>4</v>
      </c>
      <c r="E453" s="15">
        <v>2</v>
      </c>
      <c r="F453" s="15">
        <v>513</v>
      </c>
      <c r="G453" s="15">
        <v>237</v>
      </c>
      <c r="H453" s="15">
        <v>4</v>
      </c>
      <c r="I453" s="15">
        <v>2</v>
      </c>
      <c r="J453" s="15" t="s">
        <v>84</v>
      </c>
      <c r="K453" s="15" t="s">
        <v>84</v>
      </c>
      <c r="L453" s="15" t="s">
        <v>84</v>
      </c>
      <c r="M453" s="15" t="s">
        <v>84</v>
      </c>
    </row>
    <row r="454" spans="1:13" ht="30" x14ac:dyDescent="0.25">
      <c r="A454" s="15" t="s">
        <v>86</v>
      </c>
      <c r="B454" s="15">
        <v>196</v>
      </c>
      <c r="C454" s="15">
        <v>76</v>
      </c>
      <c r="D454" s="15">
        <v>10</v>
      </c>
      <c r="E454" s="15">
        <v>5</v>
      </c>
      <c r="F454" s="15">
        <v>196</v>
      </c>
      <c r="G454" s="15">
        <v>76</v>
      </c>
      <c r="H454" s="15">
        <v>10</v>
      </c>
      <c r="I454" s="15">
        <v>5</v>
      </c>
      <c r="J454" s="15" t="s">
        <v>84</v>
      </c>
      <c r="K454" s="15" t="s">
        <v>84</v>
      </c>
      <c r="L454" s="15" t="s">
        <v>84</v>
      </c>
      <c r="M454" s="15" t="s">
        <v>84</v>
      </c>
    </row>
    <row r="455" spans="1:13" ht="45" x14ac:dyDescent="0.25">
      <c r="A455" s="15" t="s">
        <v>87</v>
      </c>
      <c r="B455" s="15">
        <v>41</v>
      </c>
      <c r="C455" s="15">
        <v>17</v>
      </c>
      <c r="D455" s="15">
        <v>2</v>
      </c>
      <c r="E455" s="15">
        <v>1</v>
      </c>
      <c r="F455" s="15">
        <v>39</v>
      </c>
      <c r="G455" s="15">
        <v>17</v>
      </c>
      <c r="H455" s="15">
        <v>2</v>
      </c>
      <c r="I455" s="15">
        <v>1</v>
      </c>
      <c r="J455" s="15">
        <v>2</v>
      </c>
      <c r="K455" s="15" t="s">
        <v>84</v>
      </c>
      <c r="L455" s="15" t="s">
        <v>84</v>
      </c>
      <c r="M455" s="15" t="s">
        <v>84</v>
      </c>
    </row>
    <row r="456" spans="1:13" ht="45" x14ac:dyDescent="0.25">
      <c r="A456" s="15" t="s">
        <v>153</v>
      </c>
      <c r="B456" s="15">
        <v>9</v>
      </c>
      <c r="C456" s="15">
        <v>3</v>
      </c>
      <c r="D456" s="15">
        <v>1</v>
      </c>
      <c r="E456" s="15" t="s">
        <v>84</v>
      </c>
      <c r="F456" s="15">
        <v>9</v>
      </c>
      <c r="G456" s="15">
        <v>3</v>
      </c>
      <c r="H456" s="15">
        <v>1</v>
      </c>
      <c r="I456" s="15" t="s">
        <v>84</v>
      </c>
      <c r="J456" s="15" t="s">
        <v>84</v>
      </c>
      <c r="K456" s="15" t="s">
        <v>84</v>
      </c>
      <c r="L456" s="15" t="s">
        <v>84</v>
      </c>
      <c r="M456" s="15" t="s">
        <v>84</v>
      </c>
    </row>
    <row r="457" spans="1:13" ht="60" x14ac:dyDescent="0.25">
      <c r="A457" s="15" t="s">
        <v>154</v>
      </c>
      <c r="B457" s="15">
        <v>11</v>
      </c>
      <c r="C457" s="15">
        <v>4</v>
      </c>
      <c r="D457" s="15" t="s">
        <v>84</v>
      </c>
      <c r="E457" s="15" t="s">
        <v>84</v>
      </c>
      <c r="F457" s="15">
        <v>11</v>
      </c>
      <c r="G457" s="15">
        <v>4</v>
      </c>
      <c r="H457" s="15" t="s">
        <v>84</v>
      </c>
      <c r="I457" s="15" t="s">
        <v>84</v>
      </c>
      <c r="J457" s="15" t="s">
        <v>84</v>
      </c>
      <c r="K457" s="15" t="s">
        <v>84</v>
      </c>
      <c r="L457" s="15" t="s">
        <v>84</v>
      </c>
      <c r="M457" s="15" t="s">
        <v>84</v>
      </c>
    </row>
    <row r="458" spans="1:13" ht="15" customHeight="1" x14ac:dyDescent="0.25">
      <c r="A458" s="207" t="s">
        <v>131</v>
      </c>
      <c r="B458" s="208"/>
      <c r="C458" s="208"/>
      <c r="D458" s="208"/>
      <c r="E458" s="208"/>
      <c r="F458" s="208"/>
      <c r="G458" s="208"/>
      <c r="H458" s="208"/>
      <c r="I458" s="208"/>
      <c r="J458" s="208"/>
      <c r="K458" s="208"/>
      <c r="L458" s="208"/>
      <c r="M458" s="209"/>
    </row>
    <row r="459" spans="1:13" x14ac:dyDescent="0.25">
      <c r="A459" s="207"/>
      <c r="B459" s="208"/>
      <c r="C459" s="208"/>
      <c r="D459" s="208"/>
      <c r="E459" s="208"/>
      <c r="F459" s="208"/>
      <c r="G459" s="208"/>
      <c r="H459" s="208"/>
      <c r="I459" s="208"/>
      <c r="J459" s="208"/>
      <c r="K459" s="208"/>
      <c r="L459" s="208"/>
      <c r="M459" s="209"/>
    </row>
    <row r="460" spans="1:13" x14ac:dyDescent="0.25">
      <c r="A460" s="15" t="s">
        <v>83</v>
      </c>
      <c r="B460" s="27">
        <v>1649</v>
      </c>
      <c r="C460" s="15">
        <v>808</v>
      </c>
      <c r="D460" s="27">
        <v>135</v>
      </c>
      <c r="E460" s="15">
        <v>71</v>
      </c>
      <c r="F460" s="15">
        <v>1445</v>
      </c>
      <c r="G460" s="15">
        <v>706</v>
      </c>
      <c r="H460" s="15">
        <v>129</v>
      </c>
      <c r="I460" s="15">
        <v>65</v>
      </c>
      <c r="J460" s="15">
        <v>204</v>
      </c>
      <c r="K460" s="15">
        <v>102</v>
      </c>
      <c r="L460" s="15">
        <v>6</v>
      </c>
      <c r="M460" s="15">
        <v>6</v>
      </c>
    </row>
    <row r="461" spans="1:13" ht="30" x14ac:dyDescent="0.25">
      <c r="A461" s="15" t="s">
        <v>151</v>
      </c>
      <c r="B461" s="15">
        <v>440</v>
      </c>
      <c r="C461" s="15">
        <v>247</v>
      </c>
      <c r="D461" s="15">
        <v>21</v>
      </c>
      <c r="E461" s="15">
        <v>13</v>
      </c>
      <c r="F461" s="15">
        <v>290</v>
      </c>
      <c r="G461" s="15">
        <v>159</v>
      </c>
      <c r="H461" s="15">
        <v>16</v>
      </c>
      <c r="I461" s="15">
        <v>8</v>
      </c>
      <c r="J461" s="15">
        <v>150</v>
      </c>
      <c r="K461" s="15">
        <v>88</v>
      </c>
      <c r="L461" s="15">
        <v>5</v>
      </c>
      <c r="M461" s="15">
        <v>5</v>
      </c>
    </row>
    <row r="462" spans="1:13" ht="60" x14ac:dyDescent="0.25">
      <c r="A462" s="15" t="s">
        <v>152</v>
      </c>
      <c r="B462" s="15">
        <v>12</v>
      </c>
      <c r="C462" s="15">
        <v>4</v>
      </c>
      <c r="D462" s="15">
        <v>1</v>
      </c>
      <c r="E462" s="15">
        <v>1</v>
      </c>
      <c r="F462" s="15">
        <v>11</v>
      </c>
      <c r="G462" s="15">
        <v>3</v>
      </c>
      <c r="H462" s="15">
        <v>1</v>
      </c>
      <c r="I462" s="15">
        <v>1</v>
      </c>
      <c r="J462" s="15">
        <v>1</v>
      </c>
      <c r="K462" s="15">
        <v>1</v>
      </c>
      <c r="L462" s="15" t="s">
        <v>84</v>
      </c>
      <c r="M462" s="15" t="s">
        <v>84</v>
      </c>
    </row>
    <row r="463" spans="1:13" ht="30" x14ac:dyDescent="0.25">
      <c r="A463" s="15" t="s">
        <v>85</v>
      </c>
      <c r="B463" s="15">
        <v>864</v>
      </c>
      <c r="C463" s="15">
        <v>432</v>
      </c>
      <c r="D463" s="15">
        <v>62</v>
      </c>
      <c r="E463" s="15">
        <v>35</v>
      </c>
      <c r="F463" s="15">
        <v>852</v>
      </c>
      <c r="G463" s="15">
        <v>428</v>
      </c>
      <c r="H463" s="15">
        <v>62</v>
      </c>
      <c r="I463" s="15">
        <v>35</v>
      </c>
      <c r="J463" s="15">
        <v>12</v>
      </c>
      <c r="K463" s="15">
        <v>4</v>
      </c>
      <c r="L463" s="15" t="s">
        <v>84</v>
      </c>
      <c r="M463" s="15" t="s">
        <v>84</v>
      </c>
    </row>
    <row r="464" spans="1:13" ht="30" x14ac:dyDescent="0.25">
      <c r="A464" s="15" t="s">
        <v>86</v>
      </c>
      <c r="B464" s="15">
        <v>236</v>
      </c>
      <c r="C464" s="15">
        <v>101</v>
      </c>
      <c r="D464" s="15">
        <v>31</v>
      </c>
      <c r="E464" s="15">
        <v>16</v>
      </c>
      <c r="F464" s="15">
        <v>220</v>
      </c>
      <c r="G464" s="15">
        <v>97</v>
      </c>
      <c r="H464" s="15">
        <v>31</v>
      </c>
      <c r="I464" s="15">
        <v>16</v>
      </c>
      <c r="J464" s="15">
        <v>16</v>
      </c>
      <c r="K464" s="15">
        <v>4</v>
      </c>
      <c r="L464" s="15" t="s">
        <v>84</v>
      </c>
      <c r="M464" s="15" t="s">
        <v>84</v>
      </c>
    </row>
    <row r="465" spans="1:13" ht="45" x14ac:dyDescent="0.25">
      <c r="A465" s="15" t="s">
        <v>87</v>
      </c>
      <c r="B465" s="15">
        <v>97</v>
      </c>
      <c r="C465" s="15">
        <v>24</v>
      </c>
      <c r="D465" s="15">
        <v>20</v>
      </c>
      <c r="E465" s="15">
        <v>6</v>
      </c>
      <c r="F465" s="15">
        <v>72</v>
      </c>
      <c r="G465" s="15">
        <v>19</v>
      </c>
      <c r="H465" s="15">
        <v>19</v>
      </c>
      <c r="I465" s="15">
        <v>5</v>
      </c>
      <c r="J465" s="15">
        <v>25</v>
      </c>
      <c r="K465" s="15">
        <v>5</v>
      </c>
      <c r="L465" s="15">
        <v>1</v>
      </c>
      <c r="M465" s="15">
        <v>1</v>
      </c>
    </row>
    <row r="466" spans="1:13" ht="45" x14ac:dyDescent="0.25">
      <c r="A466" s="15" t="s">
        <v>153</v>
      </c>
      <c r="B466" s="15">
        <v>24</v>
      </c>
      <c r="C466" s="15">
        <v>6</v>
      </c>
      <c r="D466" s="15">
        <v>1</v>
      </c>
      <c r="E466" s="15" t="s">
        <v>84</v>
      </c>
      <c r="F466" s="15">
        <v>18</v>
      </c>
      <c r="G466" s="15">
        <v>6</v>
      </c>
      <c r="H466" s="15">
        <v>1</v>
      </c>
      <c r="I466" s="15" t="s">
        <v>84</v>
      </c>
      <c r="J466" s="15">
        <v>6</v>
      </c>
      <c r="K466" s="15" t="s">
        <v>84</v>
      </c>
      <c r="L466" s="15" t="s">
        <v>84</v>
      </c>
      <c r="M466" s="15" t="s">
        <v>84</v>
      </c>
    </row>
    <row r="467" spans="1:13" ht="60" x14ac:dyDescent="0.25">
      <c r="A467" s="15" t="s">
        <v>154</v>
      </c>
      <c r="B467" s="15">
        <v>19</v>
      </c>
      <c r="C467" s="15">
        <v>5</v>
      </c>
      <c r="D467" s="15">
        <v>2</v>
      </c>
      <c r="E467" s="15" t="s">
        <v>84</v>
      </c>
      <c r="F467" s="15">
        <v>19</v>
      </c>
      <c r="G467" s="15">
        <v>5</v>
      </c>
      <c r="H467" s="15">
        <v>2</v>
      </c>
      <c r="I467" s="15" t="s">
        <v>84</v>
      </c>
      <c r="J467" s="15" t="s">
        <v>84</v>
      </c>
      <c r="K467" s="15" t="s">
        <v>84</v>
      </c>
      <c r="L467" s="15" t="s">
        <v>84</v>
      </c>
      <c r="M467" s="15" t="s">
        <v>84</v>
      </c>
    </row>
    <row r="468" spans="1:13" ht="15" customHeight="1" x14ac:dyDescent="0.25">
      <c r="A468" s="207" t="s">
        <v>132</v>
      </c>
      <c r="B468" s="208"/>
      <c r="C468" s="208"/>
      <c r="D468" s="208"/>
      <c r="E468" s="208"/>
      <c r="F468" s="208"/>
      <c r="G468" s="208"/>
      <c r="H468" s="208"/>
      <c r="I468" s="208"/>
      <c r="J468" s="208"/>
      <c r="K468" s="208"/>
      <c r="L468" s="208"/>
      <c r="M468" s="209"/>
    </row>
    <row r="469" spans="1:13" x14ac:dyDescent="0.25">
      <c r="A469" s="207"/>
      <c r="B469" s="208"/>
      <c r="C469" s="208"/>
      <c r="D469" s="208"/>
      <c r="E469" s="208"/>
      <c r="F469" s="208"/>
      <c r="G469" s="208"/>
      <c r="H469" s="208"/>
      <c r="I469" s="208"/>
      <c r="J469" s="208"/>
      <c r="K469" s="208"/>
      <c r="L469" s="208"/>
      <c r="M469" s="209"/>
    </row>
    <row r="470" spans="1:13" x14ac:dyDescent="0.25">
      <c r="A470" s="15" t="s">
        <v>83</v>
      </c>
      <c r="B470" s="27">
        <v>1797</v>
      </c>
      <c r="C470" s="15">
        <v>853</v>
      </c>
      <c r="D470" s="27">
        <v>66</v>
      </c>
      <c r="E470" s="15">
        <v>28</v>
      </c>
      <c r="F470" s="15">
        <v>1666</v>
      </c>
      <c r="G470" s="15">
        <v>786</v>
      </c>
      <c r="H470" s="15">
        <v>65</v>
      </c>
      <c r="I470" s="15">
        <v>27</v>
      </c>
      <c r="J470" s="15">
        <v>131</v>
      </c>
      <c r="K470" s="15">
        <v>67</v>
      </c>
      <c r="L470" s="15">
        <v>1</v>
      </c>
      <c r="M470" s="15">
        <v>1</v>
      </c>
    </row>
    <row r="471" spans="1:13" ht="30" x14ac:dyDescent="0.25">
      <c r="A471" s="15" t="s">
        <v>151</v>
      </c>
      <c r="B471" s="15">
        <v>352</v>
      </c>
      <c r="C471" s="15">
        <v>199</v>
      </c>
      <c r="D471" s="15">
        <v>1</v>
      </c>
      <c r="E471" s="15">
        <v>1</v>
      </c>
      <c r="F471" s="15">
        <v>311</v>
      </c>
      <c r="G471" s="15">
        <v>175</v>
      </c>
      <c r="H471" s="15" t="s">
        <v>84</v>
      </c>
      <c r="I471" s="15" t="s">
        <v>84</v>
      </c>
      <c r="J471" s="15">
        <v>41</v>
      </c>
      <c r="K471" s="15">
        <v>24</v>
      </c>
      <c r="L471" s="15">
        <v>1</v>
      </c>
      <c r="M471" s="15">
        <v>1</v>
      </c>
    </row>
    <row r="472" spans="1:13" ht="60" x14ac:dyDescent="0.25">
      <c r="A472" s="15" t="s">
        <v>152</v>
      </c>
      <c r="B472" s="15">
        <v>20</v>
      </c>
      <c r="C472" s="15">
        <v>11</v>
      </c>
      <c r="D472" s="15">
        <v>3</v>
      </c>
      <c r="E472" s="15">
        <v>2</v>
      </c>
      <c r="F472" s="15">
        <v>18</v>
      </c>
      <c r="G472" s="15">
        <v>9</v>
      </c>
      <c r="H472" s="15">
        <v>3</v>
      </c>
      <c r="I472" s="15">
        <v>2</v>
      </c>
      <c r="J472" s="15">
        <v>2</v>
      </c>
      <c r="K472" s="15">
        <v>2</v>
      </c>
      <c r="L472" s="15" t="s">
        <v>84</v>
      </c>
      <c r="M472" s="15" t="s">
        <v>84</v>
      </c>
    </row>
    <row r="473" spans="1:13" ht="30" x14ac:dyDescent="0.25">
      <c r="A473" s="15" t="s">
        <v>85</v>
      </c>
      <c r="B473" s="15">
        <v>983</v>
      </c>
      <c r="C473" s="15">
        <v>473</v>
      </c>
      <c r="D473" s="15">
        <v>31</v>
      </c>
      <c r="E473" s="15">
        <v>15</v>
      </c>
      <c r="F473" s="15">
        <v>906</v>
      </c>
      <c r="G473" s="15">
        <v>433</v>
      </c>
      <c r="H473" s="15">
        <v>31</v>
      </c>
      <c r="I473" s="15">
        <v>15</v>
      </c>
      <c r="J473" s="15">
        <v>77</v>
      </c>
      <c r="K473" s="15">
        <v>40</v>
      </c>
      <c r="L473" s="15" t="s">
        <v>84</v>
      </c>
      <c r="M473" s="15" t="s">
        <v>84</v>
      </c>
    </row>
    <row r="474" spans="1:13" ht="30" x14ac:dyDescent="0.25">
      <c r="A474" s="15" t="s">
        <v>86</v>
      </c>
      <c r="B474" s="15">
        <v>292</v>
      </c>
      <c r="C474" s="15">
        <v>108</v>
      </c>
      <c r="D474" s="15">
        <v>13</v>
      </c>
      <c r="E474" s="15">
        <v>4</v>
      </c>
      <c r="F474" s="15">
        <v>286</v>
      </c>
      <c r="G474" s="15">
        <v>107</v>
      </c>
      <c r="H474" s="15">
        <v>13</v>
      </c>
      <c r="I474" s="15">
        <v>4</v>
      </c>
      <c r="J474" s="15">
        <v>6</v>
      </c>
      <c r="K474" s="15">
        <v>1</v>
      </c>
      <c r="L474" s="15" t="s">
        <v>84</v>
      </c>
      <c r="M474" s="15" t="s">
        <v>84</v>
      </c>
    </row>
    <row r="475" spans="1:13" ht="45" x14ac:dyDescent="0.25">
      <c r="A475" s="15" t="s">
        <v>87</v>
      </c>
      <c r="B475" s="15">
        <v>150</v>
      </c>
      <c r="C475" s="15">
        <v>62</v>
      </c>
      <c r="D475" s="15">
        <v>18</v>
      </c>
      <c r="E475" s="15">
        <v>6</v>
      </c>
      <c r="F475" s="15">
        <v>145</v>
      </c>
      <c r="G475" s="15">
        <v>62</v>
      </c>
      <c r="H475" s="15">
        <v>18</v>
      </c>
      <c r="I475" s="15">
        <v>6</v>
      </c>
      <c r="J475" s="15">
        <v>5</v>
      </c>
      <c r="K475" s="15" t="s">
        <v>84</v>
      </c>
      <c r="L475" s="15" t="s">
        <v>84</v>
      </c>
      <c r="M475" s="15" t="s">
        <v>84</v>
      </c>
    </row>
    <row r="476" spans="1:13" ht="45" x14ac:dyDescent="0.25">
      <c r="A476" s="15" t="s">
        <v>153</v>
      </c>
      <c r="B476" s="15">
        <v>63</v>
      </c>
      <c r="C476" s="15">
        <v>29</v>
      </c>
      <c r="D476" s="15">
        <v>3</v>
      </c>
      <c r="E476" s="15">
        <v>1</v>
      </c>
      <c r="F476" s="15">
        <v>62</v>
      </c>
      <c r="G476" s="15">
        <v>29</v>
      </c>
      <c r="H476" s="15">
        <v>3</v>
      </c>
      <c r="I476" s="15">
        <v>1</v>
      </c>
      <c r="J476" s="15">
        <v>1</v>
      </c>
      <c r="K476" s="15" t="s">
        <v>84</v>
      </c>
      <c r="L476" s="15" t="s">
        <v>84</v>
      </c>
      <c r="M476" s="15" t="s">
        <v>84</v>
      </c>
    </row>
    <row r="477" spans="1:13" ht="60" x14ac:dyDescent="0.25">
      <c r="A477" s="15" t="s">
        <v>154</v>
      </c>
      <c r="B477" s="15">
        <v>27</v>
      </c>
      <c r="C477" s="15">
        <v>6</v>
      </c>
      <c r="D477" s="15">
        <v>1</v>
      </c>
      <c r="E477" s="15" t="s">
        <v>84</v>
      </c>
      <c r="F477" s="15">
        <v>23</v>
      </c>
      <c r="G477" s="15">
        <v>6</v>
      </c>
      <c r="H477" s="15">
        <v>1</v>
      </c>
      <c r="I477" s="15" t="s">
        <v>84</v>
      </c>
      <c r="J477" s="15">
        <v>4</v>
      </c>
      <c r="K477" s="15" t="s">
        <v>84</v>
      </c>
      <c r="L477" s="15" t="s">
        <v>84</v>
      </c>
      <c r="M477" s="15" t="s">
        <v>84</v>
      </c>
    </row>
    <row r="478" spans="1:13" ht="15" customHeight="1" x14ac:dyDescent="0.25">
      <c r="A478" s="207" t="s">
        <v>133</v>
      </c>
      <c r="B478" s="208"/>
      <c r="C478" s="208"/>
      <c r="D478" s="208"/>
      <c r="E478" s="208"/>
      <c r="F478" s="208"/>
      <c r="G478" s="208"/>
      <c r="H478" s="208"/>
      <c r="I478" s="208"/>
      <c r="J478" s="208"/>
      <c r="K478" s="208"/>
      <c r="L478" s="208"/>
      <c r="M478" s="209"/>
    </row>
    <row r="479" spans="1:13" x14ac:dyDescent="0.25">
      <c r="A479" s="207"/>
      <c r="B479" s="208"/>
      <c r="C479" s="208"/>
      <c r="D479" s="208"/>
      <c r="E479" s="208"/>
      <c r="F479" s="208"/>
      <c r="G479" s="208"/>
      <c r="H479" s="208"/>
      <c r="I479" s="208"/>
      <c r="J479" s="208"/>
      <c r="K479" s="208"/>
      <c r="L479" s="208"/>
      <c r="M479" s="209"/>
    </row>
    <row r="480" spans="1:13" x14ac:dyDescent="0.25">
      <c r="A480" s="15" t="s">
        <v>83</v>
      </c>
      <c r="B480" s="27">
        <v>1366</v>
      </c>
      <c r="C480" s="15">
        <v>659</v>
      </c>
      <c r="D480" s="27">
        <v>69</v>
      </c>
      <c r="E480" s="15">
        <v>28</v>
      </c>
      <c r="F480" s="15">
        <v>1319</v>
      </c>
      <c r="G480" s="15">
        <v>643</v>
      </c>
      <c r="H480" s="15">
        <v>69</v>
      </c>
      <c r="I480" s="15">
        <v>28</v>
      </c>
      <c r="J480" s="15">
        <v>47</v>
      </c>
      <c r="K480" s="15">
        <v>16</v>
      </c>
      <c r="L480" s="15" t="s">
        <v>84</v>
      </c>
      <c r="M480" s="15" t="s">
        <v>84</v>
      </c>
    </row>
    <row r="481" spans="1:13" ht="30" x14ac:dyDescent="0.25">
      <c r="A481" s="15" t="s">
        <v>151</v>
      </c>
      <c r="B481" s="15">
        <v>222</v>
      </c>
      <c r="C481" s="15">
        <v>120</v>
      </c>
      <c r="D481" s="15">
        <v>2</v>
      </c>
      <c r="E481" s="15" t="s">
        <v>84</v>
      </c>
      <c r="F481" s="15">
        <v>222</v>
      </c>
      <c r="G481" s="15">
        <v>120</v>
      </c>
      <c r="H481" s="15">
        <v>2</v>
      </c>
      <c r="I481" s="15" t="s">
        <v>84</v>
      </c>
      <c r="J481" s="15" t="s">
        <v>84</v>
      </c>
      <c r="K481" s="15" t="s">
        <v>84</v>
      </c>
      <c r="L481" s="15" t="s">
        <v>84</v>
      </c>
      <c r="M481" s="15" t="s">
        <v>84</v>
      </c>
    </row>
    <row r="482" spans="1:13" ht="60" x14ac:dyDescent="0.25">
      <c r="A482" s="15" t="s">
        <v>152</v>
      </c>
      <c r="B482" s="15">
        <v>16</v>
      </c>
      <c r="C482" s="15">
        <v>9</v>
      </c>
      <c r="D482" s="15">
        <v>1</v>
      </c>
      <c r="E482" s="15">
        <v>1</v>
      </c>
      <c r="F482" s="15">
        <v>14</v>
      </c>
      <c r="G482" s="15">
        <v>7</v>
      </c>
      <c r="H482" s="15">
        <v>1</v>
      </c>
      <c r="I482" s="15">
        <v>1</v>
      </c>
      <c r="J482" s="15">
        <v>2</v>
      </c>
      <c r="K482" s="15">
        <v>2</v>
      </c>
      <c r="L482" s="15" t="s">
        <v>84</v>
      </c>
      <c r="M482" s="15" t="s">
        <v>84</v>
      </c>
    </row>
    <row r="483" spans="1:13" ht="30" x14ac:dyDescent="0.25">
      <c r="A483" s="15" t="s">
        <v>85</v>
      </c>
      <c r="B483" s="15">
        <v>830</v>
      </c>
      <c r="C483" s="15">
        <v>427</v>
      </c>
      <c r="D483" s="15">
        <v>32</v>
      </c>
      <c r="E483" s="15">
        <v>15</v>
      </c>
      <c r="F483" s="15">
        <v>797</v>
      </c>
      <c r="G483" s="15">
        <v>416</v>
      </c>
      <c r="H483" s="15">
        <v>32</v>
      </c>
      <c r="I483" s="15">
        <v>15</v>
      </c>
      <c r="J483" s="15">
        <v>33</v>
      </c>
      <c r="K483" s="15">
        <v>11</v>
      </c>
      <c r="L483" s="15" t="s">
        <v>84</v>
      </c>
      <c r="M483" s="15" t="s">
        <v>84</v>
      </c>
    </row>
    <row r="484" spans="1:13" ht="30" x14ac:dyDescent="0.25">
      <c r="A484" s="15" t="s">
        <v>86</v>
      </c>
      <c r="B484" s="15">
        <v>224</v>
      </c>
      <c r="C484" s="15">
        <v>83</v>
      </c>
      <c r="D484" s="15">
        <v>24</v>
      </c>
      <c r="E484" s="15">
        <v>11</v>
      </c>
      <c r="F484" s="15">
        <v>213</v>
      </c>
      <c r="G484" s="15">
        <v>80</v>
      </c>
      <c r="H484" s="15">
        <v>24</v>
      </c>
      <c r="I484" s="15">
        <v>11</v>
      </c>
      <c r="J484" s="15">
        <v>11</v>
      </c>
      <c r="K484" s="15">
        <v>3</v>
      </c>
      <c r="L484" s="15" t="s">
        <v>84</v>
      </c>
      <c r="M484" s="15" t="s">
        <v>84</v>
      </c>
    </row>
    <row r="485" spans="1:13" ht="45" x14ac:dyDescent="0.25">
      <c r="A485" s="15" t="s">
        <v>87</v>
      </c>
      <c r="B485" s="15">
        <v>74</v>
      </c>
      <c r="C485" s="15">
        <v>20</v>
      </c>
      <c r="D485" s="15">
        <v>10</v>
      </c>
      <c r="E485" s="15">
        <v>1</v>
      </c>
      <c r="F485" s="15">
        <v>73</v>
      </c>
      <c r="G485" s="15">
        <v>20</v>
      </c>
      <c r="H485" s="15">
        <v>10</v>
      </c>
      <c r="I485" s="15">
        <v>1</v>
      </c>
      <c r="J485" s="15">
        <v>1</v>
      </c>
      <c r="K485" s="15" t="s">
        <v>84</v>
      </c>
      <c r="L485" s="15" t="s">
        <v>84</v>
      </c>
      <c r="M485" s="15" t="s">
        <v>84</v>
      </c>
    </row>
    <row r="486" spans="1:13" ht="45" x14ac:dyDescent="0.25">
      <c r="A486" s="15" t="s">
        <v>153</v>
      </c>
      <c r="B486" s="15">
        <v>32</v>
      </c>
      <c r="C486" s="15">
        <v>9</v>
      </c>
      <c r="D486" s="15">
        <v>2</v>
      </c>
      <c r="E486" s="15" t="s">
        <v>84</v>
      </c>
      <c r="F486" s="15">
        <v>32</v>
      </c>
      <c r="G486" s="15">
        <v>9</v>
      </c>
      <c r="H486" s="15">
        <v>2</v>
      </c>
      <c r="I486" s="15" t="s">
        <v>84</v>
      </c>
      <c r="J486" s="15" t="s">
        <v>84</v>
      </c>
      <c r="K486" s="15" t="s">
        <v>84</v>
      </c>
      <c r="L486" s="15" t="s">
        <v>84</v>
      </c>
      <c r="M486" s="15" t="s">
        <v>84</v>
      </c>
    </row>
    <row r="487" spans="1:13" ht="60" x14ac:dyDescent="0.25">
      <c r="A487" s="15" t="s">
        <v>154</v>
      </c>
      <c r="B487" s="15">
        <v>6</v>
      </c>
      <c r="C487" s="15">
        <v>3</v>
      </c>
      <c r="D487" s="15" t="s">
        <v>84</v>
      </c>
      <c r="E487" s="15" t="s">
        <v>84</v>
      </c>
      <c r="F487" s="15">
        <v>6</v>
      </c>
      <c r="G487" s="15">
        <v>3</v>
      </c>
      <c r="H487" s="15" t="s">
        <v>84</v>
      </c>
      <c r="I487" s="15" t="s">
        <v>84</v>
      </c>
      <c r="J487" s="15" t="s">
        <v>84</v>
      </c>
      <c r="K487" s="15" t="s">
        <v>84</v>
      </c>
      <c r="L487" s="15" t="s">
        <v>84</v>
      </c>
      <c r="M487" s="15" t="s">
        <v>84</v>
      </c>
    </row>
    <row r="488" spans="1:13" ht="15" customHeight="1" x14ac:dyDescent="0.25">
      <c r="A488" s="207" t="s">
        <v>134</v>
      </c>
      <c r="B488" s="208"/>
      <c r="C488" s="208"/>
      <c r="D488" s="208"/>
      <c r="E488" s="208"/>
      <c r="F488" s="208"/>
      <c r="G488" s="208"/>
      <c r="H488" s="208"/>
      <c r="I488" s="208"/>
      <c r="J488" s="208"/>
      <c r="K488" s="208"/>
      <c r="L488" s="208"/>
      <c r="M488" s="209"/>
    </row>
    <row r="489" spans="1:13" x14ac:dyDescent="0.25">
      <c r="A489" s="207"/>
      <c r="B489" s="208"/>
      <c r="C489" s="208"/>
      <c r="D489" s="208"/>
      <c r="E489" s="208"/>
      <c r="F489" s="208"/>
      <c r="G489" s="208"/>
      <c r="H489" s="208"/>
      <c r="I489" s="208"/>
      <c r="J489" s="208"/>
      <c r="K489" s="208"/>
      <c r="L489" s="208"/>
      <c r="M489" s="209"/>
    </row>
    <row r="490" spans="1:13" x14ac:dyDescent="0.25">
      <c r="A490" s="15" t="s">
        <v>83</v>
      </c>
      <c r="B490" s="27">
        <v>3324</v>
      </c>
      <c r="C490" s="15">
        <v>1601</v>
      </c>
      <c r="D490" s="27">
        <v>181</v>
      </c>
      <c r="E490" s="15">
        <v>95</v>
      </c>
      <c r="F490" s="15">
        <v>3201</v>
      </c>
      <c r="G490" s="15">
        <v>1545</v>
      </c>
      <c r="H490" s="15">
        <v>181</v>
      </c>
      <c r="I490" s="15">
        <v>95</v>
      </c>
      <c r="J490" s="15">
        <v>123</v>
      </c>
      <c r="K490" s="15">
        <v>56</v>
      </c>
      <c r="L490" s="15" t="s">
        <v>84</v>
      </c>
      <c r="M490" s="15" t="s">
        <v>84</v>
      </c>
    </row>
    <row r="491" spans="1:13" ht="30" x14ac:dyDescent="0.25">
      <c r="A491" s="15" t="s">
        <v>151</v>
      </c>
      <c r="B491" s="15">
        <v>784</v>
      </c>
      <c r="C491" s="15">
        <v>433</v>
      </c>
      <c r="D491" s="15">
        <v>12</v>
      </c>
      <c r="E491" s="15">
        <v>6</v>
      </c>
      <c r="F491" s="15">
        <v>784</v>
      </c>
      <c r="G491" s="15">
        <v>433</v>
      </c>
      <c r="H491" s="15">
        <v>12</v>
      </c>
      <c r="I491" s="15">
        <v>6</v>
      </c>
      <c r="J491" s="15" t="s">
        <v>84</v>
      </c>
      <c r="K491" s="15" t="s">
        <v>84</v>
      </c>
      <c r="L491" s="15" t="s">
        <v>84</v>
      </c>
      <c r="M491" s="15" t="s">
        <v>84</v>
      </c>
    </row>
    <row r="492" spans="1:13" ht="60" x14ac:dyDescent="0.25">
      <c r="A492" s="15" t="s">
        <v>152</v>
      </c>
      <c r="B492" s="15">
        <v>58</v>
      </c>
      <c r="C492" s="15">
        <v>36</v>
      </c>
      <c r="D492" s="15">
        <v>4</v>
      </c>
      <c r="E492" s="15">
        <v>1</v>
      </c>
      <c r="F492" s="15">
        <v>58</v>
      </c>
      <c r="G492" s="15">
        <v>36</v>
      </c>
      <c r="H492" s="15">
        <v>4</v>
      </c>
      <c r="I492" s="15">
        <v>1</v>
      </c>
      <c r="J492" s="15" t="s">
        <v>84</v>
      </c>
      <c r="K492" s="15" t="s">
        <v>84</v>
      </c>
      <c r="L492" s="15" t="s">
        <v>84</v>
      </c>
      <c r="M492" s="15" t="s">
        <v>84</v>
      </c>
    </row>
    <row r="493" spans="1:13" ht="30" x14ac:dyDescent="0.25">
      <c r="A493" s="15" t="s">
        <v>85</v>
      </c>
      <c r="B493" s="15">
        <v>1860</v>
      </c>
      <c r="C493" s="15">
        <v>881</v>
      </c>
      <c r="D493" s="15">
        <v>82</v>
      </c>
      <c r="E493" s="15">
        <v>44</v>
      </c>
      <c r="F493" s="15">
        <v>1777</v>
      </c>
      <c r="G493" s="15">
        <v>840</v>
      </c>
      <c r="H493" s="15">
        <v>82</v>
      </c>
      <c r="I493" s="15">
        <v>44</v>
      </c>
      <c r="J493" s="15">
        <v>83</v>
      </c>
      <c r="K493" s="15">
        <v>41</v>
      </c>
      <c r="L493" s="15" t="s">
        <v>84</v>
      </c>
      <c r="M493" s="15" t="s">
        <v>84</v>
      </c>
    </row>
    <row r="494" spans="1:13" ht="30" x14ac:dyDescent="0.25">
      <c r="A494" s="15" t="s">
        <v>86</v>
      </c>
      <c r="B494" s="15">
        <v>455</v>
      </c>
      <c r="C494" s="15">
        <v>188</v>
      </c>
      <c r="D494" s="15">
        <v>49</v>
      </c>
      <c r="E494" s="15">
        <v>24</v>
      </c>
      <c r="F494" s="15">
        <v>437</v>
      </c>
      <c r="G494" s="15">
        <v>179</v>
      </c>
      <c r="H494" s="15">
        <v>49</v>
      </c>
      <c r="I494" s="15">
        <v>24</v>
      </c>
      <c r="J494" s="15">
        <v>18</v>
      </c>
      <c r="K494" s="15">
        <v>9</v>
      </c>
      <c r="L494" s="15" t="s">
        <v>84</v>
      </c>
      <c r="M494" s="15" t="s">
        <v>84</v>
      </c>
    </row>
    <row r="495" spans="1:13" ht="45" x14ac:dyDescent="0.25">
      <c r="A495" s="15" t="s">
        <v>87</v>
      </c>
      <c r="B495" s="15">
        <v>167</v>
      </c>
      <c r="C495" s="15">
        <v>63</v>
      </c>
      <c r="D495" s="15">
        <v>34</v>
      </c>
      <c r="E495" s="15">
        <v>20</v>
      </c>
      <c r="F495" s="15">
        <v>145</v>
      </c>
      <c r="G495" s="15">
        <v>57</v>
      </c>
      <c r="H495" s="15">
        <v>34</v>
      </c>
      <c r="I495" s="15">
        <v>20</v>
      </c>
      <c r="J495" s="15">
        <v>22</v>
      </c>
      <c r="K495" s="15">
        <v>6</v>
      </c>
      <c r="L495" s="15" t="s">
        <v>84</v>
      </c>
      <c r="M495" s="15" t="s">
        <v>84</v>
      </c>
    </row>
    <row r="496" spans="1:13" ht="45" x14ac:dyDescent="0.25">
      <c r="A496" s="15" t="s">
        <v>153</v>
      </c>
      <c r="B496" s="15">
        <v>36</v>
      </c>
      <c r="C496" s="15">
        <v>11</v>
      </c>
      <c r="D496" s="15">
        <v>5</v>
      </c>
      <c r="E496" s="15">
        <v>1</v>
      </c>
      <c r="F496" s="15">
        <v>36</v>
      </c>
      <c r="G496" s="15">
        <v>11</v>
      </c>
      <c r="H496" s="15">
        <v>5</v>
      </c>
      <c r="I496" s="15">
        <v>1</v>
      </c>
      <c r="J496" s="15" t="s">
        <v>84</v>
      </c>
      <c r="K496" s="15" t="s">
        <v>84</v>
      </c>
      <c r="L496" s="15" t="s">
        <v>84</v>
      </c>
      <c r="M496" s="15" t="s">
        <v>84</v>
      </c>
    </row>
    <row r="497" spans="1:13" ht="60" x14ac:dyDescent="0.25">
      <c r="A497" s="15" t="s">
        <v>154</v>
      </c>
      <c r="B497" s="15">
        <v>25</v>
      </c>
      <c r="C497" s="15">
        <v>13</v>
      </c>
      <c r="D497" s="15">
        <v>7</v>
      </c>
      <c r="E497" s="15">
        <v>6</v>
      </c>
      <c r="F497" s="15">
        <v>21</v>
      </c>
      <c r="G497" s="15">
        <v>11</v>
      </c>
      <c r="H497" s="15">
        <v>7</v>
      </c>
      <c r="I497" s="15">
        <v>6</v>
      </c>
      <c r="J497" s="15">
        <v>4</v>
      </c>
      <c r="K497" s="15">
        <v>2</v>
      </c>
      <c r="L497" s="15" t="s">
        <v>84</v>
      </c>
      <c r="M497" s="15" t="s">
        <v>84</v>
      </c>
    </row>
    <row r="498" spans="1:13" ht="15" customHeight="1" x14ac:dyDescent="0.25">
      <c r="A498" s="207" t="s">
        <v>135</v>
      </c>
      <c r="B498" s="208"/>
      <c r="C498" s="208"/>
      <c r="D498" s="208"/>
      <c r="E498" s="208"/>
      <c r="F498" s="208"/>
      <c r="G498" s="208"/>
      <c r="H498" s="208"/>
      <c r="I498" s="208"/>
      <c r="J498" s="208"/>
      <c r="K498" s="208"/>
      <c r="L498" s="208"/>
      <c r="M498" s="209"/>
    </row>
    <row r="499" spans="1:13" x14ac:dyDescent="0.25">
      <c r="A499" s="207"/>
      <c r="B499" s="208"/>
      <c r="C499" s="208"/>
      <c r="D499" s="208"/>
      <c r="E499" s="208"/>
      <c r="F499" s="208"/>
      <c r="G499" s="208"/>
      <c r="H499" s="208"/>
      <c r="I499" s="208"/>
      <c r="J499" s="208"/>
      <c r="K499" s="208"/>
      <c r="L499" s="208"/>
      <c r="M499" s="209"/>
    </row>
    <row r="500" spans="1:13" x14ac:dyDescent="0.25">
      <c r="A500" s="15" t="s">
        <v>83</v>
      </c>
      <c r="B500" s="27">
        <v>1923</v>
      </c>
      <c r="C500" s="15">
        <v>896</v>
      </c>
      <c r="D500" s="27">
        <v>148</v>
      </c>
      <c r="E500" s="15">
        <v>70</v>
      </c>
      <c r="F500" s="15">
        <v>1692</v>
      </c>
      <c r="G500" s="15">
        <v>758</v>
      </c>
      <c r="H500" s="15">
        <v>145</v>
      </c>
      <c r="I500" s="15">
        <v>69</v>
      </c>
      <c r="J500" s="15">
        <v>231</v>
      </c>
      <c r="K500" s="15">
        <v>138</v>
      </c>
      <c r="L500" s="15">
        <v>3</v>
      </c>
      <c r="M500" s="15">
        <v>1</v>
      </c>
    </row>
    <row r="501" spans="1:13" ht="30" x14ac:dyDescent="0.25">
      <c r="A501" s="15" t="s">
        <v>151</v>
      </c>
      <c r="B501" s="15">
        <v>581</v>
      </c>
      <c r="C501" s="15">
        <v>325</v>
      </c>
      <c r="D501" s="15">
        <v>6</v>
      </c>
      <c r="E501" s="15">
        <v>2</v>
      </c>
      <c r="F501" s="15">
        <v>415</v>
      </c>
      <c r="G501" s="15">
        <v>218</v>
      </c>
      <c r="H501" s="15">
        <v>6</v>
      </c>
      <c r="I501" s="15">
        <v>2</v>
      </c>
      <c r="J501" s="15">
        <v>166</v>
      </c>
      <c r="K501" s="15">
        <v>107</v>
      </c>
      <c r="L501" s="15" t="s">
        <v>84</v>
      </c>
      <c r="M501" s="15" t="s">
        <v>84</v>
      </c>
    </row>
    <row r="502" spans="1:13" ht="60" x14ac:dyDescent="0.25">
      <c r="A502" s="15" t="s">
        <v>152</v>
      </c>
      <c r="B502" s="15">
        <v>38</v>
      </c>
      <c r="C502" s="15">
        <v>19</v>
      </c>
      <c r="D502" s="15">
        <v>2</v>
      </c>
      <c r="E502" s="15">
        <v>2</v>
      </c>
      <c r="F502" s="15">
        <v>26</v>
      </c>
      <c r="G502" s="15">
        <v>9</v>
      </c>
      <c r="H502" s="15">
        <v>2</v>
      </c>
      <c r="I502" s="15">
        <v>2</v>
      </c>
      <c r="J502" s="15">
        <v>12</v>
      </c>
      <c r="K502" s="15">
        <v>10</v>
      </c>
      <c r="L502" s="15" t="s">
        <v>84</v>
      </c>
      <c r="M502" s="15" t="s">
        <v>84</v>
      </c>
    </row>
    <row r="503" spans="1:13" ht="30" x14ac:dyDescent="0.25">
      <c r="A503" s="15" t="s">
        <v>85</v>
      </c>
      <c r="B503" s="15">
        <v>918</v>
      </c>
      <c r="C503" s="15">
        <v>412</v>
      </c>
      <c r="D503" s="15">
        <v>59</v>
      </c>
      <c r="E503" s="15">
        <v>29</v>
      </c>
      <c r="F503" s="15">
        <v>903</v>
      </c>
      <c r="G503" s="15">
        <v>403</v>
      </c>
      <c r="H503" s="15">
        <v>59</v>
      </c>
      <c r="I503" s="15">
        <v>29</v>
      </c>
      <c r="J503" s="15">
        <v>15</v>
      </c>
      <c r="K503" s="15">
        <v>9</v>
      </c>
      <c r="L503" s="15" t="s">
        <v>84</v>
      </c>
      <c r="M503" s="15" t="s">
        <v>84</v>
      </c>
    </row>
    <row r="504" spans="1:13" ht="30" x14ac:dyDescent="0.25">
      <c r="A504" s="15" t="s">
        <v>86</v>
      </c>
      <c r="B504" s="15">
        <v>267</v>
      </c>
      <c r="C504" s="15">
        <v>93</v>
      </c>
      <c r="D504" s="15">
        <v>39</v>
      </c>
      <c r="E504" s="15">
        <v>17</v>
      </c>
      <c r="F504" s="15">
        <v>254</v>
      </c>
      <c r="G504" s="15">
        <v>90</v>
      </c>
      <c r="H504" s="15">
        <v>38</v>
      </c>
      <c r="I504" s="15">
        <v>17</v>
      </c>
      <c r="J504" s="15">
        <v>13</v>
      </c>
      <c r="K504" s="15">
        <v>3</v>
      </c>
      <c r="L504" s="15">
        <v>1</v>
      </c>
      <c r="M504" s="15" t="s">
        <v>84</v>
      </c>
    </row>
    <row r="505" spans="1:13" ht="45" x14ac:dyDescent="0.25">
      <c r="A505" s="15" t="s">
        <v>87</v>
      </c>
      <c r="B505" s="15">
        <v>119</v>
      </c>
      <c r="C505" s="15">
        <v>47</v>
      </c>
      <c r="D505" s="15">
        <v>42</v>
      </c>
      <c r="E505" s="15">
        <v>20</v>
      </c>
      <c r="F505" s="15">
        <v>94</v>
      </c>
      <c r="G505" s="15">
        <v>38</v>
      </c>
      <c r="H505" s="15">
        <v>40</v>
      </c>
      <c r="I505" s="15">
        <v>19</v>
      </c>
      <c r="J505" s="15">
        <v>25</v>
      </c>
      <c r="K505" s="15">
        <v>9</v>
      </c>
      <c r="L505" s="15">
        <v>2</v>
      </c>
      <c r="M505" s="15">
        <v>1</v>
      </c>
    </row>
    <row r="506" spans="1:13" ht="45" x14ac:dyDescent="0.25">
      <c r="A506" s="15" t="s">
        <v>153</v>
      </c>
      <c r="B506" s="15">
        <v>41</v>
      </c>
      <c r="C506" s="15">
        <v>17</v>
      </c>
      <c r="D506" s="15">
        <v>6</v>
      </c>
      <c r="E506" s="15">
        <v>3</v>
      </c>
      <c r="F506" s="15">
        <v>25</v>
      </c>
      <c r="G506" s="15">
        <v>11</v>
      </c>
      <c r="H506" s="15">
        <v>5</v>
      </c>
      <c r="I506" s="15">
        <v>2</v>
      </c>
      <c r="J506" s="15">
        <v>16</v>
      </c>
      <c r="K506" s="15">
        <v>6</v>
      </c>
      <c r="L506" s="15">
        <v>1</v>
      </c>
      <c r="M506" s="15">
        <v>1</v>
      </c>
    </row>
    <row r="507" spans="1:13" ht="60" x14ac:dyDescent="0.25">
      <c r="A507" s="15" t="s">
        <v>154</v>
      </c>
      <c r="B507" s="15">
        <v>13</v>
      </c>
      <c r="C507" s="15">
        <v>4</v>
      </c>
      <c r="D507" s="15" t="s">
        <v>84</v>
      </c>
      <c r="E507" s="15" t="s">
        <v>84</v>
      </c>
      <c r="F507" s="15">
        <v>13</v>
      </c>
      <c r="G507" s="15">
        <v>4</v>
      </c>
      <c r="H507" s="15" t="s">
        <v>84</v>
      </c>
      <c r="I507" s="15" t="s">
        <v>84</v>
      </c>
      <c r="J507" s="15" t="s">
        <v>84</v>
      </c>
      <c r="K507" s="15" t="s">
        <v>84</v>
      </c>
      <c r="L507" s="15" t="s">
        <v>84</v>
      </c>
      <c r="M507" s="15" t="s">
        <v>84</v>
      </c>
    </row>
    <row r="508" spans="1:13" ht="15" customHeight="1" x14ac:dyDescent="0.25">
      <c r="A508" s="207" t="s">
        <v>136</v>
      </c>
      <c r="B508" s="208"/>
      <c r="C508" s="208"/>
      <c r="D508" s="208"/>
      <c r="E508" s="208"/>
      <c r="F508" s="208"/>
      <c r="G508" s="208"/>
      <c r="H508" s="208"/>
      <c r="I508" s="208"/>
      <c r="J508" s="208"/>
      <c r="K508" s="208"/>
      <c r="L508" s="208"/>
      <c r="M508" s="209"/>
    </row>
    <row r="509" spans="1:13" x14ac:dyDescent="0.25">
      <c r="A509" s="207"/>
      <c r="B509" s="208"/>
      <c r="C509" s="208"/>
      <c r="D509" s="208"/>
      <c r="E509" s="208"/>
      <c r="F509" s="208"/>
      <c r="G509" s="208"/>
      <c r="H509" s="208"/>
      <c r="I509" s="208"/>
      <c r="J509" s="208"/>
      <c r="K509" s="208"/>
      <c r="L509" s="208"/>
      <c r="M509" s="209"/>
    </row>
    <row r="510" spans="1:13" x14ac:dyDescent="0.25">
      <c r="A510" s="15" t="s">
        <v>83</v>
      </c>
      <c r="B510" s="27">
        <v>1115</v>
      </c>
      <c r="C510" s="15">
        <v>519</v>
      </c>
      <c r="D510" s="27">
        <v>62</v>
      </c>
      <c r="E510" s="15">
        <v>29</v>
      </c>
      <c r="F510" s="15">
        <v>966</v>
      </c>
      <c r="G510" s="15">
        <v>447</v>
      </c>
      <c r="H510" s="15">
        <v>61</v>
      </c>
      <c r="I510" s="15">
        <v>28</v>
      </c>
      <c r="J510" s="15">
        <v>149</v>
      </c>
      <c r="K510" s="15">
        <v>72</v>
      </c>
      <c r="L510" s="15">
        <v>1</v>
      </c>
      <c r="M510" s="15">
        <v>1</v>
      </c>
    </row>
    <row r="511" spans="1:13" ht="30" x14ac:dyDescent="0.25">
      <c r="A511" s="15" t="s">
        <v>151</v>
      </c>
      <c r="B511" s="15">
        <v>313</v>
      </c>
      <c r="C511" s="15">
        <v>174</v>
      </c>
      <c r="D511" s="15">
        <v>1</v>
      </c>
      <c r="E511" s="15">
        <v>1</v>
      </c>
      <c r="F511" s="15">
        <v>208</v>
      </c>
      <c r="G511" s="15">
        <v>117</v>
      </c>
      <c r="H511" s="15" t="s">
        <v>84</v>
      </c>
      <c r="I511" s="15" t="s">
        <v>84</v>
      </c>
      <c r="J511" s="15">
        <v>105</v>
      </c>
      <c r="K511" s="15">
        <v>57</v>
      </c>
      <c r="L511" s="15">
        <v>1</v>
      </c>
      <c r="M511" s="15">
        <v>1</v>
      </c>
    </row>
    <row r="512" spans="1:13" ht="60" x14ac:dyDescent="0.25">
      <c r="A512" s="15" t="s">
        <v>152</v>
      </c>
      <c r="B512" s="15">
        <v>27</v>
      </c>
      <c r="C512" s="15">
        <v>10</v>
      </c>
      <c r="D512" s="15">
        <v>2</v>
      </c>
      <c r="E512" s="15">
        <v>1</v>
      </c>
      <c r="F512" s="15">
        <v>20</v>
      </c>
      <c r="G512" s="15">
        <v>7</v>
      </c>
      <c r="H512" s="15">
        <v>2</v>
      </c>
      <c r="I512" s="15">
        <v>1</v>
      </c>
      <c r="J512" s="15">
        <v>7</v>
      </c>
      <c r="K512" s="15">
        <v>3</v>
      </c>
      <c r="L512" s="15" t="s">
        <v>84</v>
      </c>
      <c r="M512" s="15" t="s">
        <v>84</v>
      </c>
    </row>
    <row r="513" spans="1:13" ht="30" x14ac:dyDescent="0.25">
      <c r="A513" s="15" t="s">
        <v>85</v>
      </c>
      <c r="B513" s="15">
        <v>590</v>
      </c>
      <c r="C513" s="15">
        <v>259</v>
      </c>
      <c r="D513" s="15">
        <v>36</v>
      </c>
      <c r="E513" s="15">
        <v>14</v>
      </c>
      <c r="F513" s="15">
        <v>570</v>
      </c>
      <c r="G513" s="15">
        <v>249</v>
      </c>
      <c r="H513" s="15">
        <v>36</v>
      </c>
      <c r="I513" s="15">
        <v>14</v>
      </c>
      <c r="J513" s="15">
        <v>20</v>
      </c>
      <c r="K513" s="15">
        <v>10</v>
      </c>
      <c r="L513" s="15" t="s">
        <v>84</v>
      </c>
      <c r="M513" s="15" t="s">
        <v>84</v>
      </c>
    </row>
    <row r="514" spans="1:13" ht="30" x14ac:dyDescent="0.25">
      <c r="A514" s="15" t="s">
        <v>86</v>
      </c>
      <c r="B514" s="15">
        <v>140</v>
      </c>
      <c r="C514" s="15">
        <v>60</v>
      </c>
      <c r="D514" s="15">
        <v>14</v>
      </c>
      <c r="E514" s="15">
        <v>9</v>
      </c>
      <c r="F514" s="15">
        <v>133</v>
      </c>
      <c r="G514" s="15">
        <v>59</v>
      </c>
      <c r="H514" s="15">
        <v>14</v>
      </c>
      <c r="I514" s="15">
        <v>9</v>
      </c>
      <c r="J514" s="15">
        <v>7</v>
      </c>
      <c r="K514" s="15">
        <v>1</v>
      </c>
      <c r="L514" s="15" t="s">
        <v>84</v>
      </c>
      <c r="M514" s="15" t="s">
        <v>84</v>
      </c>
    </row>
    <row r="515" spans="1:13" ht="45" x14ac:dyDescent="0.25">
      <c r="A515" s="15" t="s">
        <v>87</v>
      </c>
      <c r="B515" s="15">
        <v>45</v>
      </c>
      <c r="C515" s="15">
        <v>16</v>
      </c>
      <c r="D515" s="15">
        <v>9</v>
      </c>
      <c r="E515" s="15">
        <v>4</v>
      </c>
      <c r="F515" s="15">
        <v>35</v>
      </c>
      <c r="G515" s="15">
        <v>15</v>
      </c>
      <c r="H515" s="15">
        <v>9</v>
      </c>
      <c r="I515" s="15">
        <v>4</v>
      </c>
      <c r="J515" s="15">
        <v>10</v>
      </c>
      <c r="K515" s="15">
        <v>1</v>
      </c>
      <c r="L515" s="15" t="s">
        <v>84</v>
      </c>
      <c r="M515" s="15" t="s">
        <v>84</v>
      </c>
    </row>
    <row r="516" spans="1:13" ht="45" x14ac:dyDescent="0.25">
      <c r="A516" s="15" t="s">
        <v>153</v>
      </c>
      <c r="B516" s="15">
        <v>9</v>
      </c>
      <c r="C516" s="15">
        <v>7</v>
      </c>
      <c r="D516" s="15">
        <v>4</v>
      </c>
      <c r="E516" s="15">
        <v>3</v>
      </c>
      <c r="F516" s="15">
        <v>8</v>
      </c>
      <c r="G516" s="15">
        <v>6</v>
      </c>
      <c r="H516" s="15">
        <v>4</v>
      </c>
      <c r="I516" s="15">
        <v>3</v>
      </c>
      <c r="J516" s="15">
        <v>1</v>
      </c>
      <c r="K516" s="15">
        <v>1</v>
      </c>
      <c r="L516" s="15" t="s">
        <v>84</v>
      </c>
      <c r="M516" s="15" t="s">
        <v>84</v>
      </c>
    </row>
    <row r="517" spans="1:13" ht="60" x14ac:dyDescent="0.25">
      <c r="A517" s="15" t="s">
        <v>154</v>
      </c>
      <c r="B517" s="15">
        <v>4</v>
      </c>
      <c r="C517" s="15">
        <v>2</v>
      </c>
      <c r="D517" s="15" t="s">
        <v>84</v>
      </c>
      <c r="E517" s="15" t="s">
        <v>84</v>
      </c>
      <c r="F517" s="15">
        <v>4</v>
      </c>
      <c r="G517" s="15">
        <v>2</v>
      </c>
      <c r="H517" s="15" t="s">
        <v>84</v>
      </c>
      <c r="I517" s="15" t="s">
        <v>84</v>
      </c>
      <c r="J517" s="15" t="s">
        <v>84</v>
      </c>
      <c r="K517" s="15" t="s">
        <v>84</v>
      </c>
      <c r="L517" s="15" t="s">
        <v>84</v>
      </c>
      <c r="M517" s="15" t="s">
        <v>84</v>
      </c>
    </row>
    <row r="518" spans="1:13" ht="15" customHeight="1" x14ac:dyDescent="0.25">
      <c r="A518" s="207" t="s">
        <v>137</v>
      </c>
      <c r="B518" s="208"/>
      <c r="C518" s="208"/>
      <c r="D518" s="208"/>
      <c r="E518" s="208"/>
      <c r="F518" s="208"/>
      <c r="G518" s="208"/>
      <c r="H518" s="208"/>
      <c r="I518" s="208"/>
      <c r="J518" s="208"/>
      <c r="K518" s="208"/>
      <c r="L518" s="208"/>
      <c r="M518" s="209"/>
    </row>
    <row r="519" spans="1:13" x14ac:dyDescent="0.25">
      <c r="A519" s="207"/>
      <c r="B519" s="208"/>
      <c r="C519" s="208"/>
      <c r="D519" s="208"/>
      <c r="E519" s="208"/>
      <c r="F519" s="208"/>
      <c r="G519" s="208"/>
      <c r="H519" s="208"/>
      <c r="I519" s="208"/>
      <c r="J519" s="208"/>
      <c r="K519" s="208"/>
      <c r="L519" s="208"/>
      <c r="M519" s="209"/>
    </row>
    <row r="520" spans="1:13" x14ac:dyDescent="0.25">
      <c r="A520" s="15" t="s">
        <v>83</v>
      </c>
      <c r="B520" s="27">
        <v>715</v>
      </c>
      <c r="C520" s="15">
        <v>340</v>
      </c>
      <c r="D520" s="27">
        <v>25</v>
      </c>
      <c r="E520" s="15">
        <v>12</v>
      </c>
      <c r="F520" s="15">
        <v>693</v>
      </c>
      <c r="G520" s="15">
        <v>336</v>
      </c>
      <c r="H520" s="15">
        <v>23</v>
      </c>
      <c r="I520" s="15">
        <v>11</v>
      </c>
      <c r="J520" s="15">
        <v>22</v>
      </c>
      <c r="K520" s="15">
        <v>4</v>
      </c>
      <c r="L520" s="15">
        <v>2</v>
      </c>
      <c r="M520" s="15">
        <v>1</v>
      </c>
    </row>
    <row r="521" spans="1:13" ht="30" x14ac:dyDescent="0.25">
      <c r="A521" s="15" t="s">
        <v>151</v>
      </c>
      <c r="B521" s="15">
        <v>201</v>
      </c>
      <c r="C521" s="15">
        <v>106</v>
      </c>
      <c r="D521" s="15">
        <v>3</v>
      </c>
      <c r="E521" s="15">
        <v>1</v>
      </c>
      <c r="F521" s="15">
        <v>185</v>
      </c>
      <c r="G521" s="15">
        <v>102</v>
      </c>
      <c r="H521" s="15">
        <v>2</v>
      </c>
      <c r="I521" s="15" t="s">
        <v>84</v>
      </c>
      <c r="J521" s="15">
        <v>16</v>
      </c>
      <c r="K521" s="15">
        <v>4</v>
      </c>
      <c r="L521" s="15">
        <v>1</v>
      </c>
      <c r="M521" s="15">
        <v>1</v>
      </c>
    </row>
    <row r="522" spans="1:13" ht="60" x14ac:dyDescent="0.25">
      <c r="A522" s="15" t="s">
        <v>152</v>
      </c>
      <c r="B522" s="15">
        <v>33</v>
      </c>
      <c r="C522" s="15">
        <v>18</v>
      </c>
      <c r="D522" s="15" t="s">
        <v>84</v>
      </c>
      <c r="E522" s="15" t="s">
        <v>84</v>
      </c>
      <c r="F522" s="15">
        <v>31</v>
      </c>
      <c r="G522" s="15">
        <v>18</v>
      </c>
      <c r="H522" s="15" t="s">
        <v>84</v>
      </c>
      <c r="I522" s="15" t="s">
        <v>84</v>
      </c>
      <c r="J522" s="15">
        <v>2</v>
      </c>
      <c r="K522" s="15" t="s">
        <v>84</v>
      </c>
      <c r="L522" s="15" t="s">
        <v>84</v>
      </c>
      <c r="M522" s="15" t="s">
        <v>84</v>
      </c>
    </row>
    <row r="523" spans="1:13" ht="30" x14ac:dyDescent="0.25">
      <c r="A523" s="15" t="s">
        <v>85</v>
      </c>
      <c r="B523" s="15">
        <v>324</v>
      </c>
      <c r="C523" s="15">
        <v>149</v>
      </c>
      <c r="D523" s="15">
        <v>12</v>
      </c>
      <c r="E523" s="15">
        <v>6</v>
      </c>
      <c r="F523" s="15">
        <v>320</v>
      </c>
      <c r="G523" s="15">
        <v>149</v>
      </c>
      <c r="H523" s="15">
        <v>11</v>
      </c>
      <c r="I523" s="15">
        <v>6</v>
      </c>
      <c r="J523" s="15">
        <v>4</v>
      </c>
      <c r="K523" s="15" t="s">
        <v>84</v>
      </c>
      <c r="L523" s="15">
        <v>1</v>
      </c>
      <c r="M523" s="15" t="s">
        <v>84</v>
      </c>
    </row>
    <row r="524" spans="1:13" ht="30" x14ac:dyDescent="0.25">
      <c r="A524" s="15" t="s">
        <v>86</v>
      </c>
      <c r="B524" s="15">
        <v>120</v>
      </c>
      <c r="C524" s="15">
        <v>53</v>
      </c>
      <c r="D524" s="15">
        <v>9</v>
      </c>
      <c r="E524" s="15">
        <v>5</v>
      </c>
      <c r="F524" s="15">
        <v>120</v>
      </c>
      <c r="G524" s="15">
        <v>53</v>
      </c>
      <c r="H524" s="15">
        <v>9</v>
      </c>
      <c r="I524" s="15">
        <v>5</v>
      </c>
      <c r="J524" s="15" t="s">
        <v>84</v>
      </c>
      <c r="K524" s="15" t="s">
        <v>84</v>
      </c>
      <c r="L524" s="15" t="s">
        <v>84</v>
      </c>
      <c r="M524" s="15" t="s">
        <v>84</v>
      </c>
    </row>
    <row r="525" spans="1:13" ht="45" x14ac:dyDescent="0.25">
      <c r="A525" s="15" t="s">
        <v>87</v>
      </c>
      <c r="B525" s="15">
        <v>37</v>
      </c>
      <c r="C525" s="15">
        <v>14</v>
      </c>
      <c r="D525" s="15">
        <v>1</v>
      </c>
      <c r="E525" s="15" t="s">
        <v>84</v>
      </c>
      <c r="F525" s="15">
        <v>37</v>
      </c>
      <c r="G525" s="15">
        <v>14</v>
      </c>
      <c r="H525" s="15">
        <v>1</v>
      </c>
      <c r="I525" s="15" t="s">
        <v>84</v>
      </c>
      <c r="J525" s="15" t="s">
        <v>84</v>
      </c>
      <c r="K525" s="15" t="s">
        <v>84</v>
      </c>
      <c r="L525" s="15" t="s">
        <v>84</v>
      </c>
      <c r="M525" s="15" t="s">
        <v>84</v>
      </c>
    </row>
    <row r="526" spans="1:13" ht="45" x14ac:dyDescent="0.25">
      <c r="A526" s="15" t="s">
        <v>153</v>
      </c>
      <c r="B526" s="15">
        <v>9</v>
      </c>
      <c r="C526" s="15">
        <v>6</v>
      </c>
      <c r="D526" s="15" t="s">
        <v>84</v>
      </c>
      <c r="E526" s="15" t="s">
        <v>84</v>
      </c>
      <c r="F526" s="15">
        <v>9</v>
      </c>
      <c r="G526" s="15">
        <v>6</v>
      </c>
      <c r="H526" s="15" t="s">
        <v>84</v>
      </c>
      <c r="I526" s="15" t="s">
        <v>84</v>
      </c>
      <c r="J526" s="15" t="s">
        <v>84</v>
      </c>
      <c r="K526" s="15" t="s">
        <v>84</v>
      </c>
      <c r="L526" s="15" t="s">
        <v>84</v>
      </c>
      <c r="M526" s="15" t="s">
        <v>84</v>
      </c>
    </row>
    <row r="527" spans="1:13" ht="60" x14ac:dyDescent="0.25">
      <c r="A527" s="15" t="s">
        <v>154</v>
      </c>
      <c r="B527" s="15">
        <v>12</v>
      </c>
      <c r="C527" s="15">
        <v>3</v>
      </c>
      <c r="D527" s="15" t="s">
        <v>84</v>
      </c>
      <c r="E527" s="15" t="s">
        <v>84</v>
      </c>
      <c r="F527" s="15">
        <v>12</v>
      </c>
      <c r="G527" s="15">
        <v>3</v>
      </c>
      <c r="H527" s="15" t="s">
        <v>84</v>
      </c>
      <c r="I527" s="15" t="s">
        <v>84</v>
      </c>
      <c r="J527" s="15" t="s">
        <v>84</v>
      </c>
      <c r="K527" s="15" t="s">
        <v>84</v>
      </c>
      <c r="L527" s="15" t="s">
        <v>84</v>
      </c>
      <c r="M527" s="15" t="s">
        <v>84</v>
      </c>
    </row>
    <row r="529" spans="1:1" x14ac:dyDescent="0.25">
      <c r="A529" t="s">
        <v>138</v>
      </c>
    </row>
    <row r="530" spans="1:1" x14ac:dyDescent="0.25">
      <c r="A530" t="s">
        <v>139</v>
      </c>
    </row>
    <row r="531" spans="1:1" x14ac:dyDescent="0.25">
      <c r="A531" t="s">
        <v>140</v>
      </c>
    </row>
    <row r="532" spans="1:1" x14ac:dyDescent="0.25">
      <c r="A532" t="s">
        <v>141</v>
      </c>
    </row>
    <row r="535" spans="1:1" x14ac:dyDescent="0.25">
      <c r="A535" t="s">
        <v>142</v>
      </c>
    </row>
    <row r="536" spans="1:1" x14ac:dyDescent="0.25">
      <c r="A536" t="s">
        <v>143</v>
      </c>
    </row>
    <row r="537" spans="1:1" x14ac:dyDescent="0.25">
      <c r="A537" t="s">
        <v>144</v>
      </c>
    </row>
    <row r="539" spans="1:1" x14ac:dyDescent="0.25">
      <c r="A539" t="s">
        <v>145</v>
      </c>
    </row>
    <row r="541" spans="1:1" x14ac:dyDescent="0.25">
      <c r="A541" t="s">
        <v>146</v>
      </c>
    </row>
  </sheetData>
  <mergeCells count="115">
    <mergeCell ref="A509:M509"/>
    <mergeCell ref="A518:M518"/>
    <mergeCell ref="A519:M519"/>
    <mergeCell ref="A479:M479"/>
    <mergeCell ref="A488:M488"/>
    <mergeCell ref="A489:M489"/>
    <mergeCell ref="A498:M498"/>
    <mergeCell ref="A499:M499"/>
    <mergeCell ref="A508:M508"/>
    <mergeCell ref="A449:M449"/>
    <mergeCell ref="A458:M458"/>
    <mergeCell ref="A459:M459"/>
    <mergeCell ref="A468:M468"/>
    <mergeCell ref="A469:M469"/>
    <mergeCell ref="A478:M478"/>
    <mergeCell ref="A420:M420"/>
    <mergeCell ref="A429:M429"/>
    <mergeCell ref="A430:M430"/>
    <mergeCell ref="A439:M439"/>
    <mergeCell ref="A440:M440"/>
    <mergeCell ref="A448:M448"/>
    <mergeCell ref="A391:M391"/>
    <mergeCell ref="A400:M400"/>
    <mergeCell ref="A401:M401"/>
    <mergeCell ref="A409:M409"/>
    <mergeCell ref="A410:M410"/>
    <mergeCell ref="A419:M419"/>
    <mergeCell ref="A361:M361"/>
    <mergeCell ref="A370:M370"/>
    <mergeCell ref="A371:M371"/>
    <mergeCell ref="A380:M380"/>
    <mergeCell ref="A381:M381"/>
    <mergeCell ref="A390:M390"/>
    <mergeCell ref="A332:M332"/>
    <mergeCell ref="A340:M340"/>
    <mergeCell ref="A341:M341"/>
    <mergeCell ref="A350:M350"/>
    <mergeCell ref="A351:M351"/>
    <mergeCell ref="A360:M360"/>
    <mergeCell ref="A302:M302"/>
    <mergeCell ref="A311:M311"/>
    <mergeCell ref="A312:M312"/>
    <mergeCell ref="A321:M321"/>
    <mergeCell ref="A322:M322"/>
    <mergeCell ref="A331:M331"/>
    <mergeCell ref="A272:M272"/>
    <mergeCell ref="A281:M281"/>
    <mergeCell ref="A282:M282"/>
    <mergeCell ref="A291:M291"/>
    <mergeCell ref="A292:M292"/>
    <mergeCell ref="A301:M301"/>
    <mergeCell ref="A242:M242"/>
    <mergeCell ref="A251:M251"/>
    <mergeCell ref="A252:M252"/>
    <mergeCell ref="A261:M261"/>
    <mergeCell ref="A262:M262"/>
    <mergeCell ref="A271:M271"/>
    <mergeCell ref="A212:M212"/>
    <mergeCell ref="A221:M221"/>
    <mergeCell ref="A222:M222"/>
    <mergeCell ref="A231:M231"/>
    <mergeCell ref="A232:M232"/>
    <mergeCell ref="A241:M241"/>
    <mergeCell ref="A182:M182"/>
    <mergeCell ref="A191:M191"/>
    <mergeCell ref="A192:M192"/>
    <mergeCell ref="A201:M201"/>
    <mergeCell ref="A202:M202"/>
    <mergeCell ref="A211:M211"/>
    <mergeCell ref="A153:M153"/>
    <mergeCell ref="A162:M162"/>
    <mergeCell ref="A163:M163"/>
    <mergeCell ref="A172:M172"/>
    <mergeCell ref="A173:M173"/>
    <mergeCell ref="A181:M181"/>
    <mergeCell ref="A123:M123"/>
    <mergeCell ref="A132:M132"/>
    <mergeCell ref="A133:M133"/>
    <mergeCell ref="A142:M142"/>
    <mergeCell ref="A143:M143"/>
    <mergeCell ref="A152:M152"/>
    <mergeCell ref="A93:M93"/>
    <mergeCell ref="A102:M102"/>
    <mergeCell ref="A103:M103"/>
    <mergeCell ref="A112:M112"/>
    <mergeCell ref="A113:M113"/>
    <mergeCell ref="A122:M122"/>
    <mergeCell ref="A64:M64"/>
    <mergeCell ref="A73:M73"/>
    <mergeCell ref="A74:M74"/>
    <mergeCell ref="A82:M82"/>
    <mergeCell ref="A83:M83"/>
    <mergeCell ref="A92:M92"/>
    <mergeCell ref="A34:M34"/>
    <mergeCell ref="A43:M43"/>
    <mergeCell ref="A44:M44"/>
    <mergeCell ref="A53:M53"/>
    <mergeCell ref="A54:M54"/>
    <mergeCell ref="A63:M63"/>
    <mergeCell ref="J18:J20"/>
    <mergeCell ref="K18:K20"/>
    <mergeCell ref="L18:L20"/>
    <mergeCell ref="A23:M23"/>
    <mergeCell ref="A24:M24"/>
    <mergeCell ref="A33:M33"/>
    <mergeCell ref="B15:M16"/>
    <mergeCell ref="B17:E17"/>
    <mergeCell ref="F17:I17"/>
    <mergeCell ref="J17:M17"/>
    <mergeCell ref="B18:B20"/>
    <mergeCell ref="C18:C20"/>
    <mergeCell ref="D18:D20"/>
    <mergeCell ref="F18:F20"/>
    <mergeCell ref="G18:G20"/>
    <mergeCell ref="H18:H20"/>
  </mergeCells>
  <hyperlinks>
    <hyperlink ref="A1" r:id="rId1" display="https://www1.nls.niedersachsen.de/Statistik/pool/K3002519/K3002519_000016CE1821A485198B60A28222BABAFF0EBC63822E52C8AF6C.zip" xr:uid="{00000000-0004-0000-0700-000000000000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0"/>
  <dimension ref="A1:M540"/>
  <sheetViews>
    <sheetView workbookViewId="0"/>
  </sheetViews>
  <sheetFormatPr baseColWidth="10" defaultRowHeight="15" x14ac:dyDescent="0.25"/>
  <sheetData>
    <row r="1" spans="1:13" x14ac:dyDescent="0.25">
      <c r="A1" s="19" t="s">
        <v>147</v>
      </c>
    </row>
    <row r="3" spans="1:13" x14ac:dyDescent="0.25">
      <c r="A3" s="20" t="s">
        <v>148</v>
      </c>
    </row>
    <row r="4" spans="1:13" x14ac:dyDescent="0.25">
      <c r="A4" s="20" t="s">
        <v>149</v>
      </c>
    </row>
    <row r="6" spans="1:13" x14ac:dyDescent="0.25">
      <c r="A6" s="10" t="s">
        <v>66</v>
      </c>
    </row>
    <row r="8" spans="1:13" x14ac:dyDescent="0.25">
      <c r="A8" t="s">
        <v>67</v>
      </c>
    </row>
    <row r="9" spans="1:13" x14ac:dyDescent="0.25">
      <c r="A9" t="s">
        <v>68</v>
      </c>
    </row>
    <row r="10" spans="1:13" x14ac:dyDescent="0.25">
      <c r="A10" t="s">
        <v>69</v>
      </c>
    </row>
    <row r="12" spans="1:13" x14ac:dyDescent="0.25">
      <c r="A12" t="s">
        <v>150</v>
      </c>
    </row>
    <row r="13" spans="1:13" x14ac:dyDescent="0.25">
      <c r="A13" t="s">
        <v>157</v>
      </c>
    </row>
    <row r="15" spans="1:13" ht="30" x14ac:dyDescent="0.25">
      <c r="A15" s="11" t="s">
        <v>63</v>
      </c>
      <c r="B15" s="213" t="s">
        <v>74</v>
      </c>
      <c r="C15" s="214"/>
      <c r="D15" s="214"/>
      <c r="E15" s="214"/>
      <c r="F15" s="214"/>
      <c r="G15" s="214"/>
      <c r="H15" s="214"/>
      <c r="I15" s="214"/>
      <c r="J15" s="214"/>
      <c r="K15" s="214"/>
      <c r="L15" s="214"/>
      <c r="M15" s="215"/>
    </row>
    <row r="16" spans="1:13" ht="30" x14ac:dyDescent="0.25">
      <c r="A16" s="12" t="s">
        <v>70</v>
      </c>
      <c r="B16" s="216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8"/>
    </row>
    <row r="17" spans="1:13" ht="15" customHeight="1" x14ac:dyDescent="0.25">
      <c r="A17" s="12" t="s">
        <v>71</v>
      </c>
      <c r="B17" s="219" t="s">
        <v>75</v>
      </c>
      <c r="C17" s="220"/>
      <c r="D17" s="220"/>
      <c r="E17" s="221"/>
      <c r="F17" s="219" t="s">
        <v>76</v>
      </c>
      <c r="G17" s="220"/>
      <c r="H17" s="220"/>
      <c r="I17" s="221"/>
      <c r="J17" s="219" t="s">
        <v>77</v>
      </c>
      <c r="K17" s="220"/>
      <c r="L17" s="220"/>
      <c r="M17" s="221"/>
    </row>
    <row r="18" spans="1:13" x14ac:dyDescent="0.25">
      <c r="A18" s="12" t="s">
        <v>72</v>
      </c>
      <c r="B18" s="210" t="s">
        <v>78</v>
      </c>
      <c r="C18" s="210" t="s">
        <v>79</v>
      </c>
      <c r="D18" s="210" t="s">
        <v>80</v>
      </c>
      <c r="E18" s="11" t="s">
        <v>80</v>
      </c>
      <c r="F18" s="210" t="s">
        <v>78</v>
      </c>
      <c r="G18" s="210" t="s">
        <v>79</v>
      </c>
      <c r="H18" s="210" t="s">
        <v>80</v>
      </c>
      <c r="I18" s="11" t="s">
        <v>80</v>
      </c>
      <c r="J18" s="210" t="s">
        <v>78</v>
      </c>
      <c r="K18" s="210" t="s">
        <v>79</v>
      </c>
      <c r="L18" s="210" t="s">
        <v>80</v>
      </c>
      <c r="M18" s="11" t="s">
        <v>80</v>
      </c>
    </row>
    <row r="19" spans="1:13" ht="45" x14ac:dyDescent="0.25">
      <c r="A19" s="12" t="s">
        <v>73</v>
      </c>
      <c r="B19" s="211"/>
      <c r="C19" s="211"/>
      <c r="D19" s="211"/>
      <c r="E19" s="12" t="s">
        <v>79</v>
      </c>
      <c r="F19" s="211"/>
      <c r="G19" s="211"/>
      <c r="H19" s="211"/>
      <c r="I19" s="12" t="s">
        <v>79</v>
      </c>
      <c r="J19" s="211"/>
      <c r="K19" s="211"/>
      <c r="L19" s="211"/>
      <c r="M19" s="12" t="s">
        <v>79</v>
      </c>
    </row>
    <row r="20" spans="1:13" x14ac:dyDescent="0.25">
      <c r="A20" s="12"/>
      <c r="B20" s="212"/>
      <c r="C20" s="212"/>
      <c r="D20" s="212"/>
      <c r="E20" s="13" t="s">
        <v>81</v>
      </c>
      <c r="F20" s="212"/>
      <c r="G20" s="212"/>
      <c r="H20" s="212"/>
      <c r="I20" s="13" t="s">
        <v>81</v>
      </c>
      <c r="J20" s="212"/>
      <c r="K20" s="212"/>
      <c r="L20" s="212"/>
      <c r="M20" s="13" t="s">
        <v>81</v>
      </c>
    </row>
    <row r="21" spans="1:13" x14ac:dyDescent="0.25">
      <c r="A21" s="13"/>
      <c r="B21" s="14">
        <v>1</v>
      </c>
      <c r="C21" s="14">
        <v>2</v>
      </c>
      <c r="D21" s="14">
        <v>3</v>
      </c>
      <c r="E21" s="14">
        <v>4</v>
      </c>
      <c r="F21" s="14">
        <v>5</v>
      </c>
      <c r="G21" s="14">
        <v>6</v>
      </c>
      <c r="H21" s="14">
        <v>7</v>
      </c>
      <c r="I21" s="14">
        <v>8</v>
      </c>
      <c r="J21" s="14">
        <v>9</v>
      </c>
      <c r="K21" s="14">
        <v>10</v>
      </c>
      <c r="L21" s="14">
        <v>11</v>
      </c>
      <c r="M21" s="14">
        <v>12</v>
      </c>
    </row>
    <row r="22" spans="1:13" x14ac:dyDescent="0.25">
      <c r="A22" s="16"/>
      <c r="M22" s="17"/>
    </row>
    <row r="23" spans="1:13" ht="15" customHeight="1" x14ac:dyDescent="0.25">
      <c r="A23" s="207" t="s">
        <v>82</v>
      </c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9"/>
    </row>
    <row r="24" spans="1:13" x14ac:dyDescent="0.25">
      <c r="A24" s="207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9"/>
    </row>
    <row r="25" spans="1:13" x14ac:dyDescent="0.25">
      <c r="A25" s="15" t="s">
        <v>83</v>
      </c>
      <c r="B25" s="27">
        <v>82433</v>
      </c>
      <c r="C25" s="15">
        <v>39476</v>
      </c>
      <c r="D25" s="27">
        <v>5715</v>
      </c>
      <c r="E25" s="15">
        <v>2512</v>
      </c>
      <c r="F25" s="15">
        <v>76321</v>
      </c>
      <c r="G25" s="15">
        <v>36432</v>
      </c>
      <c r="H25" s="15">
        <v>5524</v>
      </c>
      <c r="I25" s="15">
        <v>2436</v>
      </c>
      <c r="J25" s="15">
        <v>6112</v>
      </c>
      <c r="K25" s="15">
        <v>3044</v>
      </c>
      <c r="L25" s="15">
        <v>191</v>
      </c>
      <c r="M25" s="15">
        <v>76</v>
      </c>
    </row>
    <row r="26" spans="1:13" ht="30" x14ac:dyDescent="0.25">
      <c r="A26" s="15" t="s">
        <v>151</v>
      </c>
      <c r="B26" s="15">
        <v>26734</v>
      </c>
      <c r="C26" s="15">
        <v>14767</v>
      </c>
      <c r="D26" s="15">
        <v>642</v>
      </c>
      <c r="E26" s="15">
        <v>343</v>
      </c>
      <c r="F26" s="15">
        <v>23888</v>
      </c>
      <c r="G26" s="15">
        <v>13104</v>
      </c>
      <c r="H26" s="15">
        <v>601</v>
      </c>
      <c r="I26" s="15">
        <v>323</v>
      </c>
      <c r="J26" s="15">
        <v>2846</v>
      </c>
      <c r="K26" s="15">
        <v>1663</v>
      </c>
      <c r="L26" s="15">
        <v>41</v>
      </c>
      <c r="M26" s="15">
        <v>20</v>
      </c>
    </row>
    <row r="27" spans="1:13" ht="60" x14ac:dyDescent="0.25">
      <c r="A27" s="15" t="s">
        <v>152</v>
      </c>
      <c r="B27" s="15">
        <v>2183</v>
      </c>
      <c r="C27" s="15">
        <v>1064</v>
      </c>
      <c r="D27" s="15">
        <v>164</v>
      </c>
      <c r="E27" s="15">
        <v>89</v>
      </c>
      <c r="F27" s="15">
        <v>2009</v>
      </c>
      <c r="G27" s="15">
        <v>987</v>
      </c>
      <c r="H27" s="15">
        <v>157</v>
      </c>
      <c r="I27" s="15">
        <v>88</v>
      </c>
      <c r="J27" s="15">
        <v>174</v>
      </c>
      <c r="K27" s="15">
        <v>77</v>
      </c>
      <c r="L27" s="15">
        <v>7</v>
      </c>
      <c r="M27" s="15">
        <v>1</v>
      </c>
    </row>
    <row r="28" spans="1:13" ht="30" x14ac:dyDescent="0.25">
      <c r="A28" s="15" t="s">
        <v>85</v>
      </c>
      <c r="B28" s="15">
        <v>37000</v>
      </c>
      <c r="C28" s="15">
        <v>17371</v>
      </c>
      <c r="D28" s="15">
        <v>2218</v>
      </c>
      <c r="E28" s="15">
        <v>1083</v>
      </c>
      <c r="F28" s="15">
        <v>34789</v>
      </c>
      <c r="G28" s="15">
        <v>16316</v>
      </c>
      <c r="H28" s="15">
        <v>2144</v>
      </c>
      <c r="I28" s="15">
        <v>1046</v>
      </c>
      <c r="J28" s="15">
        <v>2211</v>
      </c>
      <c r="K28" s="15">
        <v>1055</v>
      </c>
      <c r="L28" s="15">
        <v>74</v>
      </c>
      <c r="M28" s="15">
        <v>37</v>
      </c>
    </row>
    <row r="29" spans="1:13" ht="30" x14ac:dyDescent="0.25">
      <c r="A29" s="15" t="s">
        <v>86</v>
      </c>
      <c r="B29" s="15">
        <v>11686</v>
      </c>
      <c r="C29" s="15">
        <v>4486</v>
      </c>
      <c r="D29" s="15">
        <v>1381</v>
      </c>
      <c r="E29" s="15">
        <v>544</v>
      </c>
      <c r="F29" s="15">
        <v>11147</v>
      </c>
      <c r="G29" s="15">
        <v>4343</v>
      </c>
      <c r="H29" s="15">
        <v>1344</v>
      </c>
      <c r="I29" s="15">
        <v>538</v>
      </c>
      <c r="J29" s="15">
        <v>539</v>
      </c>
      <c r="K29" s="15">
        <v>143</v>
      </c>
      <c r="L29" s="15">
        <v>37</v>
      </c>
      <c r="M29" s="15">
        <v>6</v>
      </c>
    </row>
    <row r="30" spans="1:13" ht="45" x14ac:dyDescent="0.25">
      <c r="A30" s="15" t="s">
        <v>87</v>
      </c>
      <c r="B30" s="15">
        <v>4830</v>
      </c>
      <c r="C30" s="15">
        <v>1788</v>
      </c>
      <c r="D30" s="15">
        <v>1310</v>
      </c>
      <c r="E30" s="15">
        <v>453</v>
      </c>
      <c r="F30" s="15">
        <v>4488</v>
      </c>
      <c r="G30" s="15">
        <v>1682</v>
      </c>
      <c r="H30" s="15">
        <v>1278</v>
      </c>
      <c r="I30" s="15">
        <v>441</v>
      </c>
      <c r="J30" s="15">
        <v>342</v>
      </c>
      <c r="K30" s="15">
        <v>106</v>
      </c>
      <c r="L30" s="15">
        <v>32</v>
      </c>
      <c r="M30" s="15">
        <v>12</v>
      </c>
    </row>
    <row r="31" spans="1:13" ht="45" x14ac:dyDescent="0.25">
      <c r="A31" s="15" t="s">
        <v>153</v>
      </c>
      <c r="B31" s="15">
        <v>1017</v>
      </c>
      <c r="C31" s="15">
        <v>380</v>
      </c>
      <c r="D31" s="15">
        <v>89</v>
      </c>
      <c r="E31" s="15">
        <v>41</v>
      </c>
      <c r="F31" s="15">
        <v>958</v>
      </c>
      <c r="G31" s="15">
        <v>366</v>
      </c>
      <c r="H31" s="15">
        <v>87</v>
      </c>
      <c r="I31" s="15">
        <v>41</v>
      </c>
      <c r="J31" s="15">
        <v>59</v>
      </c>
      <c r="K31" s="15">
        <v>14</v>
      </c>
      <c r="L31" s="15">
        <v>2</v>
      </c>
      <c r="M31" s="15" t="s">
        <v>84</v>
      </c>
    </row>
    <row r="32" spans="1:13" ht="60" x14ac:dyDescent="0.25">
      <c r="A32" s="15" t="s">
        <v>154</v>
      </c>
      <c r="B32" s="15">
        <v>675</v>
      </c>
      <c r="C32" s="15">
        <v>260</v>
      </c>
      <c r="D32" s="15">
        <v>96</v>
      </c>
      <c r="E32" s="15">
        <v>29</v>
      </c>
      <c r="F32" s="15">
        <v>567</v>
      </c>
      <c r="G32" s="15">
        <v>212</v>
      </c>
      <c r="H32" s="15">
        <v>82</v>
      </c>
      <c r="I32" s="15">
        <v>24</v>
      </c>
      <c r="J32" s="15">
        <v>108</v>
      </c>
      <c r="K32" s="15">
        <v>48</v>
      </c>
      <c r="L32" s="15">
        <v>14</v>
      </c>
      <c r="M32" s="15">
        <v>5</v>
      </c>
    </row>
    <row r="33" spans="1:13" ht="15" customHeight="1" x14ac:dyDescent="0.25">
      <c r="A33" s="207" t="s">
        <v>88</v>
      </c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9"/>
    </row>
    <row r="34" spans="1:13" x14ac:dyDescent="0.25">
      <c r="A34" s="207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9"/>
    </row>
    <row r="35" spans="1:13" x14ac:dyDescent="0.25">
      <c r="A35" s="15" t="s">
        <v>83</v>
      </c>
      <c r="B35" s="27">
        <v>15401</v>
      </c>
      <c r="C35" s="15">
        <v>7354</v>
      </c>
      <c r="D35" s="27">
        <v>1068</v>
      </c>
      <c r="E35" s="15">
        <v>474</v>
      </c>
      <c r="F35" s="15">
        <v>14582</v>
      </c>
      <c r="G35" s="15">
        <v>7006</v>
      </c>
      <c r="H35" s="15">
        <v>1038</v>
      </c>
      <c r="I35" s="15">
        <v>466</v>
      </c>
      <c r="J35" s="15">
        <v>819</v>
      </c>
      <c r="K35" s="15">
        <v>348</v>
      </c>
      <c r="L35" s="15">
        <v>30</v>
      </c>
      <c r="M35" s="15">
        <v>8</v>
      </c>
    </row>
    <row r="36" spans="1:13" ht="30" x14ac:dyDescent="0.25">
      <c r="A36" s="15" t="s">
        <v>151</v>
      </c>
      <c r="B36" s="15">
        <v>5671</v>
      </c>
      <c r="C36" s="15">
        <v>3119</v>
      </c>
      <c r="D36" s="15">
        <v>126</v>
      </c>
      <c r="E36" s="15">
        <v>73</v>
      </c>
      <c r="F36" s="15">
        <v>5310</v>
      </c>
      <c r="G36" s="15">
        <v>2930</v>
      </c>
      <c r="H36" s="15">
        <v>122</v>
      </c>
      <c r="I36" s="15">
        <v>71</v>
      </c>
      <c r="J36" s="15">
        <v>361</v>
      </c>
      <c r="K36" s="15">
        <v>189</v>
      </c>
      <c r="L36" s="15">
        <v>4</v>
      </c>
      <c r="M36" s="15">
        <v>2</v>
      </c>
    </row>
    <row r="37" spans="1:13" ht="60" x14ac:dyDescent="0.25">
      <c r="A37" s="15" t="s">
        <v>152</v>
      </c>
      <c r="B37" s="15">
        <v>461</v>
      </c>
      <c r="C37" s="15">
        <v>233</v>
      </c>
      <c r="D37" s="15">
        <v>33</v>
      </c>
      <c r="E37" s="15">
        <v>17</v>
      </c>
      <c r="F37" s="15">
        <v>441</v>
      </c>
      <c r="G37" s="15">
        <v>226</v>
      </c>
      <c r="H37" s="15">
        <v>31</v>
      </c>
      <c r="I37" s="15">
        <v>17</v>
      </c>
      <c r="J37" s="15">
        <v>20</v>
      </c>
      <c r="K37" s="15">
        <v>7</v>
      </c>
      <c r="L37" s="15">
        <v>2</v>
      </c>
      <c r="M37" s="15" t="s">
        <v>84</v>
      </c>
    </row>
    <row r="38" spans="1:13" ht="30" x14ac:dyDescent="0.25">
      <c r="A38" s="15" t="s">
        <v>85</v>
      </c>
      <c r="B38" s="15">
        <v>6465</v>
      </c>
      <c r="C38" s="15">
        <v>2972</v>
      </c>
      <c r="D38" s="15">
        <v>458</v>
      </c>
      <c r="E38" s="15">
        <v>225</v>
      </c>
      <c r="F38" s="15">
        <v>6173</v>
      </c>
      <c r="G38" s="15">
        <v>2854</v>
      </c>
      <c r="H38" s="15">
        <v>439</v>
      </c>
      <c r="I38" s="15">
        <v>219</v>
      </c>
      <c r="J38" s="15">
        <v>292</v>
      </c>
      <c r="K38" s="15">
        <v>118</v>
      </c>
      <c r="L38" s="15">
        <v>19</v>
      </c>
      <c r="M38" s="15">
        <v>6</v>
      </c>
    </row>
    <row r="39" spans="1:13" ht="30" x14ac:dyDescent="0.25">
      <c r="A39" s="15" t="s">
        <v>86</v>
      </c>
      <c r="B39" s="15">
        <v>2002</v>
      </c>
      <c r="C39" s="15">
        <v>749</v>
      </c>
      <c r="D39" s="15">
        <v>241</v>
      </c>
      <c r="E39" s="15">
        <v>101</v>
      </c>
      <c r="F39" s="15">
        <v>1899</v>
      </c>
      <c r="G39" s="15">
        <v>723</v>
      </c>
      <c r="H39" s="15">
        <v>237</v>
      </c>
      <c r="I39" s="15">
        <v>101</v>
      </c>
      <c r="J39" s="15">
        <v>103</v>
      </c>
      <c r="K39" s="15">
        <v>26</v>
      </c>
      <c r="L39" s="15">
        <v>4</v>
      </c>
      <c r="M39" s="15" t="s">
        <v>84</v>
      </c>
    </row>
    <row r="40" spans="1:13" ht="45" x14ac:dyDescent="0.25">
      <c r="A40" s="15" t="s">
        <v>87</v>
      </c>
      <c r="B40" s="15">
        <v>802</v>
      </c>
      <c r="C40" s="15">
        <v>281</v>
      </c>
      <c r="D40" s="15">
        <v>210</v>
      </c>
      <c r="E40" s="15">
        <v>58</v>
      </c>
      <c r="F40" s="15">
        <v>759</v>
      </c>
      <c r="G40" s="15">
        <v>273</v>
      </c>
      <c r="H40" s="15">
        <v>209</v>
      </c>
      <c r="I40" s="15">
        <v>58</v>
      </c>
      <c r="J40" s="15">
        <v>43</v>
      </c>
      <c r="K40" s="15">
        <v>8</v>
      </c>
      <c r="L40" s="15">
        <v>1</v>
      </c>
      <c r="M40" s="15" t="s">
        <v>84</v>
      </c>
    </row>
    <row r="41" spans="1:13" ht="45" x14ac:dyDescent="0.25">
      <c r="A41" s="15" t="s">
        <v>153</v>
      </c>
      <c r="B41" s="15">
        <v>112</v>
      </c>
      <c r="C41" s="15">
        <v>44</v>
      </c>
      <c r="D41" s="15">
        <v>10</v>
      </c>
      <c r="E41" s="15">
        <v>1</v>
      </c>
      <c r="F41" s="15">
        <v>103</v>
      </c>
      <c r="G41" s="15">
        <v>41</v>
      </c>
      <c r="H41" s="15">
        <v>10</v>
      </c>
      <c r="I41" s="15">
        <v>1</v>
      </c>
      <c r="J41" s="15">
        <v>9</v>
      </c>
      <c r="K41" s="15">
        <v>3</v>
      </c>
      <c r="L41" s="15" t="s">
        <v>84</v>
      </c>
      <c r="M41" s="15" t="s">
        <v>84</v>
      </c>
    </row>
    <row r="42" spans="1:13" ht="60" x14ac:dyDescent="0.25">
      <c r="A42" s="15" t="s">
        <v>154</v>
      </c>
      <c r="B42" s="15">
        <v>124</v>
      </c>
      <c r="C42" s="15">
        <v>48</v>
      </c>
      <c r="D42" s="15">
        <v>21</v>
      </c>
      <c r="E42" s="15">
        <v>6</v>
      </c>
      <c r="F42" s="15">
        <v>124</v>
      </c>
      <c r="G42" s="15">
        <v>48</v>
      </c>
      <c r="H42" s="15">
        <v>21</v>
      </c>
      <c r="I42" s="15">
        <v>6</v>
      </c>
      <c r="J42" s="15" t="s">
        <v>84</v>
      </c>
      <c r="K42" s="15" t="s">
        <v>84</v>
      </c>
      <c r="L42" s="15" t="s">
        <v>84</v>
      </c>
      <c r="M42" s="15" t="s">
        <v>84</v>
      </c>
    </row>
    <row r="43" spans="1:13" ht="15" customHeight="1" x14ac:dyDescent="0.25">
      <c r="A43" s="207" t="s">
        <v>89</v>
      </c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9"/>
    </row>
    <row r="44" spans="1:13" x14ac:dyDescent="0.25">
      <c r="A44" s="207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9"/>
    </row>
    <row r="45" spans="1:13" x14ac:dyDescent="0.25">
      <c r="A45" s="15" t="s">
        <v>83</v>
      </c>
      <c r="B45" s="27">
        <v>2660</v>
      </c>
      <c r="C45" s="15">
        <v>1294</v>
      </c>
      <c r="D45" s="27">
        <v>192</v>
      </c>
      <c r="E45" s="15">
        <v>86</v>
      </c>
      <c r="F45" s="15">
        <v>2459</v>
      </c>
      <c r="G45" s="15">
        <v>1213</v>
      </c>
      <c r="H45" s="15">
        <v>180</v>
      </c>
      <c r="I45" s="15">
        <v>80</v>
      </c>
      <c r="J45" s="15">
        <v>201</v>
      </c>
      <c r="K45" s="15">
        <v>81</v>
      </c>
      <c r="L45" s="15">
        <v>12</v>
      </c>
      <c r="M45" s="15">
        <v>6</v>
      </c>
    </row>
    <row r="46" spans="1:13" ht="30" x14ac:dyDescent="0.25">
      <c r="A46" s="15" t="s">
        <v>151</v>
      </c>
      <c r="B46" s="15">
        <v>1205</v>
      </c>
      <c r="C46" s="15">
        <v>654</v>
      </c>
      <c r="D46" s="15">
        <v>26</v>
      </c>
      <c r="E46" s="15">
        <v>15</v>
      </c>
      <c r="F46" s="15">
        <v>1079</v>
      </c>
      <c r="G46" s="15">
        <v>595</v>
      </c>
      <c r="H46" s="15">
        <v>26</v>
      </c>
      <c r="I46" s="15">
        <v>15</v>
      </c>
      <c r="J46" s="15">
        <v>126</v>
      </c>
      <c r="K46" s="15">
        <v>59</v>
      </c>
      <c r="L46" s="15" t="s">
        <v>84</v>
      </c>
      <c r="M46" s="15" t="s">
        <v>84</v>
      </c>
    </row>
    <row r="47" spans="1:13" ht="60" x14ac:dyDescent="0.25">
      <c r="A47" s="15" t="s">
        <v>152</v>
      </c>
      <c r="B47" s="15">
        <v>136</v>
      </c>
      <c r="C47" s="15">
        <v>66</v>
      </c>
      <c r="D47" s="15">
        <v>8</v>
      </c>
      <c r="E47" s="15">
        <v>4</v>
      </c>
      <c r="F47" s="15">
        <v>131</v>
      </c>
      <c r="G47" s="15">
        <v>63</v>
      </c>
      <c r="H47" s="15">
        <v>8</v>
      </c>
      <c r="I47" s="15">
        <v>4</v>
      </c>
      <c r="J47" s="15">
        <v>5</v>
      </c>
      <c r="K47" s="15">
        <v>3</v>
      </c>
      <c r="L47" s="15" t="s">
        <v>84</v>
      </c>
      <c r="M47" s="15" t="s">
        <v>84</v>
      </c>
    </row>
    <row r="48" spans="1:13" ht="30" x14ac:dyDescent="0.25">
      <c r="A48" s="15" t="s">
        <v>85</v>
      </c>
      <c r="B48" s="15">
        <v>860</v>
      </c>
      <c r="C48" s="15">
        <v>378</v>
      </c>
      <c r="D48" s="15">
        <v>77</v>
      </c>
      <c r="E48" s="15">
        <v>35</v>
      </c>
      <c r="F48" s="15">
        <v>813</v>
      </c>
      <c r="G48" s="15">
        <v>362</v>
      </c>
      <c r="H48" s="15">
        <v>66</v>
      </c>
      <c r="I48" s="15">
        <v>29</v>
      </c>
      <c r="J48" s="15">
        <v>47</v>
      </c>
      <c r="K48" s="15">
        <v>16</v>
      </c>
      <c r="L48" s="15">
        <v>11</v>
      </c>
      <c r="M48" s="15">
        <v>6</v>
      </c>
    </row>
    <row r="49" spans="1:13" ht="30" x14ac:dyDescent="0.25">
      <c r="A49" s="15" t="s">
        <v>86</v>
      </c>
      <c r="B49" s="15">
        <v>291</v>
      </c>
      <c r="C49" s="15">
        <v>133</v>
      </c>
      <c r="D49" s="15">
        <v>42</v>
      </c>
      <c r="E49" s="15">
        <v>20</v>
      </c>
      <c r="F49" s="15">
        <v>280</v>
      </c>
      <c r="G49" s="15">
        <v>132</v>
      </c>
      <c r="H49" s="15">
        <v>41</v>
      </c>
      <c r="I49" s="15">
        <v>20</v>
      </c>
      <c r="J49" s="15">
        <v>11</v>
      </c>
      <c r="K49" s="15">
        <v>1</v>
      </c>
      <c r="L49" s="15">
        <v>1</v>
      </c>
      <c r="M49" s="15" t="s">
        <v>84</v>
      </c>
    </row>
    <row r="50" spans="1:13" ht="45" x14ac:dyDescent="0.25">
      <c r="A50" s="15" t="s">
        <v>87</v>
      </c>
      <c r="B50" s="15">
        <v>168</v>
      </c>
      <c r="C50" s="15">
        <v>63</v>
      </c>
      <c r="D50" s="15">
        <v>39</v>
      </c>
      <c r="E50" s="15">
        <v>12</v>
      </c>
      <c r="F50" s="15">
        <v>156</v>
      </c>
      <c r="G50" s="15">
        <v>61</v>
      </c>
      <c r="H50" s="15">
        <v>39</v>
      </c>
      <c r="I50" s="15">
        <v>12</v>
      </c>
      <c r="J50" s="15">
        <v>12</v>
      </c>
      <c r="K50" s="15">
        <v>2</v>
      </c>
      <c r="L50" s="15" t="s">
        <v>84</v>
      </c>
      <c r="M50" s="15" t="s">
        <v>84</v>
      </c>
    </row>
    <row r="51" spans="1:13" ht="45" x14ac:dyDescent="0.25">
      <c r="A51" s="15" t="s">
        <v>153</v>
      </c>
      <c r="B51" s="15">
        <v>31</v>
      </c>
      <c r="C51" s="15">
        <v>9</v>
      </c>
      <c r="D51" s="15">
        <v>3</v>
      </c>
      <c r="E51" s="15" t="s">
        <v>84</v>
      </c>
      <c r="F51" s="15">
        <v>29</v>
      </c>
      <c r="G51" s="15">
        <v>9</v>
      </c>
      <c r="H51" s="15">
        <v>3</v>
      </c>
      <c r="I51" s="15" t="s">
        <v>84</v>
      </c>
      <c r="J51" s="15">
        <v>2</v>
      </c>
      <c r="K51" s="15" t="s">
        <v>84</v>
      </c>
      <c r="L51" s="15" t="s">
        <v>84</v>
      </c>
      <c r="M51" s="15" t="s">
        <v>84</v>
      </c>
    </row>
    <row r="52" spans="1:13" ht="60" x14ac:dyDescent="0.25">
      <c r="A52" s="15" t="s">
        <v>154</v>
      </c>
      <c r="B52" s="15">
        <v>29</v>
      </c>
      <c r="C52" s="15">
        <v>12</v>
      </c>
      <c r="D52" s="15">
        <v>8</v>
      </c>
      <c r="E52" s="15">
        <v>3</v>
      </c>
      <c r="F52" s="15">
        <v>29</v>
      </c>
      <c r="G52" s="15">
        <v>12</v>
      </c>
      <c r="H52" s="15">
        <v>8</v>
      </c>
      <c r="I52" s="15">
        <v>3</v>
      </c>
      <c r="J52" s="15" t="s">
        <v>84</v>
      </c>
      <c r="K52" s="15" t="s">
        <v>84</v>
      </c>
      <c r="L52" s="15" t="s">
        <v>84</v>
      </c>
      <c r="M52" s="15" t="s">
        <v>84</v>
      </c>
    </row>
    <row r="53" spans="1:13" ht="15" customHeight="1" x14ac:dyDescent="0.25">
      <c r="A53" s="207" t="s">
        <v>90</v>
      </c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9"/>
    </row>
    <row r="54" spans="1:13" x14ac:dyDescent="0.25">
      <c r="A54" s="207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9"/>
    </row>
    <row r="55" spans="1:13" x14ac:dyDescent="0.25">
      <c r="A55" s="15" t="s">
        <v>83</v>
      </c>
      <c r="B55" s="27">
        <v>986</v>
      </c>
      <c r="C55" s="15">
        <v>459</v>
      </c>
      <c r="D55" s="27">
        <v>132</v>
      </c>
      <c r="E55" s="15">
        <v>55</v>
      </c>
      <c r="F55" s="15">
        <v>986</v>
      </c>
      <c r="G55" s="15">
        <v>459</v>
      </c>
      <c r="H55" s="15">
        <v>132</v>
      </c>
      <c r="I55" s="15">
        <v>55</v>
      </c>
      <c r="J55" s="15" t="s">
        <v>84</v>
      </c>
      <c r="K55" s="15" t="s">
        <v>84</v>
      </c>
      <c r="L55" s="15" t="s">
        <v>84</v>
      </c>
      <c r="M55" s="15" t="s">
        <v>84</v>
      </c>
    </row>
    <row r="56" spans="1:13" ht="30" x14ac:dyDescent="0.25">
      <c r="A56" s="15" t="s">
        <v>151</v>
      </c>
      <c r="B56" s="15">
        <v>243</v>
      </c>
      <c r="C56" s="15">
        <v>139</v>
      </c>
      <c r="D56" s="15">
        <v>12</v>
      </c>
      <c r="E56" s="15">
        <v>7</v>
      </c>
      <c r="F56" s="15">
        <v>243</v>
      </c>
      <c r="G56" s="15">
        <v>139</v>
      </c>
      <c r="H56" s="15">
        <v>12</v>
      </c>
      <c r="I56" s="15">
        <v>7</v>
      </c>
      <c r="J56" s="15" t="s">
        <v>84</v>
      </c>
      <c r="K56" s="15" t="s">
        <v>84</v>
      </c>
      <c r="L56" s="15" t="s">
        <v>84</v>
      </c>
      <c r="M56" s="15" t="s">
        <v>84</v>
      </c>
    </row>
    <row r="57" spans="1:13" ht="60" x14ac:dyDescent="0.25">
      <c r="A57" s="15" t="s">
        <v>152</v>
      </c>
      <c r="B57" s="15">
        <v>14</v>
      </c>
      <c r="C57" s="15">
        <v>8</v>
      </c>
      <c r="D57" s="15">
        <v>2</v>
      </c>
      <c r="E57" s="15">
        <v>2</v>
      </c>
      <c r="F57" s="15">
        <v>14</v>
      </c>
      <c r="G57" s="15">
        <v>8</v>
      </c>
      <c r="H57" s="15">
        <v>2</v>
      </c>
      <c r="I57" s="15">
        <v>2</v>
      </c>
      <c r="J57" s="15" t="s">
        <v>84</v>
      </c>
      <c r="K57" s="15" t="s">
        <v>84</v>
      </c>
      <c r="L57" s="15" t="s">
        <v>84</v>
      </c>
      <c r="M57" s="15" t="s">
        <v>84</v>
      </c>
    </row>
    <row r="58" spans="1:13" ht="30" x14ac:dyDescent="0.25">
      <c r="A58" s="15" t="s">
        <v>85</v>
      </c>
      <c r="B58" s="15">
        <v>504</v>
      </c>
      <c r="C58" s="15">
        <v>227</v>
      </c>
      <c r="D58" s="15">
        <v>68</v>
      </c>
      <c r="E58" s="15">
        <v>27</v>
      </c>
      <c r="F58" s="15">
        <v>504</v>
      </c>
      <c r="G58" s="15">
        <v>227</v>
      </c>
      <c r="H58" s="15">
        <v>68</v>
      </c>
      <c r="I58" s="15">
        <v>27</v>
      </c>
      <c r="J58" s="15" t="s">
        <v>84</v>
      </c>
      <c r="K58" s="15" t="s">
        <v>84</v>
      </c>
      <c r="L58" s="15" t="s">
        <v>84</v>
      </c>
      <c r="M58" s="15" t="s">
        <v>84</v>
      </c>
    </row>
    <row r="59" spans="1:13" ht="30" x14ac:dyDescent="0.25">
      <c r="A59" s="15" t="s">
        <v>86</v>
      </c>
      <c r="B59" s="15">
        <v>144</v>
      </c>
      <c r="C59" s="15">
        <v>57</v>
      </c>
      <c r="D59" s="15">
        <v>20</v>
      </c>
      <c r="E59" s="15">
        <v>8</v>
      </c>
      <c r="F59" s="15">
        <v>144</v>
      </c>
      <c r="G59" s="15">
        <v>57</v>
      </c>
      <c r="H59" s="15">
        <v>20</v>
      </c>
      <c r="I59" s="15">
        <v>8</v>
      </c>
      <c r="J59" s="15" t="s">
        <v>84</v>
      </c>
      <c r="K59" s="15" t="s">
        <v>84</v>
      </c>
      <c r="L59" s="15" t="s">
        <v>84</v>
      </c>
      <c r="M59" s="15" t="s">
        <v>84</v>
      </c>
    </row>
    <row r="60" spans="1:13" ht="45" x14ac:dyDescent="0.25">
      <c r="A60" s="15" t="s">
        <v>87</v>
      </c>
      <c r="B60" s="15">
        <v>81</v>
      </c>
      <c r="C60" s="15">
        <v>28</v>
      </c>
      <c r="D60" s="15">
        <v>30</v>
      </c>
      <c r="E60" s="15">
        <v>11</v>
      </c>
      <c r="F60" s="15">
        <v>81</v>
      </c>
      <c r="G60" s="15">
        <v>28</v>
      </c>
      <c r="H60" s="15">
        <v>30</v>
      </c>
      <c r="I60" s="15">
        <v>11</v>
      </c>
      <c r="J60" s="15" t="s">
        <v>84</v>
      </c>
      <c r="K60" s="15" t="s">
        <v>84</v>
      </c>
      <c r="L60" s="15" t="s">
        <v>84</v>
      </c>
      <c r="M60" s="15" t="s">
        <v>84</v>
      </c>
    </row>
    <row r="61" spans="1:13" ht="60" x14ac:dyDescent="0.25">
      <c r="A61" s="15" t="s">
        <v>154</v>
      </c>
      <c r="B61" s="15">
        <v>5</v>
      </c>
      <c r="C61" s="15">
        <v>1</v>
      </c>
      <c r="D61" s="15">
        <v>2</v>
      </c>
      <c r="E61" s="15">
        <v>1</v>
      </c>
      <c r="F61" s="15">
        <v>5</v>
      </c>
      <c r="G61" s="15">
        <v>1</v>
      </c>
      <c r="H61" s="15">
        <v>2</v>
      </c>
      <c r="I61" s="15">
        <v>1</v>
      </c>
      <c r="J61" s="15" t="s">
        <v>84</v>
      </c>
      <c r="K61" s="15" t="s">
        <v>84</v>
      </c>
      <c r="L61" s="15" t="s">
        <v>84</v>
      </c>
      <c r="M61" s="15" t="s">
        <v>84</v>
      </c>
    </row>
    <row r="62" spans="1:13" ht="15" customHeight="1" x14ac:dyDescent="0.25">
      <c r="A62" s="207" t="s">
        <v>91</v>
      </c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9"/>
    </row>
    <row r="63" spans="1:13" x14ac:dyDescent="0.25">
      <c r="A63" s="207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9"/>
    </row>
    <row r="64" spans="1:13" x14ac:dyDescent="0.25">
      <c r="A64" s="15" t="s">
        <v>83</v>
      </c>
      <c r="B64" s="27">
        <v>1389</v>
      </c>
      <c r="C64" s="15">
        <v>653</v>
      </c>
      <c r="D64" s="27">
        <v>139</v>
      </c>
      <c r="E64" s="15">
        <v>65</v>
      </c>
      <c r="F64" s="15">
        <v>1191</v>
      </c>
      <c r="G64" s="15">
        <v>561</v>
      </c>
      <c r="H64" s="15">
        <v>138</v>
      </c>
      <c r="I64" s="15">
        <v>65</v>
      </c>
      <c r="J64" s="15">
        <v>198</v>
      </c>
      <c r="K64" s="15">
        <v>92</v>
      </c>
      <c r="L64" s="15">
        <v>1</v>
      </c>
      <c r="M64" s="15" t="s">
        <v>84</v>
      </c>
    </row>
    <row r="65" spans="1:13" ht="30" x14ac:dyDescent="0.25">
      <c r="A65" s="15" t="s">
        <v>151</v>
      </c>
      <c r="B65" s="15">
        <v>564</v>
      </c>
      <c r="C65" s="15">
        <v>316</v>
      </c>
      <c r="D65" s="15">
        <v>10</v>
      </c>
      <c r="E65" s="15">
        <v>5</v>
      </c>
      <c r="F65" s="15">
        <v>476</v>
      </c>
      <c r="G65" s="15">
        <v>266</v>
      </c>
      <c r="H65" s="15">
        <v>10</v>
      </c>
      <c r="I65" s="15">
        <v>5</v>
      </c>
      <c r="J65" s="15">
        <v>88</v>
      </c>
      <c r="K65" s="15">
        <v>50</v>
      </c>
      <c r="L65" s="15" t="s">
        <v>84</v>
      </c>
      <c r="M65" s="15" t="s">
        <v>84</v>
      </c>
    </row>
    <row r="66" spans="1:13" ht="60" x14ac:dyDescent="0.25">
      <c r="A66" s="15" t="s">
        <v>152</v>
      </c>
      <c r="B66" s="15">
        <v>74</v>
      </c>
      <c r="C66" s="15">
        <v>38</v>
      </c>
      <c r="D66" s="15">
        <v>5</v>
      </c>
      <c r="E66" s="15">
        <v>2</v>
      </c>
      <c r="F66" s="15">
        <v>69</v>
      </c>
      <c r="G66" s="15">
        <v>36</v>
      </c>
      <c r="H66" s="15">
        <v>5</v>
      </c>
      <c r="I66" s="15">
        <v>2</v>
      </c>
      <c r="J66" s="15">
        <v>5</v>
      </c>
      <c r="K66" s="15">
        <v>2</v>
      </c>
      <c r="L66" s="15" t="s">
        <v>84</v>
      </c>
      <c r="M66" s="15" t="s">
        <v>84</v>
      </c>
    </row>
    <row r="67" spans="1:13" ht="30" x14ac:dyDescent="0.25">
      <c r="A67" s="15" t="s">
        <v>85</v>
      </c>
      <c r="B67" s="15">
        <v>527</v>
      </c>
      <c r="C67" s="15">
        <v>214</v>
      </c>
      <c r="D67" s="15">
        <v>69</v>
      </c>
      <c r="E67" s="15">
        <v>33</v>
      </c>
      <c r="F67" s="15">
        <v>430</v>
      </c>
      <c r="G67" s="15">
        <v>179</v>
      </c>
      <c r="H67" s="15">
        <v>68</v>
      </c>
      <c r="I67" s="15">
        <v>33</v>
      </c>
      <c r="J67" s="15">
        <v>97</v>
      </c>
      <c r="K67" s="15">
        <v>35</v>
      </c>
      <c r="L67" s="15">
        <v>1</v>
      </c>
      <c r="M67" s="15" t="s">
        <v>84</v>
      </c>
    </row>
    <row r="68" spans="1:13" ht="30" x14ac:dyDescent="0.25">
      <c r="A68" s="15" t="s">
        <v>86</v>
      </c>
      <c r="B68" s="15">
        <v>166</v>
      </c>
      <c r="C68" s="15">
        <v>63</v>
      </c>
      <c r="D68" s="15">
        <v>32</v>
      </c>
      <c r="E68" s="15">
        <v>19</v>
      </c>
      <c r="F68" s="15">
        <v>158</v>
      </c>
      <c r="G68" s="15">
        <v>58</v>
      </c>
      <c r="H68" s="15">
        <v>32</v>
      </c>
      <c r="I68" s="15">
        <v>19</v>
      </c>
      <c r="J68" s="15">
        <v>8</v>
      </c>
      <c r="K68" s="15">
        <v>5</v>
      </c>
      <c r="L68" s="15" t="s">
        <v>84</v>
      </c>
      <c r="M68" s="15" t="s">
        <v>84</v>
      </c>
    </row>
    <row r="69" spans="1:13" ht="45" x14ac:dyDescent="0.25">
      <c r="A69" s="15" t="s">
        <v>87</v>
      </c>
      <c r="B69" s="15">
        <v>58</v>
      </c>
      <c r="C69" s="15">
        <v>22</v>
      </c>
      <c r="D69" s="15">
        <v>23</v>
      </c>
      <c r="E69" s="15">
        <v>6</v>
      </c>
      <c r="F69" s="15">
        <v>58</v>
      </c>
      <c r="G69" s="15">
        <v>22</v>
      </c>
      <c r="H69" s="15">
        <v>23</v>
      </c>
      <c r="I69" s="15">
        <v>6</v>
      </c>
      <c r="J69" s="15" t="s">
        <v>84</v>
      </c>
      <c r="K69" s="15" t="s">
        <v>84</v>
      </c>
      <c r="L69" s="15" t="s">
        <v>84</v>
      </c>
      <c r="M69" s="15" t="s">
        <v>84</v>
      </c>
    </row>
    <row r="70" spans="1:13" ht="45" x14ac:dyDescent="0.25">
      <c r="A70" s="15" t="s">
        <v>153</v>
      </c>
      <c r="B70" s="15">
        <v>4</v>
      </c>
      <c r="C70" s="15">
        <v>2</v>
      </c>
      <c r="D70" s="15" t="s">
        <v>84</v>
      </c>
      <c r="E70" s="15" t="s">
        <v>84</v>
      </c>
      <c r="F70" s="15">
        <v>4</v>
      </c>
      <c r="G70" s="15">
        <v>2</v>
      </c>
      <c r="H70" s="15" t="s">
        <v>84</v>
      </c>
      <c r="I70" s="15" t="s">
        <v>84</v>
      </c>
      <c r="J70" s="15" t="s">
        <v>84</v>
      </c>
      <c r="K70" s="15" t="s">
        <v>84</v>
      </c>
      <c r="L70" s="15" t="s">
        <v>84</v>
      </c>
      <c r="M70" s="15" t="s">
        <v>84</v>
      </c>
    </row>
    <row r="71" spans="1:13" ht="60" x14ac:dyDescent="0.25">
      <c r="A71" s="15" t="s">
        <v>154</v>
      </c>
      <c r="B71" s="15">
        <v>14</v>
      </c>
      <c r="C71" s="15">
        <v>4</v>
      </c>
      <c r="D71" s="15">
        <v>4</v>
      </c>
      <c r="E71" s="15">
        <v>1</v>
      </c>
      <c r="F71" s="15">
        <v>14</v>
      </c>
      <c r="G71" s="15">
        <v>4</v>
      </c>
      <c r="H71" s="15">
        <v>4</v>
      </c>
      <c r="I71" s="15">
        <v>1</v>
      </c>
      <c r="J71" s="15" t="s">
        <v>84</v>
      </c>
      <c r="K71" s="15" t="s">
        <v>84</v>
      </c>
      <c r="L71" s="15" t="s">
        <v>84</v>
      </c>
      <c r="M71" s="15" t="s">
        <v>84</v>
      </c>
    </row>
    <row r="72" spans="1:13" ht="15" customHeight="1" x14ac:dyDescent="0.25">
      <c r="A72" s="207" t="s">
        <v>92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9"/>
    </row>
    <row r="73" spans="1:13" x14ac:dyDescent="0.25">
      <c r="A73" s="207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9"/>
    </row>
    <row r="74" spans="1:13" x14ac:dyDescent="0.25">
      <c r="A74" s="15" t="s">
        <v>83</v>
      </c>
      <c r="B74" s="27">
        <v>1617</v>
      </c>
      <c r="C74" s="15">
        <v>758</v>
      </c>
      <c r="D74" s="27">
        <v>90</v>
      </c>
      <c r="E74" s="15">
        <v>49</v>
      </c>
      <c r="F74" s="15">
        <v>1592</v>
      </c>
      <c r="G74" s="15">
        <v>749</v>
      </c>
      <c r="H74" s="15">
        <v>90</v>
      </c>
      <c r="I74" s="15">
        <v>49</v>
      </c>
      <c r="J74" s="15">
        <v>25</v>
      </c>
      <c r="K74" s="15">
        <v>9</v>
      </c>
      <c r="L74" s="15" t="s">
        <v>84</v>
      </c>
      <c r="M74" s="15" t="s">
        <v>84</v>
      </c>
    </row>
    <row r="75" spans="1:13" ht="30" x14ac:dyDescent="0.25">
      <c r="A75" s="15" t="s">
        <v>151</v>
      </c>
      <c r="B75" s="15">
        <v>455</v>
      </c>
      <c r="C75" s="15">
        <v>255</v>
      </c>
      <c r="D75" s="15">
        <v>8</v>
      </c>
      <c r="E75" s="15">
        <v>6</v>
      </c>
      <c r="F75" s="15">
        <v>455</v>
      </c>
      <c r="G75" s="15">
        <v>255</v>
      </c>
      <c r="H75" s="15">
        <v>8</v>
      </c>
      <c r="I75" s="15">
        <v>6</v>
      </c>
      <c r="J75" s="15" t="s">
        <v>84</v>
      </c>
      <c r="K75" s="15" t="s">
        <v>84</v>
      </c>
      <c r="L75" s="15" t="s">
        <v>84</v>
      </c>
      <c r="M75" s="15" t="s">
        <v>84</v>
      </c>
    </row>
    <row r="76" spans="1:13" ht="60" x14ac:dyDescent="0.25">
      <c r="A76" s="15" t="s">
        <v>152</v>
      </c>
      <c r="B76" s="15">
        <v>32</v>
      </c>
      <c r="C76" s="15">
        <v>15</v>
      </c>
      <c r="D76" s="15">
        <v>1</v>
      </c>
      <c r="E76" s="15" t="s">
        <v>84</v>
      </c>
      <c r="F76" s="15">
        <v>31</v>
      </c>
      <c r="G76" s="15">
        <v>15</v>
      </c>
      <c r="H76" s="15">
        <v>1</v>
      </c>
      <c r="I76" s="15" t="s">
        <v>84</v>
      </c>
      <c r="J76" s="15">
        <v>1</v>
      </c>
      <c r="K76" s="15" t="s">
        <v>84</v>
      </c>
      <c r="L76" s="15" t="s">
        <v>84</v>
      </c>
      <c r="M76" s="15" t="s">
        <v>84</v>
      </c>
    </row>
    <row r="77" spans="1:13" ht="30" x14ac:dyDescent="0.25">
      <c r="A77" s="15" t="s">
        <v>85</v>
      </c>
      <c r="B77" s="15">
        <v>835</v>
      </c>
      <c r="C77" s="15">
        <v>381</v>
      </c>
      <c r="D77" s="15">
        <v>47</v>
      </c>
      <c r="E77" s="15">
        <v>28</v>
      </c>
      <c r="F77" s="15">
        <v>827</v>
      </c>
      <c r="G77" s="15">
        <v>377</v>
      </c>
      <c r="H77" s="15">
        <v>47</v>
      </c>
      <c r="I77" s="15">
        <v>28</v>
      </c>
      <c r="J77" s="15">
        <v>8</v>
      </c>
      <c r="K77" s="15">
        <v>4</v>
      </c>
      <c r="L77" s="15" t="s">
        <v>84</v>
      </c>
      <c r="M77" s="15" t="s">
        <v>84</v>
      </c>
    </row>
    <row r="78" spans="1:13" ht="30" x14ac:dyDescent="0.25">
      <c r="A78" s="15" t="s">
        <v>86</v>
      </c>
      <c r="B78" s="15">
        <v>209</v>
      </c>
      <c r="C78" s="15">
        <v>79</v>
      </c>
      <c r="D78" s="15">
        <v>18</v>
      </c>
      <c r="E78" s="15">
        <v>11</v>
      </c>
      <c r="F78" s="15">
        <v>203</v>
      </c>
      <c r="G78" s="15">
        <v>76</v>
      </c>
      <c r="H78" s="15">
        <v>18</v>
      </c>
      <c r="I78" s="15">
        <v>11</v>
      </c>
      <c r="J78" s="15">
        <v>6</v>
      </c>
      <c r="K78" s="15">
        <v>3</v>
      </c>
      <c r="L78" s="15" t="s">
        <v>84</v>
      </c>
      <c r="M78" s="15" t="s">
        <v>84</v>
      </c>
    </row>
    <row r="79" spans="1:13" ht="45" x14ac:dyDescent="0.25">
      <c r="A79" s="15" t="s">
        <v>87</v>
      </c>
      <c r="B79" s="15">
        <v>86</v>
      </c>
      <c r="C79" s="15">
        <v>28</v>
      </c>
      <c r="D79" s="15">
        <v>16</v>
      </c>
      <c r="E79" s="15">
        <v>4</v>
      </c>
      <c r="F79" s="15">
        <v>76</v>
      </c>
      <c r="G79" s="15">
        <v>26</v>
      </c>
      <c r="H79" s="15">
        <v>16</v>
      </c>
      <c r="I79" s="15">
        <v>4</v>
      </c>
      <c r="J79" s="15">
        <v>10</v>
      </c>
      <c r="K79" s="15">
        <v>2</v>
      </c>
      <c r="L79" s="15" t="s">
        <v>84</v>
      </c>
      <c r="M79" s="15" t="s">
        <v>84</v>
      </c>
    </row>
    <row r="80" spans="1:13" ht="45" x14ac:dyDescent="0.25">
      <c r="A80" s="15" t="s">
        <v>153</v>
      </c>
      <c r="B80" s="15">
        <v>24</v>
      </c>
      <c r="C80" s="15">
        <v>12</v>
      </c>
      <c r="D80" s="15" t="s">
        <v>84</v>
      </c>
      <c r="E80" s="15" t="s">
        <v>84</v>
      </c>
      <c r="F80" s="15">
        <v>20</v>
      </c>
      <c r="G80" s="15">
        <v>11</v>
      </c>
      <c r="H80" s="15" t="s">
        <v>84</v>
      </c>
      <c r="I80" s="15" t="s">
        <v>84</v>
      </c>
      <c r="J80" s="15">
        <v>4</v>
      </c>
      <c r="K80" s="15">
        <v>1</v>
      </c>
      <c r="L80" s="15" t="s">
        <v>84</v>
      </c>
      <c r="M80" s="15" t="s">
        <v>84</v>
      </c>
    </row>
    <row r="81" spans="1:13" ht="15" customHeight="1" x14ac:dyDescent="0.25">
      <c r="A81" s="207" t="s">
        <v>93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9"/>
    </row>
    <row r="82" spans="1:13" x14ac:dyDescent="0.25">
      <c r="A82" s="207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9"/>
    </row>
    <row r="83" spans="1:13" x14ac:dyDescent="0.25">
      <c r="A83" s="15" t="s">
        <v>83</v>
      </c>
      <c r="B83" s="27">
        <v>1245</v>
      </c>
      <c r="C83" s="15">
        <v>580</v>
      </c>
      <c r="D83" s="27">
        <v>91</v>
      </c>
      <c r="E83" s="15">
        <v>34</v>
      </c>
      <c r="F83" s="15">
        <v>1201</v>
      </c>
      <c r="G83" s="15">
        <v>572</v>
      </c>
      <c r="H83" s="15">
        <v>90</v>
      </c>
      <c r="I83" s="15">
        <v>34</v>
      </c>
      <c r="J83" s="15">
        <v>44</v>
      </c>
      <c r="K83" s="15">
        <v>8</v>
      </c>
      <c r="L83" s="15">
        <v>1</v>
      </c>
      <c r="M83" s="15" t="s">
        <v>84</v>
      </c>
    </row>
    <row r="84" spans="1:13" ht="30" x14ac:dyDescent="0.25">
      <c r="A84" s="15" t="s">
        <v>151</v>
      </c>
      <c r="B84" s="15">
        <v>335</v>
      </c>
      <c r="C84" s="15">
        <v>171</v>
      </c>
      <c r="D84" s="15">
        <v>4</v>
      </c>
      <c r="E84" s="15">
        <v>3</v>
      </c>
      <c r="F84" s="15">
        <v>325</v>
      </c>
      <c r="G84" s="15">
        <v>170</v>
      </c>
      <c r="H84" s="15">
        <v>4</v>
      </c>
      <c r="I84" s="15">
        <v>3</v>
      </c>
      <c r="J84" s="15">
        <v>10</v>
      </c>
      <c r="K84" s="15">
        <v>1</v>
      </c>
      <c r="L84" s="15" t="s">
        <v>84</v>
      </c>
      <c r="M84" s="15" t="s">
        <v>84</v>
      </c>
    </row>
    <row r="85" spans="1:13" ht="60" x14ac:dyDescent="0.25">
      <c r="A85" s="15" t="s">
        <v>152</v>
      </c>
      <c r="B85" s="15">
        <v>27</v>
      </c>
      <c r="C85" s="15">
        <v>12</v>
      </c>
      <c r="D85" s="15">
        <v>1</v>
      </c>
      <c r="E85" s="15" t="s">
        <v>84</v>
      </c>
      <c r="F85" s="15">
        <v>26</v>
      </c>
      <c r="G85" s="15">
        <v>12</v>
      </c>
      <c r="H85" s="15">
        <v>1</v>
      </c>
      <c r="I85" s="15" t="s">
        <v>84</v>
      </c>
      <c r="J85" s="15">
        <v>1</v>
      </c>
      <c r="K85" s="15" t="s">
        <v>84</v>
      </c>
      <c r="L85" s="15" t="s">
        <v>84</v>
      </c>
      <c r="M85" s="15" t="s">
        <v>84</v>
      </c>
    </row>
    <row r="86" spans="1:13" ht="30" x14ac:dyDescent="0.25">
      <c r="A86" s="15" t="s">
        <v>85</v>
      </c>
      <c r="B86" s="15">
        <v>617</v>
      </c>
      <c r="C86" s="15">
        <v>314</v>
      </c>
      <c r="D86" s="15">
        <v>51</v>
      </c>
      <c r="E86" s="15">
        <v>23</v>
      </c>
      <c r="F86" s="15">
        <v>598</v>
      </c>
      <c r="G86" s="15">
        <v>308</v>
      </c>
      <c r="H86" s="15">
        <v>50</v>
      </c>
      <c r="I86" s="15">
        <v>23</v>
      </c>
      <c r="J86" s="15">
        <v>19</v>
      </c>
      <c r="K86" s="15">
        <v>6</v>
      </c>
      <c r="L86" s="15">
        <v>1</v>
      </c>
      <c r="M86" s="15" t="s">
        <v>84</v>
      </c>
    </row>
    <row r="87" spans="1:13" ht="30" x14ac:dyDescent="0.25">
      <c r="A87" s="15" t="s">
        <v>86</v>
      </c>
      <c r="B87" s="15">
        <v>201</v>
      </c>
      <c r="C87" s="15">
        <v>62</v>
      </c>
      <c r="D87" s="15">
        <v>25</v>
      </c>
      <c r="E87" s="15">
        <v>6</v>
      </c>
      <c r="F87" s="15">
        <v>194</v>
      </c>
      <c r="G87" s="15">
        <v>61</v>
      </c>
      <c r="H87" s="15">
        <v>25</v>
      </c>
      <c r="I87" s="15">
        <v>6</v>
      </c>
      <c r="J87" s="15">
        <v>7</v>
      </c>
      <c r="K87" s="15">
        <v>1</v>
      </c>
      <c r="L87" s="15" t="s">
        <v>84</v>
      </c>
      <c r="M87" s="15" t="s">
        <v>84</v>
      </c>
    </row>
    <row r="88" spans="1:13" ht="45" x14ac:dyDescent="0.25">
      <c r="A88" s="15" t="s">
        <v>87</v>
      </c>
      <c r="B88" s="15">
        <v>65</v>
      </c>
      <c r="C88" s="15">
        <v>21</v>
      </c>
      <c r="D88" s="15">
        <v>10</v>
      </c>
      <c r="E88" s="15">
        <v>2</v>
      </c>
      <c r="F88" s="15">
        <v>58</v>
      </c>
      <c r="G88" s="15">
        <v>21</v>
      </c>
      <c r="H88" s="15">
        <v>10</v>
      </c>
      <c r="I88" s="15">
        <v>2</v>
      </c>
      <c r="J88" s="15">
        <v>7</v>
      </c>
      <c r="K88" s="15" t="s">
        <v>84</v>
      </c>
      <c r="L88" s="15" t="s">
        <v>84</v>
      </c>
      <c r="M88" s="15" t="s">
        <v>84</v>
      </c>
    </row>
    <row r="89" spans="1:13" ht="45" x14ac:dyDescent="0.25">
      <c r="A89" s="15" t="s">
        <v>153</v>
      </c>
      <c r="B89" s="15">
        <v>7</v>
      </c>
      <c r="C89" s="15">
        <v>3</v>
      </c>
      <c r="D89" s="15" t="s">
        <v>84</v>
      </c>
      <c r="E89" s="15" t="s">
        <v>84</v>
      </c>
      <c r="F89" s="15">
        <v>6</v>
      </c>
      <c r="G89" s="15">
        <v>3</v>
      </c>
      <c r="H89" s="15" t="s">
        <v>84</v>
      </c>
      <c r="I89" s="15" t="s">
        <v>84</v>
      </c>
      <c r="J89" s="15">
        <v>1</v>
      </c>
      <c r="K89" s="15" t="s">
        <v>84</v>
      </c>
      <c r="L89" s="15" t="s">
        <v>84</v>
      </c>
      <c r="M89" s="15" t="s">
        <v>84</v>
      </c>
    </row>
    <row r="90" spans="1:13" ht="60" x14ac:dyDescent="0.25">
      <c r="A90" s="15" t="s">
        <v>154</v>
      </c>
      <c r="B90" s="15">
        <v>8</v>
      </c>
      <c r="C90" s="15">
        <v>4</v>
      </c>
      <c r="D90" s="15">
        <v>2</v>
      </c>
      <c r="E90" s="15">
        <v>1</v>
      </c>
      <c r="F90" s="15">
        <v>8</v>
      </c>
      <c r="G90" s="15">
        <v>4</v>
      </c>
      <c r="H90" s="15">
        <v>2</v>
      </c>
      <c r="I90" s="15">
        <v>1</v>
      </c>
      <c r="J90" s="15" t="s">
        <v>84</v>
      </c>
      <c r="K90" s="15" t="s">
        <v>84</v>
      </c>
      <c r="L90" s="15" t="s">
        <v>84</v>
      </c>
      <c r="M90" s="15" t="s">
        <v>84</v>
      </c>
    </row>
    <row r="91" spans="1:13" ht="15" customHeight="1" x14ac:dyDescent="0.25">
      <c r="A91" s="207" t="s">
        <v>94</v>
      </c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9"/>
    </row>
    <row r="92" spans="1:13" x14ac:dyDescent="0.25">
      <c r="A92" s="207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9"/>
    </row>
    <row r="93" spans="1:13" x14ac:dyDescent="0.25">
      <c r="A93" s="15" t="s">
        <v>83</v>
      </c>
      <c r="B93" s="27">
        <v>727</v>
      </c>
      <c r="C93" s="15">
        <v>341</v>
      </c>
      <c r="D93" s="27">
        <v>39</v>
      </c>
      <c r="E93" s="15">
        <v>17</v>
      </c>
      <c r="F93" s="15">
        <v>727</v>
      </c>
      <c r="G93" s="15">
        <v>341</v>
      </c>
      <c r="H93" s="15">
        <v>39</v>
      </c>
      <c r="I93" s="15">
        <v>17</v>
      </c>
      <c r="J93" s="15" t="s">
        <v>84</v>
      </c>
      <c r="K93" s="15" t="s">
        <v>84</v>
      </c>
      <c r="L93" s="15" t="s">
        <v>84</v>
      </c>
      <c r="M93" s="15" t="s">
        <v>84</v>
      </c>
    </row>
    <row r="94" spans="1:13" ht="30" x14ac:dyDescent="0.25">
      <c r="A94" s="15" t="s">
        <v>151</v>
      </c>
      <c r="B94" s="15">
        <v>245</v>
      </c>
      <c r="C94" s="15">
        <v>126</v>
      </c>
      <c r="D94" s="15">
        <v>13</v>
      </c>
      <c r="E94" s="15">
        <v>7</v>
      </c>
      <c r="F94" s="15">
        <v>245</v>
      </c>
      <c r="G94" s="15">
        <v>126</v>
      </c>
      <c r="H94" s="15">
        <v>13</v>
      </c>
      <c r="I94" s="15">
        <v>7</v>
      </c>
      <c r="J94" s="15" t="s">
        <v>84</v>
      </c>
      <c r="K94" s="15" t="s">
        <v>84</v>
      </c>
      <c r="L94" s="15" t="s">
        <v>84</v>
      </c>
      <c r="M94" s="15" t="s">
        <v>84</v>
      </c>
    </row>
    <row r="95" spans="1:13" ht="60" x14ac:dyDescent="0.25">
      <c r="A95" s="15" t="s">
        <v>152</v>
      </c>
      <c r="B95" s="15">
        <v>29</v>
      </c>
      <c r="C95" s="15">
        <v>18</v>
      </c>
      <c r="D95" s="15">
        <v>1</v>
      </c>
      <c r="E95" s="15" t="s">
        <v>84</v>
      </c>
      <c r="F95" s="15">
        <v>29</v>
      </c>
      <c r="G95" s="15">
        <v>18</v>
      </c>
      <c r="H95" s="15">
        <v>1</v>
      </c>
      <c r="I95" s="15" t="s">
        <v>84</v>
      </c>
      <c r="J95" s="15" t="s">
        <v>84</v>
      </c>
      <c r="K95" s="15" t="s">
        <v>84</v>
      </c>
      <c r="L95" s="15" t="s">
        <v>84</v>
      </c>
      <c r="M95" s="15" t="s">
        <v>84</v>
      </c>
    </row>
    <row r="96" spans="1:13" ht="30" x14ac:dyDescent="0.25">
      <c r="A96" s="15" t="s">
        <v>85</v>
      </c>
      <c r="B96" s="15">
        <v>315</v>
      </c>
      <c r="C96" s="15">
        <v>144</v>
      </c>
      <c r="D96" s="15">
        <v>9</v>
      </c>
      <c r="E96" s="15">
        <v>6</v>
      </c>
      <c r="F96" s="15">
        <v>315</v>
      </c>
      <c r="G96" s="15">
        <v>144</v>
      </c>
      <c r="H96" s="15">
        <v>9</v>
      </c>
      <c r="I96" s="15">
        <v>6</v>
      </c>
      <c r="J96" s="15" t="s">
        <v>84</v>
      </c>
      <c r="K96" s="15" t="s">
        <v>84</v>
      </c>
      <c r="L96" s="15" t="s">
        <v>84</v>
      </c>
      <c r="M96" s="15" t="s">
        <v>84</v>
      </c>
    </row>
    <row r="97" spans="1:13" ht="30" x14ac:dyDescent="0.25">
      <c r="A97" s="15" t="s">
        <v>86</v>
      </c>
      <c r="B97" s="15">
        <v>87</v>
      </c>
      <c r="C97" s="15">
        <v>35</v>
      </c>
      <c r="D97" s="15">
        <v>8</v>
      </c>
      <c r="E97" s="15">
        <v>3</v>
      </c>
      <c r="F97" s="15">
        <v>87</v>
      </c>
      <c r="G97" s="15">
        <v>35</v>
      </c>
      <c r="H97" s="15">
        <v>8</v>
      </c>
      <c r="I97" s="15">
        <v>3</v>
      </c>
      <c r="J97" s="15" t="s">
        <v>84</v>
      </c>
      <c r="K97" s="15" t="s">
        <v>84</v>
      </c>
      <c r="L97" s="15" t="s">
        <v>84</v>
      </c>
      <c r="M97" s="15" t="s">
        <v>84</v>
      </c>
    </row>
    <row r="98" spans="1:13" ht="45" x14ac:dyDescent="0.25">
      <c r="A98" s="15" t="s">
        <v>87</v>
      </c>
      <c r="B98" s="15">
        <v>51</v>
      </c>
      <c r="C98" s="15">
        <v>18</v>
      </c>
      <c r="D98" s="15">
        <v>8</v>
      </c>
      <c r="E98" s="15">
        <v>1</v>
      </c>
      <c r="F98" s="15">
        <v>51</v>
      </c>
      <c r="G98" s="15">
        <v>18</v>
      </c>
      <c r="H98" s="15">
        <v>8</v>
      </c>
      <c r="I98" s="15">
        <v>1</v>
      </c>
      <c r="J98" s="15" t="s">
        <v>84</v>
      </c>
      <c r="K98" s="15" t="s">
        <v>84</v>
      </c>
      <c r="L98" s="15" t="s">
        <v>84</v>
      </c>
      <c r="M98" s="15" t="s">
        <v>84</v>
      </c>
    </row>
    <row r="99" spans="1:13" ht="45" x14ac:dyDescent="0.25">
      <c r="A99" s="15" t="s">
        <v>153</v>
      </c>
      <c r="B99" s="15">
        <v>6</v>
      </c>
      <c r="C99" s="15">
        <v>3</v>
      </c>
      <c r="D99" s="15">
        <v>1</v>
      </c>
      <c r="E99" s="15" t="s">
        <v>84</v>
      </c>
      <c r="F99" s="15">
        <v>6</v>
      </c>
      <c r="G99" s="15">
        <v>3</v>
      </c>
      <c r="H99" s="15">
        <v>1</v>
      </c>
      <c r="I99" s="15" t="s">
        <v>84</v>
      </c>
      <c r="J99" s="15" t="s">
        <v>84</v>
      </c>
      <c r="K99" s="15" t="s">
        <v>84</v>
      </c>
      <c r="L99" s="15" t="s">
        <v>84</v>
      </c>
      <c r="M99" s="15" t="s">
        <v>84</v>
      </c>
    </row>
    <row r="100" spans="1:13" ht="60" x14ac:dyDescent="0.25">
      <c r="A100" s="15" t="s">
        <v>154</v>
      </c>
      <c r="B100" s="15">
        <v>11</v>
      </c>
      <c r="C100" s="15">
        <v>5</v>
      </c>
      <c r="D100" s="15" t="s">
        <v>84</v>
      </c>
      <c r="E100" s="15" t="s">
        <v>84</v>
      </c>
      <c r="F100" s="15">
        <v>11</v>
      </c>
      <c r="G100" s="15">
        <v>5</v>
      </c>
      <c r="H100" s="15" t="s">
        <v>84</v>
      </c>
      <c r="I100" s="15" t="s">
        <v>84</v>
      </c>
      <c r="J100" s="15" t="s">
        <v>84</v>
      </c>
      <c r="K100" s="15" t="s">
        <v>84</v>
      </c>
      <c r="L100" s="15" t="s">
        <v>84</v>
      </c>
      <c r="M100" s="15" t="s">
        <v>84</v>
      </c>
    </row>
    <row r="101" spans="1:13" ht="15" customHeight="1" x14ac:dyDescent="0.25">
      <c r="A101" s="207" t="s">
        <v>95</v>
      </c>
      <c r="B101" s="208"/>
      <c r="C101" s="208"/>
      <c r="D101" s="208"/>
      <c r="E101" s="208"/>
      <c r="F101" s="208"/>
      <c r="G101" s="208"/>
      <c r="H101" s="208"/>
      <c r="I101" s="208"/>
      <c r="J101" s="208"/>
      <c r="K101" s="208"/>
      <c r="L101" s="208"/>
      <c r="M101" s="209"/>
    </row>
    <row r="102" spans="1:13" x14ac:dyDescent="0.25">
      <c r="A102" s="207"/>
      <c r="B102" s="208"/>
      <c r="C102" s="208"/>
      <c r="D102" s="208"/>
      <c r="E102" s="208"/>
      <c r="F102" s="208"/>
      <c r="G102" s="208"/>
      <c r="H102" s="208"/>
      <c r="I102" s="208"/>
      <c r="J102" s="208"/>
      <c r="K102" s="208"/>
      <c r="L102" s="208"/>
      <c r="M102" s="209"/>
    </row>
    <row r="103" spans="1:13" x14ac:dyDescent="0.25">
      <c r="A103" s="15" t="s">
        <v>83</v>
      </c>
      <c r="B103" s="27">
        <v>1370</v>
      </c>
      <c r="C103" s="15">
        <v>694</v>
      </c>
      <c r="D103" s="27">
        <v>64</v>
      </c>
      <c r="E103" s="15">
        <v>32</v>
      </c>
      <c r="F103" s="15">
        <v>1254</v>
      </c>
      <c r="G103" s="15">
        <v>635</v>
      </c>
      <c r="H103" s="15">
        <v>63</v>
      </c>
      <c r="I103" s="15">
        <v>31</v>
      </c>
      <c r="J103" s="15">
        <v>116</v>
      </c>
      <c r="K103" s="15">
        <v>59</v>
      </c>
      <c r="L103" s="15">
        <v>1</v>
      </c>
      <c r="M103" s="15">
        <v>1</v>
      </c>
    </row>
    <row r="104" spans="1:13" ht="30" x14ac:dyDescent="0.25">
      <c r="A104" s="15" t="s">
        <v>151</v>
      </c>
      <c r="B104" s="15">
        <v>503</v>
      </c>
      <c r="C104" s="15">
        <v>291</v>
      </c>
      <c r="D104" s="15">
        <v>8</v>
      </c>
      <c r="E104" s="15">
        <v>5</v>
      </c>
      <c r="F104" s="15">
        <v>427</v>
      </c>
      <c r="G104" s="15">
        <v>247</v>
      </c>
      <c r="H104" s="15">
        <v>7</v>
      </c>
      <c r="I104" s="15">
        <v>4</v>
      </c>
      <c r="J104" s="15">
        <v>76</v>
      </c>
      <c r="K104" s="15">
        <v>44</v>
      </c>
      <c r="L104" s="15">
        <v>1</v>
      </c>
      <c r="M104" s="15">
        <v>1</v>
      </c>
    </row>
    <row r="105" spans="1:13" ht="60" x14ac:dyDescent="0.25">
      <c r="A105" s="15" t="s">
        <v>152</v>
      </c>
      <c r="B105" s="15">
        <v>34</v>
      </c>
      <c r="C105" s="15">
        <v>16</v>
      </c>
      <c r="D105" s="15">
        <v>2</v>
      </c>
      <c r="E105" s="15">
        <v>1</v>
      </c>
      <c r="F105" s="15">
        <v>30</v>
      </c>
      <c r="G105" s="15">
        <v>14</v>
      </c>
      <c r="H105" s="15">
        <v>2</v>
      </c>
      <c r="I105" s="15">
        <v>1</v>
      </c>
      <c r="J105" s="15">
        <v>4</v>
      </c>
      <c r="K105" s="15">
        <v>2</v>
      </c>
      <c r="L105" s="15" t="s">
        <v>84</v>
      </c>
      <c r="M105" s="15" t="s">
        <v>84</v>
      </c>
    </row>
    <row r="106" spans="1:13" ht="30" x14ac:dyDescent="0.25">
      <c r="A106" s="15" t="s">
        <v>85</v>
      </c>
      <c r="B106" s="15">
        <v>580</v>
      </c>
      <c r="C106" s="15">
        <v>289</v>
      </c>
      <c r="D106" s="15">
        <v>17</v>
      </c>
      <c r="E106" s="15">
        <v>8</v>
      </c>
      <c r="F106" s="15">
        <v>565</v>
      </c>
      <c r="G106" s="15">
        <v>280</v>
      </c>
      <c r="H106" s="15">
        <v>17</v>
      </c>
      <c r="I106" s="15">
        <v>8</v>
      </c>
      <c r="J106" s="15">
        <v>15</v>
      </c>
      <c r="K106" s="15">
        <v>9</v>
      </c>
      <c r="L106" s="15" t="s">
        <v>84</v>
      </c>
      <c r="M106" s="15" t="s">
        <v>84</v>
      </c>
    </row>
    <row r="107" spans="1:13" ht="30" x14ac:dyDescent="0.25">
      <c r="A107" s="15" t="s">
        <v>86</v>
      </c>
      <c r="B107" s="15">
        <v>193</v>
      </c>
      <c r="C107" s="15">
        <v>76</v>
      </c>
      <c r="D107" s="15">
        <v>23</v>
      </c>
      <c r="E107" s="15">
        <v>14</v>
      </c>
      <c r="F107" s="15">
        <v>176</v>
      </c>
      <c r="G107" s="15">
        <v>73</v>
      </c>
      <c r="H107" s="15">
        <v>23</v>
      </c>
      <c r="I107" s="15">
        <v>14</v>
      </c>
      <c r="J107" s="15">
        <v>17</v>
      </c>
      <c r="K107" s="15">
        <v>3</v>
      </c>
      <c r="L107" s="15" t="s">
        <v>84</v>
      </c>
      <c r="M107" s="15" t="s">
        <v>84</v>
      </c>
    </row>
    <row r="108" spans="1:13" ht="45" x14ac:dyDescent="0.25">
      <c r="A108" s="15" t="s">
        <v>87</v>
      </c>
      <c r="B108" s="15">
        <v>60</v>
      </c>
      <c r="C108" s="15">
        <v>22</v>
      </c>
      <c r="D108" s="15">
        <v>14</v>
      </c>
      <c r="E108" s="15">
        <v>4</v>
      </c>
      <c r="F108" s="15">
        <v>56</v>
      </c>
      <c r="G108" s="15">
        <v>21</v>
      </c>
      <c r="H108" s="15">
        <v>14</v>
      </c>
      <c r="I108" s="15">
        <v>4</v>
      </c>
      <c r="J108" s="15">
        <v>4</v>
      </c>
      <c r="K108" s="15">
        <v>1</v>
      </c>
      <c r="L108" s="15" t="s">
        <v>84</v>
      </c>
      <c r="M108" s="15" t="s">
        <v>84</v>
      </c>
    </row>
    <row r="109" spans="1:13" ht="45" x14ac:dyDescent="0.25">
      <c r="A109" s="15" t="s">
        <v>153</v>
      </c>
      <c r="B109" s="15">
        <v>16</v>
      </c>
      <c r="C109" s="15">
        <v>5</v>
      </c>
      <c r="D109" s="15">
        <v>2</v>
      </c>
      <c r="E109" s="15">
        <v>1</v>
      </c>
      <c r="F109" s="15">
        <v>16</v>
      </c>
      <c r="G109" s="15">
        <v>5</v>
      </c>
      <c r="H109" s="15">
        <v>2</v>
      </c>
      <c r="I109" s="15">
        <v>1</v>
      </c>
      <c r="J109" s="15" t="s">
        <v>84</v>
      </c>
      <c r="K109" s="15" t="s">
        <v>84</v>
      </c>
      <c r="L109" s="15" t="s">
        <v>84</v>
      </c>
      <c r="M109" s="15" t="s">
        <v>84</v>
      </c>
    </row>
    <row r="110" spans="1:13" ht="60" x14ac:dyDescent="0.25">
      <c r="A110" s="15" t="s">
        <v>154</v>
      </c>
      <c r="B110" s="15">
        <v>9</v>
      </c>
      <c r="C110" s="15">
        <v>4</v>
      </c>
      <c r="D110" s="15">
        <v>1</v>
      </c>
      <c r="E110" s="15" t="s">
        <v>84</v>
      </c>
      <c r="F110" s="15">
        <v>9</v>
      </c>
      <c r="G110" s="15">
        <v>4</v>
      </c>
      <c r="H110" s="15">
        <v>1</v>
      </c>
      <c r="I110" s="15" t="s">
        <v>84</v>
      </c>
      <c r="J110" s="15" t="s">
        <v>84</v>
      </c>
      <c r="K110" s="15" t="s">
        <v>84</v>
      </c>
      <c r="L110" s="15" t="s">
        <v>84</v>
      </c>
      <c r="M110" s="15" t="s">
        <v>84</v>
      </c>
    </row>
    <row r="111" spans="1:13" ht="15" customHeight="1" x14ac:dyDescent="0.25">
      <c r="A111" s="207" t="s">
        <v>96</v>
      </c>
      <c r="B111" s="208"/>
      <c r="C111" s="208"/>
      <c r="D111" s="208"/>
      <c r="E111" s="208"/>
      <c r="F111" s="208"/>
      <c r="G111" s="208"/>
      <c r="H111" s="208"/>
      <c r="I111" s="208"/>
      <c r="J111" s="208"/>
      <c r="K111" s="208"/>
      <c r="L111" s="208"/>
      <c r="M111" s="209"/>
    </row>
    <row r="112" spans="1:13" x14ac:dyDescent="0.25">
      <c r="A112" s="207"/>
      <c r="B112" s="208"/>
      <c r="C112" s="208"/>
      <c r="D112" s="208"/>
      <c r="E112" s="208"/>
      <c r="F112" s="208"/>
      <c r="G112" s="208"/>
      <c r="H112" s="208"/>
      <c r="I112" s="208"/>
      <c r="J112" s="208"/>
      <c r="K112" s="208"/>
      <c r="L112" s="208"/>
      <c r="M112" s="209"/>
    </row>
    <row r="113" spans="1:13" x14ac:dyDescent="0.25">
      <c r="A113" s="15" t="s">
        <v>83</v>
      </c>
      <c r="B113" s="27">
        <v>1406</v>
      </c>
      <c r="C113" s="15">
        <v>632</v>
      </c>
      <c r="D113" s="27">
        <v>105</v>
      </c>
      <c r="E113" s="15">
        <v>47</v>
      </c>
      <c r="F113" s="15">
        <v>1406</v>
      </c>
      <c r="G113" s="15">
        <v>632</v>
      </c>
      <c r="H113" s="15">
        <v>105</v>
      </c>
      <c r="I113" s="15">
        <v>47</v>
      </c>
      <c r="J113" s="15" t="s">
        <v>84</v>
      </c>
      <c r="K113" s="15" t="s">
        <v>84</v>
      </c>
      <c r="L113" s="15" t="s">
        <v>84</v>
      </c>
      <c r="M113" s="15" t="s">
        <v>84</v>
      </c>
    </row>
    <row r="114" spans="1:13" ht="30" x14ac:dyDescent="0.25">
      <c r="A114" s="15" t="s">
        <v>151</v>
      </c>
      <c r="B114" s="15">
        <v>474</v>
      </c>
      <c r="C114" s="15">
        <v>267</v>
      </c>
      <c r="D114" s="15">
        <v>9</v>
      </c>
      <c r="E114" s="15">
        <v>6</v>
      </c>
      <c r="F114" s="15">
        <v>474</v>
      </c>
      <c r="G114" s="15">
        <v>267</v>
      </c>
      <c r="H114" s="15">
        <v>9</v>
      </c>
      <c r="I114" s="15">
        <v>6</v>
      </c>
      <c r="J114" s="15" t="s">
        <v>84</v>
      </c>
      <c r="K114" s="15" t="s">
        <v>84</v>
      </c>
      <c r="L114" s="15" t="s">
        <v>84</v>
      </c>
      <c r="M114" s="15" t="s">
        <v>84</v>
      </c>
    </row>
    <row r="115" spans="1:13" ht="60" x14ac:dyDescent="0.25">
      <c r="A115" s="15" t="s">
        <v>152</v>
      </c>
      <c r="B115" s="15">
        <v>44</v>
      </c>
      <c r="C115" s="15">
        <v>23</v>
      </c>
      <c r="D115" s="15">
        <v>9</v>
      </c>
      <c r="E115" s="15">
        <v>7</v>
      </c>
      <c r="F115" s="15">
        <v>44</v>
      </c>
      <c r="G115" s="15">
        <v>23</v>
      </c>
      <c r="H115" s="15">
        <v>9</v>
      </c>
      <c r="I115" s="15">
        <v>7</v>
      </c>
      <c r="J115" s="15" t="s">
        <v>84</v>
      </c>
      <c r="K115" s="15" t="s">
        <v>84</v>
      </c>
      <c r="L115" s="15" t="s">
        <v>84</v>
      </c>
      <c r="M115" s="15" t="s">
        <v>84</v>
      </c>
    </row>
    <row r="116" spans="1:13" ht="30" x14ac:dyDescent="0.25">
      <c r="A116" s="15" t="s">
        <v>85</v>
      </c>
      <c r="B116" s="15">
        <v>666</v>
      </c>
      <c r="C116" s="15">
        <v>278</v>
      </c>
      <c r="D116" s="15">
        <v>48</v>
      </c>
      <c r="E116" s="15">
        <v>25</v>
      </c>
      <c r="F116" s="15">
        <v>666</v>
      </c>
      <c r="G116" s="15">
        <v>278</v>
      </c>
      <c r="H116" s="15">
        <v>48</v>
      </c>
      <c r="I116" s="15">
        <v>25</v>
      </c>
      <c r="J116" s="15" t="s">
        <v>84</v>
      </c>
      <c r="K116" s="15" t="s">
        <v>84</v>
      </c>
      <c r="L116" s="15" t="s">
        <v>84</v>
      </c>
      <c r="M116" s="15" t="s">
        <v>84</v>
      </c>
    </row>
    <row r="117" spans="1:13" ht="30" x14ac:dyDescent="0.25">
      <c r="A117" s="15" t="s">
        <v>86</v>
      </c>
      <c r="B117" s="15">
        <v>170</v>
      </c>
      <c r="C117" s="15">
        <v>50</v>
      </c>
      <c r="D117" s="15">
        <v>22</v>
      </c>
      <c r="E117" s="15">
        <v>4</v>
      </c>
      <c r="F117" s="15">
        <v>170</v>
      </c>
      <c r="G117" s="15">
        <v>50</v>
      </c>
      <c r="H117" s="15">
        <v>22</v>
      </c>
      <c r="I117" s="15">
        <v>4</v>
      </c>
      <c r="J117" s="15" t="s">
        <v>84</v>
      </c>
      <c r="K117" s="15" t="s">
        <v>84</v>
      </c>
      <c r="L117" s="15" t="s">
        <v>84</v>
      </c>
      <c r="M117" s="15" t="s">
        <v>84</v>
      </c>
    </row>
    <row r="118" spans="1:13" ht="45" x14ac:dyDescent="0.25">
      <c r="A118" s="15" t="s">
        <v>87</v>
      </c>
      <c r="B118" s="15">
        <v>52</v>
      </c>
      <c r="C118" s="15">
        <v>14</v>
      </c>
      <c r="D118" s="15">
        <v>17</v>
      </c>
      <c r="E118" s="15">
        <v>5</v>
      </c>
      <c r="F118" s="15">
        <v>52</v>
      </c>
      <c r="G118" s="15">
        <v>14</v>
      </c>
      <c r="H118" s="15">
        <v>17</v>
      </c>
      <c r="I118" s="15">
        <v>5</v>
      </c>
      <c r="J118" s="15" t="s">
        <v>84</v>
      </c>
      <c r="K118" s="15" t="s">
        <v>84</v>
      </c>
      <c r="L118" s="15" t="s">
        <v>84</v>
      </c>
      <c r="M118" s="15" t="s">
        <v>84</v>
      </c>
    </row>
    <row r="119" spans="1:13" ht="45" x14ac:dyDescent="0.25">
      <c r="A119" s="15" t="s">
        <v>153</v>
      </c>
      <c r="B119" s="15">
        <v>4</v>
      </c>
      <c r="C119" s="15">
        <v>2</v>
      </c>
      <c r="D119" s="15" t="s">
        <v>84</v>
      </c>
      <c r="E119" s="15" t="s">
        <v>84</v>
      </c>
      <c r="F119" s="15">
        <v>4</v>
      </c>
      <c r="G119" s="15">
        <v>2</v>
      </c>
      <c r="H119" s="15" t="s">
        <v>84</v>
      </c>
      <c r="I119" s="15" t="s">
        <v>84</v>
      </c>
      <c r="J119" s="15" t="s">
        <v>84</v>
      </c>
      <c r="K119" s="15" t="s">
        <v>84</v>
      </c>
      <c r="L119" s="15" t="s">
        <v>84</v>
      </c>
      <c r="M119" s="15" t="s">
        <v>84</v>
      </c>
    </row>
    <row r="120" spans="1:13" ht="60" x14ac:dyDescent="0.25">
      <c r="A120" s="15" t="s">
        <v>154</v>
      </c>
      <c r="B120" s="15">
        <v>12</v>
      </c>
      <c r="C120" s="15" t="s">
        <v>84</v>
      </c>
      <c r="D120" s="15">
        <v>2</v>
      </c>
      <c r="E120" s="15" t="s">
        <v>84</v>
      </c>
      <c r="F120" s="15">
        <v>12</v>
      </c>
      <c r="G120" s="15" t="s">
        <v>84</v>
      </c>
      <c r="H120" s="15">
        <v>2</v>
      </c>
      <c r="I120" s="15" t="s">
        <v>84</v>
      </c>
      <c r="J120" s="15" t="s">
        <v>84</v>
      </c>
      <c r="K120" s="15" t="s">
        <v>84</v>
      </c>
      <c r="L120" s="15" t="s">
        <v>84</v>
      </c>
      <c r="M120" s="15" t="s">
        <v>84</v>
      </c>
    </row>
    <row r="121" spans="1:13" ht="15" customHeight="1" x14ac:dyDescent="0.25">
      <c r="A121" s="207" t="s">
        <v>97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9"/>
    </row>
    <row r="122" spans="1:13" x14ac:dyDescent="0.25">
      <c r="A122" s="207"/>
      <c r="B122" s="208"/>
      <c r="C122" s="208"/>
      <c r="D122" s="208"/>
      <c r="E122" s="208"/>
      <c r="F122" s="208"/>
      <c r="G122" s="208"/>
      <c r="H122" s="208"/>
      <c r="I122" s="208"/>
      <c r="J122" s="208"/>
      <c r="K122" s="208"/>
      <c r="L122" s="208"/>
      <c r="M122" s="209"/>
    </row>
    <row r="123" spans="1:13" x14ac:dyDescent="0.25">
      <c r="A123" s="15" t="s">
        <v>83</v>
      </c>
      <c r="B123" s="27">
        <v>1033</v>
      </c>
      <c r="C123" s="15">
        <v>490</v>
      </c>
      <c r="D123" s="27">
        <v>53</v>
      </c>
      <c r="E123" s="15">
        <v>25</v>
      </c>
      <c r="F123" s="15">
        <v>1018</v>
      </c>
      <c r="G123" s="15">
        <v>485</v>
      </c>
      <c r="H123" s="15">
        <v>53</v>
      </c>
      <c r="I123" s="15">
        <v>25</v>
      </c>
      <c r="J123" s="15">
        <v>15</v>
      </c>
      <c r="K123" s="15">
        <v>5</v>
      </c>
      <c r="L123" s="15" t="s">
        <v>84</v>
      </c>
      <c r="M123" s="15" t="s">
        <v>84</v>
      </c>
    </row>
    <row r="124" spans="1:13" ht="30" x14ac:dyDescent="0.25">
      <c r="A124" s="15" t="s">
        <v>151</v>
      </c>
      <c r="B124" s="15">
        <v>349</v>
      </c>
      <c r="C124" s="15">
        <v>191</v>
      </c>
      <c r="D124" s="15">
        <v>3</v>
      </c>
      <c r="E124" s="15">
        <v>1</v>
      </c>
      <c r="F124" s="15">
        <v>349</v>
      </c>
      <c r="G124" s="15">
        <v>191</v>
      </c>
      <c r="H124" s="15">
        <v>3</v>
      </c>
      <c r="I124" s="15">
        <v>1</v>
      </c>
      <c r="J124" s="15" t="s">
        <v>84</v>
      </c>
      <c r="K124" s="15" t="s">
        <v>84</v>
      </c>
      <c r="L124" s="15" t="s">
        <v>84</v>
      </c>
      <c r="M124" s="15" t="s">
        <v>84</v>
      </c>
    </row>
    <row r="125" spans="1:13" ht="60" x14ac:dyDescent="0.25">
      <c r="A125" s="15" t="s">
        <v>152</v>
      </c>
      <c r="B125" s="15">
        <v>18</v>
      </c>
      <c r="C125" s="15">
        <v>11</v>
      </c>
      <c r="D125" s="15">
        <v>1</v>
      </c>
      <c r="E125" s="15" t="s">
        <v>84</v>
      </c>
      <c r="F125" s="15">
        <v>18</v>
      </c>
      <c r="G125" s="15">
        <v>11</v>
      </c>
      <c r="H125" s="15">
        <v>1</v>
      </c>
      <c r="I125" s="15" t="s">
        <v>84</v>
      </c>
      <c r="J125" s="15" t="s">
        <v>84</v>
      </c>
      <c r="K125" s="15" t="s">
        <v>84</v>
      </c>
      <c r="L125" s="15" t="s">
        <v>84</v>
      </c>
      <c r="M125" s="15" t="s">
        <v>84</v>
      </c>
    </row>
    <row r="126" spans="1:13" ht="30" x14ac:dyDescent="0.25">
      <c r="A126" s="15" t="s">
        <v>85</v>
      </c>
      <c r="B126" s="15">
        <v>461</v>
      </c>
      <c r="C126" s="15">
        <v>222</v>
      </c>
      <c r="D126" s="15">
        <v>20</v>
      </c>
      <c r="E126" s="15">
        <v>14</v>
      </c>
      <c r="F126" s="15">
        <v>455</v>
      </c>
      <c r="G126" s="15">
        <v>221</v>
      </c>
      <c r="H126" s="15">
        <v>20</v>
      </c>
      <c r="I126" s="15">
        <v>14</v>
      </c>
      <c r="J126" s="15">
        <v>6</v>
      </c>
      <c r="K126" s="15">
        <v>1</v>
      </c>
      <c r="L126" s="15" t="s">
        <v>84</v>
      </c>
      <c r="M126" s="15" t="s">
        <v>84</v>
      </c>
    </row>
    <row r="127" spans="1:13" ht="30" x14ac:dyDescent="0.25">
      <c r="A127" s="15" t="s">
        <v>86</v>
      </c>
      <c r="B127" s="15">
        <v>148</v>
      </c>
      <c r="C127" s="15">
        <v>50</v>
      </c>
      <c r="D127" s="15">
        <v>13</v>
      </c>
      <c r="E127" s="15">
        <v>6</v>
      </c>
      <c r="F127" s="15">
        <v>144</v>
      </c>
      <c r="G127" s="15">
        <v>48</v>
      </c>
      <c r="H127" s="15">
        <v>13</v>
      </c>
      <c r="I127" s="15">
        <v>6</v>
      </c>
      <c r="J127" s="15">
        <v>4</v>
      </c>
      <c r="K127" s="15">
        <v>2</v>
      </c>
      <c r="L127" s="15" t="s">
        <v>84</v>
      </c>
      <c r="M127" s="15" t="s">
        <v>84</v>
      </c>
    </row>
    <row r="128" spans="1:13" ht="45" x14ac:dyDescent="0.25">
      <c r="A128" s="15" t="s">
        <v>87</v>
      </c>
      <c r="B128" s="15">
        <v>57</v>
      </c>
      <c r="C128" s="15">
        <v>16</v>
      </c>
      <c r="D128" s="15">
        <v>16</v>
      </c>
      <c r="E128" s="15">
        <v>4</v>
      </c>
      <c r="F128" s="15">
        <v>52</v>
      </c>
      <c r="G128" s="15">
        <v>14</v>
      </c>
      <c r="H128" s="15">
        <v>16</v>
      </c>
      <c r="I128" s="15">
        <v>4</v>
      </c>
      <c r="J128" s="15">
        <v>5</v>
      </c>
      <c r="K128" s="15">
        <v>2</v>
      </c>
      <c r="L128" s="15" t="s">
        <v>84</v>
      </c>
      <c r="M128" s="15" t="s">
        <v>84</v>
      </c>
    </row>
    <row r="129" spans="1:13" ht="45" x14ac:dyDescent="0.25">
      <c r="A129" s="15" t="s">
        <v>153</v>
      </c>
      <c r="B129" s="15">
        <v>3</v>
      </c>
      <c r="C129" s="15">
        <v>2</v>
      </c>
      <c r="D129" s="15" t="s">
        <v>84</v>
      </c>
      <c r="E129" s="15" t="s">
        <v>84</v>
      </c>
      <c r="F129" s="15">
        <v>1</v>
      </c>
      <c r="G129" s="15" t="s">
        <v>84</v>
      </c>
      <c r="H129" s="15" t="s">
        <v>84</v>
      </c>
      <c r="I129" s="15" t="s">
        <v>84</v>
      </c>
      <c r="J129" s="15">
        <v>2</v>
      </c>
      <c r="K129" s="15">
        <v>2</v>
      </c>
      <c r="L129" s="15" t="s">
        <v>84</v>
      </c>
      <c r="M129" s="15" t="s">
        <v>84</v>
      </c>
    </row>
    <row r="130" spans="1:13" ht="60" x14ac:dyDescent="0.25">
      <c r="A130" s="15" t="s">
        <v>154</v>
      </c>
      <c r="B130" s="15">
        <v>8</v>
      </c>
      <c r="C130" s="15">
        <v>2</v>
      </c>
      <c r="D130" s="15" t="s">
        <v>84</v>
      </c>
      <c r="E130" s="15" t="s">
        <v>84</v>
      </c>
      <c r="F130" s="15">
        <v>8</v>
      </c>
      <c r="G130" s="15">
        <v>2</v>
      </c>
      <c r="H130" s="15" t="s">
        <v>84</v>
      </c>
      <c r="I130" s="15" t="s">
        <v>84</v>
      </c>
      <c r="J130" s="15" t="s">
        <v>84</v>
      </c>
      <c r="K130" s="15" t="s">
        <v>84</v>
      </c>
      <c r="L130" s="15" t="s">
        <v>84</v>
      </c>
      <c r="M130" s="15" t="s">
        <v>84</v>
      </c>
    </row>
    <row r="131" spans="1:13" ht="15" customHeight="1" x14ac:dyDescent="0.25">
      <c r="A131" s="207" t="s">
        <v>98</v>
      </c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09"/>
    </row>
    <row r="132" spans="1:13" x14ac:dyDescent="0.25">
      <c r="A132" s="207"/>
      <c r="B132" s="208"/>
      <c r="C132" s="208"/>
      <c r="D132" s="208"/>
      <c r="E132" s="208"/>
      <c r="F132" s="208"/>
      <c r="G132" s="208"/>
      <c r="H132" s="208"/>
      <c r="I132" s="208"/>
      <c r="J132" s="208"/>
      <c r="K132" s="208"/>
      <c r="L132" s="208"/>
      <c r="M132" s="209"/>
    </row>
    <row r="133" spans="1:13" x14ac:dyDescent="0.25">
      <c r="A133" s="15" t="s">
        <v>83</v>
      </c>
      <c r="B133" s="27">
        <v>2968</v>
      </c>
      <c r="C133" s="15">
        <v>1453</v>
      </c>
      <c r="D133" s="27">
        <v>163</v>
      </c>
      <c r="E133" s="15">
        <v>64</v>
      </c>
      <c r="F133" s="15">
        <v>2748</v>
      </c>
      <c r="G133" s="15">
        <v>1359</v>
      </c>
      <c r="H133" s="15">
        <v>148</v>
      </c>
      <c r="I133" s="15">
        <v>63</v>
      </c>
      <c r="J133" s="15">
        <v>220</v>
      </c>
      <c r="K133" s="15">
        <v>94</v>
      </c>
      <c r="L133" s="15">
        <v>15</v>
      </c>
      <c r="M133" s="15">
        <v>1</v>
      </c>
    </row>
    <row r="134" spans="1:13" ht="30" x14ac:dyDescent="0.25">
      <c r="A134" s="15" t="s">
        <v>151</v>
      </c>
      <c r="B134" s="15">
        <v>1298</v>
      </c>
      <c r="C134" s="15">
        <v>709</v>
      </c>
      <c r="D134" s="15">
        <v>33</v>
      </c>
      <c r="E134" s="15">
        <v>18</v>
      </c>
      <c r="F134" s="15">
        <v>1237</v>
      </c>
      <c r="G134" s="15">
        <v>674</v>
      </c>
      <c r="H134" s="15">
        <v>30</v>
      </c>
      <c r="I134" s="15">
        <v>17</v>
      </c>
      <c r="J134" s="15">
        <v>61</v>
      </c>
      <c r="K134" s="15">
        <v>35</v>
      </c>
      <c r="L134" s="15">
        <v>3</v>
      </c>
      <c r="M134" s="15">
        <v>1</v>
      </c>
    </row>
    <row r="135" spans="1:13" ht="60" x14ac:dyDescent="0.25">
      <c r="A135" s="15" t="s">
        <v>152</v>
      </c>
      <c r="B135" s="15">
        <v>53</v>
      </c>
      <c r="C135" s="15">
        <v>26</v>
      </c>
      <c r="D135" s="15">
        <v>3</v>
      </c>
      <c r="E135" s="15">
        <v>1</v>
      </c>
      <c r="F135" s="15">
        <v>49</v>
      </c>
      <c r="G135" s="15">
        <v>26</v>
      </c>
      <c r="H135" s="15">
        <v>1</v>
      </c>
      <c r="I135" s="15">
        <v>1</v>
      </c>
      <c r="J135" s="15">
        <v>4</v>
      </c>
      <c r="K135" s="15" t="s">
        <v>84</v>
      </c>
      <c r="L135" s="15">
        <v>2</v>
      </c>
      <c r="M135" s="15" t="s">
        <v>84</v>
      </c>
    </row>
    <row r="136" spans="1:13" ht="30" x14ac:dyDescent="0.25">
      <c r="A136" s="15" t="s">
        <v>85</v>
      </c>
      <c r="B136" s="15">
        <v>1100</v>
      </c>
      <c r="C136" s="15">
        <v>525</v>
      </c>
      <c r="D136" s="15">
        <v>52</v>
      </c>
      <c r="E136" s="15">
        <v>26</v>
      </c>
      <c r="F136" s="15">
        <v>1000</v>
      </c>
      <c r="G136" s="15">
        <v>478</v>
      </c>
      <c r="H136" s="15">
        <v>46</v>
      </c>
      <c r="I136" s="15">
        <v>26</v>
      </c>
      <c r="J136" s="15">
        <v>100</v>
      </c>
      <c r="K136" s="15">
        <v>47</v>
      </c>
      <c r="L136" s="15">
        <v>6</v>
      </c>
      <c r="M136" s="15" t="s">
        <v>84</v>
      </c>
    </row>
    <row r="137" spans="1:13" ht="30" x14ac:dyDescent="0.25">
      <c r="A137" s="15" t="s">
        <v>86</v>
      </c>
      <c r="B137" s="15">
        <v>393</v>
      </c>
      <c r="C137" s="15">
        <v>144</v>
      </c>
      <c r="D137" s="15">
        <v>38</v>
      </c>
      <c r="E137" s="15">
        <v>10</v>
      </c>
      <c r="F137" s="15">
        <v>343</v>
      </c>
      <c r="G137" s="15">
        <v>133</v>
      </c>
      <c r="H137" s="15">
        <v>35</v>
      </c>
      <c r="I137" s="15">
        <v>10</v>
      </c>
      <c r="J137" s="15">
        <v>50</v>
      </c>
      <c r="K137" s="15">
        <v>11</v>
      </c>
      <c r="L137" s="15">
        <v>3</v>
      </c>
      <c r="M137" s="15" t="s">
        <v>84</v>
      </c>
    </row>
    <row r="138" spans="1:13" ht="45" x14ac:dyDescent="0.25">
      <c r="A138" s="15" t="s">
        <v>87</v>
      </c>
      <c r="B138" s="15">
        <v>124</v>
      </c>
      <c r="C138" s="15">
        <v>49</v>
      </c>
      <c r="D138" s="15">
        <v>37</v>
      </c>
      <c r="E138" s="15">
        <v>9</v>
      </c>
      <c r="F138" s="15">
        <v>119</v>
      </c>
      <c r="G138" s="15">
        <v>48</v>
      </c>
      <c r="H138" s="15">
        <v>36</v>
      </c>
      <c r="I138" s="15">
        <v>9</v>
      </c>
      <c r="J138" s="15">
        <v>5</v>
      </c>
      <c r="K138" s="15">
        <v>1</v>
      </c>
      <c r="L138" s="15">
        <v>1</v>
      </c>
      <c r="M138" s="15" t="s">
        <v>84</v>
      </c>
    </row>
    <row r="139" spans="1:13" ht="45" x14ac:dyDescent="0.25">
      <c r="A139" s="15" t="s">
        <v>153</v>
      </c>
      <c r="B139" s="15">
        <v>17</v>
      </c>
      <c r="C139" s="15">
        <v>6</v>
      </c>
      <c r="D139" s="15">
        <v>4</v>
      </c>
      <c r="E139" s="15" t="s">
        <v>84</v>
      </c>
      <c r="F139" s="15">
        <v>17</v>
      </c>
      <c r="G139" s="15">
        <v>6</v>
      </c>
      <c r="H139" s="15">
        <v>4</v>
      </c>
      <c r="I139" s="15" t="s">
        <v>84</v>
      </c>
      <c r="J139" s="15" t="s">
        <v>84</v>
      </c>
      <c r="K139" s="15" t="s">
        <v>84</v>
      </c>
      <c r="L139" s="15" t="s">
        <v>84</v>
      </c>
      <c r="M139" s="15" t="s">
        <v>84</v>
      </c>
    </row>
    <row r="140" spans="1:13" ht="60" x14ac:dyDescent="0.25">
      <c r="A140" s="15" t="s">
        <v>154</v>
      </c>
      <c r="B140" s="15">
        <v>28</v>
      </c>
      <c r="C140" s="15">
        <v>16</v>
      </c>
      <c r="D140" s="15">
        <v>2</v>
      </c>
      <c r="E140" s="15" t="s">
        <v>84</v>
      </c>
      <c r="F140" s="15">
        <v>28</v>
      </c>
      <c r="G140" s="15">
        <v>16</v>
      </c>
      <c r="H140" s="15">
        <v>2</v>
      </c>
      <c r="I140" s="15" t="s">
        <v>84</v>
      </c>
      <c r="J140" s="15" t="s">
        <v>84</v>
      </c>
      <c r="K140" s="15" t="s">
        <v>84</v>
      </c>
      <c r="L140" s="15" t="s">
        <v>84</v>
      </c>
      <c r="M140" s="15" t="s">
        <v>84</v>
      </c>
    </row>
    <row r="141" spans="1:13" ht="15" customHeight="1" x14ac:dyDescent="0.25">
      <c r="A141" s="207" t="s">
        <v>99</v>
      </c>
      <c r="B141" s="208"/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M141" s="209"/>
    </row>
    <row r="142" spans="1:13" x14ac:dyDescent="0.25">
      <c r="A142" s="207"/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M142" s="209"/>
    </row>
    <row r="143" spans="1:13" x14ac:dyDescent="0.25">
      <c r="A143" s="15" t="s">
        <v>83</v>
      </c>
      <c r="B143" s="27">
        <v>21028</v>
      </c>
      <c r="C143" s="15">
        <v>10027</v>
      </c>
      <c r="D143" s="27">
        <v>2092</v>
      </c>
      <c r="E143" s="15">
        <v>929</v>
      </c>
      <c r="F143" s="15">
        <v>19392</v>
      </c>
      <c r="G143" s="15">
        <v>9276</v>
      </c>
      <c r="H143" s="15">
        <v>1988</v>
      </c>
      <c r="I143" s="15">
        <v>888</v>
      </c>
      <c r="J143" s="15">
        <v>1636</v>
      </c>
      <c r="K143" s="15">
        <v>751</v>
      </c>
      <c r="L143" s="15">
        <v>104</v>
      </c>
      <c r="M143" s="15">
        <v>41</v>
      </c>
    </row>
    <row r="144" spans="1:13" ht="30" x14ac:dyDescent="0.25">
      <c r="A144" s="15" t="s">
        <v>151</v>
      </c>
      <c r="B144" s="15">
        <v>7678</v>
      </c>
      <c r="C144" s="15">
        <v>4204</v>
      </c>
      <c r="D144" s="15">
        <v>340</v>
      </c>
      <c r="E144" s="15">
        <v>177</v>
      </c>
      <c r="F144" s="15">
        <v>6980</v>
      </c>
      <c r="G144" s="15">
        <v>3819</v>
      </c>
      <c r="H144" s="15">
        <v>319</v>
      </c>
      <c r="I144" s="15">
        <v>167</v>
      </c>
      <c r="J144" s="15">
        <v>698</v>
      </c>
      <c r="K144" s="15">
        <v>385</v>
      </c>
      <c r="L144" s="15">
        <v>21</v>
      </c>
      <c r="M144" s="15">
        <v>10</v>
      </c>
    </row>
    <row r="145" spans="1:13" ht="60" x14ac:dyDescent="0.25">
      <c r="A145" s="15" t="s">
        <v>152</v>
      </c>
      <c r="B145" s="15">
        <v>696</v>
      </c>
      <c r="C145" s="15">
        <v>320</v>
      </c>
      <c r="D145" s="15">
        <v>94</v>
      </c>
      <c r="E145" s="15">
        <v>53</v>
      </c>
      <c r="F145" s="15">
        <v>639</v>
      </c>
      <c r="G145" s="15">
        <v>298</v>
      </c>
      <c r="H145" s="15">
        <v>89</v>
      </c>
      <c r="I145" s="15">
        <v>52</v>
      </c>
      <c r="J145" s="15">
        <v>57</v>
      </c>
      <c r="K145" s="15">
        <v>22</v>
      </c>
      <c r="L145" s="15">
        <v>5</v>
      </c>
      <c r="M145" s="15">
        <v>1</v>
      </c>
    </row>
    <row r="146" spans="1:13" ht="30" x14ac:dyDescent="0.25">
      <c r="A146" s="15" t="s">
        <v>85</v>
      </c>
      <c r="B146" s="15">
        <v>8805</v>
      </c>
      <c r="C146" s="15">
        <v>4038</v>
      </c>
      <c r="D146" s="15">
        <v>814</v>
      </c>
      <c r="E146" s="15">
        <v>404</v>
      </c>
      <c r="F146" s="15">
        <v>8171</v>
      </c>
      <c r="G146" s="15">
        <v>3762</v>
      </c>
      <c r="H146" s="15">
        <v>771</v>
      </c>
      <c r="I146" s="15">
        <v>381</v>
      </c>
      <c r="J146" s="15">
        <v>634</v>
      </c>
      <c r="K146" s="15">
        <v>276</v>
      </c>
      <c r="L146" s="15">
        <v>43</v>
      </c>
      <c r="M146" s="15">
        <v>23</v>
      </c>
    </row>
    <row r="147" spans="1:13" ht="30" x14ac:dyDescent="0.25">
      <c r="A147" s="15" t="s">
        <v>86</v>
      </c>
      <c r="B147" s="15">
        <v>2742</v>
      </c>
      <c r="C147" s="15">
        <v>1049</v>
      </c>
      <c r="D147" s="15">
        <v>476</v>
      </c>
      <c r="E147" s="15">
        <v>167</v>
      </c>
      <c r="F147" s="15">
        <v>2596</v>
      </c>
      <c r="G147" s="15">
        <v>1012</v>
      </c>
      <c r="H147" s="15">
        <v>458</v>
      </c>
      <c r="I147" s="15">
        <v>166</v>
      </c>
      <c r="J147" s="15">
        <v>146</v>
      </c>
      <c r="K147" s="15">
        <v>37</v>
      </c>
      <c r="L147" s="15">
        <v>18</v>
      </c>
      <c r="M147" s="15">
        <v>1</v>
      </c>
    </row>
    <row r="148" spans="1:13" ht="45" x14ac:dyDescent="0.25">
      <c r="A148" s="15" t="s">
        <v>87</v>
      </c>
      <c r="B148" s="15">
        <v>1107</v>
      </c>
      <c r="C148" s="15">
        <v>416</v>
      </c>
      <c r="D148" s="15">
        <v>368</v>
      </c>
      <c r="E148" s="15">
        <v>128</v>
      </c>
      <c r="F148" s="15">
        <v>1006</v>
      </c>
      <c r="G148" s="15">
        <v>385</v>
      </c>
      <c r="H148" s="15">
        <v>351</v>
      </c>
      <c r="I148" s="15">
        <v>122</v>
      </c>
      <c r="J148" s="15">
        <v>101</v>
      </c>
      <c r="K148" s="15">
        <v>31</v>
      </c>
      <c r="L148" s="15">
        <v>17</v>
      </c>
      <c r="M148" s="15">
        <v>6</v>
      </c>
    </row>
    <row r="149" spans="1:13" ht="45" x14ac:dyDescent="0.25">
      <c r="A149" s="15" t="s">
        <v>153</v>
      </c>
      <c r="B149" s="15">
        <v>120</v>
      </c>
      <c r="C149" s="15">
        <v>45</v>
      </c>
      <c r="D149" s="15">
        <v>14</v>
      </c>
      <c r="E149" s="15">
        <v>6</v>
      </c>
      <c r="F149" s="15">
        <v>107</v>
      </c>
      <c r="G149" s="15">
        <v>41</v>
      </c>
      <c r="H149" s="15">
        <v>14</v>
      </c>
      <c r="I149" s="15">
        <v>6</v>
      </c>
      <c r="J149" s="15">
        <v>13</v>
      </c>
      <c r="K149" s="15">
        <v>4</v>
      </c>
      <c r="L149" s="15" t="s">
        <v>84</v>
      </c>
      <c r="M149" s="15" t="s">
        <v>84</v>
      </c>
    </row>
    <row r="150" spans="1:13" ht="60" x14ac:dyDescent="0.25">
      <c r="A150" s="15" t="s">
        <v>154</v>
      </c>
      <c r="B150" s="15">
        <v>200</v>
      </c>
      <c r="C150" s="15">
        <v>73</v>
      </c>
      <c r="D150" s="15">
        <v>45</v>
      </c>
      <c r="E150" s="15">
        <v>13</v>
      </c>
      <c r="F150" s="15">
        <v>164</v>
      </c>
      <c r="G150" s="15">
        <v>61</v>
      </c>
      <c r="H150" s="15">
        <v>33</v>
      </c>
      <c r="I150" s="15">
        <v>8</v>
      </c>
      <c r="J150" s="15">
        <v>36</v>
      </c>
      <c r="K150" s="15">
        <v>12</v>
      </c>
      <c r="L150" s="15">
        <v>12</v>
      </c>
      <c r="M150" s="15">
        <v>5</v>
      </c>
    </row>
    <row r="151" spans="1:13" ht="15" customHeight="1" x14ac:dyDescent="0.25">
      <c r="A151" s="207" t="s">
        <v>100</v>
      </c>
      <c r="B151" s="208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M151" s="209"/>
    </row>
    <row r="152" spans="1:13" x14ac:dyDescent="0.25">
      <c r="A152" s="207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M152" s="209"/>
    </row>
    <row r="153" spans="1:13" x14ac:dyDescent="0.25">
      <c r="A153" s="15" t="s">
        <v>83</v>
      </c>
      <c r="B153" s="27">
        <v>10873</v>
      </c>
      <c r="C153" s="15">
        <v>5172</v>
      </c>
      <c r="D153" s="27">
        <v>1401</v>
      </c>
      <c r="E153" s="15">
        <v>634</v>
      </c>
      <c r="F153" s="15">
        <v>10228</v>
      </c>
      <c r="G153" s="15">
        <v>4905</v>
      </c>
      <c r="H153" s="15">
        <v>1335</v>
      </c>
      <c r="I153" s="15">
        <v>610</v>
      </c>
      <c r="J153" s="15">
        <v>645</v>
      </c>
      <c r="K153" s="15">
        <v>267</v>
      </c>
      <c r="L153" s="15">
        <v>66</v>
      </c>
      <c r="M153" s="15">
        <v>24</v>
      </c>
    </row>
    <row r="154" spans="1:13" ht="30" x14ac:dyDescent="0.25">
      <c r="A154" s="15" t="s">
        <v>151</v>
      </c>
      <c r="B154" s="15">
        <v>4381</v>
      </c>
      <c r="C154" s="15">
        <v>2368</v>
      </c>
      <c r="D154" s="15">
        <v>250</v>
      </c>
      <c r="E154" s="15">
        <v>130</v>
      </c>
      <c r="F154" s="15">
        <v>4170</v>
      </c>
      <c r="G154" s="15">
        <v>2252</v>
      </c>
      <c r="H154" s="15">
        <v>243</v>
      </c>
      <c r="I154" s="15">
        <v>127</v>
      </c>
      <c r="J154" s="15">
        <v>211</v>
      </c>
      <c r="K154" s="15">
        <v>116</v>
      </c>
      <c r="L154" s="15">
        <v>7</v>
      </c>
      <c r="M154" s="15">
        <v>3</v>
      </c>
    </row>
    <row r="155" spans="1:13" ht="60" x14ac:dyDescent="0.25">
      <c r="A155" s="15" t="s">
        <v>152</v>
      </c>
      <c r="B155" s="15">
        <v>442</v>
      </c>
      <c r="C155" s="15">
        <v>195</v>
      </c>
      <c r="D155" s="15">
        <v>74</v>
      </c>
      <c r="E155" s="15">
        <v>41</v>
      </c>
      <c r="F155" s="15">
        <v>426</v>
      </c>
      <c r="G155" s="15">
        <v>191</v>
      </c>
      <c r="H155" s="15">
        <v>70</v>
      </c>
      <c r="I155" s="15">
        <v>41</v>
      </c>
      <c r="J155" s="15">
        <v>16</v>
      </c>
      <c r="K155" s="15">
        <v>4</v>
      </c>
      <c r="L155" s="15">
        <v>4</v>
      </c>
      <c r="M155" s="15" t="s">
        <v>84</v>
      </c>
    </row>
    <row r="156" spans="1:13" ht="30" x14ac:dyDescent="0.25">
      <c r="A156" s="15" t="s">
        <v>85</v>
      </c>
      <c r="B156" s="15">
        <v>4188</v>
      </c>
      <c r="C156" s="15">
        <v>1906</v>
      </c>
      <c r="D156" s="15">
        <v>565</v>
      </c>
      <c r="E156" s="15">
        <v>293</v>
      </c>
      <c r="F156" s="15">
        <v>3886</v>
      </c>
      <c r="G156" s="15">
        <v>1785</v>
      </c>
      <c r="H156" s="15">
        <v>529</v>
      </c>
      <c r="I156" s="15">
        <v>275</v>
      </c>
      <c r="J156" s="15">
        <v>302</v>
      </c>
      <c r="K156" s="15">
        <v>121</v>
      </c>
      <c r="L156" s="15">
        <v>36</v>
      </c>
      <c r="M156" s="15">
        <v>18</v>
      </c>
    </row>
    <row r="157" spans="1:13" ht="30" x14ac:dyDescent="0.25">
      <c r="A157" s="15" t="s">
        <v>86</v>
      </c>
      <c r="B157" s="15">
        <v>1291</v>
      </c>
      <c r="C157" s="15">
        <v>489</v>
      </c>
      <c r="D157" s="15">
        <v>301</v>
      </c>
      <c r="E157" s="15">
        <v>98</v>
      </c>
      <c r="F157" s="15">
        <v>1217</v>
      </c>
      <c r="G157" s="15">
        <v>473</v>
      </c>
      <c r="H157" s="15">
        <v>289</v>
      </c>
      <c r="I157" s="15">
        <v>97</v>
      </c>
      <c r="J157" s="15">
        <v>74</v>
      </c>
      <c r="K157" s="15">
        <v>16</v>
      </c>
      <c r="L157" s="15">
        <v>12</v>
      </c>
      <c r="M157" s="15">
        <v>1</v>
      </c>
    </row>
    <row r="158" spans="1:13" ht="45" x14ac:dyDescent="0.25">
      <c r="A158" s="15" t="s">
        <v>87</v>
      </c>
      <c r="B158" s="15">
        <v>571</v>
      </c>
      <c r="C158" s="15">
        <v>214</v>
      </c>
      <c r="D158" s="15">
        <v>211</v>
      </c>
      <c r="E158" s="15">
        <v>72</v>
      </c>
      <c r="F158" s="15">
        <v>529</v>
      </c>
      <c r="G158" s="15">
        <v>204</v>
      </c>
      <c r="H158" s="15">
        <v>204</v>
      </c>
      <c r="I158" s="15">
        <v>70</v>
      </c>
      <c r="J158" s="15">
        <v>42</v>
      </c>
      <c r="K158" s="15">
        <v>10</v>
      </c>
      <c r="L158" s="15">
        <v>7</v>
      </c>
      <c r="M158" s="15">
        <v>2</v>
      </c>
    </row>
    <row r="159" spans="1:13" ht="45" x14ac:dyDescent="0.25">
      <c r="A159" s="15" t="s">
        <v>153</v>
      </c>
      <c r="B159" s="15">
        <v>43</v>
      </c>
      <c r="C159" s="15">
        <v>17</v>
      </c>
      <c r="D159" s="15">
        <v>10</v>
      </c>
      <c r="E159" s="15">
        <v>6</v>
      </c>
      <c r="F159" s="15">
        <v>36</v>
      </c>
      <c r="G159" s="15">
        <v>14</v>
      </c>
      <c r="H159" s="15">
        <v>10</v>
      </c>
      <c r="I159" s="15">
        <v>6</v>
      </c>
      <c r="J159" s="15">
        <v>7</v>
      </c>
      <c r="K159" s="15">
        <v>3</v>
      </c>
      <c r="L159" s="15" t="s">
        <v>84</v>
      </c>
      <c r="M159" s="15" t="s">
        <v>84</v>
      </c>
    </row>
    <row r="160" spans="1:13" ht="60" x14ac:dyDescent="0.25">
      <c r="A160" s="15" t="s">
        <v>154</v>
      </c>
      <c r="B160" s="15">
        <v>101</v>
      </c>
      <c r="C160" s="15">
        <v>36</v>
      </c>
      <c r="D160" s="15">
        <v>28</v>
      </c>
      <c r="E160" s="15">
        <v>7</v>
      </c>
      <c r="F160" s="15">
        <v>95</v>
      </c>
      <c r="G160" s="15">
        <v>35</v>
      </c>
      <c r="H160" s="15">
        <v>25</v>
      </c>
      <c r="I160" s="15">
        <v>6</v>
      </c>
      <c r="J160" s="15">
        <v>6</v>
      </c>
      <c r="K160" s="15">
        <v>1</v>
      </c>
      <c r="L160" s="15">
        <v>3</v>
      </c>
      <c r="M160" s="15">
        <v>1</v>
      </c>
    </row>
    <row r="161" spans="1:13" ht="15" customHeight="1" x14ac:dyDescent="0.25">
      <c r="A161" s="207" t="s">
        <v>101</v>
      </c>
      <c r="B161" s="208"/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M161" s="209"/>
    </row>
    <row r="162" spans="1:13" x14ac:dyDescent="0.25">
      <c r="A162" s="207"/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M162" s="209"/>
    </row>
    <row r="163" spans="1:13" x14ac:dyDescent="0.25">
      <c r="A163" s="15" t="s">
        <v>83</v>
      </c>
      <c r="B163" s="27">
        <v>4860</v>
      </c>
      <c r="C163" s="15">
        <v>2299</v>
      </c>
      <c r="D163" s="27">
        <v>823</v>
      </c>
      <c r="E163" s="15">
        <v>371</v>
      </c>
      <c r="F163" s="15">
        <v>4328</v>
      </c>
      <c r="G163" s="15">
        <v>2062</v>
      </c>
      <c r="H163" s="15">
        <v>764</v>
      </c>
      <c r="I163" s="15">
        <v>347</v>
      </c>
      <c r="J163" s="15">
        <v>532</v>
      </c>
      <c r="K163" s="15">
        <v>237</v>
      </c>
      <c r="L163" s="15">
        <v>59</v>
      </c>
      <c r="M163" s="15">
        <v>24</v>
      </c>
    </row>
    <row r="164" spans="1:13" ht="30" x14ac:dyDescent="0.25">
      <c r="A164" s="15" t="s">
        <v>151</v>
      </c>
      <c r="B164" s="15">
        <v>2152</v>
      </c>
      <c r="C164" s="15">
        <v>1143</v>
      </c>
      <c r="D164" s="15">
        <v>187</v>
      </c>
      <c r="E164" s="15">
        <v>96</v>
      </c>
      <c r="F164" s="15">
        <v>1941</v>
      </c>
      <c r="G164" s="15">
        <v>1027</v>
      </c>
      <c r="H164" s="15">
        <v>180</v>
      </c>
      <c r="I164" s="15">
        <v>93</v>
      </c>
      <c r="J164" s="15">
        <v>211</v>
      </c>
      <c r="K164" s="15">
        <v>116</v>
      </c>
      <c r="L164" s="15">
        <v>7</v>
      </c>
      <c r="M164" s="15">
        <v>3</v>
      </c>
    </row>
    <row r="165" spans="1:13" ht="60" x14ac:dyDescent="0.25">
      <c r="A165" s="15" t="s">
        <v>152</v>
      </c>
      <c r="B165" s="15">
        <v>267</v>
      </c>
      <c r="C165" s="15">
        <v>118</v>
      </c>
      <c r="D165" s="15">
        <v>59</v>
      </c>
      <c r="E165" s="15">
        <v>33</v>
      </c>
      <c r="F165" s="15">
        <v>251</v>
      </c>
      <c r="G165" s="15">
        <v>114</v>
      </c>
      <c r="H165" s="15">
        <v>55</v>
      </c>
      <c r="I165" s="15">
        <v>33</v>
      </c>
      <c r="J165" s="15">
        <v>16</v>
      </c>
      <c r="K165" s="15">
        <v>4</v>
      </c>
      <c r="L165" s="15">
        <v>4</v>
      </c>
      <c r="M165" s="15" t="s">
        <v>84</v>
      </c>
    </row>
    <row r="166" spans="1:13" ht="30" x14ac:dyDescent="0.25">
      <c r="A166" s="15" t="s">
        <v>85</v>
      </c>
      <c r="B166" s="15">
        <v>1528</v>
      </c>
      <c r="C166" s="15">
        <v>693</v>
      </c>
      <c r="D166" s="15">
        <v>287</v>
      </c>
      <c r="E166" s="15">
        <v>150</v>
      </c>
      <c r="F166" s="15">
        <v>1308</v>
      </c>
      <c r="G166" s="15">
        <v>598</v>
      </c>
      <c r="H166" s="15">
        <v>254</v>
      </c>
      <c r="I166" s="15">
        <v>132</v>
      </c>
      <c r="J166" s="15">
        <v>220</v>
      </c>
      <c r="K166" s="15">
        <v>95</v>
      </c>
      <c r="L166" s="15">
        <v>33</v>
      </c>
      <c r="M166" s="15">
        <v>18</v>
      </c>
    </row>
    <row r="167" spans="1:13" ht="30" x14ac:dyDescent="0.25">
      <c r="A167" s="15" t="s">
        <v>86</v>
      </c>
      <c r="B167" s="15">
        <v>610</v>
      </c>
      <c r="C167" s="15">
        <v>229</v>
      </c>
      <c r="D167" s="15">
        <v>161</v>
      </c>
      <c r="E167" s="15">
        <v>50</v>
      </c>
      <c r="F167" s="15">
        <v>561</v>
      </c>
      <c r="G167" s="15">
        <v>216</v>
      </c>
      <c r="H167" s="15">
        <v>152</v>
      </c>
      <c r="I167" s="15">
        <v>49</v>
      </c>
      <c r="J167" s="15">
        <v>49</v>
      </c>
      <c r="K167" s="15">
        <v>13</v>
      </c>
      <c r="L167" s="15">
        <v>9</v>
      </c>
      <c r="M167" s="15">
        <v>1</v>
      </c>
    </row>
    <row r="168" spans="1:13" ht="45" x14ac:dyDescent="0.25">
      <c r="A168" s="15" t="s">
        <v>87</v>
      </c>
      <c r="B168" s="15">
        <v>303</v>
      </c>
      <c r="C168" s="15">
        <v>116</v>
      </c>
      <c r="D168" s="15">
        <v>129</v>
      </c>
      <c r="E168" s="15">
        <v>42</v>
      </c>
      <c r="F168" s="15">
        <v>267</v>
      </c>
      <c r="G168" s="15">
        <v>107</v>
      </c>
      <c r="H168" s="15">
        <v>123</v>
      </c>
      <c r="I168" s="15">
        <v>40</v>
      </c>
      <c r="J168" s="15">
        <v>36</v>
      </c>
      <c r="K168" s="15">
        <v>9</v>
      </c>
      <c r="L168" s="15">
        <v>6</v>
      </c>
      <c r="M168" s="15">
        <v>2</v>
      </c>
    </row>
    <row r="169" spans="1:13" ht="45" x14ac:dyDescent="0.25">
      <c r="A169" s="15" t="s">
        <v>153</v>
      </c>
      <c r="B169" s="15">
        <v>23</v>
      </c>
      <c r="C169" s="15">
        <v>10</v>
      </c>
      <c r="D169" s="15">
        <v>2</v>
      </c>
      <c r="E169" s="15">
        <v>2</v>
      </c>
      <c r="F169" s="15">
        <v>17</v>
      </c>
      <c r="G169" s="15">
        <v>7</v>
      </c>
      <c r="H169" s="15">
        <v>2</v>
      </c>
      <c r="I169" s="15">
        <v>2</v>
      </c>
      <c r="J169" s="15">
        <v>6</v>
      </c>
      <c r="K169" s="15">
        <v>3</v>
      </c>
      <c r="L169" s="15" t="s">
        <v>84</v>
      </c>
      <c r="M169" s="15" t="s">
        <v>84</v>
      </c>
    </row>
    <row r="170" spans="1:13" ht="60" x14ac:dyDescent="0.25">
      <c r="A170" s="15" t="s">
        <v>154</v>
      </c>
      <c r="B170" s="15">
        <v>38</v>
      </c>
      <c r="C170" s="15">
        <v>10</v>
      </c>
      <c r="D170" s="15">
        <v>22</v>
      </c>
      <c r="E170" s="15">
        <v>4</v>
      </c>
      <c r="F170" s="15">
        <v>36</v>
      </c>
      <c r="G170" s="15">
        <v>9</v>
      </c>
      <c r="H170" s="15">
        <v>20</v>
      </c>
      <c r="I170" s="15">
        <v>3</v>
      </c>
      <c r="J170" s="15">
        <v>2</v>
      </c>
      <c r="K170" s="15">
        <v>1</v>
      </c>
      <c r="L170" s="15">
        <v>2</v>
      </c>
      <c r="M170" s="15">
        <v>1</v>
      </c>
    </row>
    <row r="171" spans="1:13" ht="15" customHeight="1" x14ac:dyDescent="0.25">
      <c r="A171" s="207" t="s">
        <v>102</v>
      </c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M171" s="209"/>
    </row>
    <row r="172" spans="1:13" x14ac:dyDescent="0.25">
      <c r="A172" s="207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M172" s="209"/>
    </row>
    <row r="173" spans="1:13" x14ac:dyDescent="0.25">
      <c r="A173" s="15" t="s">
        <v>83</v>
      </c>
      <c r="B173" s="27">
        <v>2378</v>
      </c>
      <c r="C173" s="15">
        <v>1138</v>
      </c>
      <c r="D173" s="27">
        <v>136</v>
      </c>
      <c r="E173" s="15">
        <v>54</v>
      </c>
      <c r="F173" s="15">
        <v>2215</v>
      </c>
      <c r="G173" s="15">
        <v>1066</v>
      </c>
      <c r="H173" s="15">
        <v>135</v>
      </c>
      <c r="I173" s="15">
        <v>53</v>
      </c>
      <c r="J173" s="15">
        <v>163</v>
      </c>
      <c r="K173" s="15">
        <v>72</v>
      </c>
      <c r="L173" s="15">
        <v>1</v>
      </c>
      <c r="M173" s="15">
        <v>1</v>
      </c>
    </row>
    <row r="174" spans="1:13" ht="30" x14ac:dyDescent="0.25">
      <c r="A174" s="15" t="s">
        <v>151</v>
      </c>
      <c r="B174" s="15">
        <v>748</v>
      </c>
      <c r="C174" s="15">
        <v>418</v>
      </c>
      <c r="D174" s="15">
        <v>20</v>
      </c>
      <c r="E174" s="15">
        <v>8</v>
      </c>
      <c r="F174" s="15">
        <v>649</v>
      </c>
      <c r="G174" s="15">
        <v>367</v>
      </c>
      <c r="H174" s="15">
        <v>19</v>
      </c>
      <c r="I174" s="15">
        <v>7</v>
      </c>
      <c r="J174" s="15">
        <v>99</v>
      </c>
      <c r="K174" s="15">
        <v>51</v>
      </c>
      <c r="L174" s="15">
        <v>1</v>
      </c>
      <c r="M174" s="15">
        <v>1</v>
      </c>
    </row>
    <row r="175" spans="1:13" ht="60" x14ac:dyDescent="0.25">
      <c r="A175" s="15" t="s">
        <v>152</v>
      </c>
      <c r="B175" s="15">
        <v>51</v>
      </c>
      <c r="C175" s="15">
        <v>21</v>
      </c>
      <c r="D175" s="15">
        <v>2</v>
      </c>
      <c r="E175" s="15">
        <v>2</v>
      </c>
      <c r="F175" s="15">
        <v>45</v>
      </c>
      <c r="G175" s="15">
        <v>19</v>
      </c>
      <c r="H175" s="15">
        <v>2</v>
      </c>
      <c r="I175" s="15">
        <v>2</v>
      </c>
      <c r="J175" s="15">
        <v>6</v>
      </c>
      <c r="K175" s="15">
        <v>2</v>
      </c>
      <c r="L175" s="15" t="s">
        <v>84</v>
      </c>
      <c r="M175" s="15" t="s">
        <v>84</v>
      </c>
    </row>
    <row r="176" spans="1:13" ht="30" x14ac:dyDescent="0.25">
      <c r="A176" s="15" t="s">
        <v>85</v>
      </c>
      <c r="B176" s="15">
        <v>1218</v>
      </c>
      <c r="C176" s="15">
        <v>574</v>
      </c>
      <c r="D176" s="15">
        <v>54</v>
      </c>
      <c r="E176" s="15">
        <v>23</v>
      </c>
      <c r="F176" s="15">
        <v>1180</v>
      </c>
      <c r="G176" s="15">
        <v>558</v>
      </c>
      <c r="H176" s="15">
        <v>54</v>
      </c>
      <c r="I176" s="15">
        <v>23</v>
      </c>
      <c r="J176" s="15">
        <v>38</v>
      </c>
      <c r="K176" s="15">
        <v>16</v>
      </c>
      <c r="L176" s="15" t="s">
        <v>84</v>
      </c>
      <c r="M176" s="15" t="s">
        <v>84</v>
      </c>
    </row>
    <row r="177" spans="1:13" ht="30" x14ac:dyDescent="0.25">
      <c r="A177" s="15" t="s">
        <v>86</v>
      </c>
      <c r="B177" s="15">
        <v>264</v>
      </c>
      <c r="C177" s="15">
        <v>92</v>
      </c>
      <c r="D177" s="15">
        <v>29</v>
      </c>
      <c r="E177" s="15">
        <v>9</v>
      </c>
      <c r="F177" s="15">
        <v>251</v>
      </c>
      <c r="G177" s="15">
        <v>91</v>
      </c>
      <c r="H177" s="15">
        <v>29</v>
      </c>
      <c r="I177" s="15">
        <v>9</v>
      </c>
      <c r="J177" s="15">
        <v>13</v>
      </c>
      <c r="K177" s="15">
        <v>1</v>
      </c>
      <c r="L177" s="15" t="s">
        <v>84</v>
      </c>
      <c r="M177" s="15" t="s">
        <v>84</v>
      </c>
    </row>
    <row r="178" spans="1:13" ht="45" x14ac:dyDescent="0.25">
      <c r="A178" s="15" t="s">
        <v>87</v>
      </c>
      <c r="B178" s="15">
        <v>97</v>
      </c>
      <c r="C178" s="15">
        <v>33</v>
      </c>
      <c r="D178" s="15">
        <v>31</v>
      </c>
      <c r="E178" s="15">
        <v>12</v>
      </c>
      <c r="F178" s="15">
        <v>90</v>
      </c>
      <c r="G178" s="15">
        <v>31</v>
      </c>
      <c r="H178" s="15">
        <v>31</v>
      </c>
      <c r="I178" s="15">
        <v>12</v>
      </c>
      <c r="J178" s="15">
        <v>7</v>
      </c>
      <c r="K178" s="15">
        <v>2</v>
      </c>
      <c r="L178" s="15" t="s">
        <v>84</v>
      </c>
      <c r="M178" s="15" t="s">
        <v>84</v>
      </c>
    </row>
    <row r="179" spans="1:13" ht="45" x14ac:dyDescent="0.25">
      <c r="A179" s="15" t="s">
        <v>153</v>
      </c>
      <c r="B179" s="15">
        <v>14</v>
      </c>
      <c r="C179" s="15">
        <v>5</v>
      </c>
      <c r="D179" s="15" t="s">
        <v>84</v>
      </c>
      <c r="E179" s="15" t="s">
        <v>84</v>
      </c>
      <c r="F179" s="15">
        <v>12</v>
      </c>
      <c r="G179" s="15">
        <v>5</v>
      </c>
      <c r="H179" s="15" t="s">
        <v>84</v>
      </c>
      <c r="I179" s="15" t="s">
        <v>84</v>
      </c>
      <c r="J179" s="15">
        <v>2</v>
      </c>
      <c r="K179" s="15" t="s">
        <v>84</v>
      </c>
      <c r="L179" s="15" t="s">
        <v>84</v>
      </c>
      <c r="M179" s="15" t="s">
        <v>84</v>
      </c>
    </row>
    <row r="180" spans="1:13" ht="15" customHeight="1" x14ac:dyDescent="0.25">
      <c r="A180" s="207" t="s">
        <v>103</v>
      </c>
      <c r="B180" s="208"/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M180" s="209"/>
    </row>
    <row r="181" spans="1:13" x14ac:dyDescent="0.25">
      <c r="A181" s="207"/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M181" s="209"/>
    </row>
    <row r="182" spans="1:13" x14ac:dyDescent="0.25">
      <c r="A182" s="15" t="s">
        <v>83</v>
      </c>
      <c r="B182" s="27">
        <v>1513</v>
      </c>
      <c r="C182" s="15">
        <v>688</v>
      </c>
      <c r="D182" s="27">
        <v>117</v>
      </c>
      <c r="E182" s="15">
        <v>45</v>
      </c>
      <c r="F182" s="15">
        <v>1513</v>
      </c>
      <c r="G182" s="15">
        <v>688</v>
      </c>
      <c r="H182" s="15">
        <v>117</v>
      </c>
      <c r="I182" s="15">
        <v>45</v>
      </c>
      <c r="J182" s="15" t="s">
        <v>84</v>
      </c>
      <c r="K182" s="15" t="s">
        <v>84</v>
      </c>
      <c r="L182" s="15" t="s">
        <v>84</v>
      </c>
      <c r="M182" s="15" t="s">
        <v>84</v>
      </c>
    </row>
    <row r="183" spans="1:13" ht="30" x14ac:dyDescent="0.25">
      <c r="A183" s="15" t="s">
        <v>151</v>
      </c>
      <c r="B183" s="15">
        <v>459</v>
      </c>
      <c r="C183" s="15">
        <v>231</v>
      </c>
      <c r="D183" s="15">
        <v>15</v>
      </c>
      <c r="E183" s="15">
        <v>7</v>
      </c>
      <c r="F183" s="15">
        <v>459</v>
      </c>
      <c r="G183" s="15">
        <v>231</v>
      </c>
      <c r="H183" s="15">
        <v>15</v>
      </c>
      <c r="I183" s="15">
        <v>7</v>
      </c>
      <c r="J183" s="15" t="s">
        <v>84</v>
      </c>
      <c r="K183" s="15" t="s">
        <v>84</v>
      </c>
      <c r="L183" s="15" t="s">
        <v>84</v>
      </c>
      <c r="M183" s="15" t="s">
        <v>84</v>
      </c>
    </row>
    <row r="184" spans="1:13" ht="60" x14ac:dyDescent="0.25">
      <c r="A184" s="15" t="s">
        <v>152</v>
      </c>
      <c r="B184" s="15">
        <v>42</v>
      </c>
      <c r="C184" s="15">
        <v>21</v>
      </c>
      <c r="D184" s="15">
        <v>8</v>
      </c>
      <c r="E184" s="15">
        <v>3</v>
      </c>
      <c r="F184" s="15">
        <v>42</v>
      </c>
      <c r="G184" s="15">
        <v>21</v>
      </c>
      <c r="H184" s="15">
        <v>8</v>
      </c>
      <c r="I184" s="15">
        <v>3</v>
      </c>
      <c r="J184" s="15" t="s">
        <v>84</v>
      </c>
      <c r="K184" s="15" t="s">
        <v>84</v>
      </c>
      <c r="L184" s="15" t="s">
        <v>84</v>
      </c>
      <c r="M184" s="15" t="s">
        <v>84</v>
      </c>
    </row>
    <row r="185" spans="1:13" ht="30" x14ac:dyDescent="0.25">
      <c r="A185" s="15" t="s">
        <v>85</v>
      </c>
      <c r="B185" s="15">
        <v>691</v>
      </c>
      <c r="C185" s="15">
        <v>305</v>
      </c>
      <c r="D185" s="15">
        <v>35</v>
      </c>
      <c r="E185" s="15">
        <v>12</v>
      </c>
      <c r="F185" s="15">
        <v>691</v>
      </c>
      <c r="G185" s="15">
        <v>305</v>
      </c>
      <c r="H185" s="15">
        <v>35</v>
      </c>
      <c r="I185" s="15">
        <v>12</v>
      </c>
      <c r="J185" s="15" t="s">
        <v>84</v>
      </c>
      <c r="K185" s="15" t="s">
        <v>84</v>
      </c>
      <c r="L185" s="15" t="s">
        <v>84</v>
      </c>
      <c r="M185" s="15" t="s">
        <v>84</v>
      </c>
    </row>
    <row r="186" spans="1:13" ht="30" x14ac:dyDescent="0.25">
      <c r="A186" s="15" t="s">
        <v>86</v>
      </c>
      <c r="B186" s="15">
        <v>246</v>
      </c>
      <c r="C186" s="15">
        <v>107</v>
      </c>
      <c r="D186" s="15">
        <v>41</v>
      </c>
      <c r="E186" s="15">
        <v>18</v>
      </c>
      <c r="F186" s="15">
        <v>246</v>
      </c>
      <c r="G186" s="15">
        <v>107</v>
      </c>
      <c r="H186" s="15">
        <v>41</v>
      </c>
      <c r="I186" s="15">
        <v>18</v>
      </c>
      <c r="J186" s="15" t="s">
        <v>84</v>
      </c>
      <c r="K186" s="15" t="s">
        <v>84</v>
      </c>
      <c r="L186" s="15" t="s">
        <v>84</v>
      </c>
      <c r="M186" s="15" t="s">
        <v>84</v>
      </c>
    </row>
    <row r="187" spans="1:13" ht="45" x14ac:dyDescent="0.25">
      <c r="A187" s="15" t="s">
        <v>87</v>
      </c>
      <c r="B187" s="15">
        <v>75</v>
      </c>
      <c r="C187" s="15">
        <v>24</v>
      </c>
      <c r="D187" s="15">
        <v>18</v>
      </c>
      <c r="E187" s="15">
        <v>5</v>
      </c>
      <c r="F187" s="15">
        <v>75</v>
      </c>
      <c r="G187" s="15">
        <v>24</v>
      </c>
      <c r="H187" s="15">
        <v>18</v>
      </c>
      <c r="I187" s="15">
        <v>5</v>
      </c>
      <c r="J187" s="15" t="s">
        <v>84</v>
      </c>
      <c r="K187" s="15" t="s">
        <v>84</v>
      </c>
      <c r="L187" s="15" t="s">
        <v>84</v>
      </c>
      <c r="M187" s="15" t="s">
        <v>84</v>
      </c>
    </row>
    <row r="188" spans="1:13" ht="45" x14ac:dyDescent="0.25">
      <c r="A188" s="15" t="s">
        <v>153</v>
      </c>
      <c r="B188" s="15">
        <v>4</v>
      </c>
      <c r="C188" s="15">
        <v>1</v>
      </c>
      <c r="D188" s="15" t="s">
        <v>84</v>
      </c>
      <c r="E188" s="15" t="s">
        <v>84</v>
      </c>
      <c r="F188" s="15">
        <v>4</v>
      </c>
      <c r="G188" s="15">
        <v>1</v>
      </c>
      <c r="H188" s="15" t="s">
        <v>84</v>
      </c>
      <c r="I188" s="15" t="s">
        <v>84</v>
      </c>
      <c r="J188" s="15" t="s">
        <v>84</v>
      </c>
      <c r="K188" s="15" t="s">
        <v>84</v>
      </c>
      <c r="L188" s="15" t="s">
        <v>84</v>
      </c>
      <c r="M188" s="15" t="s">
        <v>84</v>
      </c>
    </row>
    <row r="189" spans="1:13" ht="60" x14ac:dyDescent="0.25">
      <c r="A189" s="15" t="s">
        <v>154</v>
      </c>
      <c r="B189" s="15">
        <v>19</v>
      </c>
      <c r="C189" s="15">
        <v>4</v>
      </c>
      <c r="D189" s="15">
        <v>4</v>
      </c>
      <c r="E189" s="15" t="s">
        <v>84</v>
      </c>
      <c r="F189" s="15">
        <v>19</v>
      </c>
      <c r="G189" s="15">
        <v>4</v>
      </c>
      <c r="H189" s="15">
        <v>4</v>
      </c>
      <c r="I189" s="15" t="s">
        <v>84</v>
      </c>
      <c r="J189" s="15" t="s">
        <v>84</v>
      </c>
      <c r="K189" s="15" t="s">
        <v>84</v>
      </c>
      <c r="L189" s="15" t="s">
        <v>84</v>
      </c>
      <c r="M189" s="15" t="s">
        <v>84</v>
      </c>
    </row>
    <row r="190" spans="1:13" ht="15" customHeight="1" x14ac:dyDescent="0.25">
      <c r="A190" s="207" t="s">
        <v>104</v>
      </c>
      <c r="B190" s="208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209"/>
    </row>
    <row r="191" spans="1:13" x14ac:dyDescent="0.25">
      <c r="A191" s="207"/>
      <c r="B191" s="208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209"/>
    </row>
    <row r="192" spans="1:13" x14ac:dyDescent="0.25">
      <c r="A192" s="15" t="s">
        <v>83</v>
      </c>
      <c r="B192" s="27">
        <v>2901</v>
      </c>
      <c r="C192" s="15">
        <v>1379</v>
      </c>
      <c r="D192" s="27">
        <v>179</v>
      </c>
      <c r="E192" s="15">
        <v>87</v>
      </c>
      <c r="F192" s="15">
        <v>2136</v>
      </c>
      <c r="G192" s="15">
        <v>995</v>
      </c>
      <c r="H192" s="15">
        <v>151</v>
      </c>
      <c r="I192" s="15">
        <v>76</v>
      </c>
      <c r="J192" s="15">
        <v>765</v>
      </c>
      <c r="K192" s="15">
        <v>384</v>
      </c>
      <c r="L192" s="15">
        <v>28</v>
      </c>
      <c r="M192" s="15">
        <v>11</v>
      </c>
    </row>
    <row r="193" spans="1:13" ht="30" x14ac:dyDescent="0.25">
      <c r="A193" s="15" t="s">
        <v>151</v>
      </c>
      <c r="B193" s="15">
        <v>997</v>
      </c>
      <c r="C193" s="15">
        <v>564</v>
      </c>
      <c r="D193" s="15">
        <v>19</v>
      </c>
      <c r="E193" s="15">
        <v>9</v>
      </c>
      <c r="F193" s="15">
        <v>644</v>
      </c>
      <c r="G193" s="15">
        <v>366</v>
      </c>
      <c r="H193" s="15">
        <v>14</v>
      </c>
      <c r="I193" s="15">
        <v>7</v>
      </c>
      <c r="J193" s="15">
        <v>353</v>
      </c>
      <c r="K193" s="15">
        <v>198</v>
      </c>
      <c r="L193" s="15">
        <v>5</v>
      </c>
      <c r="M193" s="15">
        <v>2</v>
      </c>
    </row>
    <row r="194" spans="1:13" ht="60" x14ac:dyDescent="0.25">
      <c r="A194" s="15" t="s">
        <v>152</v>
      </c>
      <c r="B194" s="15">
        <v>76</v>
      </c>
      <c r="C194" s="15">
        <v>40</v>
      </c>
      <c r="D194" s="15">
        <v>4</v>
      </c>
      <c r="E194" s="15">
        <v>4</v>
      </c>
      <c r="F194" s="15">
        <v>44</v>
      </c>
      <c r="G194" s="15">
        <v>24</v>
      </c>
      <c r="H194" s="15">
        <v>3</v>
      </c>
      <c r="I194" s="15">
        <v>3</v>
      </c>
      <c r="J194" s="15">
        <v>32</v>
      </c>
      <c r="K194" s="15">
        <v>16</v>
      </c>
      <c r="L194" s="15">
        <v>1</v>
      </c>
      <c r="M194" s="15">
        <v>1</v>
      </c>
    </row>
    <row r="195" spans="1:13" ht="30" x14ac:dyDescent="0.25">
      <c r="A195" s="15" t="s">
        <v>85</v>
      </c>
      <c r="B195" s="15">
        <v>1307</v>
      </c>
      <c r="C195" s="15">
        <v>567</v>
      </c>
      <c r="D195" s="15">
        <v>71</v>
      </c>
      <c r="E195" s="15">
        <v>37</v>
      </c>
      <c r="F195" s="15">
        <v>1028</v>
      </c>
      <c r="G195" s="15">
        <v>434</v>
      </c>
      <c r="H195" s="15">
        <v>65</v>
      </c>
      <c r="I195" s="15">
        <v>33</v>
      </c>
      <c r="J195" s="15">
        <v>279</v>
      </c>
      <c r="K195" s="15">
        <v>133</v>
      </c>
      <c r="L195" s="15">
        <v>6</v>
      </c>
      <c r="M195" s="15">
        <v>4</v>
      </c>
    </row>
    <row r="196" spans="1:13" ht="30" x14ac:dyDescent="0.25">
      <c r="A196" s="15" t="s">
        <v>86</v>
      </c>
      <c r="B196" s="15">
        <v>336</v>
      </c>
      <c r="C196" s="15">
        <v>128</v>
      </c>
      <c r="D196" s="15">
        <v>39</v>
      </c>
      <c r="E196" s="15">
        <v>17</v>
      </c>
      <c r="F196" s="15">
        <v>283</v>
      </c>
      <c r="G196" s="15">
        <v>110</v>
      </c>
      <c r="H196" s="15">
        <v>33</v>
      </c>
      <c r="I196" s="15">
        <v>17</v>
      </c>
      <c r="J196" s="15">
        <v>53</v>
      </c>
      <c r="K196" s="15">
        <v>18</v>
      </c>
      <c r="L196" s="15">
        <v>6</v>
      </c>
      <c r="M196" s="15" t="s">
        <v>84</v>
      </c>
    </row>
    <row r="197" spans="1:13" ht="45" x14ac:dyDescent="0.25">
      <c r="A197" s="15" t="s">
        <v>87</v>
      </c>
      <c r="B197" s="15">
        <v>185</v>
      </c>
      <c r="C197" s="15">
        <v>80</v>
      </c>
      <c r="D197" s="15">
        <v>46</v>
      </c>
      <c r="E197" s="15">
        <v>20</v>
      </c>
      <c r="F197" s="15">
        <v>137</v>
      </c>
      <c r="G197" s="15">
        <v>61</v>
      </c>
      <c r="H197" s="15">
        <v>36</v>
      </c>
      <c r="I197" s="15">
        <v>16</v>
      </c>
      <c r="J197" s="15">
        <v>48</v>
      </c>
      <c r="K197" s="15">
        <v>19</v>
      </c>
      <c r="L197" s="15">
        <v>10</v>
      </c>
      <c r="M197" s="15">
        <v>4</v>
      </c>
    </row>
    <row r="198" spans="1:13" ht="45" x14ac:dyDescent="0.25">
      <c r="A198" s="15" t="s">
        <v>153</v>
      </c>
      <c r="B198" s="15">
        <v>33</v>
      </c>
      <c r="C198" s="15">
        <v>15</v>
      </c>
      <c r="D198" s="15">
        <v>1</v>
      </c>
      <c r="E198" s="15" t="s">
        <v>84</v>
      </c>
      <c r="F198" s="15">
        <v>29</v>
      </c>
      <c r="G198" s="15">
        <v>14</v>
      </c>
      <c r="H198" s="15">
        <v>1</v>
      </c>
      <c r="I198" s="15" t="s">
        <v>84</v>
      </c>
      <c r="J198" s="15">
        <v>4</v>
      </c>
      <c r="K198" s="15">
        <v>1</v>
      </c>
      <c r="L198" s="15" t="s">
        <v>84</v>
      </c>
      <c r="M198" s="15" t="s">
        <v>84</v>
      </c>
    </row>
    <row r="199" spans="1:13" ht="60" x14ac:dyDescent="0.25">
      <c r="A199" s="15" t="s">
        <v>154</v>
      </c>
      <c r="B199" s="15">
        <v>55</v>
      </c>
      <c r="C199" s="15">
        <v>21</v>
      </c>
      <c r="D199" s="15">
        <v>11</v>
      </c>
      <c r="E199" s="15">
        <v>5</v>
      </c>
      <c r="F199" s="15">
        <v>25</v>
      </c>
      <c r="G199" s="15">
        <v>10</v>
      </c>
      <c r="H199" s="15">
        <v>2</v>
      </c>
      <c r="I199" s="15">
        <v>1</v>
      </c>
      <c r="J199" s="15">
        <v>30</v>
      </c>
      <c r="K199" s="15">
        <v>11</v>
      </c>
      <c r="L199" s="15">
        <v>9</v>
      </c>
      <c r="M199" s="15">
        <v>4</v>
      </c>
    </row>
    <row r="200" spans="1:13" ht="15" customHeight="1" x14ac:dyDescent="0.25">
      <c r="A200" s="207" t="s">
        <v>105</v>
      </c>
      <c r="B200" s="208"/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M200" s="209"/>
    </row>
    <row r="201" spans="1:13" x14ac:dyDescent="0.25">
      <c r="A201" s="207"/>
      <c r="B201" s="208"/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M201" s="209"/>
    </row>
    <row r="202" spans="1:13" x14ac:dyDescent="0.25">
      <c r="A202" s="15" t="s">
        <v>83</v>
      </c>
      <c r="B202" s="27">
        <v>517</v>
      </c>
      <c r="C202" s="15">
        <v>239</v>
      </c>
      <c r="D202" s="27">
        <v>39</v>
      </c>
      <c r="E202" s="15">
        <v>21</v>
      </c>
      <c r="F202" s="15">
        <v>474</v>
      </c>
      <c r="G202" s="15">
        <v>216</v>
      </c>
      <c r="H202" s="15">
        <v>30</v>
      </c>
      <c r="I202" s="15">
        <v>16</v>
      </c>
      <c r="J202" s="15">
        <v>43</v>
      </c>
      <c r="K202" s="15">
        <v>23</v>
      </c>
      <c r="L202" s="15">
        <v>9</v>
      </c>
      <c r="M202" s="15">
        <v>5</v>
      </c>
    </row>
    <row r="203" spans="1:13" ht="30" x14ac:dyDescent="0.25">
      <c r="A203" s="15" t="s">
        <v>151</v>
      </c>
      <c r="B203" s="15">
        <v>123</v>
      </c>
      <c r="C203" s="15">
        <v>63</v>
      </c>
      <c r="D203" s="15">
        <v>12</v>
      </c>
      <c r="E203" s="15">
        <v>5</v>
      </c>
      <c r="F203" s="15">
        <v>88</v>
      </c>
      <c r="G203" s="15">
        <v>43</v>
      </c>
      <c r="H203" s="15">
        <v>4</v>
      </c>
      <c r="I203" s="15">
        <v>1</v>
      </c>
      <c r="J203" s="15">
        <v>35</v>
      </c>
      <c r="K203" s="15">
        <v>20</v>
      </c>
      <c r="L203" s="15">
        <v>8</v>
      </c>
      <c r="M203" s="15">
        <v>4</v>
      </c>
    </row>
    <row r="204" spans="1:13" ht="60" x14ac:dyDescent="0.25">
      <c r="A204" s="15" t="s">
        <v>152</v>
      </c>
      <c r="B204" s="15">
        <v>6</v>
      </c>
      <c r="C204" s="15" t="s">
        <v>84</v>
      </c>
      <c r="D204" s="15" t="s">
        <v>84</v>
      </c>
      <c r="E204" s="15" t="s">
        <v>84</v>
      </c>
      <c r="F204" s="15">
        <v>3</v>
      </c>
      <c r="G204" s="15" t="s">
        <v>84</v>
      </c>
      <c r="H204" s="15" t="s">
        <v>84</v>
      </c>
      <c r="I204" s="15" t="s">
        <v>84</v>
      </c>
      <c r="J204" s="15">
        <v>3</v>
      </c>
      <c r="K204" s="15" t="s">
        <v>84</v>
      </c>
      <c r="L204" s="15" t="s">
        <v>84</v>
      </c>
      <c r="M204" s="15" t="s">
        <v>84</v>
      </c>
    </row>
    <row r="205" spans="1:13" ht="30" x14ac:dyDescent="0.25">
      <c r="A205" s="15" t="s">
        <v>85</v>
      </c>
      <c r="B205" s="15">
        <v>248</v>
      </c>
      <c r="C205" s="15">
        <v>115</v>
      </c>
      <c r="D205" s="15">
        <v>15</v>
      </c>
      <c r="E205" s="15">
        <v>10</v>
      </c>
      <c r="F205" s="15">
        <v>243</v>
      </c>
      <c r="G205" s="15">
        <v>112</v>
      </c>
      <c r="H205" s="15">
        <v>14</v>
      </c>
      <c r="I205" s="15">
        <v>9</v>
      </c>
      <c r="J205" s="15">
        <v>5</v>
      </c>
      <c r="K205" s="15">
        <v>3</v>
      </c>
      <c r="L205" s="15">
        <v>1</v>
      </c>
      <c r="M205" s="15">
        <v>1</v>
      </c>
    </row>
    <row r="206" spans="1:13" ht="30" x14ac:dyDescent="0.25">
      <c r="A206" s="15" t="s">
        <v>86</v>
      </c>
      <c r="B206" s="15">
        <v>113</v>
      </c>
      <c r="C206" s="15">
        <v>50</v>
      </c>
      <c r="D206" s="15">
        <v>10</v>
      </c>
      <c r="E206" s="15">
        <v>5</v>
      </c>
      <c r="F206" s="15">
        <v>113</v>
      </c>
      <c r="G206" s="15">
        <v>50</v>
      </c>
      <c r="H206" s="15">
        <v>10</v>
      </c>
      <c r="I206" s="15">
        <v>5</v>
      </c>
      <c r="J206" s="15" t="s">
        <v>84</v>
      </c>
      <c r="K206" s="15" t="s">
        <v>84</v>
      </c>
      <c r="L206" s="15" t="s">
        <v>84</v>
      </c>
      <c r="M206" s="15" t="s">
        <v>84</v>
      </c>
    </row>
    <row r="207" spans="1:13" ht="45" x14ac:dyDescent="0.25">
      <c r="A207" s="15" t="s">
        <v>87</v>
      </c>
      <c r="B207" s="15">
        <v>27</v>
      </c>
      <c r="C207" s="15">
        <v>11</v>
      </c>
      <c r="D207" s="15">
        <v>2</v>
      </c>
      <c r="E207" s="15">
        <v>1</v>
      </c>
      <c r="F207" s="15">
        <v>27</v>
      </c>
      <c r="G207" s="15">
        <v>11</v>
      </c>
      <c r="H207" s="15">
        <v>2</v>
      </c>
      <c r="I207" s="15">
        <v>1</v>
      </c>
      <c r="J207" s="15" t="s">
        <v>84</v>
      </c>
      <c r="K207" s="15" t="s">
        <v>84</v>
      </c>
      <c r="L207" s="15" t="s">
        <v>84</v>
      </c>
      <c r="M207" s="15" t="s">
        <v>84</v>
      </c>
    </row>
    <row r="208" spans="1:13" ht="45" x14ac:dyDescent="0.25">
      <c r="A208" s="15" t="s">
        <v>153</v>
      </c>
      <c r="B208" s="15">
        <v>11</v>
      </c>
      <c r="C208" s="15">
        <v>4</v>
      </c>
      <c r="D208" s="15" t="s">
        <v>84</v>
      </c>
      <c r="E208" s="15" t="s">
        <v>84</v>
      </c>
      <c r="F208" s="15">
        <v>11</v>
      </c>
      <c r="G208" s="15">
        <v>4</v>
      </c>
      <c r="H208" s="15" t="s">
        <v>84</v>
      </c>
      <c r="I208" s="15" t="s">
        <v>84</v>
      </c>
      <c r="J208" s="15" t="s">
        <v>84</v>
      </c>
      <c r="K208" s="15" t="s">
        <v>84</v>
      </c>
      <c r="L208" s="15" t="s">
        <v>84</v>
      </c>
      <c r="M208" s="15" t="s">
        <v>84</v>
      </c>
    </row>
    <row r="209" spans="1:13" ht="60" x14ac:dyDescent="0.25">
      <c r="A209" s="15" t="s">
        <v>154</v>
      </c>
      <c r="B209" s="15">
        <v>8</v>
      </c>
      <c r="C209" s="15">
        <v>3</v>
      </c>
      <c r="D209" s="15" t="s">
        <v>84</v>
      </c>
      <c r="E209" s="15" t="s">
        <v>84</v>
      </c>
      <c r="F209" s="15">
        <v>8</v>
      </c>
      <c r="G209" s="15">
        <v>3</v>
      </c>
      <c r="H209" s="15" t="s">
        <v>84</v>
      </c>
      <c r="I209" s="15" t="s">
        <v>84</v>
      </c>
      <c r="J209" s="15" t="s">
        <v>84</v>
      </c>
      <c r="K209" s="15" t="s">
        <v>84</v>
      </c>
      <c r="L209" s="15" t="s">
        <v>84</v>
      </c>
      <c r="M209" s="15" t="s">
        <v>84</v>
      </c>
    </row>
    <row r="210" spans="1:13" ht="15" customHeight="1" x14ac:dyDescent="0.25">
      <c r="A210" s="207" t="s">
        <v>106</v>
      </c>
      <c r="B210" s="208"/>
      <c r="C210" s="208"/>
      <c r="D210" s="208"/>
      <c r="E210" s="208"/>
      <c r="F210" s="208"/>
      <c r="G210" s="208"/>
      <c r="H210" s="208"/>
      <c r="I210" s="208"/>
      <c r="J210" s="208"/>
      <c r="K210" s="208"/>
      <c r="L210" s="208"/>
      <c r="M210" s="209"/>
    </row>
    <row r="211" spans="1:13" x14ac:dyDescent="0.25">
      <c r="A211" s="207"/>
      <c r="B211" s="208"/>
      <c r="C211" s="208"/>
      <c r="D211" s="208"/>
      <c r="E211" s="208"/>
      <c r="F211" s="208"/>
      <c r="G211" s="208"/>
      <c r="H211" s="208"/>
      <c r="I211" s="208"/>
      <c r="J211" s="208"/>
      <c r="K211" s="208"/>
      <c r="L211" s="208"/>
      <c r="M211" s="209"/>
    </row>
    <row r="212" spans="1:13" x14ac:dyDescent="0.25">
      <c r="A212" s="15" t="s">
        <v>83</v>
      </c>
      <c r="B212" s="27">
        <v>1228</v>
      </c>
      <c r="C212" s="15">
        <v>584</v>
      </c>
      <c r="D212" s="27">
        <v>69</v>
      </c>
      <c r="E212" s="15">
        <v>30</v>
      </c>
      <c r="F212" s="15">
        <v>1216</v>
      </c>
      <c r="G212" s="15">
        <v>581</v>
      </c>
      <c r="H212" s="15">
        <v>69</v>
      </c>
      <c r="I212" s="15">
        <v>30</v>
      </c>
      <c r="J212" s="15">
        <v>12</v>
      </c>
      <c r="K212" s="15">
        <v>3</v>
      </c>
      <c r="L212" s="15" t="s">
        <v>84</v>
      </c>
      <c r="M212" s="15" t="s">
        <v>84</v>
      </c>
    </row>
    <row r="213" spans="1:13" ht="30" x14ac:dyDescent="0.25">
      <c r="A213" s="15" t="s">
        <v>151</v>
      </c>
      <c r="B213" s="15">
        <v>339</v>
      </c>
      <c r="C213" s="15">
        <v>190</v>
      </c>
      <c r="D213" s="15">
        <v>2</v>
      </c>
      <c r="E213" s="15">
        <v>2</v>
      </c>
      <c r="F213" s="15">
        <v>339</v>
      </c>
      <c r="G213" s="15">
        <v>190</v>
      </c>
      <c r="H213" s="15">
        <v>2</v>
      </c>
      <c r="I213" s="15">
        <v>2</v>
      </c>
      <c r="J213" s="15" t="s">
        <v>84</v>
      </c>
      <c r="K213" s="15" t="s">
        <v>84</v>
      </c>
      <c r="L213" s="15" t="s">
        <v>84</v>
      </c>
      <c r="M213" s="15" t="s">
        <v>84</v>
      </c>
    </row>
    <row r="214" spans="1:13" ht="60" x14ac:dyDescent="0.25">
      <c r="A214" s="15" t="s">
        <v>152</v>
      </c>
      <c r="B214" s="15">
        <v>18</v>
      </c>
      <c r="C214" s="15">
        <v>11</v>
      </c>
      <c r="D214" s="15" t="s">
        <v>84</v>
      </c>
      <c r="E214" s="15" t="s">
        <v>84</v>
      </c>
      <c r="F214" s="15">
        <v>18</v>
      </c>
      <c r="G214" s="15">
        <v>11</v>
      </c>
      <c r="H214" s="15" t="s">
        <v>84</v>
      </c>
      <c r="I214" s="15" t="s">
        <v>84</v>
      </c>
      <c r="J214" s="15" t="s">
        <v>84</v>
      </c>
      <c r="K214" s="15" t="s">
        <v>84</v>
      </c>
      <c r="L214" s="15" t="s">
        <v>84</v>
      </c>
      <c r="M214" s="15" t="s">
        <v>84</v>
      </c>
    </row>
    <row r="215" spans="1:13" ht="30" x14ac:dyDescent="0.25">
      <c r="A215" s="15" t="s">
        <v>85</v>
      </c>
      <c r="B215" s="15">
        <v>550</v>
      </c>
      <c r="C215" s="15">
        <v>264</v>
      </c>
      <c r="D215" s="15">
        <v>26</v>
      </c>
      <c r="E215" s="15">
        <v>10</v>
      </c>
      <c r="F215" s="15">
        <v>546</v>
      </c>
      <c r="G215" s="15">
        <v>263</v>
      </c>
      <c r="H215" s="15">
        <v>26</v>
      </c>
      <c r="I215" s="15">
        <v>10</v>
      </c>
      <c r="J215" s="15">
        <v>4</v>
      </c>
      <c r="K215" s="15">
        <v>1</v>
      </c>
      <c r="L215" s="15" t="s">
        <v>84</v>
      </c>
      <c r="M215" s="15" t="s">
        <v>84</v>
      </c>
    </row>
    <row r="216" spans="1:13" ht="30" x14ac:dyDescent="0.25">
      <c r="A216" s="15" t="s">
        <v>86</v>
      </c>
      <c r="B216" s="15">
        <v>247</v>
      </c>
      <c r="C216" s="15">
        <v>91</v>
      </c>
      <c r="D216" s="15">
        <v>22</v>
      </c>
      <c r="E216" s="15">
        <v>11</v>
      </c>
      <c r="F216" s="15">
        <v>243</v>
      </c>
      <c r="G216" s="15">
        <v>89</v>
      </c>
      <c r="H216" s="15">
        <v>22</v>
      </c>
      <c r="I216" s="15">
        <v>11</v>
      </c>
      <c r="J216" s="15">
        <v>4</v>
      </c>
      <c r="K216" s="15">
        <v>2</v>
      </c>
      <c r="L216" s="15" t="s">
        <v>84</v>
      </c>
      <c r="M216" s="15" t="s">
        <v>84</v>
      </c>
    </row>
    <row r="217" spans="1:13" ht="45" x14ac:dyDescent="0.25">
      <c r="A217" s="15" t="s">
        <v>87</v>
      </c>
      <c r="B217" s="15">
        <v>74</v>
      </c>
      <c r="C217" s="15">
        <v>28</v>
      </c>
      <c r="D217" s="15">
        <v>19</v>
      </c>
      <c r="E217" s="15">
        <v>7</v>
      </c>
      <c r="F217" s="15">
        <v>70</v>
      </c>
      <c r="G217" s="15">
        <v>28</v>
      </c>
      <c r="H217" s="15">
        <v>19</v>
      </c>
      <c r="I217" s="15">
        <v>7</v>
      </c>
      <c r="J217" s="15">
        <v>4</v>
      </c>
      <c r="K217" s="15" t="s">
        <v>84</v>
      </c>
      <c r="L217" s="15" t="s">
        <v>84</v>
      </c>
      <c r="M217" s="15" t="s">
        <v>84</v>
      </c>
    </row>
    <row r="218" spans="1:13" ht="45" x14ac:dyDescent="0.25">
      <c r="A218" s="15" t="s">
        <v>153</v>
      </c>
      <c r="B218" s="15">
        <v>6</v>
      </c>
      <c r="C218" s="15" t="s">
        <v>84</v>
      </c>
      <c r="D218" s="15">
        <v>2</v>
      </c>
      <c r="E218" s="15" t="s">
        <v>84</v>
      </c>
      <c r="F218" s="15">
        <v>6</v>
      </c>
      <c r="G218" s="15" t="s">
        <v>84</v>
      </c>
      <c r="H218" s="15">
        <v>2</v>
      </c>
      <c r="I218" s="15" t="s">
        <v>84</v>
      </c>
      <c r="J218" s="15" t="s">
        <v>84</v>
      </c>
      <c r="K218" s="15" t="s">
        <v>84</v>
      </c>
      <c r="L218" s="15" t="s">
        <v>84</v>
      </c>
      <c r="M218" s="15" t="s">
        <v>84</v>
      </c>
    </row>
    <row r="219" spans="1:13" ht="60" x14ac:dyDescent="0.25">
      <c r="A219" s="15" t="s">
        <v>154</v>
      </c>
      <c r="B219" s="15">
        <v>11</v>
      </c>
      <c r="C219" s="15">
        <v>6</v>
      </c>
      <c r="D219" s="15" t="s">
        <v>84</v>
      </c>
      <c r="E219" s="15" t="s">
        <v>84</v>
      </c>
      <c r="F219" s="15">
        <v>11</v>
      </c>
      <c r="G219" s="15">
        <v>6</v>
      </c>
      <c r="H219" s="15" t="s">
        <v>84</v>
      </c>
      <c r="I219" s="15" t="s">
        <v>84</v>
      </c>
      <c r="J219" s="15" t="s">
        <v>84</v>
      </c>
      <c r="K219" s="15" t="s">
        <v>84</v>
      </c>
      <c r="L219" s="15" t="s">
        <v>84</v>
      </c>
      <c r="M219" s="15" t="s">
        <v>84</v>
      </c>
    </row>
    <row r="220" spans="1:13" ht="15" customHeight="1" x14ac:dyDescent="0.25">
      <c r="A220" s="207" t="s">
        <v>107</v>
      </c>
      <c r="B220" s="208"/>
      <c r="C220" s="208"/>
      <c r="D220" s="208"/>
      <c r="E220" s="208"/>
      <c r="F220" s="208"/>
      <c r="G220" s="208"/>
      <c r="H220" s="208"/>
      <c r="I220" s="208"/>
      <c r="J220" s="208"/>
      <c r="K220" s="208"/>
      <c r="L220" s="208"/>
      <c r="M220" s="209"/>
    </row>
    <row r="221" spans="1:13" x14ac:dyDescent="0.25">
      <c r="A221" s="207"/>
      <c r="B221" s="208"/>
      <c r="C221" s="208"/>
      <c r="D221" s="208"/>
      <c r="E221" s="208"/>
      <c r="F221" s="208"/>
      <c r="G221" s="208"/>
      <c r="H221" s="208"/>
      <c r="I221" s="208"/>
      <c r="J221" s="208"/>
      <c r="K221" s="208"/>
      <c r="L221" s="208"/>
      <c r="M221" s="209"/>
    </row>
    <row r="222" spans="1:13" x14ac:dyDescent="0.25">
      <c r="A222" s="15" t="s">
        <v>83</v>
      </c>
      <c r="B222" s="27">
        <v>1618</v>
      </c>
      <c r="C222" s="15">
        <v>827</v>
      </c>
      <c r="D222" s="27">
        <v>151</v>
      </c>
      <c r="E222" s="15">
        <v>58</v>
      </c>
      <c r="F222" s="15">
        <v>1610</v>
      </c>
      <c r="G222" s="15">
        <v>825</v>
      </c>
      <c r="H222" s="15">
        <v>151</v>
      </c>
      <c r="I222" s="15">
        <v>58</v>
      </c>
      <c r="J222" s="15">
        <v>8</v>
      </c>
      <c r="K222" s="15">
        <v>2</v>
      </c>
      <c r="L222" s="15" t="s">
        <v>84</v>
      </c>
      <c r="M222" s="15" t="s">
        <v>84</v>
      </c>
    </row>
    <row r="223" spans="1:13" ht="30" x14ac:dyDescent="0.25">
      <c r="A223" s="15" t="s">
        <v>151</v>
      </c>
      <c r="B223" s="15">
        <v>631</v>
      </c>
      <c r="C223" s="15">
        <v>370</v>
      </c>
      <c r="D223" s="15">
        <v>22</v>
      </c>
      <c r="E223" s="15">
        <v>16</v>
      </c>
      <c r="F223" s="15">
        <v>631</v>
      </c>
      <c r="G223" s="15">
        <v>370</v>
      </c>
      <c r="H223" s="15">
        <v>22</v>
      </c>
      <c r="I223" s="15">
        <v>16</v>
      </c>
      <c r="J223" s="15" t="s">
        <v>84</v>
      </c>
      <c r="K223" s="15" t="s">
        <v>84</v>
      </c>
      <c r="L223" s="15" t="s">
        <v>84</v>
      </c>
      <c r="M223" s="15" t="s">
        <v>84</v>
      </c>
    </row>
    <row r="224" spans="1:13" ht="60" x14ac:dyDescent="0.25">
      <c r="A224" s="15" t="s">
        <v>152</v>
      </c>
      <c r="B224" s="15">
        <v>61</v>
      </c>
      <c r="C224" s="15">
        <v>32</v>
      </c>
      <c r="D224" s="15">
        <v>6</v>
      </c>
      <c r="E224" s="15">
        <v>3</v>
      </c>
      <c r="F224" s="15">
        <v>61</v>
      </c>
      <c r="G224" s="15">
        <v>32</v>
      </c>
      <c r="H224" s="15">
        <v>6</v>
      </c>
      <c r="I224" s="15">
        <v>3</v>
      </c>
      <c r="J224" s="15" t="s">
        <v>84</v>
      </c>
      <c r="K224" s="15" t="s">
        <v>84</v>
      </c>
      <c r="L224" s="15" t="s">
        <v>84</v>
      </c>
      <c r="M224" s="15" t="s">
        <v>84</v>
      </c>
    </row>
    <row r="225" spans="1:13" ht="30" x14ac:dyDescent="0.25">
      <c r="A225" s="15" t="s">
        <v>85</v>
      </c>
      <c r="B225" s="15">
        <v>603</v>
      </c>
      <c r="C225" s="15">
        <v>307</v>
      </c>
      <c r="D225" s="15">
        <v>48</v>
      </c>
      <c r="E225" s="15">
        <v>19</v>
      </c>
      <c r="F225" s="15">
        <v>597</v>
      </c>
      <c r="G225" s="15">
        <v>305</v>
      </c>
      <c r="H225" s="15">
        <v>48</v>
      </c>
      <c r="I225" s="15">
        <v>19</v>
      </c>
      <c r="J225" s="15">
        <v>6</v>
      </c>
      <c r="K225" s="15">
        <v>2</v>
      </c>
      <c r="L225" s="15" t="s">
        <v>84</v>
      </c>
      <c r="M225" s="15" t="s">
        <v>84</v>
      </c>
    </row>
    <row r="226" spans="1:13" ht="30" x14ac:dyDescent="0.25">
      <c r="A226" s="15" t="s">
        <v>86</v>
      </c>
      <c r="B226" s="15">
        <v>245</v>
      </c>
      <c r="C226" s="15">
        <v>92</v>
      </c>
      <c r="D226" s="15">
        <v>34</v>
      </c>
      <c r="E226" s="15">
        <v>9</v>
      </c>
      <c r="F226" s="15">
        <v>243</v>
      </c>
      <c r="G226" s="15">
        <v>92</v>
      </c>
      <c r="H226" s="15">
        <v>34</v>
      </c>
      <c r="I226" s="15">
        <v>9</v>
      </c>
      <c r="J226" s="15">
        <v>2</v>
      </c>
      <c r="K226" s="15" t="s">
        <v>84</v>
      </c>
      <c r="L226" s="15" t="s">
        <v>84</v>
      </c>
      <c r="M226" s="15" t="s">
        <v>84</v>
      </c>
    </row>
    <row r="227" spans="1:13" ht="45" x14ac:dyDescent="0.25">
      <c r="A227" s="15" t="s">
        <v>87</v>
      </c>
      <c r="B227" s="15">
        <v>78</v>
      </c>
      <c r="C227" s="15">
        <v>26</v>
      </c>
      <c r="D227" s="15">
        <v>41</v>
      </c>
      <c r="E227" s="15">
        <v>11</v>
      </c>
      <c r="F227" s="15">
        <v>78</v>
      </c>
      <c r="G227" s="15">
        <v>26</v>
      </c>
      <c r="H227" s="15">
        <v>41</v>
      </c>
      <c r="I227" s="15">
        <v>11</v>
      </c>
      <c r="J227" s="15" t="s">
        <v>84</v>
      </c>
      <c r="K227" s="15" t="s">
        <v>84</v>
      </c>
      <c r="L227" s="15" t="s">
        <v>84</v>
      </c>
      <c r="M227" s="15" t="s">
        <v>84</v>
      </c>
    </row>
    <row r="228" spans="1:13" ht="45" x14ac:dyDescent="0.25">
      <c r="A228" s="15" t="s">
        <v>153</v>
      </c>
      <c r="B228" s="15">
        <v>9</v>
      </c>
      <c r="C228" s="15">
        <v>3</v>
      </c>
      <c r="D228" s="15">
        <v>1</v>
      </c>
      <c r="E228" s="15" t="s">
        <v>84</v>
      </c>
      <c r="F228" s="15">
        <v>9</v>
      </c>
      <c r="G228" s="15">
        <v>3</v>
      </c>
      <c r="H228" s="15">
        <v>1</v>
      </c>
      <c r="I228" s="15" t="s">
        <v>84</v>
      </c>
      <c r="J228" s="15" t="s">
        <v>84</v>
      </c>
      <c r="K228" s="15" t="s">
        <v>84</v>
      </c>
      <c r="L228" s="15" t="s">
        <v>84</v>
      </c>
      <c r="M228" s="15" t="s">
        <v>84</v>
      </c>
    </row>
    <row r="229" spans="1:13" ht="60" x14ac:dyDescent="0.25">
      <c r="A229" s="15" t="s">
        <v>154</v>
      </c>
      <c r="B229" s="15">
        <v>6</v>
      </c>
      <c r="C229" s="15">
        <v>3</v>
      </c>
      <c r="D229" s="15">
        <v>2</v>
      </c>
      <c r="E229" s="15">
        <v>1</v>
      </c>
      <c r="F229" s="15">
        <v>6</v>
      </c>
      <c r="G229" s="15">
        <v>3</v>
      </c>
      <c r="H229" s="15">
        <v>2</v>
      </c>
      <c r="I229" s="15">
        <v>1</v>
      </c>
      <c r="J229" s="15" t="s">
        <v>84</v>
      </c>
      <c r="K229" s="15" t="s">
        <v>84</v>
      </c>
      <c r="L229" s="15" t="s">
        <v>84</v>
      </c>
      <c r="M229" s="15" t="s">
        <v>84</v>
      </c>
    </row>
    <row r="230" spans="1:13" ht="15" customHeight="1" x14ac:dyDescent="0.25">
      <c r="A230" s="207" t="s">
        <v>108</v>
      </c>
      <c r="B230" s="208"/>
      <c r="C230" s="208"/>
      <c r="D230" s="208"/>
      <c r="E230" s="208"/>
      <c r="F230" s="208"/>
      <c r="G230" s="208"/>
      <c r="H230" s="208"/>
      <c r="I230" s="208"/>
      <c r="J230" s="208"/>
      <c r="K230" s="208"/>
      <c r="L230" s="208"/>
      <c r="M230" s="209"/>
    </row>
    <row r="231" spans="1:13" x14ac:dyDescent="0.25">
      <c r="A231" s="207"/>
      <c r="B231" s="208"/>
      <c r="C231" s="208"/>
      <c r="D231" s="208"/>
      <c r="E231" s="208"/>
      <c r="F231" s="208"/>
      <c r="G231" s="208"/>
      <c r="H231" s="208"/>
      <c r="I231" s="208"/>
      <c r="J231" s="208"/>
      <c r="K231" s="208"/>
      <c r="L231" s="208"/>
      <c r="M231" s="209"/>
    </row>
    <row r="232" spans="1:13" x14ac:dyDescent="0.25">
      <c r="A232" s="15" t="s">
        <v>83</v>
      </c>
      <c r="B232" s="27">
        <v>18155</v>
      </c>
      <c r="C232" s="15">
        <v>8714</v>
      </c>
      <c r="D232" s="27">
        <v>813</v>
      </c>
      <c r="E232" s="15">
        <v>352</v>
      </c>
      <c r="F232" s="15">
        <v>17559</v>
      </c>
      <c r="G232" s="15">
        <v>8437</v>
      </c>
      <c r="H232" s="15">
        <v>807</v>
      </c>
      <c r="I232" s="15">
        <v>351</v>
      </c>
      <c r="J232" s="15">
        <v>596</v>
      </c>
      <c r="K232" s="15">
        <v>277</v>
      </c>
      <c r="L232" s="15">
        <v>6</v>
      </c>
      <c r="M232" s="15">
        <v>1</v>
      </c>
    </row>
    <row r="233" spans="1:13" ht="30" x14ac:dyDescent="0.25">
      <c r="A233" s="15" t="s">
        <v>151</v>
      </c>
      <c r="B233" s="15">
        <v>5653</v>
      </c>
      <c r="C233" s="15">
        <v>3075</v>
      </c>
      <c r="D233" s="15">
        <v>74</v>
      </c>
      <c r="E233" s="15">
        <v>38</v>
      </c>
      <c r="F233" s="15">
        <v>5322</v>
      </c>
      <c r="G233" s="15">
        <v>2909</v>
      </c>
      <c r="H233" s="15">
        <v>70</v>
      </c>
      <c r="I233" s="15">
        <v>37</v>
      </c>
      <c r="J233" s="15">
        <v>331</v>
      </c>
      <c r="K233" s="15">
        <v>166</v>
      </c>
      <c r="L233" s="15">
        <v>4</v>
      </c>
      <c r="M233" s="15">
        <v>1</v>
      </c>
    </row>
    <row r="234" spans="1:13" ht="60" x14ac:dyDescent="0.25">
      <c r="A234" s="15" t="s">
        <v>152</v>
      </c>
      <c r="B234" s="15">
        <v>374</v>
      </c>
      <c r="C234" s="15">
        <v>179</v>
      </c>
      <c r="D234" s="15">
        <v>9</v>
      </c>
      <c r="E234" s="15">
        <v>2</v>
      </c>
      <c r="F234" s="15">
        <v>359</v>
      </c>
      <c r="G234" s="15">
        <v>173</v>
      </c>
      <c r="H234" s="15">
        <v>9</v>
      </c>
      <c r="I234" s="15">
        <v>2</v>
      </c>
      <c r="J234" s="15">
        <v>15</v>
      </c>
      <c r="K234" s="15">
        <v>6</v>
      </c>
      <c r="L234" s="15" t="s">
        <v>84</v>
      </c>
      <c r="M234" s="15" t="s">
        <v>84</v>
      </c>
    </row>
    <row r="235" spans="1:13" ht="30" x14ac:dyDescent="0.25">
      <c r="A235" s="15" t="s">
        <v>85</v>
      </c>
      <c r="B235" s="15">
        <v>8666</v>
      </c>
      <c r="C235" s="15">
        <v>4098</v>
      </c>
      <c r="D235" s="15">
        <v>301</v>
      </c>
      <c r="E235" s="15">
        <v>144</v>
      </c>
      <c r="F235" s="15">
        <v>8532</v>
      </c>
      <c r="G235" s="15">
        <v>4032</v>
      </c>
      <c r="H235" s="15">
        <v>301</v>
      </c>
      <c r="I235" s="15">
        <v>144</v>
      </c>
      <c r="J235" s="15">
        <v>134</v>
      </c>
      <c r="K235" s="15">
        <v>66</v>
      </c>
      <c r="L235" s="15" t="s">
        <v>84</v>
      </c>
      <c r="M235" s="15" t="s">
        <v>84</v>
      </c>
    </row>
    <row r="236" spans="1:13" ht="30" x14ac:dyDescent="0.25">
      <c r="A236" s="15" t="s">
        <v>86</v>
      </c>
      <c r="B236" s="15">
        <v>2471</v>
      </c>
      <c r="C236" s="15">
        <v>981</v>
      </c>
      <c r="D236" s="15">
        <v>213</v>
      </c>
      <c r="E236" s="15">
        <v>89</v>
      </c>
      <c r="F236" s="15">
        <v>2417</v>
      </c>
      <c r="G236" s="15">
        <v>965</v>
      </c>
      <c r="H236" s="15">
        <v>213</v>
      </c>
      <c r="I236" s="15">
        <v>89</v>
      </c>
      <c r="J236" s="15">
        <v>54</v>
      </c>
      <c r="K236" s="15">
        <v>16</v>
      </c>
      <c r="L236" s="15" t="s">
        <v>84</v>
      </c>
      <c r="M236" s="15" t="s">
        <v>84</v>
      </c>
    </row>
    <row r="237" spans="1:13" ht="45" x14ac:dyDescent="0.25">
      <c r="A237" s="15" t="s">
        <v>87</v>
      </c>
      <c r="B237" s="15">
        <v>991</v>
      </c>
      <c r="C237" s="15">
        <v>381</v>
      </c>
      <c r="D237" s="15">
        <v>216</v>
      </c>
      <c r="E237" s="15">
        <v>79</v>
      </c>
      <c r="F237" s="15">
        <v>929</v>
      </c>
      <c r="G237" s="15">
        <v>358</v>
      </c>
      <c r="H237" s="15">
        <v>214</v>
      </c>
      <c r="I237" s="15">
        <v>79</v>
      </c>
      <c r="J237" s="15">
        <v>62</v>
      </c>
      <c r="K237" s="15">
        <v>23</v>
      </c>
      <c r="L237" s="15">
        <v>2</v>
      </c>
      <c r="M237" s="15" t="s">
        <v>84</v>
      </c>
    </row>
    <row r="238" spans="1:13" ht="45" x14ac:dyDescent="0.25">
      <c r="A238" s="15" t="s">
        <v>153</v>
      </c>
      <c r="B238" s="15">
        <v>260</v>
      </c>
      <c r="C238" s="15">
        <v>98</v>
      </c>
      <c r="D238" s="15">
        <v>20</v>
      </c>
      <c r="E238" s="15">
        <v>13</v>
      </c>
      <c r="F238" s="15">
        <v>253</v>
      </c>
      <c r="G238" s="15">
        <v>98</v>
      </c>
      <c r="H238" s="15">
        <v>20</v>
      </c>
      <c r="I238" s="15">
        <v>13</v>
      </c>
      <c r="J238" s="15">
        <v>7</v>
      </c>
      <c r="K238" s="15" t="s">
        <v>84</v>
      </c>
      <c r="L238" s="15" t="s">
        <v>84</v>
      </c>
      <c r="M238" s="15" t="s">
        <v>84</v>
      </c>
    </row>
    <row r="239" spans="1:13" ht="60" x14ac:dyDescent="0.25">
      <c r="A239" s="15" t="s">
        <v>154</v>
      </c>
      <c r="B239" s="15">
        <v>133</v>
      </c>
      <c r="C239" s="15">
        <v>44</v>
      </c>
      <c r="D239" s="15">
        <v>8</v>
      </c>
      <c r="E239" s="15">
        <v>2</v>
      </c>
      <c r="F239" s="15">
        <v>90</v>
      </c>
      <c r="G239" s="15">
        <v>25</v>
      </c>
      <c r="H239" s="15">
        <v>6</v>
      </c>
      <c r="I239" s="15">
        <v>2</v>
      </c>
      <c r="J239" s="15">
        <v>43</v>
      </c>
      <c r="K239" s="15">
        <v>19</v>
      </c>
      <c r="L239" s="15">
        <v>2</v>
      </c>
      <c r="M239" s="15" t="s">
        <v>84</v>
      </c>
    </row>
    <row r="240" spans="1:13" ht="15" customHeight="1" x14ac:dyDescent="0.25">
      <c r="A240" s="207" t="s">
        <v>109</v>
      </c>
      <c r="B240" s="208"/>
      <c r="C240" s="208"/>
      <c r="D240" s="208"/>
      <c r="E240" s="208"/>
      <c r="F240" s="208"/>
      <c r="G240" s="208"/>
      <c r="H240" s="208"/>
      <c r="I240" s="208"/>
      <c r="J240" s="208"/>
      <c r="K240" s="208"/>
      <c r="L240" s="208"/>
      <c r="M240" s="209"/>
    </row>
    <row r="241" spans="1:13" x14ac:dyDescent="0.25">
      <c r="A241" s="207"/>
      <c r="B241" s="208"/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9"/>
    </row>
    <row r="242" spans="1:13" x14ac:dyDescent="0.25">
      <c r="A242" s="15" t="s">
        <v>83</v>
      </c>
      <c r="B242" s="27">
        <v>1835</v>
      </c>
      <c r="C242" s="15">
        <v>904</v>
      </c>
      <c r="D242" s="27">
        <v>66</v>
      </c>
      <c r="E242" s="15">
        <v>34</v>
      </c>
      <c r="F242" s="15">
        <v>1820</v>
      </c>
      <c r="G242" s="15">
        <v>899</v>
      </c>
      <c r="H242" s="15">
        <v>66</v>
      </c>
      <c r="I242" s="15">
        <v>34</v>
      </c>
      <c r="J242" s="15">
        <v>15</v>
      </c>
      <c r="K242" s="15">
        <v>5</v>
      </c>
      <c r="L242" s="15" t="s">
        <v>84</v>
      </c>
      <c r="M242" s="15" t="s">
        <v>84</v>
      </c>
    </row>
    <row r="243" spans="1:13" ht="30" x14ac:dyDescent="0.25">
      <c r="A243" s="15" t="s">
        <v>151</v>
      </c>
      <c r="B243" s="15">
        <v>451</v>
      </c>
      <c r="C243" s="15">
        <v>246</v>
      </c>
      <c r="D243" s="15">
        <v>3</v>
      </c>
      <c r="E243" s="15">
        <v>2</v>
      </c>
      <c r="F243" s="15">
        <v>451</v>
      </c>
      <c r="G243" s="15">
        <v>246</v>
      </c>
      <c r="H243" s="15">
        <v>3</v>
      </c>
      <c r="I243" s="15">
        <v>2</v>
      </c>
      <c r="J243" s="15" t="s">
        <v>84</v>
      </c>
      <c r="K243" s="15" t="s">
        <v>84</v>
      </c>
      <c r="L243" s="15" t="s">
        <v>84</v>
      </c>
      <c r="M243" s="15" t="s">
        <v>84</v>
      </c>
    </row>
    <row r="244" spans="1:13" ht="60" x14ac:dyDescent="0.25">
      <c r="A244" s="15" t="s">
        <v>152</v>
      </c>
      <c r="B244" s="15">
        <v>29</v>
      </c>
      <c r="C244" s="15">
        <v>16</v>
      </c>
      <c r="D244" s="15">
        <v>2</v>
      </c>
      <c r="E244" s="15">
        <v>1</v>
      </c>
      <c r="F244" s="15">
        <v>29</v>
      </c>
      <c r="G244" s="15">
        <v>16</v>
      </c>
      <c r="H244" s="15">
        <v>2</v>
      </c>
      <c r="I244" s="15">
        <v>1</v>
      </c>
      <c r="J244" s="15" t="s">
        <v>84</v>
      </c>
      <c r="K244" s="15" t="s">
        <v>84</v>
      </c>
      <c r="L244" s="15" t="s">
        <v>84</v>
      </c>
      <c r="M244" s="15" t="s">
        <v>84</v>
      </c>
    </row>
    <row r="245" spans="1:13" ht="30" x14ac:dyDescent="0.25">
      <c r="A245" s="15" t="s">
        <v>85</v>
      </c>
      <c r="B245" s="15">
        <v>914</v>
      </c>
      <c r="C245" s="15">
        <v>447</v>
      </c>
      <c r="D245" s="15">
        <v>21</v>
      </c>
      <c r="E245" s="15">
        <v>13</v>
      </c>
      <c r="F245" s="15">
        <v>905</v>
      </c>
      <c r="G245" s="15">
        <v>444</v>
      </c>
      <c r="H245" s="15">
        <v>21</v>
      </c>
      <c r="I245" s="15">
        <v>13</v>
      </c>
      <c r="J245" s="15">
        <v>9</v>
      </c>
      <c r="K245" s="15">
        <v>3</v>
      </c>
      <c r="L245" s="15" t="s">
        <v>84</v>
      </c>
      <c r="M245" s="15" t="s">
        <v>84</v>
      </c>
    </row>
    <row r="246" spans="1:13" ht="30" x14ac:dyDescent="0.25">
      <c r="A246" s="15" t="s">
        <v>86</v>
      </c>
      <c r="B246" s="15">
        <v>299</v>
      </c>
      <c r="C246" s="15">
        <v>143</v>
      </c>
      <c r="D246" s="15">
        <v>18</v>
      </c>
      <c r="E246" s="15">
        <v>10</v>
      </c>
      <c r="F246" s="15">
        <v>298</v>
      </c>
      <c r="G246" s="15">
        <v>143</v>
      </c>
      <c r="H246" s="15">
        <v>18</v>
      </c>
      <c r="I246" s="15">
        <v>10</v>
      </c>
      <c r="J246" s="15">
        <v>1</v>
      </c>
      <c r="K246" s="15" t="s">
        <v>84</v>
      </c>
      <c r="L246" s="15" t="s">
        <v>84</v>
      </c>
      <c r="M246" s="15" t="s">
        <v>84</v>
      </c>
    </row>
    <row r="247" spans="1:13" ht="45" x14ac:dyDescent="0.25">
      <c r="A247" s="15" t="s">
        <v>87</v>
      </c>
      <c r="B247" s="15">
        <v>142</v>
      </c>
      <c r="C247" s="15">
        <v>52</v>
      </c>
      <c r="D247" s="15">
        <v>22</v>
      </c>
      <c r="E247" s="15">
        <v>8</v>
      </c>
      <c r="F247" s="15">
        <v>137</v>
      </c>
      <c r="G247" s="15">
        <v>50</v>
      </c>
      <c r="H247" s="15">
        <v>22</v>
      </c>
      <c r="I247" s="15">
        <v>8</v>
      </c>
      <c r="J247" s="15">
        <v>5</v>
      </c>
      <c r="K247" s="15">
        <v>2</v>
      </c>
      <c r="L247" s="15" t="s">
        <v>84</v>
      </c>
      <c r="M247" s="15" t="s">
        <v>84</v>
      </c>
    </row>
    <row r="248" spans="1:13" ht="45" x14ac:dyDescent="0.25">
      <c r="A248" s="15" t="s">
        <v>153</v>
      </c>
      <c r="B248" s="15">
        <v>43</v>
      </c>
      <c r="C248" s="15">
        <v>13</v>
      </c>
      <c r="D248" s="15" t="s">
        <v>84</v>
      </c>
      <c r="E248" s="15" t="s">
        <v>84</v>
      </c>
      <c r="F248" s="15">
        <v>42</v>
      </c>
      <c r="G248" s="15">
        <v>13</v>
      </c>
      <c r="H248" s="15" t="s">
        <v>84</v>
      </c>
      <c r="I248" s="15" t="s">
        <v>84</v>
      </c>
      <c r="J248" s="15">
        <v>1</v>
      </c>
      <c r="K248" s="15" t="s">
        <v>84</v>
      </c>
      <c r="L248" s="15" t="s">
        <v>84</v>
      </c>
      <c r="M248" s="15" t="s">
        <v>84</v>
      </c>
    </row>
    <row r="249" spans="1:13" ht="60" x14ac:dyDescent="0.25">
      <c r="A249" s="15" t="s">
        <v>154</v>
      </c>
      <c r="B249" s="15">
        <v>27</v>
      </c>
      <c r="C249" s="15">
        <v>10</v>
      </c>
      <c r="D249" s="15">
        <v>2</v>
      </c>
      <c r="E249" s="15">
        <v>1</v>
      </c>
      <c r="F249" s="15">
        <v>27</v>
      </c>
      <c r="G249" s="15">
        <v>10</v>
      </c>
      <c r="H249" s="15">
        <v>2</v>
      </c>
      <c r="I249" s="15">
        <v>1</v>
      </c>
      <c r="J249" s="15" t="s">
        <v>84</v>
      </c>
      <c r="K249" s="15" t="s">
        <v>84</v>
      </c>
      <c r="L249" s="15" t="s">
        <v>84</v>
      </c>
      <c r="M249" s="15" t="s">
        <v>84</v>
      </c>
    </row>
    <row r="250" spans="1:13" ht="15" customHeight="1" x14ac:dyDescent="0.25">
      <c r="A250" s="207" t="s">
        <v>110</v>
      </c>
      <c r="B250" s="208"/>
      <c r="C250" s="208"/>
      <c r="D250" s="208"/>
      <c r="E250" s="208"/>
      <c r="F250" s="208"/>
      <c r="G250" s="208"/>
      <c r="H250" s="208"/>
      <c r="I250" s="208"/>
      <c r="J250" s="208"/>
      <c r="K250" s="208"/>
      <c r="L250" s="208"/>
      <c r="M250" s="209"/>
    </row>
    <row r="251" spans="1:13" x14ac:dyDescent="0.25">
      <c r="A251" s="207"/>
      <c r="B251" s="208"/>
      <c r="C251" s="208"/>
      <c r="D251" s="208"/>
      <c r="E251" s="208"/>
      <c r="F251" s="208"/>
      <c r="G251" s="208"/>
      <c r="H251" s="208"/>
      <c r="I251" s="208"/>
      <c r="J251" s="208"/>
      <c r="K251" s="208"/>
      <c r="L251" s="208"/>
      <c r="M251" s="209"/>
    </row>
    <row r="252" spans="1:13" x14ac:dyDescent="0.25">
      <c r="A252" s="15" t="s">
        <v>83</v>
      </c>
      <c r="B252" s="27">
        <v>1922</v>
      </c>
      <c r="C252" s="15">
        <v>896</v>
      </c>
      <c r="D252" s="27">
        <v>108</v>
      </c>
      <c r="E252" s="15">
        <v>41</v>
      </c>
      <c r="F252" s="15">
        <v>1830</v>
      </c>
      <c r="G252" s="15">
        <v>851</v>
      </c>
      <c r="H252" s="15">
        <v>108</v>
      </c>
      <c r="I252" s="15">
        <v>41</v>
      </c>
      <c r="J252" s="15">
        <v>92</v>
      </c>
      <c r="K252" s="15">
        <v>45</v>
      </c>
      <c r="L252" s="15" t="s">
        <v>84</v>
      </c>
      <c r="M252" s="15" t="s">
        <v>84</v>
      </c>
    </row>
    <row r="253" spans="1:13" ht="30" x14ac:dyDescent="0.25">
      <c r="A253" s="15" t="s">
        <v>151</v>
      </c>
      <c r="B253" s="15">
        <v>472</v>
      </c>
      <c r="C253" s="15">
        <v>234</v>
      </c>
      <c r="D253" s="15">
        <v>2</v>
      </c>
      <c r="E253" s="15">
        <v>2</v>
      </c>
      <c r="F253" s="15">
        <v>404</v>
      </c>
      <c r="G253" s="15">
        <v>198</v>
      </c>
      <c r="H253" s="15">
        <v>2</v>
      </c>
      <c r="I253" s="15">
        <v>2</v>
      </c>
      <c r="J253" s="15">
        <v>68</v>
      </c>
      <c r="K253" s="15">
        <v>36</v>
      </c>
      <c r="L253" s="15" t="s">
        <v>84</v>
      </c>
      <c r="M253" s="15" t="s">
        <v>84</v>
      </c>
    </row>
    <row r="254" spans="1:13" ht="60" x14ac:dyDescent="0.25">
      <c r="A254" s="15" t="s">
        <v>152</v>
      </c>
      <c r="B254" s="15">
        <v>35</v>
      </c>
      <c r="C254" s="15">
        <v>19</v>
      </c>
      <c r="D254" s="15" t="s">
        <v>84</v>
      </c>
      <c r="E254" s="15" t="s">
        <v>84</v>
      </c>
      <c r="F254" s="15">
        <v>34</v>
      </c>
      <c r="G254" s="15">
        <v>19</v>
      </c>
      <c r="H254" s="15" t="s">
        <v>84</v>
      </c>
      <c r="I254" s="15" t="s">
        <v>84</v>
      </c>
      <c r="J254" s="15">
        <v>1</v>
      </c>
      <c r="K254" s="15" t="s">
        <v>84</v>
      </c>
      <c r="L254" s="15" t="s">
        <v>84</v>
      </c>
      <c r="M254" s="15" t="s">
        <v>84</v>
      </c>
    </row>
    <row r="255" spans="1:13" ht="30" x14ac:dyDescent="0.25">
      <c r="A255" s="15" t="s">
        <v>85</v>
      </c>
      <c r="B255" s="15">
        <v>959</v>
      </c>
      <c r="C255" s="15">
        <v>452</v>
      </c>
      <c r="D255" s="15">
        <v>37</v>
      </c>
      <c r="E255" s="15">
        <v>13</v>
      </c>
      <c r="F255" s="15">
        <v>944</v>
      </c>
      <c r="G255" s="15">
        <v>444</v>
      </c>
      <c r="H255" s="15">
        <v>37</v>
      </c>
      <c r="I255" s="15">
        <v>13</v>
      </c>
      <c r="J255" s="15">
        <v>15</v>
      </c>
      <c r="K255" s="15">
        <v>8</v>
      </c>
      <c r="L255" s="15" t="s">
        <v>84</v>
      </c>
      <c r="M255" s="15" t="s">
        <v>84</v>
      </c>
    </row>
    <row r="256" spans="1:13" ht="30" x14ac:dyDescent="0.25">
      <c r="A256" s="15" t="s">
        <v>86</v>
      </c>
      <c r="B256" s="15">
        <v>318</v>
      </c>
      <c r="C256" s="15">
        <v>138</v>
      </c>
      <c r="D256" s="15">
        <v>29</v>
      </c>
      <c r="E256" s="15">
        <v>14</v>
      </c>
      <c r="F256" s="15">
        <v>311</v>
      </c>
      <c r="G256" s="15">
        <v>137</v>
      </c>
      <c r="H256" s="15">
        <v>29</v>
      </c>
      <c r="I256" s="15">
        <v>14</v>
      </c>
      <c r="J256" s="15">
        <v>7</v>
      </c>
      <c r="K256" s="15">
        <v>1</v>
      </c>
      <c r="L256" s="15" t="s">
        <v>84</v>
      </c>
      <c r="M256" s="15" t="s">
        <v>84</v>
      </c>
    </row>
    <row r="257" spans="1:13" ht="45" x14ac:dyDescent="0.25">
      <c r="A257" s="15" t="s">
        <v>87</v>
      </c>
      <c r="B257" s="15">
        <v>138</v>
      </c>
      <c r="C257" s="15">
        <v>53</v>
      </c>
      <c r="D257" s="15">
        <v>40</v>
      </c>
      <c r="E257" s="15">
        <v>12</v>
      </c>
      <c r="F257" s="15">
        <v>137</v>
      </c>
      <c r="G257" s="15">
        <v>53</v>
      </c>
      <c r="H257" s="15">
        <v>40</v>
      </c>
      <c r="I257" s="15">
        <v>12</v>
      </c>
      <c r="J257" s="15">
        <v>1</v>
      </c>
      <c r="K257" s="15" t="s">
        <v>84</v>
      </c>
      <c r="L257" s="15" t="s">
        <v>84</v>
      </c>
      <c r="M257" s="15" t="s">
        <v>84</v>
      </c>
    </row>
    <row r="258" spans="1:13" ht="45" x14ac:dyDescent="0.25">
      <c r="A258" s="15" t="s">
        <v>153</v>
      </c>
      <c r="B258" s="15">
        <v>26</v>
      </c>
      <c r="C258" s="15">
        <v>9</v>
      </c>
      <c r="D258" s="15">
        <v>4</v>
      </c>
      <c r="E258" s="15" t="s">
        <v>84</v>
      </c>
      <c r="F258" s="15">
        <v>26</v>
      </c>
      <c r="G258" s="15">
        <v>9</v>
      </c>
      <c r="H258" s="15">
        <v>4</v>
      </c>
      <c r="I258" s="15" t="s">
        <v>84</v>
      </c>
      <c r="J258" s="15" t="s">
        <v>84</v>
      </c>
      <c r="K258" s="15" t="s">
        <v>84</v>
      </c>
      <c r="L258" s="15" t="s">
        <v>84</v>
      </c>
      <c r="M258" s="15" t="s">
        <v>84</v>
      </c>
    </row>
    <row r="259" spans="1:13" ht="60" x14ac:dyDescent="0.25">
      <c r="A259" s="15" t="s">
        <v>154</v>
      </c>
      <c r="B259" s="15">
        <v>16</v>
      </c>
      <c r="C259" s="15">
        <v>4</v>
      </c>
      <c r="D259" s="15" t="s">
        <v>84</v>
      </c>
      <c r="E259" s="15" t="s">
        <v>84</v>
      </c>
      <c r="F259" s="15">
        <v>16</v>
      </c>
      <c r="G259" s="15">
        <v>4</v>
      </c>
      <c r="H259" s="15" t="s">
        <v>84</v>
      </c>
      <c r="I259" s="15" t="s">
        <v>84</v>
      </c>
      <c r="J259" s="15" t="s">
        <v>84</v>
      </c>
      <c r="K259" s="15" t="s">
        <v>84</v>
      </c>
      <c r="L259" s="15" t="s">
        <v>84</v>
      </c>
      <c r="M259" s="15" t="s">
        <v>84</v>
      </c>
    </row>
    <row r="260" spans="1:13" ht="15" customHeight="1" x14ac:dyDescent="0.25">
      <c r="A260" s="207" t="s">
        <v>111</v>
      </c>
      <c r="B260" s="208"/>
      <c r="C260" s="208"/>
      <c r="D260" s="208"/>
      <c r="E260" s="208"/>
      <c r="F260" s="208"/>
      <c r="G260" s="208"/>
      <c r="H260" s="208"/>
      <c r="I260" s="208"/>
      <c r="J260" s="208"/>
      <c r="K260" s="208"/>
      <c r="L260" s="208"/>
      <c r="M260" s="209"/>
    </row>
    <row r="261" spans="1:13" x14ac:dyDescent="0.25">
      <c r="A261" s="207"/>
      <c r="B261" s="208"/>
      <c r="C261" s="208"/>
      <c r="D261" s="208"/>
      <c r="E261" s="208"/>
      <c r="F261" s="208"/>
      <c r="G261" s="208"/>
      <c r="H261" s="208"/>
      <c r="I261" s="208"/>
      <c r="J261" s="208"/>
      <c r="K261" s="208"/>
      <c r="L261" s="208"/>
      <c r="M261" s="209"/>
    </row>
    <row r="262" spans="1:13" x14ac:dyDescent="0.25">
      <c r="A262" s="15" t="s">
        <v>83</v>
      </c>
      <c r="B262" s="27">
        <v>2568</v>
      </c>
      <c r="C262" s="15">
        <v>1225</v>
      </c>
      <c r="D262" s="27">
        <v>132</v>
      </c>
      <c r="E262" s="15">
        <v>61</v>
      </c>
      <c r="F262" s="15">
        <v>2508</v>
      </c>
      <c r="G262" s="15">
        <v>1195</v>
      </c>
      <c r="H262" s="15">
        <v>132</v>
      </c>
      <c r="I262" s="15">
        <v>61</v>
      </c>
      <c r="J262" s="15">
        <v>60</v>
      </c>
      <c r="K262" s="15">
        <v>30</v>
      </c>
      <c r="L262" s="15" t="s">
        <v>84</v>
      </c>
      <c r="M262" s="15" t="s">
        <v>84</v>
      </c>
    </row>
    <row r="263" spans="1:13" ht="30" x14ac:dyDescent="0.25">
      <c r="A263" s="15" t="s">
        <v>151</v>
      </c>
      <c r="B263" s="15">
        <v>965</v>
      </c>
      <c r="C263" s="15">
        <v>530</v>
      </c>
      <c r="D263" s="15">
        <v>20</v>
      </c>
      <c r="E263" s="15">
        <v>12</v>
      </c>
      <c r="F263" s="15">
        <v>946</v>
      </c>
      <c r="G263" s="15">
        <v>521</v>
      </c>
      <c r="H263" s="15">
        <v>20</v>
      </c>
      <c r="I263" s="15">
        <v>12</v>
      </c>
      <c r="J263" s="15">
        <v>19</v>
      </c>
      <c r="K263" s="15">
        <v>9</v>
      </c>
      <c r="L263" s="15" t="s">
        <v>84</v>
      </c>
      <c r="M263" s="15" t="s">
        <v>84</v>
      </c>
    </row>
    <row r="264" spans="1:13" ht="60" x14ac:dyDescent="0.25">
      <c r="A264" s="15" t="s">
        <v>152</v>
      </c>
      <c r="B264" s="15">
        <v>48</v>
      </c>
      <c r="C264" s="15">
        <v>23</v>
      </c>
      <c r="D264" s="15">
        <v>3</v>
      </c>
      <c r="E264" s="15" t="s">
        <v>84</v>
      </c>
      <c r="F264" s="15">
        <v>45</v>
      </c>
      <c r="G264" s="15">
        <v>21</v>
      </c>
      <c r="H264" s="15">
        <v>3</v>
      </c>
      <c r="I264" s="15" t="s">
        <v>84</v>
      </c>
      <c r="J264" s="15">
        <v>3</v>
      </c>
      <c r="K264" s="15">
        <v>2</v>
      </c>
      <c r="L264" s="15" t="s">
        <v>84</v>
      </c>
      <c r="M264" s="15" t="s">
        <v>84</v>
      </c>
    </row>
    <row r="265" spans="1:13" ht="30" x14ac:dyDescent="0.25">
      <c r="A265" s="15" t="s">
        <v>85</v>
      </c>
      <c r="B265" s="15">
        <v>1155</v>
      </c>
      <c r="C265" s="15">
        <v>535</v>
      </c>
      <c r="D265" s="15">
        <v>46</v>
      </c>
      <c r="E265" s="15">
        <v>23</v>
      </c>
      <c r="F265" s="15">
        <v>1124</v>
      </c>
      <c r="G265" s="15">
        <v>520</v>
      </c>
      <c r="H265" s="15">
        <v>46</v>
      </c>
      <c r="I265" s="15">
        <v>23</v>
      </c>
      <c r="J265" s="15">
        <v>31</v>
      </c>
      <c r="K265" s="15">
        <v>15</v>
      </c>
      <c r="L265" s="15" t="s">
        <v>84</v>
      </c>
      <c r="M265" s="15" t="s">
        <v>84</v>
      </c>
    </row>
    <row r="266" spans="1:13" ht="30" x14ac:dyDescent="0.25">
      <c r="A266" s="15" t="s">
        <v>86</v>
      </c>
      <c r="B266" s="15">
        <v>302</v>
      </c>
      <c r="C266" s="15">
        <v>92</v>
      </c>
      <c r="D266" s="15">
        <v>40</v>
      </c>
      <c r="E266" s="15">
        <v>11</v>
      </c>
      <c r="F266" s="15">
        <v>296</v>
      </c>
      <c r="G266" s="15">
        <v>88</v>
      </c>
      <c r="H266" s="15">
        <v>40</v>
      </c>
      <c r="I266" s="15">
        <v>11</v>
      </c>
      <c r="J266" s="15">
        <v>6</v>
      </c>
      <c r="K266" s="15">
        <v>4</v>
      </c>
      <c r="L266" s="15" t="s">
        <v>84</v>
      </c>
      <c r="M266" s="15" t="s">
        <v>84</v>
      </c>
    </row>
    <row r="267" spans="1:13" ht="45" x14ac:dyDescent="0.25">
      <c r="A267" s="15" t="s">
        <v>87</v>
      </c>
      <c r="B267" s="15">
        <v>98</v>
      </c>
      <c r="C267" s="15">
        <v>45</v>
      </c>
      <c r="D267" s="15">
        <v>23</v>
      </c>
      <c r="E267" s="15">
        <v>15</v>
      </c>
      <c r="F267" s="15">
        <v>97</v>
      </c>
      <c r="G267" s="15">
        <v>45</v>
      </c>
      <c r="H267" s="15">
        <v>23</v>
      </c>
      <c r="I267" s="15">
        <v>15</v>
      </c>
      <c r="J267" s="15">
        <v>1</v>
      </c>
      <c r="K267" s="15" t="s">
        <v>84</v>
      </c>
      <c r="L267" s="15" t="s">
        <v>84</v>
      </c>
      <c r="M267" s="15" t="s">
        <v>84</v>
      </c>
    </row>
    <row r="268" spans="1:13" ht="45" x14ac:dyDescent="0.25">
      <c r="A268" s="15" t="s">
        <v>153</v>
      </c>
      <c r="B268" s="15">
        <v>35</v>
      </c>
      <c r="C268" s="15">
        <v>20</v>
      </c>
      <c r="D268" s="15">
        <v>10</v>
      </c>
      <c r="E268" s="15">
        <v>9</v>
      </c>
      <c r="F268" s="15">
        <v>35</v>
      </c>
      <c r="G268" s="15">
        <v>20</v>
      </c>
      <c r="H268" s="15">
        <v>10</v>
      </c>
      <c r="I268" s="15">
        <v>9</v>
      </c>
      <c r="J268" s="15" t="s">
        <v>84</v>
      </c>
      <c r="K268" s="15" t="s">
        <v>84</v>
      </c>
      <c r="L268" s="15" t="s">
        <v>84</v>
      </c>
      <c r="M268" s="15" t="s">
        <v>84</v>
      </c>
    </row>
    <row r="269" spans="1:13" ht="60" x14ac:dyDescent="0.25">
      <c r="A269" s="15" t="s">
        <v>154</v>
      </c>
      <c r="B269" s="15">
        <v>20</v>
      </c>
      <c r="C269" s="15">
        <v>5</v>
      </c>
      <c r="D269" s="15">
        <v>2</v>
      </c>
      <c r="E269" s="15" t="s">
        <v>84</v>
      </c>
      <c r="F269" s="15">
        <v>19</v>
      </c>
      <c r="G269" s="15">
        <v>5</v>
      </c>
      <c r="H269" s="15">
        <v>2</v>
      </c>
      <c r="I269" s="15" t="s">
        <v>84</v>
      </c>
      <c r="J269" s="15">
        <v>1</v>
      </c>
      <c r="K269" s="15" t="s">
        <v>84</v>
      </c>
      <c r="L269" s="15" t="s">
        <v>84</v>
      </c>
      <c r="M269" s="15" t="s">
        <v>84</v>
      </c>
    </row>
    <row r="270" spans="1:13" ht="15" customHeight="1" x14ac:dyDescent="0.25">
      <c r="A270" s="207" t="s">
        <v>112</v>
      </c>
      <c r="B270" s="208"/>
      <c r="C270" s="208"/>
      <c r="D270" s="208"/>
      <c r="E270" s="208"/>
      <c r="F270" s="208"/>
      <c r="G270" s="208"/>
      <c r="H270" s="208"/>
      <c r="I270" s="208"/>
      <c r="J270" s="208"/>
      <c r="K270" s="208"/>
      <c r="L270" s="208"/>
      <c r="M270" s="209"/>
    </row>
    <row r="271" spans="1:13" x14ac:dyDescent="0.25">
      <c r="A271" s="207"/>
      <c r="B271" s="208"/>
      <c r="C271" s="208"/>
      <c r="D271" s="208"/>
      <c r="E271" s="208"/>
      <c r="F271" s="208"/>
      <c r="G271" s="208"/>
      <c r="H271" s="208"/>
      <c r="I271" s="208"/>
      <c r="J271" s="208"/>
      <c r="K271" s="208"/>
      <c r="L271" s="208"/>
      <c r="M271" s="209"/>
    </row>
    <row r="272" spans="1:13" x14ac:dyDescent="0.25">
      <c r="A272" s="15" t="s">
        <v>83</v>
      </c>
      <c r="B272" s="27">
        <v>502</v>
      </c>
      <c r="C272" s="15">
        <v>226</v>
      </c>
      <c r="D272" s="27">
        <v>18</v>
      </c>
      <c r="E272" s="15">
        <v>4</v>
      </c>
      <c r="F272" s="15">
        <v>461</v>
      </c>
      <c r="G272" s="15">
        <v>209</v>
      </c>
      <c r="H272" s="15">
        <v>17</v>
      </c>
      <c r="I272" s="15">
        <v>4</v>
      </c>
      <c r="J272" s="15">
        <v>41</v>
      </c>
      <c r="K272" s="15">
        <v>17</v>
      </c>
      <c r="L272" s="15">
        <v>1</v>
      </c>
      <c r="M272" s="15" t="s">
        <v>84</v>
      </c>
    </row>
    <row r="273" spans="1:13" ht="30" x14ac:dyDescent="0.25">
      <c r="A273" s="15" t="s">
        <v>151</v>
      </c>
      <c r="B273" s="15">
        <v>121</v>
      </c>
      <c r="C273" s="15">
        <v>62</v>
      </c>
      <c r="D273" s="15" t="s">
        <v>84</v>
      </c>
      <c r="E273" s="15" t="s">
        <v>84</v>
      </c>
      <c r="F273" s="15">
        <v>114</v>
      </c>
      <c r="G273" s="15">
        <v>60</v>
      </c>
      <c r="H273" s="15" t="s">
        <v>84</v>
      </c>
      <c r="I273" s="15" t="s">
        <v>84</v>
      </c>
      <c r="J273" s="15">
        <v>7</v>
      </c>
      <c r="K273" s="15">
        <v>2</v>
      </c>
      <c r="L273" s="15" t="s">
        <v>84</v>
      </c>
      <c r="M273" s="15" t="s">
        <v>84</v>
      </c>
    </row>
    <row r="274" spans="1:13" ht="60" x14ac:dyDescent="0.25">
      <c r="A274" s="15" t="s">
        <v>152</v>
      </c>
      <c r="B274" s="15">
        <v>18</v>
      </c>
      <c r="C274" s="15">
        <v>7</v>
      </c>
      <c r="D274" s="15" t="s">
        <v>84</v>
      </c>
      <c r="E274" s="15" t="s">
        <v>84</v>
      </c>
      <c r="F274" s="15">
        <v>18</v>
      </c>
      <c r="G274" s="15">
        <v>7</v>
      </c>
      <c r="H274" s="15" t="s">
        <v>84</v>
      </c>
      <c r="I274" s="15" t="s">
        <v>84</v>
      </c>
      <c r="J274" s="15" t="s">
        <v>84</v>
      </c>
      <c r="K274" s="15" t="s">
        <v>84</v>
      </c>
      <c r="L274" s="15" t="s">
        <v>84</v>
      </c>
      <c r="M274" s="15" t="s">
        <v>84</v>
      </c>
    </row>
    <row r="275" spans="1:13" ht="30" x14ac:dyDescent="0.25">
      <c r="A275" s="15" t="s">
        <v>85</v>
      </c>
      <c r="B275" s="15">
        <v>256</v>
      </c>
      <c r="C275" s="15">
        <v>117</v>
      </c>
      <c r="D275" s="15">
        <v>6</v>
      </c>
      <c r="E275" s="15">
        <v>2</v>
      </c>
      <c r="F275" s="15">
        <v>240</v>
      </c>
      <c r="G275" s="15">
        <v>110</v>
      </c>
      <c r="H275" s="15">
        <v>6</v>
      </c>
      <c r="I275" s="15">
        <v>2</v>
      </c>
      <c r="J275" s="15">
        <v>16</v>
      </c>
      <c r="K275" s="15">
        <v>7</v>
      </c>
      <c r="L275" s="15" t="s">
        <v>84</v>
      </c>
      <c r="M275" s="15" t="s">
        <v>84</v>
      </c>
    </row>
    <row r="276" spans="1:13" ht="30" x14ac:dyDescent="0.25">
      <c r="A276" s="15" t="s">
        <v>86</v>
      </c>
      <c r="B276" s="15">
        <v>65</v>
      </c>
      <c r="C276" s="15">
        <v>27</v>
      </c>
      <c r="D276" s="15">
        <v>4</v>
      </c>
      <c r="E276" s="15">
        <v>2</v>
      </c>
      <c r="F276" s="15">
        <v>60</v>
      </c>
      <c r="G276" s="15">
        <v>24</v>
      </c>
      <c r="H276" s="15">
        <v>4</v>
      </c>
      <c r="I276" s="15">
        <v>2</v>
      </c>
      <c r="J276" s="15">
        <v>5</v>
      </c>
      <c r="K276" s="15">
        <v>3</v>
      </c>
      <c r="L276" s="15" t="s">
        <v>84</v>
      </c>
      <c r="M276" s="15" t="s">
        <v>84</v>
      </c>
    </row>
    <row r="277" spans="1:13" ht="45" x14ac:dyDescent="0.25">
      <c r="A277" s="15" t="s">
        <v>87</v>
      </c>
      <c r="B277" s="15">
        <v>42</v>
      </c>
      <c r="C277" s="15">
        <v>13</v>
      </c>
      <c r="D277" s="15">
        <v>8</v>
      </c>
      <c r="E277" s="15" t="s">
        <v>84</v>
      </c>
      <c r="F277" s="15">
        <v>29</v>
      </c>
      <c r="G277" s="15">
        <v>8</v>
      </c>
      <c r="H277" s="15">
        <v>7</v>
      </c>
      <c r="I277" s="15" t="s">
        <v>84</v>
      </c>
      <c r="J277" s="15">
        <v>13</v>
      </c>
      <c r="K277" s="15">
        <v>5</v>
      </c>
      <c r="L277" s="15">
        <v>1</v>
      </c>
      <c r="M277" s="15" t="s">
        <v>84</v>
      </c>
    </row>
    <row r="278" spans="1:13" ht="45" x14ac:dyDescent="0.25">
      <c r="A278" s="15" t="s">
        <v>153</v>
      </c>
      <c r="B278" s="15">
        <v>1</v>
      </c>
      <c r="C278" s="15" t="s">
        <v>84</v>
      </c>
      <c r="D278" s="15" t="s">
        <v>84</v>
      </c>
      <c r="E278" s="15" t="s">
        <v>84</v>
      </c>
      <c r="F278" s="15" t="s">
        <v>84</v>
      </c>
      <c r="G278" s="15" t="s">
        <v>84</v>
      </c>
      <c r="H278" s="15" t="s">
        <v>84</v>
      </c>
      <c r="I278" s="15" t="s">
        <v>84</v>
      </c>
      <c r="J278" s="15">
        <v>1</v>
      </c>
      <c r="K278" s="15" t="s">
        <v>84</v>
      </c>
      <c r="L278" s="15" t="s">
        <v>84</v>
      </c>
      <c r="M278" s="15" t="s">
        <v>84</v>
      </c>
    </row>
    <row r="279" spans="1:13" ht="60" x14ac:dyDescent="0.25">
      <c r="A279" s="15" t="s">
        <v>154</v>
      </c>
      <c r="B279" s="15">
        <v>12</v>
      </c>
      <c r="C279" s="15">
        <v>5</v>
      </c>
      <c r="D279" s="15">
        <v>1</v>
      </c>
      <c r="E279" s="15" t="s">
        <v>84</v>
      </c>
      <c r="F279" s="15" t="s">
        <v>84</v>
      </c>
      <c r="G279" s="15" t="s">
        <v>84</v>
      </c>
      <c r="H279" s="15" t="s">
        <v>84</v>
      </c>
      <c r="I279" s="15" t="s">
        <v>84</v>
      </c>
      <c r="J279" s="15">
        <v>12</v>
      </c>
      <c r="K279" s="15">
        <v>5</v>
      </c>
      <c r="L279" s="15">
        <v>1</v>
      </c>
      <c r="M279" s="15" t="s">
        <v>84</v>
      </c>
    </row>
    <row r="280" spans="1:13" ht="15" customHeight="1" x14ac:dyDescent="0.25">
      <c r="A280" s="207" t="s">
        <v>113</v>
      </c>
      <c r="B280" s="208"/>
      <c r="C280" s="208"/>
      <c r="D280" s="208"/>
      <c r="E280" s="208"/>
      <c r="F280" s="208"/>
      <c r="G280" s="208"/>
      <c r="H280" s="208"/>
      <c r="I280" s="208"/>
      <c r="J280" s="208"/>
      <c r="K280" s="208"/>
      <c r="L280" s="208"/>
      <c r="M280" s="209"/>
    </row>
    <row r="281" spans="1:13" x14ac:dyDescent="0.25">
      <c r="A281" s="207"/>
      <c r="B281" s="208"/>
      <c r="C281" s="208"/>
      <c r="D281" s="208"/>
      <c r="E281" s="208"/>
      <c r="F281" s="208"/>
      <c r="G281" s="208"/>
      <c r="H281" s="208"/>
      <c r="I281" s="208"/>
      <c r="J281" s="208"/>
      <c r="K281" s="208"/>
      <c r="L281" s="208"/>
      <c r="M281" s="209"/>
    </row>
    <row r="282" spans="1:13" x14ac:dyDescent="0.25">
      <c r="A282" s="15" t="s">
        <v>83</v>
      </c>
      <c r="B282" s="27">
        <v>2013</v>
      </c>
      <c r="C282" s="15">
        <v>956</v>
      </c>
      <c r="D282" s="27">
        <v>94</v>
      </c>
      <c r="E282" s="15">
        <v>39</v>
      </c>
      <c r="F282" s="15">
        <v>1904</v>
      </c>
      <c r="G282" s="15">
        <v>902</v>
      </c>
      <c r="H282" s="15">
        <v>90</v>
      </c>
      <c r="I282" s="15">
        <v>38</v>
      </c>
      <c r="J282" s="15">
        <v>109</v>
      </c>
      <c r="K282" s="15">
        <v>54</v>
      </c>
      <c r="L282" s="15">
        <v>4</v>
      </c>
      <c r="M282" s="15">
        <v>1</v>
      </c>
    </row>
    <row r="283" spans="1:13" ht="30" x14ac:dyDescent="0.25">
      <c r="A283" s="15" t="s">
        <v>151</v>
      </c>
      <c r="B283" s="15">
        <v>753</v>
      </c>
      <c r="C283" s="15">
        <v>406</v>
      </c>
      <c r="D283" s="15">
        <v>10</v>
      </c>
      <c r="E283" s="15">
        <v>4</v>
      </c>
      <c r="F283" s="15">
        <v>667</v>
      </c>
      <c r="G283" s="15">
        <v>363</v>
      </c>
      <c r="H283" s="15">
        <v>6</v>
      </c>
      <c r="I283" s="15">
        <v>3</v>
      </c>
      <c r="J283" s="15">
        <v>86</v>
      </c>
      <c r="K283" s="15">
        <v>43</v>
      </c>
      <c r="L283" s="15">
        <v>4</v>
      </c>
      <c r="M283" s="15">
        <v>1</v>
      </c>
    </row>
    <row r="284" spans="1:13" ht="60" x14ac:dyDescent="0.25">
      <c r="A284" s="15" t="s">
        <v>152</v>
      </c>
      <c r="B284" s="15">
        <v>46</v>
      </c>
      <c r="C284" s="15">
        <v>23</v>
      </c>
      <c r="D284" s="15">
        <v>1</v>
      </c>
      <c r="E284" s="15">
        <v>1</v>
      </c>
      <c r="F284" s="15">
        <v>42</v>
      </c>
      <c r="G284" s="15">
        <v>22</v>
      </c>
      <c r="H284" s="15">
        <v>1</v>
      </c>
      <c r="I284" s="15">
        <v>1</v>
      </c>
      <c r="J284" s="15">
        <v>4</v>
      </c>
      <c r="K284" s="15">
        <v>1</v>
      </c>
      <c r="L284" s="15" t="s">
        <v>84</v>
      </c>
      <c r="M284" s="15" t="s">
        <v>84</v>
      </c>
    </row>
    <row r="285" spans="1:13" ht="30" x14ac:dyDescent="0.25">
      <c r="A285" s="15" t="s">
        <v>85</v>
      </c>
      <c r="B285" s="15">
        <v>848</v>
      </c>
      <c r="C285" s="15">
        <v>391</v>
      </c>
      <c r="D285" s="15">
        <v>37</v>
      </c>
      <c r="E285" s="15">
        <v>16</v>
      </c>
      <c r="F285" s="15">
        <v>831</v>
      </c>
      <c r="G285" s="15">
        <v>382</v>
      </c>
      <c r="H285" s="15">
        <v>37</v>
      </c>
      <c r="I285" s="15">
        <v>16</v>
      </c>
      <c r="J285" s="15">
        <v>17</v>
      </c>
      <c r="K285" s="15">
        <v>9</v>
      </c>
      <c r="L285" s="15" t="s">
        <v>84</v>
      </c>
      <c r="M285" s="15" t="s">
        <v>84</v>
      </c>
    </row>
    <row r="286" spans="1:13" ht="30" x14ac:dyDescent="0.25">
      <c r="A286" s="15" t="s">
        <v>86</v>
      </c>
      <c r="B286" s="15">
        <v>267</v>
      </c>
      <c r="C286" s="15">
        <v>102</v>
      </c>
      <c r="D286" s="15">
        <v>34</v>
      </c>
      <c r="E286" s="15">
        <v>13</v>
      </c>
      <c r="F286" s="15">
        <v>265</v>
      </c>
      <c r="G286" s="15">
        <v>101</v>
      </c>
      <c r="H286" s="15">
        <v>34</v>
      </c>
      <c r="I286" s="15">
        <v>13</v>
      </c>
      <c r="J286" s="15">
        <v>2</v>
      </c>
      <c r="K286" s="15">
        <v>1</v>
      </c>
      <c r="L286" s="15" t="s">
        <v>84</v>
      </c>
      <c r="M286" s="15" t="s">
        <v>84</v>
      </c>
    </row>
    <row r="287" spans="1:13" ht="45" x14ac:dyDescent="0.25">
      <c r="A287" s="15" t="s">
        <v>87</v>
      </c>
      <c r="B287" s="15">
        <v>99</v>
      </c>
      <c r="C287" s="15">
        <v>34</v>
      </c>
      <c r="D287" s="15">
        <v>12</v>
      </c>
      <c r="E287" s="15">
        <v>5</v>
      </c>
      <c r="F287" s="15">
        <v>99</v>
      </c>
      <c r="G287" s="15">
        <v>34</v>
      </c>
      <c r="H287" s="15">
        <v>12</v>
      </c>
      <c r="I287" s="15">
        <v>5</v>
      </c>
      <c r="J287" s="15" t="s">
        <v>84</v>
      </c>
      <c r="K287" s="15" t="s">
        <v>84</v>
      </c>
      <c r="L287" s="15" t="s">
        <v>84</v>
      </c>
      <c r="M287" s="15" t="s">
        <v>84</v>
      </c>
    </row>
    <row r="288" spans="1:13" ht="45" x14ac:dyDescent="0.25">
      <c r="A288" s="15" t="s">
        <v>153</v>
      </c>
      <c r="B288" s="15">
        <v>52</v>
      </c>
      <c r="C288" s="15">
        <v>17</v>
      </c>
      <c r="D288" s="15">
        <v>1</v>
      </c>
      <c r="E288" s="15">
        <v>1</v>
      </c>
      <c r="F288" s="15">
        <v>52</v>
      </c>
      <c r="G288" s="15">
        <v>17</v>
      </c>
      <c r="H288" s="15">
        <v>1</v>
      </c>
      <c r="I288" s="15">
        <v>1</v>
      </c>
      <c r="J288" s="15" t="s">
        <v>84</v>
      </c>
      <c r="K288" s="15" t="s">
        <v>84</v>
      </c>
      <c r="L288" s="15" t="s">
        <v>84</v>
      </c>
      <c r="M288" s="15" t="s">
        <v>84</v>
      </c>
    </row>
    <row r="289" spans="1:13" ht="60" x14ac:dyDescent="0.25">
      <c r="A289" s="15" t="s">
        <v>154</v>
      </c>
      <c r="B289" s="15">
        <v>8</v>
      </c>
      <c r="C289" s="15" t="s">
        <v>84</v>
      </c>
      <c r="D289" s="15" t="s">
        <v>84</v>
      </c>
      <c r="E289" s="15" t="s">
        <v>84</v>
      </c>
      <c r="F289" s="15">
        <v>8</v>
      </c>
      <c r="G289" s="15" t="s">
        <v>84</v>
      </c>
      <c r="H289" s="15" t="s">
        <v>84</v>
      </c>
      <c r="I289" s="15" t="s">
        <v>84</v>
      </c>
      <c r="J289" s="15" t="s">
        <v>84</v>
      </c>
      <c r="K289" s="15" t="s">
        <v>84</v>
      </c>
      <c r="L289" s="15" t="s">
        <v>84</v>
      </c>
      <c r="M289" s="15" t="s">
        <v>84</v>
      </c>
    </row>
    <row r="290" spans="1:13" ht="15" customHeight="1" x14ac:dyDescent="0.25">
      <c r="A290" s="207" t="s">
        <v>114</v>
      </c>
      <c r="B290" s="208"/>
      <c r="C290" s="208"/>
      <c r="D290" s="208"/>
      <c r="E290" s="208"/>
      <c r="F290" s="208"/>
      <c r="G290" s="208"/>
      <c r="H290" s="208"/>
      <c r="I290" s="208"/>
      <c r="J290" s="208"/>
      <c r="K290" s="208"/>
      <c r="L290" s="208"/>
      <c r="M290" s="209"/>
    </row>
    <row r="291" spans="1:13" x14ac:dyDescent="0.25">
      <c r="A291" s="207"/>
      <c r="B291" s="208"/>
      <c r="C291" s="208"/>
      <c r="D291" s="208"/>
      <c r="E291" s="208"/>
      <c r="F291" s="208"/>
      <c r="G291" s="208"/>
      <c r="H291" s="208"/>
      <c r="I291" s="208"/>
      <c r="J291" s="208"/>
      <c r="K291" s="208"/>
      <c r="L291" s="208"/>
      <c r="M291" s="209"/>
    </row>
    <row r="292" spans="1:13" x14ac:dyDescent="0.25">
      <c r="A292" s="15" t="s">
        <v>83</v>
      </c>
      <c r="B292" s="27">
        <v>1164</v>
      </c>
      <c r="C292" s="15">
        <v>559</v>
      </c>
      <c r="D292" s="27">
        <v>48</v>
      </c>
      <c r="E292" s="15">
        <v>23</v>
      </c>
      <c r="F292" s="15">
        <v>1164</v>
      </c>
      <c r="G292" s="15">
        <v>559</v>
      </c>
      <c r="H292" s="15">
        <v>48</v>
      </c>
      <c r="I292" s="15">
        <v>23</v>
      </c>
      <c r="J292" s="15" t="s">
        <v>84</v>
      </c>
      <c r="K292" s="15" t="s">
        <v>84</v>
      </c>
      <c r="L292" s="15" t="s">
        <v>84</v>
      </c>
      <c r="M292" s="15" t="s">
        <v>84</v>
      </c>
    </row>
    <row r="293" spans="1:13" ht="30" x14ac:dyDescent="0.25">
      <c r="A293" s="15" t="s">
        <v>151</v>
      </c>
      <c r="B293" s="15">
        <v>398</v>
      </c>
      <c r="C293" s="15">
        <v>210</v>
      </c>
      <c r="D293" s="15">
        <v>6</v>
      </c>
      <c r="E293" s="15">
        <v>2</v>
      </c>
      <c r="F293" s="15">
        <v>398</v>
      </c>
      <c r="G293" s="15">
        <v>210</v>
      </c>
      <c r="H293" s="15">
        <v>6</v>
      </c>
      <c r="I293" s="15">
        <v>2</v>
      </c>
      <c r="J293" s="15" t="s">
        <v>84</v>
      </c>
      <c r="K293" s="15" t="s">
        <v>84</v>
      </c>
      <c r="L293" s="15" t="s">
        <v>84</v>
      </c>
      <c r="M293" s="15" t="s">
        <v>84</v>
      </c>
    </row>
    <row r="294" spans="1:13" ht="60" x14ac:dyDescent="0.25">
      <c r="A294" s="15" t="s">
        <v>152</v>
      </c>
      <c r="B294" s="15">
        <v>20</v>
      </c>
      <c r="C294" s="15">
        <v>13</v>
      </c>
      <c r="D294" s="15" t="s">
        <v>84</v>
      </c>
      <c r="E294" s="15" t="s">
        <v>84</v>
      </c>
      <c r="F294" s="15">
        <v>20</v>
      </c>
      <c r="G294" s="15">
        <v>13</v>
      </c>
      <c r="H294" s="15" t="s">
        <v>84</v>
      </c>
      <c r="I294" s="15" t="s">
        <v>84</v>
      </c>
      <c r="J294" s="15" t="s">
        <v>84</v>
      </c>
      <c r="K294" s="15" t="s">
        <v>84</v>
      </c>
      <c r="L294" s="15" t="s">
        <v>84</v>
      </c>
      <c r="M294" s="15" t="s">
        <v>84</v>
      </c>
    </row>
    <row r="295" spans="1:13" ht="30" x14ac:dyDescent="0.25">
      <c r="A295" s="15" t="s">
        <v>85</v>
      </c>
      <c r="B295" s="15">
        <v>562</v>
      </c>
      <c r="C295" s="15">
        <v>265</v>
      </c>
      <c r="D295" s="15">
        <v>20</v>
      </c>
      <c r="E295" s="15">
        <v>10</v>
      </c>
      <c r="F295" s="15">
        <v>562</v>
      </c>
      <c r="G295" s="15">
        <v>265</v>
      </c>
      <c r="H295" s="15">
        <v>20</v>
      </c>
      <c r="I295" s="15">
        <v>10</v>
      </c>
      <c r="J295" s="15" t="s">
        <v>84</v>
      </c>
      <c r="K295" s="15" t="s">
        <v>84</v>
      </c>
      <c r="L295" s="15" t="s">
        <v>84</v>
      </c>
      <c r="M295" s="15" t="s">
        <v>84</v>
      </c>
    </row>
    <row r="296" spans="1:13" ht="30" x14ac:dyDescent="0.25">
      <c r="A296" s="15" t="s">
        <v>86</v>
      </c>
      <c r="B296" s="15">
        <v>142</v>
      </c>
      <c r="C296" s="15">
        <v>56</v>
      </c>
      <c r="D296" s="15">
        <v>15</v>
      </c>
      <c r="E296" s="15">
        <v>7</v>
      </c>
      <c r="F296" s="15">
        <v>142</v>
      </c>
      <c r="G296" s="15">
        <v>56</v>
      </c>
      <c r="H296" s="15">
        <v>15</v>
      </c>
      <c r="I296" s="15">
        <v>7</v>
      </c>
      <c r="J296" s="15" t="s">
        <v>84</v>
      </c>
      <c r="K296" s="15" t="s">
        <v>84</v>
      </c>
      <c r="L296" s="15" t="s">
        <v>84</v>
      </c>
      <c r="M296" s="15" t="s">
        <v>84</v>
      </c>
    </row>
    <row r="297" spans="1:13" ht="45" x14ac:dyDescent="0.25">
      <c r="A297" s="15" t="s">
        <v>87</v>
      </c>
      <c r="B297" s="15">
        <v>42</v>
      </c>
      <c r="C297" s="15">
        <v>15</v>
      </c>
      <c r="D297" s="15">
        <v>7</v>
      </c>
      <c r="E297" s="15">
        <v>4</v>
      </c>
      <c r="F297" s="15">
        <v>42</v>
      </c>
      <c r="G297" s="15">
        <v>15</v>
      </c>
      <c r="H297" s="15">
        <v>7</v>
      </c>
      <c r="I297" s="15">
        <v>4</v>
      </c>
      <c r="J297" s="15" t="s">
        <v>84</v>
      </c>
      <c r="K297" s="15" t="s">
        <v>84</v>
      </c>
      <c r="L297" s="15" t="s">
        <v>84</v>
      </c>
      <c r="M297" s="15" t="s">
        <v>84</v>
      </c>
    </row>
    <row r="298" spans="1:13" ht="45" x14ac:dyDescent="0.25">
      <c r="A298" s="15" t="s">
        <v>153</v>
      </c>
      <c r="B298" s="15">
        <v>8</v>
      </c>
      <c r="C298" s="15">
        <v>5</v>
      </c>
      <c r="D298" s="15" t="s">
        <v>84</v>
      </c>
      <c r="E298" s="15" t="s">
        <v>84</v>
      </c>
      <c r="F298" s="15">
        <v>8</v>
      </c>
      <c r="G298" s="15">
        <v>5</v>
      </c>
      <c r="H298" s="15" t="s">
        <v>84</v>
      </c>
      <c r="I298" s="15" t="s">
        <v>84</v>
      </c>
      <c r="J298" s="15" t="s">
        <v>84</v>
      </c>
      <c r="K298" s="15" t="s">
        <v>84</v>
      </c>
      <c r="L298" s="15" t="s">
        <v>84</v>
      </c>
      <c r="M298" s="15" t="s">
        <v>84</v>
      </c>
    </row>
    <row r="299" spans="1:13" ht="60" x14ac:dyDescent="0.25">
      <c r="A299" s="15" t="s">
        <v>154</v>
      </c>
      <c r="B299" s="15">
        <v>12</v>
      </c>
      <c r="C299" s="15">
        <v>2</v>
      </c>
      <c r="D299" s="15" t="s">
        <v>84</v>
      </c>
      <c r="E299" s="15" t="s">
        <v>84</v>
      </c>
      <c r="F299" s="15">
        <v>12</v>
      </c>
      <c r="G299" s="15">
        <v>2</v>
      </c>
      <c r="H299" s="15" t="s">
        <v>84</v>
      </c>
      <c r="I299" s="15" t="s">
        <v>84</v>
      </c>
      <c r="J299" s="15" t="s">
        <v>84</v>
      </c>
      <c r="K299" s="15" t="s">
        <v>84</v>
      </c>
      <c r="L299" s="15" t="s">
        <v>84</v>
      </c>
      <c r="M299" s="15" t="s">
        <v>84</v>
      </c>
    </row>
    <row r="300" spans="1:13" ht="15" customHeight="1" x14ac:dyDescent="0.25">
      <c r="A300" s="207" t="s">
        <v>115</v>
      </c>
      <c r="B300" s="208"/>
      <c r="C300" s="208"/>
      <c r="D300" s="208"/>
      <c r="E300" s="208"/>
      <c r="F300" s="208"/>
      <c r="G300" s="208"/>
      <c r="H300" s="208"/>
      <c r="I300" s="208"/>
      <c r="J300" s="208"/>
      <c r="K300" s="208"/>
      <c r="L300" s="208"/>
      <c r="M300" s="209"/>
    </row>
    <row r="301" spans="1:13" x14ac:dyDescent="0.25">
      <c r="A301" s="207"/>
      <c r="B301" s="208"/>
      <c r="C301" s="208"/>
      <c r="D301" s="208"/>
      <c r="E301" s="208"/>
      <c r="F301" s="208"/>
      <c r="G301" s="208"/>
      <c r="H301" s="208"/>
      <c r="I301" s="208"/>
      <c r="J301" s="208"/>
      <c r="K301" s="208"/>
      <c r="L301" s="208"/>
      <c r="M301" s="209"/>
    </row>
    <row r="302" spans="1:13" x14ac:dyDescent="0.25">
      <c r="A302" s="15" t="s">
        <v>83</v>
      </c>
      <c r="B302" s="27">
        <v>1983</v>
      </c>
      <c r="C302" s="15">
        <v>949</v>
      </c>
      <c r="D302" s="27">
        <v>70</v>
      </c>
      <c r="E302" s="15">
        <v>25</v>
      </c>
      <c r="F302" s="15">
        <v>1842</v>
      </c>
      <c r="G302" s="15">
        <v>890</v>
      </c>
      <c r="H302" s="15">
        <v>69</v>
      </c>
      <c r="I302" s="15">
        <v>25</v>
      </c>
      <c r="J302" s="15">
        <v>141</v>
      </c>
      <c r="K302" s="15">
        <v>59</v>
      </c>
      <c r="L302" s="15">
        <v>1</v>
      </c>
      <c r="M302" s="15" t="s">
        <v>84</v>
      </c>
    </row>
    <row r="303" spans="1:13" ht="30" x14ac:dyDescent="0.25">
      <c r="A303" s="15" t="s">
        <v>151</v>
      </c>
      <c r="B303" s="15">
        <v>592</v>
      </c>
      <c r="C303" s="15">
        <v>321</v>
      </c>
      <c r="D303" s="15">
        <v>4</v>
      </c>
      <c r="E303" s="15">
        <v>4</v>
      </c>
      <c r="F303" s="15">
        <v>488</v>
      </c>
      <c r="G303" s="15">
        <v>272</v>
      </c>
      <c r="H303" s="15">
        <v>4</v>
      </c>
      <c r="I303" s="15">
        <v>4</v>
      </c>
      <c r="J303" s="15">
        <v>104</v>
      </c>
      <c r="K303" s="15">
        <v>49</v>
      </c>
      <c r="L303" s="15" t="s">
        <v>84</v>
      </c>
      <c r="M303" s="15" t="s">
        <v>84</v>
      </c>
    </row>
    <row r="304" spans="1:13" ht="60" x14ac:dyDescent="0.25">
      <c r="A304" s="15" t="s">
        <v>152</v>
      </c>
      <c r="B304" s="15">
        <v>41</v>
      </c>
      <c r="C304" s="15">
        <v>22</v>
      </c>
      <c r="D304" s="15" t="s">
        <v>84</v>
      </c>
      <c r="E304" s="15" t="s">
        <v>84</v>
      </c>
      <c r="F304" s="15">
        <v>34</v>
      </c>
      <c r="G304" s="15">
        <v>19</v>
      </c>
      <c r="H304" s="15" t="s">
        <v>84</v>
      </c>
      <c r="I304" s="15" t="s">
        <v>84</v>
      </c>
      <c r="J304" s="15">
        <v>7</v>
      </c>
      <c r="K304" s="15">
        <v>3</v>
      </c>
      <c r="L304" s="15" t="s">
        <v>84</v>
      </c>
      <c r="M304" s="15" t="s">
        <v>84</v>
      </c>
    </row>
    <row r="305" spans="1:13" ht="30" x14ac:dyDescent="0.25">
      <c r="A305" s="15" t="s">
        <v>85</v>
      </c>
      <c r="B305" s="15">
        <v>957</v>
      </c>
      <c r="C305" s="15">
        <v>470</v>
      </c>
      <c r="D305" s="15">
        <v>36</v>
      </c>
      <c r="E305" s="15">
        <v>16</v>
      </c>
      <c r="F305" s="15">
        <v>952</v>
      </c>
      <c r="G305" s="15">
        <v>467</v>
      </c>
      <c r="H305" s="15">
        <v>36</v>
      </c>
      <c r="I305" s="15">
        <v>16</v>
      </c>
      <c r="J305" s="15">
        <v>5</v>
      </c>
      <c r="K305" s="15">
        <v>3</v>
      </c>
      <c r="L305" s="15" t="s">
        <v>84</v>
      </c>
      <c r="M305" s="15" t="s">
        <v>84</v>
      </c>
    </row>
    <row r="306" spans="1:13" ht="30" x14ac:dyDescent="0.25">
      <c r="A306" s="15" t="s">
        <v>86</v>
      </c>
      <c r="B306" s="15">
        <v>282</v>
      </c>
      <c r="C306" s="15">
        <v>103</v>
      </c>
      <c r="D306" s="15">
        <v>13</v>
      </c>
      <c r="E306" s="15">
        <v>3</v>
      </c>
      <c r="F306" s="15">
        <v>272</v>
      </c>
      <c r="G306" s="15">
        <v>102</v>
      </c>
      <c r="H306" s="15">
        <v>13</v>
      </c>
      <c r="I306" s="15">
        <v>3</v>
      </c>
      <c r="J306" s="15">
        <v>10</v>
      </c>
      <c r="K306" s="15">
        <v>1</v>
      </c>
      <c r="L306" s="15" t="s">
        <v>84</v>
      </c>
      <c r="M306" s="15" t="s">
        <v>84</v>
      </c>
    </row>
    <row r="307" spans="1:13" ht="45" x14ac:dyDescent="0.25">
      <c r="A307" s="15" t="s">
        <v>87</v>
      </c>
      <c r="B307" s="15">
        <v>111</v>
      </c>
      <c r="C307" s="15">
        <v>33</v>
      </c>
      <c r="D307" s="15">
        <v>17</v>
      </c>
      <c r="E307" s="15">
        <v>2</v>
      </c>
      <c r="F307" s="15">
        <v>96</v>
      </c>
      <c r="G307" s="15">
        <v>30</v>
      </c>
      <c r="H307" s="15">
        <v>16</v>
      </c>
      <c r="I307" s="15">
        <v>2</v>
      </c>
      <c r="J307" s="15">
        <v>15</v>
      </c>
      <c r="K307" s="15">
        <v>3</v>
      </c>
      <c r="L307" s="15">
        <v>1</v>
      </c>
      <c r="M307" s="15" t="s">
        <v>84</v>
      </c>
    </row>
    <row r="308" spans="1:13" ht="45" x14ac:dyDescent="0.25">
      <c r="A308" s="15" t="s">
        <v>153</v>
      </c>
      <c r="B308" s="15">
        <v>33</v>
      </c>
      <c r="C308" s="15">
        <v>13</v>
      </c>
      <c r="D308" s="15">
        <v>1</v>
      </c>
      <c r="E308" s="15">
        <v>1</v>
      </c>
      <c r="F308" s="15">
        <v>32</v>
      </c>
      <c r="G308" s="15">
        <v>13</v>
      </c>
      <c r="H308" s="15">
        <v>1</v>
      </c>
      <c r="I308" s="15">
        <v>1</v>
      </c>
      <c r="J308" s="15">
        <v>1</v>
      </c>
      <c r="K308" s="15" t="s">
        <v>84</v>
      </c>
      <c r="L308" s="15" t="s">
        <v>84</v>
      </c>
      <c r="M308" s="15" t="s">
        <v>84</v>
      </c>
    </row>
    <row r="309" spans="1:13" ht="60" x14ac:dyDescent="0.25">
      <c r="A309" s="15" t="s">
        <v>154</v>
      </c>
      <c r="B309" s="15">
        <v>14</v>
      </c>
      <c r="C309" s="15">
        <v>3</v>
      </c>
      <c r="D309" s="15">
        <v>1</v>
      </c>
      <c r="E309" s="15" t="s">
        <v>84</v>
      </c>
      <c r="F309" s="15" t="s">
        <v>84</v>
      </c>
      <c r="G309" s="15" t="s">
        <v>84</v>
      </c>
      <c r="H309" s="15" t="s">
        <v>84</v>
      </c>
      <c r="I309" s="15" t="s">
        <v>84</v>
      </c>
      <c r="J309" s="15">
        <v>14</v>
      </c>
      <c r="K309" s="15">
        <v>3</v>
      </c>
      <c r="L309" s="15">
        <v>1</v>
      </c>
      <c r="M309" s="15" t="s">
        <v>84</v>
      </c>
    </row>
    <row r="310" spans="1:13" ht="15" customHeight="1" x14ac:dyDescent="0.25">
      <c r="A310" s="207" t="s">
        <v>116</v>
      </c>
      <c r="B310" s="208"/>
      <c r="C310" s="208"/>
      <c r="D310" s="208"/>
      <c r="E310" s="208"/>
      <c r="F310" s="208"/>
      <c r="G310" s="208"/>
      <c r="H310" s="208"/>
      <c r="I310" s="208"/>
      <c r="J310" s="208"/>
      <c r="K310" s="208"/>
      <c r="L310" s="208"/>
      <c r="M310" s="209"/>
    </row>
    <row r="311" spans="1:13" x14ac:dyDescent="0.25">
      <c r="A311" s="207"/>
      <c r="B311" s="208"/>
      <c r="C311" s="208"/>
      <c r="D311" s="208"/>
      <c r="E311" s="208"/>
      <c r="F311" s="208"/>
      <c r="G311" s="208"/>
      <c r="H311" s="208"/>
      <c r="I311" s="208"/>
      <c r="J311" s="208"/>
      <c r="K311" s="208"/>
      <c r="L311" s="208"/>
      <c r="M311" s="209"/>
    </row>
    <row r="312" spans="1:13" x14ac:dyDescent="0.25">
      <c r="A312" s="15" t="s">
        <v>83</v>
      </c>
      <c r="B312" s="27">
        <v>1548</v>
      </c>
      <c r="C312" s="15">
        <v>772</v>
      </c>
      <c r="D312" s="27">
        <v>60</v>
      </c>
      <c r="E312" s="15">
        <v>27</v>
      </c>
      <c r="F312" s="15">
        <v>1504</v>
      </c>
      <c r="G312" s="15">
        <v>745</v>
      </c>
      <c r="H312" s="15">
        <v>60</v>
      </c>
      <c r="I312" s="15">
        <v>27</v>
      </c>
      <c r="J312" s="15">
        <v>44</v>
      </c>
      <c r="K312" s="15">
        <v>27</v>
      </c>
      <c r="L312" s="15" t="s">
        <v>84</v>
      </c>
      <c r="M312" s="15" t="s">
        <v>84</v>
      </c>
    </row>
    <row r="313" spans="1:13" ht="30" x14ac:dyDescent="0.25">
      <c r="A313" s="15" t="s">
        <v>151</v>
      </c>
      <c r="B313" s="15">
        <v>490</v>
      </c>
      <c r="C313" s="15">
        <v>282</v>
      </c>
      <c r="D313" s="15">
        <v>3</v>
      </c>
      <c r="E313" s="15">
        <v>1</v>
      </c>
      <c r="F313" s="15">
        <v>477</v>
      </c>
      <c r="G313" s="15">
        <v>272</v>
      </c>
      <c r="H313" s="15">
        <v>3</v>
      </c>
      <c r="I313" s="15">
        <v>1</v>
      </c>
      <c r="J313" s="15">
        <v>13</v>
      </c>
      <c r="K313" s="15">
        <v>10</v>
      </c>
      <c r="L313" s="15" t="s">
        <v>84</v>
      </c>
      <c r="M313" s="15" t="s">
        <v>84</v>
      </c>
    </row>
    <row r="314" spans="1:13" ht="60" x14ac:dyDescent="0.25">
      <c r="A314" s="15" t="s">
        <v>152</v>
      </c>
      <c r="B314" s="15">
        <v>25</v>
      </c>
      <c r="C314" s="15">
        <v>10</v>
      </c>
      <c r="D314" s="15" t="s">
        <v>84</v>
      </c>
      <c r="E314" s="15" t="s">
        <v>84</v>
      </c>
      <c r="F314" s="15">
        <v>25</v>
      </c>
      <c r="G314" s="15">
        <v>10</v>
      </c>
      <c r="H314" s="15" t="s">
        <v>84</v>
      </c>
      <c r="I314" s="15" t="s">
        <v>84</v>
      </c>
      <c r="J314" s="15" t="s">
        <v>84</v>
      </c>
      <c r="K314" s="15" t="s">
        <v>84</v>
      </c>
      <c r="L314" s="15" t="s">
        <v>84</v>
      </c>
      <c r="M314" s="15" t="s">
        <v>84</v>
      </c>
    </row>
    <row r="315" spans="1:13" ht="30" x14ac:dyDescent="0.25">
      <c r="A315" s="15" t="s">
        <v>85</v>
      </c>
      <c r="B315" s="15">
        <v>761</v>
      </c>
      <c r="C315" s="15">
        <v>374</v>
      </c>
      <c r="D315" s="15">
        <v>21</v>
      </c>
      <c r="E315" s="15">
        <v>10</v>
      </c>
      <c r="F315" s="15">
        <v>748</v>
      </c>
      <c r="G315" s="15">
        <v>368</v>
      </c>
      <c r="H315" s="15">
        <v>21</v>
      </c>
      <c r="I315" s="15">
        <v>10</v>
      </c>
      <c r="J315" s="15">
        <v>13</v>
      </c>
      <c r="K315" s="15">
        <v>6</v>
      </c>
      <c r="L315" s="15" t="s">
        <v>84</v>
      </c>
      <c r="M315" s="15" t="s">
        <v>84</v>
      </c>
    </row>
    <row r="316" spans="1:13" ht="30" x14ac:dyDescent="0.25">
      <c r="A316" s="15" t="s">
        <v>86</v>
      </c>
      <c r="B316" s="15">
        <v>175</v>
      </c>
      <c r="C316" s="15">
        <v>60</v>
      </c>
      <c r="D316" s="15">
        <v>19</v>
      </c>
      <c r="E316" s="15">
        <v>8</v>
      </c>
      <c r="F316" s="15">
        <v>173</v>
      </c>
      <c r="G316" s="15">
        <v>60</v>
      </c>
      <c r="H316" s="15">
        <v>19</v>
      </c>
      <c r="I316" s="15">
        <v>8</v>
      </c>
      <c r="J316" s="15">
        <v>2</v>
      </c>
      <c r="K316" s="15" t="s">
        <v>84</v>
      </c>
      <c r="L316" s="15" t="s">
        <v>84</v>
      </c>
      <c r="M316" s="15" t="s">
        <v>84</v>
      </c>
    </row>
    <row r="317" spans="1:13" ht="45" x14ac:dyDescent="0.25">
      <c r="A317" s="15" t="s">
        <v>87</v>
      </c>
      <c r="B317" s="15">
        <v>97</v>
      </c>
      <c r="C317" s="15">
        <v>46</v>
      </c>
      <c r="D317" s="15">
        <v>17</v>
      </c>
      <c r="E317" s="15">
        <v>8</v>
      </c>
      <c r="F317" s="15">
        <v>81</v>
      </c>
      <c r="G317" s="15">
        <v>35</v>
      </c>
      <c r="H317" s="15">
        <v>17</v>
      </c>
      <c r="I317" s="15">
        <v>8</v>
      </c>
      <c r="J317" s="15">
        <v>16</v>
      </c>
      <c r="K317" s="15">
        <v>11</v>
      </c>
      <c r="L317" s="15" t="s">
        <v>84</v>
      </c>
      <c r="M317" s="15" t="s">
        <v>84</v>
      </c>
    </row>
    <row r="318" spans="1:13" ht="45" x14ac:dyDescent="0.25">
      <c r="A318" s="15" t="s">
        <v>153</v>
      </c>
      <c r="B318" s="15">
        <v>30</v>
      </c>
      <c r="C318" s="15">
        <v>13</v>
      </c>
      <c r="D318" s="15">
        <v>1</v>
      </c>
      <c r="E318" s="15">
        <v>1</v>
      </c>
      <c r="F318" s="15">
        <v>30</v>
      </c>
      <c r="G318" s="15">
        <v>13</v>
      </c>
      <c r="H318" s="15">
        <v>1</v>
      </c>
      <c r="I318" s="15">
        <v>1</v>
      </c>
      <c r="J318" s="15" t="s">
        <v>84</v>
      </c>
      <c r="K318" s="15" t="s">
        <v>84</v>
      </c>
      <c r="L318" s="15" t="s">
        <v>84</v>
      </c>
      <c r="M318" s="15" t="s">
        <v>84</v>
      </c>
    </row>
    <row r="319" spans="1:13" ht="60" x14ac:dyDescent="0.25">
      <c r="A319" s="15" t="s">
        <v>154</v>
      </c>
      <c r="B319" s="15">
        <v>14</v>
      </c>
      <c r="C319" s="15">
        <v>10</v>
      </c>
      <c r="D319" s="15" t="s">
        <v>84</v>
      </c>
      <c r="E319" s="15" t="s">
        <v>84</v>
      </c>
      <c r="F319" s="15" t="s">
        <v>84</v>
      </c>
      <c r="G319" s="15" t="s">
        <v>84</v>
      </c>
      <c r="H319" s="15" t="s">
        <v>84</v>
      </c>
      <c r="I319" s="15" t="s">
        <v>84</v>
      </c>
      <c r="J319" s="15">
        <v>14</v>
      </c>
      <c r="K319" s="15">
        <v>10</v>
      </c>
      <c r="L319" s="15" t="s">
        <v>84</v>
      </c>
      <c r="M319" s="15" t="s">
        <v>84</v>
      </c>
    </row>
    <row r="320" spans="1:13" ht="15" customHeight="1" x14ac:dyDescent="0.25">
      <c r="A320" s="207" t="s">
        <v>117</v>
      </c>
      <c r="B320" s="208"/>
      <c r="C320" s="208"/>
      <c r="D320" s="208"/>
      <c r="E320" s="208"/>
      <c r="F320" s="208"/>
      <c r="G320" s="208"/>
      <c r="H320" s="208"/>
      <c r="I320" s="208"/>
      <c r="J320" s="208"/>
      <c r="K320" s="208"/>
      <c r="L320" s="208"/>
      <c r="M320" s="209"/>
    </row>
    <row r="321" spans="1:13" x14ac:dyDescent="0.25">
      <c r="A321" s="207"/>
      <c r="B321" s="208"/>
      <c r="C321" s="208"/>
      <c r="D321" s="208"/>
      <c r="E321" s="208"/>
      <c r="F321" s="208"/>
      <c r="G321" s="208"/>
      <c r="H321" s="208"/>
      <c r="I321" s="208"/>
      <c r="J321" s="208"/>
      <c r="K321" s="208"/>
      <c r="L321" s="208"/>
      <c r="M321" s="209"/>
    </row>
    <row r="322" spans="1:13" x14ac:dyDescent="0.25">
      <c r="A322" s="15" t="s">
        <v>83</v>
      </c>
      <c r="B322" s="27">
        <v>2249</v>
      </c>
      <c r="C322" s="15">
        <v>1119</v>
      </c>
      <c r="D322" s="27">
        <v>108</v>
      </c>
      <c r="E322" s="15">
        <v>55</v>
      </c>
      <c r="F322" s="15">
        <v>2212</v>
      </c>
      <c r="G322" s="15">
        <v>1102</v>
      </c>
      <c r="H322" s="15">
        <v>108</v>
      </c>
      <c r="I322" s="15">
        <v>55</v>
      </c>
      <c r="J322" s="15">
        <v>37</v>
      </c>
      <c r="K322" s="15">
        <v>17</v>
      </c>
      <c r="L322" s="15" t="s">
        <v>84</v>
      </c>
      <c r="M322" s="15" t="s">
        <v>84</v>
      </c>
    </row>
    <row r="323" spans="1:13" ht="30" x14ac:dyDescent="0.25">
      <c r="A323" s="15" t="s">
        <v>151</v>
      </c>
      <c r="B323" s="15">
        <v>645</v>
      </c>
      <c r="C323" s="15">
        <v>380</v>
      </c>
      <c r="D323" s="15">
        <v>12</v>
      </c>
      <c r="E323" s="15">
        <v>6</v>
      </c>
      <c r="F323" s="15">
        <v>630</v>
      </c>
      <c r="G323" s="15">
        <v>375</v>
      </c>
      <c r="H323" s="15">
        <v>12</v>
      </c>
      <c r="I323" s="15">
        <v>6</v>
      </c>
      <c r="J323" s="15">
        <v>15</v>
      </c>
      <c r="K323" s="15">
        <v>5</v>
      </c>
      <c r="L323" s="15" t="s">
        <v>84</v>
      </c>
      <c r="M323" s="15" t="s">
        <v>84</v>
      </c>
    </row>
    <row r="324" spans="1:13" ht="60" x14ac:dyDescent="0.25">
      <c r="A324" s="15" t="s">
        <v>152</v>
      </c>
      <c r="B324" s="15">
        <v>69</v>
      </c>
      <c r="C324" s="15">
        <v>24</v>
      </c>
      <c r="D324" s="15">
        <v>3</v>
      </c>
      <c r="E324" s="15" t="s">
        <v>84</v>
      </c>
      <c r="F324" s="15">
        <v>69</v>
      </c>
      <c r="G324" s="15">
        <v>24</v>
      </c>
      <c r="H324" s="15">
        <v>3</v>
      </c>
      <c r="I324" s="15" t="s">
        <v>84</v>
      </c>
      <c r="J324" s="15" t="s">
        <v>84</v>
      </c>
      <c r="K324" s="15" t="s">
        <v>84</v>
      </c>
      <c r="L324" s="15" t="s">
        <v>84</v>
      </c>
      <c r="M324" s="15" t="s">
        <v>84</v>
      </c>
    </row>
    <row r="325" spans="1:13" ht="30" x14ac:dyDescent="0.25">
      <c r="A325" s="15" t="s">
        <v>85</v>
      </c>
      <c r="B325" s="15">
        <v>1109</v>
      </c>
      <c r="C325" s="15">
        <v>529</v>
      </c>
      <c r="D325" s="15">
        <v>40</v>
      </c>
      <c r="E325" s="15">
        <v>22</v>
      </c>
      <c r="F325" s="15">
        <v>1096</v>
      </c>
      <c r="G325" s="15">
        <v>522</v>
      </c>
      <c r="H325" s="15">
        <v>40</v>
      </c>
      <c r="I325" s="15">
        <v>22</v>
      </c>
      <c r="J325" s="15">
        <v>13</v>
      </c>
      <c r="K325" s="15">
        <v>7</v>
      </c>
      <c r="L325" s="15" t="s">
        <v>84</v>
      </c>
      <c r="M325" s="15" t="s">
        <v>84</v>
      </c>
    </row>
    <row r="326" spans="1:13" ht="30" x14ac:dyDescent="0.25">
      <c r="A326" s="15" t="s">
        <v>86</v>
      </c>
      <c r="B326" s="15">
        <v>317</v>
      </c>
      <c r="C326" s="15">
        <v>132</v>
      </c>
      <c r="D326" s="15">
        <v>24</v>
      </c>
      <c r="E326" s="15">
        <v>13</v>
      </c>
      <c r="F326" s="15">
        <v>309</v>
      </c>
      <c r="G326" s="15">
        <v>128</v>
      </c>
      <c r="H326" s="15">
        <v>24</v>
      </c>
      <c r="I326" s="15">
        <v>13</v>
      </c>
      <c r="J326" s="15">
        <v>8</v>
      </c>
      <c r="K326" s="15">
        <v>4</v>
      </c>
      <c r="L326" s="15" t="s">
        <v>84</v>
      </c>
      <c r="M326" s="15" t="s">
        <v>84</v>
      </c>
    </row>
    <row r="327" spans="1:13" ht="45" x14ac:dyDescent="0.25">
      <c r="A327" s="15" t="s">
        <v>87</v>
      </c>
      <c r="B327" s="15">
        <v>109</v>
      </c>
      <c r="C327" s="15">
        <v>54</v>
      </c>
      <c r="D327" s="15">
        <v>29</v>
      </c>
      <c r="E327" s="15">
        <v>14</v>
      </c>
      <c r="F327" s="15">
        <v>108</v>
      </c>
      <c r="G327" s="15">
        <v>53</v>
      </c>
      <c r="H327" s="15">
        <v>29</v>
      </c>
      <c r="I327" s="15">
        <v>14</v>
      </c>
      <c r="J327" s="15">
        <v>1</v>
      </c>
      <c r="K327" s="15">
        <v>1</v>
      </c>
      <c r="L327" s="15" t="s">
        <v>84</v>
      </c>
      <c r="M327" s="15" t="s">
        <v>84</v>
      </c>
    </row>
    <row r="328" spans="1:13" ht="45" x14ac:dyDescent="0.25">
      <c r="A328" s="15" t="s">
        <v>153</v>
      </c>
      <c r="B328" s="15">
        <v>14</v>
      </c>
      <c r="C328" s="15">
        <v>7</v>
      </c>
      <c r="D328" s="15" t="s">
        <v>84</v>
      </c>
      <c r="E328" s="15" t="s">
        <v>84</v>
      </c>
      <c r="F328" s="15">
        <v>14</v>
      </c>
      <c r="G328" s="15">
        <v>7</v>
      </c>
      <c r="H328" s="15" t="s">
        <v>84</v>
      </c>
      <c r="I328" s="15" t="s">
        <v>84</v>
      </c>
      <c r="J328" s="15" t="s">
        <v>84</v>
      </c>
      <c r="K328" s="15" t="s">
        <v>84</v>
      </c>
      <c r="L328" s="15" t="s">
        <v>84</v>
      </c>
      <c r="M328" s="15" t="s">
        <v>84</v>
      </c>
    </row>
    <row r="329" spans="1:13" ht="60" x14ac:dyDescent="0.25">
      <c r="A329" s="15" t="s">
        <v>154</v>
      </c>
      <c r="B329" s="15">
        <v>8</v>
      </c>
      <c r="C329" s="15">
        <v>4</v>
      </c>
      <c r="D329" s="15">
        <v>2</v>
      </c>
      <c r="E329" s="15">
        <v>1</v>
      </c>
      <c r="F329" s="15">
        <v>8</v>
      </c>
      <c r="G329" s="15">
        <v>4</v>
      </c>
      <c r="H329" s="15">
        <v>2</v>
      </c>
      <c r="I329" s="15">
        <v>1</v>
      </c>
      <c r="J329" s="15" t="s">
        <v>84</v>
      </c>
      <c r="K329" s="15" t="s">
        <v>84</v>
      </c>
      <c r="L329" s="15" t="s">
        <v>84</v>
      </c>
      <c r="M329" s="15" t="s">
        <v>84</v>
      </c>
    </row>
    <row r="330" spans="1:13" ht="15" customHeight="1" x14ac:dyDescent="0.25">
      <c r="A330" s="207" t="s">
        <v>118</v>
      </c>
      <c r="B330" s="208"/>
      <c r="C330" s="208"/>
      <c r="D330" s="208"/>
      <c r="E330" s="208"/>
      <c r="F330" s="208"/>
      <c r="G330" s="208"/>
      <c r="H330" s="208"/>
      <c r="I330" s="208"/>
      <c r="J330" s="208"/>
      <c r="K330" s="208"/>
      <c r="L330" s="208"/>
      <c r="M330" s="209"/>
    </row>
    <row r="331" spans="1:13" x14ac:dyDescent="0.25">
      <c r="A331" s="207"/>
      <c r="B331" s="208"/>
      <c r="C331" s="208"/>
      <c r="D331" s="208"/>
      <c r="E331" s="208"/>
      <c r="F331" s="208"/>
      <c r="G331" s="208"/>
      <c r="H331" s="208"/>
      <c r="I331" s="208"/>
      <c r="J331" s="208"/>
      <c r="K331" s="208"/>
      <c r="L331" s="208"/>
      <c r="M331" s="209"/>
    </row>
    <row r="332" spans="1:13" x14ac:dyDescent="0.25">
      <c r="A332" s="15" t="s">
        <v>83</v>
      </c>
      <c r="B332" s="27">
        <v>938</v>
      </c>
      <c r="C332" s="15">
        <v>436</v>
      </c>
      <c r="D332" s="27">
        <v>39</v>
      </c>
      <c r="E332" s="15">
        <v>15</v>
      </c>
      <c r="F332" s="15">
        <v>929</v>
      </c>
      <c r="G332" s="15">
        <v>435</v>
      </c>
      <c r="H332" s="15">
        <v>39</v>
      </c>
      <c r="I332" s="15">
        <v>15</v>
      </c>
      <c r="J332" s="15">
        <v>9</v>
      </c>
      <c r="K332" s="15">
        <v>1</v>
      </c>
      <c r="L332" s="15" t="s">
        <v>84</v>
      </c>
      <c r="M332" s="15" t="s">
        <v>84</v>
      </c>
    </row>
    <row r="333" spans="1:13" ht="30" x14ac:dyDescent="0.25">
      <c r="A333" s="15" t="s">
        <v>151</v>
      </c>
      <c r="B333" s="15">
        <v>288</v>
      </c>
      <c r="C333" s="15">
        <v>158</v>
      </c>
      <c r="D333" s="15">
        <v>7</v>
      </c>
      <c r="E333" s="15">
        <v>2</v>
      </c>
      <c r="F333" s="15">
        <v>288</v>
      </c>
      <c r="G333" s="15">
        <v>158</v>
      </c>
      <c r="H333" s="15">
        <v>7</v>
      </c>
      <c r="I333" s="15">
        <v>2</v>
      </c>
      <c r="J333" s="15" t="s">
        <v>84</v>
      </c>
      <c r="K333" s="15" t="s">
        <v>84</v>
      </c>
      <c r="L333" s="15" t="s">
        <v>84</v>
      </c>
      <c r="M333" s="15" t="s">
        <v>84</v>
      </c>
    </row>
    <row r="334" spans="1:13" ht="60" x14ac:dyDescent="0.25">
      <c r="A334" s="15" t="s">
        <v>152</v>
      </c>
      <c r="B334" s="15">
        <v>15</v>
      </c>
      <c r="C334" s="15">
        <v>6</v>
      </c>
      <c r="D334" s="15" t="s">
        <v>84</v>
      </c>
      <c r="E334" s="15" t="s">
        <v>84</v>
      </c>
      <c r="F334" s="15">
        <v>15</v>
      </c>
      <c r="G334" s="15">
        <v>6</v>
      </c>
      <c r="H334" s="15" t="s">
        <v>84</v>
      </c>
      <c r="I334" s="15" t="s">
        <v>84</v>
      </c>
      <c r="J334" s="15" t="s">
        <v>84</v>
      </c>
      <c r="K334" s="15" t="s">
        <v>84</v>
      </c>
      <c r="L334" s="15" t="s">
        <v>84</v>
      </c>
      <c r="M334" s="15" t="s">
        <v>84</v>
      </c>
    </row>
    <row r="335" spans="1:13" ht="30" x14ac:dyDescent="0.25">
      <c r="A335" s="15" t="s">
        <v>85</v>
      </c>
      <c r="B335" s="15">
        <v>453</v>
      </c>
      <c r="C335" s="15">
        <v>195</v>
      </c>
      <c r="D335" s="15">
        <v>8</v>
      </c>
      <c r="E335" s="15">
        <v>5</v>
      </c>
      <c r="F335" s="15">
        <v>453</v>
      </c>
      <c r="G335" s="15">
        <v>195</v>
      </c>
      <c r="H335" s="15">
        <v>8</v>
      </c>
      <c r="I335" s="15">
        <v>5</v>
      </c>
      <c r="J335" s="15" t="s">
        <v>84</v>
      </c>
      <c r="K335" s="15" t="s">
        <v>84</v>
      </c>
      <c r="L335" s="15" t="s">
        <v>84</v>
      </c>
      <c r="M335" s="15" t="s">
        <v>84</v>
      </c>
    </row>
    <row r="336" spans="1:13" ht="30" x14ac:dyDescent="0.25">
      <c r="A336" s="15" t="s">
        <v>86</v>
      </c>
      <c r="B336" s="15">
        <v>127</v>
      </c>
      <c r="C336" s="15">
        <v>57</v>
      </c>
      <c r="D336" s="15">
        <v>7</v>
      </c>
      <c r="E336" s="15">
        <v>4</v>
      </c>
      <c r="F336" s="15">
        <v>123</v>
      </c>
      <c r="G336" s="15">
        <v>56</v>
      </c>
      <c r="H336" s="15">
        <v>7</v>
      </c>
      <c r="I336" s="15">
        <v>4</v>
      </c>
      <c r="J336" s="15">
        <v>4</v>
      </c>
      <c r="K336" s="15">
        <v>1</v>
      </c>
      <c r="L336" s="15" t="s">
        <v>84</v>
      </c>
      <c r="M336" s="15" t="s">
        <v>84</v>
      </c>
    </row>
    <row r="337" spans="1:13" ht="45" x14ac:dyDescent="0.25">
      <c r="A337" s="15" t="s">
        <v>87</v>
      </c>
      <c r="B337" s="15">
        <v>55</v>
      </c>
      <c r="C337" s="15">
        <v>20</v>
      </c>
      <c r="D337" s="15">
        <v>17</v>
      </c>
      <c r="E337" s="15">
        <v>4</v>
      </c>
      <c r="F337" s="15">
        <v>50</v>
      </c>
      <c r="G337" s="15">
        <v>20</v>
      </c>
      <c r="H337" s="15">
        <v>17</v>
      </c>
      <c r="I337" s="15">
        <v>4</v>
      </c>
      <c r="J337" s="15">
        <v>5</v>
      </c>
      <c r="K337" s="15" t="s">
        <v>84</v>
      </c>
      <c r="L337" s="15" t="s">
        <v>84</v>
      </c>
      <c r="M337" s="15" t="s">
        <v>84</v>
      </c>
    </row>
    <row r="338" spans="1:13" ht="45" x14ac:dyDescent="0.25">
      <c r="A338" s="15" t="s">
        <v>153</v>
      </c>
      <c r="B338" s="15">
        <v>3</v>
      </c>
      <c r="C338" s="15" t="s">
        <v>84</v>
      </c>
      <c r="D338" s="15" t="s">
        <v>84</v>
      </c>
      <c r="E338" s="15" t="s">
        <v>84</v>
      </c>
      <c r="F338" s="15" t="s">
        <v>84</v>
      </c>
      <c r="G338" s="15" t="s">
        <v>84</v>
      </c>
      <c r="H338" s="15" t="s">
        <v>84</v>
      </c>
      <c r="I338" s="15" t="s">
        <v>84</v>
      </c>
      <c r="J338" s="15">
        <v>3</v>
      </c>
      <c r="K338" s="15" t="s">
        <v>84</v>
      </c>
      <c r="L338" s="15" t="s">
        <v>84</v>
      </c>
      <c r="M338" s="15" t="s">
        <v>84</v>
      </c>
    </row>
    <row r="339" spans="1:13" ht="15" customHeight="1" x14ac:dyDescent="0.25">
      <c r="A339" s="207" t="s">
        <v>119</v>
      </c>
      <c r="B339" s="208"/>
      <c r="C339" s="208"/>
      <c r="D339" s="208"/>
      <c r="E339" s="208"/>
      <c r="F339" s="208"/>
      <c r="G339" s="208"/>
      <c r="H339" s="208"/>
      <c r="I339" s="208"/>
      <c r="J339" s="208"/>
      <c r="K339" s="208"/>
      <c r="L339" s="208"/>
      <c r="M339" s="209"/>
    </row>
    <row r="340" spans="1:13" x14ac:dyDescent="0.25">
      <c r="A340" s="207"/>
      <c r="B340" s="208"/>
      <c r="C340" s="208"/>
      <c r="D340" s="208"/>
      <c r="E340" s="208"/>
      <c r="F340" s="208"/>
      <c r="G340" s="208"/>
      <c r="H340" s="208"/>
      <c r="I340" s="208"/>
      <c r="J340" s="208"/>
      <c r="K340" s="208"/>
      <c r="L340" s="208"/>
      <c r="M340" s="209"/>
    </row>
    <row r="341" spans="1:13" x14ac:dyDescent="0.25">
      <c r="A341" s="15" t="s">
        <v>83</v>
      </c>
      <c r="B341" s="27">
        <v>1433</v>
      </c>
      <c r="C341" s="15">
        <v>672</v>
      </c>
      <c r="D341" s="27">
        <v>70</v>
      </c>
      <c r="E341" s="15">
        <v>28</v>
      </c>
      <c r="F341" s="15">
        <v>1385</v>
      </c>
      <c r="G341" s="15">
        <v>650</v>
      </c>
      <c r="H341" s="15">
        <v>70</v>
      </c>
      <c r="I341" s="15">
        <v>28</v>
      </c>
      <c r="J341" s="15">
        <v>48</v>
      </c>
      <c r="K341" s="15">
        <v>22</v>
      </c>
      <c r="L341" s="15" t="s">
        <v>84</v>
      </c>
      <c r="M341" s="15" t="s">
        <v>84</v>
      </c>
    </row>
    <row r="342" spans="1:13" ht="30" x14ac:dyDescent="0.25">
      <c r="A342" s="15" t="s">
        <v>151</v>
      </c>
      <c r="B342" s="15">
        <v>478</v>
      </c>
      <c r="C342" s="15">
        <v>246</v>
      </c>
      <c r="D342" s="15">
        <v>7</v>
      </c>
      <c r="E342" s="15">
        <v>3</v>
      </c>
      <c r="F342" s="15">
        <v>459</v>
      </c>
      <c r="G342" s="15">
        <v>234</v>
      </c>
      <c r="H342" s="15">
        <v>7</v>
      </c>
      <c r="I342" s="15">
        <v>3</v>
      </c>
      <c r="J342" s="15">
        <v>19</v>
      </c>
      <c r="K342" s="15">
        <v>12</v>
      </c>
      <c r="L342" s="15" t="s">
        <v>84</v>
      </c>
      <c r="M342" s="15" t="s">
        <v>84</v>
      </c>
    </row>
    <row r="343" spans="1:13" ht="60" x14ac:dyDescent="0.25">
      <c r="A343" s="15" t="s">
        <v>152</v>
      </c>
      <c r="B343" s="15">
        <v>28</v>
      </c>
      <c r="C343" s="15">
        <v>16</v>
      </c>
      <c r="D343" s="15" t="s">
        <v>84</v>
      </c>
      <c r="E343" s="15" t="s">
        <v>84</v>
      </c>
      <c r="F343" s="15">
        <v>28</v>
      </c>
      <c r="G343" s="15">
        <v>16</v>
      </c>
      <c r="H343" s="15" t="s">
        <v>84</v>
      </c>
      <c r="I343" s="15" t="s">
        <v>84</v>
      </c>
      <c r="J343" s="15" t="s">
        <v>84</v>
      </c>
      <c r="K343" s="15" t="s">
        <v>84</v>
      </c>
      <c r="L343" s="15" t="s">
        <v>84</v>
      </c>
      <c r="M343" s="15" t="s">
        <v>84</v>
      </c>
    </row>
    <row r="344" spans="1:13" ht="30" x14ac:dyDescent="0.25">
      <c r="A344" s="15" t="s">
        <v>85</v>
      </c>
      <c r="B344" s="15">
        <v>692</v>
      </c>
      <c r="C344" s="15">
        <v>323</v>
      </c>
      <c r="D344" s="15">
        <v>29</v>
      </c>
      <c r="E344" s="15">
        <v>14</v>
      </c>
      <c r="F344" s="15">
        <v>677</v>
      </c>
      <c r="G344" s="15">
        <v>315</v>
      </c>
      <c r="H344" s="15">
        <v>29</v>
      </c>
      <c r="I344" s="15">
        <v>14</v>
      </c>
      <c r="J344" s="15">
        <v>15</v>
      </c>
      <c r="K344" s="15">
        <v>8</v>
      </c>
      <c r="L344" s="15" t="s">
        <v>84</v>
      </c>
      <c r="M344" s="15" t="s">
        <v>84</v>
      </c>
    </row>
    <row r="345" spans="1:13" ht="30" x14ac:dyDescent="0.25">
      <c r="A345" s="15" t="s">
        <v>86</v>
      </c>
      <c r="B345" s="15">
        <v>177</v>
      </c>
      <c r="C345" s="15">
        <v>71</v>
      </c>
      <c r="D345" s="15">
        <v>10</v>
      </c>
      <c r="E345" s="15">
        <v>4</v>
      </c>
      <c r="F345" s="15">
        <v>168</v>
      </c>
      <c r="G345" s="15">
        <v>70</v>
      </c>
      <c r="H345" s="15">
        <v>10</v>
      </c>
      <c r="I345" s="15">
        <v>4</v>
      </c>
      <c r="J345" s="15">
        <v>9</v>
      </c>
      <c r="K345" s="15">
        <v>1</v>
      </c>
      <c r="L345" s="15" t="s">
        <v>84</v>
      </c>
      <c r="M345" s="15" t="s">
        <v>84</v>
      </c>
    </row>
    <row r="346" spans="1:13" ht="45" x14ac:dyDescent="0.25">
      <c r="A346" s="15" t="s">
        <v>87</v>
      </c>
      <c r="B346" s="15">
        <v>58</v>
      </c>
      <c r="C346" s="15">
        <v>16</v>
      </c>
      <c r="D346" s="15">
        <v>24</v>
      </c>
      <c r="E346" s="15">
        <v>7</v>
      </c>
      <c r="F346" s="15">
        <v>53</v>
      </c>
      <c r="G346" s="15">
        <v>15</v>
      </c>
      <c r="H346" s="15">
        <v>24</v>
      </c>
      <c r="I346" s="15">
        <v>7</v>
      </c>
      <c r="J346" s="15">
        <v>5</v>
      </c>
      <c r="K346" s="15">
        <v>1</v>
      </c>
      <c r="L346" s="15" t="s">
        <v>84</v>
      </c>
      <c r="M346" s="15" t="s">
        <v>84</v>
      </c>
    </row>
    <row r="347" spans="1:13" ht="45" x14ac:dyDescent="0.25">
      <c r="A347" s="15" t="s">
        <v>153</v>
      </c>
      <c r="B347" s="15">
        <v>15</v>
      </c>
      <c r="C347" s="15">
        <v>1</v>
      </c>
      <c r="D347" s="15">
        <v>3</v>
      </c>
      <c r="E347" s="15">
        <v>1</v>
      </c>
      <c r="F347" s="15">
        <v>14</v>
      </c>
      <c r="G347" s="15">
        <v>1</v>
      </c>
      <c r="H347" s="15">
        <v>3</v>
      </c>
      <c r="I347" s="15">
        <v>1</v>
      </c>
      <c r="J347" s="15">
        <v>1</v>
      </c>
      <c r="K347" s="15" t="s">
        <v>84</v>
      </c>
      <c r="L347" s="15" t="s">
        <v>84</v>
      </c>
      <c r="M347" s="15" t="s">
        <v>84</v>
      </c>
    </row>
    <row r="348" spans="1:13" ht="60" x14ac:dyDescent="0.25">
      <c r="A348" s="15" t="s">
        <v>154</v>
      </c>
      <c r="B348" s="15">
        <v>2</v>
      </c>
      <c r="C348" s="15">
        <v>1</v>
      </c>
      <c r="D348" s="15" t="s">
        <v>84</v>
      </c>
      <c r="E348" s="15" t="s">
        <v>84</v>
      </c>
      <c r="F348" s="15" t="s">
        <v>84</v>
      </c>
      <c r="G348" s="15" t="s">
        <v>84</v>
      </c>
      <c r="H348" s="15" t="s">
        <v>84</v>
      </c>
      <c r="I348" s="15" t="s">
        <v>84</v>
      </c>
      <c r="J348" s="15">
        <v>2</v>
      </c>
      <c r="K348" s="15">
        <v>1</v>
      </c>
      <c r="L348" s="15" t="s">
        <v>84</v>
      </c>
      <c r="M348" s="15" t="s">
        <v>84</v>
      </c>
    </row>
    <row r="349" spans="1:13" ht="15" customHeight="1" x14ac:dyDescent="0.25">
      <c r="A349" s="207" t="s">
        <v>120</v>
      </c>
      <c r="B349" s="208"/>
      <c r="C349" s="208"/>
      <c r="D349" s="208"/>
      <c r="E349" s="208"/>
      <c r="F349" s="208"/>
      <c r="G349" s="208"/>
      <c r="H349" s="208"/>
      <c r="I349" s="208"/>
      <c r="J349" s="208"/>
      <c r="K349" s="208"/>
      <c r="L349" s="208"/>
      <c r="M349" s="209"/>
    </row>
    <row r="350" spans="1:13" x14ac:dyDescent="0.25">
      <c r="A350" s="207"/>
      <c r="B350" s="208"/>
      <c r="C350" s="208"/>
      <c r="D350" s="208"/>
      <c r="E350" s="208"/>
      <c r="F350" s="208"/>
      <c r="G350" s="208"/>
      <c r="H350" s="208"/>
      <c r="I350" s="208"/>
      <c r="J350" s="208"/>
      <c r="K350" s="208"/>
      <c r="L350" s="208"/>
      <c r="M350" s="209"/>
    </row>
    <row r="351" spans="1:13" x14ac:dyDescent="0.25">
      <c r="A351" s="15" t="s">
        <v>83</v>
      </c>
      <c r="B351" s="27">
        <v>27849</v>
      </c>
      <c r="C351" s="15">
        <v>13381</v>
      </c>
      <c r="D351" s="27">
        <v>1742</v>
      </c>
      <c r="E351" s="15">
        <v>757</v>
      </c>
      <c r="F351" s="15">
        <v>24788</v>
      </c>
      <c r="G351" s="15">
        <v>11713</v>
      </c>
      <c r="H351" s="15">
        <v>1691</v>
      </c>
      <c r="I351" s="15">
        <v>731</v>
      </c>
      <c r="J351" s="15">
        <v>3061</v>
      </c>
      <c r="K351" s="15">
        <v>1668</v>
      </c>
      <c r="L351" s="15">
        <v>51</v>
      </c>
      <c r="M351" s="15">
        <v>26</v>
      </c>
    </row>
    <row r="352" spans="1:13" ht="30" x14ac:dyDescent="0.25">
      <c r="A352" s="15" t="s">
        <v>151</v>
      </c>
      <c r="B352" s="15">
        <v>7732</v>
      </c>
      <c r="C352" s="15">
        <v>4369</v>
      </c>
      <c r="D352" s="15">
        <v>102</v>
      </c>
      <c r="E352" s="15">
        <v>55</v>
      </c>
      <c r="F352" s="15">
        <v>6276</v>
      </c>
      <c r="G352" s="15">
        <v>3446</v>
      </c>
      <c r="H352" s="15">
        <v>90</v>
      </c>
      <c r="I352" s="15">
        <v>48</v>
      </c>
      <c r="J352" s="15">
        <v>1456</v>
      </c>
      <c r="K352" s="15">
        <v>923</v>
      </c>
      <c r="L352" s="15">
        <v>12</v>
      </c>
      <c r="M352" s="15">
        <v>7</v>
      </c>
    </row>
    <row r="353" spans="1:13" ht="60" x14ac:dyDescent="0.25">
      <c r="A353" s="15" t="s">
        <v>152</v>
      </c>
      <c r="B353" s="15">
        <v>652</v>
      </c>
      <c r="C353" s="15">
        <v>332</v>
      </c>
      <c r="D353" s="15">
        <v>28</v>
      </c>
      <c r="E353" s="15">
        <v>17</v>
      </c>
      <c r="F353" s="15">
        <v>570</v>
      </c>
      <c r="G353" s="15">
        <v>290</v>
      </c>
      <c r="H353" s="15">
        <v>28</v>
      </c>
      <c r="I353" s="15">
        <v>17</v>
      </c>
      <c r="J353" s="15">
        <v>82</v>
      </c>
      <c r="K353" s="15">
        <v>42</v>
      </c>
      <c r="L353" s="15" t="s">
        <v>84</v>
      </c>
      <c r="M353" s="15" t="s">
        <v>84</v>
      </c>
    </row>
    <row r="354" spans="1:13" ht="30" x14ac:dyDescent="0.25">
      <c r="A354" s="15" t="s">
        <v>85</v>
      </c>
      <c r="B354" s="15">
        <v>13064</v>
      </c>
      <c r="C354" s="15">
        <v>6263</v>
      </c>
      <c r="D354" s="15">
        <v>645</v>
      </c>
      <c r="E354" s="15">
        <v>310</v>
      </c>
      <c r="F354" s="15">
        <v>11913</v>
      </c>
      <c r="G354" s="15">
        <v>5668</v>
      </c>
      <c r="H354" s="15">
        <v>633</v>
      </c>
      <c r="I354" s="15">
        <v>302</v>
      </c>
      <c r="J354" s="15">
        <v>1151</v>
      </c>
      <c r="K354" s="15">
        <v>595</v>
      </c>
      <c r="L354" s="15">
        <v>12</v>
      </c>
      <c r="M354" s="15">
        <v>8</v>
      </c>
    </row>
    <row r="355" spans="1:13" ht="30" x14ac:dyDescent="0.25">
      <c r="A355" s="15" t="s">
        <v>86</v>
      </c>
      <c r="B355" s="15">
        <v>4471</v>
      </c>
      <c r="C355" s="15">
        <v>1707</v>
      </c>
      <c r="D355" s="15">
        <v>451</v>
      </c>
      <c r="E355" s="15">
        <v>187</v>
      </c>
      <c r="F355" s="15">
        <v>4235</v>
      </c>
      <c r="G355" s="15">
        <v>1643</v>
      </c>
      <c r="H355" s="15">
        <v>436</v>
      </c>
      <c r="I355" s="15">
        <v>182</v>
      </c>
      <c r="J355" s="15">
        <v>236</v>
      </c>
      <c r="K355" s="15">
        <v>64</v>
      </c>
      <c r="L355" s="15">
        <v>15</v>
      </c>
      <c r="M355" s="15">
        <v>5</v>
      </c>
    </row>
    <row r="356" spans="1:13" ht="45" x14ac:dyDescent="0.25">
      <c r="A356" s="15" t="s">
        <v>87</v>
      </c>
      <c r="B356" s="15">
        <v>1930</v>
      </c>
      <c r="C356" s="15">
        <v>710</v>
      </c>
      <c r="D356" s="15">
        <v>516</v>
      </c>
      <c r="E356" s="15">
        <v>188</v>
      </c>
      <c r="F356" s="15">
        <v>1794</v>
      </c>
      <c r="G356" s="15">
        <v>666</v>
      </c>
      <c r="H356" s="15">
        <v>504</v>
      </c>
      <c r="I356" s="15">
        <v>182</v>
      </c>
      <c r="J356" s="15">
        <v>136</v>
      </c>
      <c r="K356" s="15">
        <v>44</v>
      </c>
      <c r="L356" s="15">
        <v>12</v>
      </c>
      <c r="M356" s="15">
        <v>6</v>
      </c>
    </row>
    <row r="357" spans="1:13" ht="45" x14ac:dyDescent="0.25">
      <c r="A357" s="15" t="s">
        <v>153</v>
      </c>
      <c r="B357" s="15">
        <v>525</v>
      </c>
      <c r="C357" s="15">
        <v>193</v>
      </c>
      <c r="D357" s="15">
        <v>45</v>
      </c>
      <c r="E357" s="15">
        <v>21</v>
      </c>
      <c r="F357" s="15">
        <v>495</v>
      </c>
      <c r="G357" s="15">
        <v>186</v>
      </c>
      <c r="H357" s="15">
        <v>43</v>
      </c>
      <c r="I357" s="15">
        <v>21</v>
      </c>
      <c r="J357" s="15">
        <v>30</v>
      </c>
      <c r="K357" s="15">
        <v>7</v>
      </c>
      <c r="L357" s="15">
        <v>2</v>
      </c>
      <c r="M357" s="15" t="s">
        <v>84</v>
      </c>
    </row>
    <row r="358" spans="1:13" ht="60" x14ac:dyDescent="0.25">
      <c r="A358" s="15" t="s">
        <v>154</v>
      </c>
      <c r="B358" s="15">
        <v>218</v>
      </c>
      <c r="C358" s="15">
        <v>95</v>
      </c>
      <c r="D358" s="15">
        <v>22</v>
      </c>
      <c r="E358" s="15">
        <v>8</v>
      </c>
      <c r="F358" s="15">
        <v>189</v>
      </c>
      <c r="G358" s="15">
        <v>78</v>
      </c>
      <c r="H358" s="15">
        <v>22</v>
      </c>
      <c r="I358" s="15">
        <v>8</v>
      </c>
      <c r="J358" s="15">
        <v>29</v>
      </c>
      <c r="K358" s="15">
        <v>17</v>
      </c>
      <c r="L358" s="15" t="s">
        <v>84</v>
      </c>
      <c r="M358" s="15" t="s">
        <v>84</v>
      </c>
    </row>
    <row r="359" spans="1:13" ht="15" customHeight="1" x14ac:dyDescent="0.25">
      <c r="A359" s="207" t="s">
        <v>121</v>
      </c>
      <c r="B359" s="208"/>
      <c r="C359" s="208"/>
      <c r="D359" s="208"/>
      <c r="E359" s="208"/>
      <c r="F359" s="208"/>
      <c r="G359" s="208"/>
      <c r="H359" s="208"/>
      <c r="I359" s="208"/>
      <c r="J359" s="208"/>
      <c r="K359" s="208"/>
      <c r="L359" s="208"/>
      <c r="M359" s="209"/>
    </row>
    <row r="360" spans="1:13" x14ac:dyDescent="0.25">
      <c r="A360" s="207"/>
      <c r="B360" s="208"/>
      <c r="C360" s="208"/>
      <c r="D360" s="208"/>
      <c r="E360" s="208"/>
      <c r="F360" s="208"/>
      <c r="G360" s="208"/>
      <c r="H360" s="208"/>
      <c r="I360" s="208"/>
      <c r="J360" s="208"/>
      <c r="K360" s="208"/>
      <c r="L360" s="208"/>
      <c r="M360" s="209"/>
    </row>
    <row r="361" spans="1:13" x14ac:dyDescent="0.25">
      <c r="A361" s="15" t="s">
        <v>83</v>
      </c>
      <c r="B361" s="27">
        <v>847</v>
      </c>
      <c r="C361" s="15">
        <v>441</v>
      </c>
      <c r="D361" s="27">
        <v>136</v>
      </c>
      <c r="E361" s="15">
        <v>54</v>
      </c>
      <c r="F361" s="15">
        <v>847</v>
      </c>
      <c r="G361" s="15">
        <v>441</v>
      </c>
      <c r="H361" s="15">
        <v>136</v>
      </c>
      <c r="I361" s="15">
        <v>54</v>
      </c>
      <c r="J361" s="15" t="s">
        <v>84</v>
      </c>
      <c r="K361" s="15" t="s">
        <v>84</v>
      </c>
      <c r="L361" s="15" t="s">
        <v>84</v>
      </c>
      <c r="M361" s="15" t="s">
        <v>84</v>
      </c>
    </row>
    <row r="362" spans="1:13" ht="30" x14ac:dyDescent="0.25">
      <c r="A362" s="15" t="s">
        <v>151</v>
      </c>
      <c r="B362" s="15">
        <v>228</v>
      </c>
      <c r="C362" s="15">
        <v>128</v>
      </c>
      <c r="D362" s="15">
        <v>5</v>
      </c>
      <c r="E362" s="15">
        <v>3</v>
      </c>
      <c r="F362" s="15">
        <v>228</v>
      </c>
      <c r="G362" s="15">
        <v>128</v>
      </c>
      <c r="H362" s="15">
        <v>5</v>
      </c>
      <c r="I362" s="15">
        <v>3</v>
      </c>
      <c r="J362" s="15" t="s">
        <v>84</v>
      </c>
      <c r="K362" s="15" t="s">
        <v>84</v>
      </c>
      <c r="L362" s="15" t="s">
        <v>84</v>
      </c>
      <c r="M362" s="15" t="s">
        <v>84</v>
      </c>
    </row>
    <row r="363" spans="1:13" ht="60" x14ac:dyDescent="0.25">
      <c r="A363" s="15" t="s">
        <v>152</v>
      </c>
      <c r="B363" s="15">
        <v>13</v>
      </c>
      <c r="C363" s="15">
        <v>11</v>
      </c>
      <c r="D363" s="15" t="s">
        <v>84</v>
      </c>
      <c r="E363" s="15" t="s">
        <v>84</v>
      </c>
      <c r="F363" s="15">
        <v>13</v>
      </c>
      <c r="G363" s="15">
        <v>11</v>
      </c>
      <c r="H363" s="15" t="s">
        <v>84</v>
      </c>
      <c r="I363" s="15" t="s">
        <v>84</v>
      </c>
      <c r="J363" s="15" t="s">
        <v>84</v>
      </c>
      <c r="K363" s="15" t="s">
        <v>84</v>
      </c>
      <c r="L363" s="15" t="s">
        <v>84</v>
      </c>
      <c r="M363" s="15" t="s">
        <v>84</v>
      </c>
    </row>
    <row r="364" spans="1:13" ht="30" x14ac:dyDescent="0.25">
      <c r="A364" s="15" t="s">
        <v>85</v>
      </c>
      <c r="B364" s="15">
        <v>379</v>
      </c>
      <c r="C364" s="15">
        <v>205</v>
      </c>
      <c r="D364" s="15">
        <v>60</v>
      </c>
      <c r="E364" s="15">
        <v>26</v>
      </c>
      <c r="F364" s="15">
        <v>379</v>
      </c>
      <c r="G364" s="15">
        <v>205</v>
      </c>
      <c r="H364" s="15">
        <v>60</v>
      </c>
      <c r="I364" s="15">
        <v>26</v>
      </c>
      <c r="J364" s="15" t="s">
        <v>84</v>
      </c>
      <c r="K364" s="15" t="s">
        <v>84</v>
      </c>
      <c r="L364" s="15" t="s">
        <v>84</v>
      </c>
      <c r="M364" s="15" t="s">
        <v>84</v>
      </c>
    </row>
    <row r="365" spans="1:13" ht="30" x14ac:dyDescent="0.25">
      <c r="A365" s="15" t="s">
        <v>86</v>
      </c>
      <c r="B365" s="15">
        <v>143</v>
      </c>
      <c r="C365" s="15">
        <v>71</v>
      </c>
      <c r="D365" s="15">
        <v>31</v>
      </c>
      <c r="E365" s="15">
        <v>14</v>
      </c>
      <c r="F365" s="15">
        <v>143</v>
      </c>
      <c r="G365" s="15">
        <v>71</v>
      </c>
      <c r="H365" s="15">
        <v>31</v>
      </c>
      <c r="I365" s="15">
        <v>14</v>
      </c>
      <c r="J365" s="15" t="s">
        <v>84</v>
      </c>
      <c r="K365" s="15" t="s">
        <v>84</v>
      </c>
      <c r="L365" s="15" t="s">
        <v>84</v>
      </c>
      <c r="M365" s="15" t="s">
        <v>84</v>
      </c>
    </row>
    <row r="366" spans="1:13" ht="45" x14ac:dyDescent="0.25">
      <c r="A366" s="15" t="s">
        <v>87</v>
      </c>
      <c r="B366" s="15">
        <v>84</v>
      </c>
      <c r="C366" s="15">
        <v>26</v>
      </c>
      <c r="D366" s="15">
        <v>40</v>
      </c>
      <c r="E366" s="15">
        <v>11</v>
      </c>
      <c r="F366" s="15">
        <v>84</v>
      </c>
      <c r="G366" s="15">
        <v>26</v>
      </c>
      <c r="H366" s="15">
        <v>40</v>
      </c>
      <c r="I366" s="15">
        <v>11</v>
      </c>
      <c r="J366" s="15" t="s">
        <v>84</v>
      </c>
      <c r="K366" s="15" t="s">
        <v>84</v>
      </c>
      <c r="L366" s="15" t="s">
        <v>84</v>
      </c>
      <c r="M366" s="15" t="s">
        <v>84</v>
      </c>
    </row>
    <row r="367" spans="1:13" ht="45" x14ac:dyDescent="0.25">
      <c r="A367" s="15" t="s">
        <v>153</v>
      </c>
      <c r="B367" s="15">
        <v>7</v>
      </c>
      <c r="C367" s="15">
        <v>2</v>
      </c>
      <c r="D367" s="15">
        <v>4</v>
      </c>
      <c r="E367" s="15">
        <v>2</v>
      </c>
      <c r="F367" s="15">
        <v>7</v>
      </c>
      <c r="G367" s="15">
        <v>2</v>
      </c>
      <c r="H367" s="15">
        <v>4</v>
      </c>
      <c r="I367" s="15">
        <v>2</v>
      </c>
      <c r="J367" s="15" t="s">
        <v>84</v>
      </c>
      <c r="K367" s="15" t="s">
        <v>84</v>
      </c>
      <c r="L367" s="15" t="s">
        <v>84</v>
      </c>
      <c r="M367" s="15" t="s">
        <v>84</v>
      </c>
    </row>
    <row r="368" spans="1:13" ht="60" x14ac:dyDescent="0.25">
      <c r="A368" s="15" t="s">
        <v>154</v>
      </c>
      <c r="B368" s="15">
        <v>15</v>
      </c>
      <c r="C368" s="15">
        <v>4</v>
      </c>
      <c r="D368" s="15">
        <v>1</v>
      </c>
      <c r="E368" s="15" t="s">
        <v>84</v>
      </c>
      <c r="F368" s="15">
        <v>15</v>
      </c>
      <c r="G368" s="15">
        <v>4</v>
      </c>
      <c r="H368" s="15">
        <v>1</v>
      </c>
      <c r="I368" s="15" t="s">
        <v>84</v>
      </c>
      <c r="J368" s="15" t="s">
        <v>84</v>
      </c>
      <c r="K368" s="15" t="s">
        <v>84</v>
      </c>
      <c r="L368" s="15" t="s">
        <v>84</v>
      </c>
      <c r="M368" s="15" t="s">
        <v>84</v>
      </c>
    </row>
    <row r="369" spans="1:13" ht="15" customHeight="1" x14ac:dyDescent="0.25">
      <c r="A369" s="207" t="s">
        <v>122</v>
      </c>
      <c r="B369" s="208"/>
      <c r="C369" s="208"/>
      <c r="D369" s="208"/>
      <c r="E369" s="208"/>
      <c r="F369" s="208"/>
      <c r="G369" s="208"/>
      <c r="H369" s="208"/>
      <c r="I369" s="208"/>
      <c r="J369" s="208"/>
      <c r="K369" s="208"/>
      <c r="L369" s="208"/>
      <c r="M369" s="209"/>
    </row>
    <row r="370" spans="1:13" x14ac:dyDescent="0.25">
      <c r="A370" s="207"/>
      <c r="B370" s="208"/>
      <c r="C370" s="208"/>
      <c r="D370" s="208"/>
      <c r="E370" s="208"/>
      <c r="F370" s="208"/>
      <c r="G370" s="208"/>
      <c r="H370" s="208"/>
      <c r="I370" s="208"/>
      <c r="J370" s="208"/>
      <c r="K370" s="208"/>
      <c r="L370" s="208"/>
      <c r="M370" s="209"/>
    </row>
    <row r="371" spans="1:13" x14ac:dyDescent="0.25">
      <c r="A371" s="15" t="s">
        <v>83</v>
      </c>
      <c r="B371" s="27">
        <v>597</v>
      </c>
      <c r="C371" s="15">
        <v>280</v>
      </c>
      <c r="D371" s="27">
        <v>24</v>
      </c>
      <c r="E371" s="15">
        <v>9</v>
      </c>
      <c r="F371" s="15">
        <v>597</v>
      </c>
      <c r="G371" s="15">
        <v>280</v>
      </c>
      <c r="H371" s="15">
        <v>24</v>
      </c>
      <c r="I371" s="15">
        <v>9</v>
      </c>
      <c r="J371" s="15" t="s">
        <v>84</v>
      </c>
      <c r="K371" s="15" t="s">
        <v>84</v>
      </c>
      <c r="L371" s="15" t="s">
        <v>84</v>
      </c>
      <c r="M371" s="15" t="s">
        <v>84</v>
      </c>
    </row>
    <row r="372" spans="1:13" ht="30" x14ac:dyDescent="0.25">
      <c r="A372" s="15" t="s">
        <v>151</v>
      </c>
      <c r="B372" s="15">
        <v>191</v>
      </c>
      <c r="C372" s="15">
        <v>99</v>
      </c>
      <c r="D372" s="15" t="s">
        <v>84</v>
      </c>
      <c r="E372" s="15" t="s">
        <v>84</v>
      </c>
      <c r="F372" s="15">
        <v>191</v>
      </c>
      <c r="G372" s="15">
        <v>99</v>
      </c>
      <c r="H372" s="15" t="s">
        <v>84</v>
      </c>
      <c r="I372" s="15" t="s">
        <v>84</v>
      </c>
      <c r="J372" s="15" t="s">
        <v>84</v>
      </c>
      <c r="K372" s="15" t="s">
        <v>84</v>
      </c>
      <c r="L372" s="15" t="s">
        <v>84</v>
      </c>
      <c r="M372" s="15" t="s">
        <v>84</v>
      </c>
    </row>
    <row r="373" spans="1:13" ht="60" x14ac:dyDescent="0.25">
      <c r="A373" s="15" t="s">
        <v>152</v>
      </c>
      <c r="B373" s="15">
        <v>8</v>
      </c>
      <c r="C373" s="15">
        <v>4</v>
      </c>
      <c r="D373" s="15" t="s">
        <v>84</v>
      </c>
      <c r="E373" s="15" t="s">
        <v>84</v>
      </c>
      <c r="F373" s="15">
        <v>8</v>
      </c>
      <c r="G373" s="15">
        <v>4</v>
      </c>
      <c r="H373" s="15" t="s">
        <v>84</v>
      </c>
      <c r="I373" s="15" t="s">
        <v>84</v>
      </c>
      <c r="J373" s="15" t="s">
        <v>84</v>
      </c>
      <c r="K373" s="15" t="s">
        <v>84</v>
      </c>
      <c r="L373" s="15" t="s">
        <v>84</v>
      </c>
      <c r="M373" s="15" t="s">
        <v>84</v>
      </c>
    </row>
    <row r="374" spans="1:13" ht="30" x14ac:dyDescent="0.25">
      <c r="A374" s="15" t="s">
        <v>85</v>
      </c>
      <c r="B374" s="15">
        <v>285</v>
      </c>
      <c r="C374" s="15">
        <v>133</v>
      </c>
      <c r="D374" s="15">
        <v>8</v>
      </c>
      <c r="E374" s="15">
        <v>4</v>
      </c>
      <c r="F374" s="15">
        <v>285</v>
      </c>
      <c r="G374" s="15">
        <v>133</v>
      </c>
      <c r="H374" s="15">
        <v>8</v>
      </c>
      <c r="I374" s="15">
        <v>4</v>
      </c>
      <c r="J374" s="15" t="s">
        <v>84</v>
      </c>
      <c r="K374" s="15" t="s">
        <v>84</v>
      </c>
      <c r="L374" s="15" t="s">
        <v>84</v>
      </c>
      <c r="M374" s="15" t="s">
        <v>84</v>
      </c>
    </row>
    <row r="375" spans="1:13" ht="30" x14ac:dyDescent="0.25">
      <c r="A375" s="15" t="s">
        <v>86</v>
      </c>
      <c r="B375" s="15">
        <v>61</v>
      </c>
      <c r="C375" s="15">
        <v>23</v>
      </c>
      <c r="D375" s="15">
        <v>2</v>
      </c>
      <c r="E375" s="15">
        <v>1</v>
      </c>
      <c r="F375" s="15">
        <v>61</v>
      </c>
      <c r="G375" s="15">
        <v>23</v>
      </c>
      <c r="H375" s="15">
        <v>2</v>
      </c>
      <c r="I375" s="15">
        <v>1</v>
      </c>
      <c r="J375" s="15" t="s">
        <v>84</v>
      </c>
      <c r="K375" s="15" t="s">
        <v>84</v>
      </c>
      <c r="L375" s="15" t="s">
        <v>84</v>
      </c>
      <c r="M375" s="15" t="s">
        <v>84</v>
      </c>
    </row>
    <row r="376" spans="1:13" ht="45" x14ac:dyDescent="0.25">
      <c r="A376" s="15" t="s">
        <v>87</v>
      </c>
      <c r="B376" s="15">
        <v>52</v>
      </c>
      <c r="C376" s="15">
        <v>21</v>
      </c>
      <c r="D376" s="15">
        <v>14</v>
      </c>
      <c r="E376" s="15">
        <v>4</v>
      </c>
      <c r="F376" s="15">
        <v>52</v>
      </c>
      <c r="G376" s="15">
        <v>21</v>
      </c>
      <c r="H376" s="15">
        <v>14</v>
      </c>
      <c r="I376" s="15">
        <v>4</v>
      </c>
      <c r="J376" s="15" t="s">
        <v>84</v>
      </c>
      <c r="K376" s="15" t="s">
        <v>84</v>
      </c>
      <c r="L376" s="15" t="s">
        <v>84</v>
      </c>
      <c r="M376" s="15" t="s">
        <v>84</v>
      </c>
    </row>
    <row r="377" spans="1:13" ht="45" x14ac:dyDescent="0.25">
      <c r="A377" s="15" t="s">
        <v>153</v>
      </c>
      <c r="B377" s="15">
        <v>7</v>
      </c>
      <c r="C377" s="15">
        <v>4</v>
      </c>
      <c r="D377" s="15" t="s">
        <v>84</v>
      </c>
      <c r="E377" s="15" t="s">
        <v>84</v>
      </c>
      <c r="F377" s="15">
        <v>7</v>
      </c>
      <c r="G377" s="15">
        <v>4</v>
      </c>
      <c r="H377" s="15" t="s">
        <v>84</v>
      </c>
      <c r="I377" s="15" t="s">
        <v>84</v>
      </c>
      <c r="J377" s="15" t="s">
        <v>84</v>
      </c>
      <c r="K377" s="15" t="s">
        <v>84</v>
      </c>
      <c r="L377" s="15" t="s">
        <v>84</v>
      </c>
      <c r="M377" s="15" t="s">
        <v>84</v>
      </c>
    </row>
    <row r="378" spans="1:13" ht="60" x14ac:dyDescent="0.25">
      <c r="A378" s="15" t="s">
        <v>154</v>
      </c>
      <c r="B378" s="15">
        <v>10</v>
      </c>
      <c r="C378" s="15">
        <v>3</v>
      </c>
      <c r="D378" s="15">
        <v>2</v>
      </c>
      <c r="E378" s="15" t="s">
        <v>84</v>
      </c>
      <c r="F378" s="15">
        <v>10</v>
      </c>
      <c r="G378" s="15">
        <v>3</v>
      </c>
      <c r="H378" s="15">
        <v>2</v>
      </c>
      <c r="I378" s="15" t="s">
        <v>84</v>
      </c>
      <c r="J378" s="15" t="s">
        <v>84</v>
      </c>
      <c r="K378" s="15" t="s">
        <v>84</v>
      </c>
      <c r="L378" s="15" t="s">
        <v>84</v>
      </c>
      <c r="M378" s="15" t="s">
        <v>84</v>
      </c>
    </row>
    <row r="379" spans="1:13" ht="15" customHeight="1" x14ac:dyDescent="0.25">
      <c r="A379" s="207" t="s">
        <v>123</v>
      </c>
      <c r="B379" s="208"/>
      <c r="C379" s="208"/>
      <c r="D379" s="208"/>
      <c r="E379" s="208"/>
      <c r="F379" s="208"/>
      <c r="G379" s="208"/>
      <c r="H379" s="208"/>
      <c r="I379" s="208"/>
      <c r="J379" s="208"/>
      <c r="K379" s="208"/>
      <c r="L379" s="208"/>
      <c r="M379" s="209"/>
    </row>
    <row r="380" spans="1:13" x14ac:dyDescent="0.25">
      <c r="A380" s="207"/>
      <c r="B380" s="208"/>
      <c r="C380" s="208"/>
      <c r="D380" s="208"/>
      <c r="E380" s="208"/>
      <c r="F380" s="208"/>
      <c r="G380" s="208"/>
      <c r="H380" s="208"/>
      <c r="I380" s="208"/>
      <c r="J380" s="208"/>
      <c r="K380" s="208"/>
      <c r="L380" s="208"/>
      <c r="M380" s="209"/>
    </row>
    <row r="381" spans="1:13" x14ac:dyDescent="0.25">
      <c r="A381" s="15" t="s">
        <v>83</v>
      </c>
      <c r="B381" s="27">
        <v>1981</v>
      </c>
      <c r="C381" s="15">
        <v>980</v>
      </c>
      <c r="D381" s="27">
        <v>105</v>
      </c>
      <c r="E381" s="15">
        <v>49</v>
      </c>
      <c r="F381" s="15">
        <v>1816</v>
      </c>
      <c r="G381" s="15">
        <v>876</v>
      </c>
      <c r="H381" s="15">
        <v>105</v>
      </c>
      <c r="I381" s="15">
        <v>49</v>
      </c>
      <c r="J381" s="15">
        <v>165</v>
      </c>
      <c r="K381" s="15">
        <v>104</v>
      </c>
      <c r="L381" s="15" t="s">
        <v>84</v>
      </c>
      <c r="M381" s="15" t="s">
        <v>84</v>
      </c>
    </row>
    <row r="382" spans="1:13" ht="30" x14ac:dyDescent="0.25">
      <c r="A382" s="15" t="s">
        <v>151</v>
      </c>
      <c r="B382" s="15">
        <v>923</v>
      </c>
      <c r="C382" s="15">
        <v>519</v>
      </c>
      <c r="D382" s="15">
        <v>10</v>
      </c>
      <c r="E382" s="15">
        <v>5</v>
      </c>
      <c r="F382" s="15">
        <v>786</v>
      </c>
      <c r="G382" s="15">
        <v>431</v>
      </c>
      <c r="H382" s="15">
        <v>10</v>
      </c>
      <c r="I382" s="15">
        <v>5</v>
      </c>
      <c r="J382" s="15">
        <v>137</v>
      </c>
      <c r="K382" s="15">
        <v>88</v>
      </c>
      <c r="L382" s="15" t="s">
        <v>84</v>
      </c>
      <c r="M382" s="15" t="s">
        <v>84</v>
      </c>
    </row>
    <row r="383" spans="1:13" ht="60" x14ac:dyDescent="0.25">
      <c r="A383" s="15" t="s">
        <v>152</v>
      </c>
      <c r="B383" s="15">
        <v>82</v>
      </c>
      <c r="C383" s="15">
        <v>39</v>
      </c>
      <c r="D383" s="15">
        <v>3</v>
      </c>
      <c r="E383" s="15">
        <v>3</v>
      </c>
      <c r="F383" s="15">
        <v>82</v>
      </c>
      <c r="G383" s="15">
        <v>39</v>
      </c>
      <c r="H383" s="15">
        <v>3</v>
      </c>
      <c r="I383" s="15">
        <v>3</v>
      </c>
      <c r="J383" s="15" t="s">
        <v>84</v>
      </c>
      <c r="K383" s="15" t="s">
        <v>84</v>
      </c>
      <c r="L383" s="15" t="s">
        <v>84</v>
      </c>
      <c r="M383" s="15" t="s">
        <v>84</v>
      </c>
    </row>
    <row r="384" spans="1:13" ht="30" x14ac:dyDescent="0.25">
      <c r="A384" s="15" t="s">
        <v>85</v>
      </c>
      <c r="B384" s="15">
        <v>615</v>
      </c>
      <c r="C384" s="15">
        <v>269</v>
      </c>
      <c r="D384" s="15">
        <v>46</v>
      </c>
      <c r="E384" s="15">
        <v>17</v>
      </c>
      <c r="F384" s="15">
        <v>602</v>
      </c>
      <c r="G384" s="15">
        <v>262</v>
      </c>
      <c r="H384" s="15">
        <v>46</v>
      </c>
      <c r="I384" s="15">
        <v>17</v>
      </c>
      <c r="J384" s="15">
        <v>13</v>
      </c>
      <c r="K384" s="15">
        <v>7</v>
      </c>
      <c r="L384" s="15" t="s">
        <v>84</v>
      </c>
      <c r="M384" s="15" t="s">
        <v>84</v>
      </c>
    </row>
    <row r="385" spans="1:13" ht="30" x14ac:dyDescent="0.25">
      <c r="A385" s="15" t="s">
        <v>86</v>
      </c>
      <c r="B385" s="15">
        <v>255</v>
      </c>
      <c r="C385" s="15">
        <v>111</v>
      </c>
      <c r="D385" s="15">
        <v>29</v>
      </c>
      <c r="E385" s="15">
        <v>15</v>
      </c>
      <c r="F385" s="15">
        <v>253</v>
      </c>
      <c r="G385" s="15">
        <v>111</v>
      </c>
      <c r="H385" s="15">
        <v>29</v>
      </c>
      <c r="I385" s="15">
        <v>15</v>
      </c>
      <c r="J385" s="15">
        <v>2</v>
      </c>
      <c r="K385" s="15" t="s">
        <v>84</v>
      </c>
      <c r="L385" s="15" t="s">
        <v>84</v>
      </c>
      <c r="M385" s="15" t="s">
        <v>84</v>
      </c>
    </row>
    <row r="386" spans="1:13" ht="45" x14ac:dyDescent="0.25">
      <c r="A386" s="15" t="s">
        <v>87</v>
      </c>
      <c r="B386" s="15">
        <v>106</v>
      </c>
      <c r="C386" s="15">
        <v>42</v>
      </c>
      <c r="D386" s="15">
        <v>17</v>
      </c>
      <c r="E386" s="15">
        <v>9</v>
      </c>
      <c r="F386" s="15">
        <v>93</v>
      </c>
      <c r="G386" s="15">
        <v>33</v>
      </c>
      <c r="H386" s="15">
        <v>17</v>
      </c>
      <c r="I386" s="15">
        <v>9</v>
      </c>
      <c r="J386" s="15">
        <v>13</v>
      </c>
      <c r="K386" s="15">
        <v>9</v>
      </c>
      <c r="L386" s="15" t="s">
        <v>84</v>
      </c>
      <c r="M386" s="15" t="s">
        <v>84</v>
      </c>
    </row>
    <row r="387" spans="1:13" ht="45" x14ac:dyDescent="0.25">
      <c r="A387" s="15" t="s">
        <v>153</v>
      </c>
      <c r="B387" s="15">
        <v>41</v>
      </c>
      <c r="C387" s="15">
        <v>13</v>
      </c>
      <c r="D387" s="15">
        <v>7</v>
      </c>
      <c r="E387" s="15">
        <v>5</v>
      </c>
      <c r="F387" s="15">
        <v>41</v>
      </c>
      <c r="G387" s="15">
        <v>13</v>
      </c>
      <c r="H387" s="15">
        <v>7</v>
      </c>
      <c r="I387" s="15">
        <v>5</v>
      </c>
      <c r="J387" s="15" t="s">
        <v>84</v>
      </c>
      <c r="K387" s="15" t="s">
        <v>84</v>
      </c>
      <c r="L387" s="15" t="s">
        <v>84</v>
      </c>
      <c r="M387" s="15" t="s">
        <v>84</v>
      </c>
    </row>
    <row r="388" spans="1:13" ht="60" x14ac:dyDescent="0.25">
      <c r="A388" s="15" t="s">
        <v>154</v>
      </c>
      <c r="B388" s="15">
        <v>14</v>
      </c>
      <c r="C388" s="15">
        <v>10</v>
      </c>
      <c r="D388" s="15" t="s">
        <v>84</v>
      </c>
      <c r="E388" s="15" t="s">
        <v>84</v>
      </c>
      <c r="F388" s="15">
        <v>5</v>
      </c>
      <c r="G388" s="15">
        <v>3</v>
      </c>
      <c r="H388" s="15" t="s">
        <v>84</v>
      </c>
      <c r="I388" s="15" t="s">
        <v>84</v>
      </c>
      <c r="J388" s="15">
        <v>9</v>
      </c>
      <c r="K388" s="15">
        <v>7</v>
      </c>
      <c r="L388" s="15" t="s">
        <v>84</v>
      </c>
      <c r="M388" s="15" t="s">
        <v>84</v>
      </c>
    </row>
    <row r="389" spans="1:13" ht="15" customHeight="1" x14ac:dyDescent="0.25">
      <c r="A389" s="207" t="s">
        <v>124</v>
      </c>
      <c r="B389" s="208"/>
      <c r="C389" s="208"/>
      <c r="D389" s="208"/>
      <c r="E389" s="208"/>
      <c r="F389" s="208"/>
      <c r="G389" s="208"/>
      <c r="H389" s="208"/>
      <c r="I389" s="208"/>
      <c r="J389" s="208"/>
      <c r="K389" s="208"/>
      <c r="L389" s="208"/>
      <c r="M389" s="209"/>
    </row>
    <row r="390" spans="1:13" x14ac:dyDescent="0.25">
      <c r="A390" s="207"/>
      <c r="B390" s="208"/>
      <c r="C390" s="208"/>
      <c r="D390" s="208"/>
      <c r="E390" s="208"/>
      <c r="F390" s="208"/>
      <c r="G390" s="208"/>
      <c r="H390" s="208"/>
      <c r="I390" s="208"/>
      <c r="J390" s="208"/>
      <c r="K390" s="208"/>
      <c r="L390" s="208"/>
      <c r="M390" s="209"/>
    </row>
    <row r="391" spans="1:13" x14ac:dyDescent="0.25">
      <c r="A391" s="15" t="s">
        <v>83</v>
      </c>
      <c r="B391" s="27">
        <v>2133</v>
      </c>
      <c r="C391" s="15">
        <v>1103</v>
      </c>
      <c r="D391" s="27">
        <v>161</v>
      </c>
      <c r="E391" s="15">
        <v>79</v>
      </c>
      <c r="F391" s="15">
        <v>1578</v>
      </c>
      <c r="G391" s="15">
        <v>808</v>
      </c>
      <c r="H391" s="15">
        <v>155</v>
      </c>
      <c r="I391" s="15">
        <v>77</v>
      </c>
      <c r="J391" s="15">
        <v>555</v>
      </c>
      <c r="K391" s="15">
        <v>295</v>
      </c>
      <c r="L391" s="15">
        <v>6</v>
      </c>
      <c r="M391" s="15">
        <v>2</v>
      </c>
    </row>
    <row r="392" spans="1:13" ht="30" x14ac:dyDescent="0.25">
      <c r="A392" s="15" t="s">
        <v>151</v>
      </c>
      <c r="B392" s="15">
        <v>933</v>
      </c>
      <c r="C392" s="15">
        <v>524</v>
      </c>
      <c r="D392" s="15">
        <v>29</v>
      </c>
      <c r="E392" s="15">
        <v>15</v>
      </c>
      <c r="F392" s="15">
        <v>706</v>
      </c>
      <c r="G392" s="15">
        <v>397</v>
      </c>
      <c r="H392" s="15">
        <v>28</v>
      </c>
      <c r="I392" s="15">
        <v>15</v>
      </c>
      <c r="J392" s="15">
        <v>227</v>
      </c>
      <c r="K392" s="15">
        <v>127</v>
      </c>
      <c r="L392" s="15">
        <v>1</v>
      </c>
      <c r="M392" s="15" t="s">
        <v>84</v>
      </c>
    </row>
    <row r="393" spans="1:13" ht="60" x14ac:dyDescent="0.25">
      <c r="A393" s="15" t="s">
        <v>152</v>
      </c>
      <c r="B393" s="15">
        <v>135</v>
      </c>
      <c r="C393" s="15">
        <v>79</v>
      </c>
      <c r="D393" s="15">
        <v>7</v>
      </c>
      <c r="E393" s="15">
        <v>7</v>
      </c>
      <c r="F393" s="15">
        <v>128</v>
      </c>
      <c r="G393" s="15">
        <v>75</v>
      </c>
      <c r="H393" s="15">
        <v>7</v>
      </c>
      <c r="I393" s="15">
        <v>7</v>
      </c>
      <c r="J393" s="15">
        <v>7</v>
      </c>
      <c r="K393" s="15">
        <v>4</v>
      </c>
      <c r="L393" s="15" t="s">
        <v>84</v>
      </c>
      <c r="M393" s="15" t="s">
        <v>84</v>
      </c>
    </row>
    <row r="394" spans="1:13" ht="30" x14ac:dyDescent="0.25">
      <c r="A394" s="15" t="s">
        <v>85</v>
      </c>
      <c r="B394" s="15">
        <v>739</v>
      </c>
      <c r="C394" s="15">
        <v>371</v>
      </c>
      <c r="D394" s="15">
        <v>63</v>
      </c>
      <c r="E394" s="15">
        <v>33</v>
      </c>
      <c r="F394" s="15">
        <v>456</v>
      </c>
      <c r="G394" s="15">
        <v>220</v>
      </c>
      <c r="H394" s="15">
        <v>62</v>
      </c>
      <c r="I394" s="15">
        <v>33</v>
      </c>
      <c r="J394" s="15">
        <v>283</v>
      </c>
      <c r="K394" s="15">
        <v>151</v>
      </c>
      <c r="L394" s="15">
        <v>1</v>
      </c>
      <c r="M394" s="15" t="s">
        <v>84</v>
      </c>
    </row>
    <row r="395" spans="1:13" ht="30" x14ac:dyDescent="0.25">
      <c r="A395" s="15" t="s">
        <v>86</v>
      </c>
      <c r="B395" s="15">
        <v>225</v>
      </c>
      <c r="C395" s="15">
        <v>89</v>
      </c>
      <c r="D395" s="15">
        <v>41</v>
      </c>
      <c r="E395" s="15">
        <v>13</v>
      </c>
      <c r="F395" s="15">
        <v>195</v>
      </c>
      <c r="G395" s="15">
        <v>79</v>
      </c>
      <c r="H395" s="15">
        <v>40</v>
      </c>
      <c r="I395" s="15">
        <v>13</v>
      </c>
      <c r="J395" s="15">
        <v>30</v>
      </c>
      <c r="K395" s="15">
        <v>10</v>
      </c>
      <c r="L395" s="15">
        <v>1</v>
      </c>
      <c r="M395" s="15" t="s">
        <v>84</v>
      </c>
    </row>
    <row r="396" spans="1:13" ht="45" x14ac:dyDescent="0.25">
      <c r="A396" s="15" t="s">
        <v>87</v>
      </c>
      <c r="B396" s="15">
        <v>101</v>
      </c>
      <c r="C396" s="15">
        <v>40</v>
      </c>
      <c r="D396" s="15">
        <v>21</v>
      </c>
      <c r="E396" s="15">
        <v>11</v>
      </c>
      <c r="F396" s="15">
        <v>93</v>
      </c>
      <c r="G396" s="15">
        <v>37</v>
      </c>
      <c r="H396" s="15">
        <v>18</v>
      </c>
      <c r="I396" s="15">
        <v>9</v>
      </c>
      <c r="J396" s="15">
        <v>8</v>
      </c>
      <c r="K396" s="15">
        <v>3</v>
      </c>
      <c r="L396" s="15">
        <v>3</v>
      </c>
      <c r="M396" s="15">
        <v>2</v>
      </c>
    </row>
    <row r="397" spans="1:13" ht="45" x14ac:dyDescent="0.25">
      <c r="A397" s="15" t="s">
        <v>153</v>
      </c>
      <c r="B397" s="15">
        <v>34</v>
      </c>
      <c r="C397" s="15">
        <v>11</v>
      </c>
      <c r="D397" s="15">
        <v>2</v>
      </c>
      <c r="E397" s="15">
        <v>2</v>
      </c>
      <c r="F397" s="15">
        <v>34</v>
      </c>
      <c r="G397" s="15">
        <v>11</v>
      </c>
      <c r="H397" s="15">
        <v>2</v>
      </c>
      <c r="I397" s="15">
        <v>2</v>
      </c>
      <c r="J397" s="15" t="s">
        <v>84</v>
      </c>
      <c r="K397" s="15" t="s">
        <v>84</v>
      </c>
      <c r="L397" s="15" t="s">
        <v>84</v>
      </c>
      <c r="M397" s="15" t="s">
        <v>84</v>
      </c>
    </row>
    <row r="398" spans="1:13" ht="60" x14ac:dyDescent="0.25">
      <c r="A398" s="15" t="s">
        <v>154</v>
      </c>
      <c r="B398" s="15">
        <v>15</v>
      </c>
      <c r="C398" s="15">
        <v>6</v>
      </c>
      <c r="D398" s="15">
        <v>2</v>
      </c>
      <c r="E398" s="15">
        <v>1</v>
      </c>
      <c r="F398" s="15">
        <v>15</v>
      </c>
      <c r="G398" s="15">
        <v>6</v>
      </c>
      <c r="H398" s="15">
        <v>2</v>
      </c>
      <c r="I398" s="15">
        <v>1</v>
      </c>
      <c r="J398" s="15" t="s">
        <v>84</v>
      </c>
      <c r="K398" s="15" t="s">
        <v>84</v>
      </c>
      <c r="L398" s="15" t="s">
        <v>84</v>
      </c>
      <c r="M398" s="15" t="s">
        <v>84</v>
      </c>
    </row>
    <row r="399" spans="1:13" ht="15" customHeight="1" x14ac:dyDescent="0.25">
      <c r="A399" s="207" t="s">
        <v>125</v>
      </c>
      <c r="B399" s="208"/>
      <c r="C399" s="208"/>
      <c r="D399" s="208"/>
      <c r="E399" s="208"/>
      <c r="F399" s="208"/>
      <c r="G399" s="208"/>
      <c r="H399" s="208"/>
      <c r="I399" s="208"/>
      <c r="J399" s="208"/>
      <c r="K399" s="208"/>
      <c r="L399" s="208"/>
      <c r="M399" s="209"/>
    </row>
    <row r="400" spans="1:13" x14ac:dyDescent="0.25">
      <c r="A400" s="207"/>
      <c r="B400" s="208"/>
      <c r="C400" s="208"/>
      <c r="D400" s="208"/>
      <c r="E400" s="208"/>
      <c r="F400" s="208"/>
      <c r="G400" s="208"/>
      <c r="H400" s="208"/>
      <c r="I400" s="208"/>
      <c r="J400" s="208"/>
      <c r="K400" s="208"/>
      <c r="L400" s="208"/>
      <c r="M400" s="209"/>
    </row>
    <row r="401" spans="1:13" x14ac:dyDescent="0.25">
      <c r="A401" s="15" t="s">
        <v>83</v>
      </c>
      <c r="B401" s="27">
        <v>726</v>
      </c>
      <c r="C401" s="15">
        <v>361</v>
      </c>
      <c r="D401" s="27">
        <v>69</v>
      </c>
      <c r="E401" s="15">
        <v>22</v>
      </c>
      <c r="F401" s="15">
        <v>594</v>
      </c>
      <c r="G401" s="15">
        <v>287</v>
      </c>
      <c r="H401" s="15">
        <v>67</v>
      </c>
      <c r="I401" s="15">
        <v>22</v>
      </c>
      <c r="J401" s="15">
        <v>132</v>
      </c>
      <c r="K401" s="15">
        <v>74</v>
      </c>
      <c r="L401" s="15">
        <v>2</v>
      </c>
      <c r="M401" s="15" t="s">
        <v>84</v>
      </c>
    </row>
    <row r="402" spans="1:13" ht="30" x14ac:dyDescent="0.25">
      <c r="A402" s="15" t="s">
        <v>151</v>
      </c>
      <c r="B402" s="15">
        <v>249</v>
      </c>
      <c r="C402" s="15">
        <v>142</v>
      </c>
      <c r="D402" s="15">
        <v>2</v>
      </c>
      <c r="E402" s="15" t="s">
        <v>84</v>
      </c>
      <c r="F402" s="15">
        <v>189</v>
      </c>
      <c r="G402" s="15">
        <v>104</v>
      </c>
      <c r="H402" s="15" t="s">
        <v>84</v>
      </c>
      <c r="I402" s="15" t="s">
        <v>84</v>
      </c>
      <c r="J402" s="15">
        <v>60</v>
      </c>
      <c r="K402" s="15">
        <v>38</v>
      </c>
      <c r="L402" s="15">
        <v>2</v>
      </c>
      <c r="M402" s="15" t="s">
        <v>84</v>
      </c>
    </row>
    <row r="403" spans="1:13" ht="60" x14ac:dyDescent="0.25">
      <c r="A403" s="15" t="s">
        <v>152</v>
      </c>
      <c r="B403" s="15">
        <v>13</v>
      </c>
      <c r="C403" s="15">
        <v>5</v>
      </c>
      <c r="D403" s="15" t="s">
        <v>84</v>
      </c>
      <c r="E403" s="15" t="s">
        <v>84</v>
      </c>
      <c r="F403" s="15">
        <v>12</v>
      </c>
      <c r="G403" s="15">
        <v>5</v>
      </c>
      <c r="H403" s="15" t="s">
        <v>84</v>
      </c>
      <c r="I403" s="15" t="s">
        <v>84</v>
      </c>
      <c r="J403" s="15">
        <v>1</v>
      </c>
      <c r="K403" s="15" t="s">
        <v>84</v>
      </c>
      <c r="L403" s="15" t="s">
        <v>84</v>
      </c>
      <c r="M403" s="15" t="s">
        <v>84</v>
      </c>
    </row>
    <row r="404" spans="1:13" ht="30" x14ac:dyDescent="0.25">
      <c r="A404" s="15" t="s">
        <v>85</v>
      </c>
      <c r="B404" s="15">
        <v>309</v>
      </c>
      <c r="C404" s="15">
        <v>156</v>
      </c>
      <c r="D404" s="15">
        <v>33</v>
      </c>
      <c r="E404" s="15">
        <v>16</v>
      </c>
      <c r="F404" s="15">
        <v>254</v>
      </c>
      <c r="G404" s="15">
        <v>126</v>
      </c>
      <c r="H404" s="15">
        <v>33</v>
      </c>
      <c r="I404" s="15">
        <v>16</v>
      </c>
      <c r="J404" s="15">
        <v>55</v>
      </c>
      <c r="K404" s="15">
        <v>30</v>
      </c>
      <c r="L404" s="15" t="s">
        <v>84</v>
      </c>
      <c r="M404" s="15" t="s">
        <v>84</v>
      </c>
    </row>
    <row r="405" spans="1:13" ht="30" x14ac:dyDescent="0.25">
      <c r="A405" s="15" t="s">
        <v>86</v>
      </c>
      <c r="B405" s="15">
        <v>126</v>
      </c>
      <c r="C405" s="15">
        <v>46</v>
      </c>
      <c r="D405" s="15">
        <v>30</v>
      </c>
      <c r="E405" s="15">
        <v>6</v>
      </c>
      <c r="F405" s="15">
        <v>111</v>
      </c>
      <c r="G405" s="15">
        <v>40</v>
      </c>
      <c r="H405" s="15">
        <v>30</v>
      </c>
      <c r="I405" s="15">
        <v>6</v>
      </c>
      <c r="J405" s="15">
        <v>15</v>
      </c>
      <c r="K405" s="15">
        <v>6</v>
      </c>
      <c r="L405" s="15" t="s">
        <v>84</v>
      </c>
      <c r="M405" s="15" t="s">
        <v>84</v>
      </c>
    </row>
    <row r="406" spans="1:13" ht="45" x14ac:dyDescent="0.25">
      <c r="A406" s="15" t="s">
        <v>87</v>
      </c>
      <c r="B406" s="15">
        <v>29</v>
      </c>
      <c r="C406" s="15">
        <v>12</v>
      </c>
      <c r="D406" s="15">
        <v>4</v>
      </c>
      <c r="E406" s="15" t="s">
        <v>84</v>
      </c>
      <c r="F406" s="15">
        <v>28</v>
      </c>
      <c r="G406" s="15">
        <v>12</v>
      </c>
      <c r="H406" s="15">
        <v>4</v>
      </c>
      <c r="I406" s="15" t="s">
        <v>84</v>
      </c>
      <c r="J406" s="15">
        <v>1</v>
      </c>
      <c r="K406" s="15" t="s">
        <v>84</v>
      </c>
      <c r="L406" s="15" t="s">
        <v>84</v>
      </c>
      <c r="M406" s="15" t="s">
        <v>84</v>
      </c>
    </row>
    <row r="407" spans="1:13" ht="45" x14ac:dyDescent="0.25">
      <c r="A407" s="15" t="s">
        <v>153</v>
      </c>
      <c r="B407" s="15">
        <v>9</v>
      </c>
      <c r="C407" s="15">
        <v>3</v>
      </c>
      <c r="D407" s="15" t="s">
        <v>84</v>
      </c>
      <c r="E407" s="15" t="s">
        <v>84</v>
      </c>
      <c r="F407" s="15">
        <v>9</v>
      </c>
      <c r="G407" s="15">
        <v>3</v>
      </c>
      <c r="H407" s="15" t="s">
        <v>84</v>
      </c>
      <c r="I407" s="15" t="s">
        <v>84</v>
      </c>
      <c r="J407" s="15" t="s">
        <v>84</v>
      </c>
      <c r="K407" s="15" t="s">
        <v>84</v>
      </c>
      <c r="L407" s="15" t="s">
        <v>84</v>
      </c>
      <c r="M407" s="15" t="s">
        <v>84</v>
      </c>
    </row>
    <row r="408" spans="1:13" ht="15" customHeight="1" x14ac:dyDescent="0.25">
      <c r="A408" s="207" t="s">
        <v>126</v>
      </c>
      <c r="B408" s="208"/>
      <c r="C408" s="208"/>
      <c r="D408" s="208"/>
      <c r="E408" s="208"/>
      <c r="F408" s="208"/>
      <c r="G408" s="208"/>
      <c r="H408" s="208"/>
      <c r="I408" s="208"/>
      <c r="J408" s="208"/>
      <c r="K408" s="208"/>
      <c r="L408" s="208"/>
      <c r="M408" s="209"/>
    </row>
    <row r="409" spans="1:13" x14ac:dyDescent="0.25">
      <c r="A409" s="207"/>
      <c r="B409" s="208"/>
      <c r="C409" s="208"/>
      <c r="D409" s="208"/>
      <c r="E409" s="208"/>
      <c r="F409" s="208"/>
      <c r="G409" s="208"/>
      <c r="H409" s="208"/>
      <c r="I409" s="208"/>
      <c r="J409" s="208"/>
      <c r="K409" s="208"/>
      <c r="L409" s="208"/>
      <c r="M409" s="209"/>
    </row>
    <row r="410" spans="1:13" x14ac:dyDescent="0.25">
      <c r="A410" s="15" t="s">
        <v>83</v>
      </c>
      <c r="B410" s="27">
        <v>1285</v>
      </c>
      <c r="C410" s="15">
        <v>623</v>
      </c>
      <c r="D410" s="27">
        <v>44</v>
      </c>
      <c r="E410" s="15">
        <v>17</v>
      </c>
      <c r="F410" s="15">
        <v>1262</v>
      </c>
      <c r="G410" s="15">
        <v>619</v>
      </c>
      <c r="H410" s="15">
        <v>44</v>
      </c>
      <c r="I410" s="15">
        <v>17</v>
      </c>
      <c r="J410" s="15">
        <v>23</v>
      </c>
      <c r="K410" s="15">
        <v>4</v>
      </c>
      <c r="L410" s="15" t="s">
        <v>84</v>
      </c>
      <c r="M410" s="15" t="s">
        <v>84</v>
      </c>
    </row>
    <row r="411" spans="1:13" ht="30" x14ac:dyDescent="0.25">
      <c r="A411" s="15" t="s">
        <v>151</v>
      </c>
      <c r="B411" s="15">
        <v>335</v>
      </c>
      <c r="C411" s="15">
        <v>179</v>
      </c>
      <c r="D411" s="15">
        <v>1</v>
      </c>
      <c r="E411" s="15" t="s">
        <v>84</v>
      </c>
      <c r="F411" s="15">
        <v>335</v>
      </c>
      <c r="G411" s="15">
        <v>179</v>
      </c>
      <c r="H411" s="15">
        <v>1</v>
      </c>
      <c r="I411" s="15" t="s">
        <v>84</v>
      </c>
      <c r="J411" s="15" t="s">
        <v>84</v>
      </c>
      <c r="K411" s="15" t="s">
        <v>84</v>
      </c>
      <c r="L411" s="15" t="s">
        <v>84</v>
      </c>
      <c r="M411" s="15" t="s">
        <v>84</v>
      </c>
    </row>
    <row r="412" spans="1:13" ht="60" x14ac:dyDescent="0.25">
      <c r="A412" s="15" t="s">
        <v>152</v>
      </c>
      <c r="B412" s="15">
        <v>22</v>
      </c>
      <c r="C412" s="15">
        <v>12</v>
      </c>
      <c r="D412" s="15">
        <v>2</v>
      </c>
      <c r="E412" s="15" t="s">
        <v>84</v>
      </c>
      <c r="F412" s="15">
        <v>22</v>
      </c>
      <c r="G412" s="15">
        <v>12</v>
      </c>
      <c r="H412" s="15">
        <v>2</v>
      </c>
      <c r="I412" s="15" t="s">
        <v>84</v>
      </c>
      <c r="J412" s="15" t="s">
        <v>84</v>
      </c>
      <c r="K412" s="15" t="s">
        <v>84</v>
      </c>
      <c r="L412" s="15" t="s">
        <v>84</v>
      </c>
      <c r="M412" s="15" t="s">
        <v>84</v>
      </c>
    </row>
    <row r="413" spans="1:13" ht="30" x14ac:dyDescent="0.25">
      <c r="A413" s="15" t="s">
        <v>85</v>
      </c>
      <c r="B413" s="15">
        <v>648</v>
      </c>
      <c r="C413" s="15">
        <v>324</v>
      </c>
      <c r="D413" s="15">
        <v>19</v>
      </c>
      <c r="E413" s="15">
        <v>7</v>
      </c>
      <c r="F413" s="15">
        <v>643</v>
      </c>
      <c r="G413" s="15">
        <v>322</v>
      </c>
      <c r="H413" s="15">
        <v>19</v>
      </c>
      <c r="I413" s="15">
        <v>7</v>
      </c>
      <c r="J413" s="15">
        <v>5</v>
      </c>
      <c r="K413" s="15">
        <v>2</v>
      </c>
      <c r="L413" s="15" t="s">
        <v>84</v>
      </c>
      <c r="M413" s="15" t="s">
        <v>84</v>
      </c>
    </row>
    <row r="414" spans="1:13" ht="30" x14ac:dyDescent="0.25">
      <c r="A414" s="15" t="s">
        <v>86</v>
      </c>
      <c r="B414" s="15">
        <v>209</v>
      </c>
      <c r="C414" s="15">
        <v>81</v>
      </c>
      <c r="D414" s="15">
        <v>15</v>
      </c>
      <c r="E414" s="15">
        <v>7</v>
      </c>
      <c r="F414" s="15">
        <v>200</v>
      </c>
      <c r="G414" s="15">
        <v>80</v>
      </c>
      <c r="H414" s="15">
        <v>15</v>
      </c>
      <c r="I414" s="15">
        <v>7</v>
      </c>
      <c r="J414" s="15">
        <v>9</v>
      </c>
      <c r="K414" s="15">
        <v>1</v>
      </c>
      <c r="L414" s="15" t="s">
        <v>84</v>
      </c>
      <c r="M414" s="15" t="s">
        <v>84</v>
      </c>
    </row>
    <row r="415" spans="1:13" ht="45" x14ac:dyDescent="0.25">
      <c r="A415" s="15" t="s">
        <v>87</v>
      </c>
      <c r="B415" s="15">
        <v>71</v>
      </c>
      <c r="C415" s="15">
        <v>27</v>
      </c>
      <c r="D415" s="15">
        <v>7</v>
      </c>
      <c r="E415" s="15">
        <v>3</v>
      </c>
      <c r="F415" s="15">
        <v>62</v>
      </c>
      <c r="G415" s="15">
        <v>26</v>
      </c>
      <c r="H415" s="15">
        <v>7</v>
      </c>
      <c r="I415" s="15">
        <v>3</v>
      </c>
      <c r="J415" s="15">
        <v>9</v>
      </c>
      <c r="K415" s="15">
        <v>1</v>
      </c>
      <c r="L415" s="15" t="s">
        <v>84</v>
      </c>
      <c r="M415" s="15" t="s">
        <v>84</v>
      </c>
    </row>
    <row r="416" spans="1:13" ht="45" x14ac:dyDescent="0.25">
      <c r="A416" s="15" t="s">
        <v>153</v>
      </c>
      <c r="B416" s="15">
        <v>17</v>
      </c>
      <c r="C416" s="15">
        <v>11</v>
      </c>
      <c r="D416" s="15" t="s">
        <v>84</v>
      </c>
      <c r="E416" s="15" t="s">
        <v>84</v>
      </c>
      <c r="F416" s="15">
        <v>14</v>
      </c>
      <c r="G416" s="15">
        <v>10</v>
      </c>
      <c r="H416" s="15" t="s">
        <v>84</v>
      </c>
      <c r="I416" s="15" t="s">
        <v>84</v>
      </c>
      <c r="J416" s="15">
        <v>3</v>
      </c>
      <c r="K416" s="15">
        <v>1</v>
      </c>
      <c r="L416" s="15" t="s">
        <v>84</v>
      </c>
      <c r="M416" s="15" t="s">
        <v>84</v>
      </c>
    </row>
    <row r="417" spans="1:13" ht="60" x14ac:dyDescent="0.25">
      <c r="A417" s="15" t="s">
        <v>154</v>
      </c>
      <c r="B417" s="15">
        <v>11</v>
      </c>
      <c r="C417" s="15">
        <v>5</v>
      </c>
      <c r="D417" s="15" t="s">
        <v>84</v>
      </c>
      <c r="E417" s="15" t="s">
        <v>84</v>
      </c>
      <c r="F417" s="15">
        <v>11</v>
      </c>
      <c r="G417" s="15">
        <v>5</v>
      </c>
      <c r="H417" s="15" t="s">
        <v>84</v>
      </c>
      <c r="I417" s="15" t="s">
        <v>84</v>
      </c>
      <c r="J417" s="15" t="s">
        <v>84</v>
      </c>
      <c r="K417" s="15" t="s">
        <v>84</v>
      </c>
      <c r="L417" s="15" t="s">
        <v>84</v>
      </c>
      <c r="M417" s="15" t="s">
        <v>84</v>
      </c>
    </row>
    <row r="418" spans="1:13" ht="15" customHeight="1" x14ac:dyDescent="0.25">
      <c r="A418" s="207" t="s">
        <v>127</v>
      </c>
      <c r="B418" s="208"/>
      <c r="C418" s="208"/>
      <c r="D418" s="208"/>
      <c r="E418" s="208"/>
      <c r="F418" s="208"/>
      <c r="G418" s="208"/>
      <c r="H418" s="208"/>
      <c r="I418" s="208"/>
      <c r="J418" s="208"/>
      <c r="K418" s="208"/>
      <c r="L418" s="208"/>
      <c r="M418" s="209"/>
    </row>
    <row r="419" spans="1:13" x14ac:dyDescent="0.25">
      <c r="A419" s="207"/>
      <c r="B419" s="208"/>
      <c r="C419" s="208"/>
      <c r="D419" s="208"/>
      <c r="E419" s="208"/>
      <c r="F419" s="208"/>
      <c r="G419" s="208"/>
      <c r="H419" s="208"/>
      <c r="I419" s="208"/>
      <c r="J419" s="208"/>
      <c r="K419" s="208"/>
      <c r="L419" s="208"/>
      <c r="M419" s="209"/>
    </row>
    <row r="420" spans="1:13" x14ac:dyDescent="0.25">
      <c r="A420" s="15" t="s">
        <v>83</v>
      </c>
      <c r="B420" s="27">
        <v>2025</v>
      </c>
      <c r="C420" s="15">
        <v>957</v>
      </c>
      <c r="D420" s="27">
        <v>53</v>
      </c>
      <c r="E420" s="15">
        <v>23</v>
      </c>
      <c r="F420" s="15">
        <v>2005</v>
      </c>
      <c r="G420" s="15">
        <v>953</v>
      </c>
      <c r="H420" s="15">
        <v>52</v>
      </c>
      <c r="I420" s="15">
        <v>23</v>
      </c>
      <c r="J420" s="15">
        <v>20</v>
      </c>
      <c r="K420" s="15">
        <v>4</v>
      </c>
      <c r="L420" s="15">
        <v>1</v>
      </c>
      <c r="M420" s="15" t="s">
        <v>84</v>
      </c>
    </row>
    <row r="421" spans="1:13" ht="30" x14ac:dyDescent="0.25">
      <c r="A421" s="15" t="s">
        <v>151</v>
      </c>
      <c r="B421" s="15">
        <v>543</v>
      </c>
      <c r="C421" s="15">
        <v>293</v>
      </c>
      <c r="D421" s="15">
        <v>5</v>
      </c>
      <c r="E421" s="15">
        <v>2</v>
      </c>
      <c r="F421" s="15">
        <v>543</v>
      </c>
      <c r="G421" s="15">
        <v>293</v>
      </c>
      <c r="H421" s="15">
        <v>5</v>
      </c>
      <c r="I421" s="15">
        <v>2</v>
      </c>
      <c r="J421" s="15" t="s">
        <v>84</v>
      </c>
      <c r="K421" s="15" t="s">
        <v>84</v>
      </c>
      <c r="L421" s="15" t="s">
        <v>84</v>
      </c>
      <c r="M421" s="15" t="s">
        <v>84</v>
      </c>
    </row>
    <row r="422" spans="1:13" ht="60" x14ac:dyDescent="0.25">
      <c r="A422" s="15" t="s">
        <v>152</v>
      </c>
      <c r="B422" s="15">
        <v>49</v>
      </c>
      <c r="C422" s="15">
        <v>20</v>
      </c>
      <c r="D422" s="15" t="s">
        <v>84</v>
      </c>
      <c r="E422" s="15" t="s">
        <v>84</v>
      </c>
      <c r="F422" s="15">
        <v>49</v>
      </c>
      <c r="G422" s="15">
        <v>20</v>
      </c>
      <c r="H422" s="15" t="s">
        <v>84</v>
      </c>
      <c r="I422" s="15" t="s">
        <v>84</v>
      </c>
      <c r="J422" s="15" t="s">
        <v>84</v>
      </c>
      <c r="K422" s="15" t="s">
        <v>84</v>
      </c>
      <c r="L422" s="15" t="s">
        <v>84</v>
      </c>
      <c r="M422" s="15" t="s">
        <v>84</v>
      </c>
    </row>
    <row r="423" spans="1:13" ht="30" x14ac:dyDescent="0.25">
      <c r="A423" s="15" t="s">
        <v>85</v>
      </c>
      <c r="B423" s="15">
        <v>871</v>
      </c>
      <c r="C423" s="15">
        <v>427</v>
      </c>
      <c r="D423" s="15">
        <v>15</v>
      </c>
      <c r="E423" s="15">
        <v>8</v>
      </c>
      <c r="F423" s="15">
        <v>866</v>
      </c>
      <c r="G423" s="15">
        <v>423</v>
      </c>
      <c r="H423" s="15">
        <v>15</v>
      </c>
      <c r="I423" s="15">
        <v>8</v>
      </c>
      <c r="J423" s="15">
        <v>5</v>
      </c>
      <c r="K423" s="15">
        <v>4</v>
      </c>
      <c r="L423" s="15" t="s">
        <v>84</v>
      </c>
      <c r="M423" s="15" t="s">
        <v>84</v>
      </c>
    </row>
    <row r="424" spans="1:13" ht="30" x14ac:dyDescent="0.25">
      <c r="A424" s="15" t="s">
        <v>86</v>
      </c>
      <c r="B424" s="15">
        <v>398</v>
      </c>
      <c r="C424" s="15">
        <v>158</v>
      </c>
      <c r="D424" s="15">
        <v>19</v>
      </c>
      <c r="E424" s="15">
        <v>6</v>
      </c>
      <c r="F424" s="15">
        <v>392</v>
      </c>
      <c r="G424" s="15">
        <v>158</v>
      </c>
      <c r="H424" s="15">
        <v>18</v>
      </c>
      <c r="I424" s="15">
        <v>6</v>
      </c>
      <c r="J424" s="15">
        <v>6</v>
      </c>
      <c r="K424" s="15" t="s">
        <v>84</v>
      </c>
      <c r="L424" s="15">
        <v>1</v>
      </c>
      <c r="M424" s="15" t="s">
        <v>84</v>
      </c>
    </row>
    <row r="425" spans="1:13" ht="45" x14ac:dyDescent="0.25">
      <c r="A425" s="15" t="s">
        <v>87</v>
      </c>
      <c r="B425" s="15">
        <v>164</v>
      </c>
      <c r="C425" s="15">
        <v>59</v>
      </c>
      <c r="D425" s="15">
        <v>14</v>
      </c>
      <c r="E425" s="15">
        <v>7</v>
      </c>
      <c r="F425" s="15">
        <v>155</v>
      </c>
      <c r="G425" s="15">
        <v>59</v>
      </c>
      <c r="H425" s="15">
        <v>14</v>
      </c>
      <c r="I425" s="15">
        <v>7</v>
      </c>
      <c r="J425" s="15">
        <v>9</v>
      </c>
      <c r="K425" s="15" t="s">
        <v>84</v>
      </c>
      <c r="L425" s="15" t="s">
        <v>84</v>
      </c>
      <c r="M425" s="15" t="s">
        <v>84</v>
      </c>
    </row>
    <row r="426" spans="1:13" ht="45" x14ac:dyDescent="0.25">
      <c r="A426" s="15" t="s">
        <v>153</v>
      </c>
      <c r="B426" s="15">
        <v>41</v>
      </c>
      <c r="C426" s="15">
        <v>15</v>
      </c>
      <c r="D426" s="15">
        <v>4</v>
      </c>
      <c r="E426" s="15">
        <v>1</v>
      </c>
      <c r="F426" s="15">
        <v>40</v>
      </c>
      <c r="G426" s="15">
        <v>15</v>
      </c>
      <c r="H426" s="15">
        <v>4</v>
      </c>
      <c r="I426" s="15">
        <v>1</v>
      </c>
      <c r="J426" s="15">
        <v>1</v>
      </c>
      <c r="K426" s="15" t="s">
        <v>84</v>
      </c>
      <c r="L426" s="15" t="s">
        <v>84</v>
      </c>
      <c r="M426" s="15" t="s">
        <v>84</v>
      </c>
    </row>
    <row r="427" spans="1:13" ht="60" x14ac:dyDescent="0.25">
      <c r="A427" s="15" t="s">
        <v>154</v>
      </c>
      <c r="B427" s="15">
        <v>16</v>
      </c>
      <c r="C427" s="15">
        <v>7</v>
      </c>
      <c r="D427" s="15">
        <v>1</v>
      </c>
      <c r="E427" s="15">
        <v>1</v>
      </c>
      <c r="F427" s="15">
        <v>16</v>
      </c>
      <c r="G427" s="15">
        <v>7</v>
      </c>
      <c r="H427" s="15">
        <v>1</v>
      </c>
      <c r="I427" s="15">
        <v>1</v>
      </c>
      <c r="J427" s="15" t="s">
        <v>84</v>
      </c>
      <c r="K427" s="15" t="s">
        <v>84</v>
      </c>
      <c r="L427" s="15" t="s">
        <v>84</v>
      </c>
      <c r="M427" s="15" t="s">
        <v>84</v>
      </c>
    </row>
    <row r="428" spans="1:13" ht="15" customHeight="1" x14ac:dyDescent="0.25">
      <c r="A428" s="207" t="s">
        <v>128</v>
      </c>
      <c r="B428" s="208"/>
      <c r="C428" s="208"/>
      <c r="D428" s="208"/>
      <c r="E428" s="208"/>
      <c r="F428" s="208"/>
      <c r="G428" s="208"/>
      <c r="H428" s="208"/>
      <c r="I428" s="208"/>
      <c r="J428" s="208"/>
      <c r="K428" s="208"/>
      <c r="L428" s="208"/>
      <c r="M428" s="209"/>
    </row>
    <row r="429" spans="1:13" x14ac:dyDescent="0.25">
      <c r="A429" s="207"/>
      <c r="B429" s="208"/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9"/>
    </row>
    <row r="430" spans="1:13" x14ac:dyDescent="0.25">
      <c r="A430" s="15" t="s">
        <v>83</v>
      </c>
      <c r="B430" s="27">
        <v>2097</v>
      </c>
      <c r="C430" s="15">
        <v>1003</v>
      </c>
      <c r="D430" s="27">
        <v>97</v>
      </c>
      <c r="E430" s="15">
        <v>44</v>
      </c>
      <c r="F430" s="15">
        <v>1946</v>
      </c>
      <c r="G430" s="15">
        <v>928</v>
      </c>
      <c r="H430" s="15">
        <v>97</v>
      </c>
      <c r="I430" s="15">
        <v>44</v>
      </c>
      <c r="J430" s="15">
        <v>151</v>
      </c>
      <c r="K430" s="15">
        <v>75</v>
      </c>
      <c r="L430" s="15" t="s">
        <v>84</v>
      </c>
      <c r="M430" s="15" t="s">
        <v>84</v>
      </c>
    </row>
    <row r="431" spans="1:13" ht="30" x14ac:dyDescent="0.25">
      <c r="A431" s="15" t="s">
        <v>151</v>
      </c>
      <c r="B431" s="15">
        <v>413</v>
      </c>
      <c r="C431" s="15">
        <v>239</v>
      </c>
      <c r="D431" s="15" t="s">
        <v>84</v>
      </c>
      <c r="E431" s="15" t="s">
        <v>84</v>
      </c>
      <c r="F431" s="15">
        <v>313</v>
      </c>
      <c r="G431" s="15">
        <v>187</v>
      </c>
      <c r="H431" s="15" t="s">
        <v>84</v>
      </c>
      <c r="I431" s="15" t="s">
        <v>84</v>
      </c>
      <c r="J431" s="15">
        <v>100</v>
      </c>
      <c r="K431" s="15">
        <v>52</v>
      </c>
      <c r="L431" s="15" t="s">
        <v>84</v>
      </c>
      <c r="M431" s="15" t="s">
        <v>84</v>
      </c>
    </row>
    <row r="432" spans="1:13" ht="60" x14ac:dyDescent="0.25">
      <c r="A432" s="15" t="s">
        <v>152</v>
      </c>
      <c r="B432" s="15">
        <v>28</v>
      </c>
      <c r="C432" s="15">
        <v>13</v>
      </c>
      <c r="D432" s="15" t="s">
        <v>84</v>
      </c>
      <c r="E432" s="15" t="s">
        <v>84</v>
      </c>
      <c r="F432" s="15">
        <v>25</v>
      </c>
      <c r="G432" s="15">
        <v>11</v>
      </c>
      <c r="H432" s="15" t="s">
        <v>84</v>
      </c>
      <c r="I432" s="15" t="s">
        <v>84</v>
      </c>
      <c r="J432" s="15">
        <v>3</v>
      </c>
      <c r="K432" s="15">
        <v>2</v>
      </c>
      <c r="L432" s="15" t="s">
        <v>84</v>
      </c>
      <c r="M432" s="15" t="s">
        <v>84</v>
      </c>
    </row>
    <row r="433" spans="1:13" ht="30" x14ac:dyDescent="0.25">
      <c r="A433" s="15" t="s">
        <v>85</v>
      </c>
      <c r="B433" s="15">
        <v>1090</v>
      </c>
      <c r="C433" s="15">
        <v>543</v>
      </c>
      <c r="D433" s="15">
        <v>27</v>
      </c>
      <c r="E433" s="15">
        <v>12</v>
      </c>
      <c r="F433" s="15">
        <v>1061</v>
      </c>
      <c r="G433" s="15">
        <v>530</v>
      </c>
      <c r="H433" s="15">
        <v>27</v>
      </c>
      <c r="I433" s="15">
        <v>12</v>
      </c>
      <c r="J433" s="15">
        <v>29</v>
      </c>
      <c r="K433" s="15">
        <v>13</v>
      </c>
      <c r="L433" s="15" t="s">
        <v>84</v>
      </c>
      <c r="M433" s="15" t="s">
        <v>84</v>
      </c>
    </row>
    <row r="434" spans="1:13" ht="30" x14ac:dyDescent="0.25">
      <c r="A434" s="15" t="s">
        <v>86</v>
      </c>
      <c r="B434" s="15">
        <v>436</v>
      </c>
      <c r="C434" s="15">
        <v>162</v>
      </c>
      <c r="D434" s="15">
        <v>40</v>
      </c>
      <c r="E434" s="15">
        <v>20</v>
      </c>
      <c r="F434" s="15">
        <v>436</v>
      </c>
      <c r="G434" s="15">
        <v>162</v>
      </c>
      <c r="H434" s="15">
        <v>40</v>
      </c>
      <c r="I434" s="15">
        <v>20</v>
      </c>
      <c r="J434" s="15" t="s">
        <v>84</v>
      </c>
      <c r="K434" s="15" t="s">
        <v>84</v>
      </c>
      <c r="L434" s="15" t="s">
        <v>84</v>
      </c>
      <c r="M434" s="15" t="s">
        <v>84</v>
      </c>
    </row>
    <row r="435" spans="1:13" ht="45" x14ac:dyDescent="0.25">
      <c r="A435" s="15" t="s">
        <v>87</v>
      </c>
      <c r="B435" s="15">
        <v>130</v>
      </c>
      <c r="C435" s="15">
        <v>46</v>
      </c>
      <c r="D435" s="15">
        <v>30</v>
      </c>
      <c r="E435" s="15">
        <v>12</v>
      </c>
      <c r="F435" s="15">
        <v>111</v>
      </c>
      <c r="G435" s="15">
        <v>38</v>
      </c>
      <c r="H435" s="15">
        <v>30</v>
      </c>
      <c r="I435" s="15">
        <v>12</v>
      </c>
      <c r="J435" s="15">
        <v>19</v>
      </c>
      <c r="K435" s="15">
        <v>8</v>
      </c>
      <c r="L435" s="15" t="s">
        <v>84</v>
      </c>
      <c r="M435" s="15" t="s">
        <v>84</v>
      </c>
    </row>
    <row r="436" spans="1:13" ht="45" x14ac:dyDescent="0.25">
      <c r="A436" s="15" t="s">
        <v>153</v>
      </c>
      <c r="B436" s="15">
        <v>47</v>
      </c>
      <c r="C436" s="15">
        <v>17</v>
      </c>
      <c r="D436" s="15">
        <v>3</v>
      </c>
      <c r="E436" s="15">
        <v>3</v>
      </c>
      <c r="F436" s="15">
        <v>45</v>
      </c>
      <c r="G436" s="15">
        <v>16</v>
      </c>
      <c r="H436" s="15">
        <v>3</v>
      </c>
      <c r="I436" s="15">
        <v>3</v>
      </c>
      <c r="J436" s="15">
        <v>2</v>
      </c>
      <c r="K436" s="15">
        <v>1</v>
      </c>
      <c r="L436" s="15" t="s">
        <v>84</v>
      </c>
      <c r="M436" s="15" t="s">
        <v>84</v>
      </c>
    </row>
    <row r="437" spans="1:13" ht="60" x14ac:dyDescent="0.25">
      <c r="A437" s="15" t="s">
        <v>154</v>
      </c>
      <c r="B437" s="15">
        <v>19</v>
      </c>
      <c r="C437" s="15">
        <v>8</v>
      </c>
      <c r="D437" s="15" t="s">
        <v>84</v>
      </c>
      <c r="E437" s="15" t="s">
        <v>84</v>
      </c>
      <c r="F437" s="15">
        <v>3</v>
      </c>
      <c r="G437" s="15">
        <v>1</v>
      </c>
      <c r="H437" s="15" t="s">
        <v>84</v>
      </c>
      <c r="I437" s="15" t="s">
        <v>84</v>
      </c>
      <c r="J437" s="15">
        <v>16</v>
      </c>
      <c r="K437" s="15">
        <v>7</v>
      </c>
      <c r="L437" s="15" t="s">
        <v>84</v>
      </c>
      <c r="M437" s="15" t="s">
        <v>84</v>
      </c>
    </row>
    <row r="438" spans="1:13" ht="15" customHeight="1" x14ac:dyDescent="0.25">
      <c r="A438" s="207" t="s">
        <v>129</v>
      </c>
      <c r="B438" s="208"/>
      <c r="C438" s="208"/>
      <c r="D438" s="208"/>
      <c r="E438" s="208"/>
      <c r="F438" s="208"/>
      <c r="G438" s="208"/>
      <c r="H438" s="208"/>
      <c r="I438" s="208"/>
      <c r="J438" s="208"/>
      <c r="K438" s="208"/>
      <c r="L438" s="208"/>
      <c r="M438" s="209"/>
    </row>
    <row r="439" spans="1:13" x14ac:dyDescent="0.25">
      <c r="A439" s="207"/>
      <c r="B439" s="208"/>
      <c r="C439" s="208"/>
      <c r="D439" s="208"/>
      <c r="E439" s="208"/>
      <c r="F439" s="208"/>
      <c r="G439" s="208"/>
      <c r="H439" s="208"/>
      <c r="I439" s="208"/>
      <c r="J439" s="208"/>
      <c r="K439" s="208"/>
      <c r="L439" s="208"/>
      <c r="M439" s="209"/>
    </row>
    <row r="440" spans="1:13" x14ac:dyDescent="0.25">
      <c r="A440" s="15" t="s">
        <v>83</v>
      </c>
      <c r="B440" s="27">
        <v>3801</v>
      </c>
      <c r="C440" s="15">
        <v>1866</v>
      </c>
      <c r="D440" s="27">
        <v>224</v>
      </c>
      <c r="E440" s="15">
        <v>103</v>
      </c>
      <c r="F440" s="15">
        <v>2785</v>
      </c>
      <c r="G440" s="15">
        <v>1287</v>
      </c>
      <c r="H440" s="15">
        <v>204</v>
      </c>
      <c r="I440" s="15">
        <v>92</v>
      </c>
      <c r="J440" s="15">
        <v>1016</v>
      </c>
      <c r="K440" s="15">
        <v>579</v>
      </c>
      <c r="L440" s="15">
        <v>20</v>
      </c>
      <c r="M440" s="15">
        <v>11</v>
      </c>
    </row>
    <row r="441" spans="1:13" ht="30" x14ac:dyDescent="0.25">
      <c r="A441" s="15" t="s">
        <v>151</v>
      </c>
      <c r="B441" s="15">
        <v>1000</v>
      </c>
      <c r="C441" s="15">
        <v>594</v>
      </c>
      <c r="D441" s="15">
        <v>6</v>
      </c>
      <c r="E441" s="15">
        <v>4</v>
      </c>
      <c r="F441" s="15">
        <v>527</v>
      </c>
      <c r="G441" s="15">
        <v>279</v>
      </c>
      <c r="H441" s="15">
        <v>3</v>
      </c>
      <c r="I441" s="15">
        <v>2</v>
      </c>
      <c r="J441" s="15">
        <v>473</v>
      </c>
      <c r="K441" s="15">
        <v>315</v>
      </c>
      <c r="L441" s="15">
        <v>3</v>
      </c>
      <c r="M441" s="15">
        <v>2</v>
      </c>
    </row>
    <row r="442" spans="1:13" ht="60" x14ac:dyDescent="0.25">
      <c r="A442" s="15" t="s">
        <v>152</v>
      </c>
      <c r="B442" s="15">
        <v>34</v>
      </c>
      <c r="C442" s="15">
        <v>16</v>
      </c>
      <c r="D442" s="15" t="s">
        <v>84</v>
      </c>
      <c r="E442" s="15" t="s">
        <v>84</v>
      </c>
      <c r="F442" s="15">
        <v>14</v>
      </c>
      <c r="G442" s="15">
        <v>4</v>
      </c>
      <c r="H442" s="15" t="s">
        <v>84</v>
      </c>
      <c r="I442" s="15" t="s">
        <v>84</v>
      </c>
      <c r="J442" s="15">
        <v>20</v>
      </c>
      <c r="K442" s="15">
        <v>12</v>
      </c>
      <c r="L442" s="15" t="s">
        <v>84</v>
      </c>
      <c r="M442" s="15" t="s">
        <v>84</v>
      </c>
    </row>
    <row r="443" spans="1:13" ht="30" x14ac:dyDescent="0.25">
      <c r="A443" s="15" t="s">
        <v>85</v>
      </c>
      <c r="B443" s="15">
        <v>1965</v>
      </c>
      <c r="C443" s="15">
        <v>946</v>
      </c>
      <c r="D443" s="15">
        <v>71</v>
      </c>
      <c r="E443" s="15">
        <v>38</v>
      </c>
      <c r="F443" s="15">
        <v>1557</v>
      </c>
      <c r="G443" s="15">
        <v>726</v>
      </c>
      <c r="H443" s="15">
        <v>65</v>
      </c>
      <c r="I443" s="15">
        <v>33</v>
      </c>
      <c r="J443" s="15">
        <v>408</v>
      </c>
      <c r="K443" s="15">
        <v>220</v>
      </c>
      <c r="L443" s="15">
        <v>6</v>
      </c>
      <c r="M443" s="15">
        <v>5</v>
      </c>
    </row>
    <row r="444" spans="1:13" ht="30" x14ac:dyDescent="0.25">
      <c r="A444" s="15" t="s">
        <v>86</v>
      </c>
      <c r="B444" s="15">
        <v>516</v>
      </c>
      <c r="C444" s="15">
        <v>196</v>
      </c>
      <c r="D444" s="15">
        <v>52</v>
      </c>
      <c r="E444" s="15">
        <v>24</v>
      </c>
      <c r="F444" s="15">
        <v>434</v>
      </c>
      <c r="G444" s="15">
        <v>175</v>
      </c>
      <c r="H444" s="15">
        <v>46</v>
      </c>
      <c r="I444" s="15">
        <v>22</v>
      </c>
      <c r="J444" s="15">
        <v>82</v>
      </c>
      <c r="K444" s="15">
        <v>21</v>
      </c>
      <c r="L444" s="15">
        <v>6</v>
      </c>
      <c r="M444" s="15">
        <v>2</v>
      </c>
    </row>
    <row r="445" spans="1:13" ht="45" x14ac:dyDescent="0.25">
      <c r="A445" s="15" t="s">
        <v>87</v>
      </c>
      <c r="B445" s="15">
        <v>286</v>
      </c>
      <c r="C445" s="15">
        <v>114</v>
      </c>
      <c r="D445" s="15">
        <v>95</v>
      </c>
      <c r="E445" s="15">
        <v>37</v>
      </c>
      <c r="F445" s="15">
        <v>253</v>
      </c>
      <c r="G445" s="15">
        <v>103</v>
      </c>
      <c r="H445" s="15">
        <v>90</v>
      </c>
      <c r="I445" s="15">
        <v>35</v>
      </c>
      <c r="J445" s="15">
        <v>33</v>
      </c>
      <c r="K445" s="15">
        <v>11</v>
      </c>
      <c r="L445" s="15">
        <v>5</v>
      </c>
      <c r="M445" s="15">
        <v>2</v>
      </c>
    </row>
    <row r="446" spans="1:13" ht="45" x14ac:dyDescent="0.25">
      <c r="A446" s="15" t="s">
        <v>153</v>
      </c>
      <c r="B446" s="15">
        <v>83</v>
      </c>
      <c r="C446" s="15">
        <v>37</v>
      </c>
      <c r="D446" s="15">
        <v>5</v>
      </c>
      <c r="E446" s="15">
        <v>2</v>
      </c>
      <c r="F446" s="15">
        <v>75</v>
      </c>
      <c r="G446" s="15">
        <v>34</v>
      </c>
      <c r="H446" s="15">
        <v>4</v>
      </c>
      <c r="I446" s="15">
        <v>2</v>
      </c>
      <c r="J446" s="15">
        <v>8</v>
      </c>
      <c r="K446" s="15">
        <v>3</v>
      </c>
      <c r="L446" s="15">
        <v>1</v>
      </c>
      <c r="M446" s="15" t="s">
        <v>84</v>
      </c>
    </row>
    <row r="447" spans="1:13" ht="15" customHeight="1" x14ac:dyDescent="0.25">
      <c r="A447" s="207" t="s">
        <v>130</v>
      </c>
      <c r="B447" s="208"/>
      <c r="C447" s="208"/>
      <c r="D447" s="208"/>
      <c r="E447" s="208"/>
      <c r="F447" s="208"/>
      <c r="G447" s="208"/>
      <c r="H447" s="208"/>
      <c r="I447" s="208"/>
      <c r="J447" s="208"/>
      <c r="K447" s="208"/>
      <c r="L447" s="208"/>
      <c r="M447" s="209"/>
    </row>
    <row r="448" spans="1:13" x14ac:dyDescent="0.25">
      <c r="A448" s="207"/>
      <c r="B448" s="208"/>
      <c r="C448" s="208"/>
      <c r="D448" s="208"/>
      <c r="E448" s="208"/>
      <c r="F448" s="208"/>
      <c r="G448" s="208"/>
      <c r="H448" s="208"/>
      <c r="I448" s="208"/>
      <c r="J448" s="208"/>
      <c r="K448" s="208"/>
      <c r="L448" s="208"/>
      <c r="M448" s="209"/>
    </row>
    <row r="449" spans="1:13" x14ac:dyDescent="0.25">
      <c r="A449" s="15" t="s">
        <v>83</v>
      </c>
      <c r="B449" s="27">
        <v>873</v>
      </c>
      <c r="C449" s="15">
        <v>392</v>
      </c>
      <c r="D449" s="27">
        <v>47</v>
      </c>
      <c r="E449" s="15">
        <v>18</v>
      </c>
      <c r="F449" s="15">
        <v>873</v>
      </c>
      <c r="G449" s="15">
        <v>392</v>
      </c>
      <c r="H449" s="15">
        <v>47</v>
      </c>
      <c r="I449" s="15">
        <v>18</v>
      </c>
      <c r="J449" s="15" t="s">
        <v>84</v>
      </c>
      <c r="K449" s="15" t="s">
        <v>84</v>
      </c>
      <c r="L449" s="15" t="s">
        <v>84</v>
      </c>
      <c r="M449" s="15" t="s">
        <v>84</v>
      </c>
    </row>
    <row r="450" spans="1:13" ht="30" x14ac:dyDescent="0.25">
      <c r="A450" s="15" t="s">
        <v>151</v>
      </c>
      <c r="B450" s="15">
        <v>205</v>
      </c>
      <c r="C450" s="15">
        <v>104</v>
      </c>
      <c r="D450" s="15">
        <v>3</v>
      </c>
      <c r="E450" s="15">
        <v>1</v>
      </c>
      <c r="F450" s="15">
        <v>205</v>
      </c>
      <c r="G450" s="15">
        <v>104</v>
      </c>
      <c r="H450" s="15">
        <v>3</v>
      </c>
      <c r="I450" s="15">
        <v>1</v>
      </c>
      <c r="J450" s="15" t="s">
        <v>84</v>
      </c>
      <c r="K450" s="15" t="s">
        <v>84</v>
      </c>
      <c r="L450" s="15" t="s">
        <v>84</v>
      </c>
      <c r="M450" s="15" t="s">
        <v>84</v>
      </c>
    </row>
    <row r="451" spans="1:13" ht="60" x14ac:dyDescent="0.25">
      <c r="A451" s="15" t="s">
        <v>152</v>
      </c>
      <c r="B451" s="15">
        <v>15</v>
      </c>
      <c r="C451" s="15">
        <v>10</v>
      </c>
      <c r="D451" s="15">
        <v>1</v>
      </c>
      <c r="E451" s="15">
        <v>1</v>
      </c>
      <c r="F451" s="15">
        <v>15</v>
      </c>
      <c r="G451" s="15">
        <v>10</v>
      </c>
      <c r="H451" s="15">
        <v>1</v>
      </c>
      <c r="I451" s="15">
        <v>1</v>
      </c>
      <c r="J451" s="15" t="s">
        <v>84</v>
      </c>
      <c r="K451" s="15" t="s">
        <v>84</v>
      </c>
      <c r="L451" s="15" t="s">
        <v>84</v>
      </c>
      <c r="M451" s="15" t="s">
        <v>84</v>
      </c>
    </row>
    <row r="452" spans="1:13" ht="30" x14ac:dyDescent="0.25">
      <c r="A452" s="15" t="s">
        <v>85</v>
      </c>
      <c r="B452" s="15">
        <v>390</v>
      </c>
      <c r="C452" s="15">
        <v>199</v>
      </c>
      <c r="D452" s="15">
        <v>7</v>
      </c>
      <c r="E452" s="15">
        <v>4</v>
      </c>
      <c r="F452" s="15">
        <v>390</v>
      </c>
      <c r="G452" s="15">
        <v>199</v>
      </c>
      <c r="H452" s="15">
        <v>7</v>
      </c>
      <c r="I452" s="15">
        <v>4</v>
      </c>
      <c r="J452" s="15" t="s">
        <v>84</v>
      </c>
      <c r="K452" s="15" t="s">
        <v>84</v>
      </c>
      <c r="L452" s="15" t="s">
        <v>84</v>
      </c>
      <c r="M452" s="15" t="s">
        <v>84</v>
      </c>
    </row>
    <row r="453" spans="1:13" ht="30" x14ac:dyDescent="0.25">
      <c r="A453" s="15" t="s">
        <v>86</v>
      </c>
      <c r="B453" s="15">
        <v>182</v>
      </c>
      <c r="C453" s="15">
        <v>54</v>
      </c>
      <c r="D453" s="15">
        <v>9</v>
      </c>
      <c r="E453" s="15">
        <v>4</v>
      </c>
      <c r="F453" s="15">
        <v>182</v>
      </c>
      <c r="G453" s="15">
        <v>54</v>
      </c>
      <c r="H453" s="15">
        <v>9</v>
      </c>
      <c r="I453" s="15">
        <v>4</v>
      </c>
      <c r="J453" s="15" t="s">
        <v>84</v>
      </c>
      <c r="K453" s="15" t="s">
        <v>84</v>
      </c>
      <c r="L453" s="15" t="s">
        <v>84</v>
      </c>
      <c r="M453" s="15" t="s">
        <v>84</v>
      </c>
    </row>
    <row r="454" spans="1:13" ht="45" x14ac:dyDescent="0.25">
      <c r="A454" s="15" t="s">
        <v>87</v>
      </c>
      <c r="B454" s="15">
        <v>81</v>
      </c>
      <c r="C454" s="15">
        <v>25</v>
      </c>
      <c r="D454" s="15">
        <v>27</v>
      </c>
      <c r="E454" s="15">
        <v>8</v>
      </c>
      <c r="F454" s="15">
        <v>81</v>
      </c>
      <c r="G454" s="15">
        <v>25</v>
      </c>
      <c r="H454" s="15">
        <v>27</v>
      </c>
      <c r="I454" s="15">
        <v>8</v>
      </c>
      <c r="J454" s="15" t="s">
        <v>84</v>
      </c>
      <c r="K454" s="15" t="s">
        <v>84</v>
      </c>
      <c r="L454" s="15" t="s">
        <v>84</v>
      </c>
      <c r="M454" s="15" t="s">
        <v>84</v>
      </c>
    </row>
    <row r="455" spans="1:13" ht="45" x14ac:dyDescent="0.25">
      <c r="A455" s="15" t="s">
        <v>153</v>
      </c>
      <c r="B455" s="15">
        <v>17</v>
      </c>
      <c r="C455" s="15">
        <v>4</v>
      </c>
      <c r="D455" s="15">
        <v>2</v>
      </c>
      <c r="E455" s="15" t="s">
        <v>84</v>
      </c>
      <c r="F455" s="15">
        <v>17</v>
      </c>
      <c r="G455" s="15">
        <v>4</v>
      </c>
      <c r="H455" s="15">
        <v>2</v>
      </c>
      <c r="I455" s="15" t="s">
        <v>84</v>
      </c>
      <c r="J455" s="15" t="s">
        <v>84</v>
      </c>
      <c r="K455" s="15" t="s">
        <v>84</v>
      </c>
      <c r="L455" s="15" t="s">
        <v>84</v>
      </c>
      <c r="M455" s="15" t="s">
        <v>84</v>
      </c>
    </row>
    <row r="456" spans="1:13" ht="60" x14ac:dyDescent="0.25">
      <c r="A456" s="15" t="s">
        <v>154</v>
      </c>
      <c r="B456" s="15">
        <v>9</v>
      </c>
      <c r="C456" s="15">
        <v>4</v>
      </c>
      <c r="D456" s="15">
        <v>1</v>
      </c>
      <c r="E456" s="15" t="s">
        <v>84</v>
      </c>
      <c r="F456" s="15">
        <v>9</v>
      </c>
      <c r="G456" s="15">
        <v>4</v>
      </c>
      <c r="H456" s="15">
        <v>1</v>
      </c>
      <c r="I456" s="15" t="s">
        <v>84</v>
      </c>
      <c r="J456" s="15" t="s">
        <v>84</v>
      </c>
      <c r="K456" s="15" t="s">
        <v>84</v>
      </c>
      <c r="L456" s="15" t="s">
        <v>84</v>
      </c>
      <c r="M456" s="15" t="s">
        <v>84</v>
      </c>
    </row>
    <row r="457" spans="1:13" ht="15" customHeight="1" x14ac:dyDescent="0.25">
      <c r="A457" s="207" t="s">
        <v>131</v>
      </c>
      <c r="B457" s="208"/>
      <c r="C457" s="208"/>
      <c r="D457" s="208"/>
      <c r="E457" s="208"/>
      <c r="F457" s="208"/>
      <c r="G457" s="208"/>
      <c r="H457" s="208"/>
      <c r="I457" s="208"/>
      <c r="J457" s="208"/>
      <c r="K457" s="208"/>
      <c r="L457" s="208"/>
      <c r="M457" s="209"/>
    </row>
    <row r="458" spans="1:13" x14ac:dyDescent="0.25">
      <c r="A458" s="207"/>
      <c r="B458" s="208"/>
      <c r="C458" s="208"/>
      <c r="D458" s="208"/>
      <c r="E458" s="208"/>
      <c r="F458" s="208"/>
      <c r="G458" s="208"/>
      <c r="H458" s="208"/>
      <c r="I458" s="208"/>
      <c r="J458" s="208"/>
      <c r="K458" s="208"/>
      <c r="L458" s="208"/>
      <c r="M458" s="209"/>
    </row>
    <row r="459" spans="1:13" x14ac:dyDescent="0.25">
      <c r="A459" s="15" t="s">
        <v>83</v>
      </c>
      <c r="B459" s="27">
        <v>1521</v>
      </c>
      <c r="C459" s="15">
        <v>754</v>
      </c>
      <c r="D459" s="27">
        <v>131</v>
      </c>
      <c r="E459" s="15">
        <v>70</v>
      </c>
      <c r="F459" s="15">
        <v>1366</v>
      </c>
      <c r="G459" s="15">
        <v>677</v>
      </c>
      <c r="H459" s="15">
        <v>124</v>
      </c>
      <c r="I459" s="15">
        <v>64</v>
      </c>
      <c r="J459" s="15">
        <v>155</v>
      </c>
      <c r="K459" s="15">
        <v>77</v>
      </c>
      <c r="L459" s="15">
        <v>7</v>
      </c>
      <c r="M459" s="15">
        <v>6</v>
      </c>
    </row>
    <row r="460" spans="1:13" ht="30" x14ac:dyDescent="0.25">
      <c r="A460" s="15" t="s">
        <v>151</v>
      </c>
      <c r="B460" s="15">
        <v>396</v>
      </c>
      <c r="C460" s="15">
        <v>231</v>
      </c>
      <c r="D460" s="15">
        <v>13</v>
      </c>
      <c r="E460" s="15">
        <v>12</v>
      </c>
      <c r="F460" s="15">
        <v>282</v>
      </c>
      <c r="G460" s="15">
        <v>166</v>
      </c>
      <c r="H460" s="15">
        <v>9</v>
      </c>
      <c r="I460" s="15">
        <v>8</v>
      </c>
      <c r="J460" s="15">
        <v>114</v>
      </c>
      <c r="K460" s="15">
        <v>65</v>
      </c>
      <c r="L460" s="15">
        <v>4</v>
      </c>
      <c r="M460" s="15">
        <v>4</v>
      </c>
    </row>
    <row r="461" spans="1:13" ht="60" x14ac:dyDescent="0.25">
      <c r="A461" s="15" t="s">
        <v>152</v>
      </c>
      <c r="B461" s="15">
        <v>19</v>
      </c>
      <c r="C461" s="15">
        <v>10</v>
      </c>
      <c r="D461" s="15">
        <v>1</v>
      </c>
      <c r="E461" s="15" t="s">
        <v>84</v>
      </c>
      <c r="F461" s="15">
        <v>12</v>
      </c>
      <c r="G461" s="15">
        <v>7</v>
      </c>
      <c r="H461" s="15">
        <v>1</v>
      </c>
      <c r="I461" s="15" t="s">
        <v>84</v>
      </c>
      <c r="J461" s="15">
        <v>7</v>
      </c>
      <c r="K461" s="15">
        <v>3</v>
      </c>
      <c r="L461" s="15" t="s">
        <v>84</v>
      </c>
      <c r="M461" s="15" t="s">
        <v>84</v>
      </c>
    </row>
    <row r="462" spans="1:13" ht="30" x14ac:dyDescent="0.25">
      <c r="A462" s="15" t="s">
        <v>85</v>
      </c>
      <c r="B462" s="15">
        <v>773</v>
      </c>
      <c r="C462" s="15">
        <v>377</v>
      </c>
      <c r="D462" s="15">
        <v>56</v>
      </c>
      <c r="E462" s="15">
        <v>30</v>
      </c>
      <c r="F462" s="15">
        <v>754</v>
      </c>
      <c r="G462" s="15">
        <v>373</v>
      </c>
      <c r="H462" s="15">
        <v>56</v>
      </c>
      <c r="I462" s="15">
        <v>30</v>
      </c>
      <c r="J462" s="15">
        <v>19</v>
      </c>
      <c r="K462" s="15">
        <v>4</v>
      </c>
      <c r="L462" s="15" t="s">
        <v>84</v>
      </c>
      <c r="M462" s="15" t="s">
        <v>84</v>
      </c>
    </row>
    <row r="463" spans="1:13" ht="30" x14ac:dyDescent="0.25">
      <c r="A463" s="15" t="s">
        <v>86</v>
      </c>
      <c r="B463" s="15">
        <v>243</v>
      </c>
      <c r="C463" s="15">
        <v>95</v>
      </c>
      <c r="D463" s="15">
        <v>39</v>
      </c>
      <c r="E463" s="15">
        <v>21</v>
      </c>
      <c r="F463" s="15">
        <v>233</v>
      </c>
      <c r="G463" s="15">
        <v>91</v>
      </c>
      <c r="H463" s="15">
        <v>37</v>
      </c>
      <c r="I463" s="15">
        <v>19</v>
      </c>
      <c r="J463" s="15">
        <v>10</v>
      </c>
      <c r="K463" s="15">
        <v>4</v>
      </c>
      <c r="L463" s="15">
        <v>2</v>
      </c>
      <c r="M463" s="15">
        <v>2</v>
      </c>
    </row>
    <row r="464" spans="1:13" ht="45" x14ac:dyDescent="0.25">
      <c r="A464" s="15" t="s">
        <v>87</v>
      </c>
      <c r="B464" s="15">
        <v>90</v>
      </c>
      <c r="C464" s="15">
        <v>41</v>
      </c>
      <c r="D464" s="15">
        <v>22</v>
      </c>
      <c r="E464" s="15">
        <v>7</v>
      </c>
      <c r="F464" s="15">
        <v>85</v>
      </c>
      <c r="G464" s="15">
        <v>40</v>
      </c>
      <c r="H464" s="15">
        <v>21</v>
      </c>
      <c r="I464" s="15">
        <v>7</v>
      </c>
      <c r="J464" s="15">
        <v>5</v>
      </c>
      <c r="K464" s="15">
        <v>1</v>
      </c>
      <c r="L464" s="15">
        <v>1</v>
      </c>
      <c r="M464" s="15" t="s">
        <v>84</v>
      </c>
    </row>
    <row r="465" spans="1:13" ht="45" x14ac:dyDescent="0.25">
      <c r="A465" s="15" t="s">
        <v>153</v>
      </c>
      <c r="B465" s="15">
        <v>19</v>
      </c>
      <c r="C465" s="15">
        <v>6</v>
      </c>
      <c r="D465" s="15">
        <v>2</v>
      </c>
      <c r="E465" s="15" t="s">
        <v>84</v>
      </c>
      <c r="F465" s="15">
        <v>14</v>
      </c>
      <c r="G465" s="15">
        <v>5</v>
      </c>
      <c r="H465" s="15">
        <v>1</v>
      </c>
      <c r="I465" s="15" t="s">
        <v>84</v>
      </c>
      <c r="J465" s="15">
        <v>5</v>
      </c>
      <c r="K465" s="15">
        <v>1</v>
      </c>
      <c r="L465" s="15">
        <v>1</v>
      </c>
      <c r="M465" s="15" t="s">
        <v>84</v>
      </c>
    </row>
    <row r="466" spans="1:13" ht="60" x14ac:dyDescent="0.25">
      <c r="A466" s="15" t="s">
        <v>154</v>
      </c>
      <c r="B466" s="15">
        <v>26</v>
      </c>
      <c r="C466" s="15">
        <v>16</v>
      </c>
      <c r="D466" s="15">
        <v>1</v>
      </c>
      <c r="E466" s="15" t="s">
        <v>84</v>
      </c>
      <c r="F466" s="15">
        <v>26</v>
      </c>
      <c r="G466" s="15">
        <v>16</v>
      </c>
      <c r="H466" s="15">
        <v>1</v>
      </c>
      <c r="I466" s="15" t="s">
        <v>84</v>
      </c>
      <c r="J466" s="15" t="s">
        <v>84</v>
      </c>
      <c r="K466" s="15" t="s">
        <v>84</v>
      </c>
      <c r="L466" s="15" t="s">
        <v>84</v>
      </c>
      <c r="M466" s="15" t="s">
        <v>84</v>
      </c>
    </row>
    <row r="467" spans="1:13" ht="15" customHeight="1" x14ac:dyDescent="0.25">
      <c r="A467" s="207" t="s">
        <v>132</v>
      </c>
      <c r="B467" s="208"/>
      <c r="C467" s="208"/>
      <c r="D467" s="208"/>
      <c r="E467" s="208"/>
      <c r="F467" s="208"/>
      <c r="G467" s="208"/>
      <c r="H467" s="208"/>
      <c r="I467" s="208"/>
      <c r="J467" s="208"/>
      <c r="K467" s="208"/>
      <c r="L467" s="208"/>
      <c r="M467" s="209"/>
    </row>
    <row r="468" spans="1:13" x14ac:dyDescent="0.25">
      <c r="A468" s="207"/>
      <c r="B468" s="208"/>
      <c r="C468" s="208"/>
      <c r="D468" s="208"/>
      <c r="E468" s="208"/>
      <c r="F468" s="208"/>
      <c r="G468" s="208"/>
      <c r="H468" s="208"/>
      <c r="I468" s="208"/>
      <c r="J468" s="208"/>
      <c r="K468" s="208"/>
      <c r="L468" s="208"/>
      <c r="M468" s="209"/>
    </row>
    <row r="469" spans="1:13" x14ac:dyDescent="0.25">
      <c r="A469" s="15" t="s">
        <v>83</v>
      </c>
      <c r="B469" s="27">
        <v>1784</v>
      </c>
      <c r="C469" s="15">
        <v>842</v>
      </c>
      <c r="D469" s="27">
        <v>104</v>
      </c>
      <c r="E469" s="15">
        <v>45</v>
      </c>
      <c r="F469" s="15">
        <v>1621</v>
      </c>
      <c r="G469" s="15">
        <v>754</v>
      </c>
      <c r="H469" s="15">
        <v>98</v>
      </c>
      <c r="I469" s="15">
        <v>43</v>
      </c>
      <c r="J469" s="15">
        <v>163</v>
      </c>
      <c r="K469" s="15">
        <v>88</v>
      </c>
      <c r="L469" s="15">
        <v>6</v>
      </c>
      <c r="M469" s="15">
        <v>2</v>
      </c>
    </row>
    <row r="470" spans="1:13" ht="30" x14ac:dyDescent="0.25">
      <c r="A470" s="15" t="s">
        <v>151</v>
      </c>
      <c r="B470" s="15">
        <v>337</v>
      </c>
      <c r="C470" s="15">
        <v>189</v>
      </c>
      <c r="D470" s="15">
        <v>4</v>
      </c>
      <c r="E470" s="15">
        <v>3</v>
      </c>
      <c r="F470" s="15">
        <v>289</v>
      </c>
      <c r="G470" s="15">
        <v>154</v>
      </c>
      <c r="H470" s="15">
        <v>4</v>
      </c>
      <c r="I470" s="15">
        <v>3</v>
      </c>
      <c r="J470" s="15">
        <v>48</v>
      </c>
      <c r="K470" s="15">
        <v>35</v>
      </c>
      <c r="L470" s="15" t="s">
        <v>84</v>
      </c>
      <c r="M470" s="15" t="s">
        <v>84</v>
      </c>
    </row>
    <row r="471" spans="1:13" ht="60" x14ac:dyDescent="0.25">
      <c r="A471" s="15" t="s">
        <v>152</v>
      </c>
      <c r="B471" s="15">
        <v>34</v>
      </c>
      <c r="C471" s="15">
        <v>17</v>
      </c>
      <c r="D471" s="15" t="s">
        <v>84</v>
      </c>
      <c r="E471" s="15" t="s">
        <v>84</v>
      </c>
      <c r="F471" s="15">
        <v>27</v>
      </c>
      <c r="G471" s="15">
        <v>15</v>
      </c>
      <c r="H471" s="15" t="s">
        <v>84</v>
      </c>
      <c r="I471" s="15" t="s">
        <v>84</v>
      </c>
      <c r="J471" s="15">
        <v>7</v>
      </c>
      <c r="K471" s="15">
        <v>2</v>
      </c>
      <c r="L471" s="15" t="s">
        <v>84</v>
      </c>
      <c r="M471" s="15" t="s">
        <v>84</v>
      </c>
    </row>
    <row r="472" spans="1:13" ht="30" x14ac:dyDescent="0.25">
      <c r="A472" s="15" t="s">
        <v>85</v>
      </c>
      <c r="B472" s="15">
        <v>890</v>
      </c>
      <c r="C472" s="15">
        <v>428</v>
      </c>
      <c r="D472" s="15">
        <v>43</v>
      </c>
      <c r="E472" s="15">
        <v>23</v>
      </c>
      <c r="F472" s="15">
        <v>810</v>
      </c>
      <c r="G472" s="15">
        <v>389</v>
      </c>
      <c r="H472" s="15">
        <v>41</v>
      </c>
      <c r="I472" s="15">
        <v>22</v>
      </c>
      <c r="J472" s="15">
        <v>80</v>
      </c>
      <c r="K472" s="15">
        <v>39</v>
      </c>
      <c r="L472" s="15">
        <v>2</v>
      </c>
      <c r="M472" s="15">
        <v>1</v>
      </c>
    </row>
    <row r="473" spans="1:13" ht="30" x14ac:dyDescent="0.25">
      <c r="A473" s="15" t="s">
        <v>86</v>
      </c>
      <c r="B473" s="15">
        <v>358</v>
      </c>
      <c r="C473" s="15">
        <v>137</v>
      </c>
      <c r="D473" s="15">
        <v>28</v>
      </c>
      <c r="E473" s="15">
        <v>7</v>
      </c>
      <c r="F473" s="15">
        <v>337</v>
      </c>
      <c r="G473" s="15">
        <v>131</v>
      </c>
      <c r="H473" s="15">
        <v>25</v>
      </c>
      <c r="I473" s="15">
        <v>7</v>
      </c>
      <c r="J473" s="15">
        <v>21</v>
      </c>
      <c r="K473" s="15">
        <v>6</v>
      </c>
      <c r="L473" s="15">
        <v>3</v>
      </c>
      <c r="M473" s="15" t="s">
        <v>84</v>
      </c>
    </row>
    <row r="474" spans="1:13" ht="45" x14ac:dyDescent="0.25">
      <c r="A474" s="15" t="s">
        <v>87</v>
      </c>
      <c r="B474" s="15">
        <v>165</v>
      </c>
      <c r="C474" s="15">
        <v>71</v>
      </c>
      <c r="D474" s="15">
        <v>29</v>
      </c>
      <c r="E474" s="15">
        <v>12</v>
      </c>
      <c r="F474" s="15">
        <v>158</v>
      </c>
      <c r="G474" s="15">
        <v>65</v>
      </c>
      <c r="H474" s="15">
        <v>28</v>
      </c>
      <c r="I474" s="15">
        <v>11</v>
      </c>
      <c r="J474" s="15">
        <v>7</v>
      </c>
      <c r="K474" s="15">
        <v>6</v>
      </c>
      <c r="L474" s="15">
        <v>1</v>
      </c>
      <c r="M474" s="15">
        <v>1</v>
      </c>
    </row>
    <row r="475" spans="1:13" ht="45" x14ac:dyDescent="0.25">
      <c r="A475" s="15" t="s">
        <v>153</v>
      </c>
      <c r="B475" s="15">
        <v>76</v>
      </c>
      <c r="C475" s="15">
        <v>30</v>
      </c>
      <c r="D475" s="15">
        <v>2</v>
      </c>
      <c r="E475" s="15" t="s">
        <v>84</v>
      </c>
      <c r="F475" s="15">
        <v>76</v>
      </c>
      <c r="G475" s="15">
        <v>30</v>
      </c>
      <c r="H475" s="15">
        <v>2</v>
      </c>
      <c r="I475" s="15" t="s">
        <v>84</v>
      </c>
      <c r="J475" s="15" t="s">
        <v>84</v>
      </c>
      <c r="K475" s="15" t="s">
        <v>84</v>
      </c>
      <c r="L475" s="15" t="s">
        <v>84</v>
      </c>
      <c r="M475" s="15" t="s">
        <v>84</v>
      </c>
    </row>
    <row r="476" spans="1:13" ht="60" x14ac:dyDescent="0.25">
      <c r="A476" s="15" t="s">
        <v>154</v>
      </c>
      <c r="B476" s="15">
        <v>26</v>
      </c>
      <c r="C476" s="15">
        <v>11</v>
      </c>
      <c r="D476" s="15">
        <v>2</v>
      </c>
      <c r="E476" s="15">
        <v>1</v>
      </c>
      <c r="F476" s="15">
        <v>22</v>
      </c>
      <c r="G476" s="15">
        <v>8</v>
      </c>
      <c r="H476" s="15">
        <v>2</v>
      </c>
      <c r="I476" s="15">
        <v>1</v>
      </c>
      <c r="J476" s="15">
        <v>4</v>
      </c>
      <c r="K476" s="15">
        <v>3</v>
      </c>
      <c r="L476" s="15" t="s">
        <v>84</v>
      </c>
      <c r="M476" s="15" t="s">
        <v>84</v>
      </c>
    </row>
    <row r="477" spans="1:13" ht="15" customHeight="1" x14ac:dyDescent="0.25">
      <c r="A477" s="207" t="s">
        <v>133</v>
      </c>
      <c r="B477" s="208"/>
      <c r="C477" s="208"/>
      <c r="D477" s="208"/>
      <c r="E477" s="208"/>
      <c r="F477" s="208"/>
      <c r="G477" s="208"/>
      <c r="H477" s="208"/>
      <c r="I477" s="208"/>
      <c r="J477" s="208"/>
      <c r="K477" s="208"/>
      <c r="L477" s="208"/>
      <c r="M477" s="209"/>
    </row>
    <row r="478" spans="1:13" x14ac:dyDescent="0.25">
      <c r="A478" s="207"/>
      <c r="B478" s="208"/>
      <c r="C478" s="208"/>
      <c r="D478" s="208"/>
      <c r="E478" s="208"/>
      <c r="F478" s="208"/>
      <c r="G478" s="208"/>
      <c r="H478" s="208"/>
      <c r="I478" s="208"/>
      <c r="J478" s="208"/>
      <c r="K478" s="208"/>
      <c r="L478" s="208"/>
      <c r="M478" s="209"/>
    </row>
    <row r="479" spans="1:13" x14ac:dyDescent="0.25">
      <c r="A479" s="15" t="s">
        <v>83</v>
      </c>
      <c r="B479" s="27">
        <v>1273</v>
      </c>
      <c r="C479" s="15">
        <v>583</v>
      </c>
      <c r="D479" s="27">
        <v>92</v>
      </c>
      <c r="E479" s="15">
        <v>29</v>
      </c>
      <c r="F479" s="15">
        <v>1238</v>
      </c>
      <c r="G479" s="15">
        <v>573</v>
      </c>
      <c r="H479" s="15">
        <v>92</v>
      </c>
      <c r="I479" s="15">
        <v>29</v>
      </c>
      <c r="J479" s="15">
        <v>35</v>
      </c>
      <c r="K479" s="15">
        <v>10</v>
      </c>
      <c r="L479" s="15" t="s">
        <v>84</v>
      </c>
      <c r="M479" s="15" t="s">
        <v>84</v>
      </c>
    </row>
    <row r="480" spans="1:13" ht="30" x14ac:dyDescent="0.25">
      <c r="A480" s="15" t="s">
        <v>151</v>
      </c>
      <c r="B480" s="15">
        <v>174</v>
      </c>
      <c r="C480" s="15">
        <v>93</v>
      </c>
      <c r="D480" s="15" t="s">
        <v>84</v>
      </c>
      <c r="E480" s="15" t="s">
        <v>84</v>
      </c>
      <c r="F480" s="15">
        <v>163</v>
      </c>
      <c r="G480" s="15">
        <v>87</v>
      </c>
      <c r="H480" s="15" t="s">
        <v>84</v>
      </c>
      <c r="I480" s="15" t="s">
        <v>84</v>
      </c>
      <c r="J480" s="15">
        <v>11</v>
      </c>
      <c r="K480" s="15">
        <v>6</v>
      </c>
      <c r="L480" s="15" t="s">
        <v>84</v>
      </c>
      <c r="M480" s="15" t="s">
        <v>84</v>
      </c>
    </row>
    <row r="481" spans="1:13" ht="60" x14ac:dyDescent="0.25">
      <c r="A481" s="15" t="s">
        <v>152</v>
      </c>
      <c r="B481" s="15">
        <v>27</v>
      </c>
      <c r="C481" s="15">
        <v>11</v>
      </c>
      <c r="D481" s="15">
        <v>2</v>
      </c>
      <c r="E481" s="15" t="s">
        <v>84</v>
      </c>
      <c r="F481" s="15">
        <v>24</v>
      </c>
      <c r="G481" s="15">
        <v>9</v>
      </c>
      <c r="H481" s="15">
        <v>2</v>
      </c>
      <c r="I481" s="15" t="s">
        <v>84</v>
      </c>
      <c r="J481" s="15">
        <v>3</v>
      </c>
      <c r="K481" s="15">
        <v>2</v>
      </c>
      <c r="L481" s="15" t="s">
        <v>84</v>
      </c>
      <c r="M481" s="15" t="s">
        <v>84</v>
      </c>
    </row>
    <row r="482" spans="1:13" ht="30" x14ac:dyDescent="0.25">
      <c r="A482" s="15" t="s">
        <v>85</v>
      </c>
      <c r="B482" s="15">
        <v>741</v>
      </c>
      <c r="C482" s="15">
        <v>355</v>
      </c>
      <c r="D482" s="15">
        <v>28</v>
      </c>
      <c r="E482" s="15">
        <v>9</v>
      </c>
      <c r="F482" s="15">
        <v>729</v>
      </c>
      <c r="G482" s="15">
        <v>353</v>
      </c>
      <c r="H482" s="15">
        <v>28</v>
      </c>
      <c r="I482" s="15">
        <v>9</v>
      </c>
      <c r="J482" s="15">
        <v>12</v>
      </c>
      <c r="K482" s="15">
        <v>2</v>
      </c>
      <c r="L482" s="15" t="s">
        <v>84</v>
      </c>
      <c r="M482" s="15" t="s">
        <v>84</v>
      </c>
    </row>
    <row r="483" spans="1:13" ht="30" x14ac:dyDescent="0.25">
      <c r="A483" s="15" t="s">
        <v>86</v>
      </c>
      <c r="B483" s="15">
        <v>233</v>
      </c>
      <c r="C483" s="15">
        <v>93</v>
      </c>
      <c r="D483" s="15">
        <v>21</v>
      </c>
      <c r="E483" s="15">
        <v>8</v>
      </c>
      <c r="F483" s="15">
        <v>226</v>
      </c>
      <c r="G483" s="15">
        <v>93</v>
      </c>
      <c r="H483" s="15">
        <v>21</v>
      </c>
      <c r="I483" s="15">
        <v>8</v>
      </c>
      <c r="J483" s="15">
        <v>7</v>
      </c>
      <c r="K483" s="15" t="s">
        <v>84</v>
      </c>
      <c r="L483" s="15" t="s">
        <v>84</v>
      </c>
      <c r="M483" s="15" t="s">
        <v>84</v>
      </c>
    </row>
    <row r="484" spans="1:13" ht="45" x14ac:dyDescent="0.25">
      <c r="A484" s="15" t="s">
        <v>87</v>
      </c>
      <c r="B484" s="15">
        <v>98</v>
      </c>
      <c r="C484" s="15">
        <v>31</v>
      </c>
      <c r="D484" s="15">
        <v>41</v>
      </c>
      <c r="E484" s="15">
        <v>12</v>
      </c>
      <c r="F484" s="15">
        <v>96</v>
      </c>
      <c r="G484" s="15">
        <v>31</v>
      </c>
      <c r="H484" s="15">
        <v>41</v>
      </c>
      <c r="I484" s="15">
        <v>12</v>
      </c>
      <c r="J484" s="15">
        <v>2</v>
      </c>
      <c r="K484" s="15" t="s">
        <v>84</v>
      </c>
      <c r="L484" s="15" t="s">
        <v>84</v>
      </c>
      <c r="M484" s="15" t="s">
        <v>84</v>
      </c>
    </row>
    <row r="485" spans="1:13" ht="45" x14ac:dyDescent="0.25">
      <c r="A485" s="15" t="s">
        <v>153</v>
      </c>
      <c r="B485" s="15">
        <v>34</v>
      </c>
      <c r="C485" s="15">
        <v>13</v>
      </c>
      <c r="D485" s="15">
        <v>1</v>
      </c>
      <c r="E485" s="15" t="s">
        <v>84</v>
      </c>
      <c r="F485" s="15">
        <v>32</v>
      </c>
      <c r="G485" s="15">
        <v>13</v>
      </c>
      <c r="H485" s="15">
        <v>1</v>
      </c>
      <c r="I485" s="15" t="s">
        <v>84</v>
      </c>
      <c r="J485" s="15">
        <v>2</v>
      </c>
      <c r="K485" s="15" t="s">
        <v>84</v>
      </c>
      <c r="L485" s="15" t="s">
        <v>84</v>
      </c>
      <c r="M485" s="15" t="s">
        <v>84</v>
      </c>
    </row>
    <row r="486" spans="1:13" ht="60" x14ac:dyDescent="0.25">
      <c r="A486" s="15" t="s">
        <v>154</v>
      </c>
      <c r="B486" s="15">
        <v>5</v>
      </c>
      <c r="C486" s="15">
        <v>1</v>
      </c>
      <c r="D486" s="15" t="s">
        <v>84</v>
      </c>
      <c r="E486" s="15" t="s">
        <v>84</v>
      </c>
      <c r="F486" s="15">
        <v>5</v>
      </c>
      <c r="G486" s="15">
        <v>1</v>
      </c>
      <c r="H486" s="15" t="s">
        <v>84</v>
      </c>
      <c r="I486" s="15" t="s">
        <v>84</v>
      </c>
      <c r="J486" s="15" t="s">
        <v>84</v>
      </c>
      <c r="K486" s="15" t="s">
        <v>84</v>
      </c>
      <c r="L486" s="15" t="s">
        <v>84</v>
      </c>
      <c r="M486" s="15" t="s">
        <v>84</v>
      </c>
    </row>
    <row r="487" spans="1:13" ht="15" customHeight="1" x14ac:dyDescent="0.25">
      <c r="A487" s="207" t="s">
        <v>134</v>
      </c>
      <c r="B487" s="208"/>
      <c r="C487" s="208"/>
      <c r="D487" s="208"/>
      <c r="E487" s="208"/>
      <c r="F487" s="208"/>
      <c r="G487" s="208"/>
      <c r="H487" s="208"/>
      <c r="I487" s="208"/>
      <c r="J487" s="208"/>
      <c r="K487" s="208"/>
      <c r="L487" s="208"/>
      <c r="M487" s="209"/>
    </row>
    <row r="488" spans="1:13" x14ac:dyDescent="0.25">
      <c r="A488" s="207"/>
      <c r="B488" s="208"/>
      <c r="C488" s="208"/>
      <c r="D488" s="208"/>
      <c r="E488" s="208"/>
      <c r="F488" s="208"/>
      <c r="G488" s="208"/>
      <c r="H488" s="208"/>
      <c r="I488" s="208"/>
      <c r="J488" s="208"/>
      <c r="K488" s="208"/>
      <c r="L488" s="208"/>
      <c r="M488" s="209"/>
    </row>
    <row r="489" spans="1:13" x14ac:dyDescent="0.25">
      <c r="A489" s="15" t="s">
        <v>83</v>
      </c>
      <c r="B489" s="27">
        <v>3306</v>
      </c>
      <c r="C489" s="15">
        <v>1455</v>
      </c>
      <c r="D489" s="27">
        <v>196</v>
      </c>
      <c r="E489" s="15">
        <v>77</v>
      </c>
      <c r="F489" s="15">
        <v>3194</v>
      </c>
      <c r="G489" s="15">
        <v>1398</v>
      </c>
      <c r="H489" s="15">
        <v>196</v>
      </c>
      <c r="I489" s="15">
        <v>77</v>
      </c>
      <c r="J489" s="15">
        <v>112</v>
      </c>
      <c r="K489" s="15">
        <v>57</v>
      </c>
      <c r="L489" s="15" t="s">
        <v>84</v>
      </c>
      <c r="M489" s="15" t="s">
        <v>84</v>
      </c>
    </row>
    <row r="490" spans="1:13" ht="30" x14ac:dyDescent="0.25">
      <c r="A490" s="15" t="s">
        <v>151</v>
      </c>
      <c r="B490" s="15">
        <v>792</v>
      </c>
      <c r="C490" s="15">
        <v>407</v>
      </c>
      <c r="D490" s="15">
        <v>9</v>
      </c>
      <c r="E490" s="15">
        <v>3</v>
      </c>
      <c r="F490" s="15">
        <v>792</v>
      </c>
      <c r="G490" s="15">
        <v>407</v>
      </c>
      <c r="H490" s="15">
        <v>9</v>
      </c>
      <c r="I490" s="15">
        <v>3</v>
      </c>
      <c r="J490" s="15" t="s">
        <v>84</v>
      </c>
      <c r="K490" s="15" t="s">
        <v>84</v>
      </c>
      <c r="L490" s="15" t="s">
        <v>84</v>
      </c>
      <c r="M490" s="15" t="s">
        <v>84</v>
      </c>
    </row>
    <row r="491" spans="1:13" ht="60" x14ac:dyDescent="0.25">
      <c r="A491" s="15" t="s">
        <v>152</v>
      </c>
      <c r="B491" s="15">
        <v>70</v>
      </c>
      <c r="C491" s="15">
        <v>36</v>
      </c>
      <c r="D491" s="15">
        <v>4</v>
      </c>
      <c r="E491" s="15">
        <v>3</v>
      </c>
      <c r="F491" s="15">
        <v>70</v>
      </c>
      <c r="G491" s="15">
        <v>36</v>
      </c>
      <c r="H491" s="15">
        <v>4</v>
      </c>
      <c r="I491" s="15">
        <v>3</v>
      </c>
      <c r="J491" s="15" t="s">
        <v>84</v>
      </c>
      <c r="K491" s="15" t="s">
        <v>84</v>
      </c>
      <c r="L491" s="15" t="s">
        <v>84</v>
      </c>
      <c r="M491" s="15" t="s">
        <v>84</v>
      </c>
    </row>
    <row r="492" spans="1:13" ht="30" x14ac:dyDescent="0.25">
      <c r="A492" s="15" t="s">
        <v>85</v>
      </c>
      <c r="B492" s="15">
        <v>1682</v>
      </c>
      <c r="C492" s="15">
        <v>747</v>
      </c>
      <c r="D492" s="15">
        <v>78</v>
      </c>
      <c r="E492" s="15">
        <v>33</v>
      </c>
      <c r="F492" s="15">
        <v>1604</v>
      </c>
      <c r="G492" s="15">
        <v>701</v>
      </c>
      <c r="H492" s="15">
        <v>78</v>
      </c>
      <c r="I492" s="15">
        <v>33</v>
      </c>
      <c r="J492" s="15">
        <v>78</v>
      </c>
      <c r="K492" s="15">
        <v>46</v>
      </c>
      <c r="L492" s="15" t="s">
        <v>84</v>
      </c>
      <c r="M492" s="15" t="s">
        <v>84</v>
      </c>
    </row>
    <row r="493" spans="1:13" ht="30" x14ac:dyDescent="0.25">
      <c r="A493" s="15" t="s">
        <v>86</v>
      </c>
      <c r="B493" s="15">
        <v>536</v>
      </c>
      <c r="C493" s="15">
        <v>197</v>
      </c>
      <c r="D493" s="15">
        <v>36</v>
      </c>
      <c r="E493" s="15">
        <v>15</v>
      </c>
      <c r="F493" s="15">
        <v>514</v>
      </c>
      <c r="G493" s="15">
        <v>187</v>
      </c>
      <c r="H493" s="15">
        <v>36</v>
      </c>
      <c r="I493" s="15">
        <v>15</v>
      </c>
      <c r="J493" s="15">
        <v>22</v>
      </c>
      <c r="K493" s="15">
        <v>10</v>
      </c>
      <c r="L493" s="15" t="s">
        <v>84</v>
      </c>
      <c r="M493" s="15" t="s">
        <v>84</v>
      </c>
    </row>
    <row r="494" spans="1:13" ht="45" x14ac:dyDescent="0.25">
      <c r="A494" s="15" t="s">
        <v>87</v>
      </c>
      <c r="B494" s="15">
        <v>226</v>
      </c>
      <c r="C494" s="15">
        <v>68</v>
      </c>
      <c r="D494" s="15">
        <v>69</v>
      </c>
      <c r="E494" s="15">
        <v>23</v>
      </c>
      <c r="F494" s="15">
        <v>214</v>
      </c>
      <c r="G494" s="15">
        <v>67</v>
      </c>
      <c r="H494" s="15">
        <v>69</v>
      </c>
      <c r="I494" s="15">
        <v>23</v>
      </c>
      <c r="J494" s="15">
        <v>12</v>
      </c>
      <c r="K494" s="15">
        <v>1</v>
      </c>
      <c r="L494" s="15" t="s">
        <v>84</v>
      </c>
      <c r="M494" s="15" t="s">
        <v>84</v>
      </c>
    </row>
    <row r="495" spans="1:13" ht="45" x14ac:dyDescent="0.25">
      <c r="A495" s="15" t="s">
        <v>153</v>
      </c>
      <c r="B495" s="15">
        <v>51</v>
      </c>
      <c r="C495" s="15">
        <v>15</v>
      </c>
      <c r="D495" s="15">
        <v>8</v>
      </c>
      <c r="E495" s="15">
        <v>6</v>
      </c>
      <c r="F495" s="15">
        <v>50</v>
      </c>
      <c r="G495" s="15">
        <v>15</v>
      </c>
      <c r="H495" s="15">
        <v>8</v>
      </c>
      <c r="I495" s="15">
        <v>6</v>
      </c>
      <c r="J495" s="15">
        <v>1</v>
      </c>
      <c r="K495" s="15" t="s">
        <v>84</v>
      </c>
      <c r="L495" s="15" t="s">
        <v>84</v>
      </c>
      <c r="M495" s="15" t="s">
        <v>84</v>
      </c>
    </row>
    <row r="496" spans="1:13" ht="60" x14ac:dyDescent="0.25">
      <c r="A496" s="15" t="s">
        <v>154</v>
      </c>
      <c r="B496" s="15">
        <v>24</v>
      </c>
      <c r="C496" s="15">
        <v>7</v>
      </c>
      <c r="D496" s="15">
        <v>8</v>
      </c>
      <c r="E496" s="15">
        <v>2</v>
      </c>
      <c r="F496" s="15">
        <v>24</v>
      </c>
      <c r="G496" s="15">
        <v>7</v>
      </c>
      <c r="H496" s="15">
        <v>8</v>
      </c>
      <c r="I496" s="15">
        <v>2</v>
      </c>
      <c r="J496" s="15" t="s">
        <v>84</v>
      </c>
      <c r="K496" s="15" t="s">
        <v>84</v>
      </c>
      <c r="L496" s="15" t="s">
        <v>84</v>
      </c>
      <c r="M496" s="15" t="s">
        <v>84</v>
      </c>
    </row>
    <row r="497" spans="1:13" ht="15" customHeight="1" x14ac:dyDescent="0.25">
      <c r="A497" s="207" t="s">
        <v>135</v>
      </c>
      <c r="B497" s="208"/>
      <c r="C497" s="208"/>
      <c r="D497" s="208"/>
      <c r="E497" s="208"/>
      <c r="F497" s="208"/>
      <c r="G497" s="208"/>
      <c r="H497" s="208"/>
      <c r="I497" s="208"/>
      <c r="J497" s="208"/>
      <c r="K497" s="208"/>
      <c r="L497" s="208"/>
      <c r="M497" s="209"/>
    </row>
    <row r="498" spans="1:13" x14ac:dyDescent="0.25">
      <c r="A498" s="207"/>
      <c r="B498" s="208"/>
      <c r="C498" s="208"/>
      <c r="D498" s="208"/>
      <c r="E498" s="208"/>
      <c r="F498" s="208"/>
      <c r="G498" s="208"/>
      <c r="H498" s="208"/>
      <c r="I498" s="208"/>
      <c r="J498" s="208"/>
      <c r="K498" s="208"/>
      <c r="L498" s="208"/>
      <c r="M498" s="209"/>
    </row>
    <row r="499" spans="1:13" x14ac:dyDescent="0.25">
      <c r="A499" s="15" t="s">
        <v>83</v>
      </c>
      <c r="B499" s="27">
        <v>1836</v>
      </c>
      <c r="C499" s="15">
        <v>884</v>
      </c>
      <c r="D499" s="27">
        <v>188</v>
      </c>
      <c r="E499" s="15">
        <v>79</v>
      </c>
      <c r="F499" s="15">
        <v>1554</v>
      </c>
      <c r="G499" s="15">
        <v>710</v>
      </c>
      <c r="H499" s="15">
        <v>183</v>
      </c>
      <c r="I499" s="15">
        <v>76</v>
      </c>
      <c r="J499" s="15">
        <v>282</v>
      </c>
      <c r="K499" s="15">
        <v>174</v>
      </c>
      <c r="L499" s="15">
        <v>5</v>
      </c>
      <c r="M499" s="15">
        <v>3</v>
      </c>
    </row>
    <row r="500" spans="1:13" ht="30" x14ac:dyDescent="0.25">
      <c r="A500" s="15" t="s">
        <v>151</v>
      </c>
      <c r="B500" s="15">
        <v>505</v>
      </c>
      <c r="C500" s="15">
        <v>307</v>
      </c>
      <c r="D500" s="15">
        <v>7</v>
      </c>
      <c r="E500" s="15">
        <v>3</v>
      </c>
      <c r="F500" s="15">
        <v>354</v>
      </c>
      <c r="G500" s="15">
        <v>197</v>
      </c>
      <c r="H500" s="15">
        <v>7</v>
      </c>
      <c r="I500" s="15">
        <v>3</v>
      </c>
      <c r="J500" s="15">
        <v>151</v>
      </c>
      <c r="K500" s="15">
        <v>110</v>
      </c>
      <c r="L500" s="15" t="s">
        <v>84</v>
      </c>
      <c r="M500" s="15" t="s">
        <v>84</v>
      </c>
    </row>
    <row r="501" spans="1:13" ht="60" x14ac:dyDescent="0.25">
      <c r="A501" s="15" t="s">
        <v>152</v>
      </c>
      <c r="B501" s="15">
        <v>20</v>
      </c>
      <c r="C501" s="15">
        <v>15</v>
      </c>
      <c r="D501" s="15">
        <v>4</v>
      </c>
      <c r="E501" s="15" t="s">
        <v>84</v>
      </c>
      <c r="F501" s="15">
        <v>14</v>
      </c>
      <c r="G501" s="15">
        <v>9</v>
      </c>
      <c r="H501" s="15">
        <v>4</v>
      </c>
      <c r="I501" s="15" t="s">
        <v>84</v>
      </c>
      <c r="J501" s="15">
        <v>6</v>
      </c>
      <c r="K501" s="15">
        <v>6</v>
      </c>
      <c r="L501" s="15" t="s">
        <v>84</v>
      </c>
      <c r="M501" s="15" t="s">
        <v>84</v>
      </c>
    </row>
    <row r="502" spans="1:13" ht="30" x14ac:dyDescent="0.25">
      <c r="A502" s="15" t="s">
        <v>85</v>
      </c>
      <c r="B502" s="15">
        <v>867</v>
      </c>
      <c r="C502" s="15">
        <v>406</v>
      </c>
      <c r="D502" s="15">
        <v>60</v>
      </c>
      <c r="E502" s="15">
        <v>32</v>
      </c>
      <c r="F502" s="15">
        <v>772</v>
      </c>
      <c r="G502" s="15">
        <v>356</v>
      </c>
      <c r="H502" s="15">
        <v>57</v>
      </c>
      <c r="I502" s="15">
        <v>30</v>
      </c>
      <c r="J502" s="15">
        <v>95</v>
      </c>
      <c r="K502" s="15">
        <v>50</v>
      </c>
      <c r="L502" s="15">
        <v>3</v>
      </c>
      <c r="M502" s="15">
        <v>2</v>
      </c>
    </row>
    <row r="503" spans="1:13" ht="30" x14ac:dyDescent="0.25">
      <c r="A503" s="15" t="s">
        <v>86</v>
      </c>
      <c r="B503" s="15">
        <v>282</v>
      </c>
      <c r="C503" s="15">
        <v>103</v>
      </c>
      <c r="D503" s="15">
        <v>44</v>
      </c>
      <c r="E503" s="15">
        <v>18</v>
      </c>
      <c r="F503" s="15">
        <v>264</v>
      </c>
      <c r="G503" s="15">
        <v>98</v>
      </c>
      <c r="H503" s="15">
        <v>42</v>
      </c>
      <c r="I503" s="15">
        <v>17</v>
      </c>
      <c r="J503" s="15">
        <v>18</v>
      </c>
      <c r="K503" s="15">
        <v>5</v>
      </c>
      <c r="L503" s="15">
        <v>2</v>
      </c>
      <c r="M503" s="15">
        <v>1</v>
      </c>
    </row>
    <row r="504" spans="1:13" ht="45" x14ac:dyDescent="0.25">
      <c r="A504" s="15" t="s">
        <v>87</v>
      </c>
      <c r="B504" s="15">
        <v>162</v>
      </c>
      <c r="C504" s="15">
        <v>53</v>
      </c>
      <c r="D504" s="15">
        <v>73</v>
      </c>
      <c r="E504" s="15">
        <v>26</v>
      </c>
      <c r="F504" s="15">
        <v>150</v>
      </c>
      <c r="G504" s="15">
        <v>50</v>
      </c>
      <c r="H504" s="15">
        <v>73</v>
      </c>
      <c r="I504" s="15">
        <v>26</v>
      </c>
      <c r="J504" s="15">
        <v>12</v>
      </c>
      <c r="K504" s="15">
        <v>3</v>
      </c>
      <c r="L504" s="15" t="s">
        <v>84</v>
      </c>
      <c r="M504" s="15" t="s">
        <v>84</v>
      </c>
    </row>
    <row r="505" spans="1:13" ht="45" x14ac:dyDescent="0.25">
      <c r="A505" s="15" t="s">
        <v>153</v>
      </c>
      <c r="B505" s="15">
        <v>31</v>
      </c>
      <c r="C505" s="15">
        <v>8</v>
      </c>
      <c r="D505" s="15">
        <v>5</v>
      </c>
      <c r="E505" s="15" t="s">
        <v>84</v>
      </c>
      <c r="F505" s="15">
        <v>23</v>
      </c>
      <c r="G505" s="15">
        <v>7</v>
      </c>
      <c r="H505" s="15">
        <v>5</v>
      </c>
      <c r="I505" s="15" t="s">
        <v>84</v>
      </c>
      <c r="J505" s="15">
        <v>8</v>
      </c>
      <c r="K505" s="15">
        <v>1</v>
      </c>
      <c r="L505" s="15" t="s">
        <v>84</v>
      </c>
      <c r="M505" s="15" t="s">
        <v>84</v>
      </c>
    </row>
    <row r="506" spans="1:13" ht="60" x14ac:dyDescent="0.25">
      <c r="A506" s="15" t="s">
        <v>154</v>
      </c>
      <c r="B506" s="15">
        <v>14</v>
      </c>
      <c r="C506" s="15">
        <v>6</v>
      </c>
      <c r="D506" s="15">
        <v>2</v>
      </c>
      <c r="E506" s="15">
        <v>2</v>
      </c>
      <c r="F506" s="15">
        <v>14</v>
      </c>
      <c r="G506" s="15">
        <v>6</v>
      </c>
      <c r="H506" s="15">
        <v>2</v>
      </c>
      <c r="I506" s="15">
        <v>2</v>
      </c>
      <c r="J506" s="15" t="s">
        <v>84</v>
      </c>
      <c r="K506" s="15" t="s">
        <v>84</v>
      </c>
      <c r="L506" s="15" t="s">
        <v>84</v>
      </c>
      <c r="M506" s="15" t="s">
        <v>84</v>
      </c>
    </row>
    <row r="507" spans="1:13" ht="15" customHeight="1" x14ac:dyDescent="0.25">
      <c r="A507" s="207" t="s">
        <v>136</v>
      </c>
      <c r="B507" s="208"/>
      <c r="C507" s="208"/>
      <c r="D507" s="208"/>
      <c r="E507" s="208"/>
      <c r="F507" s="208"/>
      <c r="G507" s="208"/>
      <c r="H507" s="208"/>
      <c r="I507" s="208"/>
      <c r="J507" s="208"/>
      <c r="K507" s="208"/>
      <c r="L507" s="208"/>
      <c r="M507" s="209"/>
    </row>
    <row r="508" spans="1:13" x14ac:dyDescent="0.25">
      <c r="A508" s="207"/>
      <c r="B508" s="208"/>
      <c r="C508" s="208"/>
      <c r="D508" s="208"/>
      <c r="E508" s="208"/>
      <c r="F508" s="208"/>
      <c r="G508" s="208"/>
      <c r="H508" s="208"/>
      <c r="I508" s="208"/>
      <c r="J508" s="208"/>
      <c r="K508" s="208"/>
      <c r="L508" s="208"/>
      <c r="M508" s="209"/>
    </row>
    <row r="509" spans="1:13" x14ac:dyDescent="0.25">
      <c r="A509" s="15" t="s">
        <v>83</v>
      </c>
      <c r="B509" s="27">
        <v>1045</v>
      </c>
      <c r="C509" s="15">
        <v>496</v>
      </c>
      <c r="D509" s="27">
        <v>45</v>
      </c>
      <c r="E509" s="15">
        <v>25</v>
      </c>
      <c r="F509" s="15">
        <v>827</v>
      </c>
      <c r="G509" s="15">
        <v>386</v>
      </c>
      <c r="H509" s="15">
        <v>43</v>
      </c>
      <c r="I509" s="15">
        <v>24</v>
      </c>
      <c r="J509" s="15">
        <v>218</v>
      </c>
      <c r="K509" s="15">
        <v>110</v>
      </c>
      <c r="L509" s="15">
        <v>2</v>
      </c>
      <c r="M509" s="15">
        <v>1</v>
      </c>
    </row>
    <row r="510" spans="1:13" ht="30" x14ac:dyDescent="0.25">
      <c r="A510" s="15" t="s">
        <v>151</v>
      </c>
      <c r="B510" s="15">
        <v>280</v>
      </c>
      <c r="C510" s="15">
        <v>179</v>
      </c>
      <c r="D510" s="15">
        <v>4</v>
      </c>
      <c r="E510" s="15">
        <v>2</v>
      </c>
      <c r="F510" s="15">
        <v>162</v>
      </c>
      <c r="G510" s="15">
        <v>101</v>
      </c>
      <c r="H510" s="15">
        <v>4</v>
      </c>
      <c r="I510" s="15">
        <v>2</v>
      </c>
      <c r="J510" s="15">
        <v>118</v>
      </c>
      <c r="K510" s="15">
        <v>78</v>
      </c>
      <c r="L510" s="15" t="s">
        <v>84</v>
      </c>
      <c r="M510" s="15" t="s">
        <v>84</v>
      </c>
    </row>
    <row r="511" spans="1:13" ht="60" x14ac:dyDescent="0.25">
      <c r="A511" s="15" t="s">
        <v>152</v>
      </c>
      <c r="B511" s="15">
        <v>34</v>
      </c>
      <c r="C511" s="15">
        <v>13</v>
      </c>
      <c r="D511" s="15">
        <v>1</v>
      </c>
      <c r="E511" s="15">
        <v>1</v>
      </c>
      <c r="F511" s="15">
        <v>23</v>
      </c>
      <c r="G511" s="15">
        <v>10</v>
      </c>
      <c r="H511" s="15">
        <v>1</v>
      </c>
      <c r="I511" s="15">
        <v>1</v>
      </c>
      <c r="J511" s="15">
        <v>11</v>
      </c>
      <c r="K511" s="15">
        <v>3</v>
      </c>
      <c r="L511" s="15" t="s">
        <v>84</v>
      </c>
      <c r="M511" s="15" t="s">
        <v>84</v>
      </c>
    </row>
    <row r="512" spans="1:13" ht="30" x14ac:dyDescent="0.25">
      <c r="A512" s="15" t="s">
        <v>85</v>
      </c>
      <c r="B512" s="15">
        <v>517</v>
      </c>
      <c r="C512" s="15">
        <v>232</v>
      </c>
      <c r="D512" s="15">
        <v>18</v>
      </c>
      <c r="E512" s="15">
        <v>11</v>
      </c>
      <c r="F512" s="15">
        <v>448</v>
      </c>
      <c r="G512" s="15">
        <v>205</v>
      </c>
      <c r="H512" s="15">
        <v>18</v>
      </c>
      <c r="I512" s="15">
        <v>11</v>
      </c>
      <c r="J512" s="15">
        <v>69</v>
      </c>
      <c r="K512" s="15">
        <v>27</v>
      </c>
      <c r="L512" s="15" t="s">
        <v>84</v>
      </c>
      <c r="M512" s="15" t="s">
        <v>84</v>
      </c>
    </row>
    <row r="513" spans="1:13" ht="30" x14ac:dyDescent="0.25">
      <c r="A513" s="15" t="s">
        <v>86</v>
      </c>
      <c r="B513" s="15">
        <v>171</v>
      </c>
      <c r="C513" s="15">
        <v>55</v>
      </c>
      <c r="D513" s="15">
        <v>12</v>
      </c>
      <c r="E513" s="15">
        <v>7</v>
      </c>
      <c r="F513" s="15">
        <v>157</v>
      </c>
      <c r="G513" s="15">
        <v>54</v>
      </c>
      <c r="H513" s="15">
        <v>12</v>
      </c>
      <c r="I513" s="15">
        <v>7</v>
      </c>
      <c r="J513" s="15">
        <v>14</v>
      </c>
      <c r="K513" s="15">
        <v>1</v>
      </c>
      <c r="L513" s="15" t="s">
        <v>84</v>
      </c>
      <c r="M513" s="15" t="s">
        <v>84</v>
      </c>
    </row>
    <row r="514" spans="1:13" ht="45" x14ac:dyDescent="0.25">
      <c r="A514" s="15" t="s">
        <v>87</v>
      </c>
      <c r="B514" s="15">
        <v>43</v>
      </c>
      <c r="C514" s="15">
        <v>17</v>
      </c>
      <c r="D514" s="15">
        <v>10</v>
      </c>
      <c r="E514" s="15">
        <v>4</v>
      </c>
      <c r="F514" s="15">
        <v>37</v>
      </c>
      <c r="G514" s="15">
        <v>16</v>
      </c>
      <c r="H514" s="15">
        <v>8</v>
      </c>
      <c r="I514" s="15">
        <v>3</v>
      </c>
      <c r="J514" s="15">
        <v>6</v>
      </c>
      <c r="K514" s="15">
        <v>1</v>
      </c>
      <c r="L514" s="15">
        <v>2</v>
      </c>
      <c r="M514" s="15">
        <v>1</v>
      </c>
    </row>
    <row r="515" spans="1:13" ht="45" x14ac:dyDescent="0.25">
      <c r="A515" s="15" t="s">
        <v>153</v>
      </c>
      <c r="B515" s="15">
        <v>9</v>
      </c>
      <c r="C515" s="15">
        <v>3</v>
      </c>
      <c r="D515" s="15" t="s">
        <v>84</v>
      </c>
      <c r="E515" s="15" t="s">
        <v>84</v>
      </c>
      <c r="F515" s="15">
        <v>9</v>
      </c>
      <c r="G515" s="15">
        <v>3</v>
      </c>
      <c r="H515" s="15" t="s">
        <v>84</v>
      </c>
      <c r="I515" s="15" t="s">
        <v>84</v>
      </c>
      <c r="J515" s="15" t="s">
        <v>84</v>
      </c>
      <c r="K515" s="15" t="s">
        <v>84</v>
      </c>
      <c r="L515" s="15" t="s">
        <v>84</v>
      </c>
      <c r="M515" s="15" t="s">
        <v>84</v>
      </c>
    </row>
    <row r="516" spans="1:13" ht="60" x14ac:dyDescent="0.25">
      <c r="A516" s="15" t="s">
        <v>154</v>
      </c>
      <c r="B516" s="15">
        <v>8</v>
      </c>
      <c r="C516" s="15">
        <v>5</v>
      </c>
      <c r="D516" s="15">
        <v>2</v>
      </c>
      <c r="E516" s="15">
        <v>1</v>
      </c>
      <c r="F516" s="15">
        <v>8</v>
      </c>
      <c r="G516" s="15">
        <v>5</v>
      </c>
      <c r="H516" s="15">
        <v>2</v>
      </c>
      <c r="I516" s="15">
        <v>1</v>
      </c>
      <c r="J516" s="15" t="s">
        <v>84</v>
      </c>
      <c r="K516" s="15" t="s">
        <v>84</v>
      </c>
      <c r="L516" s="15" t="s">
        <v>84</v>
      </c>
      <c r="M516" s="15" t="s">
        <v>84</v>
      </c>
    </row>
    <row r="517" spans="1:13" ht="15" customHeight="1" x14ac:dyDescent="0.25">
      <c r="A517" s="207" t="s">
        <v>137</v>
      </c>
      <c r="B517" s="208"/>
      <c r="C517" s="208"/>
      <c r="D517" s="208"/>
      <c r="E517" s="208"/>
      <c r="F517" s="208"/>
      <c r="G517" s="208"/>
      <c r="H517" s="208"/>
      <c r="I517" s="208"/>
      <c r="J517" s="208"/>
      <c r="K517" s="208"/>
      <c r="L517" s="208"/>
      <c r="M517" s="209"/>
    </row>
    <row r="518" spans="1:13" x14ac:dyDescent="0.25">
      <c r="A518" s="207"/>
      <c r="B518" s="208"/>
      <c r="C518" s="208"/>
      <c r="D518" s="208"/>
      <c r="E518" s="208"/>
      <c r="F518" s="208"/>
      <c r="G518" s="208"/>
      <c r="H518" s="208"/>
      <c r="I518" s="208"/>
      <c r="J518" s="208"/>
      <c r="K518" s="208"/>
      <c r="L518" s="208"/>
      <c r="M518" s="209"/>
    </row>
    <row r="519" spans="1:13" x14ac:dyDescent="0.25">
      <c r="A519" s="15" t="s">
        <v>83</v>
      </c>
      <c r="B519" s="27">
        <v>719</v>
      </c>
      <c r="C519" s="15">
        <v>361</v>
      </c>
      <c r="D519" s="27">
        <v>26</v>
      </c>
      <c r="E519" s="15">
        <v>14</v>
      </c>
      <c r="F519" s="15">
        <v>685</v>
      </c>
      <c r="G519" s="15">
        <v>344</v>
      </c>
      <c r="H519" s="15">
        <v>24</v>
      </c>
      <c r="I519" s="15">
        <v>13</v>
      </c>
      <c r="J519" s="15">
        <v>34</v>
      </c>
      <c r="K519" s="15">
        <v>17</v>
      </c>
      <c r="L519" s="15">
        <v>2</v>
      </c>
      <c r="M519" s="15">
        <v>1</v>
      </c>
    </row>
    <row r="520" spans="1:13" ht="30" x14ac:dyDescent="0.25">
      <c r="A520" s="15" t="s">
        <v>151</v>
      </c>
      <c r="B520" s="15">
        <v>228</v>
      </c>
      <c r="C520" s="15">
        <v>142</v>
      </c>
      <c r="D520" s="15">
        <v>4</v>
      </c>
      <c r="E520" s="15">
        <v>2</v>
      </c>
      <c r="F520" s="15">
        <v>211</v>
      </c>
      <c r="G520" s="15">
        <v>133</v>
      </c>
      <c r="H520" s="15">
        <v>2</v>
      </c>
      <c r="I520" s="15">
        <v>1</v>
      </c>
      <c r="J520" s="15">
        <v>17</v>
      </c>
      <c r="K520" s="15">
        <v>9</v>
      </c>
      <c r="L520" s="15">
        <v>2</v>
      </c>
      <c r="M520" s="15">
        <v>1</v>
      </c>
    </row>
    <row r="521" spans="1:13" ht="60" x14ac:dyDescent="0.25">
      <c r="A521" s="15" t="s">
        <v>152</v>
      </c>
      <c r="B521" s="15">
        <v>49</v>
      </c>
      <c r="C521" s="15">
        <v>21</v>
      </c>
      <c r="D521" s="15">
        <v>3</v>
      </c>
      <c r="E521" s="15">
        <v>2</v>
      </c>
      <c r="F521" s="15">
        <v>32</v>
      </c>
      <c r="G521" s="15">
        <v>13</v>
      </c>
      <c r="H521" s="15">
        <v>3</v>
      </c>
      <c r="I521" s="15">
        <v>2</v>
      </c>
      <c r="J521" s="15">
        <v>17</v>
      </c>
      <c r="K521" s="15">
        <v>8</v>
      </c>
      <c r="L521" s="15" t="s">
        <v>84</v>
      </c>
      <c r="M521" s="15" t="s">
        <v>84</v>
      </c>
    </row>
    <row r="522" spans="1:13" ht="30" x14ac:dyDescent="0.25">
      <c r="A522" s="15" t="s">
        <v>85</v>
      </c>
      <c r="B522" s="15">
        <v>303</v>
      </c>
      <c r="C522" s="15">
        <v>145</v>
      </c>
      <c r="D522" s="15">
        <v>13</v>
      </c>
      <c r="E522" s="15">
        <v>7</v>
      </c>
      <c r="F522" s="15">
        <v>303</v>
      </c>
      <c r="G522" s="15">
        <v>145</v>
      </c>
      <c r="H522" s="15">
        <v>13</v>
      </c>
      <c r="I522" s="15">
        <v>7</v>
      </c>
      <c r="J522" s="15" t="s">
        <v>84</v>
      </c>
      <c r="K522" s="15" t="s">
        <v>84</v>
      </c>
      <c r="L522" s="15" t="s">
        <v>84</v>
      </c>
      <c r="M522" s="15" t="s">
        <v>84</v>
      </c>
    </row>
    <row r="523" spans="1:13" ht="30" x14ac:dyDescent="0.25">
      <c r="A523" s="15" t="s">
        <v>86</v>
      </c>
      <c r="B523" s="15">
        <v>97</v>
      </c>
      <c r="C523" s="15">
        <v>36</v>
      </c>
      <c r="D523" s="15">
        <v>3</v>
      </c>
      <c r="E523" s="15">
        <v>1</v>
      </c>
      <c r="F523" s="15">
        <v>97</v>
      </c>
      <c r="G523" s="15">
        <v>36</v>
      </c>
      <c r="H523" s="15">
        <v>3</v>
      </c>
      <c r="I523" s="15">
        <v>1</v>
      </c>
      <c r="J523" s="15" t="s">
        <v>84</v>
      </c>
      <c r="K523" s="15" t="s">
        <v>84</v>
      </c>
      <c r="L523" s="15" t="s">
        <v>84</v>
      </c>
      <c r="M523" s="15" t="s">
        <v>84</v>
      </c>
    </row>
    <row r="524" spans="1:13" ht="45" x14ac:dyDescent="0.25">
      <c r="A524" s="15" t="s">
        <v>87</v>
      </c>
      <c r="B524" s="15">
        <v>42</v>
      </c>
      <c r="C524" s="15">
        <v>17</v>
      </c>
      <c r="D524" s="15">
        <v>3</v>
      </c>
      <c r="E524" s="15">
        <v>2</v>
      </c>
      <c r="F524" s="15">
        <v>42</v>
      </c>
      <c r="G524" s="15">
        <v>17</v>
      </c>
      <c r="H524" s="15">
        <v>3</v>
      </c>
      <c r="I524" s="15">
        <v>2</v>
      </c>
      <c r="J524" s="15" t="s">
        <v>84</v>
      </c>
      <c r="K524" s="15" t="s">
        <v>84</v>
      </c>
      <c r="L524" s="15" t="s">
        <v>84</v>
      </c>
      <c r="M524" s="15" t="s">
        <v>84</v>
      </c>
    </row>
    <row r="525" spans="1:13" ht="45" x14ac:dyDescent="0.25">
      <c r="A525" s="15" t="s">
        <v>153</v>
      </c>
      <c r="B525" s="15">
        <v>2</v>
      </c>
      <c r="C525" s="15">
        <v>1</v>
      </c>
      <c r="D525" s="15" t="s">
        <v>84</v>
      </c>
      <c r="E525" s="15" t="s">
        <v>84</v>
      </c>
      <c r="F525" s="15">
        <v>2</v>
      </c>
      <c r="G525" s="15">
        <v>1</v>
      </c>
      <c r="H525" s="15" t="s">
        <v>84</v>
      </c>
      <c r="I525" s="15" t="s">
        <v>84</v>
      </c>
      <c r="J525" s="15" t="s">
        <v>84</v>
      </c>
      <c r="K525" s="15" t="s">
        <v>84</v>
      </c>
      <c r="L525" s="15" t="s">
        <v>84</v>
      </c>
      <c r="M525" s="15" t="s">
        <v>84</v>
      </c>
    </row>
    <row r="526" spans="1:13" ht="60" x14ac:dyDescent="0.25">
      <c r="A526" s="15" t="s">
        <v>154</v>
      </c>
      <c r="B526" s="15">
        <v>6</v>
      </c>
      <c r="C526" s="15">
        <v>2</v>
      </c>
      <c r="D526" s="15" t="s">
        <v>84</v>
      </c>
      <c r="E526" s="15" t="s">
        <v>84</v>
      </c>
      <c r="F526" s="15">
        <v>6</v>
      </c>
      <c r="G526" s="15">
        <v>2</v>
      </c>
      <c r="H526" s="15" t="s">
        <v>84</v>
      </c>
      <c r="I526" s="15" t="s">
        <v>84</v>
      </c>
      <c r="J526" s="15" t="s">
        <v>84</v>
      </c>
      <c r="K526" s="15" t="s">
        <v>84</v>
      </c>
      <c r="L526" s="15" t="s">
        <v>84</v>
      </c>
      <c r="M526" s="15" t="s">
        <v>84</v>
      </c>
    </row>
    <row r="528" spans="1:13" x14ac:dyDescent="0.25">
      <c r="A528" t="s">
        <v>138</v>
      </c>
    </row>
    <row r="529" spans="1:1" x14ac:dyDescent="0.25">
      <c r="A529" t="s">
        <v>139</v>
      </c>
    </row>
    <row r="530" spans="1:1" x14ac:dyDescent="0.25">
      <c r="A530" t="s">
        <v>140</v>
      </c>
    </row>
    <row r="531" spans="1:1" x14ac:dyDescent="0.25">
      <c r="A531" t="s">
        <v>141</v>
      </c>
    </row>
    <row r="534" spans="1:1" x14ac:dyDescent="0.25">
      <c r="A534" t="s">
        <v>142</v>
      </c>
    </row>
    <row r="535" spans="1:1" x14ac:dyDescent="0.25">
      <c r="A535" t="s">
        <v>143</v>
      </c>
    </row>
    <row r="536" spans="1:1" x14ac:dyDescent="0.25">
      <c r="A536" t="s">
        <v>144</v>
      </c>
    </row>
    <row r="538" spans="1:1" x14ac:dyDescent="0.25">
      <c r="A538" t="s">
        <v>145</v>
      </c>
    </row>
    <row r="540" spans="1:1" x14ac:dyDescent="0.25">
      <c r="A540" t="s">
        <v>146</v>
      </c>
    </row>
  </sheetData>
  <mergeCells count="115">
    <mergeCell ref="A508:M508"/>
    <mergeCell ref="A517:M517"/>
    <mergeCell ref="A518:M518"/>
    <mergeCell ref="A478:M478"/>
    <mergeCell ref="A487:M487"/>
    <mergeCell ref="A488:M488"/>
    <mergeCell ref="A497:M497"/>
    <mergeCell ref="A498:M498"/>
    <mergeCell ref="A507:M507"/>
    <mergeCell ref="A448:M448"/>
    <mergeCell ref="A457:M457"/>
    <mergeCell ref="A458:M458"/>
    <mergeCell ref="A467:M467"/>
    <mergeCell ref="A468:M468"/>
    <mergeCell ref="A477:M477"/>
    <mergeCell ref="A419:M419"/>
    <mergeCell ref="A428:M428"/>
    <mergeCell ref="A429:M429"/>
    <mergeCell ref="A438:M438"/>
    <mergeCell ref="A439:M439"/>
    <mergeCell ref="A447:M447"/>
    <mergeCell ref="A390:M390"/>
    <mergeCell ref="A399:M399"/>
    <mergeCell ref="A400:M400"/>
    <mergeCell ref="A408:M408"/>
    <mergeCell ref="A409:M409"/>
    <mergeCell ref="A418:M418"/>
    <mergeCell ref="A360:M360"/>
    <mergeCell ref="A369:M369"/>
    <mergeCell ref="A370:M370"/>
    <mergeCell ref="A379:M379"/>
    <mergeCell ref="A380:M380"/>
    <mergeCell ref="A389:M389"/>
    <mergeCell ref="A331:M331"/>
    <mergeCell ref="A339:M339"/>
    <mergeCell ref="A340:M340"/>
    <mergeCell ref="A349:M349"/>
    <mergeCell ref="A350:M350"/>
    <mergeCell ref="A359:M359"/>
    <mergeCell ref="A301:M301"/>
    <mergeCell ref="A310:M310"/>
    <mergeCell ref="A311:M311"/>
    <mergeCell ref="A320:M320"/>
    <mergeCell ref="A321:M321"/>
    <mergeCell ref="A330:M330"/>
    <mergeCell ref="A271:M271"/>
    <mergeCell ref="A280:M280"/>
    <mergeCell ref="A281:M281"/>
    <mergeCell ref="A290:M290"/>
    <mergeCell ref="A291:M291"/>
    <mergeCell ref="A300:M300"/>
    <mergeCell ref="A241:M241"/>
    <mergeCell ref="A250:M250"/>
    <mergeCell ref="A251:M251"/>
    <mergeCell ref="A260:M260"/>
    <mergeCell ref="A261:M261"/>
    <mergeCell ref="A270:M270"/>
    <mergeCell ref="A211:M211"/>
    <mergeCell ref="A220:M220"/>
    <mergeCell ref="A221:M221"/>
    <mergeCell ref="A230:M230"/>
    <mergeCell ref="A231:M231"/>
    <mergeCell ref="A240:M240"/>
    <mergeCell ref="A181:M181"/>
    <mergeCell ref="A190:M190"/>
    <mergeCell ref="A191:M191"/>
    <mergeCell ref="A200:M200"/>
    <mergeCell ref="A201:M201"/>
    <mergeCell ref="A210:M210"/>
    <mergeCell ref="A152:M152"/>
    <mergeCell ref="A161:M161"/>
    <mergeCell ref="A162:M162"/>
    <mergeCell ref="A171:M171"/>
    <mergeCell ref="A172:M172"/>
    <mergeCell ref="A180:M180"/>
    <mergeCell ref="A122:M122"/>
    <mergeCell ref="A131:M131"/>
    <mergeCell ref="A132:M132"/>
    <mergeCell ref="A141:M141"/>
    <mergeCell ref="A142:M142"/>
    <mergeCell ref="A151:M151"/>
    <mergeCell ref="A92:M92"/>
    <mergeCell ref="A101:M101"/>
    <mergeCell ref="A102:M102"/>
    <mergeCell ref="A111:M111"/>
    <mergeCell ref="A112:M112"/>
    <mergeCell ref="A121:M121"/>
    <mergeCell ref="A63:M63"/>
    <mergeCell ref="A72:M72"/>
    <mergeCell ref="A73:M73"/>
    <mergeCell ref="A81:M81"/>
    <mergeCell ref="A82:M82"/>
    <mergeCell ref="A91:M91"/>
    <mergeCell ref="A34:M34"/>
    <mergeCell ref="A43:M43"/>
    <mergeCell ref="A44:M44"/>
    <mergeCell ref="A53:M53"/>
    <mergeCell ref="A54:M54"/>
    <mergeCell ref="A62:M62"/>
    <mergeCell ref="J18:J20"/>
    <mergeCell ref="K18:K20"/>
    <mergeCell ref="L18:L20"/>
    <mergeCell ref="A23:M23"/>
    <mergeCell ref="A24:M24"/>
    <mergeCell ref="A33:M33"/>
    <mergeCell ref="B15:M16"/>
    <mergeCell ref="B17:E17"/>
    <mergeCell ref="F17:I17"/>
    <mergeCell ref="J17:M17"/>
    <mergeCell ref="B18:B20"/>
    <mergeCell ref="C18:C20"/>
    <mergeCell ref="D18:D20"/>
    <mergeCell ref="F18:F20"/>
    <mergeCell ref="G18:G20"/>
    <mergeCell ref="H18:H20"/>
  </mergeCells>
  <hyperlinks>
    <hyperlink ref="A1" r:id="rId1" display="https://www1.nls.niedersachsen.de/Statistik/pool/K3002519/K3002519_000016CE18212D954863B0164EC5BFD1A5E7FCB27A00A43E2713.zip" xr:uid="{00000000-0004-0000-0800-000000000000}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1"/>
  <dimension ref="A1:M545"/>
  <sheetViews>
    <sheetView workbookViewId="0"/>
  </sheetViews>
  <sheetFormatPr baseColWidth="10" defaultRowHeight="15" x14ac:dyDescent="0.25"/>
  <sheetData>
    <row r="1" spans="1:13" x14ac:dyDescent="0.25">
      <c r="A1" s="19" t="s">
        <v>147</v>
      </c>
    </row>
    <row r="3" spans="1:13" x14ac:dyDescent="0.25">
      <c r="A3" s="20" t="s">
        <v>148</v>
      </c>
    </row>
    <row r="4" spans="1:13" x14ac:dyDescent="0.25">
      <c r="A4" s="20" t="s">
        <v>149</v>
      </c>
    </row>
    <row r="6" spans="1:13" x14ac:dyDescent="0.25">
      <c r="A6" s="10" t="s">
        <v>66</v>
      </c>
    </row>
    <row r="8" spans="1:13" x14ac:dyDescent="0.25">
      <c r="A8" t="s">
        <v>67</v>
      </c>
    </row>
    <row r="9" spans="1:13" x14ac:dyDescent="0.25">
      <c r="A9" t="s">
        <v>68</v>
      </c>
    </row>
    <row r="10" spans="1:13" x14ac:dyDescent="0.25">
      <c r="A10" t="s">
        <v>69</v>
      </c>
    </row>
    <row r="12" spans="1:13" x14ac:dyDescent="0.25">
      <c r="A12" t="s">
        <v>150</v>
      </c>
    </row>
    <row r="13" spans="1:13" x14ac:dyDescent="0.25">
      <c r="A13" t="s">
        <v>158</v>
      </c>
    </row>
    <row r="15" spans="1:13" ht="30" x14ac:dyDescent="0.25">
      <c r="A15" s="11" t="s">
        <v>63</v>
      </c>
      <c r="B15" s="213" t="s">
        <v>74</v>
      </c>
      <c r="C15" s="214"/>
      <c r="D15" s="214"/>
      <c r="E15" s="214"/>
      <c r="F15" s="214"/>
      <c r="G15" s="214"/>
      <c r="H15" s="214"/>
      <c r="I15" s="214"/>
      <c r="J15" s="214"/>
      <c r="K15" s="214"/>
      <c r="L15" s="214"/>
      <c r="M15" s="215"/>
    </row>
    <row r="16" spans="1:13" ht="30" x14ac:dyDescent="0.25">
      <c r="A16" s="12" t="s">
        <v>70</v>
      </c>
      <c r="B16" s="216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8"/>
    </row>
    <row r="17" spans="1:13" ht="15" customHeight="1" x14ac:dyDescent="0.25">
      <c r="A17" s="12" t="s">
        <v>71</v>
      </c>
      <c r="B17" s="219" t="s">
        <v>75</v>
      </c>
      <c r="C17" s="220"/>
      <c r="D17" s="220"/>
      <c r="E17" s="221"/>
      <c r="F17" s="219" t="s">
        <v>76</v>
      </c>
      <c r="G17" s="220"/>
      <c r="H17" s="220"/>
      <c r="I17" s="221"/>
      <c r="J17" s="219" t="s">
        <v>77</v>
      </c>
      <c r="K17" s="220"/>
      <c r="L17" s="220"/>
      <c r="M17" s="221"/>
    </row>
    <row r="18" spans="1:13" x14ac:dyDescent="0.25">
      <c r="A18" s="12" t="s">
        <v>72</v>
      </c>
      <c r="B18" s="210" t="s">
        <v>78</v>
      </c>
      <c r="C18" s="210" t="s">
        <v>79</v>
      </c>
      <c r="D18" s="210" t="s">
        <v>80</v>
      </c>
      <c r="E18" s="11" t="s">
        <v>80</v>
      </c>
      <c r="F18" s="210" t="s">
        <v>78</v>
      </c>
      <c r="G18" s="210" t="s">
        <v>79</v>
      </c>
      <c r="H18" s="210" t="s">
        <v>80</v>
      </c>
      <c r="I18" s="11" t="s">
        <v>80</v>
      </c>
      <c r="J18" s="210" t="s">
        <v>78</v>
      </c>
      <c r="K18" s="210" t="s">
        <v>79</v>
      </c>
      <c r="L18" s="210" t="s">
        <v>80</v>
      </c>
      <c r="M18" s="11" t="s">
        <v>80</v>
      </c>
    </row>
    <row r="19" spans="1:13" ht="45" x14ac:dyDescent="0.25">
      <c r="A19" s="12" t="s">
        <v>73</v>
      </c>
      <c r="B19" s="211"/>
      <c r="C19" s="211"/>
      <c r="D19" s="211"/>
      <c r="E19" s="12" t="s">
        <v>79</v>
      </c>
      <c r="F19" s="211"/>
      <c r="G19" s="211"/>
      <c r="H19" s="211"/>
      <c r="I19" s="12" t="s">
        <v>79</v>
      </c>
      <c r="J19" s="211"/>
      <c r="K19" s="211"/>
      <c r="L19" s="211"/>
      <c r="M19" s="12" t="s">
        <v>79</v>
      </c>
    </row>
    <row r="20" spans="1:13" x14ac:dyDescent="0.25">
      <c r="A20" s="12"/>
      <c r="B20" s="212"/>
      <c r="C20" s="212"/>
      <c r="D20" s="212"/>
      <c r="E20" s="13" t="s">
        <v>81</v>
      </c>
      <c r="F20" s="212"/>
      <c r="G20" s="212"/>
      <c r="H20" s="212"/>
      <c r="I20" s="13" t="s">
        <v>81</v>
      </c>
      <c r="J20" s="212"/>
      <c r="K20" s="212"/>
      <c r="L20" s="212"/>
      <c r="M20" s="13" t="s">
        <v>81</v>
      </c>
    </row>
    <row r="21" spans="1:13" x14ac:dyDescent="0.25">
      <c r="A21" s="13"/>
      <c r="B21" s="14">
        <v>1</v>
      </c>
      <c r="C21" s="14">
        <v>2</v>
      </c>
      <c r="D21" s="14">
        <v>3</v>
      </c>
      <c r="E21" s="14">
        <v>4</v>
      </c>
      <c r="F21" s="14">
        <v>5</v>
      </c>
      <c r="G21" s="14">
        <v>6</v>
      </c>
      <c r="H21" s="14">
        <v>7</v>
      </c>
      <c r="I21" s="14">
        <v>8</v>
      </c>
      <c r="J21" s="14">
        <v>9</v>
      </c>
      <c r="K21" s="14">
        <v>10</v>
      </c>
      <c r="L21" s="14">
        <v>11</v>
      </c>
      <c r="M21" s="14">
        <v>12</v>
      </c>
    </row>
    <row r="22" spans="1:13" x14ac:dyDescent="0.25">
      <c r="A22" s="16"/>
      <c r="M22" s="17"/>
    </row>
    <row r="23" spans="1:13" ht="15" customHeight="1" x14ac:dyDescent="0.25">
      <c r="A23" s="207" t="s">
        <v>82</v>
      </c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9"/>
    </row>
    <row r="24" spans="1:13" x14ac:dyDescent="0.25">
      <c r="A24" s="207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9"/>
    </row>
    <row r="25" spans="1:13" x14ac:dyDescent="0.25">
      <c r="A25" s="15" t="s">
        <v>83</v>
      </c>
      <c r="B25" s="27">
        <v>81064</v>
      </c>
      <c r="C25" s="15">
        <v>38960</v>
      </c>
      <c r="D25" s="27">
        <v>6244</v>
      </c>
      <c r="E25" s="15">
        <v>2685</v>
      </c>
      <c r="F25" s="15">
        <v>74720</v>
      </c>
      <c r="G25" s="15">
        <v>35807</v>
      </c>
      <c r="H25" s="15">
        <v>6013</v>
      </c>
      <c r="I25" s="15">
        <v>2595</v>
      </c>
      <c r="J25" s="15">
        <v>6344</v>
      </c>
      <c r="K25" s="15">
        <v>3153</v>
      </c>
      <c r="L25" s="15">
        <v>231</v>
      </c>
      <c r="M25" s="15">
        <v>90</v>
      </c>
    </row>
    <row r="26" spans="1:13" ht="30" x14ac:dyDescent="0.25">
      <c r="A26" s="15" t="s">
        <v>151</v>
      </c>
      <c r="B26" s="15">
        <v>26523</v>
      </c>
      <c r="C26" s="15">
        <v>14764</v>
      </c>
      <c r="D26" s="15">
        <v>651</v>
      </c>
      <c r="E26" s="15">
        <v>361</v>
      </c>
      <c r="F26" s="15">
        <v>23520</v>
      </c>
      <c r="G26" s="15">
        <v>13018</v>
      </c>
      <c r="H26" s="15">
        <v>602</v>
      </c>
      <c r="I26" s="15">
        <v>332</v>
      </c>
      <c r="J26" s="15">
        <v>3003</v>
      </c>
      <c r="K26" s="15">
        <v>1746</v>
      </c>
      <c r="L26" s="15">
        <v>49</v>
      </c>
      <c r="M26" s="15">
        <v>29</v>
      </c>
    </row>
    <row r="27" spans="1:13" ht="60" x14ac:dyDescent="0.25">
      <c r="A27" s="15" t="s">
        <v>152</v>
      </c>
      <c r="B27" s="15">
        <v>2341</v>
      </c>
      <c r="C27" s="15">
        <v>1149</v>
      </c>
      <c r="D27" s="15">
        <v>125</v>
      </c>
      <c r="E27" s="15">
        <v>61</v>
      </c>
      <c r="F27" s="15">
        <v>2145</v>
      </c>
      <c r="G27" s="15">
        <v>1062</v>
      </c>
      <c r="H27" s="15">
        <v>119</v>
      </c>
      <c r="I27" s="15">
        <v>57</v>
      </c>
      <c r="J27" s="15">
        <v>196</v>
      </c>
      <c r="K27" s="15">
        <v>87</v>
      </c>
      <c r="L27" s="15">
        <v>6</v>
      </c>
      <c r="M27" s="15">
        <v>4</v>
      </c>
    </row>
    <row r="28" spans="1:13" ht="30" x14ac:dyDescent="0.25">
      <c r="A28" s="15" t="s">
        <v>85</v>
      </c>
      <c r="B28" s="15">
        <v>35591</v>
      </c>
      <c r="C28" s="15">
        <v>16780</v>
      </c>
      <c r="D28" s="15">
        <v>2378</v>
      </c>
      <c r="E28" s="15">
        <v>1107</v>
      </c>
      <c r="F28" s="15">
        <v>33412</v>
      </c>
      <c r="G28" s="15">
        <v>15738</v>
      </c>
      <c r="H28" s="15">
        <v>2295</v>
      </c>
      <c r="I28" s="15">
        <v>1071</v>
      </c>
      <c r="J28" s="15">
        <v>2179</v>
      </c>
      <c r="K28" s="15">
        <v>1042</v>
      </c>
      <c r="L28" s="15">
        <v>83</v>
      </c>
      <c r="M28" s="15">
        <v>36</v>
      </c>
    </row>
    <row r="29" spans="1:13" ht="30" x14ac:dyDescent="0.25">
      <c r="A29" s="15" t="s">
        <v>86</v>
      </c>
      <c r="B29" s="15">
        <v>11516</v>
      </c>
      <c r="C29" s="15">
        <v>4383</v>
      </c>
      <c r="D29" s="15">
        <v>1663</v>
      </c>
      <c r="E29" s="15">
        <v>636</v>
      </c>
      <c r="F29" s="15">
        <v>10933</v>
      </c>
      <c r="G29" s="15">
        <v>4192</v>
      </c>
      <c r="H29" s="15">
        <v>1614</v>
      </c>
      <c r="I29" s="15">
        <v>624</v>
      </c>
      <c r="J29" s="15">
        <v>583</v>
      </c>
      <c r="K29" s="15">
        <v>191</v>
      </c>
      <c r="L29" s="15">
        <v>49</v>
      </c>
      <c r="M29" s="15">
        <v>12</v>
      </c>
    </row>
    <row r="30" spans="1:13" ht="45" x14ac:dyDescent="0.25">
      <c r="A30" s="15" t="s">
        <v>87</v>
      </c>
      <c r="B30" s="15">
        <v>5093</v>
      </c>
      <c r="C30" s="15">
        <v>1884</v>
      </c>
      <c r="D30" s="15">
        <v>1427</v>
      </c>
      <c r="E30" s="15">
        <v>520</v>
      </c>
      <c r="F30" s="15">
        <v>4710</v>
      </c>
      <c r="G30" s="15">
        <v>1797</v>
      </c>
      <c r="H30" s="15">
        <v>1383</v>
      </c>
      <c r="I30" s="15">
        <v>511</v>
      </c>
      <c r="J30" s="15">
        <v>383</v>
      </c>
      <c r="K30" s="15">
        <v>87</v>
      </c>
      <c r="L30" s="15">
        <v>44</v>
      </c>
      <c r="M30" s="15">
        <v>9</v>
      </c>
    </row>
    <row r="31" spans="1:13" ht="45" x14ac:dyDescent="0.25">
      <c r="A31" s="15" t="s">
        <v>153</v>
      </c>
      <c r="B31" s="15">
        <v>1248</v>
      </c>
      <c r="C31" s="15">
        <v>470</v>
      </c>
      <c r="D31" s="15">
        <v>116</v>
      </c>
      <c r="E31" s="15">
        <v>54</v>
      </c>
      <c r="F31" s="15">
        <v>1169</v>
      </c>
      <c r="G31" s="15">
        <v>445</v>
      </c>
      <c r="H31" s="15">
        <v>113</v>
      </c>
      <c r="I31" s="15">
        <v>54</v>
      </c>
      <c r="J31" s="15">
        <v>79</v>
      </c>
      <c r="K31" s="15">
        <v>25</v>
      </c>
      <c r="L31" s="15">
        <v>3</v>
      </c>
      <c r="M31" s="15" t="s">
        <v>84</v>
      </c>
    </row>
    <row r="32" spans="1:13" ht="60" x14ac:dyDescent="0.25">
      <c r="A32" s="15" t="s">
        <v>154</v>
      </c>
      <c r="B32" s="15">
        <v>715</v>
      </c>
      <c r="C32" s="15">
        <v>282</v>
      </c>
      <c r="D32" s="15">
        <v>96</v>
      </c>
      <c r="E32" s="15">
        <v>41</v>
      </c>
      <c r="F32" s="15">
        <v>620</v>
      </c>
      <c r="G32" s="15">
        <v>252</v>
      </c>
      <c r="H32" s="15">
        <v>93</v>
      </c>
      <c r="I32" s="15">
        <v>39</v>
      </c>
      <c r="J32" s="15">
        <v>95</v>
      </c>
      <c r="K32" s="15">
        <v>30</v>
      </c>
      <c r="L32" s="15">
        <v>3</v>
      </c>
      <c r="M32" s="15">
        <v>2</v>
      </c>
    </row>
    <row r="33" spans="1:13" ht="15" customHeight="1" x14ac:dyDescent="0.25">
      <c r="A33" s="207" t="s">
        <v>88</v>
      </c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9"/>
    </row>
    <row r="34" spans="1:13" x14ac:dyDescent="0.25">
      <c r="A34" s="207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9"/>
    </row>
    <row r="35" spans="1:13" x14ac:dyDescent="0.25">
      <c r="A35" s="15" t="s">
        <v>83</v>
      </c>
      <c r="B35" s="27">
        <v>15142</v>
      </c>
      <c r="C35" s="15">
        <v>7209</v>
      </c>
      <c r="D35" s="27">
        <v>1264</v>
      </c>
      <c r="E35" s="15">
        <v>511</v>
      </c>
      <c r="F35" s="15">
        <v>14241</v>
      </c>
      <c r="G35" s="15">
        <v>6815</v>
      </c>
      <c r="H35" s="15">
        <v>1225</v>
      </c>
      <c r="I35" s="15">
        <v>498</v>
      </c>
      <c r="J35" s="15">
        <v>901</v>
      </c>
      <c r="K35" s="15">
        <v>394</v>
      </c>
      <c r="L35" s="15">
        <v>39</v>
      </c>
      <c r="M35" s="15">
        <v>13</v>
      </c>
    </row>
    <row r="36" spans="1:13" ht="30" x14ac:dyDescent="0.25">
      <c r="A36" s="15" t="s">
        <v>151</v>
      </c>
      <c r="B36" s="15">
        <v>5652</v>
      </c>
      <c r="C36" s="15">
        <v>3164</v>
      </c>
      <c r="D36" s="15">
        <v>167</v>
      </c>
      <c r="E36" s="15">
        <v>90</v>
      </c>
      <c r="F36" s="15">
        <v>5160</v>
      </c>
      <c r="G36" s="15">
        <v>2910</v>
      </c>
      <c r="H36" s="15">
        <v>152</v>
      </c>
      <c r="I36" s="15">
        <v>84</v>
      </c>
      <c r="J36" s="15">
        <v>492</v>
      </c>
      <c r="K36" s="15">
        <v>254</v>
      </c>
      <c r="L36" s="15">
        <v>15</v>
      </c>
      <c r="M36" s="15">
        <v>6</v>
      </c>
    </row>
    <row r="37" spans="1:13" ht="60" x14ac:dyDescent="0.25">
      <c r="A37" s="15" t="s">
        <v>152</v>
      </c>
      <c r="B37" s="15">
        <v>519</v>
      </c>
      <c r="C37" s="15">
        <v>261</v>
      </c>
      <c r="D37" s="15">
        <v>29</v>
      </c>
      <c r="E37" s="15">
        <v>13</v>
      </c>
      <c r="F37" s="15">
        <v>477</v>
      </c>
      <c r="G37" s="15">
        <v>242</v>
      </c>
      <c r="H37" s="15">
        <v>26</v>
      </c>
      <c r="I37" s="15">
        <v>11</v>
      </c>
      <c r="J37" s="15">
        <v>42</v>
      </c>
      <c r="K37" s="15">
        <v>19</v>
      </c>
      <c r="L37" s="15">
        <v>3</v>
      </c>
      <c r="M37" s="15">
        <v>2</v>
      </c>
    </row>
    <row r="38" spans="1:13" ht="30" x14ac:dyDescent="0.25">
      <c r="A38" s="15" t="s">
        <v>85</v>
      </c>
      <c r="B38" s="15">
        <v>6178</v>
      </c>
      <c r="C38" s="15">
        <v>2757</v>
      </c>
      <c r="D38" s="15">
        <v>493</v>
      </c>
      <c r="E38" s="15">
        <v>201</v>
      </c>
      <c r="F38" s="15">
        <v>5958</v>
      </c>
      <c r="G38" s="15">
        <v>2669</v>
      </c>
      <c r="H38" s="15">
        <v>485</v>
      </c>
      <c r="I38" s="15">
        <v>198</v>
      </c>
      <c r="J38" s="15">
        <v>220</v>
      </c>
      <c r="K38" s="15">
        <v>88</v>
      </c>
      <c r="L38" s="15">
        <v>8</v>
      </c>
      <c r="M38" s="15">
        <v>3</v>
      </c>
    </row>
    <row r="39" spans="1:13" ht="30" x14ac:dyDescent="0.25">
      <c r="A39" s="15" t="s">
        <v>86</v>
      </c>
      <c r="B39" s="15">
        <v>1856</v>
      </c>
      <c r="C39" s="15">
        <v>698</v>
      </c>
      <c r="D39" s="15">
        <v>298</v>
      </c>
      <c r="E39" s="15">
        <v>112</v>
      </c>
      <c r="F39" s="15">
        <v>1770</v>
      </c>
      <c r="G39" s="15">
        <v>678</v>
      </c>
      <c r="H39" s="15">
        <v>290</v>
      </c>
      <c r="I39" s="15">
        <v>111</v>
      </c>
      <c r="J39" s="15">
        <v>86</v>
      </c>
      <c r="K39" s="15">
        <v>20</v>
      </c>
      <c r="L39" s="15">
        <v>8</v>
      </c>
      <c r="M39" s="15">
        <v>1</v>
      </c>
    </row>
    <row r="40" spans="1:13" ht="45" x14ac:dyDescent="0.25">
      <c r="A40" s="15" t="s">
        <v>87</v>
      </c>
      <c r="B40" s="15">
        <v>937</v>
      </c>
      <c r="C40" s="15">
        <v>329</v>
      </c>
      <c r="D40" s="15">
        <v>277</v>
      </c>
      <c r="E40" s="15">
        <v>95</v>
      </c>
      <c r="F40" s="15">
        <v>876</v>
      </c>
      <c r="G40" s="15">
        <v>316</v>
      </c>
      <c r="H40" s="15">
        <v>272</v>
      </c>
      <c r="I40" s="15">
        <v>94</v>
      </c>
      <c r="J40" s="15">
        <v>61</v>
      </c>
      <c r="K40" s="15">
        <v>13</v>
      </c>
      <c r="L40" s="15">
        <v>5</v>
      </c>
      <c r="M40" s="15">
        <v>1</v>
      </c>
    </row>
    <row r="41" spans="1:13" ht="45" x14ac:dyDescent="0.25">
      <c r="A41" s="15" t="s">
        <v>153</v>
      </c>
      <c r="B41" s="15">
        <v>204</v>
      </c>
      <c r="C41" s="15">
        <v>82</v>
      </c>
      <c r="D41" s="15">
        <v>28</v>
      </c>
      <c r="E41" s="15">
        <v>12</v>
      </c>
      <c r="F41" s="15">
        <v>193</v>
      </c>
      <c r="G41" s="15">
        <v>79</v>
      </c>
      <c r="H41" s="15">
        <v>27</v>
      </c>
      <c r="I41" s="15">
        <v>12</v>
      </c>
      <c r="J41" s="15">
        <v>11</v>
      </c>
      <c r="K41" s="15">
        <v>3</v>
      </c>
      <c r="L41" s="15">
        <v>1</v>
      </c>
      <c r="M41" s="15" t="s">
        <v>84</v>
      </c>
    </row>
    <row r="42" spans="1:13" ht="60" x14ac:dyDescent="0.25">
      <c r="A42" s="15" t="s">
        <v>154</v>
      </c>
      <c r="B42" s="15">
        <v>153</v>
      </c>
      <c r="C42" s="15">
        <v>64</v>
      </c>
      <c r="D42" s="15">
        <v>21</v>
      </c>
      <c r="E42" s="15">
        <v>10</v>
      </c>
      <c r="F42" s="15">
        <v>152</v>
      </c>
      <c r="G42" s="15">
        <v>64</v>
      </c>
      <c r="H42" s="15">
        <v>21</v>
      </c>
      <c r="I42" s="15">
        <v>10</v>
      </c>
      <c r="J42" s="15">
        <v>1</v>
      </c>
      <c r="K42" s="15" t="s">
        <v>84</v>
      </c>
      <c r="L42" s="15" t="s">
        <v>84</v>
      </c>
      <c r="M42" s="15" t="s">
        <v>84</v>
      </c>
    </row>
    <row r="43" spans="1:13" ht="15" customHeight="1" x14ac:dyDescent="0.25">
      <c r="A43" s="207" t="s">
        <v>89</v>
      </c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9"/>
    </row>
    <row r="44" spans="1:13" x14ac:dyDescent="0.25">
      <c r="A44" s="207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9"/>
    </row>
    <row r="45" spans="1:13" x14ac:dyDescent="0.25">
      <c r="A45" s="15" t="s">
        <v>83</v>
      </c>
      <c r="B45" s="27">
        <v>2405</v>
      </c>
      <c r="C45" s="15">
        <v>1203</v>
      </c>
      <c r="D45" s="27">
        <v>185</v>
      </c>
      <c r="E45" s="15">
        <v>67</v>
      </c>
      <c r="F45" s="15">
        <v>2232</v>
      </c>
      <c r="G45" s="15">
        <v>1116</v>
      </c>
      <c r="H45" s="15">
        <v>182</v>
      </c>
      <c r="I45" s="15">
        <v>67</v>
      </c>
      <c r="J45" s="15">
        <v>173</v>
      </c>
      <c r="K45" s="15">
        <v>87</v>
      </c>
      <c r="L45" s="15">
        <v>3</v>
      </c>
      <c r="M45" s="15" t="s">
        <v>84</v>
      </c>
    </row>
    <row r="46" spans="1:13" ht="30" x14ac:dyDescent="0.25">
      <c r="A46" s="15" t="s">
        <v>151</v>
      </c>
      <c r="B46" s="15">
        <v>1196</v>
      </c>
      <c r="C46" s="15">
        <v>670</v>
      </c>
      <c r="D46" s="15">
        <v>31</v>
      </c>
      <c r="E46" s="15">
        <v>18</v>
      </c>
      <c r="F46" s="15">
        <v>1080</v>
      </c>
      <c r="G46" s="15">
        <v>603</v>
      </c>
      <c r="H46" s="15">
        <v>29</v>
      </c>
      <c r="I46" s="15">
        <v>18</v>
      </c>
      <c r="J46" s="15">
        <v>116</v>
      </c>
      <c r="K46" s="15">
        <v>67</v>
      </c>
      <c r="L46" s="15">
        <v>2</v>
      </c>
      <c r="M46" s="15" t="s">
        <v>84</v>
      </c>
    </row>
    <row r="47" spans="1:13" ht="60" x14ac:dyDescent="0.25">
      <c r="A47" s="15" t="s">
        <v>152</v>
      </c>
      <c r="B47" s="15">
        <v>145</v>
      </c>
      <c r="C47" s="15">
        <v>74</v>
      </c>
      <c r="D47" s="15">
        <v>5</v>
      </c>
      <c r="E47" s="15">
        <v>2</v>
      </c>
      <c r="F47" s="15">
        <v>141</v>
      </c>
      <c r="G47" s="15">
        <v>72</v>
      </c>
      <c r="H47" s="15">
        <v>5</v>
      </c>
      <c r="I47" s="15">
        <v>2</v>
      </c>
      <c r="J47" s="15">
        <v>4</v>
      </c>
      <c r="K47" s="15">
        <v>2</v>
      </c>
      <c r="L47" s="15" t="s">
        <v>84</v>
      </c>
      <c r="M47" s="15" t="s">
        <v>84</v>
      </c>
    </row>
    <row r="48" spans="1:13" ht="30" x14ac:dyDescent="0.25">
      <c r="A48" s="15" t="s">
        <v>85</v>
      </c>
      <c r="B48" s="15">
        <v>713</v>
      </c>
      <c r="C48" s="15">
        <v>323</v>
      </c>
      <c r="D48" s="15">
        <v>74</v>
      </c>
      <c r="E48" s="15">
        <v>20</v>
      </c>
      <c r="F48" s="15">
        <v>675</v>
      </c>
      <c r="G48" s="15">
        <v>309</v>
      </c>
      <c r="H48" s="15">
        <v>73</v>
      </c>
      <c r="I48" s="15">
        <v>20</v>
      </c>
      <c r="J48" s="15">
        <v>38</v>
      </c>
      <c r="K48" s="15">
        <v>14</v>
      </c>
      <c r="L48" s="15">
        <v>1</v>
      </c>
      <c r="M48" s="15" t="s">
        <v>84</v>
      </c>
    </row>
    <row r="49" spans="1:13" ht="30" x14ac:dyDescent="0.25">
      <c r="A49" s="15" t="s">
        <v>86</v>
      </c>
      <c r="B49" s="15">
        <v>216</v>
      </c>
      <c r="C49" s="15">
        <v>82</v>
      </c>
      <c r="D49" s="15">
        <v>43</v>
      </c>
      <c r="E49" s="15">
        <v>14</v>
      </c>
      <c r="F49" s="15">
        <v>209</v>
      </c>
      <c r="G49" s="15">
        <v>81</v>
      </c>
      <c r="H49" s="15">
        <v>43</v>
      </c>
      <c r="I49" s="15">
        <v>14</v>
      </c>
      <c r="J49" s="15">
        <v>7</v>
      </c>
      <c r="K49" s="15">
        <v>1</v>
      </c>
      <c r="L49" s="15" t="s">
        <v>84</v>
      </c>
      <c r="M49" s="15" t="s">
        <v>84</v>
      </c>
    </row>
    <row r="50" spans="1:13" ht="45" x14ac:dyDescent="0.25">
      <c r="A50" s="15" t="s">
        <v>87</v>
      </c>
      <c r="B50" s="15">
        <v>135</v>
      </c>
      <c r="C50" s="15">
        <v>54</v>
      </c>
      <c r="D50" s="15">
        <v>32</v>
      </c>
      <c r="E50" s="15">
        <v>13</v>
      </c>
      <c r="F50" s="15">
        <v>127</v>
      </c>
      <c r="G50" s="15">
        <v>51</v>
      </c>
      <c r="H50" s="15">
        <v>32</v>
      </c>
      <c r="I50" s="15">
        <v>13</v>
      </c>
      <c r="J50" s="15">
        <v>8</v>
      </c>
      <c r="K50" s="15">
        <v>3</v>
      </c>
      <c r="L50" s="15" t="s">
        <v>84</v>
      </c>
      <c r="M50" s="15" t="s">
        <v>84</v>
      </c>
    </row>
    <row r="51" spans="1:13" ht="45" x14ac:dyDescent="0.25">
      <c r="A51" s="15" t="s">
        <v>153</v>
      </c>
      <c r="B51" s="15">
        <v>41</v>
      </c>
      <c r="C51" s="15">
        <v>16</v>
      </c>
      <c r="D51" s="15">
        <v>10</v>
      </c>
      <c r="E51" s="15">
        <v>4</v>
      </c>
      <c r="F51" s="15">
        <v>41</v>
      </c>
      <c r="G51" s="15">
        <v>16</v>
      </c>
      <c r="H51" s="15">
        <v>10</v>
      </c>
      <c r="I51" s="15">
        <v>4</v>
      </c>
      <c r="J51" s="15" t="s">
        <v>84</v>
      </c>
      <c r="K51" s="15" t="s">
        <v>84</v>
      </c>
      <c r="L51" s="15" t="s">
        <v>84</v>
      </c>
      <c r="M51" s="15" t="s">
        <v>84</v>
      </c>
    </row>
    <row r="52" spans="1:13" ht="60" x14ac:dyDescent="0.25">
      <c r="A52" s="15" t="s">
        <v>154</v>
      </c>
      <c r="B52" s="15">
        <v>26</v>
      </c>
      <c r="C52" s="15">
        <v>13</v>
      </c>
      <c r="D52" s="15">
        <v>4</v>
      </c>
      <c r="E52" s="15">
        <v>3</v>
      </c>
      <c r="F52" s="15">
        <v>26</v>
      </c>
      <c r="G52" s="15">
        <v>13</v>
      </c>
      <c r="H52" s="15">
        <v>4</v>
      </c>
      <c r="I52" s="15">
        <v>3</v>
      </c>
      <c r="J52" s="15" t="s">
        <v>84</v>
      </c>
      <c r="K52" s="15" t="s">
        <v>84</v>
      </c>
      <c r="L52" s="15" t="s">
        <v>84</v>
      </c>
      <c r="M52" s="15" t="s">
        <v>84</v>
      </c>
    </row>
    <row r="53" spans="1:13" ht="15" customHeight="1" x14ac:dyDescent="0.25">
      <c r="A53" s="207" t="s">
        <v>90</v>
      </c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9"/>
    </row>
    <row r="54" spans="1:13" x14ac:dyDescent="0.25">
      <c r="A54" s="207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9"/>
    </row>
    <row r="55" spans="1:13" x14ac:dyDescent="0.25">
      <c r="A55" s="15" t="s">
        <v>83</v>
      </c>
      <c r="B55" s="27">
        <v>1026</v>
      </c>
      <c r="C55" s="15">
        <v>474</v>
      </c>
      <c r="D55" s="27">
        <v>181</v>
      </c>
      <c r="E55" s="15">
        <v>83</v>
      </c>
      <c r="F55" s="15">
        <v>1026</v>
      </c>
      <c r="G55" s="15">
        <v>474</v>
      </c>
      <c r="H55" s="15">
        <v>181</v>
      </c>
      <c r="I55" s="15">
        <v>83</v>
      </c>
      <c r="J55" s="15" t="s">
        <v>84</v>
      </c>
      <c r="K55" s="15" t="s">
        <v>84</v>
      </c>
      <c r="L55" s="15" t="s">
        <v>84</v>
      </c>
      <c r="M55" s="15" t="s">
        <v>84</v>
      </c>
    </row>
    <row r="56" spans="1:13" ht="30" x14ac:dyDescent="0.25">
      <c r="A56" s="15" t="s">
        <v>151</v>
      </c>
      <c r="B56" s="15">
        <v>197</v>
      </c>
      <c r="C56" s="15">
        <v>109</v>
      </c>
      <c r="D56" s="15">
        <v>19</v>
      </c>
      <c r="E56" s="15">
        <v>8</v>
      </c>
      <c r="F56" s="15">
        <v>197</v>
      </c>
      <c r="G56" s="15">
        <v>109</v>
      </c>
      <c r="H56" s="15">
        <v>19</v>
      </c>
      <c r="I56" s="15">
        <v>8</v>
      </c>
      <c r="J56" s="15" t="s">
        <v>84</v>
      </c>
      <c r="K56" s="15" t="s">
        <v>84</v>
      </c>
      <c r="L56" s="15" t="s">
        <v>84</v>
      </c>
      <c r="M56" s="15" t="s">
        <v>84</v>
      </c>
    </row>
    <row r="57" spans="1:13" ht="60" x14ac:dyDescent="0.25">
      <c r="A57" s="15" t="s">
        <v>152</v>
      </c>
      <c r="B57" s="15">
        <v>13</v>
      </c>
      <c r="C57" s="15">
        <v>5</v>
      </c>
      <c r="D57" s="15">
        <v>3</v>
      </c>
      <c r="E57" s="15">
        <v>1</v>
      </c>
      <c r="F57" s="15">
        <v>13</v>
      </c>
      <c r="G57" s="15">
        <v>5</v>
      </c>
      <c r="H57" s="15">
        <v>3</v>
      </c>
      <c r="I57" s="15">
        <v>1</v>
      </c>
      <c r="J57" s="15" t="s">
        <v>84</v>
      </c>
      <c r="K57" s="15" t="s">
        <v>84</v>
      </c>
      <c r="L57" s="15" t="s">
        <v>84</v>
      </c>
      <c r="M57" s="15" t="s">
        <v>84</v>
      </c>
    </row>
    <row r="58" spans="1:13" ht="30" x14ac:dyDescent="0.25">
      <c r="A58" s="15" t="s">
        <v>85</v>
      </c>
      <c r="B58" s="15">
        <v>517</v>
      </c>
      <c r="C58" s="15">
        <v>256</v>
      </c>
      <c r="D58" s="15">
        <v>65</v>
      </c>
      <c r="E58" s="15">
        <v>41</v>
      </c>
      <c r="F58" s="15">
        <v>517</v>
      </c>
      <c r="G58" s="15">
        <v>256</v>
      </c>
      <c r="H58" s="15">
        <v>65</v>
      </c>
      <c r="I58" s="15">
        <v>41</v>
      </c>
      <c r="J58" s="15" t="s">
        <v>84</v>
      </c>
      <c r="K58" s="15" t="s">
        <v>84</v>
      </c>
      <c r="L58" s="15" t="s">
        <v>84</v>
      </c>
      <c r="M58" s="15" t="s">
        <v>84</v>
      </c>
    </row>
    <row r="59" spans="1:13" ht="30" x14ac:dyDescent="0.25">
      <c r="A59" s="15" t="s">
        <v>86</v>
      </c>
      <c r="B59" s="15">
        <v>173</v>
      </c>
      <c r="C59" s="15">
        <v>63</v>
      </c>
      <c r="D59" s="15">
        <v>36</v>
      </c>
      <c r="E59" s="15">
        <v>13</v>
      </c>
      <c r="F59" s="15">
        <v>173</v>
      </c>
      <c r="G59" s="15">
        <v>63</v>
      </c>
      <c r="H59" s="15">
        <v>36</v>
      </c>
      <c r="I59" s="15">
        <v>13</v>
      </c>
      <c r="J59" s="15" t="s">
        <v>84</v>
      </c>
      <c r="K59" s="15" t="s">
        <v>84</v>
      </c>
      <c r="L59" s="15" t="s">
        <v>84</v>
      </c>
      <c r="M59" s="15" t="s">
        <v>84</v>
      </c>
    </row>
    <row r="60" spans="1:13" ht="45" x14ac:dyDescent="0.25">
      <c r="A60" s="15" t="s">
        <v>87</v>
      </c>
      <c r="B60" s="15">
        <v>126</v>
      </c>
      <c r="C60" s="15">
        <v>41</v>
      </c>
      <c r="D60" s="15">
        <v>58</v>
      </c>
      <c r="E60" s="15">
        <v>20</v>
      </c>
      <c r="F60" s="15">
        <v>126</v>
      </c>
      <c r="G60" s="15">
        <v>41</v>
      </c>
      <c r="H60" s="15">
        <v>58</v>
      </c>
      <c r="I60" s="15">
        <v>20</v>
      </c>
      <c r="J60" s="15" t="s">
        <v>84</v>
      </c>
      <c r="K60" s="15" t="s">
        <v>84</v>
      </c>
      <c r="L60" s="15" t="s">
        <v>84</v>
      </c>
      <c r="M60" s="15" t="s">
        <v>84</v>
      </c>
    </row>
    <row r="61" spans="1:13" ht="45" x14ac:dyDescent="0.25">
      <c r="A61" s="15" t="s">
        <v>153</v>
      </c>
      <c r="B61" s="15">
        <v>17</v>
      </c>
      <c r="C61" s="15">
        <v>5</v>
      </c>
      <c r="D61" s="15">
        <v>3</v>
      </c>
      <c r="E61" s="15">
        <v>1</v>
      </c>
      <c r="F61" s="15">
        <v>17</v>
      </c>
      <c r="G61" s="15">
        <v>5</v>
      </c>
      <c r="H61" s="15">
        <v>3</v>
      </c>
      <c r="I61" s="15">
        <v>1</v>
      </c>
      <c r="J61" s="15" t="s">
        <v>84</v>
      </c>
      <c r="K61" s="15" t="s">
        <v>84</v>
      </c>
      <c r="L61" s="15" t="s">
        <v>84</v>
      </c>
      <c r="M61" s="15" t="s">
        <v>84</v>
      </c>
    </row>
    <row r="62" spans="1:13" ht="60" x14ac:dyDescent="0.25">
      <c r="A62" s="15" t="s">
        <v>154</v>
      </c>
      <c r="B62" s="15">
        <v>4</v>
      </c>
      <c r="C62" s="15">
        <v>1</v>
      </c>
      <c r="D62" s="15" t="s">
        <v>84</v>
      </c>
      <c r="E62" s="15" t="s">
        <v>84</v>
      </c>
      <c r="F62" s="15">
        <v>4</v>
      </c>
      <c r="G62" s="15">
        <v>1</v>
      </c>
      <c r="H62" s="15" t="s">
        <v>84</v>
      </c>
      <c r="I62" s="15" t="s">
        <v>84</v>
      </c>
      <c r="J62" s="15" t="s">
        <v>84</v>
      </c>
      <c r="K62" s="15" t="s">
        <v>84</v>
      </c>
      <c r="L62" s="15" t="s">
        <v>84</v>
      </c>
      <c r="M62" s="15" t="s">
        <v>84</v>
      </c>
    </row>
    <row r="63" spans="1:13" ht="15" customHeight="1" x14ac:dyDescent="0.25">
      <c r="A63" s="207" t="s">
        <v>91</v>
      </c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9"/>
    </row>
    <row r="64" spans="1:13" x14ac:dyDescent="0.25">
      <c r="A64" s="207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9"/>
    </row>
    <row r="65" spans="1:13" x14ac:dyDescent="0.25">
      <c r="A65" s="15" t="s">
        <v>83</v>
      </c>
      <c r="B65" s="27">
        <v>1541</v>
      </c>
      <c r="C65" s="15">
        <v>742</v>
      </c>
      <c r="D65" s="27">
        <v>187</v>
      </c>
      <c r="E65" s="15">
        <v>68</v>
      </c>
      <c r="F65" s="15">
        <v>1330</v>
      </c>
      <c r="G65" s="15">
        <v>637</v>
      </c>
      <c r="H65" s="15">
        <v>183</v>
      </c>
      <c r="I65" s="15">
        <v>67</v>
      </c>
      <c r="J65" s="15">
        <v>211</v>
      </c>
      <c r="K65" s="15">
        <v>105</v>
      </c>
      <c r="L65" s="15">
        <v>4</v>
      </c>
      <c r="M65" s="15">
        <v>1</v>
      </c>
    </row>
    <row r="66" spans="1:13" ht="30" x14ac:dyDescent="0.25">
      <c r="A66" s="15" t="s">
        <v>151</v>
      </c>
      <c r="B66" s="15">
        <v>649</v>
      </c>
      <c r="C66" s="15">
        <v>365</v>
      </c>
      <c r="D66" s="15">
        <v>17</v>
      </c>
      <c r="E66" s="15">
        <v>9</v>
      </c>
      <c r="F66" s="15">
        <v>490</v>
      </c>
      <c r="G66" s="15">
        <v>283</v>
      </c>
      <c r="H66" s="15">
        <v>15</v>
      </c>
      <c r="I66" s="15">
        <v>9</v>
      </c>
      <c r="J66" s="15">
        <v>159</v>
      </c>
      <c r="K66" s="15">
        <v>82</v>
      </c>
      <c r="L66" s="15">
        <v>2</v>
      </c>
      <c r="M66" s="15" t="s">
        <v>84</v>
      </c>
    </row>
    <row r="67" spans="1:13" ht="60" x14ac:dyDescent="0.25">
      <c r="A67" s="15" t="s">
        <v>152</v>
      </c>
      <c r="B67" s="15">
        <v>79</v>
      </c>
      <c r="C67" s="15">
        <v>48</v>
      </c>
      <c r="D67" s="15">
        <v>8</v>
      </c>
      <c r="E67" s="15">
        <v>3</v>
      </c>
      <c r="F67" s="15">
        <v>70</v>
      </c>
      <c r="G67" s="15">
        <v>46</v>
      </c>
      <c r="H67" s="15">
        <v>8</v>
      </c>
      <c r="I67" s="15">
        <v>3</v>
      </c>
      <c r="J67" s="15">
        <v>9</v>
      </c>
      <c r="K67" s="15">
        <v>2</v>
      </c>
      <c r="L67" s="15" t="s">
        <v>84</v>
      </c>
      <c r="M67" s="15" t="s">
        <v>84</v>
      </c>
    </row>
    <row r="68" spans="1:13" ht="30" x14ac:dyDescent="0.25">
      <c r="A68" s="15" t="s">
        <v>85</v>
      </c>
      <c r="B68" s="15">
        <v>627</v>
      </c>
      <c r="C68" s="15">
        <v>263</v>
      </c>
      <c r="D68" s="15">
        <v>103</v>
      </c>
      <c r="E68" s="15">
        <v>42</v>
      </c>
      <c r="F68" s="15">
        <v>596</v>
      </c>
      <c r="G68" s="15">
        <v>246</v>
      </c>
      <c r="H68" s="15">
        <v>103</v>
      </c>
      <c r="I68" s="15">
        <v>42</v>
      </c>
      <c r="J68" s="15">
        <v>31</v>
      </c>
      <c r="K68" s="15">
        <v>17</v>
      </c>
      <c r="L68" s="15" t="s">
        <v>84</v>
      </c>
      <c r="M68" s="15" t="s">
        <v>84</v>
      </c>
    </row>
    <row r="69" spans="1:13" ht="30" x14ac:dyDescent="0.25">
      <c r="A69" s="15" t="s">
        <v>86</v>
      </c>
      <c r="B69" s="15">
        <v>127</v>
      </c>
      <c r="C69" s="15">
        <v>49</v>
      </c>
      <c r="D69" s="15">
        <v>39</v>
      </c>
      <c r="E69" s="15">
        <v>10</v>
      </c>
      <c r="F69" s="15">
        <v>123</v>
      </c>
      <c r="G69" s="15">
        <v>48</v>
      </c>
      <c r="H69" s="15">
        <v>39</v>
      </c>
      <c r="I69" s="15">
        <v>10</v>
      </c>
      <c r="J69" s="15">
        <v>4</v>
      </c>
      <c r="K69" s="15">
        <v>1</v>
      </c>
      <c r="L69" s="15" t="s">
        <v>84</v>
      </c>
      <c r="M69" s="15" t="s">
        <v>84</v>
      </c>
    </row>
    <row r="70" spans="1:13" ht="45" x14ac:dyDescent="0.25">
      <c r="A70" s="15" t="s">
        <v>87</v>
      </c>
      <c r="B70" s="15">
        <v>59</v>
      </c>
      <c r="C70" s="15">
        <v>17</v>
      </c>
      <c r="D70" s="15">
        <v>20</v>
      </c>
      <c r="E70" s="15">
        <v>4</v>
      </c>
      <c r="F70" s="15">
        <v>51</v>
      </c>
      <c r="G70" s="15">
        <v>14</v>
      </c>
      <c r="H70" s="15">
        <v>18</v>
      </c>
      <c r="I70" s="15">
        <v>3</v>
      </c>
      <c r="J70" s="15">
        <v>8</v>
      </c>
      <c r="K70" s="15">
        <v>3</v>
      </c>
      <c r="L70" s="15">
        <v>2</v>
      </c>
      <c r="M70" s="15">
        <v>1</v>
      </c>
    </row>
    <row r="71" spans="1:13" ht="45" x14ac:dyDescent="0.25">
      <c r="A71" s="15" t="s">
        <v>153</v>
      </c>
      <c r="B71" s="15">
        <v>6</v>
      </c>
      <c r="C71" s="15">
        <v>2</v>
      </c>
      <c r="D71" s="15" t="s">
        <v>84</v>
      </c>
      <c r="E71" s="15" t="s">
        <v>84</v>
      </c>
      <c r="F71" s="15">
        <v>6</v>
      </c>
      <c r="G71" s="15">
        <v>2</v>
      </c>
      <c r="H71" s="15" t="s">
        <v>84</v>
      </c>
      <c r="I71" s="15" t="s">
        <v>84</v>
      </c>
      <c r="J71" s="15" t="s">
        <v>84</v>
      </c>
      <c r="K71" s="15" t="s">
        <v>84</v>
      </c>
      <c r="L71" s="15" t="s">
        <v>84</v>
      </c>
      <c r="M71" s="15" t="s">
        <v>84</v>
      </c>
    </row>
    <row r="72" spans="1:13" ht="60" x14ac:dyDescent="0.25">
      <c r="A72" s="15" t="s">
        <v>154</v>
      </c>
      <c r="B72" s="15">
        <v>12</v>
      </c>
      <c r="C72" s="15">
        <v>4</v>
      </c>
      <c r="D72" s="15">
        <v>3</v>
      </c>
      <c r="E72" s="15">
        <v>1</v>
      </c>
      <c r="F72" s="15">
        <v>12</v>
      </c>
      <c r="G72" s="15">
        <v>4</v>
      </c>
      <c r="H72" s="15">
        <v>3</v>
      </c>
      <c r="I72" s="15">
        <v>1</v>
      </c>
      <c r="J72" s="15" t="s">
        <v>84</v>
      </c>
      <c r="K72" s="15" t="s">
        <v>84</v>
      </c>
      <c r="L72" s="15" t="s">
        <v>84</v>
      </c>
      <c r="M72" s="15" t="s">
        <v>84</v>
      </c>
    </row>
    <row r="73" spans="1:13" ht="15" customHeight="1" x14ac:dyDescent="0.25">
      <c r="A73" s="207" t="s">
        <v>92</v>
      </c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9"/>
    </row>
    <row r="74" spans="1:13" x14ac:dyDescent="0.25">
      <c r="A74" s="207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9"/>
    </row>
    <row r="75" spans="1:13" x14ac:dyDescent="0.25">
      <c r="A75" s="15" t="s">
        <v>83</v>
      </c>
      <c r="B75" s="27">
        <v>1563</v>
      </c>
      <c r="C75" s="15">
        <v>769</v>
      </c>
      <c r="D75" s="27">
        <v>107</v>
      </c>
      <c r="E75" s="15">
        <v>43</v>
      </c>
      <c r="F75" s="15">
        <v>1485</v>
      </c>
      <c r="G75" s="15">
        <v>744</v>
      </c>
      <c r="H75" s="15">
        <v>107</v>
      </c>
      <c r="I75" s="15">
        <v>43</v>
      </c>
      <c r="J75" s="15">
        <v>78</v>
      </c>
      <c r="K75" s="15">
        <v>25</v>
      </c>
      <c r="L75" s="15" t="s">
        <v>84</v>
      </c>
      <c r="M75" s="15" t="s">
        <v>84</v>
      </c>
    </row>
    <row r="76" spans="1:13" ht="30" x14ac:dyDescent="0.25">
      <c r="A76" s="15" t="s">
        <v>151</v>
      </c>
      <c r="B76" s="15">
        <v>465</v>
      </c>
      <c r="C76" s="15">
        <v>287</v>
      </c>
      <c r="D76" s="15">
        <v>14</v>
      </c>
      <c r="E76" s="15">
        <v>8</v>
      </c>
      <c r="F76" s="15">
        <v>426</v>
      </c>
      <c r="G76" s="15">
        <v>272</v>
      </c>
      <c r="H76" s="15">
        <v>14</v>
      </c>
      <c r="I76" s="15">
        <v>8</v>
      </c>
      <c r="J76" s="15">
        <v>39</v>
      </c>
      <c r="K76" s="15">
        <v>15</v>
      </c>
      <c r="L76" s="15" t="s">
        <v>84</v>
      </c>
      <c r="M76" s="15" t="s">
        <v>84</v>
      </c>
    </row>
    <row r="77" spans="1:13" ht="60" x14ac:dyDescent="0.25">
      <c r="A77" s="15" t="s">
        <v>152</v>
      </c>
      <c r="B77" s="15">
        <v>40</v>
      </c>
      <c r="C77" s="15">
        <v>21</v>
      </c>
      <c r="D77" s="15" t="s">
        <v>84</v>
      </c>
      <c r="E77" s="15" t="s">
        <v>84</v>
      </c>
      <c r="F77" s="15">
        <v>32</v>
      </c>
      <c r="G77" s="15">
        <v>17</v>
      </c>
      <c r="H77" s="15" t="s">
        <v>84</v>
      </c>
      <c r="I77" s="15" t="s">
        <v>84</v>
      </c>
      <c r="J77" s="15">
        <v>8</v>
      </c>
      <c r="K77" s="15">
        <v>4</v>
      </c>
      <c r="L77" s="15" t="s">
        <v>84</v>
      </c>
      <c r="M77" s="15" t="s">
        <v>84</v>
      </c>
    </row>
    <row r="78" spans="1:13" ht="30" x14ac:dyDescent="0.25">
      <c r="A78" s="15" t="s">
        <v>85</v>
      </c>
      <c r="B78" s="15">
        <v>736</v>
      </c>
      <c r="C78" s="15">
        <v>342</v>
      </c>
      <c r="D78" s="15">
        <v>39</v>
      </c>
      <c r="E78" s="15">
        <v>15</v>
      </c>
      <c r="F78" s="15">
        <v>722</v>
      </c>
      <c r="G78" s="15">
        <v>337</v>
      </c>
      <c r="H78" s="15">
        <v>39</v>
      </c>
      <c r="I78" s="15">
        <v>15</v>
      </c>
      <c r="J78" s="15">
        <v>14</v>
      </c>
      <c r="K78" s="15">
        <v>5</v>
      </c>
      <c r="L78" s="15" t="s">
        <v>84</v>
      </c>
      <c r="M78" s="15" t="s">
        <v>84</v>
      </c>
    </row>
    <row r="79" spans="1:13" ht="30" x14ac:dyDescent="0.25">
      <c r="A79" s="15" t="s">
        <v>86</v>
      </c>
      <c r="B79" s="15">
        <v>219</v>
      </c>
      <c r="C79" s="15">
        <v>86</v>
      </c>
      <c r="D79" s="15">
        <v>31</v>
      </c>
      <c r="E79" s="15">
        <v>14</v>
      </c>
      <c r="F79" s="15">
        <v>214</v>
      </c>
      <c r="G79" s="15">
        <v>85</v>
      </c>
      <c r="H79" s="15">
        <v>31</v>
      </c>
      <c r="I79" s="15">
        <v>14</v>
      </c>
      <c r="J79" s="15">
        <v>5</v>
      </c>
      <c r="K79" s="15">
        <v>1</v>
      </c>
      <c r="L79" s="15" t="s">
        <v>84</v>
      </c>
      <c r="M79" s="15" t="s">
        <v>84</v>
      </c>
    </row>
    <row r="80" spans="1:13" ht="45" x14ac:dyDescent="0.25">
      <c r="A80" s="15" t="s">
        <v>87</v>
      </c>
      <c r="B80" s="15">
        <v>103</v>
      </c>
      <c r="C80" s="15">
        <v>33</v>
      </c>
      <c r="D80" s="15">
        <v>23</v>
      </c>
      <c r="E80" s="15">
        <v>6</v>
      </c>
      <c r="F80" s="15">
        <v>91</v>
      </c>
      <c r="G80" s="15">
        <v>33</v>
      </c>
      <c r="H80" s="15">
        <v>23</v>
      </c>
      <c r="I80" s="15">
        <v>6</v>
      </c>
      <c r="J80" s="15">
        <v>12</v>
      </c>
      <c r="K80" s="15" t="s">
        <v>84</v>
      </c>
      <c r="L80" s="15" t="s">
        <v>84</v>
      </c>
      <c r="M80" s="15" t="s">
        <v>84</v>
      </c>
    </row>
    <row r="81" spans="1:13" ht="45" x14ac:dyDescent="0.25">
      <c r="A81" s="15" t="s">
        <v>153</v>
      </c>
      <c r="B81" s="15">
        <v>25</v>
      </c>
      <c r="C81" s="15">
        <v>12</v>
      </c>
      <c r="D81" s="15">
        <v>1</v>
      </c>
      <c r="E81" s="15" t="s">
        <v>84</v>
      </c>
      <c r="F81" s="15">
        <v>23</v>
      </c>
      <c r="G81" s="15">
        <v>12</v>
      </c>
      <c r="H81" s="15">
        <v>1</v>
      </c>
      <c r="I81" s="15" t="s">
        <v>84</v>
      </c>
      <c r="J81" s="15">
        <v>2</v>
      </c>
      <c r="K81" s="15" t="s">
        <v>84</v>
      </c>
      <c r="L81" s="15" t="s">
        <v>84</v>
      </c>
      <c r="M81" s="15" t="s">
        <v>84</v>
      </c>
    </row>
    <row r="82" spans="1:13" ht="60" x14ac:dyDescent="0.25">
      <c r="A82" s="15" t="s">
        <v>154</v>
      </c>
      <c r="B82" s="15">
        <v>1</v>
      </c>
      <c r="C82" s="15" t="s">
        <v>84</v>
      </c>
      <c r="D82" s="15" t="s">
        <v>84</v>
      </c>
      <c r="E82" s="15" t="s">
        <v>84</v>
      </c>
      <c r="F82" s="15">
        <v>1</v>
      </c>
      <c r="G82" s="15" t="s">
        <v>84</v>
      </c>
      <c r="H82" s="15" t="s">
        <v>84</v>
      </c>
      <c r="I82" s="15" t="s">
        <v>84</v>
      </c>
      <c r="J82" s="15" t="s">
        <v>84</v>
      </c>
      <c r="K82" s="15" t="s">
        <v>84</v>
      </c>
      <c r="L82" s="15" t="s">
        <v>84</v>
      </c>
      <c r="M82" s="15" t="s">
        <v>84</v>
      </c>
    </row>
    <row r="83" spans="1:13" ht="15" customHeight="1" x14ac:dyDescent="0.25">
      <c r="A83" s="207" t="s">
        <v>93</v>
      </c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9"/>
    </row>
    <row r="84" spans="1:13" x14ac:dyDescent="0.25">
      <c r="A84" s="207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9"/>
    </row>
    <row r="85" spans="1:13" x14ac:dyDescent="0.25">
      <c r="A85" s="15" t="s">
        <v>83</v>
      </c>
      <c r="B85" s="27">
        <v>1206</v>
      </c>
      <c r="C85" s="15">
        <v>559</v>
      </c>
      <c r="D85" s="27">
        <v>88</v>
      </c>
      <c r="E85" s="15">
        <v>35</v>
      </c>
      <c r="F85" s="15">
        <v>1145</v>
      </c>
      <c r="G85" s="15">
        <v>543</v>
      </c>
      <c r="H85" s="15">
        <v>82</v>
      </c>
      <c r="I85" s="15">
        <v>34</v>
      </c>
      <c r="J85" s="15">
        <v>61</v>
      </c>
      <c r="K85" s="15">
        <v>16</v>
      </c>
      <c r="L85" s="15">
        <v>6</v>
      </c>
      <c r="M85" s="15">
        <v>1</v>
      </c>
    </row>
    <row r="86" spans="1:13" ht="30" x14ac:dyDescent="0.25">
      <c r="A86" s="15" t="s">
        <v>151</v>
      </c>
      <c r="B86" s="15">
        <v>307</v>
      </c>
      <c r="C86" s="15">
        <v>171</v>
      </c>
      <c r="D86" s="15">
        <v>9</v>
      </c>
      <c r="E86" s="15">
        <v>4</v>
      </c>
      <c r="F86" s="15">
        <v>291</v>
      </c>
      <c r="G86" s="15">
        <v>167</v>
      </c>
      <c r="H86" s="15">
        <v>7</v>
      </c>
      <c r="I86" s="15">
        <v>4</v>
      </c>
      <c r="J86" s="15">
        <v>16</v>
      </c>
      <c r="K86" s="15">
        <v>4</v>
      </c>
      <c r="L86" s="15">
        <v>2</v>
      </c>
      <c r="M86" s="15" t="s">
        <v>84</v>
      </c>
    </row>
    <row r="87" spans="1:13" ht="60" x14ac:dyDescent="0.25">
      <c r="A87" s="15" t="s">
        <v>152</v>
      </c>
      <c r="B87" s="15">
        <v>27</v>
      </c>
      <c r="C87" s="15">
        <v>13</v>
      </c>
      <c r="D87" s="15">
        <v>1</v>
      </c>
      <c r="E87" s="15" t="s">
        <v>84</v>
      </c>
      <c r="F87" s="15">
        <v>24</v>
      </c>
      <c r="G87" s="15">
        <v>13</v>
      </c>
      <c r="H87" s="15">
        <v>1</v>
      </c>
      <c r="I87" s="15" t="s">
        <v>84</v>
      </c>
      <c r="J87" s="15">
        <v>3</v>
      </c>
      <c r="K87" s="15" t="s">
        <v>84</v>
      </c>
      <c r="L87" s="15" t="s">
        <v>84</v>
      </c>
      <c r="M87" s="15" t="s">
        <v>84</v>
      </c>
    </row>
    <row r="88" spans="1:13" ht="30" x14ac:dyDescent="0.25">
      <c r="A88" s="15" t="s">
        <v>85</v>
      </c>
      <c r="B88" s="15">
        <v>595</v>
      </c>
      <c r="C88" s="15">
        <v>265</v>
      </c>
      <c r="D88" s="15">
        <v>39</v>
      </c>
      <c r="E88" s="15">
        <v>15</v>
      </c>
      <c r="F88" s="15">
        <v>579</v>
      </c>
      <c r="G88" s="15">
        <v>261</v>
      </c>
      <c r="H88" s="15">
        <v>37</v>
      </c>
      <c r="I88" s="15">
        <v>15</v>
      </c>
      <c r="J88" s="15">
        <v>16</v>
      </c>
      <c r="K88" s="15">
        <v>4</v>
      </c>
      <c r="L88" s="15">
        <v>2</v>
      </c>
      <c r="M88" s="15" t="s">
        <v>84</v>
      </c>
    </row>
    <row r="89" spans="1:13" ht="30" x14ac:dyDescent="0.25">
      <c r="A89" s="15" t="s">
        <v>86</v>
      </c>
      <c r="B89" s="15">
        <v>201</v>
      </c>
      <c r="C89" s="15">
        <v>85</v>
      </c>
      <c r="D89" s="15">
        <v>26</v>
      </c>
      <c r="E89" s="15">
        <v>13</v>
      </c>
      <c r="F89" s="15">
        <v>190</v>
      </c>
      <c r="G89" s="15">
        <v>81</v>
      </c>
      <c r="H89" s="15">
        <v>25</v>
      </c>
      <c r="I89" s="15">
        <v>12</v>
      </c>
      <c r="J89" s="15">
        <v>11</v>
      </c>
      <c r="K89" s="15">
        <v>4</v>
      </c>
      <c r="L89" s="15">
        <v>1</v>
      </c>
      <c r="M89" s="15">
        <v>1</v>
      </c>
    </row>
    <row r="90" spans="1:13" ht="45" x14ac:dyDescent="0.25">
      <c r="A90" s="15" t="s">
        <v>87</v>
      </c>
      <c r="B90" s="15">
        <v>76</v>
      </c>
      <c r="C90" s="15">
        <v>25</v>
      </c>
      <c r="D90" s="15">
        <v>13</v>
      </c>
      <c r="E90" s="15">
        <v>3</v>
      </c>
      <c r="F90" s="15">
        <v>61</v>
      </c>
      <c r="G90" s="15">
        <v>21</v>
      </c>
      <c r="H90" s="15">
        <v>12</v>
      </c>
      <c r="I90" s="15">
        <v>3</v>
      </c>
      <c r="J90" s="15">
        <v>15</v>
      </c>
      <c r="K90" s="15">
        <v>4</v>
      </c>
      <c r="L90" s="15">
        <v>1</v>
      </c>
      <c r="M90" s="15" t="s">
        <v>84</v>
      </c>
    </row>
    <row r="91" spans="1:13" ht="45" x14ac:dyDescent="0.25">
      <c r="A91" s="15" t="s">
        <v>153</v>
      </c>
      <c r="B91" s="15">
        <v>21</v>
      </c>
      <c r="C91" s="15">
        <v>9</v>
      </c>
      <c r="D91" s="15">
        <v>2</v>
      </c>
      <c r="E91" s="15" t="s">
        <v>84</v>
      </c>
      <c r="F91" s="15">
        <v>16</v>
      </c>
      <c r="G91" s="15">
        <v>7</v>
      </c>
      <c r="H91" s="15">
        <v>1</v>
      </c>
      <c r="I91" s="15" t="s">
        <v>84</v>
      </c>
      <c r="J91" s="15">
        <v>5</v>
      </c>
      <c r="K91" s="15">
        <v>2</v>
      </c>
      <c r="L91" s="15">
        <v>1</v>
      </c>
      <c r="M91" s="15" t="s">
        <v>84</v>
      </c>
    </row>
    <row r="92" spans="1:13" ht="60" x14ac:dyDescent="0.25">
      <c r="A92" s="15" t="s">
        <v>154</v>
      </c>
      <c r="B92" s="15">
        <v>12</v>
      </c>
      <c r="C92" s="15">
        <v>4</v>
      </c>
      <c r="D92" s="15" t="s">
        <v>84</v>
      </c>
      <c r="E92" s="15" t="s">
        <v>84</v>
      </c>
      <c r="F92" s="15">
        <v>12</v>
      </c>
      <c r="G92" s="15">
        <v>4</v>
      </c>
      <c r="H92" s="15" t="s">
        <v>84</v>
      </c>
      <c r="I92" s="15" t="s">
        <v>84</v>
      </c>
      <c r="J92" s="15" t="s">
        <v>84</v>
      </c>
      <c r="K92" s="15" t="s">
        <v>84</v>
      </c>
      <c r="L92" s="15" t="s">
        <v>84</v>
      </c>
      <c r="M92" s="15" t="s">
        <v>84</v>
      </c>
    </row>
    <row r="93" spans="1:13" ht="15" customHeight="1" x14ac:dyDescent="0.25">
      <c r="A93" s="207" t="s">
        <v>94</v>
      </c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9"/>
    </row>
    <row r="94" spans="1:13" x14ac:dyDescent="0.25">
      <c r="A94" s="207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9"/>
    </row>
    <row r="95" spans="1:13" x14ac:dyDescent="0.25">
      <c r="A95" s="15" t="s">
        <v>83</v>
      </c>
      <c r="B95" s="27">
        <v>753</v>
      </c>
      <c r="C95" s="15">
        <v>349</v>
      </c>
      <c r="D95" s="27">
        <v>44</v>
      </c>
      <c r="E95" s="15">
        <v>15</v>
      </c>
      <c r="F95" s="15">
        <v>753</v>
      </c>
      <c r="G95" s="15">
        <v>349</v>
      </c>
      <c r="H95" s="15">
        <v>44</v>
      </c>
      <c r="I95" s="15">
        <v>15</v>
      </c>
      <c r="J95" s="15" t="s">
        <v>84</v>
      </c>
      <c r="K95" s="15" t="s">
        <v>84</v>
      </c>
      <c r="L95" s="15" t="s">
        <v>84</v>
      </c>
      <c r="M95" s="15" t="s">
        <v>84</v>
      </c>
    </row>
    <row r="96" spans="1:13" ht="30" x14ac:dyDescent="0.25">
      <c r="A96" s="15" t="s">
        <v>151</v>
      </c>
      <c r="B96" s="15">
        <v>287</v>
      </c>
      <c r="C96" s="15">
        <v>152</v>
      </c>
      <c r="D96" s="15">
        <v>6</v>
      </c>
      <c r="E96" s="15">
        <v>3</v>
      </c>
      <c r="F96" s="15">
        <v>287</v>
      </c>
      <c r="G96" s="15">
        <v>152</v>
      </c>
      <c r="H96" s="15">
        <v>6</v>
      </c>
      <c r="I96" s="15">
        <v>3</v>
      </c>
      <c r="J96" s="15" t="s">
        <v>84</v>
      </c>
      <c r="K96" s="15" t="s">
        <v>84</v>
      </c>
      <c r="L96" s="15" t="s">
        <v>84</v>
      </c>
      <c r="M96" s="15" t="s">
        <v>84</v>
      </c>
    </row>
    <row r="97" spans="1:13" ht="60" x14ac:dyDescent="0.25">
      <c r="A97" s="15" t="s">
        <v>152</v>
      </c>
      <c r="B97" s="15">
        <v>24</v>
      </c>
      <c r="C97" s="15">
        <v>10</v>
      </c>
      <c r="D97" s="15">
        <v>1</v>
      </c>
      <c r="E97" s="15">
        <v>1</v>
      </c>
      <c r="F97" s="15">
        <v>24</v>
      </c>
      <c r="G97" s="15">
        <v>10</v>
      </c>
      <c r="H97" s="15">
        <v>1</v>
      </c>
      <c r="I97" s="15">
        <v>1</v>
      </c>
      <c r="J97" s="15" t="s">
        <v>84</v>
      </c>
      <c r="K97" s="15" t="s">
        <v>84</v>
      </c>
      <c r="L97" s="15" t="s">
        <v>84</v>
      </c>
      <c r="M97" s="15" t="s">
        <v>84</v>
      </c>
    </row>
    <row r="98" spans="1:13" ht="30" x14ac:dyDescent="0.25">
      <c r="A98" s="15" t="s">
        <v>85</v>
      </c>
      <c r="B98" s="15">
        <v>275</v>
      </c>
      <c r="C98" s="15">
        <v>129</v>
      </c>
      <c r="D98" s="15">
        <v>20</v>
      </c>
      <c r="E98" s="15">
        <v>7</v>
      </c>
      <c r="F98" s="15">
        <v>275</v>
      </c>
      <c r="G98" s="15">
        <v>129</v>
      </c>
      <c r="H98" s="15">
        <v>20</v>
      </c>
      <c r="I98" s="15">
        <v>7</v>
      </c>
      <c r="J98" s="15" t="s">
        <v>84</v>
      </c>
      <c r="K98" s="15" t="s">
        <v>84</v>
      </c>
      <c r="L98" s="15" t="s">
        <v>84</v>
      </c>
      <c r="M98" s="15" t="s">
        <v>84</v>
      </c>
    </row>
    <row r="99" spans="1:13" ht="30" x14ac:dyDescent="0.25">
      <c r="A99" s="15" t="s">
        <v>86</v>
      </c>
      <c r="B99" s="15">
        <v>106</v>
      </c>
      <c r="C99" s="15">
        <v>37</v>
      </c>
      <c r="D99" s="15">
        <v>8</v>
      </c>
      <c r="E99" s="15">
        <v>3</v>
      </c>
      <c r="F99" s="15">
        <v>106</v>
      </c>
      <c r="G99" s="15">
        <v>37</v>
      </c>
      <c r="H99" s="15">
        <v>8</v>
      </c>
      <c r="I99" s="15">
        <v>3</v>
      </c>
      <c r="J99" s="15" t="s">
        <v>84</v>
      </c>
      <c r="K99" s="15" t="s">
        <v>84</v>
      </c>
      <c r="L99" s="15" t="s">
        <v>84</v>
      </c>
      <c r="M99" s="15" t="s">
        <v>84</v>
      </c>
    </row>
    <row r="100" spans="1:13" ht="45" x14ac:dyDescent="0.25">
      <c r="A100" s="15" t="s">
        <v>87</v>
      </c>
      <c r="B100" s="15">
        <v>61</v>
      </c>
      <c r="C100" s="15">
        <v>21</v>
      </c>
      <c r="D100" s="15">
        <v>9</v>
      </c>
      <c r="E100" s="15">
        <v>1</v>
      </c>
      <c r="F100" s="15">
        <v>61</v>
      </c>
      <c r="G100" s="15">
        <v>21</v>
      </c>
      <c r="H100" s="15">
        <v>9</v>
      </c>
      <c r="I100" s="15">
        <v>1</v>
      </c>
      <c r="J100" s="15" t="s">
        <v>84</v>
      </c>
      <c r="K100" s="15" t="s">
        <v>84</v>
      </c>
      <c r="L100" s="15" t="s">
        <v>84</v>
      </c>
      <c r="M100" s="15" t="s">
        <v>84</v>
      </c>
    </row>
    <row r="101" spans="1:13" ht="45" x14ac:dyDescent="0.25">
      <c r="A101" s="15" t="s">
        <v>153</v>
      </c>
      <c r="B101" s="15">
        <v>12</v>
      </c>
      <c r="C101" s="15">
        <v>3</v>
      </c>
      <c r="D101" s="15" t="s">
        <v>84</v>
      </c>
      <c r="E101" s="15" t="s">
        <v>84</v>
      </c>
      <c r="F101" s="15">
        <v>12</v>
      </c>
      <c r="G101" s="15">
        <v>3</v>
      </c>
      <c r="H101" s="15" t="s">
        <v>84</v>
      </c>
      <c r="I101" s="15" t="s">
        <v>84</v>
      </c>
      <c r="J101" s="15" t="s">
        <v>84</v>
      </c>
      <c r="K101" s="15" t="s">
        <v>84</v>
      </c>
      <c r="L101" s="15" t="s">
        <v>84</v>
      </c>
      <c r="M101" s="15" t="s">
        <v>84</v>
      </c>
    </row>
    <row r="102" spans="1:13" ht="60" x14ac:dyDescent="0.25">
      <c r="A102" s="15" t="s">
        <v>154</v>
      </c>
      <c r="B102" s="15">
        <v>13</v>
      </c>
      <c r="C102" s="15">
        <v>6</v>
      </c>
      <c r="D102" s="15" t="s">
        <v>84</v>
      </c>
      <c r="E102" s="15" t="s">
        <v>84</v>
      </c>
      <c r="F102" s="15">
        <v>13</v>
      </c>
      <c r="G102" s="15">
        <v>6</v>
      </c>
      <c r="H102" s="15" t="s">
        <v>84</v>
      </c>
      <c r="I102" s="15" t="s">
        <v>84</v>
      </c>
      <c r="J102" s="15" t="s">
        <v>84</v>
      </c>
      <c r="K102" s="15" t="s">
        <v>84</v>
      </c>
      <c r="L102" s="15" t="s">
        <v>84</v>
      </c>
      <c r="M102" s="15" t="s">
        <v>84</v>
      </c>
    </row>
    <row r="103" spans="1:13" ht="15" customHeight="1" x14ac:dyDescent="0.25">
      <c r="A103" s="207" t="s">
        <v>95</v>
      </c>
      <c r="B103" s="208"/>
      <c r="C103" s="208"/>
      <c r="D103" s="208"/>
      <c r="E103" s="208"/>
      <c r="F103" s="208"/>
      <c r="G103" s="208"/>
      <c r="H103" s="208"/>
      <c r="I103" s="208"/>
      <c r="J103" s="208"/>
      <c r="K103" s="208"/>
      <c r="L103" s="208"/>
      <c r="M103" s="209"/>
    </row>
    <row r="104" spans="1:13" x14ac:dyDescent="0.25">
      <c r="A104" s="207"/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9"/>
    </row>
    <row r="105" spans="1:13" x14ac:dyDescent="0.25">
      <c r="A105" s="15" t="s">
        <v>83</v>
      </c>
      <c r="B105" s="27">
        <v>1407</v>
      </c>
      <c r="C105" s="15">
        <v>674</v>
      </c>
      <c r="D105" s="27">
        <v>85</v>
      </c>
      <c r="E105" s="15">
        <v>34</v>
      </c>
      <c r="F105" s="15">
        <v>1259</v>
      </c>
      <c r="G105" s="15">
        <v>597</v>
      </c>
      <c r="H105" s="15">
        <v>80</v>
      </c>
      <c r="I105" s="15">
        <v>31</v>
      </c>
      <c r="J105" s="15">
        <v>148</v>
      </c>
      <c r="K105" s="15">
        <v>77</v>
      </c>
      <c r="L105" s="15">
        <v>5</v>
      </c>
      <c r="M105" s="15">
        <v>3</v>
      </c>
    </row>
    <row r="106" spans="1:13" ht="30" x14ac:dyDescent="0.25">
      <c r="A106" s="15" t="s">
        <v>151</v>
      </c>
      <c r="B106" s="15">
        <v>505</v>
      </c>
      <c r="C106" s="15">
        <v>283</v>
      </c>
      <c r="D106" s="15">
        <v>6</v>
      </c>
      <c r="E106" s="15">
        <v>2</v>
      </c>
      <c r="F106" s="15">
        <v>402</v>
      </c>
      <c r="G106" s="15">
        <v>224</v>
      </c>
      <c r="H106" s="15">
        <v>5</v>
      </c>
      <c r="I106" s="15">
        <v>1</v>
      </c>
      <c r="J106" s="15">
        <v>103</v>
      </c>
      <c r="K106" s="15">
        <v>59</v>
      </c>
      <c r="L106" s="15">
        <v>1</v>
      </c>
      <c r="M106" s="15">
        <v>1</v>
      </c>
    </row>
    <row r="107" spans="1:13" ht="60" x14ac:dyDescent="0.25">
      <c r="A107" s="15" t="s">
        <v>152</v>
      </c>
      <c r="B107" s="15">
        <v>46</v>
      </c>
      <c r="C107" s="15">
        <v>27</v>
      </c>
      <c r="D107" s="15">
        <v>2</v>
      </c>
      <c r="E107" s="15">
        <v>1</v>
      </c>
      <c r="F107" s="15">
        <v>37</v>
      </c>
      <c r="G107" s="15">
        <v>20</v>
      </c>
      <c r="H107" s="15">
        <v>1</v>
      </c>
      <c r="I107" s="15" t="s">
        <v>84</v>
      </c>
      <c r="J107" s="15">
        <v>9</v>
      </c>
      <c r="K107" s="15">
        <v>7</v>
      </c>
      <c r="L107" s="15">
        <v>1</v>
      </c>
      <c r="M107" s="15">
        <v>1</v>
      </c>
    </row>
    <row r="108" spans="1:13" ht="30" x14ac:dyDescent="0.25">
      <c r="A108" s="15" t="s">
        <v>85</v>
      </c>
      <c r="B108" s="15">
        <v>617</v>
      </c>
      <c r="C108" s="15">
        <v>284</v>
      </c>
      <c r="D108" s="15">
        <v>35</v>
      </c>
      <c r="E108" s="15">
        <v>12</v>
      </c>
      <c r="F108" s="15">
        <v>596</v>
      </c>
      <c r="G108" s="15">
        <v>277</v>
      </c>
      <c r="H108" s="15">
        <v>34</v>
      </c>
      <c r="I108" s="15">
        <v>11</v>
      </c>
      <c r="J108" s="15">
        <v>21</v>
      </c>
      <c r="K108" s="15">
        <v>7</v>
      </c>
      <c r="L108" s="15">
        <v>1</v>
      </c>
      <c r="M108" s="15">
        <v>1</v>
      </c>
    </row>
    <row r="109" spans="1:13" ht="30" x14ac:dyDescent="0.25">
      <c r="A109" s="15" t="s">
        <v>86</v>
      </c>
      <c r="B109" s="15">
        <v>180</v>
      </c>
      <c r="C109" s="15">
        <v>58</v>
      </c>
      <c r="D109" s="15">
        <v>26</v>
      </c>
      <c r="E109" s="15">
        <v>11</v>
      </c>
      <c r="F109" s="15">
        <v>171</v>
      </c>
      <c r="G109" s="15">
        <v>55</v>
      </c>
      <c r="H109" s="15">
        <v>25</v>
      </c>
      <c r="I109" s="15">
        <v>11</v>
      </c>
      <c r="J109" s="15">
        <v>9</v>
      </c>
      <c r="K109" s="15">
        <v>3</v>
      </c>
      <c r="L109" s="15">
        <v>1</v>
      </c>
      <c r="M109" s="15" t="s">
        <v>84</v>
      </c>
    </row>
    <row r="110" spans="1:13" ht="45" x14ac:dyDescent="0.25">
      <c r="A110" s="15" t="s">
        <v>87</v>
      </c>
      <c r="B110" s="15">
        <v>59</v>
      </c>
      <c r="C110" s="15">
        <v>22</v>
      </c>
      <c r="D110" s="15">
        <v>16</v>
      </c>
      <c r="E110" s="15">
        <v>8</v>
      </c>
      <c r="F110" s="15">
        <v>53</v>
      </c>
      <c r="G110" s="15">
        <v>21</v>
      </c>
      <c r="H110" s="15">
        <v>15</v>
      </c>
      <c r="I110" s="15">
        <v>8</v>
      </c>
      <c r="J110" s="15">
        <v>6</v>
      </c>
      <c r="K110" s="15">
        <v>1</v>
      </c>
      <c r="L110" s="15">
        <v>1</v>
      </c>
      <c r="M110" s="15" t="s">
        <v>84</v>
      </c>
    </row>
    <row r="111" spans="1:13" ht="45" x14ac:dyDescent="0.25">
      <c r="A111" s="15" t="s">
        <v>153</v>
      </c>
      <c r="B111" s="15">
        <v>24</v>
      </c>
      <c r="C111" s="15">
        <v>11</v>
      </c>
      <c r="D111" s="15">
        <v>8</v>
      </c>
      <c r="E111" s="15">
        <v>5</v>
      </c>
      <c r="F111" s="15">
        <v>24</v>
      </c>
      <c r="G111" s="15">
        <v>11</v>
      </c>
      <c r="H111" s="15">
        <v>8</v>
      </c>
      <c r="I111" s="15">
        <v>5</v>
      </c>
      <c r="J111" s="15" t="s">
        <v>84</v>
      </c>
      <c r="K111" s="15" t="s">
        <v>84</v>
      </c>
      <c r="L111" s="15" t="s">
        <v>84</v>
      </c>
      <c r="M111" s="15" t="s">
        <v>84</v>
      </c>
    </row>
    <row r="112" spans="1:13" ht="60" x14ac:dyDescent="0.25">
      <c r="A112" s="15" t="s">
        <v>154</v>
      </c>
      <c r="B112" s="15">
        <v>6</v>
      </c>
      <c r="C112" s="15">
        <v>1</v>
      </c>
      <c r="D112" s="15">
        <v>2</v>
      </c>
      <c r="E112" s="15" t="s">
        <v>84</v>
      </c>
      <c r="F112" s="15">
        <v>6</v>
      </c>
      <c r="G112" s="15">
        <v>1</v>
      </c>
      <c r="H112" s="15">
        <v>2</v>
      </c>
      <c r="I112" s="15" t="s">
        <v>84</v>
      </c>
      <c r="J112" s="15" t="s">
        <v>84</v>
      </c>
      <c r="K112" s="15" t="s">
        <v>84</v>
      </c>
      <c r="L112" s="15" t="s">
        <v>84</v>
      </c>
      <c r="M112" s="15" t="s">
        <v>84</v>
      </c>
    </row>
    <row r="113" spans="1:13" ht="15" customHeight="1" x14ac:dyDescent="0.25">
      <c r="A113" s="207" t="s">
        <v>96</v>
      </c>
      <c r="B113" s="208"/>
      <c r="C113" s="208"/>
      <c r="D113" s="208"/>
      <c r="E113" s="208"/>
      <c r="F113" s="208"/>
      <c r="G113" s="208"/>
      <c r="H113" s="208"/>
      <c r="I113" s="208"/>
      <c r="J113" s="208"/>
      <c r="K113" s="208"/>
      <c r="L113" s="208"/>
      <c r="M113" s="209"/>
    </row>
    <row r="114" spans="1:13" x14ac:dyDescent="0.25">
      <c r="A114" s="207"/>
      <c r="B114" s="208"/>
      <c r="C114" s="208"/>
      <c r="D114" s="208"/>
      <c r="E114" s="208"/>
      <c r="F114" s="208"/>
      <c r="G114" s="208"/>
      <c r="H114" s="208"/>
      <c r="I114" s="208"/>
      <c r="J114" s="208"/>
      <c r="K114" s="208"/>
      <c r="L114" s="208"/>
      <c r="M114" s="209"/>
    </row>
    <row r="115" spans="1:13" x14ac:dyDescent="0.25">
      <c r="A115" s="15" t="s">
        <v>83</v>
      </c>
      <c r="B115" s="27">
        <v>1443</v>
      </c>
      <c r="C115" s="15">
        <v>685</v>
      </c>
      <c r="D115" s="27">
        <v>132</v>
      </c>
      <c r="E115" s="15">
        <v>63</v>
      </c>
      <c r="F115" s="15">
        <v>1443</v>
      </c>
      <c r="G115" s="15">
        <v>685</v>
      </c>
      <c r="H115" s="15">
        <v>132</v>
      </c>
      <c r="I115" s="15">
        <v>63</v>
      </c>
      <c r="J115" s="15" t="s">
        <v>84</v>
      </c>
      <c r="K115" s="15" t="s">
        <v>84</v>
      </c>
      <c r="L115" s="15" t="s">
        <v>84</v>
      </c>
      <c r="M115" s="15" t="s">
        <v>84</v>
      </c>
    </row>
    <row r="116" spans="1:13" ht="30" x14ac:dyDescent="0.25">
      <c r="A116" s="15" t="s">
        <v>151</v>
      </c>
      <c r="B116" s="15">
        <v>518</v>
      </c>
      <c r="C116" s="15">
        <v>287</v>
      </c>
      <c r="D116" s="15">
        <v>24</v>
      </c>
      <c r="E116" s="15">
        <v>16</v>
      </c>
      <c r="F116" s="15">
        <v>518</v>
      </c>
      <c r="G116" s="15">
        <v>287</v>
      </c>
      <c r="H116" s="15">
        <v>24</v>
      </c>
      <c r="I116" s="15">
        <v>16</v>
      </c>
      <c r="J116" s="15" t="s">
        <v>84</v>
      </c>
      <c r="K116" s="15" t="s">
        <v>84</v>
      </c>
      <c r="L116" s="15" t="s">
        <v>84</v>
      </c>
      <c r="M116" s="15" t="s">
        <v>84</v>
      </c>
    </row>
    <row r="117" spans="1:13" ht="60" x14ac:dyDescent="0.25">
      <c r="A117" s="15" t="s">
        <v>152</v>
      </c>
      <c r="B117" s="15">
        <v>39</v>
      </c>
      <c r="C117" s="15">
        <v>17</v>
      </c>
      <c r="D117" s="15">
        <v>3</v>
      </c>
      <c r="E117" s="15">
        <v>2</v>
      </c>
      <c r="F117" s="15">
        <v>39</v>
      </c>
      <c r="G117" s="15">
        <v>17</v>
      </c>
      <c r="H117" s="15">
        <v>3</v>
      </c>
      <c r="I117" s="15">
        <v>2</v>
      </c>
      <c r="J117" s="15" t="s">
        <v>84</v>
      </c>
      <c r="K117" s="15" t="s">
        <v>84</v>
      </c>
      <c r="L117" s="15" t="s">
        <v>84</v>
      </c>
      <c r="M117" s="15" t="s">
        <v>84</v>
      </c>
    </row>
    <row r="118" spans="1:13" ht="30" x14ac:dyDescent="0.25">
      <c r="A118" s="15" t="s">
        <v>85</v>
      </c>
      <c r="B118" s="15">
        <v>631</v>
      </c>
      <c r="C118" s="15">
        <v>276</v>
      </c>
      <c r="D118" s="15">
        <v>48</v>
      </c>
      <c r="E118" s="15">
        <v>20</v>
      </c>
      <c r="F118" s="15">
        <v>631</v>
      </c>
      <c r="G118" s="15">
        <v>276</v>
      </c>
      <c r="H118" s="15">
        <v>48</v>
      </c>
      <c r="I118" s="15">
        <v>20</v>
      </c>
      <c r="J118" s="15" t="s">
        <v>84</v>
      </c>
      <c r="K118" s="15" t="s">
        <v>84</v>
      </c>
      <c r="L118" s="15" t="s">
        <v>84</v>
      </c>
      <c r="M118" s="15" t="s">
        <v>84</v>
      </c>
    </row>
    <row r="119" spans="1:13" ht="30" x14ac:dyDescent="0.25">
      <c r="A119" s="15" t="s">
        <v>86</v>
      </c>
      <c r="B119" s="15">
        <v>178</v>
      </c>
      <c r="C119" s="15">
        <v>78</v>
      </c>
      <c r="D119" s="15">
        <v>32</v>
      </c>
      <c r="E119" s="15">
        <v>13</v>
      </c>
      <c r="F119" s="15">
        <v>178</v>
      </c>
      <c r="G119" s="15">
        <v>78</v>
      </c>
      <c r="H119" s="15">
        <v>32</v>
      </c>
      <c r="I119" s="15">
        <v>13</v>
      </c>
      <c r="J119" s="15" t="s">
        <v>84</v>
      </c>
      <c r="K119" s="15" t="s">
        <v>84</v>
      </c>
      <c r="L119" s="15" t="s">
        <v>84</v>
      </c>
      <c r="M119" s="15" t="s">
        <v>84</v>
      </c>
    </row>
    <row r="120" spans="1:13" ht="45" x14ac:dyDescent="0.25">
      <c r="A120" s="15" t="s">
        <v>87</v>
      </c>
      <c r="B120" s="15">
        <v>77</v>
      </c>
      <c r="C120" s="15">
        <v>27</v>
      </c>
      <c r="D120" s="15">
        <v>25</v>
      </c>
      <c r="E120" s="15">
        <v>12</v>
      </c>
      <c r="F120" s="15">
        <v>77</v>
      </c>
      <c r="G120" s="15">
        <v>27</v>
      </c>
      <c r="H120" s="15">
        <v>25</v>
      </c>
      <c r="I120" s="15">
        <v>12</v>
      </c>
      <c r="J120" s="15" t="s">
        <v>84</v>
      </c>
      <c r="K120" s="15" t="s">
        <v>84</v>
      </c>
      <c r="L120" s="15" t="s">
        <v>84</v>
      </c>
      <c r="M120" s="15" t="s">
        <v>84</v>
      </c>
    </row>
    <row r="121" spans="1:13" ht="45" x14ac:dyDescent="0.25">
      <c r="A121" s="15" t="s">
        <v>153</v>
      </c>
      <c r="B121" s="15">
        <v>15</v>
      </c>
      <c r="C121" s="15">
        <v>3</v>
      </c>
      <c r="D121" s="15" t="s">
        <v>84</v>
      </c>
      <c r="E121" s="15" t="s">
        <v>84</v>
      </c>
      <c r="F121" s="15">
        <v>15</v>
      </c>
      <c r="G121" s="15">
        <v>3</v>
      </c>
      <c r="H121" s="15" t="s">
        <v>84</v>
      </c>
      <c r="I121" s="15" t="s">
        <v>84</v>
      </c>
      <c r="J121" s="15" t="s">
        <v>84</v>
      </c>
      <c r="K121" s="15" t="s">
        <v>84</v>
      </c>
      <c r="L121" s="15" t="s">
        <v>84</v>
      </c>
      <c r="M121" s="15" t="s">
        <v>84</v>
      </c>
    </row>
    <row r="122" spans="1:13" ht="60" x14ac:dyDescent="0.25">
      <c r="A122" s="15" t="s">
        <v>154</v>
      </c>
      <c r="B122" s="15">
        <v>21</v>
      </c>
      <c r="C122" s="15">
        <v>7</v>
      </c>
      <c r="D122" s="15">
        <v>1</v>
      </c>
      <c r="E122" s="15" t="s">
        <v>84</v>
      </c>
      <c r="F122" s="15">
        <v>21</v>
      </c>
      <c r="G122" s="15">
        <v>7</v>
      </c>
      <c r="H122" s="15">
        <v>1</v>
      </c>
      <c r="I122" s="15" t="s">
        <v>84</v>
      </c>
      <c r="J122" s="15" t="s">
        <v>84</v>
      </c>
      <c r="K122" s="15" t="s">
        <v>84</v>
      </c>
      <c r="L122" s="15" t="s">
        <v>84</v>
      </c>
      <c r="M122" s="15" t="s">
        <v>84</v>
      </c>
    </row>
    <row r="123" spans="1:13" ht="15" customHeight="1" x14ac:dyDescent="0.25">
      <c r="A123" s="207" t="s">
        <v>97</v>
      </c>
      <c r="B123" s="208"/>
      <c r="C123" s="208"/>
      <c r="D123" s="208"/>
      <c r="E123" s="208"/>
      <c r="F123" s="208"/>
      <c r="G123" s="208"/>
      <c r="H123" s="208"/>
      <c r="I123" s="208"/>
      <c r="J123" s="208"/>
      <c r="K123" s="208"/>
      <c r="L123" s="208"/>
      <c r="M123" s="209"/>
    </row>
    <row r="124" spans="1:13" x14ac:dyDescent="0.25">
      <c r="A124" s="207"/>
      <c r="B124" s="208"/>
      <c r="C124" s="208"/>
      <c r="D124" s="208"/>
      <c r="E124" s="208"/>
      <c r="F124" s="208"/>
      <c r="G124" s="208"/>
      <c r="H124" s="208"/>
      <c r="I124" s="208"/>
      <c r="J124" s="208"/>
      <c r="K124" s="208"/>
      <c r="L124" s="208"/>
      <c r="M124" s="209"/>
    </row>
    <row r="125" spans="1:13" x14ac:dyDescent="0.25">
      <c r="A125" s="15" t="s">
        <v>83</v>
      </c>
      <c r="B125" s="27">
        <v>911</v>
      </c>
      <c r="C125" s="15">
        <v>403</v>
      </c>
      <c r="D125" s="27">
        <v>44</v>
      </c>
      <c r="E125" s="15">
        <v>13</v>
      </c>
      <c r="F125" s="15">
        <v>899</v>
      </c>
      <c r="G125" s="15">
        <v>398</v>
      </c>
      <c r="H125" s="15">
        <v>44</v>
      </c>
      <c r="I125" s="15">
        <v>13</v>
      </c>
      <c r="J125" s="15">
        <v>12</v>
      </c>
      <c r="K125" s="15">
        <v>5</v>
      </c>
      <c r="L125" s="15" t="s">
        <v>84</v>
      </c>
      <c r="M125" s="15" t="s">
        <v>84</v>
      </c>
    </row>
    <row r="126" spans="1:13" ht="30" x14ac:dyDescent="0.25">
      <c r="A126" s="15" t="s">
        <v>151</v>
      </c>
      <c r="B126" s="15">
        <v>267</v>
      </c>
      <c r="C126" s="15">
        <v>141</v>
      </c>
      <c r="D126" s="15">
        <v>3</v>
      </c>
      <c r="E126" s="15" t="s">
        <v>84</v>
      </c>
      <c r="F126" s="15">
        <v>267</v>
      </c>
      <c r="G126" s="15">
        <v>141</v>
      </c>
      <c r="H126" s="15">
        <v>3</v>
      </c>
      <c r="I126" s="15" t="s">
        <v>84</v>
      </c>
      <c r="J126" s="15" t="s">
        <v>84</v>
      </c>
      <c r="K126" s="15" t="s">
        <v>84</v>
      </c>
      <c r="L126" s="15" t="s">
        <v>84</v>
      </c>
      <c r="M126" s="15" t="s">
        <v>84</v>
      </c>
    </row>
    <row r="127" spans="1:13" ht="60" x14ac:dyDescent="0.25">
      <c r="A127" s="15" t="s">
        <v>152</v>
      </c>
      <c r="B127" s="15">
        <v>25</v>
      </c>
      <c r="C127" s="15">
        <v>15</v>
      </c>
      <c r="D127" s="15" t="s">
        <v>84</v>
      </c>
      <c r="E127" s="15" t="s">
        <v>84</v>
      </c>
      <c r="F127" s="15">
        <v>25</v>
      </c>
      <c r="G127" s="15">
        <v>15</v>
      </c>
      <c r="H127" s="15" t="s">
        <v>84</v>
      </c>
      <c r="I127" s="15" t="s">
        <v>84</v>
      </c>
      <c r="J127" s="15" t="s">
        <v>84</v>
      </c>
      <c r="K127" s="15" t="s">
        <v>84</v>
      </c>
      <c r="L127" s="15" t="s">
        <v>84</v>
      </c>
      <c r="M127" s="15" t="s">
        <v>84</v>
      </c>
    </row>
    <row r="128" spans="1:13" ht="30" x14ac:dyDescent="0.25">
      <c r="A128" s="15" t="s">
        <v>85</v>
      </c>
      <c r="B128" s="15">
        <v>443</v>
      </c>
      <c r="C128" s="15">
        <v>186</v>
      </c>
      <c r="D128" s="15">
        <v>11</v>
      </c>
      <c r="E128" s="15">
        <v>4</v>
      </c>
      <c r="F128" s="15">
        <v>437</v>
      </c>
      <c r="G128" s="15">
        <v>184</v>
      </c>
      <c r="H128" s="15">
        <v>11</v>
      </c>
      <c r="I128" s="15">
        <v>4</v>
      </c>
      <c r="J128" s="15">
        <v>6</v>
      </c>
      <c r="K128" s="15">
        <v>2</v>
      </c>
      <c r="L128" s="15" t="s">
        <v>84</v>
      </c>
      <c r="M128" s="15" t="s">
        <v>84</v>
      </c>
    </row>
    <row r="129" spans="1:13" ht="30" x14ac:dyDescent="0.25">
      <c r="A129" s="15" t="s">
        <v>86</v>
      </c>
      <c r="B129" s="15">
        <v>115</v>
      </c>
      <c r="C129" s="15">
        <v>37</v>
      </c>
      <c r="D129" s="15">
        <v>11</v>
      </c>
      <c r="E129" s="15">
        <v>1</v>
      </c>
      <c r="F129" s="15">
        <v>111</v>
      </c>
      <c r="G129" s="15">
        <v>34</v>
      </c>
      <c r="H129" s="15">
        <v>11</v>
      </c>
      <c r="I129" s="15">
        <v>1</v>
      </c>
      <c r="J129" s="15">
        <v>4</v>
      </c>
      <c r="K129" s="15">
        <v>3</v>
      </c>
      <c r="L129" s="15" t="s">
        <v>84</v>
      </c>
      <c r="M129" s="15" t="s">
        <v>84</v>
      </c>
    </row>
    <row r="130" spans="1:13" ht="45" x14ac:dyDescent="0.25">
      <c r="A130" s="15" t="s">
        <v>87</v>
      </c>
      <c r="B130" s="15">
        <v>61</v>
      </c>
      <c r="C130" s="15">
        <v>24</v>
      </c>
      <c r="D130" s="15">
        <v>19</v>
      </c>
      <c r="E130" s="15">
        <v>8</v>
      </c>
      <c r="F130" s="15">
        <v>59</v>
      </c>
      <c r="G130" s="15">
        <v>24</v>
      </c>
      <c r="H130" s="15">
        <v>19</v>
      </c>
      <c r="I130" s="15">
        <v>8</v>
      </c>
      <c r="J130" s="15">
        <v>2</v>
      </c>
      <c r="K130" s="15" t="s">
        <v>84</v>
      </c>
      <c r="L130" s="15" t="s">
        <v>84</v>
      </c>
      <c r="M130" s="15" t="s">
        <v>84</v>
      </c>
    </row>
    <row r="131" spans="1:13" ht="45" x14ac:dyDescent="0.25">
      <c r="A131" s="15" t="s">
        <v>153</v>
      </c>
      <c r="B131" s="15">
        <v>10</v>
      </c>
      <c r="C131" s="15">
        <v>4</v>
      </c>
      <c r="D131" s="15" t="s">
        <v>84</v>
      </c>
      <c r="E131" s="15" t="s">
        <v>84</v>
      </c>
      <c r="F131" s="15">
        <v>9</v>
      </c>
      <c r="G131" s="15">
        <v>4</v>
      </c>
      <c r="H131" s="15" t="s">
        <v>84</v>
      </c>
      <c r="I131" s="15" t="s">
        <v>84</v>
      </c>
      <c r="J131" s="15">
        <v>1</v>
      </c>
      <c r="K131" s="15" t="s">
        <v>84</v>
      </c>
      <c r="L131" s="15" t="s">
        <v>84</v>
      </c>
      <c r="M131" s="15" t="s">
        <v>84</v>
      </c>
    </row>
    <row r="132" spans="1:13" ht="60" x14ac:dyDescent="0.25">
      <c r="A132" s="15" t="s">
        <v>154</v>
      </c>
      <c r="B132" s="15">
        <v>20</v>
      </c>
      <c r="C132" s="15">
        <v>10</v>
      </c>
      <c r="D132" s="15">
        <v>3</v>
      </c>
      <c r="E132" s="15">
        <v>3</v>
      </c>
      <c r="F132" s="15">
        <v>20</v>
      </c>
      <c r="G132" s="15">
        <v>10</v>
      </c>
      <c r="H132" s="15">
        <v>3</v>
      </c>
      <c r="I132" s="15">
        <v>3</v>
      </c>
      <c r="J132" s="15" t="s">
        <v>84</v>
      </c>
      <c r="K132" s="15" t="s">
        <v>84</v>
      </c>
      <c r="L132" s="15" t="s">
        <v>84</v>
      </c>
      <c r="M132" s="15" t="s">
        <v>84</v>
      </c>
    </row>
    <row r="133" spans="1:13" ht="15" customHeight="1" x14ac:dyDescent="0.25">
      <c r="A133" s="207" t="s">
        <v>98</v>
      </c>
      <c r="B133" s="208"/>
      <c r="C133" s="208"/>
      <c r="D133" s="208"/>
      <c r="E133" s="208"/>
      <c r="F133" s="208"/>
      <c r="G133" s="208"/>
      <c r="H133" s="208"/>
      <c r="I133" s="208"/>
      <c r="J133" s="208"/>
      <c r="K133" s="208"/>
      <c r="L133" s="208"/>
      <c r="M133" s="209"/>
    </row>
    <row r="134" spans="1:13" x14ac:dyDescent="0.25">
      <c r="A134" s="207"/>
      <c r="B134" s="208"/>
      <c r="C134" s="208"/>
      <c r="D134" s="208"/>
      <c r="E134" s="208"/>
      <c r="F134" s="208"/>
      <c r="G134" s="208"/>
      <c r="H134" s="208"/>
      <c r="I134" s="208"/>
      <c r="J134" s="208"/>
      <c r="K134" s="208"/>
      <c r="L134" s="208"/>
      <c r="M134" s="209"/>
    </row>
    <row r="135" spans="1:13" x14ac:dyDescent="0.25">
      <c r="A135" s="15" t="s">
        <v>83</v>
      </c>
      <c r="B135" s="27">
        <v>2887</v>
      </c>
      <c r="C135" s="15">
        <v>1351</v>
      </c>
      <c r="D135" s="27">
        <v>211</v>
      </c>
      <c r="E135" s="15">
        <v>90</v>
      </c>
      <c r="F135" s="15">
        <v>2669</v>
      </c>
      <c r="G135" s="15">
        <v>1272</v>
      </c>
      <c r="H135" s="15">
        <v>190</v>
      </c>
      <c r="I135" s="15">
        <v>82</v>
      </c>
      <c r="J135" s="15">
        <v>218</v>
      </c>
      <c r="K135" s="15">
        <v>79</v>
      </c>
      <c r="L135" s="15">
        <v>21</v>
      </c>
      <c r="M135" s="15">
        <v>8</v>
      </c>
    </row>
    <row r="136" spans="1:13" ht="30" x14ac:dyDescent="0.25">
      <c r="A136" s="15" t="s">
        <v>151</v>
      </c>
      <c r="B136" s="15">
        <v>1261</v>
      </c>
      <c r="C136" s="15">
        <v>699</v>
      </c>
      <c r="D136" s="15">
        <v>38</v>
      </c>
      <c r="E136" s="15">
        <v>22</v>
      </c>
      <c r="F136" s="15">
        <v>1202</v>
      </c>
      <c r="G136" s="15">
        <v>672</v>
      </c>
      <c r="H136" s="15">
        <v>30</v>
      </c>
      <c r="I136" s="15">
        <v>17</v>
      </c>
      <c r="J136" s="15">
        <v>59</v>
      </c>
      <c r="K136" s="15">
        <v>27</v>
      </c>
      <c r="L136" s="15">
        <v>8</v>
      </c>
      <c r="M136" s="15">
        <v>5</v>
      </c>
    </row>
    <row r="137" spans="1:13" ht="60" x14ac:dyDescent="0.25">
      <c r="A137" s="15" t="s">
        <v>152</v>
      </c>
      <c r="B137" s="15">
        <v>81</v>
      </c>
      <c r="C137" s="15">
        <v>31</v>
      </c>
      <c r="D137" s="15">
        <v>6</v>
      </c>
      <c r="E137" s="15">
        <v>3</v>
      </c>
      <c r="F137" s="15">
        <v>72</v>
      </c>
      <c r="G137" s="15">
        <v>27</v>
      </c>
      <c r="H137" s="15">
        <v>4</v>
      </c>
      <c r="I137" s="15">
        <v>2</v>
      </c>
      <c r="J137" s="15">
        <v>9</v>
      </c>
      <c r="K137" s="15">
        <v>4</v>
      </c>
      <c r="L137" s="15">
        <v>2</v>
      </c>
      <c r="M137" s="15">
        <v>1</v>
      </c>
    </row>
    <row r="138" spans="1:13" ht="30" x14ac:dyDescent="0.25">
      <c r="A138" s="15" t="s">
        <v>85</v>
      </c>
      <c r="B138" s="15">
        <v>1024</v>
      </c>
      <c r="C138" s="15">
        <v>433</v>
      </c>
      <c r="D138" s="15">
        <v>59</v>
      </c>
      <c r="E138" s="15">
        <v>25</v>
      </c>
      <c r="F138" s="15">
        <v>930</v>
      </c>
      <c r="G138" s="15">
        <v>394</v>
      </c>
      <c r="H138" s="15">
        <v>55</v>
      </c>
      <c r="I138" s="15">
        <v>23</v>
      </c>
      <c r="J138" s="15">
        <v>94</v>
      </c>
      <c r="K138" s="15">
        <v>39</v>
      </c>
      <c r="L138" s="15">
        <v>4</v>
      </c>
      <c r="M138" s="15">
        <v>2</v>
      </c>
    </row>
    <row r="139" spans="1:13" ht="30" x14ac:dyDescent="0.25">
      <c r="A139" s="15" t="s">
        <v>86</v>
      </c>
      <c r="B139" s="15">
        <v>341</v>
      </c>
      <c r="C139" s="15">
        <v>123</v>
      </c>
      <c r="D139" s="15">
        <v>46</v>
      </c>
      <c r="E139" s="15">
        <v>20</v>
      </c>
      <c r="F139" s="15">
        <v>295</v>
      </c>
      <c r="G139" s="15">
        <v>116</v>
      </c>
      <c r="H139" s="15">
        <v>40</v>
      </c>
      <c r="I139" s="15">
        <v>20</v>
      </c>
      <c r="J139" s="15">
        <v>46</v>
      </c>
      <c r="K139" s="15">
        <v>7</v>
      </c>
      <c r="L139" s="15">
        <v>6</v>
      </c>
      <c r="M139" s="15" t="s">
        <v>84</v>
      </c>
    </row>
    <row r="140" spans="1:13" ht="45" x14ac:dyDescent="0.25">
      <c r="A140" s="15" t="s">
        <v>87</v>
      </c>
      <c r="B140" s="15">
        <v>180</v>
      </c>
      <c r="C140" s="15">
        <v>65</v>
      </c>
      <c r="D140" s="15">
        <v>62</v>
      </c>
      <c r="E140" s="15">
        <v>20</v>
      </c>
      <c r="F140" s="15">
        <v>170</v>
      </c>
      <c r="G140" s="15">
        <v>63</v>
      </c>
      <c r="H140" s="15">
        <v>61</v>
      </c>
      <c r="I140" s="15">
        <v>20</v>
      </c>
      <c r="J140" s="15">
        <v>10</v>
      </c>
      <c r="K140" s="15">
        <v>2</v>
      </c>
      <c r="L140" s="15">
        <v>1</v>
      </c>
      <c r="M140" s="15" t="s">
        <v>84</v>
      </c>
    </row>
    <row r="141" spans="1:13" ht="45" x14ac:dyDescent="0.25">
      <c r="A141" s="15" t="s">
        <v>153</v>
      </c>
      <c r="B141" s="15">
        <v>33</v>
      </c>
      <c r="C141" s="15">
        <v>17</v>
      </c>
      <c r="D141" s="15">
        <v>4</v>
      </c>
      <c r="E141" s="15">
        <v>2</v>
      </c>
      <c r="F141" s="15">
        <v>30</v>
      </c>
      <c r="G141" s="15">
        <v>16</v>
      </c>
      <c r="H141" s="15">
        <v>4</v>
      </c>
      <c r="I141" s="15">
        <v>2</v>
      </c>
      <c r="J141" s="15">
        <v>3</v>
      </c>
      <c r="K141" s="15">
        <v>1</v>
      </c>
      <c r="L141" s="15" t="s">
        <v>84</v>
      </c>
      <c r="M141" s="15" t="s">
        <v>84</v>
      </c>
    </row>
    <row r="142" spans="1:13" ht="60" x14ac:dyDescent="0.25">
      <c r="A142" s="15" t="s">
        <v>154</v>
      </c>
      <c r="B142" s="15">
        <v>38</v>
      </c>
      <c r="C142" s="15">
        <v>18</v>
      </c>
      <c r="D142" s="15">
        <v>8</v>
      </c>
      <c r="E142" s="15">
        <v>3</v>
      </c>
      <c r="F142" s="15">
        <v>37</v>
      </c>
      <c r="G142" s="15">
        <v>18</v>
      </c>
      <c r="H142" s="15">
        <v>8</v>
      </c>
      <c r="I142" s="15">
        <v>3</v>
      </c>
      <c r="J142" s="15">
        <v>1</v>
      </c>
      <c r="K142" s="15" t="s">
        <v>84</v>
      </c>
      <c r="L142" s="15" t="s">
        <v>84</v>
      </c>
      <c r="M142" s="15" t="s">
        <v>84</v>
      </c>
    </row>
    <row r="143" spans="1:13" ht="15" customHeight="1" x14ac:dyDescent="0.25">
      <c r="A143" s="207" t="s">
        <v>99</v>
      </c>
      <c r="B143" s="208"/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M143" s="209"/>
    </row>
    <row r="144" spans="1:13" x14ac:dyDescent="0.25">
      <c r="A144" s="207"/>
      <c r="B144" s="208"/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M144" s="209"/>
    </row>
    <row r="145" spans="1:13" x14ac:dyDescent="0.25">
      <c r="A145" s="15" t="s">
        <v>83</v>
      </c>
      <c r="B145" s="27">
        <v>21295</v>
      </c>
      <c r="C145" s="15">
        <v>10146</v>
      </c>
      <c r="D145" s="27">
        <v>2223</v>
      </c>
      <c r="E145" s="15">
        <v>955</v>
      </c>
      <c r="F145" s="15">
        <v>19642</v>
      </c>
      <c r="G145" s="15">
        <v>9333</v>
      </c>
      <c r="H145" s="15">
        <v>2118</v>
      </c>
      <c r="I145" s="15">
        <v>910</v>
      </c>
      <c r="J145" s="15">
        <v>1653</v>
      </c>
      <c r="K145" s="15">
        <v>813</v>
      </c>
      <c r="L145" s="15">
        <v>105</v>
      </c>
      <c r="M145" s="15">
        <v>45</v>
      </c>
    </row>
    <row r="146" spans="1:13" ht="30" x14ac:dyDescent="0.25">
      <c r="A146" s="15" t="s">
        <v>151</v>
      </c>
      <c r="B146" s="15">
        <v>7739</v>
      </c>
      <c r="C146" s="15">
        <v>4260</v>
      </c>
      <c r="D146" s="15">
        <v>296</v>
      </c>
      <c r="E146" s="15">
        <v>165</v>
      </c>
      <c r="F146" s="15">
        <v>6996</v>
      </c>
      <c r="G146" s="15">
        <v>3812</v>
      </c>
      <c r="H146" s="15">
        <v>278</v>
      </c>
      <c r="I146" s="15">
        <v>152</v>
      </c>
      <c r="J146" s="15">
        <v>743</v>
      </c>
      <c r="K146" s="15">
        <v>448</v>
      </c>
      <c r="L146" s="15">
        <v>18</v>
      </c>
      <c r="M146" s="15">
        <v>13</v>
      </c>
    </row>
    <row r="147" spans="1:13" ht="60" x14ac:dyDescent="0.25">
      <c r="A147" s="15" t="s">
        <v>152</v>
      </c>
      <c r="B147" s="15">
        <v>763</v>
      </c>
      <c r="C147" s="15">
        <v>364</v>
      </c>
      <c r="D147" s="15">
        <v>62</v>
      </c>
      <c r="E147" s="15">
        <v>28</v>
      </c>
      <c r="F147" s="15">
        <v>705</v>
      </c>
      <c r="G147" s="15">
        <v>339</v>
      </c>
      <c r="H147" s="15">
        <v>60</v>
      </c>
      <c r="I147" s="15">
        <v>27</v>
      </c>
      <c r="J147" s="15">
        <v>58</v>
      </c>
      <c r="K147" s="15">
        <v>25</v>
      </c>
      <c r="L147" s="15">
        <v>2</v>
      </c>
      <c r="M147" s="15">
        <v>1</v>
      </c>
    </row>
    <row r="148" spans="1:13" ht="30" x14ac:dyDescent="0.25">
      <c r="A148" s="15" t="s">
        <v>85</v>
      </c>
      <c r="B148" s="15">
        <v>8694</v>
      </c>
      <c r="C148" s="15">
        <v>3991</v>
      </c>
      <c r="D148" s="15">
        <v>833</v>
      </c>
      <c r="E148" s="15">
        <v>386</v>
      </c>
      <c r="F148" s="15">
        <v>8084</v>
      </c>
      <c r="G148" s="15">
        <v>3709</v>
      </c>
      <c r="H148" s="15">
        <v>781</v>
      </c>
      <c r="I148" s="15">
        <v>362</v>
      </c>
      <c r="J148" s="15">
        <v>610</v>
      </c>
      <c r="K148" s="15">
        <v>282</v>
      </c>
      <c r="L148" s="15">
        <v>52</v>
      </c>
      <c r="M148" s="15">
        <v>24</v>
      </c>
    </row>
    <row r="149" spans="1:13" ht="30" x14ac:dyDescent="0.25">
      <c r="A149" s="15" t="s">
        <v>86</v>
      </c>
      <c r="B149" s="15">
        <v>2778</v>
      </c>
      <c r="C149" s="15">
        <v>1046</v>
      </c>
      <c r="D149" s="15">
        <v>570</v>
      </c>
      <c r="E149" s="15">
        <v>212</v>
      </c>
      <c r="F149" s="15">
        <v>2624</v>
      </c>
      <c r="G149" s="15">
        <v>1000</v>
      </c>
      <c r="H149" s="15">
        <v>548</v>
      </c>
      <c r="I149" s="15">
        <v>206</v>
      </c>
      <c r="J149" s="15">
        <v>154</v>
      </c>
      <c r="K149" s="15">
        <v>46</v>
      </c>
      <c r="L149" s="15">
        <v>22</v>
      </c>
      <c r="M149" s="15">
        <v>6</v>
      </c>
    </row>
    <row r="150" spans="1:13" ht="45" x14ac:dyDescent="0.25">
      <c r="A150" s="15" t="s">
        <v>87</v>
      </c>
      <c r="B150" s="15">
        <v>1321</v>
      </c>
      <c r="C150" s="15">
        <v>485</v>
      </c>
      <c r="D150" s="15">
        <v>462</v>
      </c>
      <c r="E150" s="15">
        <v>164</v>
      </c>
      <c r="F150" s="15">
        <v>1233</v>
      </c>
      <c r="G150" s="15">
        <v>473</v>
      </c>
      <c r="H150" s="15">
        <v>451</v>
      </c>
      <c r="I150" s="15">
        <v>163</v>
      </c>
      <c r="J150" s="15">
        <v>88</v>
      </c>
      <c r="K150" s="15">
        <v>12</v>
      </c>
      <c r="L150" s="15">
        <v>11</v>
      </c>
      <c r="M150" s="15">
        <v>1</v>
      </c>
    </row>
    <row r="151" spans="1:13" ht="45" x14ac:dyDescent="0.25">
      <c r="A151" s="15" t="s">
        <v>153</v>
      </c>
      <c r="B151" s="15">
        <v>264</v>
      </c>
      <c r="C151" s="15">
        <v>97</v>
      </c>
      <c r="D151" s="15">
        <v>40</v>
      </c>
      <c r="E151" s="15">
        <v>17</v>
      </c>
      <c r="F151" s="15">
        <v>246</v>
      </c>
      <c r="G151" s="15">
        <v>93</v>
      </c>
      <c r="H151" s="15">
        <v>39</v>
      </c>
      <c r="I151" s="15">
        <v>17</v>
      </c>
      <c r="J151" s="15">
        <v>18</v>
      </c>
      <c r="K151" s="15">
        <v>4</v>
      </c>
      <c r="L151" s="15">
        <v>1</v>
      </c>
      <c r="M151" s="15" t="s">
        <v>84</v>
      </c>
    </row>
    <row r="152" spans="1:13" ht="60" x14ac:dyDescent="0.25">
      <c r="A152" s="15" t="s">
        <v>154</v>
      </c>
      <c r="B152" s="15">
        <v>172</v>
      </c>
      <c r="C152" s="15">
        <v>74</v>
      </c>
      <c r="D152" s="15">
        <v>37</v>
      </c>
      <c r="E152" s="15">
        <v>18</v>
      </c>
      <c r="F152" s="15">
        <v>157</v>
      </c>
      <c r="G152" s="15">
        <v>70</v>
      </c>
      <c r="H152" s="15">
        <v>35</v>
      </c>
      <c r="I152" s="15">
        <v>17</v>
      </c>
      <c r="J152" s="15">
        <v>15</v>
      </c>
      <c r="K152" s="15">
        <v>4</v>
      </c>
      <c r="L152" s="15">
        <v>2</v>
      </c>
      <c r="M152" s="15">
        <v>1</v>
      </c>
    </row>
    <row r="153" spans="1:13" ht="15" customHeight="1" x14ac:dyDescent="0.25">
      <c r="A153" s="207" t="s">
        <v>100</v>
      </c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M153" s="209"/>
    </row>
    <row r="154" spans="1:13" x14ac:dyDescent="0.25">
      <c r="A154" s="207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M154" s="209"/>
    </row>
    <row r="155" spans="1:13" x14ac:dyDescent="0.25">
      <c r="A155" s="15" t="s">
        <v>83</v>
      </c>
      <c r="B155" s="27">
        <v>11228</v>
      </c>
      <c r="C155" s="15">
        <v>5377</v>
      </c>
      <c r="D155" s="27">
        <v>1389</v>
      </c>
      <c r="E155" s="15">
        <v>591</v>
      </c>
      <c r="F155" s="15">
        <v>10548</v>
      </c>
      <c r="G155" s="15">
        <v>5071</v>
      </c>
      <c r="H155" s="15">
        <v>1324</v>
      </c>
      <c r="I155" s="15">
        <v>566</v>
      </c>
      <c r="J155" s="15">
        <v>680</v>
      </c>
      <c r="K155" s="15">
        <v>306</v>
      </c>
      <c r="L155" s="15">
        <v>65</v>
      </c>
      <c r="M155" s="15">
        <v>25</v>
      </c>
    </row>
    <row r="156" spans="1:13" ht="30" x14ac:dyDescent="0.25">
      <c r="A156" s="15" t="s">
        <v>151</v>
      </c>
      <c r="B156" s="15">
        <v>4443</v>
      </c>
      <c r="C156" s="15">
        <v>2460</v>
      </c>
      <c r="D156" s="15">
        <v>208</v>
      </c>
      <c r="E156" s="15">
        <v>111</v>
      </c>
      <c r="F156" s="15">
        <v>4237</v>
      </c>
      <c r="G156" s="15">
        <v>2334</v>
      </c>
      <c r="H156" s="15">
        <v>200</v>
      </c>
      <c r="I156" s="15">
        <v>105</v>
      </c>
      <c r="J156" s="15">
        <v>206</v>
      </c>
      <c r="K156" s="15">
        <v>126</v>
      </c>
      <c r="L156" s="15">
        <v>8</v>
      </c>
      <c r="M156" s="15">
        <v>6</v>
      </c>
    </row>
    <row r="157" spans="1:13" ht="60" x14ac:dyDescent="0.25">
      <c r="A157" s="15" t="s">
        <v>152</v>
      </c>
      <c r="B157" s="15">
        <v>480</v>
      </c>
      <c r="C157" s="15">
        <v>227</v>
      </c>
      <c r="D157" s="15">
        <v>49</v>
      </c>
      <c r="E157" s="15">
        <v>25</v>
      </c>
      <c r="F157" s="15">
        <v>460</v>
      </c>
      <c r="G157" s="15">
        <v>216</v>
      </c>
      <c r="H157" s="15">
        <v>49</v>
      </c>
      <c r="I157" s="15">
        <v>25</v>
      </c>
      <c r="J157" s="15">
        <v>20</v>
      </c>
      <c r="K157" s="15">
        <v>11</v>
      </c>
      <c r="L157" s="15" t="s">
        <v>84</v>
      </c>
      <c r="M157" s="15" t="s">
        <v>84</v>
      </c>
    </row>
    <row r="158" spans="1:13" ht="30" x14ac:dyDescent="0.25">
      <c r="A158" s="15" t="s">
        <v>85</v>
      </c>
      <c r="B158" s="15">
        <v>4298</v>
      </c>
      <c r="C158" s="15">
        <v>1938</v>
      </c>
      <c r="D158" s="15">
        <v>544</v>
      </c>
      <c r="E158" s="15">
        <v>240</v>
      </c>
      <c r="F158" s="15">
        <v>3985</v>
      </c>
      <c r="G158" s="15">
        <v>1803</v>
      </c>
      <c r="H158" s="15">
        <v>515</v>
      </c>
      <c r="I158" s="15">
        <v>227</v>
      </c>
      <c r="J158" s="15">
        <v>313</v>
      </c>
      <c r="K158" s="15">
        <v>135</v>
      </c>
      <c r="L158" s="15">
        <v>29</v>
      </c>
      <c r="M158" s="15">
        <v>13</v>
      </c>
    </row>
    <row r="159" spans="1:13" ht="30" x14ac:dyDescent="0.25">
      <c r="A159" s="15" t="s">
        <v>86</v>
      </c>
      <c r="B159" s="15">
        <v>1354</v>
      </c>
      <c r="C159" s="15">
        <v>501</v>
      </c>
      <c r="D159" s="15">
        <v>348</v>
      </c>
      <c r="E159" s="15">
        <v>131</v>
      </c>
      <c r="F159" s="15">
        <v>1274</v>
      </c>
      <c r="G159" s="15">
        <v>476</v>
      </c>
      <c r="H159" s="15">
        <v>329</v>
      </c>
      <c r="I159" s="15">
        <v>126</v>
      </c>
      <c r="J159" s="15">
        <v>80</v>
      </c>
      <c r="K159" s="15">
        <v>25</v>
      </c>
      <c r="L159" s="15">
        <v>19</v>
      </c>
      <c r="M159" s="15">
        <v>5</v>
      </c>
    </row>
    <row r="160" spans="1:13" ht="45" x14ac:dyDescent="0.25">
      <c r="A160" s="15" t="s">
        <v>87</v>
      </c>
      <c r="B160" s="15">
        <v>653</v>
      </c>
      <c r="C160" s="15">
        <v>251</v>
      </c>
      <c r="D160" s="15">
        <v>240</v>
      </c>
      <c r="E160" s="15">
        <v>84</v>
      </c>
      <c r="F160" s="15">
        <v>592</v>
      </c>
      <c r="G160" s="15">
        <v>242</v>
      </c>
      <c r="H160" s="15">
        <v>231</v>
      </c>
      <c r="I160" s="15">
        <v>83</v>
      </c>
      <c r="J160" s="15">
        <v>61</v>
      </c>
      <c r="K160" s="15">
        <v>9</v>
      </c>
      <c r="L160" s="15">
        <v>9</v>
      </c>
      <c r="M160" s="15">
        <v>1</v>
      </c>
    </row>
    <row r="161" spans="1:13" ht="45" x14ac:dyDescent="0.25">
      <c r="A161" s="15" t="s">
        <v>153</v>
      </c>
      <c r="B161" s="15">
        <v>115</v>
      </c>
      <c r="C161" s="15">
        <v>45</v>
      </c>
      <c r="D161" s="15">
        <v>23</v>
      </c>
      <c r="E161" s="15">
        <v>9</v>
      </c>
      <c r="F161" s="15">
        <v>99</v>
      </c>
      <c r="G161" s="15">
        <v>41</v>
      </c>
      <c r="H161" s="15">
        <v>22</v>
      </c>
      <c r="I161" s="15">
        <v>9</v>
      </c>
      <c r="J161" s="15">
        <v>16</v>
      </c>
      <c r="K161" s="15">
        <v>4</v>
      </c>
      <c r="L161" s="15">
        <v>1</v>
      </c>
      <c r="M161" s="15" t="s">
        <v>84</v>
      </c>
    </row>
    <row r="162" spans="1:13" ht="60" x14ac:dyDescent="0.25">
      <c r="A162" s="15" t="s">
        <v>154</v>
      </c>
      <c r="B162" s="15">
        <v>86</v>
      </c>
      <c r="C162" s="15">
        <v>42</v>
      </c>
      <c r="D162" s="15">
        <v>16</v>
      </c>
      <c r="E162" s="15">
        <v>6</v>
      </c>
      <c r="F162" s="15">
        <v>75</v>
      </c>
      <c r="G162" s="15">
        <v>38</v>
      </c>
      <c r="H162" s="15">
        <v>15</v>
      </c>
      <c r="I162" s="15">
        <v>5</v>
      </c>
      <c r="J162" s="15">
        <v>11</v>
      </c>
      <c r="K162" s="15">
        <v>4</v>
      </c>
      <c r="L162" s="15">
        <v>1</v>
      </c>
      <c r="M162" s="15">
        <v>1</v>
      </c>
    </row>
    <row r="163" spans="1:13" ht="15" customHeight="1" x14ac:dyDescent="0.25">
      <c r="A163" s="207" t="s">
        <v>101</v>
      </c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M163" s="209"/>
    </row>
    <row r="164" spans="1:13" x14ac:dyDescent="0.25">
      <c r="A164" s="207"/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M164" s="209"/>
    </row>
    <row r="165" spans="1:13" x14ac:dyDescent="0.25">
      <c r="A165" s="15" t="s">
        <v>83</v>
      </c>
      <c r="B165" s="27">
        <v>4823</v>
      </c>
      <c r="C165" s="15">
        <v>2342</v>
      </c>
      <c r="D165" s="27">
        <v>723</v>
      </c>
      <c r="E165" s="15">
        <v>323</v>
      </c>
      <c r="F165" s="15">
        <v>4266</v>
      </c>
      <c r="G165" s="15">
        <v>2075</v>
      </c>
      <c r="H165" s="15">
        <v>675</v>
      </c>
      <c r="I165" s="15">
        <v>298</v>
      </c>
      <c r="J165" s="15">
        <v>557</v>
      </c>
      <c r="K165" s="15">
        <v>267</v>
      </c>
      <c r="L165" s="15">
        <v>48</v>
      </c>
      <c r="M165" s="15">
        <v>25</v>
      </c>
    </row>
    <row r="166" spans="1:13" ht="30" x14ac:dyDescent="0.25">
      <c r="A166" s="15" t="s">
        <v>151</v>
      </c>
      <c r="B166" s="15">
        <v>2108</v>
      </c>
      <c r="C166" s="15">
        <v>1172</v>
      </c>
      <c r="D166" s="15">
        <v>147</v>
      </c>
      <c r="E166" s="15">
        <v>81</v>
      </c>
      <c r="F166" s="15">
        <v>1902</v>
      </c>
      <c r="G166" s="15">
        <v>1046</v>
      </c>
      <c r="H166" s="15">
        <v>139</v>
      </c>
      <c r="I166" s="15">
        <v>75</v>
      </c>
      <c r="J166" s="15">
        <v>206</v>
      </c>
      <c r="K166" s="15">
        <v>126</v>
      </c>
      <c r="L166" s="15">
        <v>8</v>
      </c>
      <c r="M166" s="15">
        <v>6</v>
      </c>
    </row>
    <row r="167" spans="1:13" ht="60" x14ac:dyDescent="0.25">
      <c r="A167" s="15" t="s">
        <v>152</v>
      </c>
      <c r="B167" s="15">
        <v>274</v>
      </c>
      <c r="C167" s="15">
        <v>136</v>
      </c>
      <c r="D167" s="15">
        <v>35</v>
      </c>
      <c r="E167" s="15">
        <v>18</v>
      </c>
      <c r="F167" s="15">
        <v>254</v>
      </c>
      <c r="G167" s="15">
        <v>125</v>
      </c>
      <c r="H167" s="15">
        <v>35</v>
      </c>
      <c r="I167" s="15">
        <v>18</v>
      </c>
      <c r="J167" s="15">
        <v>20</v>
      </c>
      <c r="K167" s="15">
        <v>11</v>
      </c>
      <c r="L167" s="15" t="s">
        <v>84</v>
      </c>
      <c r="M167" s="15" t="s">
        <v>84</v>
      </c>
    </row>
    <row r="168" spans="1:13" ht="30" x14ac:dyDescent="0.25">
      <c r="A168" s="15" t="s">
        <v>85</v>
      </c>
      <c r="B168" s="15">
        <v>1487</v>
      </c>
      <c r="C168" s="15">
        <v>666</v>
      </c>
      <c r="D168" s="15">
        <v>257</v>
      </c>
      <c r="E168" s="15">
        <v>119</v>
      </c>
      <c r="F168" s="15">
        <v>1261</v>
      </c>
      <c r="G168" s="15">
        <v>565</v>
      </c>
      <c r="H168" s="15">
        <v>233</v>
      </c>
      <c r="I168" s="15">
        <v>106</v>
      </c>
      <c r="J168" s="15">
        <v>226</v>
      </c>
      <c r="K168" s="15">
        <v>101</v>
      </c>
      <c r="L168" s="15">
        <v>24</v>
      </c>
      <c r="M168" s="15">
        <v>13</v>
      </c>
    </row>
    <row r="169" spans="1:13" ht="30" x14ac:dyDescent="0.25">
      <c r="A169" s="15" t="s">
        <v>86</v>
      </c>
      <c r="B169" s="15">
        <v>606</v>
      </c>
      <c r="C169" s="15">
        <v>232</v>
      </c>
      <c r="D169" s="15">
        <v>158</v>
      </c>
      <c r="E169" s="15">
        <v>63</v>
      </c>
      <c r="F169" s="15">
        <v>539</v>
      </c>
      <c r="G169" s="15">
        <v>208</v>
      </c>
      <c r="H169" s="15">
        <v>149</v>
      </c>
      <c r="I169" s="15">
        <v>58</v>
      </c>
      <c r="J169" s="15">
        <v>67</v>
      </c>
      <c r="K169" s="15">
        <v>24</v>
      </c>
      <c r="L169" s="15">
        <v>9</v>
      </c>
      <c r="M169" s="15">
        <v>5</v>
      </c>
    </row>
    <row r="170" spans="1:13" ht="45" x14ac:dyDescent="0.25">
      <c r="A170" s="15" t="s">
        <v>87</v>
      </c>
      <c r="B170" s="15">
        <v>348</v>
      </c>
      <c r="C170" s="15">
        <v>136</v>
      </c>
      <c r="D170" s="15">
        <v>126</v>
      </c>
      <c r="E170" s="15">
        <v>42</v>
      </c>
      <c r="F170" s="15">
        <v>310</v>
      </c>
      <c r="G170" s="15">
        <v>131</v>
      </c>
      <c r="H170" s="15">
        <v>119</v>
      </c>
      <c r="I170" s="15">
        <v>41</v>
      </c>
      <c r="J170" s="15">
        <v>38</v>
      </c>
      <c r="K170" s="15">
        <v>5</v>
      </c>
      <c r="L170" s="15">
        <v>7</v>
      </c>
      <c r="M170" s="15">
        <v>1</v>
      </c>
    </row>
    <row r="171" spans="1:13" ht="45" x14ac:dyDescent="0.25">
      <c r="A171" s="15" t="s">
        <v>153</v>
      </c>
      <c r="B171" s="15">
        <v>62</v>
      </c>
      <c r="C171" s="15">
        <v>26</v>
      </c>
      <c r="D171" s="15">
        <v>13</v>
      </c>
      <c r="E171" s="15">
        <v>4</v>
      </c>
      <c r="F171" s="15">
        <v>50</v>
      </c>
      <c r="G171" s="15">
        <v>23</v>
      </c>
      <c r="H171" s="15">
        <v>12</v>
      </c>
      <c r="I171" s="15">
        <v>4</v>
      </c>
      <c r="J171" s="15">
        <v>12</v>
      </c>
      <c r="K171" s="15">
        <v>3</v>
      </c>
      <c r="L171" s="15">
        <v>1</v>
      </c>
      <c r="M171" s="15" t="s">
        <v>84</v>
      </c>
    </row>
    <row r="172" spans="1:13" ht="60" x14ac:dyDescent="0.25">
      <c r="A172" s="15" t="s">
        <v>154</v>
      </c>
      <c r="B172" s="15">
        <v>34</v>
      </c>
      <c r="C172" s="15">
        <v>20</v>
      </c>
      <c r="D172" s="15">
        <v>8</v>
      </c>
      <c r="E172" s="15">
        <v>3</v>
      </c>
      <c r="F172" s="15">
        <v>33</v>
      </c>
      <c r="G172" s="15">
        <v>19</v>
      </c>
      <c r="H172" s="15">
        <v>7</v>
      </c>
      <c r="I172" s="15">
        <v>2</v>
      </c>
      <c r="J172" s="15">
        <v>1</v>
      </c>
      <c r="K172" s="15">
        <v>1</v>
      </c>
      <c r="L172" s="15">
        <v>1</v>
      </c>
      <c r="M172" s="15">
        <v>1</v>
      </c>
    </row>
    <row r="173" spans="1:13" ht="15" customHeight="1" x14ac:dyDescent="0.25">
      <c r="A173" s="207" t="s">
        <v>102</v>
      </c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M173" s="209"/>
    </row>
    <row r="174" spans="1:13" x14ac:dyDescent="0.25">
      <c r="A174" s="207"/>
      <c r="B174" s="208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M174" s="209"/>
    </row>
    <row r="175" spans="1:13" x14ac:dyDescent="0.25">
      <c r="A175" s="15" t="s">
        <v>83</v>
      </c>
      <c r="B175" s="27">
        <v>2276</v>
      </c>
      <c r="C175" s="15">
        <v>1055</v>
      </c>
      <c r="D175" s="27">
        <v>145</v>
      </c>
      <c r="E175" s="15">
        <v>62</v>
      </c>
      <c r="F175" s="15">
        <v>2110</v>
      </c>
      <c r="G175" s="15">
        <v>972</v>
      </c>
      <c r="H175" s="15">
        <v>142</v>
      </c>
      <c r="I175" s="15">
        <v>61</v>
      </c>
      <c r="J175" s="15">
        <v>166</v>
      </c>
      <c r="K175" s="15">
        <v>83</v>
      </c>
      <c r="L175" s="15">
        <v>3</v>
      </c>
      <c r="M175" s="15">
        <v>1</v>
      </c>
    </row>
    <row r="176" spans="1:13" ht="30" x14ac:dyDescent="0.25">
      <c r="A176" s="15" t="s">
        <v>151</v>
      </c>
      <c r="B176" s="15">
        <v>657</v>
      </c>
      <c r="C176" s="15">
        <v>358</v>
      </c>
      <c r="D176" s="15">
        <v>9</v>
      </c>
      <c r="E176" s="15">
        <v>4</v>
      </c>
      <c r="F176" s="15">
        <v>570</v>
      </c>
      <c r="G176" s="15">
        <v>302</v>
      </c>
      <c r="H176" s="15">
        <v>9</v>
      </c>
      <c r="I176" s="15">
        <v>4</v>
      </c>
      <c r="J176" s="15">
        <v>87</v>
      </c>
      <c r="K176" s="15">
        <v>56</v>
      </c>
      <c r="L176" s="15" t="s">
        <v>84</v>
      </c>
      <c r="M176" s="15" t="s">
        <v>84</v>
      </c>
    </row>
    <row r="177" spans="1:13" ht="60" x14ac:dyDescent="0.25">
      <c r="A177" s="15" t="s">
        <v>152</v>
      </c>
      <c r="B177" s="15">
        <v>65</v>
      </c>
      <c r="C177" s="15">
        <v>26</v>
      </c>
      <c r="D177" s="15">
        <v>2</v>
      </c>
      <c r="E177" s="15" t="s">
        <v>84</v>
      </c>
      <c r="F177" s="15">
        <v>53</v>
      </c>
      <c r="G177" s="15">
        <v>21</v>
      </c>
      <c r="H177" s="15">
        <v>2</v>
      </c>
      <c r="I177" s="15" t="s">
        <v>84</v>
      </c>
      <c r="J177" s="15">
        <v>12</v>
      </c>
      <c r="K177" s="15">
        <v>5</v>
      </c>
      <c r="L177" s="15" t="s">
        <v>84</v>
      </c>
      <c r="M177" s="15" t="s">
        <v>84</v>
      </c>
    </row>
    <row r="178" spans="1:13" ht="30" x14ac:dyDescent="0.25">
      <c r="A178" s="15" t="s">
        <v>85</v>
      </c>
      <c r="B178" s="15">
        <v>1165</v>
      </c>
      <c r="C178" s="15">
        <v>526</v>
      </c>
      <c r="D178" s="15">
        <v>55</v>
      </c>
      <c r="E178" s="15">
        <v>30</v>
      </c>
      <c r="F178" s="15">
        <v>1127</v>
      </c>
      <c r="G178" s="15">
        <v>511</v>
      </c>
      <c r="H178" s="15">
        <v>55</v>
      </c>
      <c r="I178" s="15">
        <v>30</v>
      </c>
      <c r="J178" s="15">
        <v>38</v>
      </c>
      <c r="K178" s="15">
        <v>15</v>
      </c>
      <c r="L178" s="15" t="s">
        <v>84</v>
      </c>
      <c r="M178" s="15" t="s">
        <v>84</v>
      </c>
    </row>
    <row r="179" spans="1:13" ht="30" x14ac:dyDescent="0.25">
      <c r="A179" s="15" t="s">
        <v>86</v>
      </c>
      <c r="B179" s="15">
        <v>284</v>
      </c>
      <c r="C179" s="15">
        <v>104</v>
      </c>
      <c r="D179" s="15">
        <v>38</v>
      </c>
      <c r="E179" s="15">
        <v>10</v>
      </c>
      <c r="F179" s="15">
        <v>262</v>
      </c>
      <c r="G179" s="15">
        <v>99</v>
      </c>
      <c r="H179" s="15">
        <v>37</v>
      </c>
      <c r="I179" s="15">
        <v>9</v>
      </c>
      <c r="J179" s="15">
        <v>22</v>
      </c>
      <c r="K179" s="15">
        <v>5</v>
      </c>
      <c r="L179" s="15">
        <v>1</v>
      </c>
      <c r="M179" s="15">
        <v>1</v>
      </c>
    </row>
    <row r="180" spans="1:13" ht="45" x14ac:dyDescent="0.25">
      <c r="A180" s="15" t="s">
        <v>87</v>
      </c>
      <c r="B180" s="15">
        <v>105</v>
      </c>
      <c r="C180" s="15">
        <v>41</v>
      </c>
      <c r="D180" s="15">
        <v>41</v>
      </c>
      <c r="E180" s="15">
        <v>18</v>
      </c>
      <c r="F180" s="15">
        <v>98</v>
      </c>
      <c r="G180" s="15">
        <v>39</v>
      </c>
      <c r="H180" s="15">
        <v>39</v>
      </c>
      <c r="I180" s="15">
        <v>18</v>
      </c>
      <c r="J180" s="15">
        <v>7</v>
      </c>
      <c r="K180" s="15">
        <v>2</v>
      </c>
      <c r="L180" s="15">
        <v>2</v>
      </c>
      <c r="M180" s="15" t="s">
        <v>84</v>
      </c>
    </row>
    <row r="181" spans="1:13" ht="45" x14ac:dyDescent="0.25">
      <c r="A181" s="15" t="s">
        <v>153</v>
      </c>
      <c r="B181" s="15">
        <v>36</v>
      </c>
      <c r="C181" s="15">
        <v>17</v>
      </c>
      <c r="D181" s="15">
        <v>4</v>
      </c>
      <c r="E181" s="15">
        <v>2</v>
      </c>
      <c r="F181" s="15">
        <v>36</v>
      </c>
      <c r="G181" s="15">
        <v>17</v>
      </c>
      <c r="H181" s="15">
        <v>4</v>
      </c>
      <c r="I181" s="15">
        <v>2</v>
      </c>
      <c r="J181" s="15" t="s">
        <v>84</v>
      </c>
      <c r="K181" s="15" t="s">
        <v>84</v>
      </c>
      <c r="L181" s="15" t="s">
        <v>84</v>
      </c>
      <c r="M181" s="15" t="s">
        <v>84</v>
      </c>
    </row>
    <row r="182" spans="1:13" ht="60" x14ac:dyDescent="0.25">
      <c r="A182" s="15" t="s">
        <v>154</v>
      </c>
      <c r="B182" s="15">
        <v>1</v>
      </c>
      <c r="C182" s="15" t="s">
        <v>84</v>
      </c>
      <c r="D182" s="15">
        <v>1</v>
      </c>
      <c r="E182" s="15" t="s">
        <v>84</v>
      </c>
      <c r="F182" s="15" t="s">
        <v>84</v>
      </c>
      <c r="G182" s="15" t="s">
        <v>84</v>
      </c>
      <c r="H182" s="15" t="s">
        <v>84</v>
      </c>
      <c r="I182" s="15" t="s">
        <v>84</v>
      </c>
      <c r="J182" s="15">
        <v>1</v>
      </c>
      <c r="K182" s="15" t="s">
        <v>84</v>
      </c>
      <c r="L182" s="15">
        <v>1</v>
      </c>
      <c r="M182" s="15" t="s">
        <v>84</v>
      </c>
    </row>
    <row r="183" spans="1:13" ht="15" customHeight="1" x14ac:dyDescent="0.25">
      <c r="A183" s="207" t="s">
        <v>103</v>
      </c>
      <c r="B183" s="208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M183" s="209"/>
    </row>
    <row r="184" spans="1:13" x14ac:dyDescent="0.25">
      <c r="A184" s="207"/>
      <c r="B184" s="208"/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M184" s="209"/>
    </row>
    <row r="185" spans="1:13" x14ac:dyDescent="0.25">
      <c r="A185" s="15" t="s">
        <v>83</v>
      </c>
      <c r="B185" s="27">
        <v>1385</v>
      </c>
      <c r="C185" s="15">
        <v>650</v>
      </c>
      <c r="D185" s="27">
        <v>141</v>
      </c>
      <c r="E185" s="15">
        <v>66</v>
      </c>
      <c r="F185" s="15">
        <v>1385</v>
      </c>
      <c r="G185" s="15">
        <v>650</v>
      </c>
      <c r="H185" s="15">
        <v>141</v>
      </c>
      <c r="I185" s="15">
        <v>66</v>
      </c>
      <c r="J185" s="15" t="s">
        <v>84</v>
      </c>
      <c r="K185" s="15" t="s">
        <v>84</v>
      </c>
      <c r="L185" s="15" t="s">
        <v>84</v>
      </c>
      <c r="M185" s="15" t="s">
        <v>84</v>
      </c>
    </row>
    <row r="186" spans="1:13" ht="30" x14ac:dyDescent="0.25">
      <c r="A186" s="15" t="s">
        <v>151</v>
      </c>
      <c r="B186" s="15">
        <v>421</v>
      </c>
      <c r="C186" s="15">
        <v>218</v>
      </c>
      <c r="D186" s="15">
        <v>14</v>
      </c>
      <c r="E186" s="15">
        <v>10</v>
      </c>
      <c r="F186" s="15">
        <v>421</v>
      </c>
      <c r="G186" s="15">
        <v>218</v>
      </c>
      <c r="H186" s="15">
        <v>14</v>
      </c>
      <c r="I186" s="15">
        <v>10</v>
      </c>
      <c r="J186" s="15" t="s">
        <v>84</v>
      </c>
      <c r="K186" s="15" t="s">
        <v>84</v>
      </c>
      <c r="L186" s="15" t="s">
        <v>84</v>
      </c>
      <c r="M186" s="15" t="s">
        <v>84</v>
      </c>
    </row>
    <row r="187" spans="1:13" ht="60" x14ac:dyDescent="0.25">
      <c r="A187" s="15" t="s">
        <v>152</v>
      </c>
      <c r="B187" s="15">
        <v>29</v>
      </c>
      <c r="C187" s="15">
        <v>13</v>
      </c>
      <c r="D187" s="15">
        <v>2</v>
      </c>
      <c r="E187" s="15" t="s">
        <v>84</v>
      </c>
      <c r="F187" s="15">
        <v>29</v>
      </c>
      <c r="G187" s="15">
        <v>13</v>
      </c>
      <c r="H187" s="15">
        <v>2</v>
      </c>
      <c r="I187" s="15" t="s">
        <v>84</v>
      </c>
      <c r="J187" s="15" t="s">
        <v>84</v>
      </c>
      <c r="K187" s="15" t="s">
        <v>84</v>
      </c>
      <c r="L187" s="15" t="s">
        <v>84</v>
      </c>
      <c r="M187" s="15" t="s">
        <v>84</v>
      </c>
    </row>
    <row r="188" spans="1:13" ht="30" x14ac:dyDescent="0.25">
      <c r="A188" s="15" t="s">
        <v>85</v>
      </c>
      <c r="B188" s="15">
        <v>601</v>
      </c>
      <c r="C188" s="15">
        <v>289</v>
      </c>
      <c r="D188" s="15">
        <v>45</v>
      </c>
      <c r="E188" s="15">
        <v>26</v>
      </c>
      <c r="F188" s="15">
        <v>601</v>
      </c>
      <c r="G188" s="15">
        <v>289</v>
      </c>
      <c r="H188" s="15">
        <v>45</v>
      </c>
      <c r="I188" s="15">
        <v>26</v>
      </c>
      <c r="J188" s="15" t="s">
        <v>84</v>
      </c>
      <c r="K188" s="15" t="s">
        <v>84</v>
      </c>
      <c r="L188" s="15" t="s">
        <v>84</v>
      </c>
      <c r="M188" s="15" t="s">
        <v>84</v>
      </c>
    </row>
    <row r="189" spans="1:13" ht="30" x14ac:dyDescent="0.25">
      <c r="A189" s="15" t="s">
        <v>86</v>
      </c>
      <c r="B189" s="15">
        <v>233</v>
      </c>
      <c r="C189" s="15">
        <v>91</v>
      </c>
      <c r="D189" s="15">
        <v>47</v>
      </c>
      <c r="E189" s="15">
        <v>21</v>
      </c>
      <c r="F189" s="15">
        <v>233</v>
      </c>
      <c r="G189" s="15">
        <v>91</v>
      </c>
      <c r="H189" s="15">
        <v>47</v>
      </c>
      <c r="I189" s="15">
        <v>21</v>
      </c>
      <c r="J189" s="15" t="s">
        <v>84</v>
      </c>
      <c r="K189" s="15" t="s">
        <v>84</v>
      </c>
      <c r="L189" s="15" t="s">
        <v>84</v>
      </c>
      <c r="M189" s="15" t="s">
        <v>84</v>
      </c>
    </row>
    <row r="190" spans="1:13" ht="45" x14ac:dyDescent="0.25">
      <c r="A190" s="15" t="s">
        <v>87</v>
      </c>
      <c r="B190" s="15">
        <v>101</v>
      </c>
      <c r="C190" s="15">
        <v>39</v>
      </c>
      <c r="D190" s="15">
        <v>33</v>
      </c>
      <c r="E190" s="15">
        <v>9</v>
      </c>
      <c r="F190" s="15">
        <v>101</v>
      </c>
      <c r="G190" s="15">
        <v>39</v>
      </c>
      <c r="H190" s="15">
        <v>33</v>
      </c>
      <c r="I190" s="15">
        <v>9</v>
      </c>
      <c r="J190" s="15" t="s">
        <v>84</v>
      </c>
      <c r="K190" s="15" t="s">
        <v>84</v>
      </c>
      <c r="L190" s="15" t="s">
        <v>84</v>
      </c>
      <c r="M190" s="15" t="s">
        <v>84</v>
      </c>
    </row>
    <row r="191" spans="1:13" ht="45" x14ac:dyDescent="0.25">
      <c r="A191" s="15" t="s">
        <v>153</v>
      </c>
      <c r="B191" s="15">
        <v>9</v>
      </c>
      <c r="C191" s="15">
        <v>3</v>
      </c>
      <c r="D191" s="15" t="s">
        <v>84</v>
      </c>
      <c r="E191" s="15" t="s">
        <v>84</v>
      </c>
      <c r="F191" s="15">
        <v>9</v>
      </c>
      <c r="G191" s="15">
        <v>3</v>
      </c>
      <c r="H191" s="15" t="s">
        <v>84</v>
      </c>
      <c r="I191" s="15" t="s">
        <v>84</v>
      </c>
      <c r="J191" s="15" t="s">
        <v>84</v>
      </c>
      <c r="K191" s="15" t="s">
        <v>84</v>
      </c>
      <c r="L191" s="15" t="s">
        <v>84</v>
      </c>
      <c r="M191" s="15" t="s">
        <v>84</v>
      </c>
    </row>
    <row r="192" spans="1:13" ht="60" x14ac:dyDescent="0.25">
      <c r="A192" s="15" t="s">
        <v>154</v>
      </c>
      <c r="B192" s="15">
        <v>11</v>
      </c>
      <c r="C192" s="15">
        <v>3</v>
      </c>
      <c r="D192" s="15">
        <v>3</v>
      </c>
      <c r="E192" s="15">
        <v>1</v>
      </c>
      <c r="F192" s="15">
        <v>11</v>
      </c>
      <c r="G192" s="15">
        <v>3</v>
      </c>
      <c r="H192" s="15">
        <v>3</v>
      </c>
      <c r="I192" s="15">
        <v>1</v>
      </c>
      <c r="J192" s="15" t="s">
        <v>84</v>
      </c>
      <c r="K192" s="15" t="s">
        <v>84</v>
      </c>
      <c r="L192" s="15" t="s">
        <v>84</v>
      </c>
      <c r="M192" s="15" t="s">
        <v>84</v>
      </c>
    </row>
    <row r="193" spans="1:13" ht="15" customHeight="1" x14ac:dyDescent="0.25">
      <c r="A193" s="207" t="s">
        <v>104</v>
      </c>
      <c r="B193" s="208"/>
      <c r="C193" s="208"/>
      <c r="D193" s="208"/>
      <c r="E193" s="208"/>
      <c r="F193" s="208"/>
      <c r="G193" s="208"/>
      <c r="H193" s="208"/>
      <c r="I193" s="208"/>
      <c r="J193" s="208"/>
      <c r="K193" s="208"/>
      <c r="L193" s="208"/>
      <c r="M193" s="209"/>
    </row>
    <row r="194" spans="1:13" x14ac:dyDescent="0.25">
      <c r="A194" s="207"/>
      <c r="B194" s="208"/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9"/>
    </row>
    <row r="195" spans="1:13" x14ac:dyDescent="0.25">
      <c r="A195" s="15" t="s">
        <v>83</v>
      </c>
      <c r="B195" s="27">
        <v>2952</v>
      </c>
      <c r="C195" s="15">
        <v>1425</v>
      </c>
      <c r="D195" s="27">
        <v>195</v>
      </c>
      <c r="E195" s="15">
        <v>85</v>
      </c>
      <c r="F195" s="15">
        <v>2235</v>
      </c>
      <c r="G195" s="15">
        <v>1050</v>
      </c>
      <c r="H195" s="15">
        <v>177</v>
      </c>
      <c r="I195" s="15">
        <v>81</v>
      </c>
      <c r="J195" s="15">
        <v>717</v>
      </c>
      <c r="K195" s="15">
        <v>375</v>
      </c>
      <c r="L195" s="15">
        <v>18</v>
      </c>
      <c r="M195" s="15">
        <v>4</v>
      </c>
    </row>
    <row r="196" spans="1:13" ht="30" x14ac:dyDescent="0.25">
      <c r="A196" s="15" t="s">
        <v>151</v>
      </c>
      <c r="B196" s="15">
        <v>1084</v>
      </c>
      <c r="C196" s="15">
        <v>595</v>
      </c>
      <c r="D196" s="15">
        <v>27</v>
      </c>
      <c r="E196" s="15">
        <v>18</v>
      </c>
      <c r="F196" s="15">
        <v>682</v>
      </c>
      <c r="G196" s="15">
        <v>357</v>
      </c>
      <c r="H196" s="15">
        <v>24</v>
      </c>
      <c r="I196" s="15">
        <v>16</v>
      </c>
      <c r="J196" s="15">
        <v>402</v>
      </c>
      <c r="K196" s="15">
        <v>238</v>
      </c>
      <c r="L196" s="15">
        <v>3</v>
      </c>
      <c r="M196" s="15">
        <v>2</v>
      </c>
    </row>
    <row r="197" spans="1:13" ht="60" x14ac:dyDescent="0.25">
      <c r="A197" s="15" t="s">
        <v>152</v>
      </c>
      <c r="B197" s="15">
        <v>93</v>
      </c>
      <c r="C197" s="15">
        <v>41</v>
      </c>
      <c r="D197" s="15">
        <v>5</v>
      </c>
      <c r="E197" s="15" t="s">
        <v>84</v>
      </c>
      <c r="F197" s="15">
        <v>71</v>
      </c>
      <c r="G197" s="15">
        <v>34</v>
      </c>
      <c r="H197" s="15">
        <v>4</v>
      </c>
      <c r="I197" s="15" t="s">
        <v>84</v>
      </c>
      <c r="J197" s="15">
        <v>22</v>
      </c>
      <c r="K197" s="15">
        <v>7</v>
      </c>
      <c r="L197" s="15">
        <v>1</v>
      </c>
      <c r="M197" s="15" t="s">
        <v>84</v>
      </c>
    </row>
    <row r="198" spans="1:13" ht="30" x14ac:dyDescent="0.25">
      <c r="A198" s="15" t="s">
        <v>85</v>
      </c>
      <c r="B198" s="15">
        <v>1249</v>
      </c>
      <c r="C198" s="15">
        <v>595</v>
      </c>
      <c r="D198" s="15">
        <v>61</v>
      </c>
      <c r="E198" s="15">
        <v>27</v>
      </c>
      <c r="F198" s="15">
        <v>1015</v>
      </c>
      <c r="G198" s="15">
        <v>480</v>
      </c>
      <c r="H198" s="15">
        <v>49</v>
      </c>
      <c r="I198" s="15">
        <v>25</v>
      </c>
      <c r="J198" s="15">
        <v>234</v>
      </c>
      <c r="K198" s="15">
        <v>115</v>
      </c>
      <c r="L198" s="15">
        <v>12</v>
      </c>
      <c r="M198" s="15">
        <v>2</v>
      </c>
    </row>
    <row r="199" spans="1:13" ht="30" x14ac:dyDescent="0.25">
      <c r="A199" s="15" t="s">
        <v>86</v>
      </c>
      <c r="B199" s="15">
        <v>343</v>
      </c>
      <c r="C199" s="15">
        <v>136</v>
      </c>
      <c r="D199" s="15">
        <v>48</v>
      </c>
      <c r="E199" s="15">
        <v>17</v>
      </c>
      <c r="F199" s="15">
        <v>303</v>
      </c>
      <c r="G199" s="15">
        <v>122</v>
      </c>
      <c r="H199" s="15">
        <v>46</v>
      </c>
      <c r="I199" s="15">
        <v>17</v>
      </c>
      <c r="J199" s="15">
        <v>40</v>
      </c>
      <c r="K199" s="15">
        <v>14</v>
      </c>
      <c r="L199" s="15">
        <v>2</v>
      </c>
      <c r="M199" s="15" t="s">
        <v>84</v>
      </c>
    </row>
    <row r="200" spans="1:13" ht="45" x14ac:dyDescent="0.25">
      <c r="A200" s="15" t="s">
        <v>87</v>
      </c>
      <c r="B200" s="15">
        <v>183</v>
      </c>
      <c r="C200" s="15">
        <v>58</v>
      </c>
      <c r="D200" s="15">
        <v>54</v>
      </c>
      <c r="E200" s="15">
        <v>23</v>
      </c>
      <c r="F200" s="15">
        <v>164</v>
      </c>
      <c r="G200" s="15">
        <v>57</v>
      </c>
      <c r="H200" s="15">
        <v>54</v>
      </c>
      <c r="I200" s="15">
        <v>23</v>
      </c>
      <c r="J200" s="15">
        <v>19</v>
      </c>
      <c r="K200" s="15">
        <v>1</v>
      </c>
      <c r="L200" s="15" t="s">
        <v>84</v>
      </c>
      <c r="M200" s="15" t="s">
        <v>84</v>
      </c>
    </row>
    <row r="201" spans="1:13" ht="45" x14ac:dyDescent="0.25">
      <c r="A201" s="15" t="s">
        <v>153</v>
      </c>
      <c r="B201" s="15">
        <v>34</v>
      </c>
      <c r="C201" s="15">
        <v>11</v>
      </c>
      <c r="D201" s="15">
        <v>4</v>
      </c>
      <c r="E201" s="15">
        <v>3</v>
      </c>
      <c r="F201" s="15">
        <v>32</v>
      </c>
      <c r="G201" s="15">
        <v>11</v>
      </c>
      <c r="H201" s="15">
        <v>4</v>
      </c>
      <c r="I201" s="15">
        <v>3</v>
      </c>
      <c r="J201" s="15">
        <v>2</v>
      </c>
      <c r="K201" s="15" t="s">
        <v>84</v>
      </c>
      <c r="L201" s="15" t="s">
        <v>84</v>
      </c>
      <c r="M201" s="15" t="s">
        <v>84</v>
      </c>
    </row>
    <row r="202" spans="1:13" ht="60" x14ac:dyDescent="0.25">
      <c r="A202" s="15" t="s">
        <v>154</v>
      </c>
      <c r="B202" s="15">
        <v>40</v>
      </c>
      <c r="C202" s="15">
        <v>17</v>
      </c>
      <c r="D202" s="15">
        <v>10</v>
      </c>
      <c r="E202" s="15">
        <v>8</v>
      </c>
      <c r="F202" s="15">
        <v>37</v>
      </c>
      <c r="G202" s="15">
        <v>17</v>
      </c>
      <c r="H202" s="15">
        <v>10</v>
      </c>
      <c r="I202" s="15">
        <v>8</v>
      </c>
      <c r="J202" s="15">
        <v>3</v>
      </c>
      <c r="K202" s="15" t="s">
        <v>84</v>
      </c>
      <c r="L202" s="15" t="s">
        <v>84</v>
      </c>
      <c r="M202" s="15" t="s">
        <v>84</v>
      </c>
    </row>
    <row r="203" spans="1:13" ht="15" customHeight="1" x14ac:dyDescent="0.25">
      <c r="A203" s="207" t="s">
        <v>105</v>
      </c>
      <c r="B203" s="208"/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M203" s="209"/>
    </row>
    <row r="204" spans="1:13" x14ac:dyDescent="0.25">
      <c r="A204" s="207"/>
      <c r="B204" s="208"/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M204" s="209"/>
    </row>
    <row r="205" spans="1:13" x14ac:dyDescent="0.25">
      <c r="A205" s="15" t="s">
        <v>83</v>
      </c>
      <c r="B205" s="27">
        <v>569</v>
      </c>
      <c r="C205" s="15">
        <v>291</v>
      </c>
      <c r="D205" s="27">
        <v>62</v>
      </c>
      <c r="E205" s="15">
        <v>35</v>
      </c>
      <c r="F205" s="15">
        <v>499</v>
      </c>
      <c r="G205" s="15">
        <v>247</v>
      </c>
      <c r="H205" s="15">
        <v>44</v>
      </c>
      <c r="I205" s="15">
        <v>21</v>
      </c>
      <c r="J205" s="15">
        <v>70</v>
      </c>
      <c r="K205" s="15">
        <v>44</v>
      </c>
      <c r="L205" s="15">
        <v>18</v>
      </c>
      <c r="M205" s="15">
        <v>14</v>
      </c>
    </row>
    <row r="206" spans="1:13" ht="30" x14ac:dyDescent="0.25">
      <c r="A206" s="15" t="s">
        <v>151</v>
      </c>
      <c r="B206" s="15">
        <v>123</v>
      </c>
      <c r="C206" s="15">
        <v>70</v>
      </c>
      <c r="D206" s="15">
        <v>11</v>
      </c>
      <c r="E206" s="15">
        <v>7</v>
      </c>
      <c r="F206" s="15">
        <v>75</v>
      </c>
      <c r="G206" s="15">
        <v>42</v>
      </c>
      <c r="H206" s="15">
        <v>4</v>
      </c>
      <c r="I206" s="15">
        <v>2</v>
      </c>
      <c r="J206" s="15">
        <v>48</v>
      </c>
      <c r="K206" s="15">
        <v>28</v>
      </c>
      <c r="L206" s="15">
        <v>7</v>
      </c>
      <c r="M206" s="15">
        <v>5</v>
      </c>
    </row>
    <row r="207" spans="1:13" ht="60" x14ac:dyDescent="0.25">
      <c r="A207" s="15" t="s">
        <v>152</v>
      </c>
      <c r="B207" s="15">
        <v>6</v>
      </c>
      <c r="C207" s="15">
        <v>2</v>
      </c>
      <c r="D207" s="15">
        <v>1</v>
      </c>
      <c r="E207" s="15">
        <v>1</v>
      </c>
      <c r="F207" s="15">
        <v>2</v>
      </c>
      <c r="G207" s="15" t="s">
        <v>84</v>
      </c>
      <c r="H207" s="15" t="s">
        <v>84</v>
      </c>
      <c r="I207" s="15" t="s">
        <v>84</v>
      </c>
      <c r="J207" s="15">
        <v>4</v>
      </c>
      <c r="K207" s="15">
        <v>2</v>
      </c>
      <c r="L207" s="15">
        <v>1</v>
      </c>
      <c r="M207" s="15">
        <v>1</v>
      </c>
    </row>
    <row r="208" spans="1:13" ht="30" x14ac:dyDescent="0.25">
      <c r="A208" s="15" t="s">
        <v>85</v>
      </c>
      <c r="B208" s="15">
        <v>285</v>
      </c>
      <c r="C208" s="15">
        <v>158</v>
      </c>
      <c r="D208" s="15">
        <v>30</v>
      </c>
      <c r="E208" s="15">
        <v>18</v>
      </c>
      <c r="F208" s="15">
        <v>267</v>
      </c>
      <c r="G208" s="15">
        <v>144</v>
      </c>
      <c r="H208" s="15">
        <v>20</v>
      </c>
      <c r="I208" s="15">
        <v>10</v>
      </c>
      <c r="J208" s="15">
        <v>18</v>
      </c>
      <c r="K208" s="15">
        <v>14</v>
      </c>
      <c r="L208" s="15">
        <v>10</v>
      </c>
      <c r="M208" s="15">
        <v>8</v>
      </c>
    </row>
    <row r="209" spans="1:13" ht="30" x14ac:dyDescent="0.25">
      <c r="A209" s="15" t="s">
        <v>86</v>
      </c>
      <c r="B209" s="15">
        <v>93</v>
      </c>
      <c r="C209" s="15">
        <v>38</v>
      </c>
      <c r="D209" s="15">
        <v>8</v>
      </c>
      <c r="E209" s="15">
        <v>3</v>
      </c>
      <c r="F209" s="15">
        <v>93</v>
      </c>
      <c r="G209" s="15">
        <v>38</v>
      </c>
      <c r="H209" s="15">
        <v>8</v>
      </c>
      <c r="I209" s="15">
        <v>3</v>
      </c>
      <c r="J209" s="15" t="s">
        <v>84</v>
      </c>
      <c r="K209" s="15" t="s">
        <v>84</v>
      </c>
      <c r="L209" s="15" t="s">
        <v>84</v>
      </c>
      <c r="M209" s="15" t="s">
        <v>84</v>
      </c>
    </row>
    <row r="210" spans="1:13" ht="45" x14ac:dyDescent="0.25">
      <c r="A210" s="15" t="s">
        <v>87</v>
      </c>
      <c r="B210" s="15">
        <v>62</v>
      </c>
      <c r="C210" s="15">
        <v>23</v>
      </c>
      <c r="D210" s="15">
        <v>12</v>
      </c>
      <c r="E210" s="15">
        <v>6</v>
      </c>
      <c r="F210" s="15">
        <v>62</v>
      </c>
      <c r="G210" s="15">
        <v>23</v>
      </c>
      <c r="H210" s="15">
        <v>12</v>
      </c>
      <c r="I210" s="15">
        <v>6</v>
      </c>
      <c r="J210" s="15" t="s">
        <v>84</v>
      </c>
      <c r="K210" s="15" t="s">
        <v>84</v>
      </c>
      <c r="L210" s="15" t="s">
        <v>84</v>
      </c>
      <c r="M210" s="15" t="s">
        <v>84</v>
      </c>
    </row>
    <row r="211" spans="1:13" ht="45" x14ac:dyDescent="0.25">
      <c r="A211" s="15" t="s">
        <v>153</v>
      </c>
      <c r="B211" s="15">
        <v>23</v>
      </c>
      <c r="C211" s="15">
        <v>8</v>
      </c>
      <c r="D211" s="15" t="s">
        <v>84</v>
      </c>
      <c r="E211" s="15" t="s">
        <v>84</v>
      </c>
      <c r="F211" s="15">
        <v>23</v>
      </c>
      <c r="G211" s="15">
        <v>8</v>
      </c>
      <c r="H211" s="15" t="s">
        <v>84</v>
      </c>
      <c r="I211" s="15" t="s">
        <v>84</v>
      </c>
      <c r="J211" s="15" t="s">
        <v>84</v>
      </c>
      <c r="K211" s="15" t="s">
        <v>84</v>
      </c>
      <c r="L211" s="15" t="s">
        <v>84</v>
      </c>
      <c r="M211" s="15" t="s">
        <v>84</v>
      </c>
    </row>
    <row r="212" spans="1:13" ht="60" x14ac:dyDescent="0.25">
      <c r="A212" s="15" t="s">
        <v>154</v>
      </c>
      <c r="B212" s="15">
        <v>6</v>
      </c>
      <c r="C212" s="15">
        <v>1</v>
      </c>
      <c r="D212" s="15" t="s">
        <v>84</v>
      </c>
      <c r="E212" s="15" t="s">
        <v>84</v>
      </c>
      <c r="F212" s="15">
        <v>6</v>
      </c>
      <c r="G212" s="15">
        <v>1</v>
      </c>
      <c r="H212" s="15" t="s">
        <v>84</v>
      </c>
      <c r="I212" s="15" t="s">
        <v>84</v>
      </c>
      <c r="J212" s="15" t="s">
        <v>84</v>
      </c>
      <c r="K212" s="15" t="s">
        <v>84</v>
      </c>
      <c r="L212" s="15" t="s">
        <v>84</v>
      </c>
      <c r="M212" s="15" t="s">
        <v>84</v>
      </c>
    </row>
    <row r="213" spans="1:13" ht="15" customHeight="1" x14ac:dyDescent="0.25">
      <c r="A213" s="207" t="s">
        <v>106</v>
      </c>
      <c r="B213" s="208"/>
      <c r="C213" s="208"/>
      <c r="D213" s="208"/>
      <c r="E213" s="208"/>
      <c r="F213" s="208"/>
      <c r="G213" s="208"/>
      <c r="H213" s="208"/>
      <c r="I213" s="208"/>
      <c r="J213" s="208"/>
      <c r="K213" s="208"/>
      <c r="L213" s="208"/>
      <c r="M213" s="209"/>
    </row>
    <row r="214" spans="1:13" x14ac:dyDescent="0.25">
      <c r="A214" s="207"/>
      <c r="B214" s="208"/>
      <c r="C214" s="208"/>
      <c r="D214" s="208"/>
      <c r="E214" s="208"/>
      <c r="F214" s="208"/>
      <c r="G214" s="208"/>
      <c r="H214" s="208"/>
      <c r="I214" s="208"/>
      <c r="J214" s="208"/>
      <c r="K214" s="208"/>
      <c r="L214" s="208"/>
      <c r="M214" s="209"/>
    </row>
    <row r="215" spans="1:13" x14ac:dyDescent="0.25">
      <c r="A215" s="15" t="s">
        <v>83</v>
      </c>
      <c r="B215" s="27">
        <v>1320</v>
      </c>
      <c r="C215" s="15">
        <v>605</v>
      </c>
      <c r="D215" s="27">
        <v>130</v>
      </c>
      <c r="E215" s="15">
        <v>43</v>
      </c>
      <c r="F215" s="15">
        <v>1311</v>
      </c>
      <c r="G215" s="15">
        <v>605</v>
      </c>
      <c r="H215" s="15">
        <v>130</v>
      </c>
      <c r="I215" s="15">
        <v>43</v>
      </c>
      <c r="J215" s="15">
        <v>9</v>
      </c>
      <c r="K215" s="15" t="s">
        <v>84</v>
      </c>
      <c r="L215" s="15" t="s">
        <v>84</v>
      </c>
      <c r="M215" s="15" t="s">
        <v>84</v>
      </c>
    </row>
    <row r="216" spans="1:13" ht="30" x14ac:dyDescent="0.25">
      <c r="A216" s="15" t="s">
        <v>151</v>
      </c>
      <c r="B216" s="15">
        <v>391</v>
      </c>
      <c r="C216" s="15">
        <v>214</v>
      </c>
      <c r="D216" s="15">
        <v>3</v>
      </c>
      <c r="E216" s="15">
        <v>2</v>
      </c>
      <c r="F216" s="15">
        <v>391</v>
      </c>
      <c r="G216" s="15">
        <v>214</v>
      </c>
      <c r="H216" s="15">
        <v>3</v>
      </c>
      <c r="I216" s="15">
        <v>2</v>
      </c>
      <c r="J216" s="15" t="s">
        <v>84</v>
      </c>
      <c r="K216" s="15" t="s">
        <v>84</v>
      </c>
      <c r="L216" s="15" t="s">
        <v>84</v>
      </c>
      <c r="M216" s="15" t="s">
        <v>84</v>
      </c>
    </row>
    <row r="217" spans="1:13" ht="60" x14ac:dyDescent="0.25">
      <c r="A217" s="15" t="s">
        <v>152</v>
      </c>
      <c r="B217" s="15">
        <v>19</v>
      </c>
      <c r="C217" s="15">
        <v>13</v>
      </c>
      <c r="D217" s="15" t="s">
        <v>84</v>
      </c>
      <c r="E217" s="15" t="s">
        <v>84</v>
      </c>
      <c r="F217" s="15">
        <v>19</v>
      </c>
      <c r="G217" s="15">
        <v>13</v>
      </c>
      <c r="H217" s="15" t="s">
        <v>84</v>
      </c>
      <c r="I217" s="15" t="s">
        <v>84</v>
      </c>
      <c r="J217" s="15" t="s">
        <v>84</v>
      </c>
      <c r="K217" s="15" t="s">
        <v>84</v>
      </c>
      <c r="L217" s="15" t="s">
        <v>84</v>
      </c>
      <c r="M217" s="15" t="s">
        <v>84</v>
      </c>
    </row>
    <row r="218" spans="1:13" ht="30" x14ac:dyDescent="0.25">
      <c r="A218" s="15" t="s">
        <v>85</v>
      </c>
      <c r="B218" s="15">
        <v>575</v>
      </c>
      <c r="C218" s="15">
        <v>268</v>
      </c>
      <c r="D218" s="15">
        <v>37</v>
      </c>
      <c r="E218" s="15">
        <v>15</v>
      </c>
      <c r="F218" s="15">
        <v>575</v>
      </c>
      <c r="G218" s="15">
        <v>268</v>
      </c>
      <c r="H218" s="15">
        <v>37</v>
      </c>
      <c r="I218" s="15">
        <v>15</v>
      </c>
      <c r="J218" s="15" t="s">
        <v>84</v>
      </c>
      <c r="K218" s="15" t="s">
        <v>84</v>
      </c>
      <c r="L218" s="15" t="s">
        <v>84</v>
      </c>
      <c r="M218" s="15" t="s">
        <v>84</v>
      </c>
    </row>
    <row r="219" spans="1:13" ht="30" x14ac:dyDescent="0.25">
      <c r="A219" s="15" t="s">
        <v>86</v>
      </c>
      <c r="B219" s="15">
        <v>198</v>
      </c>
      <c r="C219" s="15">
        <v>64</v>
      </c>
      <c r="D219" s="15">
        <v>33</v>
      </c>
      <c r="E219" s="15">
        <v>8</v>
      </c>
      <c r="F219" s="15">
        <v>190</v>
      </c>
      <c r="G219" s="15">
        <v>64</v>
      </c>
      <c r="H219" s="15">
        <v>33</v>
      </c>
      <c r="I219" s="15">
        <v>8</v>
      </c>
      <c r="J219" s="15">
        <v>8</v>
      </c>
      <c r="K219" s="15" t="s">
        <v>84</v>
      </c>
      <c r="L219" s="15" t="s">
        <v>84</v>
      </c>
      <c r="M219" s="15" t="s">
        <v>84</v>
      </c>
    </row>
    <row r="220" spans="1:13" ht="45" x14ac:dyDescent="0.25">
      <c r="A220" s="15" t="s">
        <v>87</v>
      </c>
      <c r="B220" s="15">
        <v>137</v>
      </c>
      <c r="C220" s="15">
        <v>46</v>
      </c>
      <c r="D220" s="15">
        <v>57</v>
      </c>
      <c r="E220" s="15">
        <v>18</v>
      </c>
      <c r="F220" s="15">
        <v>136</v>
      </c>
      <c r="G220" s="15">
        <v>46</v>
      </c>
      <c r="H220" s="15">
        <v>57</v>
      </c>
      <c r="I220" s="15">
        <v>18</v>
      </c>
      <c r="J220" s="15">
        <v>1</v>
      </c>
      <c r="K220" s="15" t="s">
        <v>84</v>
      </c>
      <c r="L220" s="15" t="s">
        <v>84</v>
      </c>
      <c r="M220" s="15" t="s">
        <v>84</v>
      </c>
    </row>
    <row r="221" spans="1:13" ht="45" x14ac:dyDescent="0.25">
      <c r="A221" s="15" t="s">
        <v>153</v>
      </c>
      <c r="B221" s="15">
        <v>28</v>
      </c>
      <c r="C221" s="15">
        <v>8</v>
      </c>
      <c r="D221" s="15">
        <v>7</v>
      </c>
      <c r="E221" s="15">
        <v>3</v>
      </c>
      <c r="F221" s="15">
        <v>28</v>
      </c>
      <c r="G221" s="15">
        <v>8</v>
      </c>
      <c r="H221" s="15">
        <v>7</v>
      </c>
      <c r="I221" s="15">
        <v>3</v>
      </c>
      <c r="J221" s="15" t="s">
        <v>84</v>
      </c>
      <c r="K221" s="15" t="s">
        <v>84</v>
      </c>
      <c r="L221" s="15" t="s">
        <v>84</v>
      </c>
      <c r="M221" s="15" t="s">
        <v>84</v>
      </c>
    </row>
    <row r="222" spans="1:13" ht="60" x14ac:dyDescent="0.25">
      <c r="A222" s="15" t="s">
        <v>154</v>
      </c>
      <c r="B222" s="15">
        <v>19</v>
      </c>
      <c r="C222" s="15">
        <v>9</v>
      </c>
      <c r="D222" s="15">
        <v>3</v>
      </c>
      <c r="E222" s="15">
        <v>2</v>
      </c>
      <c r="F222" s="15">
        <v>19</v>
      </c>
      <c r="G222" s="15">
        <v>9</v>
      </c>
      <c r="H222" s="15">
        <v>3</v>
      </c>
      <c r="I222" s="15">
        <v>2</v>
      </c>
      <c r="J222" s="15" t="s">
        <v>84</v>
      </c>
      <c r="K222" s="15" t="s">
        <v>84</v>
      </c>
      <c r="L222" s="15" t="s">
        <v>84</v>
      </c>
      <c r="M222" s="15" t="s">
        <v>84</v>
      </c>
    </row>
    <row r="223" spans="1:13" ht="15" customHeight="1" x14ac:dyDescent="0.25">
      <c r="A223" s="207" t="s">
        <v>107</v>
      </c>
      <c r="B223" s="208"/>
      <c r="C223" s="208"/>
      <c r="D223" s="208"/>
      <c r="E223" s="208"/>
      <c r="F223" s="208"/>
      <c r="G223" s="208"/>
      <c r="H223" s="208"/>
      <c r="I223" s="208"/>
      <c r="J223" s="208"/>
      <c r="K223" s="208"/>
      <c r="L223" s="208"/>
      <c r="M223" s="209"/>
    </row>
    <row r="224" spans="1:13" x14ac:dyDescent="0.25">
      <c r="A224" s="207"/>
      <c r="B224" s="208"/>
      <c r="C224" s="208"/>
      <c r="D224" s="208"/>
      <c r="E224" s="208"/>
      <c r="F224" s="208"/>
      <c r="G224" s="208"/>
      <c r="H224" s="208"/>
      <c r="I224" s="208"/>
      <c r="J224" s="208"/>
      <c r="K224" s="208"/>
      <c r="L224" s="208"/>
      <c r="M224" s="209"/>
    </row>
    <row r="225" spans="1:13" x14ac:dyDescent="0.25">
      <c r="A225" s="15" t="s">
        <v>83</v>
      </c>
      <c r="B225" s="27">
        <v>1565</v>
      </c>
      <c r="C225" s="15">
        <v>743</v>
      </c>
      <c r="D225" s="27">
        <v>161</v>
      </c>
      <c r="E225" s="15">
        <v>73</v>
      </c>
      <c r="F225" s="15">
        <v>1554</v>
      </c>
      <c r="G225" s="15">
        <v>738</v>
      </c>
      <c r="H225" s="15">
        <v>160</v>
      </c>
      <c r="I225" s="15">
        <v>72</v>
      </c>
      <c r="J225" s="15">
        <v>11</v>
      </c>
      <c r="K225" s="15">
        <v>5</v>
      </c>
      <c r="L225" s="15">
        <v>1</v>
      </c>
      <c r="M225" s="15">
        <v>1</v>
      </c>
    </row>
    <row r="226" spans="1:13" ht="30" x14ac:dyDescent="0.25">
      <c r="A226" s="15" t="s">
        <v>151</v>
      </c>
      <c r="B226" s="15">
        <v>620</v>
      </c>
      <c r="C226" s="15">
        <v>345</v>
      </c>
      <c r="D226" s="15">
        <v>24</v>
      </c>
      <c r="E226" s="15">
        <v>13</v>
      </c>
      <c r="F226" s="15">
        <v>620</v>
      </c>
      <c r="G226" s="15">
        <v>345</v>
      </c>
      <c r="H226" s="15">
        <v>24</v>
      </c>
      <c r="I226" s="15">
        <v>13</v>
      </c>
      <c r="J226" s="15" t="s">
        <v>84</v>
      </c>
      <c r="K226" s="15" t="s">
        <v>84</v>
      </c>
      <c r="L226" s="15" t="s">
        <v>84</v>
      </c>
      <c r="M226" s="15" t="s">
        <v>84</v>
      </c>
    </row>
    <row r="227" spans="1:13" ht="60" x14ac:dyDescent="0.25">
      <c r="A227" s="15" t="s">
        <v>152</v>
      </c>
      <c r="B227" s="15">
        <v>71</v>
      </c>
      <c r="C227" s="15">
        <v>42</v>
      </c>
      <c r="D227" s="15">
        <v>3</v>
      </c>
      <c r="E227" s="15">
        <v>2</v>
      </c>
      <c r="F227" s="15">
        <v>71</v>
      </c>
      <c r="G227" s="15">
        <v>42</v>
      </c>
      <c r="H227" s="15">
        <v>3</v>
      </c>
      <c r="I227" s="15">
        <v>2</v>
      </c>
      <c r="J227" s="15" t="s">
        <v>84</v>
      </c>
      <c r="K227" s="15" t="s">
        <v>84</v>
      </c>
      <c r="L227" s="15" t="s">
        <v>84</v>
      </c>
      <c r="M227" s="15" t="s">
        <v>84</v>
      </c>
    </row>
    <row r="228" spans="1:13" ht="30" x14ac:dyDescent="0.25">
      <c r="A228" s="15" t="s">
        <v>85</v>
      </c>
      <c r="B228" s="15">
        <v>521</v>
      </c>
      <c r="C228" s="15">
        <v>217</v>
      </c>
      <c r="D228" s="15">
        <v>61</v>
      </c>
      <c r="E228" s="15">
        <v>30</v>
      </c>
      <c r="F228" s="15">
        <v>514</v>
      </c>
      <c r="G228" s="15">
        <v>214</v>
      </c>
      <c r="H228" s="15">
        <v>60</v>
      </c>
      <c r="I228" s="15">
        <v>29</v>
      </c>
      <c r="J228" s="15">
        <v>7</v>
      </c>
      <c r="K228" s="15">
        <v>3</v>
      </c>
      <c r="L228" s="15">
        <v>1</v>
      </c>
      <c r="M228" s="15">
        <v>1</v>
      </c>
    </row>
    <row r="229" spans="1:13" ht="30" x14ac:dyDescent="0.25">
      <c r="A229" s="15" t="s">
        <v>86</v>
      </c>
      <c r="B229" s="15">
        <v>273</v>
      </c>
      <c r="C229" s="15">
        <v>112</v>
      </c>
      <c r="D229" s="15">
        <v>48</v>
      </c>
      <c r="E229" s="15">
        <v>22</v>
      </c>
      <c r="F229" s="15">
        <v>269</v>
      </c>
      <c r="G229" s="15">
        <v>110</v>
      </c>
      <c r="H229" s="15">
        <v>48</v>
      </c>
      <c r="I229" s="15">
        <v>22</v>
      </c>
      <c r="J229" s="15">
        <v>4</v>
      </c>
      <c r="K229" s="15">
        <v>2</v>
      </c>
      <c r="L229" s="15" t="s">
        <v>84</v>
      </c>
      <c r="M229" s="15" t="s">
        <v>84</v>
      </c>
    </row>
    <row r="230" spans="1:13" ht="45" x14ac:dyDescent="0.25">
      <c r="A230" s="15" t="s">
        <v>87</v>
      </c>
      <c r="B230" s="15">
        <v>80</v>
      </c>
      <c r="C230" s="15">
        <v>27</v>
      </c>
      <c r="D230" s="15">
        <v>25</v>
      </c>
      <c r="E230" s="15">
        <v>6</v>
      </c>
      <c r="F230" s="15">
        <v>80</v>
      </c>
      <c r="G230" s="15">
        <v>27</v>
      </c>
      <c r="H230" s="15">
        <v>25</v>
      </c>
      <c r="I230" s="15">
        <v>6</v>
      </c>
      <c r="J230" s="15" t="s">
        <v>84</v>
      </c>
      <c r="K230" s="15" t="s">
        <v>84</v>
      </c>
      <c r="L230" s="15" t="s">
        <v>84</v>
      </c>
      <c r="M230" s="15" t="s">
        <v>84</v>
      </c>
    </row>
    <row r="231" spans="1:13" ht="45" x14ac:dyDescent="0.25">
      <c r="A231" s="15" t="s">
        <v>153</v>
      </c>
      <c r="B231" s="15">
        <v>19</v>
      </c>
      <c r="C231" s="15">
        <v>5</v>
      </c>
      <c r="D231" s="15">
        <v>2</v>
      </c>
      <c r="E231" s="15" t="s">
        <v>84</v>
      </c>
      <c r="F231" s="15">
        <v>19</v>
      </c>
      <c r="G231" s="15">
        <v>5</v>
      </c>
      <c r="H231" s="15">
        <v>2</v>
      </c>
      <c r="I231" s="15" t="s">
        <v>84</v>
      </c>
      <c r="J231" s="15" t="s">
        <v>84</v>
      </c>
      <c r="K231" s="15" t="s">
        <v>84</v>
      </c>
      <c r="L231" s="15" t="s">
        <v>84</v>
      </c>
      <c r="M231" s="15" t="s">
        <v>84</v>
      </c>
    </row>
    <row r="232" spans="1:13" ht="60" x14ac:dyDescent="0.25">
      <c r="A232" s="15" t="s">
        <v>154</v>
      </c>
      <c r="B232" s="15">
        <v>9</v>
      </c>
      <c r="C232" s="15">
        <v>2</v>
      </c>
      <c r="D232" s="15">
        <v>4</v>
      </c>
      <c r="E232" s="15">
        <v>1</v>
      </c>
      <c r="F232" s="15">
        <v>9</v>
      </c>
      <c r="G232" s="15">
        <v>2</v>
      </c>
      <c r="H232" s="15">
        <v>4</v>
      </c>
      <c r="I232" s="15">
        <v>1</v>
      </c>
      <c r="J232" s="15" t="s">
        <v>84</v>
      </c>
      <c r="K232" s="15" t="s">
        <v>84</v>
      </c>
      <c r="L232" s="15" t="s">
        <v>84</v>
      </c>
      <c r="M232" s="15" t="s">
        <v>84</v>
      </c>
    </row>
    <row r="233" spans="1:13" ht="15" customHeight="1" x14ac:dyDescent="0.25">
      <c r="A233" s="207" t="s">
        <v>108</v>
      </c>
      <c r="B233" s="208"/>
      <c r="C233" s="208"/>
      <c r="D233" s="208"/>
      <c r="E233" s="208"/>
      <c r="F233" s="208"/>
      <c r="G233" s="208"/>
      <c r="H233" s="208"/>
      <c r="I233" s="208"/>
      <c r="J233" s="208"/>
      <c r="K233" s="208"/>
      <c r="L233" s="208"/>
      <c r="M233" s="209"/>
    </row>
    <row r="234" spans="1:13" x14ac:dyDescent="0.25">
      <c r="A234" s="207"/>
      <c r="B234" s="208"/>
      <c r="C234" s="208"/>
      <c r="D234" s="208"/>
      <c r="E234" s="208"/>
      <c r="F234" s="208"/>
      <c r="G234" s="208"/>
      <c r="H234" s="208"/>
      <c r="I234" s="208"/>
      <c r="J234" s="208"/>
      <c r="K234" s="208"/>
      <c r="L234" s="208"/>
      <c r="M234" s="209"/>
    </row>
    <row r="235" spans="1:13" x14ac:dyDescent="0.25">
      <c r="A235" s="15" t="s">
        <v>83</v>
      </c>
      <c r="B235" s="27">
        <v>17192</v>
      </c>
      <c r="C235" s="15">
        <v>8265</v>
      </c>
      <c r="D235" s="27">
        <v>895</v>
      </c>
      <c r="E235" s="15">
        <v>398</v>
      </c>
      <c r="F235" s="15">
        <v>16606</v>
      </c>
      <c r="G235" s="15">
        <v>7968</v>
      </c>
      <c r="H235" s="15">
        <v>881</v>
      </c>
      <c r="I235" s="15">
        <v>393</v>
      </c>
      <c r="J235" s="15">
        <v>586</v>
      </c>
      <c r="K235" s="15">
        <v>297</v>
      </c>
      <c r="L235" s="15">
        <v>14</v>
      </c>
      <c r="M235" s="15">
        <v>5</v>
      </c>
    </row>
    <row r="236" spans="1:13" ht="30" x14ac:dyDescent="0.25">
      <c r="A236" s="15" t="s">
        <v>151</v>
      </c>
      <c r="B236" s="15">
        <v>5400</v>
      </c>
      <c r="C236" s="15">
        <v>2961</v>
      </c>
      <c r="D236" s="15">
        <v>59</v>
      </c>
      <c r="E236" s="15">
        <v>37</v>
      </c>
      <c r="F236" s="15">
        <v>5066</v>
      </c>
      <c r="G236" s="15">
        <v>2763</v>
      </c>
      <c r="H236" s="15">
        <v>54</v>
      </c>
      <c r="I236" s="15">
        <v>33</v>
      </c>
      <c r="J236" s="15">
        <v>334</v>
      </c>
      <c r="K236" s="15">
        <v>198</v>
      </c>
      <c r="L236" s="15">
        <v>5</v>
      </c>
      <c r="M236" s="15">
        <v>4</v>
      </c>
    </row>
    <row r="237" spans="1:13" ht="60" x14ac:dyDescent="0.25">
      <c r="A237" s="15" t="s">
        <v>152</v>
      </c>
      <c r="B237" s="15">
        <v>412</v>
      </c>
      <c r="C237" s="15">
        <v>211</v>
      </c>
      <c r="D237" s="15">
        <v>10</v>
      </c>
      <c r="E237" s="15">
        <v>6</v>
      </c>
      <c r="F237" s="15">
        <v>386</v>
      </c>
      <c r="G237" s="15">
        <v>199</v>
      </c>
      <c r="H237" s="15">
        <v>10</v>
      </c>
      <c r="I237" s="15">
        <v>6</v>
      </c>
      <c r="J237" s="15">
        <v>26</v>
      </c>
      <c r="K237" s="15">
        <v>12</v>
      </c>
      <c r="L237" s="15" t="s">
        <v>84</v>
      </c>
      <c r="M237" s="15" t="s">
        <v>84</v>
      </c>
    </row>
    <row r="238" spans="1:13" ht="30" x14ac:dyDescent="0.25">
      <c r="A238" s="15" t="s">
        <v>85</v>
      </c>
      <c r="B238" s="15">
        <v>7772</v>
      </c>
      <c r="C238" s="15">
        <v>3695</v>
      </c>
      <c r="D238" s="15">
        <v>369</v>
      </c>
      <c r="E238" s="15">
        <v>176</v>
      </c>
      <c r="F238" s="15">
        <v>7646</v>
      </c>
      <c r="G238" s="15">
        <v>3636</v>
      </c>
      <c r="H238" s="15">
        <v>366</v>
      </c>
      <c r="I238" s="15">
        <v>175</v>
      </c>
      <c r="J238" s="15">
        <v>126</v>
      </c>
      <c r="K238" s="15">
        <v>59</v>
      </c>
      <c r="L238" s="15">
        <v>3</v>
      </c>
      <c r="M238" s="15">
        <v>1</v>
      </c>
    </row>
    <row r="239" spans="1:13" ht="30" x14ac:dyDescent="0.25">
      <c r="A239" s="15" t="s">
        <v>86</v>
      </c>
      <c r="B239" s="15">
        <v>2561</v>
      </c>
      <c r="C239" s="15">
        <v>995</v>
      </c>
      <c r="D239" s="15">
        <v>259</v>
      </c>
      <c r="E239" s="15">
        <v>97</v>
      </c>
      <c r="F239" s="15">
        <v>2533</v>
      </c>
      <c r="G239" s="15">
        <v>986</v>
      </c>
      <c r="H239" s="15">
        <v>258</v>
      </c>
      <c r="I239" s="15">
        <v>97</v>
      </c>
      <c r="J239" s="15">
        <v>28</v>
      </c>
      <c r="K239" s="15">
        <v>9</v>
      </c>
      <c r="L239" s="15">
        <v>1</v>
      </c>
      <c r="M239" s="15" t="s">
        <v>84</v>
      </c>
    </row>
    <row r="240" spans="1:13" ht="45" x14ac:dyDescent="0.25">
      <c r="A240" s="15" t="s">
        <v>87</v>
      </c>
      <c r="B240" s="15">
        <v>1047</v>
      </c>
      <c r="C240" s="15">
        <v>403</v>
      </c>
      <c r="D240" s="15">
        <v>198</v>
      </c>
      <c r="E240" s="15">
        <v>82</v>
      </c>
      <c r="F240" s="15">
        <v>975</v>
      </c>
      <c r="G240" s="15">
        <v>384</v>
      </c>
      <c r="H240" s="15">
        <v>193</v>
      </c>
      <c r="I240" s="15">
        <v>82</v>
      </c>
      <c r="J240" s="15">
        <v>72</v>
      </c>
      <c r="K240" s="15">
        <v>19</v>
      </c>
      <c r="L240" s="15">
        <v>5</v>
      </c>
      <c r="M240" s="15" t="s">
        <v>84</v>
      </c>
    </row>
    <row r="241" spans="1:13" ht="45" x14ac:dyDescent="0.25">
      <c r="A241" s="15" t="s">
        <v>153</v>
      </c>
      <c r="B241" s="15">
        <v>277</v>
      </c>
      <c r="C241" s="15">
        <v>112</v>
      </c>
      <c r="D241" s="15">
        <v>12</v>
      </c>
      <c r="E241" s="15">
        <v>9</v>
      </c>
      <c r="F241" s="15">
        <v>273</v>
      </c>
      <c r="G241" s="15">
        <v>111</v>
      </c>
      <c r="H241" s="15">
        <v>12</v>
      </c>
      <c r="I241" s="15">
        <v>9</v>
      </c>
      <c r="J241" s="15">
        <v>4</v>
      </c>
      <c r="K241" s="15">
        <v>1</v>
      </c>
      <c r="L241" s="15" t="s">
        <v>84</v>
      </c>
      <c r="M241" s="15" t="s">
        <v>84</v>
      </c>
    </row>
    <row r="242" spans="1:13" ht="60" x14ac:dyDescent="0.25">
      <c r="A242" s="15" t="s">
        <v>154</v>
      </c>
      <c r="B242" s="15">
        <v>156</v>
      </c>
      <c r="C242" s="15">
        <v>49</v>
      </c>
      <c r="D242" s="15">
        <v>8</v>
      </c>
      <c r="E242" s="15">
        <v>4</v>
      </c>
      <c r="F242" s="15">
        <v>107</v>
      </c>
      <c r="G242" s="15">
        <v>34</v>
      </c>
      <c r="H242" s="15">
        <v>8</v>
      </c>
      <c r="I242" s="15">
        <v>4</v>
      </c>
      <c r="J242" s="15">
        <v>49</v>
      </c>
      <c r="K242" s="15">
        <v>15</v>
      </c>
      <c r="L242" s="15" t="s">
        <v>84</v>
      </c>
      <c r="M242" s="15" t="s">
        <v>84</v>
      </c>
    </row>
    <row r="243" spans="1:13" ht="15" customHeight="1" x14ac:dyDescent="0.25">
      <c r="A243" s="207" t="s">
        <v>109</v>
      </c>
      <c r="B243" s="208"/>
      <c r="C243" s="208"/>
      <c r="D243" s="208"/>
      <c r="E243" s="208"/>
      <c r="F243" s="208"/>
      <c r="G243" s="208"/>
      <c r="H243" s="208"/>
      <c r="I243" s="208"/>
      <c r="J243" s="208"/>
      <c r="K243" s="208"/>
      <c r="L243" s="208"/>
      <c r="M243" s="209"/>
    </row>
    <row r="244" spans="1:13" x14ac:dyDescent="0.25">
      <c r="A244" s="207"/>
      <c r="B244" s="208"/>
      <c r="C244" s="208"/>
      <c r="D244" s="208"/>
      <c r="E244" s="208"/>
      <c r="F244" s="208"/>
      <c r="G244" s="208"/>
      <c r="H244" s="208"/>
      <c r="I244" s="208"/>
      <c r="J244" s="208"/>
      <c r="K244" s="208"/>
      <c r="L244" s="208"/>
      <c r="M244" s="209"/>
    </row>
    <row r="245" spans="1:13" x14ac:dyDescent="0.25">
      <c r="A245" s="15" t="s">
        <v>83</v>
      </c>
      <c r="B245" s="27">
        <v>1801</v>
      </c>
      <c r="C245" s="15">
        <v>845</v>
      </c>
      <c r="D245" s="27">
        <v>105</v>
      </c>
      <c r="E245" s="15">
        <v>50</v>
      </c>
      <c r="F245" s="15">
        <v>1792</v>
      </c>
      <c r="G245" s="15">
        <v>845</v>
      </c>
      <c r="H245" s="15">
        <v>105</v>
      </c>
      <c r="I245" s="15">
        <v>50</v>
      </c>
      <c r="J245" s="15">
        <v>9</v>
      </c>
      <c r="K245" s="15" t="s">
        <v>84</v>
      </c>
      <c r="L245" s="15" t="s">
        <v>84</v>
      </c>
      <c r="M245" s="15" t="s">
        <v>84</v>
      </c>
    </row>
    <row r="246" spans="1:13" ht="30" x14ac:dyDescent="0.25">
      <c r="A246" s="15" t="s">
        <v>151</v>
      </c>
      <c r="B246" s="15">
        <v>466</v>
      </c>
      <c r="C246" s="15">
        <v>238</v>
      </c>
      <c r="D246" s="15">
        <v>6</v>
      </c>
      <c r="E246" s="15">
        <v>5</v>
      </c>
      <c r="F246" s="15">
        <v>466</v>
      </c>
      <c r="G246" s="15">
        <v>238</v>
      </c>
      <c r="H246" s="15">
        <v>6</v>
      </c>
      <c r="I246" s="15">
        <v>5</v>
      </c>
      <c r="J246" s="15" t="s">
        <v>84</v>
      </c>
      <c r="K246" s="15" t="s">
        <v>84</v>
      </c>
      <c r="L246" s="15" t="s">
        <v>84</v>
      </c>
      <c r="M246" s="15" t="s">
        <v>84</v>
      </c>
    </row>
    <row r="247" spans="1:13" ht="60" x14ac:dyDescent="0.25">
      <c r="A247" s="15" t="s">
        <v>152</v>
      </c>
      <c r="B247" s="15">
        <v>36</v>
      </c>
      <c r="C247" s="15">
        <v>18</v>
      </c>
      <c r="D247" s="15">
        <v>2</v>
      </c>
      <c r="E247" s="15">
        <v>1</v>
      </c>
      <c r="F247" s="15">
        <v>36</v>
      </c>
      <c r="G247" s="15">
        <v>18</v>
      </c>
      <c r="H247" s="15">
        <v>2</v>
      </c>
      <c r="I247" s="15">
        <v>1</v>
      </c>
      <c r="J247" s="15" t="s">
        <v>84</v>
      </c>
      <c r="K247" s="15" t="s">
        <v>84</v>
      </c>
      <c r="L247" s="15" t="s">
        <v>84</v>
      </c>
      <c r="M247" s="15" t="s">
        <v>84</v>
      </c>
    </row>
    <row r="248" spans="1:13" ht="30" x14ac:dyDescent="0.25">
      <c r="A248" s="15" t="s">
        <v>85</v>
      </c>
      <c r="B248" s="15">
        <v>791</v>
      </c>
      <c r="C248" s="15">
        <v>388</v>
      </c>
      <c r="D248" s="15">
        <v>33</v>
      </c>
      <c r="E248" s="15">
        <v>16</v>
      </c>
      <c r="F248" s="15">
        <v>786</v>
      </c>
      <c r="G248" s="15">
        <v>388</v>
      </c>
      <c r="H248" s="15">
        <v>33</v>
      </c>
      <c r="I248" s="15">
        <v>16</v>
      </c>
      <c r="J248" s="15">
        <v>5</v>
      </c>
      <c r="K248" s="15" t="s">
        <v>84</v>
      </c>
      <c r="L248" s="15" t="s">
        <v>84</v>
      </c>
      <c r="M248" s="15" t="s">
        <v>84</v>
      </c>
    </row>
    <row r="249" spans="1:13" ht="30" x14ac:dyDescent="0.25">
      <c r="A249" s="15" t="s">
        <v>86</v>
      </c>
      <c r="B249" s="15">
        <v>358</v>
      </c>
      <c r="C249" s="15">
        <v>143</v>
      </c>
      <c r="D249" s="15">
        <v>32</v>
      </c>
      <c r="E249" s="15">
        <v>12</v>
      </c>
      <c r="F249" s="15">
        <v>358</v>
      </c>
      <c r="G249" s="15">
        <v>143</v>
      </c>
      <c r="H249" s="15">
        <v>32</v>
      </c>
      <c r="I249" s="15">
        <v>12</v>
      </c>
      <c r="J249" s="15" t="s">
        <v>84</v>
      </c>
      <c r="K249" s="15" t="s">
        <v>84</v>
      </c>
      <c r="L249" s="15" t="s">
        <v>84</v>
      </c>
      <c r="M249" s="15" t="s">
        <v>84</v>
      </c>
    </row>
    <row r="250" spans="1:13" ht="45" x14ac:dyDescent="0.25">
      <c r="A250" s="15" t="s">
        <v>87</v>
      </c>
      <c r="B250" s="15">
        <v>150</v>
      </c>
      <c r="C250" s="15">
        <v>58</v>
      </c>
      <c r="D250" s="15">
        <v>32</v>
      </c>
      <c r="E250" s="15">
        <v>16</v>
      </c>
      <c r="F250" s="15">
        <v>146</v>
      </c>
      <c r="G250" s="15">
        <v>58</v>
      </c>
      <c r="H250" s="15">
        <v>32</v>
      </c>
      <c r="I250" s="15">
        <v>16</v>
      </c>
      <c r="J250" s="15">
        <v>4</v>
      </c>
      <c r="K250" s="15" t="s">
        <v>84</v>
      </c>
      <c r="L250" s="15" t="s">
        <v>84</v>
      </c>
      <c r="M250" s="15" t="s">
        <v>84</v>
      </c>
    </row>
    <row r="251" spans="1:13" ht="45" x14ac:dyDescent="0.25">
      <c r="A251" s="15" t="s">
        <v>153</v>
      </c>
      <c r="B251" s="15">
        <v>38</v>
      </c>
      <c r="C251" s="15">
        <v>16</v>
      </c>
      <c r="D251" s="15" t="s">
        <v>84</v>
      </c>
      <c r="E251" s="15" t="s">
        <v>84</v>
      </c>
      <c r="F251" s="15">
        <v>38</v>
      </c>
      <c r="G251" s="15">
        <v>16</v>
      </c>
      <c r="H251" s="15" t="s">
        <v>84</v>
      </c>
      <c r="I251" s="15" t="s">
        <v>84</v>
      </c>
      <c r="J251" s="15" t="s">
        <v>84</v>
      </c>
      <c r="K251" s="15" t="s">
        <v>84</v>
      </c>
      <c r="L251" s="15" t="s">
        <v>84</v>
      </c>
      <c r="M251" s="15" t="s">
        <v>84</v>
      </c>
    </row>
    <row r="252" spans="1:13" ht="60" x14ac:dyDescent="0.25">
      <c r="A252" s="15" t="s">
        <v>154</v>
      </c>
      <c r="B252" s="15">
        <v>21</v>
      </c>
      <c r="C252" s="15">
        <v>5</v>
      </c>
      <c r="D252" s="15">
        <v>1</v>
      </c>
      <c r="E252" s="15" t="s">
        <v>84</v>
      </c>
      <c r="F252" s="15">
        <v>21</v>
      </c>
      <c r="G252" s="15">
        <v>5</v>
      </c>
      <c r="H252" s="15">
        <v>1</v>
      </c>
      <c r="I252" s="15" t="s">
        <v>84</v>
      </c>
      <c r="J252" s="15" t="s">
        <v>84</v>
      </c>
      <c r="K252" s="15" t="s">
        <v>84</v>
      </c>
      <c r="L252" s="15" t="s">
        <v>84</v>
      </c>
      <c r="M252" s="15" t="s">
        <v>84</v>
      </c>
    </row>
    <row r="253" spans="1:13" ht="15" customHeight="1" x14ac:dyDescent="0.25">
      <c r="A253" s="207" t="s">
        <v>110</v>
      </c>
      <c r="B253" s="208"/>
      <c r="C253" s="208"/>
      <c r="D253" s="208"/>
      <c r="E253" s="208"/>
      <c r="F253" s="208"/>
      <c r="G253" s="208"/>
      <c r="H253" s="208"/>
      <c r="I253" s="208"/>
      <c r="J253" s="208"/>
      <c r="K253" s="208"/>
      <c r="L253" s="208"/>
      <c r="M253" s="209"/>
    </row>
    <row r="254" spans="1:13" x14ac:dyDescent="0.25">
      <c r="A254" s="207"/>
      <c r="B254" s="208"/>
      <c r="C254" s="208"/>
      <c r="D254" s="208"/>
      <c r="E254" s="208"/>
      <c r="F254" s="208"/>
      <c r="G254" s="208"/>
      <c r="H254" s="208"/>
      <c r="I254" s="208"/>
      <c r="J254" s="208"/>
      <c r="K254" s="208"/>
      <c r="L254" s="208"/>
      <c r="M254" s="209"/>
    </row>
    <row r="255" spans="1:13" x14ac:dyDescent="0.25">
      <c r="A255" s="15" t="s">
        <v>83</v>
      </c>
      <c r="B255" s="27">
        <v>1799</v>
      </c>
      <c r="C255" s="15">
        <v>850</v>
      </c>
      <c r="D255" s="27">
        <v>120</v>
      </c>
      <c r="E255" s="15">
        <v>52</v>
      </c>
      <c r="F255" s="15">
        <v>1693</v>
      </c>
      <c r="G255" s="15">
        <v>790</v>
      </c>
      <c r="H255" s="15">
        <v>119</v>
      </c>
      <c r="I255" s="15">
        <v>52</v>
      </c>
      <c r="J255" s="15">
        <v>106</v>
      </c>
      <c r="K255" s="15">
        <v>60</v>
      </c>
      <c r="L255" s="15">
        <v>1</v>
      </c>
      <c r="M255" s="15" t="s">
        <v>84</v>
      </c>
    </row>
    <row r="256" spans="1:13" ht="30" x14ac:dyDescent="0.25">
      <c r="A256" s="15" t="s">
        <v>151</v>
      </c>
      <c r="B256" s="15">
        <v>434</v>
      </c>
      <c r="C256" s="15">
        <v>235</v>
      </c>
      <c r="D256" s="15">
        <v>3</v>
      </c>
      <c r="E256" s="15">
        <v>1</v>
      </c>
      <c r="F256" s="15">
        <v>364</v>
      </c>
      <c r="G256" s="15">
        <v>197</v>
      </c>
      <c r="H256" s="15">
        <v>3</v>
      </c>
      <c r="I256" s="15">
        <v>1</v>
      </c>
      <c r="J256" s="15">
        <v>70</v>
      </c>
      <c r="K256" s="15">
        <v>38</v>
      </c>
      <c r="L256" s="15" t="s">
        <v>84</v>
      </c>
      <c r="M256" s="15" t="s">
        <v>84</v>
      </c>
    </row>
    <row r="257" spans="1:13" ht="60" x14ac:dyDescent="0.25">
      <c r="A257" s="15" t="s">
        <v>152</v>
      </c>
      <c r="B257" s="15">
        <v>50</v>
      </c>
      <c r="C257" s="15">
        <v>29</v>
      </c>
      <c r="D257" s="15">
        <v>1</v>
      </c>
      <c r="E257" s="15">
        <v>1</v>
      </c>
      <c r="F257" s="15">
        <v>42</v>
      </c>
      <c r="G257" s="15">
        <v>23</v>
      </c>
      <c r="H257" s="15">
        <v>1</v>
      </c>
      <c r="I257" s="15">
        <v>1</v>
      </c>
      <c r="J257" s="15">
        <v>8</v>
      </c>
      <c r="K257" s="15">
        <v>6</v>
      </c>
      <c r="L257" s="15" t="s">
        <v>84</v>
      </c>
      <c r="M257" s="15" t="s">
        <v>84</v>
      </c>
    </row>
    <row r="258" spans="1:13" ht="30" x14ac:dyDescent="0.25">
      <c r="A258" s="15" t="s">
        <v>85</v>
      </c>
      <c r="B258" s="15">
        <v>885</v>
      </c>
      <c r="C258" s="15">
        <v>428</v>
      </c>
      <c r="D258" s="15">
        <v>53</v>
      </c>
      <c r="E258" s="15">
        <v>25</v>
      </c>
      <c r="F258" s="15">
        <v>859</v>
      </c>
      <c r="G258" s="15">
        <v>413</v>
      </c>
      <c r="H258" s="15">
        <v>52</v>
      </c>
      <c r="I258" s="15">
        <v>25</v>
      </c>
      <c r="J258" s="15">
        <v>26</v>
      </c>
      <c r="K258" s="15">
        <v>15</v>
      </c>
      <c r="L258" s="15">
        <v>1</v>
      </c>
      <c r="M258" s="15" t="s">
        <v>84</v>
      </c>
    </row>
    <row r="259" spans="1:13" ht="30" x14ac:dyDescent="0.25">
      <c r="A259" s="15" t="s">
        <v>86</v>
      </c>
      <c r="B259" s="15">
        <v>289</v>
      </c>
      <c r="C259" s="15">
        <v>104</v>
      </c>
      <c r="D259" s="15">
        <v>40</v>
      </c>
      <c r="E259" s="15">
        <v>14</v>
      </c>
      <c r="F259" s="15">
        <v>288</v>
      </c>
      <c r="G259" s="15">
        <v>103</v>
      </c>
      <c r="H259" s="15">
        <v>40</v>
      </c>
      <c r="I259" s="15">
        <v>14</v>
      </c>
      <c r="J259" s="15">
        <v>1</v>
      </c>
      <c r="K259" s="15">
        <v>1</v>
      </c>
      <c r="L259" s="15" t="s">
        <v>84</v>
      </c>
      <c r="M259" s="15" t="s">
        <v>84</v>
      </c>
    </row>
    <row r="260" spans="1:13" ht="45" x14ac:dyDescent="0.25">
      <c r="A260" s="15" t="s">
        <v>87</v>
      </c>
      <c r="B260" s="15">
        <v>141</v>
      </c>
      <c r="C260" s="15">
        <v>54</v>
      </c>
      <c r="D260" s="15">
        <v>23</v>
      </c>
      <c r="E260" s="15">
        <v>11</v>
      </c>
      <c r="F260" s="15">
        <v>140</v>
      </c>
      <c r="G260" s="15">
        <v>54</v>
      </c>
      <c r="H260" s="15">
        <v>23</v>
      </c>
      <c r="I260" s="15">
        <v>11</v>
      </c>
      <c r="J260" s="15">
        <v>1</v>
      </c>
      <c r="K260" s="15" t="s">
        <v>84</v>
      </c>
      <c r="L260" s="15" t="s">
        <v>84</v>
      </c>
      <c r="M260" s="15" t="s">
        <v>84</v>
      </c>
    </row>
    <row r="261" spans="1:13" ht="45" x14ac:dyDescent="0.25">
      <c r="A261" s="15" t="s">
        <v>153</v>
      </c>
      <c r="B261" s="15">
        <v>43</v>
      </c>
      <c r="C261" s="15">
        <v>18</v>
      </c>
      <c r="D261" s="15">
        <v>3</v>
      </c>
      <c r="E261" s="15">
        <v>2</v>
      </c>
      <c r="F261" s="15">
        <v>43</v>
      </c>
      <c r="G261" s="15">
        <v>18</v>
      </c>
      <c r="H261" s="15">
        <v>3</v>
      </c>
      <c r="I261" s="15">
        <v>2</v>
      </c>
      <c r="J261" s="15" t="s">
        <v>84</v>
      </c>
      <c r="K261" s="15" t="s">
        <v>84</v>
      </c>
      <c r="L261" s="15" t="s">
        <v>84</v>
      </c>
      <c r="M261" s="15" t="s">
        <v>84</v>
      </c>
    </row>
    <row r="262" spans="1:13" ht="60" x14ac:dyDescent="0.25">
      <c r="A262" s="15" t="s">
        <v>154</v>
      </c>
      <c r="B262" s="15">
        <v>23</v>
      </c>
      <c r="C262" s="15">
        <v>9</v>
      </c>
      <c r="D262" s="15">
        <v>2</v>
      </c>
      <c r="E262" s="15">
        <v>2</v>
      </c>
      <c r="F262" s="15">
        <v>23</v>
      </c>
      <c r="G262" s="15">
        <v>9</v>
      </c>
      <c r="H262" s="15">
        <v>2</v>
      </c>
      <c r="I262" s="15">
        <v>2</v>
      </c>
      <c r="J262" s="15" t="s">
        <v>84</v>
      </c>
      <c r="K262" s="15" t="s">
        <v>84</v>
      </c>
      <c r="L262" s="15" t="s">
        <v>84</v>
      </c>
      <c r="M262" s="15" t="s">
        <v>84</v>
      </c>
    </row>
    <row r="263" spans="1:13" ht="15" customHeight="1" x14ac:dyDescent="0.25">
      <c r="A263" s="207" t="s">
        <v>111</v>
      </c>
      <c r="B263" s="208"/>
      <c r="C263" s="208"/>
      <c r="D263" s="208"/>
      <c r="E263" s="208"/>
      <c r="F263" s="208"/>
      <c r="G263" s="208"/>
      <c r="H263" s="208"/>
      <c r="I263" s="208"/>
      <c r="J263" s="208"/>
      <c r="K263" s="208"/>
      <c r="L263" s="208"/>
      <c r="M263" s="209"/>
    </row>
    <row r="264" spans="1:13" x14ac:dyDescent="0.25">
      <c r="A264" s="207"/>
      <c r="B264" s="208"/>
      <c r="C264" s="208"/>
      <c r="D264" s="208"/>
      <c r="E264" s="208"/>
      <c r="F264" s="208"/>
      <c r="G264" s="208"/>
      <c r="H264" s="208"/>
      <c r="I264" s="208"/>
      <c r="J264" s="208"/>
      <c r="K264" s="208"/>
      <c r="L264" s="208"/>
      <c r="M264" s="209"/>
    </row>
    <row r="265" spans="1:13" x14ac:dyDescent="0.25">
      <c r="A265" s="15" t="s">
        <v>83</v>
      </c>
      <c r="B265" s="27">
        <v>2389</v>
      </c>
      <c r="C265" s="15">
        <v>1183</v>
      </c>
      <c r="D265" s="27">
        <v>85</v>
      </c>
      <c r="E265" s="15">
        <v>41</v>
      </c>
      <c r="F265" s="15">
        <v>2344</v>
      </c>
      <c r="G265" s="15">
        <v>1155</v>
      </c>
      <c r="H265" s="15">
        <v>85</v>
      </c>
      <c r="I265" s="15">
        <v>41</v>
      </c>
      <c r="J265" s="15">
        <v>45</v>
      </c>
      <c r="K265" s="15">
        <v>28</v>
      </c>
      <c r="L265" s="15" t="s">
        <v>84</v>
      </c>
      <c r="M265" s="15" t="s">
        <v>84</v>
      </c>
    </row>
    <row r="266" spans="1:13" ht="30" x14ac:dyDescent="0.25">
      <c r="A266" s="15" t="s">
        <v>151</v>
      </c>
      <c r="B266" s="15">
        <v>900</v>
      </c>
      <c r="C266" s="15">
        <v>495</v>
      </c>
      <c r="D266" s="15">
        <v>7</v>
      </c>
      <c r="E266" s="15">
        <v>3</v>
      </c>
      <c r="F266" s="15">
        <v>890</v>
      </c>
      <c r="G266" s="15">
        <v>487</v>
      </c>
      <c r="H266" s="15">
        <v>7</v>
      </c>
      <c r="I266" s="15">
        <v>3</v>
      </c>
      <c r="J266" s="15">
        <v>10</v>
      </c>
      <c r="K266" s="15">
        <v>8</v>
      </c>
      <c r="L266" s="15" t="s">
        <v>84</v>
      </c>
      <c r="M266" s="15" t="s">
        <v>84</v>
      </c>
    </row>
    <row r="267" spans="1:13" ht="60" x14ac:dyDescent="0.25">
      <c r="A267" s="15" t="s">
        <v>152</v>
      </c>
      <c r="B267" s="15">
        <v>50</v>
      </c>
      <c r="C267" s="15">
        <v>24</v>
      </c>
      <c r="D267" s="15">
        <v>1</v>
      </c>
      <c r="E267" s="15" t="s">
        <v>84</v>
      </c>
      <c r="F267" s="15">
        <v>45</v>
      </c>
      <c r="G267" s="15">
        <v>22</v>
      </c>
      <c r="H267" s="15">
        <v>1</v>
      </c>
      <c r="I267" s="15" t="s">
        <v>84</v>
      </c>
      <c r="J267" s="15">
        <v>5</v>
      </c>
      <c r="K267" s="15">
        <v>2</v>
      </c>
      <c r="L267" s="15" t="s">
        <v>84</v>
      </c>
      <c r="M267" s="15" t="s">
        <v>84</v>
      </c>
    </row>
    <row r="268" spans="1:13" ht="30" x14ac:dyDescent="0.25">
      <c r="A268" s="15" t="s">
        <v>85</v>
      </c>
      <c r="B268" s="15">
        <v>1077</v>
      </c>
      <c r="C268" s="15">
        <v>517</v>
      </c>
      <c r="D268" s="15">
        <v>32</v>
      </c>
      <c r="E268" s="15">
        <v>19</v>
      </c>
      <c r="F268" s="15">
        <v>1052</v>
      </c>
      <c r="G268" s="15">
        <v>502</v>
      </c>
      <c r="H268" s="15">
        <v>32</v>
      </c>
      <c r="I268" s="15">
        <v>19</v>
      </c>
      <c r="J268" s="15">
        <v>25</v>
      </c>
      <c r="K268" s="15">
        <v>15</v>
      </c>
      <c r="L268" s="15" t="s">
        <v>84</v>
      </c>
      <c r="M268" s="15" t="s">
        <v>84</v>
      </c>
    </row>
    <row r="269" spans="1:13" ht="30" x14ac:dyDescent="0.25">
      <c r="A269" s="15" t="s">
        <v>86</v>
      </c>
      <c r="B269" s="15">
        <v>281</v>
      </c>
      <c r="C269" s="15">
        <v>117</v>
      </c>
      <c r="D269" s="15">
        <v>27</v>
      </c>
      <c r="E269" s="15">
        <v>13</v>
      </c>
      <c r="F269" s="15">
        <v>278</v>
      </c>
      <c r="G269" s="15">
        <v>115</v>
      </c>
      <c r="H269" s="15">
        <v>27</v>
      </c>
      <c r="I269" s="15">
        <v>13</v>
      </c>
      <c r="J269" s="15">
        <v>3</v>
      </c>
      <c r="K269" s="15">
        <v>2</v>
      </c>
      <c r="L269" s="15" t="s">
        <v>84</v>
      </c>
      <c r="M269" s="15" t="s">
        <v>84</v>
      </c>
    </row>
    <row r="270" spans="1:13" ht="45" x14ac:dyDescent="0.25">
      <c r="A270" s="15" t="s">
        <v>87</v>
      </c>
      <c r="B270" s="15">
        <v>81</v>
      </c>
      <c r="C270" s="15">
        <v>30</v>
      </c>
      <c r="D270" s="15">
        <v>18</v>
      </c>
      <c r="E270" s="15">
        <v>6</v>
      </c>
      <c r="F270" s="15">
        <v>79</v>
      </c>
      <c r="G270" s="15">
        <v>29</v>
      </c>
      <c r="H270" s="15">
        <v>18</v>
      </c>
      <c r="I270" s="15">
        <v>6</v>
      </c>
      <c r="J270" s="15">
        <v>2</v>
      </c>
      <c r="K270" s="15">
        <v>1</v>
      </c>
      <c r="L270" s="15" t="s">
        <v>84</v>
      </c>
      <c r="M270" s="15" t="s">
        <v>84</v>
      </c>
    </row>
    <row r="271" spans="1:13" ht="45" x14ac:dyDescent="0.25">
      <c r="A271" s="15" t="s">
        <v>153</v>
      </c>
      <c r="B271" s="15">
        <v>13</v>
      </c>
      <c r="C271" s="15">
        <v>6</v>
      </c>
      <c r="D271" s="15">
        <v>2</v>
      </c>
      <c r="E271" s="15">
        <v>2</v>
      </c>
      <c r="F271" s="15">
        <v>13</v>
      </c>
      <c r="G271" s="15">
        <v>6</v>
      </c>
      <c r="H271" s="15">
        <v>2</v>
      </c>
      <c r="I271" s="15">
        <v>2</v>
      </c>
      <c r="J271" s="15" t="s">
        <v>84</v>
      </c>
      <c r="K271" s="15" t="s">
        <v>84</v>
      </c>
      <c r="L271" s="15" t="s">
        <v>84</v>
      </c>
      <c r="M271" s="15" t="s">
        <v>84</v>
      </c>
    </row>
    <row r="272" spans="1:13" ht="60" x14ac:dyDescent="0.25">
      <c r="A272" s="15" t="s">
        <v>154</v>
      </c>
      <c r="B272" s="15">
        <v>17</v>
      </c>
      <c r="C272" s="15">
        <v>4</v>
      </c>
      <c r="D272" s="15">
        <v>2</v>
      </c>
      <c r="E272" s="15" t="s">
        <v>84</v>
      </c>
      <c r="F272" s="15">
        <v>15</v>
      </c>
      <c r="G272" s="15">
        <v>3</v>
      </c>
      <c r="H272" s="15">
        <v>2</v>
      </c>
      <c r="I272" s="15" t="s">
        <v>84</v>
      </c>
      <c r="J272" s="15">
        <v>2</v>
      </c>
      <c r="K272" s="15">
        <v>1</v>
      </c>
      <c r="L272" s="15" t="s">
        <v>84</v>
      </c>
      <c r="M272" s="15" t="s">
        <v>84</v>
      </c>
    </row>
    <row r="273" spans="1:13" ht="15" customHeight="1" x14ac:dyDescent="0.25">
      <c r="A273" s="207" t="s">
        <v>112</v>
      </c>
      <c r="B273" s="208"/>
      <c r="C273" s="208"/>
      <c r="D273" s="208"/>
      <c r="E273" s="208"/>
      <c r="F273" s="208"/>
      <c r="G273" s="208"/>
      <c r="H273" s="208"/>
      <c r="I273" s="208"/>
      <c r="J273" s="208"/>
      <c r="K273" s="208"/>
      <c r="L273" s="208"/>
      <c r="M273" s="209"/>
    </row>
    <row r="274" spans="1:13" x14ac:dyDescent="0.25">
      <c r="A274" s="207"/>
      <c r="B274" s="208"/>
      <c r="C274" s="208"/>
      <c r="D274" s="208"/>
      <c r="E274" s="208"/>
      <c r="F274" s="208"/>
      <c r="G274" s="208"/>
      <c r="H274" s="208"/>
      <c r="I274" s="208"/>
      <c r="J274" s="208"/>
      <c r="K274" s="208"/>
      <c r="L274" s="208"/>
      <c r="M274" s="209"/>
    </row>
    <row r="275" spans="1:13" x14ac:dyDescent="0.25">
      <c r="A275" s="15" t="s">
        <v>83</v>
      </c>
      <c r="B275" s="27">
        <v>534</v>
      </c>
      <c r="C275" s="15">
        <v>239</v>
      </c>
      <c r="D275" s="27">
        <v>25</v>
      </c>
      <c r="E275" s="15">
        <v>9</v>
      </c>
      <c r="F275" s="15">
        <v>482</v>
      </c>
      <c r="G275" s="15">
        <v>224</v>
      </c>
      <c r="H275" s="15">
        <v>18</v>
      </c>
      <c r="I275" s="15">
        <v>8</v>
      </c>
      <c r="J275" s="15">
        <v>52</v>
      </c>
      <c r="K275" s="15">
        <v>15</v>
      </c>
      <c r="L275" s="15">
        <v>7</v>
      </c>
      <c r="M275" s="15">
        <v>1</v>
      </c>
    </row>
    <row r="276" spans="1:13" ht="30" x14ac:dyDescent="0.25">
      <c r="A276" s="15" t="s">
        <v>151</v>
      </c>
      <c r="B276" s="15">
        <v>136</v>
      </c>
      <c r="C276" s="15">
        <v>74</v>
      </c>
      <c r="D276" s="15">
        <v>1</v>
      </c>
      <c r="E276" s="15">
        <v>1</v>
      </c>
      <c r="F276" s="15">
        <v>126</v>
      </c>
      <c r="G276" s="15">
        <v>69</v>
      </c>
      <c r="H276" s="15" t="s">
        <v>84</v>
      </c>
      <c r="I276" s="15" t="s">
        <v>84</v>
      </c>
      <c r="J276" s="15">
        <v>10</v>
      </c>
      <c r="K276" s="15">
        <v>5</v>
      </c>
      <c r="L276" s="15">
        <v>1</v>
      </c>
      <c r="M276" s="15">
        <v>1</v>
      </c>
    </row>
    <row r="277" spans="1:13" ht="60" x14ac:dyDescent="0.25">
      <c r="A277" s="15" t="s">
        <v>152</v>
      </c>
      <c r="B277" s="15">
        <v>15</v>
      </c>
      <c r="C277" s="15">
        <v>7</v>
      </c>
      <c r="D277" s="15" t="s">
        <v>84</v>
      </c>
      <c r="E277" s="15" t="s">
        <v>84</v>
      </c>
      <c r="F277" s="15">
        <v>15</v>
      </c>
      <c r="G277" s="15">
        <v>7</v>
      </c>
      <c r="H277" s="15" t="s">
        <v>84</v>
      </c>
      <c r="I277" s="15" t="s">
        <v>84</v>
      </c>
      <c r="J277" s="15" t="s">
        <v>84</v>
      </c>
      <c r="K277" s="15" t="s">
        <v>84</v>
      </c>
      <c r="L277" s="15" t="s">
        <v>84</v>
      </c>
      <c r="M277" s="15" t="s">
        <v>84</v>
      </c>
    </row>
    <row r="278" spans="1:13" ht="30" x14ac:dyDescent="0.25">
      <c r="A278" s="15" t="s">
        <v>85</v>
      </c>
      <c r="B278" s="15">
        <v>267</v>
      </c>
      <c r="C278" s="15">
        <v>114</v>
      </c>
      <c r="D278" s="15">
        <v>16</v>
      </c>
      <c r="E278" s="15">
        <v>8</v>
      </c>
      <c r="F278" s="15">
        <v>255</v>
      </c>
      <c r="G278" s="15">
        <v>111</v>
      </c>
      <c r="H278" s="15">
        <v>16</v>
      </c>
      <c r="I278" s="15">
        <v>8</v>
      </c>
      <c r="J278" s="15">
        <v>12</v>
      </c>
      <c r="K278" s="15">
        <v>3</v>
      </c>
      <c r="L278" s="15" t="s">
        <v>84</v>
      </c>
      <c r="M278" s="15" t="s">
        <v>84</v>
      </c>
    </row>
    <row r="279" spans="1:13" ht="30" x14ac:dyDescent="0.25">
      <c r="A279" s="15" t="s">
        <v>86</v>
      </c>
      <c r="B279" s="15">
        <v>78</v>
      </c>
      <c r="C279" s="15">
        <v>34</v>
      </c>
      <c r="D279" s="15">
        <v>1</v>
      </c>
      <c r="E279" s="15" t="s">
        <v>84</v>
      </c>
      <c r="F279" s="15">
        <v>70</v>
      </c>
      <c r="G279" s="15">
        <v>32</v>
      </c>
      <c r="H279" s="15" t="s">
        <v>84</v>
      </c>
      <c r="I279" s="15" t="s">
        <v>84</v>
      </c>
      <c r="J279" s="15">
        <v>8</v>
      </c>
      <c r="K279" s="15">
        <v>2</v>
      </c>
      <c r="L279" s="15">
        <v>1</v>
      </c>
      <c r="M279" s="15" t="s">
        <v>84</v>
      </c>
    </row>
    <row r="280" spans="1:13" ht="45" x14ac:dyDescent="0.25">
      <c r="A280" s="15" t="s">
        <v>87</v>
      </c>
      <c r="B280" s="15">
        <v>38</v>
      </c>
      <c r="C280" s="15">
        <v>10</v>
      </c>
      <c r="D280" s="15">
        <v>7</v>
      </c>
      <c r="E280" s="15" t="s">
        <v>84</v>
      </c>
      <c r="F280" s="15">
        <v>16</v>
      </c>
      <c r="G280" s="15">
        <v>5</v>
      </c>
      <c r="H280" s="15">
        <v>2</v>
      </c>
      <c r="I280" s="15" t="s">
        <v>84</v>
      </c>
      <c r="J280" s="15">
        <v>22</v>
      </c>
      <c r="K280" s="15">
        <v>5</v>
      </c>
      <c r="L280" s="15">
        <v>5</v>
      </c>
      <c r="M280" s="15" t="s">
        <v>84</v>
      </c>
    </row>
    <row r="281" spans="1:13" ht="45" x14ac:dyDescent="0.25">
      <c r="A281" s="15" t="s">
        <v>153</v>
      </c>
      <c r="B281" s="15">
        <v>6</v>
      </c>
      <c r="C281" s="15">
        <v>1</v>
      </c>
      <c r="D281" s="15" t="s">
        <v>84</v>
      </c>
      <c r="E281" s="15" t="s">
        <v>84</v>
      </c>
      <c r="F281" s="15">
        <v>4</v>
      </c>
      <c r="G281" s="15">
        <v>1</v>
      </c>
      <c r="H281" s="15" t="s">
        <v>84</v>
      </c>
      <c r="I281" s="15" t="s">
        <v>84</v>
      </c>
      <c r="J281" s="15">
        <v>2</v>
      </c>
      <c r="K281" s="15" t="s">
        <v>84</v>
      </c>
      <c r="L281" s="15" t="s">
        <v>84</v>
      </c>
      <c r="M281" s="15" t="s">
        <v>84</v>
      </c>
    </row>
    <row r="282" spans="1:13" ht="60" x14ac:dyDescent="0.25">
      <c r="A282" s="15" t="s">
        <v>154</v>
      </c>
      <c r="B282" s="15">
        <v>14</v>
      </c>
      <c r="C282" s="15">
        <v>4</v>
      </c>
      <c r="D282" s="15" t="s">
        <v>84</v>
      </c>
      <c r="E282" s="15" t="s">
        <v>84</v>
      </c>
      <c r="F282" s="15" t="s">
        <v>84</v>
      </c>
      <c r="G282" s="15" t="s">
        <v>84</v>
      </c>
      <c r="H282" s="15" t="s">
        <v>84</v>
      </c>
      <c r="I282" s="15" t="s">
        <v>84</v>
      </c>
      <c r="J282" s="15">
        <v>14</v>
      </c>
      <c r="K282" s="15">
        <v>4</v>
      </c>
      <c r="L282" s="15" t="s">
        <v>84</v>
      </c>
      <c r="M282" s="15" t="s">
        <v>84</v>
      </c>
    </row>
    <row r="283" spans="1:13" ht="15" customHeight="1" x14ac:dyDescent="0.25">
      <c r="A283" s="207" t="s">
        <v>113</v>
      </c>
      <c r="B283" s="208"/>
      <c r="C283" s="208"/>
      <c r="D283" s="208"/>
      <c r="E283" s="208"/>
      <c r="F283" s="208"/>
      <c r="G283" s="208"/>
      <c r="H283" s="208"/>
      <c r="I283" s="208"/>
      <c r="J283" s="208"/>
      <c r="K283" s="208"/>
      <c r="L283" s="208"/>
      <c r="M283" s="209"/>
    </row>
    <row r="284" spans="1:13" x14ac:dyDescent="0.25">
      <c r="A284" s="207"/>
      <c r="B284" s="208"/>
      <c r="C284" s="208"/>
      <c r="D284" s="208"/>
      <c r="E284" s="208"/>
      <c r="F284" s="208"/>
      <c r="G284" s="208"/>
      <c r="H284" s="208"/>
      <c r="I284" s="208"/>
      <c r="J284" s="208"/>
      <c r="K284" s="208"/>
      <c r="L284" s="208"/>
      <c r="M284" s="209"/>
    </row>
    <row r="285" spans="1:13" x14ac:dyDescent="0.25">
      <c r="A285" s="15" t="s">
        <v>83</v>
      </c>
      <c r="B285" s="27">
        <v>1895</v>
      </c>
      <c r="C285" s="15">
        <v>918</v>
      </c>
      <c r="D285" s="27">
        <v>124</v>
      </c>
      <c r="E285" s="15">
        <v>61</v>
      </c>
      <c r="F285" s="15">
        <v>1789</v>
      </c>
      <c r="G285" s="15">
        <v>861</v>
      </c>
      <c r="H285" s="15">
        <v>118</v>
      </c>
      <c r="I285" s="15">
        <v>57</v>
      </c>
      <c r="J285" s="15">
        <v>106</v>
      </c>
      <c r="K285" s="15">
        <v>57</v>
      </c>
      <c r="L285" s="15">
        <v>6</v>
      </c>
      <c r="M285" s="15">
        <v>4</v>
      </c>
    </row>
    <row r="286" spans="1:13" ht="30" x14ac:dyDescent="0.25">
      <c r="A286" s="15" t="s">
        <v>151</v>
      </c>
      <c r="B286" s="15">
        <v>740</v>
      </c>
      <c r="C286" s="15">
        <v>398</v>
      </c>
      <c r="D286" s="15">
        <v>13</v>
      </c>
      <c r="E286" s="15">
        <v>8</v>
      </c>
      <c r="F286" s="15">
        <v>656</v>
      </c>
      <c r="G286" s="15">
        <v>351</v>
      </c>
      <c r="H286" s="15">
        <v>9</v>
      </c>
      <c r="I286" s="15">
        <v>5</v>
      </c>
      <c r="J286" s="15">
        <v>84</v>
      </c>
      <c r="K286" s="15">
        <v>47</v>
      </c>
      <c r="L286" s="15">
        <v>4</v>
      </c>
      <c r="M286" s="15">
        <v>3</v>
      </c>
    </row>
    <row r="287" spans="1:13" ht="60" x14ac:dyDescent="0.25">
      <c r="A287" s="15" t="s">
        <v>152</v>
      </c>
      <c r="B287" s="15">
        <v>68</v>
      </c>
      <c r="C287" s="15">
        <v>32</v>
      </c>
      <c r="D287" s="15">
        <v>1</v>
      </c>
      <c r="E287" s="15">
        <v>1</v>
      </c>
      <c r="F287" s="15">
        <v>63</v>
      </c>
      <c r="G287" s="15">
        <v>32</v>
      </c>
      <c r="H287" s="15">
        <v>1</v>
      </c>
      <c r="I287" s="15">
        <v>1</v>
      </c>
      <c r="J287" s="15">
        <v>5</v>
      </c>
      <c r="K287" s="15" t="s">
        <v>84</v>
      </c>
      <c r="L287" s="15" t="s">
        <v>84</v>
      </c>
      <c r="M287" s="15" t="s">
        <v>84</v>
      </c>
    </row>
    <row r="288" spans="1:13" ht="30" x14ac:dyDescent="0.25">
      <c r="A288" s="15" t="s">
        <v>85</v>
      </c>
      <c r="B288" s="15">
        <v>703</v>
      </c>
      <c r="C288" s="15">
        <v>342</v>
      </c>
      <c r="D288" s="15">
        <v>63</v>
      </c>
      <c r="E288" s="15">
        <v>32</v>
      </c>
      <c r="F288" s="15">
        <v>689</v>
      </c>
      <c r="G288" s="15">
        <v>334</v>
      </c>
      <c r="H288" s="15">
        <v>61</v>
      </c>
      <c r="I288" s="15">
        <v>31</v>
      </c>
      <c r="J288" s="15">
        <v>14</v>
      </c>
      <c r="K288" s="15">
        <v>8</v>
      </c>
      <c r="L288" s="15">
        <v>2</v>
      </c>
      <c r="M288" s="15">
        <v>1</v>
      </c>
    </row>
    <row r="289" spans="1:13" ht="30" x14ac:dyDescent="0.25">
      <c r="A289" s="15" t="s">
        <v>86</v>
      </c>
      <c r="B289" s="15">
        <v>285</v>
      </c>
      <c r="C289" s="15">
        <v>110</v>
      </c>
      <c r="D289" s="15">
        <v>32</v>
      </c>
      <c r="E289" s="15">
        <v>12</v>
      </c>
      <c r="F289" s="15">
        <v>283</v>
      </c>
      <c r="G289" s="15">
        <v>109</v>
      </c>
      <c r="H289" s="15">
        <v>32</v>
      </c>
      <c r="I289" s="15">
        <v>12</v>
      </c>
      <c r="J289" s="15">
        <v>2</v>
      </c>
      <c r="K289" s="15">
        <v>1</v>
      </c>
      <c r="L289" s="15" t="s">
        <v>84</v>
      </c>
      <c r="M289" s="15" t="s">
        <v>84</v>
      </c>
    </row>
    <row r="290" spans="1:13" ht="45" x14ac:dyDescent="0.25">
      <c r="A290" s="15" t="s">
        <v>87</v>
      </c>
      <c r="B290" s="15">
        <v>99</v>
      </c>
      <c r="C290" s="15">
        <v>36</v>
      </c>
      <c r="D290" s="15">
        <v>15</v>
      </c>
      <c r="E290" s="15">
        <v>8</v>
      </c>
      <c r="F290" s="15">
        <v>98</v>
      </c>
      <c r="G290" s="15">
        <v>35</v>
      </c>
      <c r="H290" s="15">
        <v>15</v>
      </c>
      <c r="I290" s="15">
        <v>8</v>
      </c>
      <c r="J290" s="15">
        <v>1</v>
      </c>
      <c r="K290" s="15">
        <v>1</v>
      </c>
      <c r="L290" s="15" t="s">
        <v>84</v>
      </c>
      <c r="M290" s="15" t="s">
        <v>84</v>
      </c>
    </row>
    <row r="291" spans="1:13" ht="45" x14ac:dyDescent="0.25">
      <c r="A291" s="15" t="s">
        <v>153</v>
      </c>
      <c r="B291" s="15">
        <v>31</v>
      </c>
      <c r="C291" s="15">
        <v>15</v>
      </c>
      <c r="D291" s="15">
        <v>2</v>
      </c>
      <c r="E291" s="15">
        <v>2</v>
      </c>
      <c r="F291" s="15">
        <v>30</v>
      </c>
      <c r="G291" s="15">
        <v>14</v>
      </c>
      <c r="H291" s="15">
        <v>2</v>
      </c>
      <c r="I291" s="15">
        <v>2</v>
      </c>
      <c r="J291" s="15">
        <v>1</v>
      </c>
      <c r="K291" s="15">
        <v>1</v>
      </c>
      <c r="L291" s="15" t="s">
        <v>84</v>
      </c>
      <c r="M291" s="15" t="s">
        <v>84</v>
      </c>
    </row>
    <row r="292" spans="1:13" ht="60" x14ac:dyDescent="0.25">
      <c r="A292" s="15" t="s">
        <v>154</v>
      </c>
      <c r="B292" s="15">
        <v>19</v>
      </c>
      <c r="C292" s="15">
        <v>5</v>
      </c>
      <c r="D292" s="15" t="s">
        <v>84</v>
      </c>
      <c r="E292" s="15" t="s">
        <v>84</v>
      </c>
      <c r="F292" s="15">
        <v>19</v>
      </c>
      <c r="G292" s="15">
        <v>5</v>
      </c>
      <c r="H292" s="15" t="s">
        <v>84</v>
      </c>
      <c r="I292" s="15" t="s">
        <v>84</v>
      </c>
      <c r="J292" s="15" t="s">
        <v>84</v>
      </c>
      <c r="K292" s="15" t="s">
        <v>84</v>
      </c>
      <c r="L292" s="15" t="s">
        <v>84</v>
      </c>
      <c r="M292" s="15" t="s">
        <v>84</v>
      </c>
    </row>
    <row r="293" spans="1:13" ht="15" customHeight="1" x14ac:dyDescent="0.25">
      <c r="A293" s="207" t="s">
        <v>114</v>
      </c>
      <c r="B293" s="208"/>
      <c r="C293" s="208"/>
      <c r="D293" s="208"/>
      <c r="E293" s="208"/>
      <c r="F293" s="208"/>
      <c r="G293" s="208"/>
      <c r="H293" s="208"/>
      <c r="I293" s="208"/>
      <c r="J293" s="208"/>
      <c r="K293" s="208"/>
      <c r="L293" s="208"/>
      <c r="M293" s="209"/>
    </row>
    <row r="294" spans="1:13" x14ac:dyDescent="0.25">
      <c r="A294" s="207"/>
      <c r="B294" s="208"/>
      <c r="C294" s="208"/>
      <c r="D294" s="208"/>
      <c r="E294" s="208"/>
      <c r="F294" s="208"/>
      <c r="G294" s="208"/>
      <c r="H294" s="208"/>
      <c r="I294" s="208"/>
      <c r="J294" s="208"/>
      <c r="K294" s="208"/>
      <c r="L294" s="208"/>
      <c r="M294" s="209"/>
    </row>
    <row r="295" spans="1:13" x14ac:dyDescent="0.25">
      <c r="A295" s="15" t="s">
        <v>83</v>
      </c>
      <c r="B295" s="27">
        <v>1086</v>
      </c>
      <c r="C295" s="15">
        <v>494</v>
      </c>
      <c r="D295" s="27">
        <v>54</v>
      </c>
      <c r="E295" s="15">
        <v>25</v>
      </c>
      <c r="F295" s="15">
        <v>1086</v>
      </c>
      <c r="G295" s="15">
        <v>494</v>
      </c>
      <c r="H295" s="15">
        <v>54</v>
      </c>
      <c r="I295" s="15">
        <v>25</v>
      </c>
      <c r="J295" s="15" t="s">
        <v>84</v>
      </c>
      <c r="K295" s="15" t="s">
        <v>84</v>
      </c>
      <c r="L295" s="15" t="s">
        <v>84</v>
      </c>
      <c r="M295" s="15" t="s">
        <v>84</v>
      </c>
    </row>
    <row r="296" spans="1:13" ht="30" x14ac:dyDescent="0.25">
      <c r="A296" s="15" t="s">
        <v>151</v>
      </c>
      <c r="B296" s="15">
        <v>423</v>
      </c>
      <c r="C296" s="15">
        <v>216</v>
      </c>
      <c r="D296" s="15">
        <v>9</v>
      </c>
      <c r="E296" s="15">
        <v>5</v>
      </c>
      <c r="F296" s="15">
        <v>423</v>
      </c>
      <c r="G296" s="15">
        <v>216</v>
      </c>
      <c r="H296" s="15">
        <v>9</v>
      </c>
      <c r="I296" s="15">
        <v>5</v>
      </c>
      <c r="J296" s="15" t="s">
        <v>84</v>
      </c>
      <c r="K296" s="15" t="s">
        <v>84</v>
      </c>
      <c r="L296" s="15" t="s">
        <v>84</v>
      </c>
      <c r="M296" s="15" t="s">
        <v>84</v>
      </c>
    </row>
    <row r="297" spans="1:13" ht="60" x14ac:dyDescent="0.25">
      <c r="A297" s="15" t="s">
        <v>152</v>
      </c>
      <c r="B297" s="15">
        <v>21</v>
      </c>
      <c r="C297" s="15">
        <v>14</v>
      </c>
      <c r="D297" s="15" t="s">
        <v>84</v>
      </c>
      <c r="E297" s="15" t="s">
        <v>84</v>
      </c>
      <c r="F297" s="15">
        <v>21</v>
      </c>
      <c r="G297" s="15">
        <v>14</v>
      </c>
      <c r="H297" s="15" t="s">
        <v>84</v>
      </c>
      <c r="I297" s="15" t="s">
        <v>84</v>
      </c>
      <c r="J297" s="15" t="s">
        <v>84</v>
      </c>
      <c r="K297" s="15" t="s">
        <v>84</v>
      </c>
      <c r="L297" s="15" t="s">
        <v>84</v>
      </c>
      <c r="M297" s="15" t="s">
        <v>84</v>
      </c>
    </row>
    <row r="298" spans="1:13" ht="30" x14ac:dyDescent="0.25">
      <c r="A298" s="15" t="s">
        <v>85</v>
      </c>
      <c r="B298" s="15">
        <v>437</v>
      </c>
      <c r="C298" s="15">
        <v>186</v>
      </c>
      <c r="D298" s="15">
        <v>21</v>
      </c>
      <c r="E298" s="15">
        <v>13</v>
      </c>
      <c r="F298" s="15">
        <v>437</v>
      </c>
      <c r="G298" s="15">
        <v>186</v>
      </c>
      <c r="H298" s="15">
        <v>21</v>
      </c>
      <c r="I298" s="15">
        <v>13</v>
      </c>
      <c r="J298" s="15" t="s">
        <v>84</v>
      </c>
      <c r="K298" s="15" t="s">
        <v>84</v>
      </c>
      <c r="L298" s="15" t="s">
        <v>84</v>
      </c>
      <c r="M298" s="15" t="s">
        <v>84</v>
      </c>
    </row>
    <row r="299" spans="1:13" ht="30" x14ac:dyDescent="0.25">
      <c r="A299" s="15" t="s">
        <v>86</v>
      </c>
      <c r="B299" s="15">
        <v>167</v>
      </c>
      <c r="C299" s="15">
        <v>65</v>
      </c>
      <c r="D299" s="15">
        <v>15</v>
      </c>
      <c r="E299" s="15">
        <v>4</v>
      </c>
      <c r="F299" s="15">
        <v>167</v>
      </c>
      <c r="G299" s="15">
        <v>65</v>
      </c>
      <c r="H299" s="15">
        <v>15</v>
      </c>
      <c r="I299" s="15">
        <v>4</v>
      </c>
      <c r="J299" s="15" t="s">
        <v>84</v>
      </c>
      <c r="K299" s="15" t="s">
        <v>84</v>
      </c>
      <c r="L299" s="15" t="s">
        <v>84</v>
      </c>
      <c r="M299" s="15" t="s">
        <v>84</v>
      </c>
    </row>
    <row r="300" spans="1:13" ht="45" x14ac:dyDescent="0.25">
      <c r="A300" s="15" t="s">
        <v>87</v>
      </c>
      <c r="B300" s="15">
        <v>38</v>
      </c>
      <c r="C300" s="15">
        <v>13</v>
      </c>
      <c r="D300" s="15">
        <v>9</v>
      </c>
      <c r="E300" s="15">
        <v>3</v>
      </c>
      <c r="F300" s="15">
        <v>38</v>
      </c>
      <c r="G300" s="15">
        <v>13</v>
      </c>
      <c r="H300" s="15">
        <v>9</v>
      </c>
      <c r="I300" s="15">
        <v>3</v>
      </c>
      <c r="J300" s="15" t="s">
        <v>84</v>
      </c>
      <c r="K300" s="15" t="s">
        <v>84</v>
      </c>
      <c r="L300" s="15" t="s">
        <v>84</v>
      </c>
      <c r="M300" s="15" t="s">
        <v>84</v>
      </c>
    </row>
    <row r="301" spans="1:13" ht="45" x14ac:dyDescent="0.25">
      <c r="A301" s="15" t="s">
        <v>153</v>
      </c>
      <c r="B301" s="15">
        <v>10</v>
      </c>
      <c r="C301" s="15">
        <v>5</v>
      </c>
      <c r="D301" s="15" t="s">
        <v>84</v>
      </c>
      <c r="E301" s="15" t="s">
        <v>84</v>
      </c>
      <c r="F301" s="15">
        <v>10</v>
      </c>
      <c r="G301" s="15">
        <v>5</v>
      </c>
      <c r="H301" s="15" t="s">
        <v>84</v>
      </c>
      <c r="I301" s="15" t="s">
        <v>84</v>
      </c>
      <c r="J301" s="15" t="s">
        <v>84</v>
      </c>
      <c r="K301" s="15" t="s">
        <v>84</v>
      </c>
      <c r="L301" s="15" t="s">
        <v>84</v>
      </c>
      <c r="M301" s="15" t="s">
        <v>84</v>
      </c>
    </row>
    <row r="302" spans="1:13" ht="60" x14ac:dyDescent="0.25">
      <c r="A302" s="15" t="s">
        <v>154</v>
      </c>
      <c r="B302" s="15">
        <v>8</v>
      </c>
      <c r="C302" s="15">
        <v>2</v>
      </c>
      <c r="D302" s="15" t="s">
        <v>84</v>
      </c>
      <c r="E302" s="15" t="s">
        <v>84</v>
      </c>
      <c r="F302" s="15">
        <v>8</v>
      </c>
      <c r="G302" s="15">
        <v>2</v>
      </c>
      <c r="H302" s="15" t="s">
        <v>84</v>
      </c>
      <c r="I302" s="15" t="s">
        <v>84</v>
      </c>
      <c r="J302" s="15" t="s">
        <v>84</v>
      </c>
      <c r="K302" s="15" t="s">
        <v>84</v>
      </c>
      <c r="L302" s="15" t="s">
        <v>84</v>
      </c>
      <c r="M302" s="15" t="s">
        <v>84</v>
      </c>
    </row>
    <row r="303" spans="1:13" ht="15" customHeight="1" x14ac:dyDescent="0.25">
      <c r="A303" s="207" t="s">
        <v>115</v>
      </c>
      <c r="B303" s="208"/>
      <c r="C303" s="208"/>
      <c r="D303" s="208"/>
      <c r="E303" s="208"/>
      <c r="F303" s="208"/>
      <c r="G303" s="208"/>
      <c r="H303" s="208"/>
      <c r="I303" s="208"/>
      <c r="J303" s="208"/>
      <c r="K303" s="208"/>
      <c r="L303" s="208"/>
      <c r="M303" s="209"/>
    </row>
    <row r="304" spans="1:13" x14ac:dyDescent="0.25">
      <c r="A304" s="207"/>
      <c r="B304" s="208"/>
      <c r="C304" s="208"/>
      <c r="D304" s="208"/>
      <c r="E304" s="208"/>
      <c r="F304" s="208"/>
      <c r="G304" s="208"/>
      <c r="H304" s="208"/>
      <c r="I304" s="208"/>
      <c r="J304" s="208"/>
      <c r="K304" s="208"/>
      <c r="L304" s="208"/>
      <c r="M304" s="209"/>
    </row>
    <row r="305" spans="1:13" x14ac:dyDescent="0.25">
      <c r="A305" s="15" t="s">
        <v>83</v>
      </c>
      <c r="B305" s="27">
        <v>1970</v>
      </c>
      <c r="C305" s="15">
        <v>950</v>
      </c>
      <c r="D305" s="27">
        <v>87</v>
      </c>
      <c r="E305" s="15">
        <v>33</v>
      </c>
      <c r="F305" s="15">
        <v>1814</v>
      </c>
      <c r="G305" s="15">
        <v>859</v>
      </c>
      <c r="H305" s="15">
        <v>87</v>
      </c>
      <c r="I305" s="15">
        <v>33</v>
      </c>
      <c r="J305" s="15">
        <v>156</v>
      </c>
      <c r="K305" s="15">
        <v>91</v>
      </c>
      <c r="L305" s="15" t="s">
        <v>84</v>
      </c>
      <c r="M305" s="15" t="s">
        <v>84</v>
      </c>
    </row>
    <row r="306" spans="1:13" ht="30" x14ac:dyDescent="0.25">
      <c r="A306" s="15" t="s">
        <v>151</v>
      </c>
      <c r="B306" s="15">
        <v>554</v>
      </c>
      <c r="C306" s="15">
        <v>311</v>
      </c>
      <c r="D306" s="15">
        <v>2</v>
      </c>
      <c r="E306" s="15">
        <v>1</v>
      </c>
      <c r="F306" s="15">
        <v>436</v>
      </c>
      <c r="G306" s="15">
        <v>234</v>
      </c>
      <c r="H306" s="15">
        <v>2</v>
      </c>
      <c r="I306" s="15">
        <v>1</v>
      </c>
      <c r="J306" s="15">
        <v>118</v>
      </c>
      <c r="K306" s="15">
        <v>77</v>
      </c>
      <c r="L306" s="15" t="s">
        <v>84</v>
      </c>
      <c r="M306" s="15" t="s">
        <v>84</v>
      </c>
    </row>
    <row r="307" spans="1:13" ht="60" x14ac:dyDescent="0.25">
      <c r="A307" s="15" t="s">
        <v>152</v>
      </c>
      <c r="B307" s="15">
        <v>43</v>
      </c>
      <c r="C307" s="15">
        <v>26</v>
      </c>
      <c r="D307" s="15">
        <v>3</v>
      </c>
      <c r="E307" s="15">
        <v>2</v>
      </c>
      <c r="F307" s="15">
        <v>36</v>
      </c>
      <c r="G307" s="15">
        <v>22</v>
      </c>
      <c r="H307" s="15">
        <v>3</v>
      </c>
      <c r="I307" s="15">
        <v>2</v>
      </c>
      <c r="J307" s="15">
        <v>7</v>
      </c>
      <c r="K307" s="15">
        <v>4</v>
      </c>
      <c r="L307" s="15" t="s">
        <v>84</v>
      </c>
      <c r="M307" s="15" t="s">
        <v>84</v>
      </c>
    </row>
    <row r="308" spans="1:13" ht="30" x14ac:dyDescent="0.25">
      <c r="A308" s="15" t="s">
        <v>85</v>
      </c>
      <c r="B308" s="15">
        <v>956</v>
      </c>
      <c r="C308" s="15">
        <v>464</v>
      </c>
      <c r="D308" s="15">
        <v>34</v>
      </c>
      <c r="E308" s="15">
        <v>10</v>
      </c>
      <c r="F308" s="15">
        <v>947</v>
      </c>
      <c r="G308" s="15">
        <v>461</v>
      </c>
      <c r="H308" s="15">
        <v>34</v>
      </c>
      <c r="I308" s="15">
        <v>10</v>
      </c>
      <c r="J308" s="15">
        <v>9</v>
      </c>
      <c r="K308" s="15">
        <v>3</v>
      </c>
      <c r="L308" s="15" t="s">
        <v>84</v>
      </c>
      <c r="M308" s="15" t="s">
        <v>84</v>
      </c>
    </row>
    <row r="309" spans="1:13" ht="30" x14ac:dyDescent="0.25">
      <c r="A309" s="15" t="s">
        <v>86</v>
      </c>
      <c r="B309" s="15">
        <v>290</v>
      </c>
      <c r="C309" s="15">
        <v>101</v>
      </c>
      <c r="D309" s="15">
        <v>29</v>
      </c>
      <c r="E309" s="15">
        <v>10</v>
      </c>
      <c r="F309" s="15">
        <v>287</v>
      </c>
      <c r="G309" s="15">
        <v>101</v>
      </c>
      <c r="H309" s="15">
        <v>29</v>
      </c>
      <c r="I309" s="15">
        <v>10</v>
      </c>
      <c r="J309" s="15">
        <v>3</v>
      </c>
      <c r="K309" s="15" t="s">
        <v>84</v>
      </c>
      <c r="L309" s="15" t="s">
        <v>84</v>
      </c>
      <c r="M309" s="15" t="s">
        <v>84</v>
      </c>
    </row>
    <row r="310" spans="1:13" ht="45" x14ac:dyDescent="0.25">
      <c r="A310" s="15" t="s">
        <v>87</v>
      </c>
      <c r="B310" s="15">
        <v>127</v>
      </c>
      <c r="C310" s="15">
        <v>48</v>
      </c>
      <c r="D310" s="15">
        <v>19</v>
      </c>
      <c r="E310" s="15">
        <v>10</v>
      </c>
      <c r="F310" s="15">
        <v>108</v>
      </c>
      <c r="G310" s="15">
        <v>41</v>
      </c>
      <c r="H310" s="15">
        <v>19</v>
      </c>
      <c r="I310" s="15">
        <v>10</v>
      </c>
      <c r="J310" s="15">
        <v>19</v>
      </c>
      <c r="K310" s="15">
        <v>7</v>
      </c>
      <c r="L310" s="15" t="s">
        <v>84</v>
      </c>
      <c r="M310" s="15" t="s">
        <v>84</v>
      </c>
    </row>
    <row r="311" spans="1:13" ht="45" x14ac:dyDescent="0.25">
      <c r="A311" s="15" t="s">
        <v>153</v>
      </c>
      <c r="B311" s="15">
        <v>40</v>
      </c>
      <c r="C311" s="15">
        <v>16</v>
      </c>
      <c r="D311" s="15">
        <v>3</v>
      </c>
      <c r="E311" s="15">
        <v>2</v>
      </c>
      <c r="F311" s="15">
        <v>40</v>
      </c>
      <c r="G311" s="15">
        <v>16</v>
      </c>
      <c r="H311" s="15">
        <v>3</v>
      </c>
      <c r="I311" s="15">
        <v>2</v>
      </c>
      <c r="J311" s="15" t="s">
        <v>84</v>
      </c>
      <c r="K311" s="15" t="s">
        <v>84</v>
      </c>
      <c r="L311" s="15" t="s">
        <v>84</v>
      </c>
      <c r="M311" s="15" t="s">
        <v>84</v>
      </c>
    </row>
    <row r="312" spans="1:13" ht="60" x14ac:dyDescent="0.25">
      <c r="A312" s="15" t="s">
        <v>154</v>
      </c>
      <c r="B312" s="15">
        <v>21</v>
      </c>
      <c r="C312" s="15">
        <v>9</v>
      </c>
      <c r="D312" s="15" t="s">
        <v>84</v>
      </c>
      <c r="E312" s="15" t="s">
        <v>84</v>
      </c>
      <c r="F312" s="15">
        <v>3</v>
      </c>
      <c r="G312" s="15">
        <v>2</v>
      </c>
      <c r="H312" s="15" t="s">
        <v>84</v>
      </c>
      <c r="I312" s="15" t="s">
        <v>84</v>
      </c>
      <c r="J312" s="15">
        <v>18</v>
      </c>
      <c r="K312" s="15">
        <v>7</v>
      </c>
      <c r="L312" s="15" t="s">
        <v>84</v>
      </c>
      <c r="M312" s="15" t="s">
        <v>84</v>
      </c>
    </row>
    <row r="313" spans="1:13" ht="15" customHeight="1" x14ac:dyDescent="0.25">
      <c r="A313" s="207" t="s">
        <v>116</v>
      </c>
      <c r="B313" s="208"/>
      <c r="C313" s="208"/>
      <c r="D313" s="208"/>
      <c r="E313" s="208"/>
      <c r="F313" s="208"/>
      <c r="G313" s="208"/>
      <c r="H313" s="208"/>
      <c r="I313" s="208"/>
      <c r="J313" s="208"/>
      <c r="K313" s="208"/>
      <c r="L313" s="208"/>
      <c r="M313" s="209"/>
    </row>
    <row r="314" spans="1:13" x14ac:dyDescent="0.25">
      <c r="A314" s="207"/>
      <c r="B314" s="208"/>
      <c r="C314" s="208"/>
      <c r="D314" s="208"/>
      <c r="E314" s="208"/>
      <c r="F314" s="208"/>
      <c r="G314" s="208"/>
      <c r="H314" s="208"/>
      <c r="I314" s="208"/>
      <c r="J314" s="208"/>
      <c r="K314" s="208"/>
      <c r="L314" s="208"/>
      <c r="M314" s="209"/>
    </row>
    <row r="315" spans="1:13" x14ac:dyDescent="0.25">
      <c r="A315" s="15" t="s">
        <v>83</v>
      </c>
      <c r="B315" s="27">
        <v>1484</v>
      </c>
      <c r="C315" s="15">
        <v>703</v>
      </c>
      <c r="D315" s="27">
        <v>64</v>
      </c>
      <c r="E315" s="15">
        <v>23</v>
      </c>
      <c r="F315" s="15">
        <v>1443</v>
      </c>
      <c r="G315" s="15">
        <v>689</v>
      </c>
      <c r="H315" s="15">
        <v>64</v>
      </c>
      <c r="I315" s="15">
        <v>23</v>
      </c>
      <c r="J315" s="15">
        <v>41</v>
      </c>
      <c r="K315" s="15">
        <v>14</v>
      </c>
      <c r="L315" s="15" t="s">
        <v>84</v>
      </c>
      <c r="M315" s="15" t="s">
        <v>84</v>
      </c>
    </row>
    <row r="316" spans="1:13" ht="30" x14ac:dyDescent="0.25">
      <c r="A316" s="15" t="s">
        <v>151</v>
      </c>
      <c r="B316" s="15">
        <v>420</v>
      </c>
      <c r="C316" s="15">
        <v>247</v>
      </c>
      <c r="D316" s="15">
        <v>4</v>
      </c>
      <c r="E316" s="15">
        <v>2</v>
      </c>
      <c r="F316" s="15">
        <v>410</v>
      </c>
      <c r="G316" s="15">
        <v>240</v>
      </c>
      <c r="H316" s="15">
        <v>4</v>
      </c>
      <c r="I316" s="15">
        <v>2</v>
      </c>
      <c r="J316" s="15">
        <v>10</v>
      </c>
      <c r="K316" s="15">
        <v>7</v>
      </c>
      <c r="L316" s="15" t="s">
        <v>84</v>
      </c>
      <c r="M316" s="15" t="s">
        <v>84</v>
      </c>
    </row>
    <row r="317" spans="1:13" ht="60" x14ac:dyDescent="0.25">
      <c r="A317" s="15" t="s">
        <v>152</v>
      </c>
      <c r="B317" s="15">
        <v>22</v>
      </c>
      <c r="C317" s="15">
        <v>12</v>
      </c>
      <c r="D317" s="15" t="s">
        <v>84</v>
      </c>
      <c r="E317" s="15" t="s">
        <v>84</v>
      </c>
      <c r="F317" s="15">
        <v>22</v>
      </c>
      <c r="G317" s="15">
        <v>12</v>
      </c>
      <c r="H317" s="15" t="s">
        <v>84</v>
      </c>
      <c r="I317" s="15" t="s">
        <v>84</v>
      </c>
      <c r="J317" s="15" t="s">
        <v>84</v>
      </c>
      <c r="K317" s="15" t="s">
        <v>84</v>
      </c>
      <c r="L317" s="15" t="s">
        <v>84</v>
      </c>
      <c r="M317" s="15" t="s">
        <v>84</v>
      </c>
    </row>
    <row r="318" spans="1:13" ht="30" x14ac:dyDescent="0.25">
      <c r="A318" s="15" t="s">
        <v>85</v>
      </c>
      <c r="B318" s="15">
        <v>699</v>
      </c>
      <c r="C318" s="15">
        <v>316</v>
      </c>
      <c r="D318" s="15">
        <v>23</v>
      </c>
      <c r="E318" s="15">
        <v>11</v>
      </c>
      <c r="F318" s="15">
        <v>685</v>
      </c>
      <c r="G318" s="15">
        <v>314</v>
      </c>
      <c r="H318" s="15">
        <v>23</v>
      </c>
      <c r="I318" s="15">
        <v>11</v>
      </c>
      <c r="J318" s="15">
        <v>14</v>
      </c>
      <c r="K318" s="15">
        <v>2</v>
      </c>
      <c r="L318" s="15" t="s">
        <v>84</v>
      </c>
      <c r="M318" s="15" t="s">
        <v>84</v>
      </c>
    </row>
    <row r="319" spans="1:13" ht="30" x14ac:dyDescent="0.25">
      <c r="A319" s="15" t="s">
        <v>86</v>
      </c>
      <c r="B319" s="15">
        <v>239</v>
      </c>
      <c r="C319" s="15">
        <v>83</v>
      </c>
      <c r="D319" s="15">
        <v>21</v>
      </c>
      <c r="E319" s="15">
        <v>5</v>
      </c>
      <c r="F319" s="15">
        <v>236</v>
      </c>
      <c r="G319" s="15">
        <v>82</v>
      </c>
      <c r="H319" s="15">
        <v>21</v>
      </c>
      <c r="I319" s="15">
        <v>5</v>
      </c>
      <c r="J319" s="15">
        <v>3</v>
      </c>
      <c r="K319" s="15">
        <v>1</v>
      </c>
      <c r="L319" s="15" t="s">
        <v>84</v>
      </c>
      <c r="M319" s="15" t="s">
        <v>84</v>
      </c>
    </row>
    <row r="320" spans="1:13" ht="45" x14ac:dyDescent="0.25">
      <c r="A320" s="15" t="s">
        <v>87</v>
      </c>
      <c r="B320" s="15">
        <v>104</v>
      </c>
      <c r="C320" s="15">
        <v>45</v>
      </c>
      <c r="D320" s="15">
        <v>16</v>
      </c>
      <c r="E320" s="15">
        <v>5</v>
      </c>
      <c r="F320" s="15">
        <v>90</v>
      </c>
      <c r="G320" s="15">
        <v>41</v>
      </c>
      <c r="H320" s="15">
        <v>16</v>
      </c>
      <c r="I320" s="15">
        <v>5</v>
      </c>
      <c r="J320" s="15">
        <v>14</v>
      </c>
      <c r="K320" s="15">
        <v>4</v>
      </c>
      <c r="L320" s="15" t="s">
        <v>84</v>
      </c>
      <c r="M320" s="15" t="s">
        <v>84</v>
      </c>
    </row>
    <row r="321" spans="1:13" ht="45" x14ac:dyDescent="0.25">
      <c r="A321" s="15" t="s">
        <v>153</v>
      </c>
      <c r="B321" s="15">
        <v>39</v>
      </c>
      <c r="C321" s="15">
        <v>12</v>
      </c>
      <c r="D321" s="15">
        <v>1</v>
      </c>
      <c r="E321" s="15" t="s">
        <v>84</v>
      </c>
      <c r="F321" s="15">
        <v>39</v>
      </c>
      <c r="G321" s="15">
        <v>12</v>
      </c>
      <c r="H321" s="15">
        <v>1</v>
      </c>
      <c r="I321" s="15" t="s">
        <v>84</v>
      </c>
      <c r="J321" s="15" t="s">
        <v>84</v>
      </c>
      <c r="K321" s="15" t="s">
        <v>84</v>
      </c>
      <c r="L321" s="15" t="s">
        <v>84</v>
      </c>
      <c r="M321" s="15" t="s">
        <v>84</v>
      </c>
    </row>
    <row r="322" spans="1:13" ht="60" x14ac:dyDescent="0.25">
      <c r="A322" s="15" t="s">
        <v>154</v>
      </c>
      <c r="B322" s="15">
        <v>10</v>
      </c>
      <c r="C322" s="15">
        <v>3</v>
      </c>
      <c r="D322" s="15" t="s">
        <v>84</v>
      </c>
      <c r="E322" s="15" t="s">
        <v>84</v>
      </c>
      <c r="F322" s="15" t="s">
        <v>84</v>
      </c>
      <c r="G322" s="15" t="s">
        <v>84</v>
      </c>
      <c r="H322" s="15" t="s">
        <v>84</v>
      </c>
      <c r="I322" s="15" t="s">
        <v>84</v>
      </c>
      <c r="J322" s="15">
        <v>10</v>
      </c>
      <c r="K322" s="15">
        <v>3</v>
      </c>
      <c r="L322" s="15" t="s">
        <v>84</v>
      </c>
      <c r="M322" s="15" t="s">
        <v>84</v>
      </c>
    </row>
    <row r="323" spans="1:13" ht="15" customHeight="1" x14ac:dyDescent="0.25">
      <c r="A323" s="207" t="s">
        <v>117</v>
      </c>
      <c r="B323" s="208"/>
      <c r="C323" s="208"/>
      <c r="D323" s="208"/>
      <c r="E323" s="208"/>
      <c r="F323" s="208"/>
      <c r="G323" s="208"/>
      <c r="H323" s="208"/>
      <c r="I323" s="208"/>
      <c r="J323" s="208"/>
      <c r="K323" s="208"/>
      <c r="L323" s="208"/>
      <c r="M323" s="209"/>
    </row>
    <row r="324" spans="1:13" x14ac:dyDescent="0.25">
      <c r="A324" s="207"/>
      <c r="B324" s="208"/>
      <c r="C324" s="208"/>
      <c r="D324" s="208"/>
      <c r="E324" s="208"/>
      <c r="F324" s="208"/>
      <c r="G324" s="208"/>
      <c r="H324" s="208"/>
      <c r="I324" s="208"/>
      <c r="J324" s="208"/>
      <c r="K324" s="208"/>
      <c r="L324" s="208"/>
      <c r="M324" s="209"/>
    </row>
    <row r="325" spans="1:13" x14ac:dyDescent="0.25">
      <c r="A325" s="15" t="s">
        <v>83</v>
      </c>
      <c r="B325" s="27">
        <v>2064</v>
      </c>
      <c r="C325" s="15">
        <v>1025</v>
      </c>
      <c r="D325" s="27">
        <v>123</v>
      </c>
      <c r="E325" s="15">
        <v>57</v>
      </c>
      <c r="F325" s="15">
        <v>2044</v>
      </c>
      <c r="G325" s="15">
        <v>1012</v>
      </c>
      <c r="H325" s="15">
        <v>123</v>
      </c>
      <c r="I325" s="15">
        <v>57</v>
      </c>
      <c r="J325" s="15">
        <v>20</v>
      </c>
      <c r="K325" s="15">
        <v>13</v>
      </c>
      <c r="L325" s="15" t="s">
        <v>84</v>
      </c>
      <c r="M325" s="15" t="s">
        <v>84</v>
      </c>
    </row>
    <row r="326" spans="1:13" ht="30" x14ac:dyDescent="0.25">
      <c r="A326" s="15" t="s">
        <v>151</v>
      </c>
      <c r="B326" s="15">
        <v>601</v>
      </c>
      <c r="C326" s="15">
        <v>337</v>
      </c>
      <c r="D326" s="15">
        <v>8</v>
      </c>
      <c r="E326" s="15">
        <v>7</v>
      </c>
      <c r="F326" s="15">
        <v>591</v>
      </c>
      <c r="G326" s="15">
        <v>330</v>
      </c>
      <c r="H326" s="15">
        <v>8</v>
      </c>
      <c r="I326" s="15">
        <v>7</v>
      </c>
      <c r="J326" s="15">
        <v>10</v>
      </c>
      <c r="K326" s="15">
        <v>7</v>
      </c>
      <c r="L326" s="15" t="s">
        <v>84</v>
      </c>
      <c r="M326" s="15" t="s">
        <v>84</v>
      </c>
    </row>
    <row r="327" spans="1:13" ht="60" x14ac:dyDescent="0.25">
      <c r="A327" s="15" t="s">
        <v>152</v>
      </c>
      <c r="B327" s="15">
        <v>50</v>
      </c>
      <c r="C327" s="15">
        <v>28</v>
      </c>
      <c r="D327" s="15">
        <v>1</v>
      </c>
      <c r="E327" s="15">
        <v>1</v>
      </c>
      <c r="F327" s="15">
        <v>50</v>
      </c>
      <c r="G327" s="15">
        <v>28</v>
      </c>
      <c r="H327" s="15">
        <v>1</v>
      </c>
      <c r="I327" s="15">
        <v>1</v>
      </c>
      <c r="J327" s="15" t="s">
        <v>84</v>
      </c>
      <c r="K327" s="15" t="s">
        <v>84</v>
      </c>
      <c r="L327" s="15" t="s">
        <v>84</v>
      </c>
      <c r="M327" s="15" t="s">
        <v>84</v>
      </c>
    </row>
    <row r="328" spans="1:13" ht="30" x14ac:dyDescent="0.25">
      <c r="A328" s="15" t="s">
        <v>85</v>
      </c>
      <c r="B328" s="15">
        <v>951</v>
      </c>
      <c r="C328" s="15">
        <v>467</v>
      </c>
      <c r="D328" s="15">
        <v>42</v>
      </c>
      <c r="E328" s="15">
        <v>22</v>
      </c>
      <c r="F328" s="15">
        <v>941</v>
      </c>
      <c r="G328" s="15">
        <v>461</v>
      </c>
      <c r="H328" s="15">
        <v>42</v>
      </c>
      <c r="I328" s="15">
        <v>22</v>
      </c>
      <c r="J328" s="15">
        <v>10</v>
      </c>
      <c r="K328" s="15">
        <v>6</v>
      </c>
      <c r="L328" s="15" t="s">
        <v>84</v>
      </c>
      <c r="M328" s="15" t="s">
        <v>84</v>
      </c>
    </row>
    <row r="329" spans="1:13" ht="30" x14ac:dyDescent="0.25">
      <c r="A329" s="15" t="s">
        <v>86</v>
      </c>
      <c r="B329" s="15">
        <v>300</v>
      </c>
      <c r="C329" s="15">
        <v>128</v>
      </c>
      <c r="D329" s="15">
        <v>35</v>
      </c>
      <c r="E329" s="15">
        <v>15</v>
      </c>
      <c r="F329" s="15">
        <v>300</v>
      </c>
      <c r="G329" s="15">
        <v>128</v>
      </c>
      <c r="H329" s="15">
        <v>35</v>
      </c>
      <c r="I329" s="15">
        <v>15</v>
      </c>
      <c r="J329" s="15" t="s">
        <v>84</v>
      </c>
      <c r="K329" s="15" t="s">
        <v>84</v>
      </c>
      <c r="L329" s="15" t="s">
        <v>84</v>
      </c>
      <c r="M329" s="15" t="s">
        <v>84</v>
      </c>
    </row>
    <row r="330" spans="1:13" ht="45" x14ac:dyDescent="0.25">
      <c r="A330" s="15" t="s">
        <v>87</v>
      </c>
      <c r="B330" s="15">
        <v>162</v>
      </c>
      <c r="C330" s="15">
        <v>65</v>
      </c>
      <c r="D330" s="15">
        <v>37</v>
      </c>
      <c r="E330" s="15">
        <v>12</v>
      </c>
      <c r="F330" s="15">
        <v>162</v>
      </c>
      <c r="G330" s="15">
        <v>65</v>
      </c>
      <c r="H330" s="15">
        <v>37</v>
      </c>
      <c r="I330" s="15">
        <v>12</v>
      </c>
      <c r="J330" s="15" t="s">
        <v>84</v>
      </c>
      <c r="K330" s="15" t="s">
        <v>84</v>
      </c>
      <c r="L330" s="15" t="s">
        <v>84</v>
      </c>
      <c r="M330" s="15" t="s">
        <v>84</v>
      </c>
    </row>
    <row r="331" spans="1:13" ht="45" x14ac:dyDescent="0.25">
      <c r="A331" s="15" t="s">
        <v>153</v>
      </c>
      <c r="B331" s="15">
        <v>27</v>
      </c>
      <c r="C331" s="15">
        <v>12</v>
      </c>
      <c r="D331" s="15">
        <v>1</v>
      </c>
      <c r="E331" s="15">
        <v>1</v>
      </c>
      <c r="F331" s="15">
        <v>27</v>
      </c>
      <c r="G331" s="15">
        <v>12</v>
      </c>
      <c r="H331" s="15">
        <v>1</v>
      </c>
      <c r="I331" s="15">
        <v>1</v>
      </c>
      <c r="J331" s="15" t="s">
        <v>84</v>
      </c>
      <c r="K331" s="15" t="s">
        <v>84</v>
      </c>
      <c r="L331" s="15" t="s">
        <v>84</v>
      </c>
      <c r="M331" s="15" t="s">
        <v>84</v>
      </c>
    </row>
    <row r="332" spans="1:13" ht="60" x14ac:dyDescent="0.25">
      <c r="A332" s="15" t="s">
        <v>154</v>
      </c>
      <c r="B332" s="15">
        <v>15</v>
      </c>
      <c r="C332" s="15">
        <v>6</v>
      </c>
      <c r="D332" s="15">
        <v>2</v>
      </c>
      <c r="E332" s="15">
        <v>1</v>
      </c>
      <c r="F332" s="15">
        <v>15</v>
      </c>
      <c r="G332" s="15">
        <v>6</v>
      </c>
      <c r="H332" s="15">
        <v>2</v>
      </c>
      <c r="I332" s="15">
        <v>1</v>
      </c>
      <c r="J332" s="15" t="s">
        <v>84</v>
      </c>
      <c r="K332" s="15" t="s">
        <v>84</v>
      </c>
      <c r="L332" s="15" t="s">
        <v>84</v>
      </c>
      <c r="M332" s="15" t="s">
        <v>84</v>
      </c>
    </row>
    <row r="333" spans="1:13" ht="15" customHeight="1" x14ac:dyDescent="0.25">
      <c r="A333" s="207" t="s">
        <v>118</v>
      </c>
      <c r="B333" s="208"/>
      <c r="C333" s="208"/>
      <c r="D333" s="208"/>
      <c r="E333" s="208"/>
      <c r="F333" s="208"/>
      <c r="G333" s="208"/>
      <c r="H333" s="208"/>
      <c r="I333" s="208"/>
      <c r="J333" s="208"/>
      <c r="K333" s="208"/>
      <c r="L333" s="208"/>
      <c r="M333" s="209"/>
    </row>
    <row r="334" spans="1:13" x14ac:dyDescent="0.25">
      <c r="A334" s="207"/>
      <c r="B334" s="208"/>
      <c r="C334" s="208"/>
      <c r="D334" s="208"/>
      <c r="E334" s="208"/>
      <c r="F334" s="208"/>
      <c r="G334" s="208"/>
      <c r="H334" s="208"/>
      <c r="I334" s="208"/>
      <c r="J334" s="208"/>
      <c r="K334" s="208"/>
      <c r="L334" s="208"/>
      <c r="M334" s="209"/>
    </row>
    <row r="335" spans="1:13" x14ac:dyDescent="0.25">
      <c r="A335" s="15" t="s">
        <v>83</v>
      </c>
      <c r="B335" s="27">
        <v>866</v>
      </c>
      <c r="C335" s="15">
        <v>424</v>
      </c>
      <c r="D335" s="27">
        <v>30</v>
      </c>
      <c r="E335" s="15">
        <v>13</v>
      </c>
      <c r="F335" s="15">
        <v>862</v>
      </c>
      <c r="G335" s="15">
        <v>424</v>
      </c>
      <c r="H335" s="15">
        <v>30</v>
      </c>
      <c r="I335" s="15">
        <v>13</v>
      </c>
      <c r="J335" s="15">
        <v>4</v>
      </c>
      <c r="K335" s="15" t="s">
        <v>84</v>
      </c>
      <c r="L335" s="15" t="s">
        <v>84</v>
      </c>
      <c r="M335" s="15" t="s">
        <v>84</v>
      </c>
    </row>
    <row r="336" spans="1:13" ht="30" x14ac:dyDescent="0.25">
      <c r="A336" s="15" t="s">
        <v>151</v>
      </c>
      <c r="B336" s="15">
        <v>257</v>
      </c>
      <c r="C336" s="15">
        <v>140</v>
      </c>
      <c r="D336" s="15">
        <v>1</v>
      </c>
      <c r="E336" s="15" t="s">
        <v>84</v>
      </c>
      <c r="F336" s="15">
        <v>257</v>
      </c>
      <c r="G336" s="15">
        <v>140</v>
      </c>
      <c r="H336" s="15">
        <v>1</v>
      </c>
      <c r="I336" s="15" t="s">
        <v>84</v>
      </c>
      <c r="J336" s="15" t="s">
        <v>84</v>
      </c>
      <c r="K336" s="15" t="s">
        <v>84</v>
      </c>
      <c r="L336" s="15" t="s">
        <v>84</v>
      </c>
      <c r="M336" s="15" t="s">
        <v>84</v>
      </c>
    </row>
    <row r="337" spans="1:13" ht="60" x14ac:dyDescent="0.25">
      <c r="A337" s="15" t="s">
        <v>152</v>
      </c>
      <c r="B337" s="15">
        <v>23</v>
      </c>
      <c r="C337" s="15">
        <v>9</v>
      </c>
      <c r="D337" s="15">
        <v>1</v>
      </c>
      <c r="E337" s="15" t="s">
        <v>84</v>
      </c>
      <c r="F337" s="15">
        <v>23</v>
      </c>
      <c r="G337" s="15">
        <v>9</v>
      </c>
      <c r="H337" s="15">
        <v>1</v>
      </c>
      <c r="I337" s="15" t="s">
        <v>84</v>
      </c>
      <c r="J337" s="15" t="s">
        <v>84</v>
      </c>
      <c r="K337" s="15" t="s">
        <v>84</v>
      </c>
      <c r="L337" s="15" t="s">
        <v>84</v>
      </c>
      <c r="M337" s="15" t="s">
        <v>84</v>
      </c>
    </row>
    <row r="338" spans="1:13" ht="30" x14ac:dyDescent="0.25">
      <c r="A338" s="15" t="s">
        <v>85</v>
      </c>
      <c r="B338" s="15">
        <v>430</v>
      </c>
      <c r="C338" s="15">
        <v>209</v>
      </c>
      <c r="D338" s="15">
        <v>10</v>
      </c>
      <c r="E338" s="15">
        <v>5</v>
      </c>
      <c r="F338" s="15">
        <v>430</v>
      </c>
      <c r="G338" s="15">
        <v>209</v>
      </c>
      <c r="H338" s="15">
        <v>10</v>
      </c>
      <c r="I338" s="15">
        <v>5</v>
      </c>
      <c r="J338" s="15" t="s">
        <v>84</v>
      </c>
      <c r="K338" s="15" t="s">
        <v>84</v>
      </c>
      <c r="L338" s="15" t="s">
        <v>84</v>
      </c>
      <c r="M338" s="15" t="s">
        <v>84</v>
      </c>
    </row>
    <row r="339" spans="1:13" ht="30" x14ac:dyDescent="0.25">
      <c r="A339" s="15" t="s">
        <v>86</v>
      </c>
      <c r="B339" s="15">
        <v>102</v>
      </c>
      <c r="C339" s="15">
        <v>39</v>
      </c>
      <c r="D339" s="15">
        <v>10</v>
      </c>
      <c r="E339" s="15">
        <v>4</v>
      </c>
      <c r="F339" s="15">
        <v>99</v>
      </c>
      <c r="G339" s="15">
        <v>39</v>
      </c>
      <c r="H339" s="15">
        <v>10</v>
      </c>
      <c r="I339" s="15">
        <v>4</v>
      </c>
      <c r="J339" s="15">
        <v>3</v>
      </c>
      <c r="K339" s="15" t="s">
        <v>84</v>
      </c>
      <c r="L339" s="15" t="s">
        <v>84</v>
      </c>
      <c r="M339" s="15" t="s">
        <v>84</v>
      </c>
    </row>
    <row r="340" spans="1:13" ht="45" x14ac:dyDescent="0.25">
      <c r="A340" s="15" t="s">
        <v>87</v>
      </c>
      <c r="B340" s="15">
        <v>54</v>
      </c>
      <c r="C340" s="15">
        <v>27</v>
      </c>
      <c r="D340" s="15">
        <v>8</v>
      </c>
      <c r="E340" s="15">
        <v>4</v>
      </c>
      <c r="F340" s="15">
        <v>53</v>
      </c>
      <c r="G340" s="15">
        <v>27</v>
      </c>
      <c r="H340" s="15">
        <v>8</v>
      </c>
      <c r="I340" s="15">
        <v>4</v>
      </c>
      <c r="J340" s="15">
        <v>1</v>
      </c>
      <c r="K340" s="15" t="s">
        <v>84</v>
      </c>
      <c r="L340" s="15" t="s">
        <v>84</v>
      </c>
      <c r="M340" s="15" t="s">
        <v>84</v>
      </c>
    </row>
    <row r="341" spans="1:13" ht="45" x14ac:dyDescent="0.25">
      <c r="A341" s="15" t="s">
        <v>153</v>
      </c>
      <c r="B341" s="15">
        <v>16</v>
      </c>
      <c r="C341" s="15">
        <v>9</v>
      </c>
      <c r="D341" s="15" t="s">
        <v>84</v>
      </c>
      <c r="E341" s="15" t="s">
        <v>84</v>
      </c>
      <c r="F341" s="15">
        <v>16</v>
      </c>
      <c r="G341" s="15">
        <v>9</v>
      </c>
      <c r="H341" s="15" t="s">
        <v>84</v>
      </c>
      <c r="I341" s="15" t="s">
        <v>84</v>
      </c>
      <c r="J341" s="15" t="s">
        <v>84</v>
      </c>
      <c r="K341" s="15" t="s">
        <v>84</v>
      </c>
      <c r="L341" s="15" t="s">
        <v>84</v>
      </c>
      <c r="M341" s="15" t="s">
        <v>84</v>
      </c>
    </row>
    <row r="342" spans="1:13" ht="60" x14ac:dyDescent="0.25">
      <c r="A342" s="15" t="s">
        <v>154</v>
      </c>
      <c r="B342" s="15">
        <v>1</v>
      </c>
      <c r="C342" s="15" t="s">
        <v>84</v>
      </c>
      <c r="D342" s="15" t="s">
        <v>84</v>
      </c>
      <c r="E342" s="15" t="s">
        <v>84</v>
      </c>
      <c r="F342" s="15">
        <v>1</v>
      </c>
      <c r="G342" s="15" t="s">
        <v>84</v>
      </c>
      <c r="H342" s="15" t="s">
        <v>84</v>
      </c>
      <c r="I342" s="15" t="s">
        <v>84</v>
      </c>
      <c r="J342" s="15" t="s">
        <v>84</v>
      </c>
      <c r="K342" s="15" t="s">
        <v>84</v>
      </c>
      <c r="L342" s="15" t="s">
        <v>84</v>
      </c>
      <c r="M342" s="15" t="s">
        <v>84</v>
      </c>
    </row>
    <row r="343" spans="1:13" ht="15" customHeight="1" x14ac:dyDescent="0.25">
      <c r="A343" s="207" t="s">
        <v>119</v>
      </c>
      <c r="B343" s="208"/>
      <c r="C343" s="208"/>
      <c r="D343" s="208"/>
      <c r="E343" s="208"/>
      <c r="F343" s="208"/>
      <c r="G343" s="208"/>
      <c r="H343" s="208"/>
      <c r="I343" s="208"/>
      <c r="J343" s="208"/>
      <c r="K343" s="208"/>
      <c r="L343" s="208"/>
      <c r="M343" s="209"/>
    </row>
    <row r="344" spans="1:13" x14ac:dyDescent="0.25">
      <c r="A344" s="207"/>
      <c r="B344" s="208"/>
      <c r="C344" s="208"/>
      <c r="D344" s="208"/>
      <c r="E344" s="208"/>
      <c r="F344" s="208"/>
      <c r="G344" s="208"/>
      <c r="H344" s="208"/>
      <c r="I344" s="208"/>
      <c r="J344" s="208"/>
      <c r="K344" s="208"/>
      <c r="L344" s="208"/>
      <c r="M344" s="209"/>
    </row>
    <row r="345" spans="1:13" x14ac:dyDescent="0.25">
      <c r="A345" s="15" t="s">
        <v>83</v>
      </c>
      <c r="B345" s="27">
        <v>1304</v>
      </c>
      <c r="C345" s="15">
        <v>634</v>
      </c>
      <c r="D345" s="27">
        <v>78</v>
      </c>
      <c r="E345" s="15">
        <v>34</v>
      </c>
      <c r="F345" s="15">
        <v>1257</v>
      </c>
      <c r="G345" s="15">
        <v>615</v>
      </c>
      <c r="H345" s="15">
        <v>78</v>
      </c>
      <c r="I345" s="15">
        <v>34</v>
      </c>
      <c r="J345" s="15">
        <v>47</v>
      </c>
      <c r="K345" s="15">
        <v>19</v>
      </c>
      <c r="L345" s="15" t="s">
        <v>84</v>
      </c>
      <c r="M345" s="15" t="s">
        <v>84</v>
      </c>
    </row>
    <row r="346" spans="1:13" ht="30" x14ac:dyDescent="0.25">
      <c r="A346" s="15" t="s">
        <v>151</v>
      </c>
      <c r="B346" s="15">
        <v>469</v>
      </c>
      <c r="C346" s="15">
        <v>270</v>
      </c>
      <c r="D346" s="15">
        <v>5</v>
      </c>
      <c r="E346" s="15">
        <v>4</v>
      </c>
      <c r="F346" s="15">
        <v>447</v>
      </c>
      <c r="G346" s="15">
        <v>261</v>
      </c>
      <c r="H346" s="15">
        <v>5</v>
      </c>
      <c r="I346" s="15">
        <v>4</v>
      </c>
      <c r="J346" s="15">
        <v>22</v>
      </c>
      <c r="K346" s="15">
        <v>9</v>
      </c>
      <c r="L346" s="15" t="s">
        <v>84</v>
      </c>
      <c r="M346" s="15" t="s">
        <v>84</v>
      </c>
    </row>
    <row r="347" spans="1:13" ht="60" x14ac:dyDescent="0.25">
      <c r="A347" s="15" t="s">
        <v>152</v>
      </c>
      <c r="B347" s="15">
        <v>34</v>
      </c>
      <c r="C347" s="15">
        <v>12</v>
      </c>
      <c r="D347" s="15" t="s">
        <v>84</v>
      </c>
      <c r="E347" s="15" t="s">
        <v>84</v>
      </c>
      <c r="F347" s="15">
        <v>33</v>
      </c>
      <c r="G347" s="15">
        <v>12</v>
      </c>
      <c r="H347" s="15" t="s">
        <v>84</v>
      </c>
      <c r="I347" s="15" t="s">
        <v>84</v>
      </c>
      <c r="J347" s="15">
        <v>1</v>
      </c>
      <c r="K347" s="15" t="s">
        <v>84</v>
      </c>
      <c r="L347" s="15" t="s">
        <v>84</v>
      </c>
      <c r="M347" s="15" t="s">
        <v>84</v>
      </c>
    </row>
    <row r="348" spans="1:13" ht="30" x14ac:dyDescent="0.25">
      <c r="A348" s="15" t="s">
        <v>85</v>
      </c>
      <c r="B348" s="15">
        <v>576</v>
      </c>
      <c r="C348" s="15">
        <v>264</v>
      </c>
      <c r="D348" s="15">
        <v>42</v>
      </c>
      <c r="E348" s="15">
        <v>15</v>
      </c>
      <c r="F348" s="15">
        <v>565</v>
      </c>
      <c r="G348" s="15">
        <v>257</v>
      </c>
      <c r="H348" s="15">
        <v>42</v>
      </c>
      <c r="I348" s="15">
        <v>15</v>
      </c>
      <c r="J348" s="15">
        <v>11</v>
      </c>
      <c r="K348" s="15">
        <v>7</v>
      </c>
      <c r="L348" s="15" t="s">
        <v>84</v>
      </c>
      <c r="M348" s="15" t="s">
        <v>84</v>
      </c>
    </row>
    <row r="349" spans="1:13" ht="30" x14ac:dyDescent="0.25">
      <c r="A349" s="15" t="s">
        <v>86</v>
      </c>
      <c r="B349" s="15">
        <v>172</v>
      </c>
      <c r="C349" s="15">
        <v>71</v>
      </c>
      <c r="D349" s="15">
        <v>17</v>
      </c>
      <c r="E349" s="15">
        <v>8</v>
      </c>
      <c r="F349" s="15">
        <v>167</v>
      </c>
      <c r="G349" s="15">
        <v>69</v>
      </c>
      <c r="H349" s="15">
        <v>17</v>
      </c>
      <c r="I349" s="15">
        <v>8</v>
      </c>
      <c r="J349" s="15">
        <v>5</v>
      </c>
      <c r="K349" s="15">
        <v>2</v>
      </c>
      <c r="L349" s="15" t="s">
        <v>84</v>
      </c>
      <c r="M349" s="15" t="s">
        <v>84</v>
      </c>
    </row>
    <row r="350" spans="1:13" ht="45" x14ac:dyDescent="0.25">
      <c r="A350" s="15" t="s">
        <v>87</v>
      </c>
      <c r="B350" s="15">
        <v>53</v>
      </c>
      <c r="C350" s="15">
        <v>17</v>
      </c>
      <c r="D350" s="15">
        <v>14</v>
      </c>
      <c r="E350" s="15">
        <v>7</v>
      </c>
      <c r="F350" s="15">
        <v>45</v>
      </c>
      <c r="G350" s="15">
        <v>16</v>
      </c>
      <c r="H350" s="15">
        <v>14</v>
      </c>
      <c r="I350" s="15">
        <v>7</v>
      </c>
      <c r="J350" s="15">
        <v>8</v>
      </c>
      <c r="K350" s="15">
        <v>1</v>
      </c>
      <c r="L350" s="15" t="s">
        <v>84</v>
      </c>
      <c r="M350" s="15" t="s">
        <v>84</v>
      </c>
    </row>
    <row r="351" spans="1:13" ht="45" x14ac:dyDescent="0.25">
      <c r="A351" s="15" t="s">
        <v>153</v>
      </c>
      <c r="B351" s="15">
        <v>14</v>
      </c>
      <c r="C351" s="15">
        <v>2</v>
      </c>
      <c r="D351" s="15" t="s">
        <v>84</v>
      </c>
      <c r="E351" s="15" t="s">
        <v>84</v>
      </c>
      <c r="F351" s="15">
        <v>13</v>
      </c>
      <c r="G351" s="15">
        <v>2</v>
      </c>
      <c r="H351" s="15" t="s">
        <v>84</v>
      </c>
      <c r="I351" s="15" t="s">
        <v>84</v>
      </c>
      <c r="J351" s="15">
        <v>1</v>
      </c>
      <c r="K351" s="15" t="s">
        <v>84</v>
      </c>
      <c r="L351" s="15" t="s">
        <v>84</v>
      </c>
      <c r="M351" s="15" t="s">
        <v>84</v>
      </c>
    </row>
    <row r="352" spans="1:13" ht="60" x14ac:dyDescent="0.25">
      <c r="A352" s="15" t="s">
        <v>154</v>
      </c>
      <c r="B352" s="15">
        <v>7</v>
      </c>
      <c r="C352" s="15">
        <v>2</v>
      </c>
      <c r="D352" s="15">
        <v>1</v>
      </c>
      <c r="E352" s="15">
        <v>1</v>
      </c>
      <c r="F352" s="15">
        <v>2</v>
      </c>
      <c r="G352" s="15">
        <v>2</v>
      </c>
      <c r="H352" s="15">
        <v>1</v>
      </c>
      <c r="I352" s="15">
        <v>1</v>
      </c>
      <c r="J352" s="15">
        <v>5</v>
      </c>
      <c r="K352" s="15" t="s">
        <v>84</v>
      </c>
      <c r="L352" s="15" t="s">
        <v>84</v>
      </c>
      <c r="M352" s="15" t="s">
        <v>84</v>
      </c>
    </row>
    <row r="353" spans="1:13" ht="15" customHeight="1" x14ac:dyDescent="0.25">
      <c r="A353" s="207" t="s">
        <v>120</v>
      </c>
      <c r="B353" s="208"/>
      <c r="C353" s="208"/>
      <c r="D353" s="208"/>
      <c r="E353" s="208"/>
      <c r="F353" s="208"/>
      <c r="G353" s="208"/>
      <c r="H353" s="208"/>
      <c r="I353" s="208"/>
      <c r="J353" s="208"/>
      <c r="K353" s="208"/>
      <c r="L353" s="208"/>
      <c r="M353" s="209"/>
    </row>
    <row r="354" spans="1:13" x14ac:dyDescent="0.25">
      <c r="A354" s="207"/>
      <c r="B354" s="208"/>
      <c r="C354" s="208"/>
      <c r="D354" s="208"/>
      <c r="E354" s="208"/>
      <c r="F354" s="208"/>
      <c r="G354" s="208"/>
      <c r="H354" s="208"/>
      <c r="I354" s="208"/>
      <c r="J354" s="208"/>
      <c r="K354" s="208"/>
      <c r="L354" s="208"/>
      <c r="M354" s="209"/>
    </row>
    <row r="355" spans="1:13" x14ac:dyDescent="0.25">
      <c r="A355" s="15" t="s">
        <v>83</v>
      </c>
      <c r="B355" s="27">
        <v>27435</v>
      </c>
      <c r="C355" s="15">
        <v>13340</v>
      </c>
      <c r="D355" s="27">
        <v>1862</v>
      </c>
      <c r="E355" s="15">
        <v>821</v>
      </c>
      <c r="F355" s="15">
        <v>24231</v>
      </c>
      <c r="G355" s="15">
        <v>11691</v>
      </c>
      <c r="H355" s="15">
        <v>1789</v>
      </c>
      <c r="I355" s="15">
        <v>794</v>
      </c>
      <c r="J355" s="15">
        <v>3204</v>
      </c>
      <c r="K355" s="15">
        <v>1649</v>
      </c>
      <c r="L355" s="15">
        <v>73</v>
      </c>
      <c r="M355" s="15">
        <v>27</v>
      </c>
    </row>
    <row r="356" spans="1:13" ht="30" x14ac:dyDescent="0.25">
      <c r="A356" s="15" t="s">
        <v>151</v>
      </c>
      <c r="B356" s="15">
        <v>7732</v>
      </c>
      <c r="C356" s="15">
        <v>4379</v>
      </c>
      <c r="D356" s="15">
        <v>129</v>
      </c>
      <c r="E356" s="15">
        <v>69</v>
      </c>
      <c r="F356" s="15">
        <v>6298</v>
      </c>
      <c r="G356" s="15">
        <v>3533</v>
      </c>
      <c r="H356" s="15">
        <v>118</v>
      </c>
      <c r="I356" s="15">
        <v>63</v>
      </c>
      <c r="J356" s="15">
        <v>1434</v>
      </c>
      <c r="K356" s="15">
        <v>846</v>
      </c>
      <c r="L356" s="15">
        <v>11</v>
      </c>
      <c r="M356" s="15">
        <v>6</v>
      </c>
    </row>
    <row r="357" spans="1:13" ht="60" x14ac:dyDescent="0.25">
      <c r="A357" s="15" t="s">
        <v>152</v>
      </c>
      <c r="B357" s="15">
        <v>647</v>
      </c>
      <c r="C357" s="15">
        <v>313</v>
      </c>
      <c r="D357" s="15">
        <v>24</v>
      </c>
      <c r="E357" s="15">
        <v>14</v>
      </c>
      <c r="F357" s="15">
        <v>577</v>
      </c>
      <c r="G357" s="15">
        <v>282</v>
      </c>
      <c r="H357" s="15">
        <v>23</v>
      </c>
      <c r="I357" s="15">
        <v>13</v>
      </c>
      <c r="J357" s="15">
        <v>70</v>
      </c>
      <c r="K357" s="15">
        <v>31</v>
      </c>
      <c r="L357" s="15">
        <v>1</v>
      </c>
      <c r="M357" s="15">
        <v>1</v>
      </c>
    </row>
    <row r="358" spans="1:13" ht="30" x14ac:dyDescent="0.25">
      <c r="A358" s="15" t="s">
        <v>85</v>
      </c>
      <c r="B358" s="15">
        <v>12947</v>
      </c>
      <c r="C358" s="15">
        <v>6337</v>
      </c>
      <c r="D358" s="15">
        <v>683</v>
      </c>
      <c r="E358" s="15">
        <v>344</v>
      </c>
      <c r="F358" s="15">
        <v>11724</v>
      </c>
      <c r="G358" s="15">
        <v>5724</v>
      </c>
      <c r="H358" s="15">
        <v>663</v>
      </c>
      <c r="I358" s="15">
        <v>336</v>
      </c>
      <c r="J358" s="15">
        <v>1223</v>
      </c>
      <c r="K358" s="15">
        <v>613</v>
      </c>
      <c r="L358" s="15">
        <v>20</v>
      </c>
      <c r="M358" s="15">
        <v>8</v>
      </c>
    </row>
    <row r="359" spans="1:13" ht="30" x14ac:dyDescent="0.25">
      <c r="A359" s="15" t="s">
        <v>86</v>
      </c>
      <c r="B359" s="15">
        <v>4321</v>
      </c>
      <c r="C359" s="15">
        <v>1644</v>
      </c>
      <c r="D359" s="15">
        <v>536</v>
      </c>
      <c r="E359" s="15">
        <v>215</v>
      </c>
      <c r="F359" s="15">
        <v>4006</v>
      </c>
      <c r="G359" s="15">
        <v>1528</v>
      </c>
      <c r="H359" s="15">
        <v>518</v>
      </c>
      <c r="I359" s="15">
        <v>210</v>
      </c>
      <c r="J359" s="15">
        <v>315</v>
      </c>
      <c r="K359" s="15">
        <v>116</v>
      </c>
      <c r="L359" s="15">
        <v>18</v>
      </c>
      <c r="M359" s="15">
        <v>5</v>
      </c>
    </row>
    <row r="360" spans="1:13" ht="45" x14ac:dyDescent="0.25">
      <c r="A360" s="15" t="s">
        <v>87</v>
      </c>
      <c r="B360" s="15">
        <v>1788</v>
      </c>
      <c r="C360" s="15">
        <v>667</v>
      </c>
      <c r="D360" s="15">
        <v>490</v>
      </c>
      <c r="E360" s="15">
        <v>179</v>
      </c>
      <c r="F360" s="15">
        <v>1626</v>
      </c>
      <c r="G360" s="15">
        <v>624</v>
      </c>
      <c r="H360" s="15">
        <v>467</v>
      </c>
      <c r="I360" s="15">
        <v>172</v>
      </c>
      <c r="J360" s="15">
        <v>162</v>
      </c>
      <c r="K360" s="15">
        <v>43</v>
      </c>
      <c r="L360" s="15">
        <v>23</v>
      </c>
      <c r="M360" s="15">
        <v>7</v>
      </c>
    </row>
    <row r="361" spans="1:13" ht="45" x14ac:dyDescent="0.25">
      <c r="A361" s="15" t="s">
        <v>153</v>
      </c>
      <c r="B361" s="15">
        <v>503</v>
      </c>
      <c r="C361" s="15">
        <v>179</v>
      </c>
      <c r="D361" s="15">
        <v>36</v>
      </c>
      <c r="E361" s="15">
        <v>16</v>
      </c>
      <c r="F361" s="15">
        <v>457</v>
      </c>
      <c r="G361" s="15">
        <v>162</v>
      </c>
      <c r="H361" s="15">
        <v>35</v>
      </c>
      <c r="I361" s="15">
        <v>16</v>
      </c>
      <c r="J361" s="15">
        <v>46</v>
      </c>
      <c r="K361" s="15">
        <v>17</v>
      </c>
      <c r="L361" s="15">
        <v>1</v>
      </c>
      <c r="M361" s="15" t="s">
        <v>84</v>
      </c>
    </row>
    <row r="362" spans="1:13" ht="60" x14ac:dyDescent="0.25">
      <c r="A362" s="15" t="s">
        <v>154</v>
      </c>
      <c r="B362" s="15">
        <v>234</v>
      </c>
      <c r="C362" s="15">
        <v>95</v>
      </c>
      <c r="D362" s="15">
        <v>30</v>
      </c>
      <c r="E362" s="15">
        <v>9</v>
      </c>
      <c r="F362" s="15">
        <v>204</v>
      </c>
      <c r="G362" s="15">
        <v>84</v>
      </c>
      <c r="H362" s="15">
        <v>29</v>
      </c>
      <c r="I362" s="15">
        <v>8</v>
      </c>
      <c r="J362" s="15">
        <v>30</v>
      </c>
      <c r="K362" s="15">
        <v>11</v>
      </c>
      <c r="L362" s="15">
        <v>1</v>
      </c>
      <c r="M362" s="15">
        <v>1</v>
      </c>
    </row>
    <row r="363" spans="1:13" ht="15" customHeight="1" x14ac:dyDescent="0.25">
      <c r="A363" s="207" t="s">
        <v>121</v>
      </c>
      <c r="B363" s="208"/>
      <c r="C363" s="208"/>
      <c r="D363" s="208"/>
      <c r="E363" s="208"/>
      <c r="F363" s="208"/>
      <c r="G363" s="208"/>
      <c r="H363" s="208"/>
      <c r="I363" s="208"/>
      <c r="J363" s="208"/>
      <c r="K363" s="208"/>
      <c r="L363" s="208"/>
      <c r="M363" s="209"/>
    </row>
    <row r="364" spans="1:13" x14ac:dyDescent="0.25">
      <c r="A364" s="207"/>
      <c r="B364" s="208"/>
      <c r="C364" s="208"/>
      <c r="D364" s="208"/>
      <c r="E364" s="208"/>
      <c r="F364" s="208"/>
      <c r="G364" s="208"/>
      <c r="H364" s="208"/>
      <c r="I364" s="208"/>
      <c r="J364" s="208"/>
      <c r="K364" s="208"/>
      <c r="L364" s="208"/>
      <c r="M364" s="209"/>
    </row>
    <row r="365" spans="1:13" x14ac:dyDescent="0.25">
      <c r="A365" s="15" t="s">
        <v>83</v>
      </c>
      <c r="B365" s="27">
        <v>832</v>
      </c>
      <c r="C365" s="15">
        <v>422</v>
      </c>
      <c r="D365" s="27">
        <v>154</v>
      </c>
      <c r="E365" s="15">
        <v>69</v>
      </c>
      <c r="F365" s="15">
        <v>832</v>
      </c>
      <c r="G365" s="15">
        <v>422</v>
      </c>
      <c r="H365" s="15">
        <v>154</v>
      </c>
      <c r="I365" s="15">
        <v>69</v>
      </c>
      <c r="J365" s="15" t="s">
        <v>84</v>
      </c>
      <c r="K365" s="15" t="s">
        <v>84</v>
      </c>
      <c r="L365" s="15" t="s">
        <v>84</v>
      </c>
      <c r="M365" s="15" t="s">
        <v>84</v>
      </c>
    </row>
    <row r="366" spans="1:13" ht="30" x14ac:dyDescent="0.25">
      <c r="A366" s="15" t="s">
        <v>151</v>
      </c>
      <c r="B366" s="15">
        <v>251</v>
      </c>
      <c r="C366" s="15">
        <v>153</v>
      </c>
      <c r="D366" s="15">
        <v>16</v>
      </c>
      <c r="E366" s="15">
        <v>6</v>
      </c>
      <c r="F366" s="15">
        <v>251</v>
      </c>
      <c r="G366" s="15">
        <v>153</v>
      </c>
      <c r="H366" s="15">
        <v>16</v>
      </c>
      <c r="I366" s="15">
        <v>6</v>
      </c>
      <c r="J366" s="15" t="s">
        <v>84</v>
      </c>
      <c r="K366" s="15" t="s">
        <v>84</v>
      </c>
      <c r="L366" s="15" t="s">
        <v>84</v>
      </c>
      <c r="M366" s="15" t="s">
        <v>84</v>
      </c>
    </row>
    <row r="367" spans="1:13" ht="60" x14ac:dyDescent="0.25">
      <c r="A367" s="15" t="s">
        <v>152</v>
      </c>
      <c r="B367" s="15">
        <v>11</v>
      </c>
      <c r="C367" s="15">
        <v>5</v>
      </c>
      <c r="D367" s="15" t="s">
        <v>84</v>
      </c>
      <c r="E367" s="15" t="s">
        <v>84</v>
      </c>
      <c r="F367" s="15">
        <v>11</v>
      </c>
      <c r="G367" s="15">
        <v>5</v>
      </c>
      <c r="H367" s="15" t="s">
        <v>84</v>
      </c>
      <c r="I367" s="15" t="s">
        <v>84</v>
      </c>
      <c r="J367" s="15" t="s">
        <v>84</v>
      </c>
      <c r="K367" s="15" t="s">
        <v>84</v>
      </c>
      <c r="L367" s="15" t="s">
        <v>84</v>
      </c>
      <c r="M367" s="15" t="s">
        <v>84</v>
      </c>
    </row>
    <row r="368" spans="1:13" ht="30" x14ac:dyDescent="0.25">
      <c r="A368" s="15" t="s">
        <v>85</v>
      </c>
      <c r="B368" s="15">
        <v>363</v>
      </c>
      <c r="C368" s="15">
        <v>181</v>
      </c>
      <c r="D368" s="15">
        <v>61</v>
      </c>
      <c r="E368" s="15">
        <v>33</v>
      </c>
      <c r="F368" s="15">
        <v>363</v>
      </c>
      <c r="G368" s="15">
        <v>181</v>
      </c>
      <c r="H368" s="15">
        <v>61</v>
      </c>
      <c r="I368" s="15">
        <v>33</v>
      </c>
      <c r="J368" s="15" t="s">
        <v>84</v>
      </c>
      <c r="K368" s="15" t="s">
        <v>84</v>
      </c>
      <c r="L368" s="15" t="s">
        <v>84</v>
      </c>
      <c r="M368" s="15" t="s">
        <v>84</v>
      </c>
    </row>
    <row r="369" spans="1:13" ht="30" x14ac:dyDescent="0.25">
      <c r="A369" s="15" t="s">
        <v>86</v>
      </c>
      <c r="B369" s="15">
        <v>134</v>
      </c>
      <c r="C369" s="15">
        <v>53</v>
      </c>
      <c r="D369" s="15">
        <v>40</v>
      </c>
      <c r="E369" s="15">
        <v>16</v>
      </c>
      <c r="F369" s="15">
        <v>134</v>
      </c>
      <c r="G369" s="15">
        <v>53</v>
      </c>
      <c r="H369" s="15">
        <v>40</v>
      </c>
      <c r="I369" s="15">
        <v>16</v>
      </c>
      <c r="J369" s="15" t="s">
        <v>84</v>
      </c>
      <c r="K369" s="15" t="s">
        <v>84</v>
      </c>
      <c r="L369" s="15" t="s">
        <v>84</v>
      </c>
      <c r="M369" s="15" t="s">
        <v>84</v>
      </c>
    </row>
    <row r="370" spans="1:13" ht="45" x14ac:dyDescent="0.25">
      <c r="A370" s="15" t="s">
        <v>87</v>
      </c>
      <c r="B370" s="15">
        <v>73</v>
      </c>
      <c r="C370" s="15">
        <v>30</v>
      </c>
      <c r="D370" s="15">
        <v>37</v>
      </c>
      <c r="E370" s="15">
        <v>14</v>
      </c>
      <c r="F370" s="15">
        <v>73</v>
      </c>
      <c r="G370" s="15">
        <v>30</v>
      </c>
      <c r="H370" s="15">
        <v>37</v>
      </c>
      <c r="I370" s="15">
        <v>14</v>
      </c>
      <c r="J370" s="15" t="s">
        <v>84</v>
      </c>
      <c r="K370" s="15" t="s">
        <v>84</v>
      </c>
      <c r="L370" s="15" t="s">
        <v>84</v>
      </c>
      <c r="M370" s="15" t="s">
        <v>84</v>
      </c>
    </row>
    <row r="371" spans="1:13" ht="45" x14ac:dyDescent="0.25">
      <c r="A371" s="15" t="s">
        <v>153</v>
      </c>
      <c r="B371" s="15">
        <v>2</v>
      </c>
      <c r="C371" s="15" t="s">
        <v>84</v>
      </c>
      <c r="D371" s="15" t="s">
        <v>84</v>
      </c>
      <c r="E371" s="15" t="s">
        <v>84</v>
      </c>
      <c r="F371" s="15">
        <v>2</v>
      </c>
      <c r="G371" s="15" t="s">
        <v>84</v>
      </c>
      <c r="H371" s="15" t="s">
        <v>84</v>
      </c>
      <c r="I371" s="15" t="s">
        <v>84</v>
      </c>
      <c r="J371" s="15" t="s">
        <v>84</v>
      </c>
      <c r="K371" s="15" t="s">
        <v>84</v>
      </c>
      <c r="L371" s="15" t="s">
        <v>84</v>
      </c>
      <c r="M371" s="15" t="s">
        <v>84</v>
      </c>
    </row>
    <row r="372" spans="1:13" ht="60" x14ac:dyDescent="0.25">
      <c r="A372" s="15" t="s">
        <v>154</v>
      </c>
      <c r="B372" s="15">
        <v>6</v>
      </c>
      <c r="C372" s="15">
        <v>2</v>
      </c>
      <c r="D372" s="15">
        <v>2</v>
      </c>
      <c r="E372" s="15" t="s">
        <v>84</v>
      </c>
      <c r="F372" s="15">
        <v>6</v>
      </c>
      <c r="G372" s="15">
        <v>2</v>
      </c>
      <c r="H372" s="15">
        <v>2</v>
      </c>
      <c r="I372" s="15" t="s">
        <v>84</v>
      </c>
      <c r="J372" s="15" t="s">
        <v>84</v>
      </c>
      <c r="K372" s="15" t="s">
        <v>84</v>
      </c>
      <c r="L372" s="15" t="s">
        <v>84</v>
      </c>
      <c r="M372" s="15" t="s">
        <v>84</v>
      </c>
    </row>
    <row r="373" spans="1:13" ht="15" customHeight="1" x14ac:dyDescent="0.25">
      <c r="A373" s="207" t="s">
        <v>122</v>
      </c>
      <c r="B373" s="208"/>
      <c r="C373" s="208"/>
      <c r="D373" s="208"/>
      <c r="E373" s="208"/>
      <c r="F373" s="208"/>
      <c r="G373" s="208"/>
      <c r="H373" s="208"/>
      <c r="I373" s="208"/>
      <c r="J373" s="208"/>
      <c r="K373" s="208"/>
      <c r="L373" s="208"/>
      <c r="M373" s="209"/>
    </row>
    <row r="374" spans="1:13" x14ac:dyDescent="0.25">
      <c r="A374" s="207"/>
      <c r="B374" s="208"/>
      <c r="C374" s="208"/>
      <c r="D374" s="208"/>
      <c r="E374" s="208"/>
      <c r="F374" s="208"/>
      <c r="G374" s="208"/>
      <c r="H374" s="208"/>
      <c r="I374" s="208"/>
      <c r="J374" s="208"/>
      <c r="K374" s="208"/>
      <c r="L374" s="208"/>
      <c r="M374" s="209"/>
    </row>
    <row r="375" spans="1:13" x14ac:dyDescent="0.25">
      <c r="A375" s="15" t="s">
        <v>83</v>
      </c>
      <c r="B375" s="27">
        <v>456</v>
      </c>
      <c r="C375" s="15">
        <v>238</v>
      </c>
      <c r="D375" s="27">
        <v>40</v>
      </c>
      <c r="E375" s="15">
        <v>19</v>
      </c>
      <c r="F375" s="15">
        <v>456</v>
      </c>
      <c r="G375" s="15">
        <v>238</v>
      </c>
      <c r="H375" s="15">
        <v>40</v>
      </c>
      <c r="I375" s="15">
        <v>19</v>
      </c>
      <c r="J375" s="15" t="s">
        <v>84</v>
      </c>
      <c r="K375" s="15" t="s">
        <v>84</v>
      </c>
      <c r="L375" s="15" t="s">
        <v>84</v>
      </c>
      <c r="M375" s="15" t="s">
        <v>84</v>
      </c>
    </row>
    <row r="376" spans="1:13" ht="30" x14ac:dyDescent="0.25">
      <c r="A376" s="15" t="s">
        <v>151</v>
      </c>
      <c r="B376" s="15">
        <v>144</v>
      </c>
      <c r="C376" s="15">
        <v>87</v>
      </c>
      <c r="D376" s="15">
        <v>4</v>
      </c>
      <c r="E376" s="15">
        <v>4</v>
      </c>
      <c r="F376" s="15">
        <v>144</v>
      </c>
      <c r="G376" s="15">
        <v>87</v>
      </c>
      <c r="H376" s="15">
        <v>4</v>
      </c>
      <c r="I376" s="15">
        <v>4</v>
      </c>
      <c r="J376" s="15" t="s">
        <v>84</v>
      </c>
      <c r="K376" s="15" t="s">
        <v>84</v>
      </c>
      <c r="L376" s="15" t="s">
        <v>84</v>
      </c>
      <c r="M376" s="15" t="s">
        <v>84</v>
      </c>
    </row>
    <row r="377" spans="1:13" ht="60" x14ac:dyDescent="0.25">
      <c r="A377" s="15" t="s">
        <v>152</v>
      </c>
      <c r="B377" s="15">
        <v>8</v>
      </c>
      <c r="C377" s="15">
        <v>5</v>
      </c>
      <c r="D377" s="15" t="s">
        <v>84</v>
      </c>
      <c r="E377" s="15" t="s">
        <v>84</v>
      </c>
      <c r="F377" s="15">
        <v>8</v>
      </c>
      <c r="G377" s="15">
        <v>5</v>
      </c>
      <c r="H377" s="15" t="s">
        <v>84</v>
      </c>
      <c r="I377" s="15" t="s">
        <v>84</v>
      </c>
      <c r="J377" s="15" t="s">
        <v>84</v>
      </c>
      <c r="K377" s="15" t="s">
        <v>84</v>
      </c>
      <c r="L377" s="15" t="s">
        <v>84</v>
      </c>
      <c r="M377" s="15" t="s">
        <v>84</v>
      </c>
    </row>
    <row r="378" spans="1:13" ht="30" x14ac:dyDescent="0.25">
      <c r="A378" s="15" t="s">
        <v>85</v>
      </c>
      <c r="B378" s="15">
        <v>202</v>
      </c>
      <c r="C378" s="15">
        <v>109</v>
      </c>
      <c r="D378" s="15">
        <v>17</v>
      </c>
      <c r="E378" s="15">
        <v>7</v>
      </c>
      <c r="F378" s="15">
        <v>202</v>
      </c>
      <c r="G378" s="15">
        <v>109</v>
      </c>
      <c r="H378" s="15">
        <v>17</v>
      </c>
      <c r="I378" s="15">
        <v>7</v>
      </c>
      <c r="J378" s="15" t="s">
        <v>84</v>
      </c>
      <c r="K378" s="15" t="s">
        <v>84</v>
      </c>
      <c r="L378" s="15" t="s">
        <v>84</v>
      </c>
      <c r="M378" s="15" t="s">
        <v>84</v>
      </c>
    </row>
    <row r="379" spans="1:13" ht="30" x14ac:dyDescent="0.25">
      <c r="A379" s="15" t="s">
        <v>86</v>
      </c>
      <c r="B379" s="15">
        <v>53</v>
      </c>
      <c r="C379" s="15">
        <v>18</v>
      </c>
      <c r="D379" s="15">
        <v>11</v>
      </c>
      <c r="E379" s="15">
        <v>4</v>
      </c>
      <c r="F379" s="15">
        <v>53</v>
      </c>
      <c r="G379" s="15">
        <v>18</v>
      </c>
      <c r="H379" s="15">
        <v>11</v>
      </c>
      <c r="I379" s="15">
        <v>4</v>
      </c>
      <c r="J379" s="15" t="s">
        <v>84</v>
      </c>
      <c r="K379" s="15" t="s">
        <v>84</v>
      </c>
      <c r="L379" s="15" t="s">
        <v>84</v>
      </c>
      <c r="M379" s="15" t="s">
        <v>84</v>
      </c>
    </row>
    <row r="380" spans="1:13" ht="45" x14ac:dyDescent="0.25">
      <c r="A380" s="15" t="s">
        <v>87</v>
      </c>
      <c r="B380" s="15">
        <v>49</v>
      </c>
      <c r="C380" s="15">
        <v>19</v>
      </c>
      <c r="D380" s="15">
        <v>8</v>
      </c>
      <c r="E380" s="15">
        <v>4</v>
      </c>
      <c r="F380" s="15">
        <v>49</v>
      </c>
      <c r="G380" s="15">
        <v>19</v>
      </c>
      <c r="H380" s="15">
        <v>8</v>
      </c>
      <c r="I380" s="15">
        <v>4</v>
      </c>
      <c r="J380" s="15" t="s">
        <v>84</v>
      </c>
      <c r="K380" s="15" t="s">
        <v>84</v>
      </c>
      <c r="L380" s="15" t="s">
        <v>84</v>
      </c>
      <c r="M380" s="15" t="s">
        <v>84</v>
      </c>
    </row>
    <row r="381" spans="1:13" ht="45" x14ac:dyDescent="0.25">
      <c r="A381" s="15" t="s">
        <v>153</v>
      </c>
      <c r="B381" s="15">
        <v>9</v>
      </c>
      <c r="C381" s="15">
        <v>3</v>
      </c>
      <c r="D381" s="15" t="s">
        <v>84</v>
      </c>
      <c r="E381" s="15" t="s">
        <v>84</v>
      </c>
      <c r="F381" s="15">
        <v>9</v>
      </c>
      <c r="G381" s="15">
        <v>3</v>
      </c>
      <c r="H381" s="15" t="s">
        <v>84</v>
      </c>
      <c r="I381" s="15" t="s">
        <v>84</v>
      </c>
      <c r="J381" s="15" t="s">
        <v>84</v>
      </c>
      <c r="K381" s="15" t="s">
        <v>84</v>
      </c>
      <c r="L381" s="15" t="s">
        <v>84</v>
      </c>
      <c r="M381" s="15" t="s">
        <v>84</v>
      </c>
    </row>
    <row r="382" spans="1:13" ht="60" x14ac:dyDescent="0.25">
      <c r="A382" s="15" t="s">
        <v>154</v>
      </c>
      <c r="B382" s="15">
        <v>8</v>
      </c>
      <c r="C382" s="15">
        <v>4</v>
      </c>
      <c r="D382" s="15" t="s">
        <v>84</v>
      </c>
      <c r="E382" s="15" t="s">
        <v>84</v>
      </c>
      <c r="F382" s="15">
        <v>8</v>
      </c>
      <c r="G382" s="15">
        <v>4</v>
      </c>
      <c r="H382" s="15" t="s">
        <v>84</v>
      </c>
      <c r="I382" s="15" t="s">
        <v>84</v>
      </c>
      <c r="J382" s="15" t="s">
        <v>84</v>
      </c>
      <c r="K382" s="15" t="s">
        <v>84</v>
      </c>
      <c r="L382" s="15" t="s">
        <v>84</v>
      </c>
      <c r="M382" s="15" t="s">
        <v>84</v>
      </c>
    </row>
    <row r="383" spans="1:13" ht="15" customHeight="1" x14ac:dyDescent="0.25">
      <c r="A383" s="207" t="s">
        <v>123</v>
      </c>
      <c r="B383" s="208"/>
      <c r="C383" s="208"/>
      <c r="D383" s="208"/>
      <c r="E383" s="208"/>
      <c r="F383" s="208"/>
      <c r="G383" s="208"/>
      <c r="H383" s="208"/>
      <c r="I383" s="208"/>
      <c r="J383" s="208"/>
      <c r="K383" s="208"/>
      <c r="L383" s="208"/>
      <c r="M383" s="209"/>
    </row>
    <row r="384" spans="1:13" x14ac:dyDescent="0.25">
      <c r="A384" s="207"/>
      <c r="B384" s="208"/>
      <c r="C384" s="208"/>
      <c r="D384" s="208"/>
      <c r="E384" s="208"/>
      <c r="F384" s="208"/>
      <c r="G384" s="208"/>
      <c r="H384" s="208"/>
      <c r="I384" s="208"/>
      <c r="J384" s="208"/>
      <c r="K384" s="208"/>
      <c r="L384" s="208"/>
      <c r="M384" s="209"/>
    </row>
    <row r="385" spans="1:13" x14ac:dyDescent="0.25">
      <c r="A385" s="15" t="s">
        <v>83</v>
      </c>
      <c r="B385" s="27">
        <v>1940</v>
      </c>
      <c r="C385" s="15">
        <v>971</v>
      </c>
      <c r="D385" s="27">
        <v>95</v>
      </c>
      <c r="E385" s="15">
        <v>49</v>
      </c>
      <c r="F385" s="15">
        <v>1696</v>
      </c>
      <c r="G385" s="15">
        <v>855</v>
      </c>
      <c r="H385" s="15">
        <v>88</v>
      </c>
      <c r="I385" s="15">
        <v>44</v>
      </c>
      <c r="J385" s="15">
        <v>244</v>
      </c>
      <c r="K385" s="15">
        <v>116</v>
      </c>
      <c r="L385" s="15">
        <v>7</v>
      </c>
      <c r="M385" s="15">
        <v>5</v>
      </c>
    </row>
    <row r="386" spans="1:13" ht="30" x14ac:dyDescent="0.25">
      <c r="A386" s="15" t="s">
        <v>151</v>
      </c>
      <c r="B386" s="15">
        <v>919</v>
      </c>
      <c r="C386" s="15">
        <v>529</v>
      </c>
      <c r="D386" s="15">
        <v>15</v>
      </c>
      <c r="E386" s="15">
        <v>4</v>
      </c>
      <c r="F386" s="15">
        <v>803</v>
      </c>
      <c r="G386" s="15">
        <v>467</v>
      </c>
      <c r="H386" s="15">
        <v>15</v>
      </c>
      <c r="I386" s="15">
        <v>4</v>
      </c>
      <c r="J386" s="15">
        <v>116</v>
      </c>
      <c r="K386" s="15">
        <v>62</v>
      </c>
      <c r="L386" s="15" t="s">
        <v>84</v>
      </c>
      <c r="M386" s="15" t="s">
        <v>84</v>
      </c>
    </row>
    <row r="387" spans="1:13" ht="60" x14ac:dyDescent="0.25">
      <c r="A387" s="15" t="s">
        <v>152</v>
      </c>
      <c r="B387" s="15">
        <v>105</v>
      </c>
      <c r="C387" s="15">
        <v>45</v>
      </c>
      <c r="D387" s="15">
        <v>5</v>
      </c>
      <c r="E387" s="15">
        <v>2</v>
      </c>
      <c r="F387" s="15">
        <v>99</v>
      </c>
      <c r="G387" s="15">
        <v>42</v>
      </c>
      <c r="H387" s="15">
        <v>5</v>
      </c>
      <c r="I387" s="15">
        <v>2</v>
      </c>
      <c r="J387" s="15">
        <v>6</v>
      </c>
      <c r="K387" s="15">
        <v>3</v>
      </c>
      <c r="L387" s="15" t="s">
        <v>84</v>
      </c>
      <c r="M387" s="15" t="s">
        <v>84</v>
      </c>
    </row>
    <row r="388" spans="1:13" ht="30" x14ac:dyDescent="0.25">
      <c r="A388" s="15" t="s">
        <v>85</v>
      </c>
      <c r="B388" s="15">
        <v>647</v>
      </c>
      <c r="C388" s="15">
        <v>294</v>
      </c>
      <c r="D388" s="15">
        <v>28</v>
      </c>
      <c r="E388" s="15">
        <v>15</v>
      </c>
      <c r="F388" s="15">
        <v>547</v>
      </c>
      <c r="G388" s="15">
        <v>248</v>
      </c>
      <c r="H388" s="15">
        <v>23</v>
      </c>
      <c r="I388" s="15">
        <v>12</v>
      </c>
      <c r="J388" s="15">
        <v>100</v>
      </c>
      <c r="K388" s="15">
        <v>46</v>
      </c>
      <c r="L388" s="15">
        <v>5</v>
      </c>
      <c r="M388" s="15">
        <v>3</v>
      </c>
    </row>
    <row r="389" spans="1:13" ht="30" x14ac:dyDescent="0.25">
      <c r="A389" s="15" t="s">
        <v>86</v>
      </c>
      <c r="B389" s="15">
        <v>166</v>
      </c>
      <c r="C389" s="15">
        <v>70</v>
      </c>
      <c r="D389" s="15">
        <v>23</v>
      </c>
      <c r="E389" s="15">
        <v>17</v>
      </c>
      <c r="F389" s="15">
        <v>150</v>
      </c>
      <c r="G389" s="15">
        <v>68</v>
      </c>
      <c r="H389" s="15">
        <v>23</v>
      </c>
      <c r="I389" s="15">
        <v>17</v>
      </c>
      <c r="J389" s="15">
        <v>16</v>
      </c>
      <c r="K389" s="15">
        <v>2</v>
      </c>
      <c r="L389" s="15" t="s">
        <v>84</v>
      </c>
      <c r="M389" s="15" t="s">
        <v>84</v>
      </c>
    </row>
    <row r="390" spans="1:13" ht="45" x14ac:dyDescent="0.25">
      <c r="A390" s="15" t="s">
        <v>87</v>
      </c>
      <c r="B390" s="15">
        <v>103</v>
      </c>
      <c r="C390" s="15">
        <v>33</v>
      </c>
      <c r="D390" s="15">
        <v>24</v>
      </c>
      <c r="E390" s="15">
        <v>11</v>
      </c>
      <c r="F390" s="15">
        <v>97</v>
      </c>
      <c r="G390" s="15">
        <v>30</v>
      </c>
      <c r="H390" s="15">
        <v>22</v>
      </c>
      <c r="I390" s="15">
        <v>9</v>
      </c>
      <c r="J390" s="15">
        <v>6</v>
      </c>
      <c r="K390" s="15">
        <v>3</v>
      </c>
      <c r="L390" s="15">
        <v>2</v>
      </c>
      <c r="M390" s="15">
        <v>2</v>
      </c>
    </row>
    <row r="391" spans="1:13" ht="45" x14ac:dyDescent="0.25">
      <c r="A391" s="15" t="s">
        <v>153</v>
      </c>
      <c r="B391" s="15">
        <v>25</v>
      </c>
      <c r="C391" s="15">
        <v>6</v>
      </c>
      <c r="D391" s="15">
        <v>1</v>
      </c>
      <c r="E391" s="15" t="s">
        <v>84</v>
      </c>
      <c r="F391" s="15">
        <v>25</v>
      </c>
      <c r="G391" s="15">
        <v>6</v>
      </c>
      <c r="H391" s="15">
        <v>1</v>
      </c>
      <c r="I391" s="15" t="s">
        <v>84</v>
      </c>
      <c r="J391" s="15" t="s">
        <v>84</v>
      </c>
      <c r="K391" s="15" t="s">
        <v>84</v>
      </c>
      <c r="L391" s="15" t="s">
        <v>84</v>
      </c>
      <c r="M391" s="15" t="s">
        <v>84</v>
      </c>
    </row>
    <row r="392" spans="1:13" ht="60" x14ac:dyDescent="0.25">
      <c r="A392" s="15" t="s">
        <v>154</v>
      </c>
      <c r="B392" s="15">
        <v>24</v>
      </c>
      <c r="C392" s="15">
        <v>11</v>
      </c>
      <c r="D392" s="15">
        <v>1</v>
      </c>
      <c r="E392" s="15">
        <v>1</v>
      </c>
      <c r="F392" s="15">
        <v>24</v>
      </c>
      <c r="G392" s="15">
        <v>11</v>
      </c>
      <c r="H392" s="15">
        <v>1</v>
      </c>
      <c r="I392" s="15">
        <v>1</v>
      </c>
      <c r="J392" s="15" t="s">
        <v>84</v>
      </c>
      <c r="K392" s="15" t="s">
        <v>84</v>
      </c>
      <c r="L392" s="15" t="s">
        <v>84</v>
      </c>
      <c r="M392" s="15" t="s">
        <v>84</v>
      </c>
    </row>
    <row r="393" spans="1:13" ht="15" customHeight="1" x14ac:dyDescent="0.25">
      <c r="A393" s="207" t="s">
        <v>124</v>
      </c>
      <c r="B393" s="208"/>
      <c r="C393" s="208"/>
      <c r="D393" s="208"/>
      <c r="E393" s="208"/>
      <c r="F393" s="208"/>
      <c r="G393" s="208"/>
      <c r="H393" s="208"/>
      <c r="I393" s="208"/>
      <c r="J393" s="208"/>
      <c r="K393" s="208"/>
      <c r="L393" s="208"/>
      <c r="M393" s="209"/>
    </row>
    <row r="394" spans="1:13" x14ac:dyDescent="0.25">
      <c r="A394" s="207"/>
      <c r="B394" s="208"/>
      <c r="C394" s="208"/>
      <c r="D394" s="208"/>
      <c r="E394" s="208"/>
      <c r="F394" s="208"/>
      <c r="G394" s="208"/>
      <c r="H394" s="208"/>
      <c r="I394" s="208"/>
      <c r="J394" s="208"/>
      <c r="K394" s="208"/>
      <c r="L394" s="208"/>
      <c r="M394" s="209"/>
    </row>
    <row r="395" spans="1:13" x14ac:dyDescent="0.25">
      <c r="A395" s="15" t="s">
        <v>83</v>
      </c>
      <c r="B395" s="27">
        <v>2036</v>
      </c>
      <c r="C395" s="15">
        <v>1000</v>
      </c>
      <c r="D395" s="27">
        <v>137</v>
      </c>
      <c r="E395" s="15">
        <v>67</v>
      </c>
      <c r="F395" s="15">
        <v>1499</v>
      </c>
      <c r="G395" s="15">
        <v>715</v>
      </c>
      <c r="H395" s="15">
        <v>132</v>
      </c>
      <c r="I395" s="15">
        <v>65</v>
      </c>
      <c r="J395" s="15">
        <v>537</v>
      </c>
      <c r="K395" s="15">
        <v>285</v>
      </c>
      <c r="L395" s="15">
        <v>5</v>
      </c>
      <c r="M395" s="15">
        <v>2</v>
      </c>
    </row>
    <row r="396" spans="1:13" ht="30" x14ac:dyDescent="0.25">
      <c r="A396" s="15" t="s">
        <v>151</v>
      </c>
      <c r="B396" s="15">
        <v>895</v>
      </c>
      <c r="C396" s="15">
        <v>523</v>
      </c>
      <c r="D396" s="15">
        <v>16</v>
      </c>
      <c r="E396" s="15">
        <v>11</v>
      </c>
      <c r="F396" s="15">
        <v>663</v>
      </c>
      <c r="G396" s="15">
        <v>374</v>
      </c>
      <c r="H396" s="15">
        <v>15</v>
      </c>
      <c r="I396" s="15">
        <v>10</v>
      </c>
      <c r="J396" s="15">
        <v>232</v>
      </c>
      <c r="K396" s="15">
        <v>149</v>
      </c>
      <c r="L396" s="15">
        <v>1</v>
      </c>
      <c r="M396" s="15">
        <v>1</v>
      </c>
    </row>
    <row r="397" spans="1:13" ht="60" x14ac:dyDescent="0.25">
      <c r="A397" s="15" t="s">
        <v>152</v>
      </c>
      <c r="B397" s="15">
        <v>97</v>
      </c>
      <c r="C397" s="15">
        <v>42</v>
      </c>
      <c r="D397" s="15">
        <v>2</v>
      </c>
      <c r="E397" s="15">
        <v>1</v>
      </c>
      <c r="F397" s="15">
        <v>82</v>
      </c>
      <c r="G397" s="15">
        <v>37</v>
      </c>
      <c r="H397" s="15">
        <v>2</v>
      </c>
      <c r="I397" s="15">
        <v>1</v>
      </c>
      <c r="J397" s="15">
        <v>15</v>
      </c>
      <c r="K397" s="15">
        <v>5</v>
      </c>
      <c r="L397" s="15" t="s">
        <v>84</v>
      </c>
      <c r="M397" s="15" t="s">
        <v>84</v>
      </c>
    </row>
    <row r="398" spans="1:13" ht="30" x14ac:dyDescent="0.25">
      <c r="A398" s="15" t="s">
        <v>85</v>
      </c>
      <c r="B398" s="15">
        <v>786</v>
      </c>
      <c r="C398" s="15">
        <v>342</v>
      </c>
      <c r="D398" s="15">
        <v>66</v>
      </c>
      <c r="E398" s="15">
        <v>33</v>
      </c>
      <c r="F398" s="15">
        <v>527</v>
      </c>
      <c r="G398" s="15">
        <v>227</v>
      </c>
      <c r="H398" s="15">
        <v>66</v>
      </c>
      <c r="I398" s="15">
        <v>33</v>
      </c>
      <c r="J398" s="15">
        <v>259</v>
      </c>
      <c r="K398" s="15">
        <v>115</v>
      </c>
      <c r="L398" s="15" t="s">
        <v>84</v>
      </c>
      <c r="M398" s="15" t="s">
        <v>84</v>
      </c>
    </row>
    <row r="399" spans="1:13" ht="30" x14ac:dyDescent="0.25">
      <c r="A399" s="15" t="s">
        <v>86</v>
      </c>
      <c r="B399" s="15">
        <v>166</v>
      </c>
      <c r="C399" s="15">
        <v>60</v>
      </c>
      <c r="D399" s="15">
        <v>25</v>
      </c>
      <c r="E399" s="15">
        <v>10</v>
      </c>
      <c r="F399" s="15">
        <v>142</v>
      </c>
      <c r="G399" s="15">
        <v>48</v>
      </c>
      <c r="H399" s="15">
        <v>24</v>
      </c>
      <c r="I399" s="15">
        <v>10</v>
      </c>
      <c r="J399" s="15">
        <v>24</v>
      </c>
      <c r="K399" s="15">
        <v>12</v>
      </c>
      <c r="L399" s="15">
        <v>1</v>
      </c>
      <c r="M399" s="15" t="s">
        <v>84</v>
      </c>
    </row>
    <row r="400" spans="1:13" ht="45" x14ac:dyDescent="0.25">
      <c r="A400" s="15" t="s">
        <v>87</v>
      </c>
      <c r="B400" s="15">
        <v>92</v>
      </c>
      <c r="C400" s="15">
        <v>33</v>
      </c>
      <c r="D400" s="15">
        <v>28</v>
      </c>
      <c r="E400" s="15">
        <v>12</v>
      </c>
      <c r="F400" s="15">
        <v>85</v>
      </c>
      <c r="G400" s="15">
        <v>29</v>
      </c>
      <c r="H400" s="15">
        <v>25</v>
      </c>
      <c r="I400" s="15">
        <v>11</v>
      </c>
      <c r="J400" s="15">
        <v>7</v>
      </c>
      <c r="K400" s="15">
        <v>4</v>
      </c>
      <c r="L400" s="15">
        <v>3</v>
      </c>
      <c r="M400" s="15">
        <v>1</v>
      </c>
    </row>
    <row r="401" spans="1:13" ht="45" x14ac:dyDescent="0.25">
      <c r="A401" s="15" t="s">
        <v>153</v>
      </c>
      <c r="B401" s="15">
        <v>27</v>
      </c>
      <c r="C401" s="15">
        <v>6</v>
      </c>
      <c r="D401" s="15">
        <v>6</v>
      </c>
      <c r="E401" s="15">
        <v>2</v>
      </c>
      <c r="F401" s="15">
        <v>25</v>
      </c>
      <c r="G401" s="15">
        <v>4</v>
      </c>
      <c r="H401" s="15">
        <v>6</v>
      </c>
      <c r="I401" s="15">
        <v>2</v>
      </c>
      <c r="J401" s="15">
        <v>2</v>
      </c>
      <c r="K401" s="15">
        <v>2</v>
      </c>
      <c r="L401" s="15" t="s">
        <v>84</v>
      </c>
      <c r="M401" s="15" t="s">
        <v>84</v>
      </c>
    </row>
    <row r="402" spans="1:13" ht="60" x14ac:dyDescent="0.25">
      <c r="A402" s="15" t="s">
        <v>154</v>
      </c>
      <c r="B402" s="15">
        <v>16</v>
      </c>
      <c r="C402" s="15">
        <v>7</v>
      </c>
      <c r="D402" s="15">
        <v>2</v>
      </c>
      <c r="E402" s="15">
        <v>1</v>
      </c>
      <c r="F402" s="15">
        <v>16</v>
      </c>
      <c r="G402" s="15">
        <v>7</v>
      </c>
      <c r="H402" s="15">
        <v>2</v>
      </c>
      <c r="I402" s="15">
        <v>1</v>
      </c>
      <c r="J402" s="15" t="s">
        <v>84</v>
      </c>
      <c r="K402" s="15" t="s">
        <v>84</v>
      </c>
      <c r="L402" s="15" t="s">
        <v>84</v>
      </c>
      <c r="M402" s="15" t="s">
        <v>84</v>
      </c>
    </row>
    <row r="403" spans="1:13" ht="15" customHeight="1" x14ac:dyDescent="0.25">
      <c r="A403" s="207" t="s">
        <v>125</v>
      </c>
      <c r="B403" s="208"/>
      <c r="C403" s="208"/>
      <c r="D403" s="208"/>
      <c r="E403" s="208"/>
      <c r="F403" s="208"/>
      <c r="G403" s="208"/>
      <c r="H403" s="208"/>
      <c r="I403" s="208"/>
      <c r="J403" s="208"/>
      <c r="K403" s="208"/>
      <c r="L403" s="208"/>
      <c r="M403" s="209"/>
    </row>
    <row r="404" spans="1:13" x14ac:dyDescent="0.25">
      <c r="A404" s="207"/>
      <c r="B404" s="208"/>
      <c r="C404" s="208"/>
      <c r="D404" s="208"/>
      <c r="E404" s="208"/>
      <c r="F404" s="208"/>
      <c r="G404" s="208"/>
      <c r="H404" s="208"/>
      <c r="I404" s="208"/>
      <c r="J404" s="208"/>
      <c r="K404" s="208"/>
      <c r="L404" s="208"/>
      <c r="M404" s="209"/>
    </row>
    <row r="405" spans="1:13" x14ac:dyDescent="0.25">
      <c r="A405" s="15" t="s">
        <v>83</v>
      </c>
      <c r="B405" s="27">
        <v>748</v>
      </c>
      <c r="C405" s="15">
        <v>359</v>
      </c>
      <c r="D405" s="27">
        <v>38</v>
      </c>
      <c r="E405" s="15">
        <v>13</v>
      </c>
      <c r="F405" s="15">
        <v>586</v>
      </c>
      <c r="G405" s="15">
        <v>265</v>
      </c>
      <c r="H405" s="15">
        <v>29</v>
      </c>
      <c r="I405" s="15">
        <v>12</v>
      </c>
      <c r="J405" s="15">
        <v>162</v>
      </c>
      <c r="K405" s="15">
        <v>94</v>
      </c>
      <c r="L405" s="15">
        <v>9</v>
      </c>
      <c r="M405" s="15">
        <v>1</v>
      </c>
    </row>
    <row r="406" spans="1:13" ht="30" x14ac:dyDescent="0.25">
      <c r="A406" s="15" t="s">
        <v>151</v>
      </c>
      <c r="B406" s="15">
        <v>240</v>
      </c>
      <c r="C406" s="15">
        <v>135</v>
      </c>
      <c r="D406" s="15">
        <v>3</v>
      </c>
      <c r="E406" s="15">
        <v>1</v>
      </c>
      <c r="F406" s="15">
        <v>161</v>
      </c>
      <c r="G406" s="15">
        <v>82</v>
      </c>
      <c r="H406" s="15">
        <v>2</v>
      </c>
      <c r="I406" s="15">
        <v>1</v>
      </c>
      <c r="J406" s="15">
        <v>79</v>
      </c>
      <c r="K406" s="15">
        <v>53</v>
      </c>
      <c r="L406" s="15">
        <v>1</v>
      </c>
      <c r="M406" s="15" t="s">
        <v>84</v>
      </c>
    </row>
    <row r="407" spans="1:13" ht="60" x14ac:dyDescent="0.25">
      <c r="A407" s="15" t="s">
        <v>152</v>
      </c>
      <c r="B407" s="15">
        <v>19</v>
      </c>
      <c r="C407" s="15">
        <v>9</v>
      </c>
      <c r="D407" s="15">
        <v>1</v>
      </c>
      <c r="E407" s="15">
        <v>1</v>
      </c>
      <c r="F407" s="15">
        <v>17</v>
      </c>
      <c r="G407" s="15">
        <v>8</v>
      </c>
      <c r="H407" s="15">
        <v>1</v>
      </c>
      <c r="I407" s="15">
        <v>1</v>
      </c>
      <c r="J407" s="15">
        <v>2</v>
      </c>
      <c r="K407" s="15">
        <v>1</v>
      </c>
      <c r="L407" s="15" t="s">
        <v>84</v>
      </c>
      <c r="M407" s="15" t="s">
        <v>84</v>
      </c>
    </row>
    <row r="408" spans="1:13" ht="30" x14ac:dyDescent="0.25">
      <c r="A408" s="15" t="s">
        <v>85</v>
      </c>
      <c r="B408" s="15">
        <v>308</v>
      </c>
      <c r="C408" s="15">
        <v>143</v>
      </c>
      <c r="D408" s="15">
        <v>11</v>
      </c>
      <c r="E408" s="15">
        <v>4</v>
      </c>
      <c r="F408" s="15">
        <v>246</v>
      </c>
      <c r="G408" s="15">
        <v>110</v>
      </c>
      <c r="H408" s="15">
        <v>10</v>
      </c>
      <c r="I408" s="15">
        <v>4</v>
      </c>
      <c r="J408" s="15">
        <v>62</v>
      </c>
      <c r="K408" s="15">
        <v>33</v>
      </c>
      <c r="L408" s="15">
        <v>1</v>
      </c>
      <c r="M408" s="15" t="s">
        <v>84</v>
      </c>
    </row>
    <row r="409" spans="1:13" ht="30" x14ac:dyDescent="0.25">
      <c r="A409" s="15" t="s">
        <v>86</v>
      </c>
      <c r="B409" s="15">
        <v>137</v>
      </c>
      <c r="C409" s="15">
        <v>50</v>
      </c>
      <c r="D409" s="15">
        <v>20</v>
      </c>
      <c r="E409" s="15">
        <v>4</v>
      </c>
      <c r="F409" s="15">
        <v>118</v>
      </c>
      <c r="G409" s="15">
        <v>43</v>
      </c>
      <c r="H409" s="15">
        <v>13</v>
      </c>
      <c r="I409" s="15">
        <v>3</v>
      </c>
      <c r="J409" s="15">
        <v>19</v>
      </c>
      <c r="K409" s="15">
        <v>7</v>
      </c>
      <c r="L409" s="15">
        <v>7</v>
      </c>
      <c r="M409" s="15">
        <v>1</v>
      </c>
    </row>
    <row r="410" spans="1:13" ht="45" x14ac:dyDescent="0.25">
      <c r="A410" s="15" t="s">
        <v>87</v>
      </c>
      <c r="B410" s="15">
        <v>44</v>
      </c>
      <c r="C410" s="15">
        <v>22</v>
      </c>
      <c r="D410" s="15">
        <v>3</v>
      </c>
      <c r="E410" s="15">
        <v>3</v>
      </c>
      <c r="F410" s="15">
        <v>44</v>
      </c>
      <c r="G410" s="15">
        <v>22</v>
      </c>
      <c r="H410" s="15">
        <v>3</v>
      </c>
      <c r="I410" s="15">
        <v>3</v>
      </c>
      <c r="J410" s="15" t="s">
        <v>84</v>
      </c>
      <c r="K410" s="15" t="s">
        <v>84</v>
      </c>
      <c r="L410" s="15" t="s">
        <v>84</v>
      </c>
      <c r="M410" s="15" t="s">
        <v>84</v>
      </c>
    </row>
    <row r="411" spans="1:13" ht="45" x14ac:dyDescent="0.25">
      <c r="A411" s="15" t="s">
        <v>153</v>
      </c>
      <c r="B411" s="15">
        <v>14</v>
      </c>
      <c r="C411" s="15">
        <v>7</v>
      </c>
      <c r="D411" s="15" t="s">
        <v>84</v>
      </c>
      <c r="E411" s="15" t="s">
        <v>84</v>
      </c>
      <c r="F411" s="15">
        <v>14</v>
      </c>
      <c r="G411" s="15">
        <v>7</v>
      </c>
      <c r="H411" s="15" t="s">
        <v>84</v>
      </c>
      <c r="I411" s="15" t="s">
        <v>84</v>
      </c>
      <c r="J411" s="15" t="s">
        <v>84</v>
      </c>
      <c r="K411" s="15" t="s">
        <v>84</v>
      </c>
      <c r="L411" s="15" t="s">
        <v>84</v>
      </c>
      <c r="M411" s="15" t="s">
        <v>84</v>
      </c>
    </row>
    <row r="412" spans="1:13" ht="15" customHeight="1" x14ac:dyDescent="0.25">
      <c r="A412" s="207" t="s">
        <v>126</v>
      </c>
      <c r="B412" s="208"/>
      <c r="C412" s="208"/>
      <c r="D412" s="208"/>
      <c r="E412" s="208"/>
      <c r="F412" s="208"/>
      <c r="G412" s="208"/>
      <c r="H412" s="208"/>
      <c r="I412" s="208"/>
      <c r="J412" s="208"/>
      <c r="K412" s="208"/>
      <c r="L412" s="208"/>
      <c r="M412" s="209"/>
    </row>
    <row r="413" spans="1:13" x14ac:dyDescent="0.25">
      <c r="A413" s="207"/>
      <c r="B413" s="208"/>
      <c r="C413" s="208"/>
      <c r="D413" s="208"/>
      <c r="E413" s="208"/>
      <c r="F413" s="208"/>
      <c r="G413" s="208"/>
      <c r="H413" s="208"/>
      <c r="I413" s="208"/>
      <c r="J413" s="208"/>
      <c r="K413" s="208"/>
      <c r="L413" s="208"/>
      <c r="M413" s="209"/>
    </row>
    <row r="414" spans="1:13" x14ac:dyDescent="0.25">
      <c r="A414" s="15" t="s">
        <v>83</v>
      </c>
      <c r="B414" s="27">
        <v>1245</v>
      </c>
      <c r="C414" s="15">
        <v>627</v>
      </c>
      <c r="D414" s="27">
        <v>65</v>
      </c>
      <c r="E414" s="15">
        <v>28</v>
      </c>
      <c r="F414" s="15">
        <v>1227</v>
      </c>
      <c r="G414" s="15">
        <v>622</v>
      </c>
      <c r="H414" s="15">
        <v>65</v>
      </c>
      <c r="I414" s="15">
        <v>28</v>
      </c>
      <c r="J414" s="15">
        <v>18</v>
      </c>
      <c r="K414" s="15">
        <v>5</v>
      </c>
      <c r="L414" s="15" t="s">
        <v>84</v>
      </c>
      <c r="M414" s="15" t="s">
        <v>84</v>
      </c>
    </row>
    <row r="415" spans="1:13" ht="30" x14ac:dyDescent="0.25">
      <c r="A415" s="15" t="s">
        <v>151</v>
      </c>
      <c r="B415" s="15">
        <v>347</v>
      </c>
      <c r="C415" s="15">
        <v>177</v>
      </c>
      <c r="D415" s="15">
        <v>4</v>
      </c>
      <c r="E415" s="15" t="s">
        <v>84</v>
      </c>
      <c r="F415" s="15">
        <v>347</v>
      </c>
      <c r="G415" s="15">
        <v>177</v>
      </c>
      <c r="H415" s="15">
        <v>4</v>
      </c>
      <c r="I415" s="15" t="s">
        <v>84</v>
      </c>
      <c r="J415" s="15" t="s">
        <v>84</v>
      </c>
      <c r="K415" s="15" t="s">
        <v>84</v>
      </c>
      <c r="L415" s="15" t="s">
        <v>84</v>
      </c>
      <c r="M415" s="15" t="s">
        <v>84</v>
      </c>
    </row>
    <row r="416" spans="1:13" ht="60" x14ac:dyDescent="0.25">
      <c r="A416" s="15" t="s">
        <v>152</v>
      </c>
      <c r="B416" s="15">
        <v>16</v>
      </c>
      <c r="C416" s="15">
        <v>9</v>
      </c>
      <c r="D416" s="15" t="s">
        <v>84</v>
      </c>
      <c r="E416" s="15" t="s">
        <v>84</v>
      </c>
      <c r="F416" s="15">
        <v>16</v>
      </c>
      <c r="G416" s="15">
        <v>9</v>
      </c>
      <c r="H416" s="15" t="s">
        <v>84</v>
      </c>
      <c r="I416" s="15" t="s">
        <v>84</v>
      </c>
      <c r="J416" s="15" t="s">
        <v>84</v>
      </c>
      <c r="K416" s="15" t="s">
        <v>84</v>
      </c>
      <c r="L416" s="15" t="s">
        <v>84</v>
      </c>
      <c r="M416" s="15" t="s">
        <v>84</v>
      </c>
    </row>
    <row r="417" spans="1:13" ht="30" x14ac:dyDescent="0.25">
      <c r="A417" s="15" t="s">
        <v>85</v>
      </c>
      <c r="B417" s="15">
        <v>637</v>
      </c>
      <c r="C417" s="15">
        <v>342</v>
      </c>
      <c r="D417" s="15">
        <v>38</v>
      </c>
      <c r="E417" s="15">
        <v>18</v>
      </c>
      <c r="F417" s="15">
        <v>633</v>
      </c>
      <c r="G417" s="15">
        <v>340</v>
      </c>
      <c r="H417" s="15">
        <v>38</v>
      </c>
      <c r="I417" s="15">
        <v>18</v>
      </c>
      <c r="J417" s="15">
        <v>4</v>
      </c>
      <c r="K417" s="15">
        <v>2</v>
      </c>
      <c r="L417" s="15" t="s">
        <v>84</v>
      </c>
      <c r="M417" s="15" t="s">
        <v>84</v>
      </c>
    </row>
    <row r="418" spans="1:13" ht="30" x14ac:dyDescent="0.25">
      <c r="A418" s="15" t="s">
        <v>86</v>
      </c>
      <c r="B418" s="15">
        <v>205</v>
      </c>
      <c r="C418" s="15">
        <v>85</v>
      </c>
      <c r="D418" s="15">
        <v>21</v>
      </c>
      <c r="E418" s="15">
        <v>10</v>
      </c>
      <c r="F418" s="15">
        <v>197</v>
      </c>
      <c r="G418" s="15">
        <v>83</v>
      </c>
      <c r="H418" s="15">
        <v>21</v>
      </c>
      <c r="I418" s="15">
        <v>10</v>
      </c>
      <c r="J418" s="15">
        <v>8</v>
      </c>
      <c r="K418" s="15">
        <v>2</v>
      </c>
      <c r="L418" s="15" t="s">
        <v>84</v>
      </c>
      <c r="M418" s="15" t="s">
        <v>84</v>
      </c>
    </row>
    <row r="419" spans="1:13" ht="45" x14ac:dyDescent="0.25">
      <c r="A419" s="15" t="s">
        <v>87</v>
      </c>
      <c r="B419" s="15">
        <v>40</v>
      </c>
      <c r="C419" s="15">
        <v>14</v>
      </c>
      <c r="D419" s="15">
        <v>2</v>
      </c>
      <c r="E419" s="15" t="s">
        <v>84</v>
      </c>
      <c r="F419" s="15">
        <v>34</v>
      </c>
      <c r="G419" s="15">
        <v>13</v>
      </c>
      <c r="H419" s="15">
        <v>2</v>
      </c>
      <c r="I419" s="15" t="s">
        <v>84</v>
      </c>
      <c r="J419" s="15">
        <v>6</v>
      </c>
      <c r="K419" s="15">
        <v>1</v>
      </c>
      <c r="L419" s="15" t="s">
        <v>84</v>
      </c>
      <c r="M419" s="15" t="s">
        <v>84</v>
      </c>
    </row>
    <row r="420" spans="1:13" ht="45" x14ac:dyDescent="0.25">
      <c r="A420" s="15" t="s">
        <v>153</v>
      </c>
      <c r="B420" s="15">
        <v>19</v>
      </c>
      <c r="C420" s="15">
        <v>5</v>
      </c>
      <c r="D420" s="15">
        <v>1</v>
      </c>
      <c r="E420" s="15" t="s">
        <v>84</v>
      </c>
      <c r="F420" s="15">
        <v>16</v>
      </c>
      <c r="G420" s="15">
        <v>5</v>
      </c>
      <c r="H420" s="15">
        <v>1</v>
      </c>
      <c r="I420" s="15" t="s">
        <v>84</v>
      </c>
      <c r="J420" s="15">
        <v>3</v>
      </c>
      <c r="K420" s="15" t="s">
        <v>84</v>
      </c>
      <c r="L420" s="15" t="s">
        <v>84</v>
      </c>
      <c r="M420" s="15" t="s">
        <v>84</v>
      </c>
    </row>
    <row r="421" spans="1:13" ht="60" x14ac:dyDescent="0.25">
      <c r="A421" s="15" t="s">
        <v>154</v>
      </c>
      <c r="B421" s="15">
        <v>7</v>
      </c>
      <c r="C421" s="15">
        <v>3</v>
      </c>
      <c r="D421" s="15">
        <v>1</v>
      </c>
      <c r="E421" s="15" t="s">
        <v>84</v>
      </c>
      <c r="F421" s="15">
        <v>7</v>
      </c>
      <c r="G421" s="15">
        <v>3</v>
      </c>
      <c r="H421" s="15">
        <v>1</v>
      </c>
      <c r="I421" s="15" t="s">
        <v>84</v>
      </c>
      <c r="J421" s="15" t="s">
        <v>84</v>
      </c>
      <c r="K421" s="15" t="s">
        <v>84</v>
      </c>
      <c r="L421" s="15" t="s">
        <v>84</v>
      </c>
      <c r="M421" s="15" t="s">
        <v>84</v>
      </c>
    </row>
    <row r="422" spans="1:13" ht="15" customHeight="1" x14ac:dyDescent="0.25">
      <c r="A422" s="207" t="s">
        <v>127</v>
      </c>
      <c r="B422" s="208"/>
      <c r="C422" s="208"/>
      <c r="D422" s="208"/>
      <c r="E422" s="208"/>
      <c r="F422" s="208"/>
      <c r="G422" s="208"/>
      <c r="H422" s="208"/>
      <c r="I422" s="208"/>
      <c r="J422" s="208"/>
      <c r="K422" s="208"/>
      <c r="L422" s="208"/>
      <c r="M422" s="209"/>
    </row>
    <row r="423" spans="1:13" x14ac:dyDescent="0.25">
      <c r="A423" s="207"/>
      <c r="B423" s="208"/>
      <c r="C423" s="208"/>
      <c r="D423" s="208"/>
      <c r="E423" s="208"/>
      <c r="F423" s="208"/>
      <c r="G423" s="208"/>
      <c r="H423" s="208"/>
      <c r="I423" s="208"/>
      <c r="J423" s="208"/>
      <c r="K423" s="208"/>
      <c r="L423" s="208"/>
      <c r="M423" s="209"/>
    </row>
    <row r="424" spans="1:13" x14ac:dyDescent="0.25">
      <c r="A424" s="15" t="s">
        <v>83</v>
      </c>
      <c r="B424" s="27">
        <v>2012</v>
      </c>
      <c r="C424" s="15">
        <v>982</v>
      </c>
      <c r="D424" s="27">
        <v>83</v>
      </c>
      <c r="E424" s="15">
        <v>40</v>
      </c>
      <c r="F424" s="15">
        <v>1977</v>
      </c>
      <c r="G424" s="15">
        <v>974</v>
      </c>
      <c r="H424" s="15">
        <v>83</v>
      </c>
      <c r="I424" s="15">
        <v>40</v>
      </c>
      <c r="J424" s="15">
        <v>35</v>
      </c>
      <c r="K424" s="15">
        <v>8</v>
      </c>
      <c r="L424" s="15" t="s">
        <v>84</v>
      </c>
      <c r="M424" s="15" t="s">
        <v>84</v>
      </c>
    </row>
    <row r="425" spans="1:13" ht="30" x14ac:dyDescent="0.25">
      <c r="A425" s="15" t="s">
        <v>151</v>
      </c>
      <c r="B425" s="15">
        <v>545</v>
      </c>
      <c r="C425" s="15">
        <v>297</v>
      </c>
      <c r="D425" s="15">
        <v>5</v>
      </c>
      <c r="E425" s="15">
        <v>3</v>
      </c>
      <c r="F425" s="15">
        <v>545</v>
      </c>
      <c r="G425" s="15">
        <v>297</v>
      </c>
      <c r="H425" s="15">
        <v>5</v>
      </c>
      <c r="I425" s="15">
        <v>3</v>
      </c>
      <c r="J425" s="15" t="s">
        <v>84</v>
      </c>
      <c r="K425" s="15" t="s">
        <v>84</v>
      </c>
      <c r="L425" s="15" t="s">
        <v>84</v>
      </c>
      <c r="M425" s="15" t="s">
        <v>84</v>
      </c>
    </row>
    <row r="426" spans="1:13" ht="60" x14ac:dyDescent="0.25">
      <c r="A426" s="15" t="s">
        <v>152</v>
      </c>
      <c r="B426" s="15">
        <v>39</v>
      </c>
      <c r="C426" s="15">
        <v>23</v>
      </c>
      <c r="D426" s="15">
        <v>1</v>
      </c>
      <c r="E426" s="15" t="s">
        <v>84</v>
      </c>
      <c r="F426" s="15">
        <v>39</v>
      </c>
      <c r="G426" s="15">
        <v>23</v>
      </c>
      <c r="H426" s="15">
        <v>1</v>
      </c>
      <c r="I426" s="15" t="s">
        <v>84</v>
      </c>
      <c r="J426" s="15" t="s">
        <v>84</v>
      </c>
      <c r="K426" s="15" t="s">
        <v>84</v>
      </c>
      <c r="L426" s="15" t="s">
        <v>84</v>
      </c>
      <c r="M426" s="15" t="s">
        <v>84</v>
      </c>
    </row>
    <row r="427" spans="1:13" ht="30" x14ac:dyDescent="0.25">
      <c r="A427" s="15" t="s">
        <v>85</v>
      </c>
      <c r="B427" s="15">
        <v>905</v>
      </c>
      <c r="C427" s="15">
        <v>468</v>
      </c>
      <c r="D427" s="15">
        <v>31</v>
      </c>
      <c r="E427" s="15">
        <v>19</v>
      </c>
      <c r="F427" s="15">
        <v>899</v>
      </c>
      <c r="G427" s="15">
        <v>465</v>
      </c>
      <c r="H427" s="15">
        <v>31</v>
      </c>
      <c r="I427" s="15">
        <v>19</v>
      </c>
      <c r="J427" s="15">
        <v>6</v>
      </c>
      <c r="K427" s="15">
        <v>3</v>
      </c>
      <c r="L427" s="15" t="s">
        <v>84</v>
      </c>
      <c r="M427" s="15" t="s">
        <v>84</v>
      </c>
    </row>
    <row r="428" spans="1:13" ht="30" x14ac:dyDescent="0.25">
      <c r="A428" s="15" t="s">
        <v>86</v>
      </c>
      <c r="B428" s="15">
        <v>339</v>
      </c>
      <c r="C428" s="15">
        <v>129</v>
      </c>
      <c r="D428" s="15">
        <v>28</v>
      </c>
      <c r="E428" s="15">
        <v>12</v>
      </c>
      <c r="F428" s="15">
        <v>320</v>
      </c>
      <c r="G428" s="15">
        <v>124</v>
      </c>
      <c r="H428" s="15">
        <v>28</v>
      </c>
      <c r="I428" s="15">
        <v>12</v>
      </c>
      <c r="J428" s="15">
        <v>19</v>
      </c>
      <c r="K428" s="15">
        <v>5</v>
      </c>
      <c r="L428" s="15" t="s">
        <v>84</v>
      </c>
      <c r="M428" s="15" t="s">
        <v>84</v>
      </c>
    </row>
    <row r="429" spans="1:13" ht="45" x14ac:dyDescent="0.25">
      <c r="A429" s="15" t="s">
        <v>87</v>
      </c>
      <c r="B429" s="15">
        <v>184</v>
      </c>
      <c r="C429" s="15">
        <v>65</v>
      </c>
      <c r="D429" s="15">
        <v>18</v>
      </c>
      <c r="E429" s="15">
        <v>6</v>
      </c>
      <c r="F429" s="15">
        <v>174</v>
      </c>
      <c r="G429" s="15">
        <v>65</v>
      </c>
      <c r="H429" s="15">
        <v>18</v>
      </c>
      <c r="I429" s="15">
        <v>6</v>
      </c>
      <c r="J429" s="15">
        <v>10</v>
      </c>
      <c r="K429" s="15" t="s">
        <v>84</v>
      </c>
      <c r="L429" s="15" t="s">
        <v>84</v>
      </c>
      <c r="M429" s="15" t="s">
        <v>84</v>
      </c>
    </row>
    <row r="430" spans="1:13" ht="45" x14ac:dyDescent="0.25">
      <c r="A430" s="15" t="s">
        <v>153</v>
      </c>
      <c r="B430" s="15">
        <v>58</v>
      </c>
      <c r="C430" s="15">
        <v>17</v>
      </c>
      <c r="D430" s="15">
        <v>1</v>
      </c>
      <c r="E430" s="15">
        <v>1</v>
      </c>
      <c r="F430" s="15">
        <v>57</v>
      </c>
      <c r="G430" s="15">
        <v>17</v>
      </c>
      <c r="H430" s="15">
        <v>1</v>
      </c>
      <c r="I430" s="15">
        <v>1</v>
      </c>
      <c r="J430" s="15">
        <v>1</v>
      </c>
      <c r="K430" s="15" t="s">
        <v>84</v>
      </c>
      <c r="L430" s="15" t="s">
        <v>84</v>
      </c>
      <c r="M430" s="15" t="s">
        <v>84</v>
      </c>
    </row>
    <row r="431" spans="1:13" ht="60" x14ac:dyDescent="0.25">
      <c r="A431" s="15" t="s">
        <v>154</v>
      </c>
      <c r="B431" s="15">
        <v>25</v>
      </c>
      <c r="C431" s="15">
        <v>10</v>
      </c>
      <c r="D431" s="15">
        <v>3</v>
      </c>
      <c r="E431" s="15">
        <v>1</v>
      </c>
      <c r="F431" s="15">
        <v>25</v>
      </c>
      <c r="G431" s="15">
        <v>10</v>
      </c>
      <c r="H431" s="15">
        <v>3</v>
      </c>
      <c r="I431" s="15">
        <v>1</v>
      </c>
      <c r="J431" s="15" t="s">
        <v>84</v>
      </c>
      <c r="K431" s="15" t="s">
        <v>84</v>
      </c>
      <c r="L431" s="15" t="s">
        <v>84</v>
      </c>
      <c r="M431" s="15" t="s">
        <v>84</v>
      </c>
    </row>
    <row r="432" spans="1:13" ht="15" customHeight="1" x14ac:dyDescent="0.25">
      <c r="A432" s="207" t="s">
        <v>128</v>
      </c>
      <c r="B432" s="208"/>
      <c r="C432" s="208"/>
      <c r="D432" s="208"/>
      <c r="E432" s="208"/>
      <c r="F432" s="208"/>
      <c r="G432" s="208"/>
      <c r="H432" s="208"/>
      <c r="I432" s="208"/>
      <c r="J432" s="208"/>
      <c r="K432" s="208"/>
      <c r="L432" s="208"/>
      <c r="M432" s="209"/>
    </row>
    <row r="433" spans="1:13" x14ac:dyDescent="0.25">
      <c r="A433" s="207"/>
      <c r="B433" s="208"/>
      <c r="C433" s="208"/>
      <c r="D433" s="208"/>
      <c r="E433" s="208"/>
      <c r="F433" s="208"/>
      <c r="G433" s="208"/>
      <c r="H433" s="208"/>
      <c r="I433" s="208"/>
      <c r="J433" s="208"/>
      <c r="K433" s="208"/>
      <c r="L433" s="208"/>
      <c r="M433" s="209"/>
    </row>
    <row r="434" spans="1:13" x14ac:dyDescent="0.25">
      <c r="A434" s="15" t="s">
        <v>83</v>
      </c>
      <c r="B434" s="27">
        <v>2043</v>
      </c>
      <c r="C434" s="15">
        <v>989</v>
      </c>
      <c r="D434" s="27">
        <v>101</v>
      </c>
      <c r="E434" s="15">
        <v>40</v>
      </c>
      <c r="F434" s="15">
        <v>1811</v>
      </c>
      <c r="G434" s="15">
        <v>865</v>
      </c>
      <c r="H434" s="15">
        <v>95</v>
      </c>
      <c r="I434" s="15">
        <v>37</v>
      </c>
      <c r="J434" s="15">
        <v>232</v>
      </c>
      <c r="K434" s="15">
        <v>124</v>
      </c>
      <c r="L434" s="15">
        <v>6</v>
      </c>
      <c r="M434" s="15">
        <v>3</v>
      </c>
    </row>
    <row r="435" spans="1:13" ht="30" x14ac:dyDescent="0.25">
      <c r="A435" s="15" t="s">
        <v>151</v>
      </c>
      <c r="B435" s="15">
        <v>409</v>
      </c>
      <c r="C435" s="15">
        <v>240</v>
      </c>
      <c r="D435" s="15">
        <v>4</v>
      </c>
      <c r="E435" s="15">
        <v>2</v>
      </c>
      <c r="F435" s="15">
        <v>315</v>
      </c>
      <c r="G435" s="15">
        <v>182</v>
      </c>
      <c r="H435" s="15">
        <v>4</v>
      </c>
      <c r="I435" s="15">
        <v>2</v>
      </c>
      <c r="J435" s="15">
        <v>94</v>
      </c>
      <c r="K435" s="15">
        <v>58</v>
      </c>
      <c r="L435" s="15" t="s">
        <v>84</v>
      </c>
      <c r="M435" s="15" t="s">
        <v>84</v>
      </c>
    </row>
    <row r="436" spans="1:13" ht="60" x14ac:dyDescent="0.25">
      <c r="A436" s="15" t="s">
        <v>152</v>
      </c>
      <c r="B436" s="15">
        <v>18</v>
      </c>
      <c r="C436" s="15">
        <v>10</v>
      </c>
      <c r="D436" s="15" t="s">
        <v>84</v>
      </c>
      <c r="E436" s="15" t="s">
        <v>84</v>
      </c>
      <c r="F436" s="15">
        <v>16</v>
      </c>
      <c r="G436" s="15">
        <v>9</v>
      </c>
      <c r="H436" s="15" t="s">
        <v>84</v>
      </c>
      <c r="I436" s="15" t="s">
        <v>84</v>
      </c>
      <c r="J436" s="15">
        <v>2</v>
      </c>
      <c r="K436" s="15">
        <v>1</v>
      </c>
      <c r="L436" s="15" t="s">
        <v>84</v>
      </c>
      <c r="M436" s="15" t="s">
        <v>84</v>
      </c>
    </row>
    <row r="437" spans="1:13" ht="30" x14ac:dyDescent="0.25">
      <c r="A437" s="15" t="s">
        <v>85</v>
      </c>
      <c r="B437" s="15">
        <v>1117</v>
      </c>
      <c r="C437" s="15">
        <v>548</v>
      </c>
      <c r="D437" s="15">
        <v>34</v>
      </c>
      <c r="E437" s="15">
        <v>15</v>
      </c>
      <c r="F437" s="15">
        <v>1008</v>
      </c>
      <c r="G437" s="15">
        <v>494</v>
      </c>
      <c r="H437" s="15">
        <v>30</v>
      </c>
      <c r="I437" s="15">
        <v>14</v>
      </c>
      <c r="J437" s="15">
        <v>109</v>
      </c>
      <c r="K437" s="15">
        <v>54</v>
      </c>
      <c r="L437" s="15">
        <v>4</v>
      </c>
      <c r="M437" s="15">
        <v>1</v>
      </c>
    </row>
    <row r="438" spans="1:13" ht="30" x14ac:dyDescent="0.25">
      <c r="A438" s="15" t="s">
        <v>86</v>
      </c>
      <c r="B438" s="15">
        <v>378</v>
      </c>
      <c r="C438" s="15">
        <v>147</v>
      </c>
      <c r="D438" s="15">
        <v>33</v>
      </c>
      <c r="E438" s="15">
        <v>15</v>
      </c>
      <c r="F438" s="15">
        <v>370</v>
      </c>
      <c r="G438" s="15">
        <v>141</v>
      </c>
      <c r="H438" s="15">
        <v>32</v>
      </c>
      <c r="I438" s="15">
        <v>14</v>
      </c>
      <c r="J438" s="15">
        <v>8</v>
      </c>
      <c r="K438" s="15">
        <v>6</v>
      </c>
      <c r="L438" s="15">
        <v>1</v>
      </c>
      <c r="M438" s="15">
        <v>1</v>
      </c>
    </row>
    <row r="439" spans="1:13" ht="45" x14ac:dyDescent="0.25">
      <c r="A439" s="15" t="s">
        <v>87</v>
      </c>
      <c r="B439" s="15">
        <v>121</v>
      </c>
      <c r="C439" s="15">
        <v>44</v>
      </c>
      <c r="D439" s="15">
        <v>30</v>
      </c>
      <c r="E439" s="15">
        <v>8</v>
      </c>
      <c r="F439" s="15">
        <v>102</v>
      </c>
      <c r="G439" s="15">
        <v>39</v>
      </c>
      <c r="H439" s="15">
        <v>29</v>
      </c>
      <c r="I439" s="15">
        <v>7</v>
      </c>
      <c r="J439" s="15">
        <v>19</v>
      </c>
      <c r="K439" s="15">
        <v>5</v>
      </c>
      <c r="L439" s="15">
        <v>1</v>
      </c>
      <c r="M439" s="15">
        <v>1</v>
      </c>
    </row>
    <row r="440" spans="1:13" ht="45" x14ac:dyDescent="0.25">
      <c r="A440" s="15" t="s">
        <v>153</v>
      </c>
      <c r="B440" s="15">
        <v>36</v>
      </c>
      <c r="C440" s="15">
        <v>14</v>
      </c>
      <c r="D440" s="15">
        <v>2</v>
      </c>
      <c r="E440" s="15">
        <v>2</v>
      </c>
      <c r="F440" s="15">
        <v>35</v>
      </c>
      <c r="G440" s="15">
        <v>14</v>
      </c>
      <c r="H440" s="15">
        <v>2</v>
      </c>
      <c r="I440" s="15">
        <v>2</v>
      </c>
      <c r="J440" s="15">
        <v>1</v>
      </c>
      <c r="K440" s="15" t="s">
        <v>84</v>
      </c>
      <c r="L440" s="15" t="s">
        <v>84</v>
      </c>
      <c r="M440" s="15" t="s">
        <v>84</v>
      </c>
    </row>
    <row r="441" spans="1:13" ht="60" x14ac:dyDescent="0.25">
      <c r="A441" s="15" t="s">
        <v>154</v>
      </c>
      <c r="B441" s="15">
        <v>29</v>
      </c>
      <c r="C441" s="15">
        <v>11</v>
      </c>
      <c r="D441" s="15">
        <v>1</v>
      </c>
      <c r="E441" s="15">
        <v>1</v>
      </c>
      <c r="F441" s="15">
        <v>11</v>
      </c>
      <c r="G441" s="15">
        <v>6</v>
      </c>
      <c r="H441" s="15" t="s">
        <v>84</v>
      </c>
      <c r="I441" s="15" t="s">
        <v>84</v>
      </c>
      <c r="J441" s="15">
        <v>18</v>
      </c>
      <c r="K441" s="15">
        <v>5</v>
      </c>
      <c r="L441" s="15">
        <v>1</v>
      </c>
      <c r="M441" s="15">
        <v>1</v>
      </c>
    </row>
    <row r="442" spans="1:13" ht="15" customHeight="1" x14ac:dyDescent="0.25">
      <c r="A442" s="207" t="s">
        <v>129</v>
      </c>
      <c r="B442" s="208"/>
      <c r="C442" s="208"/>
      <c r="D442" s="208"/>
      <c r="E442" s="208"/>
      <c r="F442" s="208"/>
      <c r="G442" s="208"/>
      <c r="H442" s="208"/>
      <c r="I442" s="208"/>
      <c r="J442" s="208"/>
      <c r="K442" s="208"/>
      <c r="L442" s="208"/>
      <c r="M442" s="209"/>
    </row>
    <row r="443" spans="1:13" x14ac:dyDescent="0.25">
      <c r="A443" s="207"/>
      <c r="B443" s="208"/>
      <c r="C443" s="208"/>
      <c r="D443" s="208"/>
      <c r="E443" s="208"/>
      <c r="F443" s="208"/>
      <c r="G443" s="208"/>
      <c r="H443" s="208"/>
      <c r="I443" s="208"/>
      <c r="J443" s="208"/>
      <c r="K443" s="208"/>
      <c r="L443" s="208"/>
      <c r="M443" s="209"/>
    </row>
    <row r="444" spans="1:13" x14ac:dyDescent="0.25">
      <c r="A444" s="15" t="s">
        <v>83</v>
      </c>
      <c r="B444" s="27">
        <v>3605</v>
      </c>
      <c r="C444" s="15">
        <v>1729</v>
      </c>
      <c r="D444" s="27">
        <v>234</v>
      </c>
      <c r="E444" s="15">
        <v>89</v>
      </c>
      <c r="F444" s="15">
        <v>2645</v>
      </c>
      <c r="G444" s="15">
        <v>1211</v>
      </c>
      <c r="H444" s="15">
        <v>210</v>
      </c>
      <c r="I444" s="15">
        <v>82</v>
      </c>
      <c r="J444" s="15">
        <v>960</v>
      </c>
      <c r="K444" s="15">
        <v>518</v>
      </c>
      <c r="L444" s="15">
        <v>24</v>
      </c>
      <c r="M444" s="15">
        <v>7</v>
      </c>
    </row>
    <row r="445" spans="1:13" ht="30" x14ac:dyDescent="0.25">
      <c r="A445" s="15" t="s">
        <v>151</v>
      </c>
      <c r="B445" s="15">
        <v>964</v>
      </c>
      <c r="C445" s="15">
        <v>522</v>
      </c>
      <c r="D445" s="15">
        <v>8</v>
      </c>
      <c r="E445" s="15">
        <v>5</v>
      </c>
      <c r="F445" s="15">
        <v>525</v>
      </c>
      <c r="G445" s="15">
        <v>261</v>
      </c>
      <c r="H445" s="15">
        <v>7</v>
      </c>
      <c r="I445" s="15">
        <v>4</v>
      </c>
      <c r="J445" s="15">
        <v>439</v>
      </c>
      <c r="K445" s="15">
        <v>261</v>
      </c>
      <c r="L445" s="15">
        <v>1</v>
      </c>
      <c r="M445" s="15">
        <v>1</v>
      </c>
    </row>
    <row r="446" spans="1:13" ht="60" x14ac:dyDescent="0.25">
      <c r="A446" s="15" t="s">
        <v>152</v>
      </c>
      <c r="B446" s="15">
        <v>40</v>
      </c>
      <c r="C446" s="15">
        <v>13</v>
      </c>
      <c r="D446" s="15">
        <v>2</v>
      </c>
      <c r="E446" s="15">
        <v>1</v>
      </c>
      <c r="F446" s="15">
        <v>28</v>
      </c>
      <c r="G446" s="15">
        <v>10</v>
      </c>
      <c r="H446" s="15">
        <v>2</v>
      </c>
      <c r="I446" s="15">
        <v>1</v>
      </c>
      <c r="J446" s="15">
        <v>12</v>
      </c>
      <c r="K446" s="15">
        <v>3</v>
      </c>
      <c r="L446" s="15" t="s">
        <v>84</v>
      </c>
      <c r="M446" s="15" t="s">
        <v>84</v>
      </c>
    </row>
    <row r="447" spans="1:13" ht="30" x14ac:dyDescent="0.25">
      <c r="A447" s="15" t="s">
        <v>85</v>
      </c>
      <c r="B447" s="15">
        <v>1817</v>
      </c>
      <c r="C447" s="15">
        <v>897</v>
      </c>
      <c r="D447" s="15">
        <v>73</v>
      </c>
      <c r="E447" s="15">
        <v>41</v>
      </c>
      <c r="F447" s="15">
        <v>1457</v>
      </c>
      <c r="G447" s="15">
        <v>704</v>
      </c>
      <c r="H447" s="15">
        <v>70</v>
      </c>
      <c r="I447" s="15">
        <v>39</v>
      </c>
      <c r="J447" s="15">
        <v>360</v>
      </c>
      <c r="K447" s="15">
        <v>193</v>
      </c>
      <c r="L447" s="15">
        <v>3</v>
      </c>
      <c r="M447" s="15">
        <v>2</v>
      </c>
    </row>
    <row r="448" spans="1:13" ht="30" x14ac:dyDescent="0.25">
      <c r="A448" s="15" t="s">
        <v>86</v>
      </c>
      <c r="B448" s="15">
        <v>555</v>
      </c>
      <c r="C448" s="15">
        <v>223</v>
      </c>
      <c r="D448" s="15">
        <v>65</v>
      </c>
      <c r="E448" s="15">
        <v>18</v>
      </c>
      <c r="F448" s="15">
        <v>447</v>
      </c>
      <c r="G448" s="15">
        <v>175</v>
      </c>
      <c r="H448" s="15">
        <v>61</v>
      </c>
      <c r="I448" s="15">
        <v>17</v>
      </c>
      <c r="J448" s="15">
        <v>108</v>
      </c>
      <c r="K448" s="15">
        <v>48</v>
      </c>
      <c r="L448" s="15">
        <v>4</v>
      </c>
      <c r="M448" s="15">
        <v>1</v>
      </c>
    </row>
    <row r="449" spans="1:13" ht="45" x14ac:dyDescent="0.25">
      <c r="A449" s="15" t="s">
        <v>87</v>
      </c>
      <c r="B449" s="15">
        <v>229</v>
      </c>
      <c r="C449" s="15">
        <v>74</v>
      </c>
      <c r="D449" s="15">
        <v>86</v>
      </c>
      <c r="E449" s="15">
        <v>24</v>
      </c>
      <c r="F449" s="15">
        <v>188</v>
      </c>
      <c r="G449" s="15">
        <v>61</v>
      </c>
      <c r="H449" s="15">
        <v>70</v>
      </c>
      <c r="I449" s="15">
        <v>21</v>
      </c>
      <c r="J449" s="15">
        <v>41</v>
      </c>
      <c r="K449" s="15">
        <v>13</v>
      </c>
      <c r="L449" s="15">
        <v>16</v>
      </c>
      <c r="M449" s="15">
        <v>3</v>
      </c>
    </row>
    <row r="450" spans="1:13" ht="45" x14ac:dyDescent="0.25">
      <c r="A450" s="15" t="s">
        <v>153</v>
      </c>
      <c r="B450" s="15">
        <v>88</v>
      </c>
      <c r="C450" s="15">
        <v>35</v>
      </c>
      <c r="D450" s="15">
        <v>4</v>
      </c>
      <c r="E450" s="15" t="s">
        <v>84</v>
      </c>
      <c r="F450" s="15">
        <v>69</v>
      </c>
      <c r="G450" s="15">
        <v>25</v>
      </c>
      <c r="H450" s="15">
        <v>4</v>
      </c>
      <c r="I450" s="15" t="s">
        <v>84</v>
      </c>
      <c r="J450" s="15">
        <v>19</v>
      </c>
      <c r="K450" s="15">
        <v>10</v>
      </c>
      <c r="L450" s="15" t="s">
        <v>84</v>
      </c>
      <c r="M450" s="15" t="s">
        <v>84</v>
      </c>
    </row>
    <row r="451" spans="1:13" ht="60" x14ac:dyDescent="0.25">
      <c r="A451" s="15" t="s">
        <v>154</v>
      </c>
      <c r="B451" s="15">
        <v>1</v>
      </c>
      <c r="C451" s="15" t="s">
        <v>84</v>
      </c>
      <c r="D451" s="15" t="s">
        <v>84</v>
      </c>
      <c r="E451" s="15" t="s">
        <v>84</v>
      </c>
      <c r="F451" s="15">
        <v>1</v>
      </c>
      <c r="G451" s="15" t="s">
        <v>84</v>
      </c>
      <c r="H451" s="15" t="s">
        <v>84</v>
      </c>
      <c r="I451" s="15" t="s">
        <v>84</v>
      </c>
      <c r="J451" s="15" t="s">
        <v>84</v>
      </c>
      <c r="K451" s="15" t="s">
        <v>84</v>
      </c>
      <c r="L451" s="15" t="s">
        <v>84</v>
      </c>
      <c r="M451" s="15" t="s">
        <v>84</v>
      </c>
    </row>
    <row r="452" spans="1:13" ht="15" customHeight="1" x14ac:dyDescent="0.25">
      <c r="A452" s="207" t="s">
        <v>130</v>
      </c>
      <c r="B452" s="208"/>
      <c r="C452" s="208"/>
      <c r="D452" s="208"/>
      <c r="E452" s="208"/>
      <c r="F452" s="208"/>
      <c r="G452" s="208"/>
      <c r="H452" s="208"/>
      <c r="I452" s="208"/>
      <c r="J452" s="208"/>
      <c r="K452" s="208"/>
      <c r="L452" s="208"/>
      <c r="M452" s="209"/>
    </row>
    <row r="453" spans="1:13" x14ac:dyDescent="0.25">
      <c r="A453" s="207"/>
      <c r="B453" s="208"/>
      <c r="C453" s="208"/>
      <c r="D453" s="208"/>
      <c r="E453" s="208"/>
      <c r="F453" s="208"/>
      <c r="G453" s="208"/>
      <c r="H453" s="208"/>
      <c r="I453" s="208"/>
      <c r="J453" s="208"/>
      <c r="K453" s="208"/>
      <c r="L453" s="208"/>
      <c r="M453" s="209"/>
    </row>
    <row r="454" spans="1:13" x14ac:dyDescent="0.25">
      <c r="A454" s="15" t="s">
        <v>83</v>
      </c>
      <c r="B454" s="27">
        <v>992</v>
      </c>
      <c r="C454" s="15">
        <v>485</v>
      </c>
      <c r="D454" s="27">
        <v>39</v>
      </c>
      <c r="E454" s="15">
        <v>15</v>
      </c>
      <c r="F454" s="15">
        <v>982</v>
      </c>
      <c r="G454" s="15">
        <v>483</v>
      </c>
      <c r="H454" s="15">
        <v>39</v>
      </c>
      <c r="I454" s="15">
        <v>15</v>
      </c>
      <c r="J454" s="15">
        <v>10</v>
      </c>
      <c r="K454" s="15">
        <v>2</v>
      </c>
      <c r="L454" s="15" t="s">
        <v>84</v>
      </c>
      <c r="M454" s="15" t="s">
        <v>84</v>
      </c>
    </row>
    <row r="455" spans="1:13" ht="30" x14ac:dyDescent="0.25">
      <c r="A455" s="15" t="s">
        <v>151</v>
      </c>
      <c r="B455" s="15">
        <v>223</v>
      </c>
      <c r="C455" s="15">
        <v>138</v>
      </c>
      <c r="D455" s="15">
        <v>1</v>
      </c>
      <c r="E455" s="15">
        <v>1</v>
      </c>
      <c r="F455" s="15">
        <v>223</v>
      </c>
      <c r="G455" s="15">
        <v>138</v>
      </c>
      <c r="H455" s="15">
        <v>1</v>
      </c>
      <c r="I455" s="15">
        <v>1</v>
      </c>
      <c r="J455" s="15" t="s">
        <v>84</v>
      </c>
      <c r="K455" s="15" t="s">
        <v>84</v>
      </c>
      <c r="L455" s="15" t="s">
        <v>84</v>
      </c>
      <c r="M455" s="15" t="s">
        <v>84</v>
      </c>
    </row>
    <row r="456" spans="1:13" ht="60" x14ac:dyDescent="0.25">
      <c r="A456" s="15" t="s">
        <v>152</v>
      </c>
      <c r="B456" s="15">
        <v>20</v>
      </c>
      <c r="C456" s="15">
        <v>13</v>
      </c>
      <c r="D456" s="15">
        <v>1</v>
      </c>
      <c r="E456" s="15" t="s">
        <v>84</v>
      </c>
      <c r="F456" s="15">
        <v>20</v>
      </c>
      <c r="G456" s="15">
        <v>13</v>
      </c>
      <c r="H456" s="15">
        <v>1</v>
      </c>
      <c r="I456" s="15" t="s">
        <v>84</v>
      </c>
      <c r="J456" s="15" t="s">
        <v>84</v>
      </c>
      <c r="K456" s="15" t="s">
        <v>84</v>
      </c>
      <c r="L456" s="15" t="s">
        <v>84</v>
      </c>
      <c r="M456" s="15" t="s">
        <v>84</v>
      </c>
    </row>
    <row r="457" spans="1:13" ht="30" x14ac:dyDescent="0.25">
      <c r="A457" s="15" t="s">
        <v>85</v>
      </c>
      <c r="B457" s="15">
        <v>456</v>
      </c>
      <c r="C457" s="15">
        <v>215</v>
      </c>
      <c r="D457" s="15">
        <v>8</v>
      </c>
      <c r="E457" s="15">
        <v>5</v>
      </c>
      <c r="F457" s="15">
        <v>456</v>
      </c>
      <c r="G457" s="15">
        <v>215</v>
      </c>
      <c r="H457" s="15">
        <v>8</v>
      </c>
      <c r="I457" s="15">
        <v>5</v>
      </c>
      <c r="J457" s="15" t="s">
        <v>84</v>
      </c>
      <c r="K457" s="15" t="s">
        <v>84</v>
      </c>
      <c r="L457" s="15" t="s">
        <v>84</v>
      </c>
      <c r="M457" s="15" t="s">
        <v>84</v>
      </c>
    </row>
    <row r="458" spans="1:13" ht="30" x14ac:dyDescent="0.25">
      <c r="A458" s="15" t="s">
        <v>86</v>
      </c>
      <c r="B458" s="15">
        <v>193</v>
      </c>
      <c r="C458" s="15">
        <v>74</v>
      </c>
      <c r="D458" s="15">
        <v>19</v>
      </c>
      <c r="E458" s="15">
        <v>6</v>
      </c>
      <c r="F458" s="15">
        <v>188</v>
      </c>
      <c r="G458" s="15">
        <v>73</v>
      </c>
      <c r="H458" s="15">
        <v>19</v>
      </c>
      <c r="I458" s="15">
        <v>6</v>
      </c>
      <c r="J458" s="15">
        <v>5</v>
      </c>
      <c r="K458" s="15">
        <v>1</v>
      </c>
      <c r="L458" s="15" t="s">
        <v>84</v>
      </c>
      <c r="M458" s="15" t="s">
        <v>84</v>
      </c>
    </row>
    <row r="459" spans="1:13" ht="45" x14ac:dyDescent="0.25">
      <c r="A459" s="15" t="s">
        <v>87</v>
      </c>
      <c r="B459" s="15">
        <v>100</v>
      </c>
      <c r="C459" s="15">
        <v>45</v>
      </c>
      <c r="D459" s="15">
        <v>10</v>
      </c>
      <c r="E459" s="15">
        <v>3</v>
      </c>
      <c r="F459" s="15">
        <v>95</v>
      </c>
      <c r="G459" s="15">
        <v>44</v>
      </c>
      <c r="H459" s="15">
        <v>10</v>
      </c>
      <c r="I459" s="15">
        <v>3</v>
      </c>
      <c r="J459" s="15">
        <v>5</v>
      </c>
      <c r="K459" s="15">
        <v>1</v>
      </c>
      <c r="L459" s="15" t="s">
        <v>84</v>
      </c>
      <c r="M459" s="15" t="s">
        <v>84</v>
      </c>
    </row>
    <row r="460" spans="1:13" ht="45" x14ac:dyDescent="0.25">
      <c r="A460" s="15" t="s">
        <v>153</v>
      </c>
      <c r="B460" s="15">
        <v>39</v>
      </c>
      <c r="C460" s="15">
        <v>19</v>
      </c>
      <c r="D460" s="15">
        <v>1</v>
      </c>
      <c r="E460" s="15">
        <v>1</v>
      </c>
      <c r="F460" s="15">
        <v>36</v>
      </c>
      <c r="G460" s="15">
        <v>18</v>
      </c>
      <c r="H460" s="15">
        <v>1</v>
      </c>
      <c r="I460" s="15">
        <v>1</v>
      </c>
      <c r="J460" s="15">
        <v>3</v>
      </c>
      <c r="K460" s="15">
        <v>1</v>
      </c>
      <c r="L460" s="15" t="s">
        <v>84</v>
      </c>
      <c r="M460" s="15" t="s">
        <v>84</v>
      </c>
    </row>
    <row r="461" spans="1:13" ht="60" x14ac:dyDescent="0.25">
      <c r="A461" s="15" t="s">
        <v>154</v>
      </c>
      <c r="B461" s="15">
        <v>17</v>
      </c>
      <c r="C461" s="15">
        <v>9</v>
      </c>
      <c r="D461" s="15">
        <v>1</v>
      </c>
      <c r="E461" s="15" t="s">
        <v>84</v>
      </c>
      <c r="F461" s="15">
        <v>17</v>
      </c>
      <c r="G461" s="15">
        <v>9</v>
      </c>
      <c r="H461" s="15">
        <v>1</v>
      </c>
      <c r="I461" s="15" t="s">
        <v>84</v>
      </c>
      <c r="J461" s="15" t="s">
        <v>84</v>
      </c>
      <c r="K461" s="15" t="s">
        <v>84</v>
      </c>
      <c r="L461" s="15" t="s">
        <v>84</v>
      </c>
      <c r="M461" s="15" t="s">
        <v>84</v>
      </c>
    </row>
    <row r="462" spans="1:13" ht="15" customHeight="1" x14ac:dyDescent="0.25">
      <c r="A462" s="207" t="s">
        <v>131</v>
      </c>
      <c r="B462" s="208"/>
      <c r="C462" s="208"/>
      <c r="D462" s="208"/>
      <c r="E462" s="208"/>
      <c r="F462" s="208"/>
      <c r="G462" s="208"/>
      <c r="H462" s="208"/>
      <c r="I462" s="208"/>
      <c r="J462" s="208"/>
      <c r="K462" s="208"/>
      <c r="L462" s="208"/>
      <c r="M462" s="209"/>
    </row>
    <row r="463" spans="1:13" x14ac:dyDescent="0.25">
      <c r="A463" s="207"/>
      <c r="B463" s="208"/>
      <c r="C463" s="208"/>
      <c r="D463" s="208"/>
      <c r="E463" s="208"/>
      <c r="F463" s="208"/>
      <c r="G463" s="208"/>
      <c r="H463" s="208"/>
      <c r="I463" s="208"/>
      <c r="J463" s="208"/>
      <c r="K463" s="208"/>
      <c r="L463" s="208"/>
      <c r="M463" s="209"/>
    </row>
    <row r="464" spans="1:13" x14ac:dyDescent="0.25">
      <c r="A464" s="15" t="s">
        <v>83</v>
      </c>
      <c r="B464" s="27">
        <v>1535</v>
      </c>
      <c r="C464" s="15">
        <v>740</v>
      </c>
      <c r="D464" s="27">
        <v>140</v>
      </c>
      <c r="E464" s="15">
        <v>64</v>
      </c>
      <c r="F464" s="15">
        <v>1330</v>
      </c>
      <c r="G464" s="15">
        <v>643</v>
      </c>
      <c r="H464" s="15">
        <v>134</v>
      </c>
      <c r="I464" s="15">
        <v>61</v>
      </c>
      <c r="J464" s="15">
        <v>205</v>
      </c>
      <c r="K464" s="15">
        <v>97</v>
      </c>
      <c r="L464" s="15">
        <v>6</v>
      </c>
      <c r="M464" s="15">
        <v>3</v>
      </c>
    </row>
    <row r="465" spans="1:13" ht="30" x14ac:dyDescent="0.25">
      <c r="A465" s="15" t="s">
        <v>151</v>
      </c>
      <c r="B465" s="15">
        <v>422</v>
      </c>
      <c r="C465" s="15">
        <v>244</v>
      </c>
      <c r="D465" s="15">
        <v>18</v>
      </c>
      <c r="E465" s="15">
        <v>9</v>
      </c>
      <c r="F465" s="15">
        <v>285</v>
      </c>
      <c r="G465" s="15">
        <v>169</v>
      </c>
      <c r="H465" s="15">
        <v>14</v>
      </c>
      <c r="I465" s="15">
        <v>7</v>
      </c>
      <c r="J465" s="15">
        <v>137</v>
      </c>
      <c r="K465" s="15">
        <v>75</v>
      </c>
      <c r="L465" s="15">
        <v>4</v>
      </c>
      <c r="M465" s="15">
        <v>2</v>
      </c>
    </row>
    <row r="466" spans="1:13" ht="60" x14ac:dyDescent="0.25">
      <c r="A466" s="15" t="s">
        <v>152</v>
      </c>
      <c r="B466" s="15">
        <v>26</v>
      </c>
      <c r="C466" s="15">
        <v>12</v>
      </c>
      <c r="D466" s="15">
        <v>2</v>
      </c>
      <c r="E466" s="15">
        <v>1</v>
      </c>
      <c r="F466" s="15">
        <v>19</v>
      </c>
      <c r="G466" s="15">
        <v>9</v>
      </c>
      <c r="H466" s="15">
        <v>1</v>
      </c>
      <c r="I466" s="15" t="s">
        <v>84</v>
      </c>
      <c r="J466" s="15">
        <v>7</v>
      </c>
      <c r="K466" s="15">
        <v>3</v>
      </c>
      <c r="L466" s="15">
        <v>1</v>
      </c>
      <c r="M466" s="15">
        <v>1</v>
      </c>
    </row>
    <row r="467" spans="1:13" ht="30" x14ac:dyDescent="0.25">
      <c r="A467" s="15" t="s">
        <v>85</v>
      </c>
      <c r="B467" s="15">
        <v>753</v>
      </c>
      <c r="C467" s="15">
        <v>372</v>
      </c>
      <c r="D467" s="15">
        <v>64</v>
      </c>
      <c r="E467" s="15">
        <v>29</v>
      </c>
      <c r="F467" s="15">
        <v>726</v>
      </c>
      <c r="G467" s="15">
        <v>359</v>
      </c>
      <c r="H467" s="15">
        <v>64</v>
      </c>
      <c r="I467" s="15">
        <v>29</v>
      </c>
      <c r="J467" s="15">
        <v>27</v>
      </c>
      <c r="K467" s="15">
        <v>13</v>
      </c>
      <c r="L467" s="15" t="s">
        <v>84</v>
      </c>
      <c r="M467" s="15" t="s">
        <v>84</v>
      </c>
    </row>
    <row r="468" spans="1:13" ht="30" x14ac:dyDescent="0.25">
      <c r="A468" s="15" t="s">
        <v>86</v>
      </c>
      <c r="B468" s="15">
        <v>242</v>
      </c>
      <c r="C468" s="15">
        <v>77</v>
      </c>
      <c r="D468" s="15">
        <v>34</v>
      </c>
      <c r="E468" s="15">
        <v>15</v>
      </c>
      <c r="F468" s="15">
        <v>230</v>
      </c>
      <c r="G468" s="15">
        <v>75</v>
      </c>
      <c r="H468" s="15">
        <v>33</v>
      </c>
      <c r="I468" s="15">
        <v>15</v>
      </c>
      <c r="J468" s="15">
        <v>12</v>
      </c>
      <c r="K468" s="15">
        <v>2</v>
      </c>
      <c r="L468" s="15">
        <v>1</v>
      </c>
      <c r="M468" s="15" t="s">
        <v>84</v>
      </c>
    </row>
    <row r="469" spans="1:13" ht="45" x14ac:dyDescent="0.25">
      <c r="A469" s="15" t="s">
        <v>87</v>
      </c>
      <c r="B469" s="15">
        <v>92</v>
      </c>
      <c r="C469" s="15">
        <v>35</v>
      </c>
      <c r="D469" s="15">
        <v>22</v>
      </c>
      <c r="E469" s="15">
        <v>10</v>
      </c>
      <c r="F469" s="15">
        <v>70</v>
      </c>
      <c r="G469" s="15">
        <v>31</v>
      </c>
      <c r="H469" s="15">
        <v>22</v>
      </c>
      <c r="I469" s="15">
        <v>10</v>
      </c>
      <c r="J469" s="15">
        <v>22</v>
      </c>
      <c r="K469" s="15">
        <v>4</v>
      </c>
      <c r="L469" s="15" t="s">
        <v>84</v>
      </c>
      <c r="M469" s="15" t="s">
        <v>84</v>
      </c>
    </row>
    <row r="470" spans="1:13" ht="45" x14ac:dyDescent="0.25">
      <c r="A470" s="15" t="s">
        <v>153</v>
      </c>
      <c r="B470" s="15">
        <v>25</v>
      </c>
      <c r="C470" s="15">
        <v>12</v>
      </c>
      <c r="D470" s="15">
        <v>3</v>
      </c>
      <c r="E470" s="15">
        <v>2</v>
      </c>
      <c r="F470" s="15">
        <v>22</v>
      </c>
      <c r="G470" s="15">
        <v>10</v>
      </c>
      <c r="H470" s="15">
        <v>3</v>
      </c>
      <c r="I470" s="15">
        <v>2</v>
      </c>
      <c r="J470" s="15">
        <v>3</v>
      </c>
      <c r="K470" s="15">
        <v>2</v>
      </c>
      <c r="L470" s="15" t="s">
        <v>84</v>
      </c>
      <c r="M470" s="15" t="s">
        <v>84</v>
      </c>
    </row>
    <row r="471" spans="1:13" ht="60" x14ac:dyDescent="0.25">
      <c r="A471" s="15" t="s">
        <v>154</v>
      </c>
      <c r="B471" s="15">
        <v>9</v>
      </c>
      <c r="C471" s="15">
        <v>4</v>
      </c>
      <c r="D471" s="15" t="s">
        <v>84</v>
      </c>
      <c r="E471" s="15" t="s">
        <v>84</v>
      </c>
      <c r="F471" s="15">
        <v>8</v>
      </c>
      <c r="G471" s="15">
        <v>3</v>
      </c>
      <c r="H471" s="15" t="s">
        <v>84</v>
      </c>
      <c r="I471" s="15" t="s">
        <v>84</v>
      </c>
      <c r="J471" s="15">
        <v>1</v>
      </c>
      <c r="K471" s="15">
        <v>1</v>
      </c>
      <c r="L471" s="15" t="s">
        <v>84</v>
      </c>
      <c r="M471" s="15" t="s">
        <v>84</v>
      </c>
    </row>
    <row r="472" spans="1:13" ht="15" customHeight="1" x14ac:dyDescent="0.25">
      <c r="A472" s="207" t="s">
        <v>132</v>
      </c>
      <c r="B472" s="208"/>
      <c r="C472" s="208"/>
      <c r="D472" s="208"/>
      <c r="E472" s="208"/>
      <c r="F472" s="208"/>
      <c r="G472" s="208"/>
      <c r="H472" s="208"/>
      <c r="I472" s="208"/>
      <c r="J472" s="208"/>
      <c r="K472" s="208"/>
      <c r="L472" s="208"/>
      <c r="M472" s="209"/>
    </row>
    <row r="473" spans="1:13" x14ac:dyDescent="0.25">
      <c r="A473" s="207"/>
      <c r="B473" s="208"/>
      <c r="C473" s="208"/>
      <c r="D473" s="208"/>
      <c r="E473" s="208"/>
      <c r="F473" s="208"/>
      <c r="G473" s="208"/>
      <c r="H473" s="208"/>
      <c r="I473" s="208"/>
      <c r="J473" s="208"/>
      <c r="K473" s="208"/>
      <c r="L473" s="208"/>
      <c r="M473" s="209"/>
    </row>
    <row r="474" spans="1:13" x14ac:dyDescent="0.25">
      <c r="A474" s="15" t="s">
        <v>83</v>
      </c>
      <c r="B474" s="27">
        <v>1640</v>
      </c>
      <c r="C474" s="15">
        <v>826</v>
      </c>
      <c r="D474" s="27">
        <v>92</v>
      </c>
      <c r="E474" s="15">
        <v>36</v>
      </c>
      <c r="F474" s="15">
        <v>1498</v>
      </c>
      <c r="G474" s="15">
        <v>753</v>
      </c>
      <c r="H474" s="15">
        <v>89</v>
      </c>
      <c r="I474" s="15">
        <v>36</v>
      </c>
      <c r="J474" s="15">
        <v>142</v>
      </c>
      <c r="K474" s="15">
        <v>73</v>
      </c>
      <c r="L474" s="15">
        <v>3</v>
      </c>
      <c r="M474" s="15" t="s">
        <v>84</v>
      </c>
    </row>
    <row r="475" spans="1:13" ht="30" x14ac:dyDescent="0.25">
      <c r="A475" s="15" t="s">
        <v>151</v>
      </c>
      <c r="B475" s="15">
        <v>375</v>
      </c>
      <c r="C475" s="15">
        <v>230</v>
      </c>
      <c r="D475" s="15">
        <v>3</v>
      </c>
      <c r="E475" s="15">
        <v>1</v>
      </c>
      <c r="F475" s="15">
        <v>325</v>
      </c>
      <c r="G475" s="15">
        <v>202</v>
      </c>
      <c r="H475" s="15">
        <v>3</v>
      </c>
      <c r="I475" s="15">
        <v>1</v>
      </c>
      <c r="J475" s="15">
        <v>50</v>
      </c>
      <c r="K475" s="15">
        <v>28</v>
      </c>
      <c r="L475" s="15" t="s">
        <v>84</v>
      </c>
      <c r="M475" s="15" t="s">
        <v>84</v>
      </c>
    </row>
    <row r="476" spans="1:13" ht="60" x14ac:dyDescent="0.25">
      <c r="A476" s="15" t="s">
        <v>152</v>
      </c>
      <c r="B476" s="15">
        <v>39</v>
      </c>
      <c r="C476" s="15">
        <v>21</v>
      </c>
      <c r="D476" s="15">
        <v>3</v>
      </c>
      <c r="E476" s="15">
        <v>3</v>
      </c>
      <c r="F476" s="15">
        <v>36</v>
      </c>
      <c r="G476" s="15">
        <v>18</v>
      </c>
      <c r="H476" s="15">
        <v>3</v>
      </c>
      <c r="I476" s="15">
        <v>3</v>
      </c>
      <c r="J476" s="15">
        <v>3</v>
      </c>
      <c r="K476" s="15">
        <v>3</v>
      </c>
      <c r="L476" s="15" t="s">
        <v>84</v>
      </c>
      <c r="M476" s="15" t="s">
        <v>84</v>
      </c>
    </row>
    <row r="477" spans="1:13" ht="30" x14ac:dyDescent="0.25">
      <c r="A477" s="15" t="s">
        <v>85</v>
      </c>
      <c r="B477" s="15">
        <v>752</v>
      </c>
      <c r="C477" s="15">
        <v>389</v>
      </c>
      <c r="D477" s="15">
        <v>27</v>
      </c>
      <c r="E477" s="15">
        <v>11</v>
      </c>
      <c r="F477" s="15">
        <v>691</v>
      </c>
      <c r="G477" s="15">
        <v>357</v>
      </c>
      <c r="H477" s="15">
        <v>24</v>
      </c>
      <c r="I477" s="15">
        <v>11</v>
      </c>
      <c r="J477" s="15">
        <v>61</v>
      </c>
      <c r="K477" s="15">
        <v>32</v>
      </c>
      <c r="L477" s="15">
        <v>3</v>
      </c>
      <c r="M477" s="15" t="s">
        <v>84</v>
      </c>
    </row>
    <row r="478" spans="1:13" ht="30" x14ac:dyDescent="0.25">
      <c r="A478" s="15" t="s">
        <v>86</v>
      </c>
      <c r="B478" s="15">
        <v>366</v>
      </c>
      <c r="C478" s="15">
        <v>147</v>
      </c>
      <c r="D478" s="15">
        <v>28</v>
      </c>
      <c r="E478" s="15">
        <v>14</v>
      </c>
      <c r="F478" s="15">
        <v>350</v>
      </c>
      <c r="G478" s="15">
        <v>141</v>
      </c>
      <c r="H478" s="15">
        <v>28</v>
      </c>
      <c r="I478" s="15">
        <v>14</v>
      </c>
      <c r="J478" s="15">
        <v>16</v>
      </c>
      <c r="K478" s="15">
        <v>6</v>
      </c>
      <c r="L478" s="15" t="s">
        <v>84</v>
      </c>
      <c r="M478" s="15" t="s">
        <v>84</v>
      </c>
    </row>
    <row r="479" spans="1:13" ht="45" x14ac:dyDescent="0.25">
      <c r="A479" s="15" t="s">
        <v>87</v>
      </c>
      <c r="B479" s="15">
        <v>108</v>
      </c>
      <c r="C479" s="15">
        <v>39</v>
      </c>
      <c r="D479" s="15">
        <v>31</v>
      </c>
      <c r="E479" s="15">
        <v>7</v>
      </c>
      <c r="F479" s="15">
        <v>96</v>
      </c>
      <c r="G479" s="15">
        <v>35</v>
      </c>
      <c r="H479" s="15">
        <v>31</v>
      </c>
      <c r="I479" s="15">
        <v>7</v>
      </c>
      <c r="J479" s="15">
        <v>12</v>
      </c>
      <c r="K479" s="15">
        <v>4</v>
      </c>
      <c r="L479" s="15" t="s">
        <v>84</v>
      </c>
      <c r="M479" s="15" t="s">
        <v>84</v>
      </c>
    </row>
    <row r="480" spans="1:13" ht="45" x14ac:dyDescent="0.25">
      <c r="A480" s="15" t="s">
        <v>153</v>
      </c>
      <c r="B480" s="15">
        <v>25</v>
      </c>
      <c r="C480" s="15">
        <v>10</v>
      </c>
      <c r="D480" s="15">
        <v>1</v>
      </c>
      <c r="E480" s="15">
        <v>1</v>
      </c>
      <c r="F480" s="15">
        <v>20</v>
      </c>
      <c r="G480" s="15">
        <v>9</v>
      </c>
      <c r="H480" s="15">
        <v>1</v>
      </c>
      <c r="I480" s="15">
        <v>1</v>
      </c>
      <c r="J480" s="15">
        <v>5</v>
      </c>
      <c r="K480" s="15">
        <v>1</v>
      </c>
      <c r="L480" s="15" t="s">
        <v>84</v>
      </c>
      <c r="M480" s="15" t="s">
        <v>84</v>
      </c>
    </row>
    <row r="481" spans="1:13" ht="60" x14ac:dyDescent="0.25">
      <c r="A481" s="15" t="s">
        <v>154</v>
      </c>
      <c r="B481" s="15">
        <v>29</v>
      </c>
      <c r="C481" s="15">
        <v>12</v>
      </c>
      <c r="D481" s="15">
        <v>2</v>
      </c>
      <c r="E481" s="15">
        <v>1</v>
      </c>
      <c r="F481" s="15">
        <v>22</v>
      </c>
      <c r="G481" s="15">
        <v>9</v>
      </c>
      <c r="H481" s="15">
        <v>2</v>
      </c>
      <c r="I481" s="15">
        <v>1</v>
      </c>
      <c r="J481" s="15">
        <v>7</v>
      </c>
      <c r="K481" s="15">
        <v>3</v>
      </c>
      <c r="L481" s="15" t="s">
        <v>84</v>
      </c>
      <c r="M481" s="15" t="s">
        <v>84</v>
      </c>
    </row>
    <row r="482" spans="1:13" ht="15" customHeight="1" x14ac:dyDescent="0.25">
      <c r="A482" s="207" t="s">
        <v>133</v>
      </c>
      <c r="B482" s="208"/>
      <c r="C482" s="208"/>
      <c r="D482" s="208"/>
      <c r="E482" s="208"/>
      <c r="F482" s="208"/>
      <c r="G482" s="208"/>
      <c r="H482" s="208"/>
      <c r="I482" s="208"/>
      <c r="J482" s="208"/>
      <c r="K482" s="208"/>
      <c r="L482" s="208"/>
      <c r="M482" s="209"/>
    </row>
    <row r="483" spans="1:13" x14ac:dyDescent="0.25">
      <c r="A483" s="207"/>
      <c r="B483" s="208"/>
      <c r="C483" s="208"/>
      <c r="D483" s="208"/>
      <c r="E483" s="208"/>
      <c r="F483" s="208"/>
      <c r="G483" s="208"/>
      <c r="H483" s="208"/>
      <c r="I483" s="208"/>
      <c r="J483" s="208"/>
      <c r="K483" s="208"/>
      <c r="L483" s="208"/>
      <c r="M483" s="209"/>
    </row>
    <row r="484" spans="1:13" x14ac:dyDescent="0.25">
      <c r="A484" s="15" t="s">
        <v>83</v>
      </c>
      <c r="B484" s="27">
        <v>1382</v>
      </c>
      <c r="C484" s="15">
        <v>633</v>
      </c>
      <c r="D484" s="27">
        <v>92</v>
      </c>
      <c r="E484" s="15">
        <v>39</v>
      </c>
      <c r="F484" s="15">
        <v>1319</v>
      </c>
      <c r="G484" s="15">
        <v>618</v>
      </c>
      <c r="H484" s="15">
        <v>90</v>
      </c>
      <c r="I484" s="15">
        <v>39</v>
      </c>
      <c r="J484" s="15">
        <v>63</v>
      </c>
      <c r="K484" s="15">
        <v>15</v>
      </c>
      <c r="L484" s="15">
        <v>2</v>
      </c>
      <c r="M484" s="15" t="s">
        <v>84</v>
      </c>
    </row>
    <row r="485" spans="1:13" ht="30" x14ac:dyDescent="0.25">
      <c r="A485" s="15" t="s">
        <v>151</v>
      </c>
      <c r="B485" s="15">
        <v>240</v>
      </c>
      <c r="C485" s="15">
        <v>123</v>
      </c>
      <c r="D485" s="15">
        <v>1</v>
      </c>
      <c r="E485" s="15">
        <v>1</v>
      </c>
      <c r="F485" s="15">
        <v>227</v>
      </c>
      <c r="G485" s="15">
        <v>120</v>
      </c>
      <c r="H485" s="15">
        <v>1</v>
      </c>
      <c r="I485" s="15">
        <v>1</v>
      </c>
      <c r="J485" s="15">
        <v>13</v>
      </c>
      <c r="K485" s="15">
        <v>3</v>
      </c>
      <c r="L485" s="15" t="s">
        <v>84</v>
      </c>
      <c r="M485" s="15" t="s">
        <v>84</v>
      </c>
    </row>
    <row r="486" spans="1:13" ht="60" x14ac:dyDescent="0.25">
      <c r="A486" s="15" t="s">
        <v>152</v>
      </c>
      <c r="B486" s="15">
        <v>26</v>
      </c>
      <c r="C486" s="15">
        <v>14</v>
      </c>
      <c r="D486" s="15">
        <v>2</v>
      </c>
      <c r="E486" s="15">
        <v>2</v>
      </c>
      <c r="F486" s="15">
        <v>26</v>
      </c>
      <c r="G486" s="15">
        <v>14</v>
      </c>
      <c r="H486" s="15">
        <v>2</v>
      </c>
      <c r="I486" s="15">
        <v>2</v>
      </c>
      <c r="J486" s="15" t="s">
        <v>84</v>
      </c>
      <c r="K486" s="15" t="s">
        <v>84</v>
      </c>
      <c r="L486" s="15" t="s">
        <v>84</v>
      </c>
      <c r="M486" s="15" t="s">
        <v>84</v>
      </c>
    </row>
    <row r="487" spans="1:13" ht="30" x14ac:dyDescent="0.25">
      <c r="A487" s="15" t="s">
        <v>85</v>
      </c>
      <c r="B487" s="15">
        <v>777</v>
      </c>
      <c r="C487" s="15">
        <v>371</v>
      </c>
      <c r="D487" s="15">
        <v>24</v>
      </c>
      <c r="E487" s="15">
        <v>11</v>
      </c>
      <c r="F487" s="15">
        <v>745</v>
      </c>
      <c r="G487" s="15">
        <v>359</v>
      </c>
      <c r="H487" s="15">
        <v>24</v>
      </c>
      <c r="I487" s="15">
        <v>11</v>
      </c>
      <c r="J487" s="15">
        <v>32</v>
      </c>
      <c r="K487" s="15">
        <v>12</v>
      </c>
      <c r="L487" s="15" t="s">
        <v>84</v>
      </c>
      <c r="M487" s="15" t="s">
        <v>84</v>
      </c>
    </row>
    <row r="488" spans="1:13" ht="30" x14ac:dyDescent="0.25">
      <c r="A488" s="15" t="s">
        <v>86</v>
      </c>
      <c r="B488" s="15">
        <v>263</v>
      </c>
      <c r="C488" s="15">
        <v>93</v>
      </c>
      <c r="D488" s="15">
        <v>42</v>
      </c>
      <c r="E488" s="15">
        <v>14</v>
      </c>
      <c r="F488" s="15">
        <v>251</v>
      </c>
      <c r="G488" s="15">
        <v>93</v>
      </c>
      <c r="H488" s="15">
        <v>40</v>
      </c>
      <c r="I488" s="15">
        <v>14</v>
      </c>
      <c r="J488" s="15">
        <v>12</v>
      </c>
      <c r="K488" s="15" t="s">
        <v>84</v>
      </c>
      <c r="L488" s="15">
        <v>2</v>
      </c>
      <c r="M488" s="15" t="s">
        <v>84</v>
      </c>
    </row>
    <row r="489" spans="1:13" ht="45" x14ac:dyDescent="0.25">
      <c r="A489" s="15" t="s">
        <v>87</v>
      </c>
      <c r="B489" s="15">
        <v>76</v>
      </c>
      <c r="C489" s="15">
        <v>32</v>
      </c>
      <c r="D489" s="15">
        <v>23</v>
      </c>
      <c r="E489" s="15">
        <v>11</v>
      </c>
      <c r="F489" s="15">
        <v>70</v>
      </c>
      <c r="G489" s="15">
        <v>32</v>
      </c>
      <c r="H489" s="15">
        <v>23</v>
      </c>
      <c r="I489" s="15">
        <v>11</v>
      </c>
      <c r="J489" s="15">
        <v>6</v>
      </c>
      <c r="K489" s="15" t="s">
        <v>84</v>
      </c>
      <c r="L489" s="15" t="s">
        <v>84</v>
      </c>
      <c r="M489" s="15" t="s">
        <v>84</v>
      </c>
    </row>
    <row r="490" spans="1:13" ht="45" x14ac:dyDescent="0.25">
      <c r="A490" s="15" t="s">
        <v>153</v>
      </c>
      <c r="B490" s="15">
        <v>27</v>
      </c>
      <c r="C490" s="15">
        <v>10</v>
      </c>
      <c r="D490" s="15" t="s">
        <v>84</v>
      </c>
      <c r="E490" s="15" t="s">
        <v>84</v>
      </c>
      <c r="F490" s="15">
        <v>24</v>
      </c>
      <c r="G490" s="15">
        <v>10</v>
      </c>
      <c r="H490" s="15" t="s">
        <v>84</v>
      </c>
      <c r="I490" s="15" t="s">
        <v>84</v>
      </c>
      <c r="J490" s="15">
        <v>3</v>
      </c>
      <c r="K490" s="15" t="s">
        <v>84</v>
      </c>
      <c r="L490" s="15" t="s">
        <v>84</v>
      </c>
      <c r="M490" s="15" t="s">
        <v>84</v>
      </c>
    </row>
    <row r="491" spans="1:13" ht="60" x14ac:dyDescent="0.25">
      <c r="A491" s="15" t="s">
        <v>154</v>
      </c>
      <c r="B491" s="15">
        <v>4</v>
      </c>
      <c r="C491" s="15">
        <v>2</v>
      </c>
      <c r="D491" s="15">
        <v>1</v>
      </c>
      <c r="E491" s="15">
        <v>1</v>
      </c>
      <c r="F491" s="15">
        <v>4</v>
      </c>
      <c r="G491" s="15">
        <v>2</v>
      </c>
      <c r="H491" s="15">
        <v>1</v>
      </c>
      <c r="I491" s="15">
        <v>1</v>
      </c>
      <c r="J491" s="15" t="s">
        <v>84</v>
      </c>
      <c r="K491" s="15" t="s">
        <v>84</v>
      </c>
      <c r="L491" s="15" t="s">
        <v>84</v>
      </c>
      <c r="M491" s="15" t="s">
        <v>84</v>
      </c>
    </row>
    <row r="492" spans="1:13" ht="15" customHeight="1" x14ac:dyDescent="0.25">
      <c r="A492" s="207" t="s">
        <v>134</v>
      </c>
      <c r="B492" s="208"/>
      <c r="C492" s="208"/>
      <c r="D492" s="208"/>
      <c r="E492" s="208"/>
      <c r="F492" s="208"/>
      <c r="G492" s="208"/>
      <c r="H492" s="208"/>
      <c r="I492" s="208"/>
      <c r="J492" s="208"/>
      <c r="K492" s="208"/>
      <c r="L492" s="208"/>
      <c r="M492" s="209"/>
    </row>
    <row r="493" spans="1:13" x14ac:dyDescent="0.25">
      <c r="A493" s="207"/>
      <c r="B493" s="208"/>
      <c r="C493" s="208"/>
      <c r="D493" s="208"/>
      <c r="E493" s="208"/>
      <c r="F493" s="208"/>
      <c r="G493" s="208"/>
      <c r="H493" s="208"/>
      <c r="I493" s="208"/>
      <c r="J493" s="208"/>
      <c r="K493" s="208"/>
      <c r="L493" s="208"/>
      <c r="M493" s="209"/>
    </row>
    <row r="494" spans="1:13" x14ac:dyDescent="0.25">
      <c r="A494" s="15" t="s">
        <v>83</v>
      </c>
      <c r="B494" s="27">
        <v>3391</v>
      </c>
      <c r="C494" s="15">
        <v>1615</v>
      </c>
      <c r="D494" s="27">
        <v>247</v>
      </c>
      <c r="E494" s="15">
        <v>107</v>
      </c>
      <c r="F494" s="15">
        <v>3275</v>
      </c>
      <c r="G494" s="15">
        <v>1553</v>
      </c>
      <c r="H494" s="15">
        <v>246</v>
      </c>
      <c r="I494" s="15">
        <v>106</v>
      </c>
      <c r="J494" s="15">
        <v>116</v>
      </c>
      <c r="K494" s="15">
        <v>62</v>
      </c>
      <c r="L494" s="15">
        <v>1</v>
      </c>
      <c r="M494" s="15">
        <v>1</v>
      </c>
    </row>
    <row r="495" spans="1:13" ht="30" x14ac:dyDescent="0.25">
      <c r="A495" s="15" t="s">
        <v>151</v>
      </c>
      <c r="B495" s="15">
        <v>800</v>
      </c>
      <c r="C495" s="15">
        <v>458</v>
      </c>
      <c r="D495" s="15">
        <v>16</v>
      </c>
      <c r="E495" s="15">
        <v>13</v>
      </c>
      <c r="F495" s="15">
        <v>800</v>
      </c>
      <c r="G495" s="15">
        <v>458</v>
      </c>
      <c r="H495" s="15">
        <v>16</v>
      </c>
      <c r="I495" s="15">
        <v>13</v>
      </c>
      <c r="J495" s="15" t="s">
        <v>84</v>
      </c>
      <c r="K495" s="15" t="s">
        <v>84</v>
      </c>
      <c r="L495" s="15" t="s">
        <v>84</v>
      </c>
      <c r="M495" s="15" t="s">
        <v>84</v>
      </c>
    </row>
    <row r="496" spans="1:13" ht="60" x14ac:dyDescent="0.25">
      <c r="A496" s="15" t="s">
        <v>152</v>
      </c>
      <c r="B496" s="15">
        <v>97</v>
      </c>
      <c r="C496" s="15">
        <v>45</v>
      </c>
      <c r="D496" s="15">
        <v>4</v>
      </c>
      <c r="E496" s="15">
        <v>3</v>
      </c>
      <c r="F496" s="15">
        <v>97</v>
      </c>
      <c r="G496" s="15">
        <v>45</v>
      </c>
      <c r="H496" s="15">
        <v>4</v>
      </c>
      <c r="I496" s="15">
        <v>3</v>
      </c>
      <c r="J496" s="15" t="s">
        <v>84</v>
      </c>
      <c r="K496" s="15" t="s">
        <v>84</v>
      </c>
      <c r="L496" s="15" t="s">
        <v>84</v>
      </c>
      <c r="M496" s="15" t="s">
        <v>84</v>
      </c>
    </row>
    <row r="497" spans="1:13" ht="30" x14ac:dyDescent="0.25">
      <c r="A497" s="15" t="s">
        <v>85</v>
      </c>
      <c r="B497" s="15">
        <v>1722</v>
      </c>
      <c r="C497" s="15">
        <v>827</v>
      </c>
      <c r="D497" s="15">
        <v>91</v>
      </c>
      <c r="E497" s="15">
        <v>39</v>
      </c>
      <c r="F497" s="15">
        <v>1646</v>
      </c>
      <c r="G497" s="15">
        <v>780</v>
      </c>
      <c r="H497" s="15">
        <v>90</v>
      </c>
      <c r="I497" s="15">
        <v>38</v>
      </c>
      <c r="J497" s="15">
        <v>76</v>
      </c>
      <c r="K497" s="15">
        <v>47</v>
      </c>
      <c r="L497" s="15">
        <v>1</v>
      </c>
      <c r="M497" s="15">
        <v>1</v>
      </c>
    </row>
    <row r="498" spans="1:13" ht="30" x14ac:dyDescent="0.25">
      <c r="A498" s="15" t="s">
        <v>86</v>
      </c>
      <c r="B498" s="15">
        <v>548</v>
      </c>
      <c r="C498" s="15">
        <v>195</v>
      </c>
      <c r="D498" s="15">
        <v>58</v>
      </c>
      <c r="E498" s="15">
        <v>21</v>
      </c>
      <c r="F498" s="15">
        <v>522</v>
      </c>
      <c r="G498" s="15">
        <v>186</v>
      </c>
      <c r="H498" s="15">
        <v>58</v>
      </c>
      <c r="I498" s="15">
        <v>21</v>
      </c>
      <c r="J498" s="15">
        <v>26</v>
      </c>
      <c r="K498" s="15">
        <v>9</v>
      </c>
      <c r="L498" s="15" t="s">
        <v>84</v>
      </c>
      <c r="M498" s="15" t="s">
        <v>84</v>
      </c>
    </row>
    <row r="499" spans="1:13" ht="45" x14ac:dyDescent="0.25">
      <c r="A499" s="15" t="s">
        <v>87</v>
      </c>
      <c r="B499" s="15">
        <v>224</v>
      </c>
      <c r="C499" s="15">
        <v>90</v>
      </c>
      <c r="D499" s="15">
        <v>78</v>
      </c>
      <c r="E499" s="15">
        <v>31</v>
      </c>
      <c r="F499" s="15">
        <v>210</v>
      </c>
      <c r="G499" s="15">
        <v>84</v>
      </c>
      <c r="H499" s="15">
        <v>78</v>
      </c>
      <c r="I499" s="15">
        <v>31</v>
      </c>
      <c r="J499" s="15">
        <v>14</v>
      </c>
      <c r="K499" s="15">
        <v>6</v>
      </c>
      <c r="L499" s="15" t="s">
        <v>84</v>
      </c>
      <c r="M499" s="15" t="s">
        <v>84</v>
      </c>
    </row>
    <row r="500" spans="1:13" ht="45" x14ac:dyDescent="0.25">
      <c r="A500" s="15" t="s">
        <v>153</v>
      </c>
      <c r="B500" s="15">
        <v>39</v>
      </c>
      <c r="C500" s="15">
        <v>12</v>
      </c>
      <c r="D500" s="15">
        <v>6</v>
      </c>
      <c r="E500" s="15">
        <v>3</v>
      </c>
      <c r="F500" s="15">
        <v>39</v>
      </c>
      <c r="G500" s="15">
        <v>12</v>
      </c>
      <c r="H500" s="15">
        <v>6</v>
      </c>
      <c r="I500" s="15">
        <v>3</v>
      </c>
      <c r="J500" s="15" t="s">
        <v>84</v>
      </c>
      <c r="K500" s="15" t="s">
        <v>84</v>
      </c>
      <c r="L500" s="15" t="s">
        <v>84</v>
      </c>
      <c r="M500" s="15" t="s">
        <v>84</v>
      </c>
    </row>
    <row r="501" spans="1:13" ht="60" x14ac:dyDescent="0.25">
      <c r="A501" s="15" t="s">
        <v>154</v>
      </c>
      <c r="B501" s="15">
        <v>31</v>
      </c>
      <c r="C501" s="15">
        <v>7</v>
      </c>
      <c r="D501" s="15">
        <v>10</v>
      </c>
      <c r="E501" s="15">
        <v>1</v>
      </c>
      <c r="F501" s="15">
        <v>27</v>
      </c>
      <c r="G501" s="15">
        <v>5</v>
      </c>
      <c r="H501" s="15">
        <v>10</v>
      </c>
      <c r="I501" s="15">
        <v>1</v>
      </c>
      <c r="J501" s="15">
        <v>4</v>
      </c>
      <c r="K501" s="15">
        <v>2</v>
      </c>
      <c r="L501" s="15" t="s">
        <v>84</v>
      </c>
      <c r="M501" s="15" t="s">
        <v>84</v>
      </c>
    </row>
    <row r="502" spans="1:13" ht="15" customHeight="1" x14ac:dyDescent="0.25">
      <c r="A502" s="207" t="s">
        <v>135</v>
      </c>
      <c r="B502" s="208"/>
      <c r="C502" s="208"/>
      <c r="D502" s="208"/>
      <c r="E502" s="208"/>
      <c r="F502" s="208"/>
      <c r="G502" s="208"/>
      <c r="H502" s="208"/>
      <c r="I502" s="208"/>
      <c r="J502" s="208"/>
      <c r="K502" s="208"/>
      <c r="L502" s="208"/>
      <c r="M502" s="209"/>
    </row>
    <row r="503" spans="1:13" x14ac:dyDescent="0.25">
      <c r="A503" s="207"/>
      <c r="B503" s="208"/>
      <c r="C503" s="208"/>
      <c r="D503" s="208"/>
      <c r="E503" s="208"/>
      <c r="F503" s="208"/>
      <c r="G503" s="208"/>
      <c r="H503" s="208"/>
      <c r="I503" s="208"/>
      <c r="J503" s="208"/>
      <c r="K503" s="208"/>
      <c r="L503" s="208"/>
      <c r="M503" s="209"/>
    </row>
    <row r="504" spans="1:13" x14ac:dyDescent="0.25">
      <c r="A504" s="15" t="s">
        <v>83</v>
      </c>
      <c r="B504" s="27">
        <v>1840</v>
      </c>
      <c r="C504" s="15">
        <v>859</v>
      </c>
      <c r="D504" s="27">
        <v>175</v>
      </c>
      <c r="E504" s="15">
        <v>85</v>
      </c>
      <c r="F504" s="15">
        <v>1540</v>
      </c>
      <c r="G504" s="15">
        <v>692</v>
      </c>
      <c r="H504" s="15">
        <v>169</v>
      </c>
      <c r="I504" s="15">
        <v>82</v>
      </c>
      <c r="J504" s="15">
        <v>300</v>
      </c>
      <c r="K504" s="15">
        <v>167</v>
      </c>
      <c r="L504" s="15">
        <v>6</v>
      </c>
      <c r="M504" s="15">
        <v>3</v>
      </c>
    </row>
    <row r="505" spans="1:13" ht="30" x14ac:dyDescent="0.25">
      <c r="A505" s="15" t="s">
        <v>151</v>
      </c>
      <c r="B505" s="15">
        <v>523</v>
      </c>
      <c r="C505" s="15">
        <v>281</v>
      </c>
      <c r="D505" s="15">
        <v>2</v>
      </c>
      <c r="E505" s="15">
        <v>1</v>
      </c>
      <c r="F505" s="15">
        <v>351</v>
      </c>
      <c r="G505" s="15">
        <v>176</v>
      </c>
      <c r="H505" s="15">
        <v>2</v>
      </c>
      <c r="I505" s="15">
        <v>1</v>
      </c>
      <c r="J505" s="15">
        <v>172</v>
      </c>
      <c r="K505" s="15">
        <v>105</v>
      </c>
      <c r="L505" s="15" t="s">
        <v>84</v>
      </c>
      <c r="M505" s="15" t="s">
        <v>84</v>
      </c>
    </row>
    <row r="506" spans="1:13" ht="60" x14ac:dyDescent="0.25">
      <c r="A506" s="15" t="s">
        <v>152</v>
      </c>
      <c r="B506" s="15">
        <v>19</v>
      </c>
      <c r="C506" s="15">
        <v>12</v>
      </c>
      <c r="D506" s="15" t="s">
        <v>84</v>
      </c>
      <c r="E506" s="15" t="s">
        <v>84</v>
      </c>
      <c r="F506" s="15">
        <v>11</v>
      </c>
      <c r="G506" s="15">
        <v>7</v>
      </c>
      <c r="H506" s="15" t="s">
        <v>84</v>
      </c>
      <c r="I506" s="15" t="s">
        <v>84</v>
      </c>
      <c r="J506" s="15">
        <v>8</v>
      </c>
      <c r="K506" s="15">
        <v>5</v>
      </c>
      <c r="L506" s="15" t="s">
        <v>84</v>
      </c>
      <c r="M506" s="15" t="s">
        <v>84</v>
      </c>
    </row>
    <row r="507" spans="1:13" ht="30" x14ac:dyDescent="0.25">
      <c r="A507" s="15" t="s">
        <v>85</v>
      </c>
      <c r="B507" s="15">
        <v>891</v>
      </c>
      <c r="C507" s="15">
        <v>425</v>
      </c>
      <c r="D507" s="15">
        <v>65</v>
      </c>
      <c r="E507" s="15">
        <v>40</v>
      </c>
      <c r="F507" s="15">
        <v>812</v>
      </c>
      <c r="G507" s="15">
        <v>381</v>
      </c>
      <c r="H507" s="15">
        <v>62</v>
      </c>
      <c r="I507" s="15">
        <v>39</v>
      </c>
      <c r="J507" s="15">
        <v>79</v>
      </c>
      <c r="K507" s="15">
        <v>44</v>
      </c>
      <c r="L507" s="15">
        <v>3</v>
      </c>
      <c r="M507" s="15">
        <v>1</v>
      </c>
    </row>
    <row r="508" spans="1:13" ht="30" x14ac:dyDescent="0.25">
      <c r="A508" s="15" t="s">
        <v>86</v>
      </c>
      <c r="B508" s="15">
        <v>250</v>
      </c>
      <c r="C508" s="15">
        <v>82</v>
      </c>
      <c r="D508" s="15">
        <v>42</v>
      </c>
      <c r="E508" s="15">
        <v>17</v>
      </c>
      <c r="F508" s="15">
        <v>219</v>
      </c>
      <c r="G508" s="15">
        <v>71</v>
      </c>
      <c r="H508" s="15">
        <v>40</v>
      </c>
      <c r="I508" s="15">
        <v>15</v>
      </c>
      <c r="J508" s="15">
        <v>31</v>
      </c>
      <c r="K508" s="15">
        <v>11</v>
      </c>
      <c r="L508" s="15">
        <v>2</v>
      </c>
      <c r="M508" s="15">
        <v>2</v>
      </c>
    </row>
    <row r="509" spans="1:13" ht="45" x14ac:dyDescent="0.25">
      <c r="A509" s="15" t="s">
        <v>87</v>
      </c>
      <c r="B509" s="15">
        <v>157</v>
      </c>
      <c r="C509" s="15">
        <v>59</v>
      </c>
      <c r="D509" s="15">
        <v>66</v>
      </c>
      <c r="E509" s="15">
        <v>27</v>
      </c>
      <c r="F509" s="15">
        <v>147</v>
      </c>
      <c r="G509" s="15">
        <v>57</v>
      </c>
      <c r="H509" s="15">
        <v>65</v>
      </c>
      <c r="I509" s="15">
        <v>27</v>
      </c>
      <c r="J509" s="15">
        <v>10</v>
      </c>
      <c r="K509" s="15">
        <v>2</v>
      </c>
      <c r="L509" s="15">
        <v>1</v>
      </c>
      <c r="M509" s="15" t="s">
        <v>84</v>
      </c>
    </row>
    <row r="510" spans="1:13" ht="45" x14ac:dyDescent="0.25">
      <c r="A510" s="15" t="s">
        <v>153</v>
      </c>
      <c r="B510" s="15">
        <v>33</v>
      </c>
      <c r="C510" s="15">
        <v>12</v>
      </c>
      <c r="D510" s="15">
        <v>8</v>
      </c>
      <c r="E510" s="15">
        <v>3</v>
      </c>
      <c r="F510" s="15">
        <v>28</v>
      </c>
      <c r="G510" s="15">
        <v>11</v>
      </c>
      <c r="H510" s="15">
        <v>7</v>
      </c>
      <c r="I510" s="15">
        <v>3</v>
      </c>
      <c r="J510" s="15">
        <v>5</v>
      </c>
      <c r="K510" s="15">
        <v>1</v>
      </c>
      <c r="L510" s="15">
        <v>1</v>
      </c>
      <c r="M510" s="15" t="s">
        <v>84</v>
      </c>
    </row>
    <row r="511" spans="1:13" ht="60" x14ac:dyDescent="0.25">
      <c r="A511" s="15" t="s">
        <v>154</v>
      </c>
      <c r="B511" s="15">
        <v>12</v>
      </c>
      <c r="C511" s="15">
        <v>8</v>
      </c>
      <c r="D511" s="15">
        <v>1</v>
      </c>
      <c r="E511" s="15">
        <v>1</v>
      </c>
      <c r="F511" s="15">
        <v>12</v>
      </c>
      <c r="G511" s="15">
        <v>8</v>
      </c>
      <c r="H511" s="15">
        <v>1</v>
      </c>
      <c r="I511" s="15">
        <v>1</v>
      </c>
      <c r="J511" s="15" t="s">
        <v>84</v>
      </c>
      <c r="K511" s="15" t="s">
        <v>84</v>
      </c>
      <c r="L511" s="15" t="s">
        <v>84</v>
      </c>
      <c r="M511" s="15" t="s">
        <v>84</v>
      </c>
    </row>
    <row r="512" spans="1:13" ht="15" customHeight="1" x14ac:dyDescent="0.25">
      <c r="A512" s="207" t="s">
        <v>136</v>
      </c>
      <c r="B512" s="208"/>
      <c r="C512" s="208"/>
      <c r="D512" s="208"/>
      <c r="E512" s="208"/>
      <c r="F512" s="208"/>
      <c r="G512" s="208"/>
      <c r="H512" s="208"/>
      <c r="I512" s="208"/>
      <c r="J512" s="208"/>
      <c r="K512" s="208"/>
      <c r="L512" s="208"/>
      <c r="M512" s="209"/>
    </row>
    <row r="513" spans="1:13" x14ac:dyDescent="0.25">
      <c r="A513" s="207"/>
      <c r="B513" s="208"/>
      <c r="C513" s="208"/>
      <c r="D513" s="208"/>
      <c r="E513" s="208"/>
      <c r="F513" s="208"/>
      <c r="G513" s="208"/>
      <c r="H513" s="208"/>
      <c r="I513" s="208"/>
      <c r="J513" s="208"/>
      <c r="K513" s="208"/>
      <c r="L513" s="208"/>
      <c r="M513" s="209"/>
    </row>
    <row r="514" spans="1:13" x14ac:dyDescent="0.25">
      <c r="A514" s="15" t="s">
        <v>83</v>
      </c>
      <c r="B514" s="27">
        <v>1053</v>
      </c>
      <c r="C514" s="15">
        <v>508</v>
      </c>
      <c r="D514" s="27">
        <v>100</v>
      </c>
      <c r="E514" s="15">
        <v>45</v>
      </c>
      <c r="F514" s="15">
        <v>898</v>
      </c>
      <c r="G514" s="15">
        <v>434</v>
      </c>
      <c r="H514" s="15">
        <v>98</v>
      </c>
      <c r="I514" s="15">
        <v>44</v>
      </c>
      <c r="J514" s="15">
        <v>155</v>
      </c>
      <c r="K514" s="15">
        <v>74</v>
      </c>
      <c r="L514" s="15">
        <v>2</v>
      </c>
      <c r="M514" s="15">
        <v>1</v>
      </c>
    </row>
    <row r="515" spans="1:13" ht="30" x14ac:dyDescent="0.25">
      <c r="A515" s="15" t="s">
        <v>151</v>
      </c>
      <c r="B515" s="15">
        <v>230</v>
      </c>
      <c r="C515" s="15">
        <v>125</v>
      </c>
      <c r="D515" s="15">
        <v>7</v>
      </c>
      <c r="E515" s="15">
        <v>4</v>
      </c>
      <c r="F515" s="15">
        <v>143</v>
      </c>
      <c r="G515" s="15">
        <v>80</v>
      </c>
      <c r="H515" s="15">
        <v>5</v>
      </c>
      <c r="I515" s="15">
        <v>3</v>
      </c>
      <c r="J515" s="15">
        <v>87</v>
      </c>
      <c r="K515" s="15">
        <v>45</v>
      </c>
      <c r="L515" s="15">
        <v>2</v>
      </c>
      <c r="M515" s="15">
        <v>1</v>
      </c>
    </row>
    <row r="516" spans="1:13" ht="60" x14ac:dyDescent="0.25">
      <c r="A516" s="15" t="s">
        <v>152</v>
      </c>
      <c r="B516" s="15">
        <v>35</v>
      </c>
      <c r="C516" s="15">
        <v>21</v>
      </c>
      <c r="D516" s="15">
        <v>1</v>
      </c>
      <c r="E516" s="15" t="s">
        <v>84</v>
      </c>
      <c r="F516" s="15">
        <v>21</v>
      </c>
      <c r="G516" s="15">
        <v>14</v>
      </c>
      <c r="H516" s="15">
        <v>1</v>
      </c>
      <c r="I516" s="15" t="s">
        <v>84</v>
      </c>
      <c r="J516" s="15">
        <v>14</v>
      </c>
      <c r="K516" s="15">
        <v>7</v>
      </c>
      <c r="L516" s="15" t="s">
        <v>84</v>
      </c>
      <c r="M516" s="15" t="s">
        <v>84</v>
      </c>
    </row>
    <row r="517" spans="1:13" ht="30" x14ac:dyDescent="0.25">
      <c r="A517" s="15" t="s">
        <v>85</v>
      </c>
      <c r="B517" s="15">
        <v>492</v>
      </c>
      <c r="C517" s="15">
        <v>241</v>
      </c>
      <c r="D517" s="15">
        <v>31</v>
      </c>
      <c r="E517" s="15">
        <v>16</v>
      </c>
      <c r="F517" s="15">
        <v>453</v>
      </c>
      <c r="G517" s="15">
        <v>224</v>
      </c>
      <c r="H517" s="15">
        <v>31</v>
      </c>
      <c r="I517" s="15">
        <v>16</v>
      </c>
      <c r="J517" s="15">
        <v>39</v>
      </c>
      <c r="K517" s="15">
        <v>17</v>
      </c>
      <c r="L517" s="15" t="s">
        <v>84</v>
      </c>
      <c r="M517" s="15" t="s">
        <v>84</v>
      </c>
    </row>
    <row r="518" spans="1:13" ht="30" x14ac:dyDescent="0.25">
      <c r="A518" s="15" t="s">
        <v>86</v>
      </c>
      <c r="B518" s="15">
        <v>233</v>
      </c>
      <c r="C518" s="15">
        <v>103</v>
      </c>
      <c r="D518" s="15">
        <v>38</v>
      </c>
      <c r="E518" s="15">
        <v>17</v>
      </c>
      <c r="F518" s="15">
        <v>222</v>
      </c>
      <c r="G518" s="15">
        <v>98</v>
      </c>
      <c r="H518" s="15">
        <v>38</v>
      </c>
      <c r="I518" s="15">
        <v>17</v>
      </c>
      <c r="J518" s="15">
        <v>11</v>
      </c>
      <c r="K518" s="15">
        <v>5</v>
      </c>
      <c r="L518" s="15" t="s">
        <v>84</v>
      </c>
      <c r="M518" s="15" t="s">
        <v>84</v>
      </c>
    </row>
    <row r="519" spans="1:13" ht="45" x14ac:dyDescent="0.25">
      <c r="A519" s="15" t="s">
        <v>87</v>
      </c>
      <c r="B519" s="15">
        <v>63</v>
      </c>
      <c r="C519" s="15">
        <v>18</v>
      </c>
      <c r="D519" s="15">
        <v>23</v>
      </c>
      <c r="E519" s="15">
        <v>8</v>
      </c>
      <c r="F519" s="15">
        <v>59</v>
      </c>
      <c r="G519" s="15">
        <v>18</v>
      </c>
      <c r="H519" s="15">
        <v>23</v>
      </c>
      <c r="I519" s="15">
        <v>8</v>
      </c>
      <c r="J519" s="15">
        <v>4</v>
      </c>
      <c r="K519" s="15" t="s">
        <v>84</v>
      </c>
      <c r="L519" s="15" t="s">
        <v>84</v>
      </c>
      <c r="M519" s="15" t="s">
        <v>84</v>
      </c>
    </row>
    <row r="520" spans="1:13" ht="45" x14ac:dyDescent="0.25">
      <c r="A520" s="15" t="s">
        <v>153</v>
      </c>
      <c r="B520" s="15">
        <v>24</v>
      </c>
      <c r="C520" s="15">
        <v>7</v>
      </c>
      <c r="D520" s="15">
        <v>2</v>
      </c>
      <c r="E520" s="15">
        <v>1</v>
      </c>
      <c r="F520" s="15">
        <v>23</v>
      </c>
      <c r="G520" s="15">
        <v>7</v>
      </c>
      <c r="H520" s="15">
        <v>2</v>
      </c>
      <c r="I520" s="15">
        <v>1</v>
      </c>
      <c r="J520" s="15">
        <v>1</v>
      </c>
      <c r="K520" s="15" t="s">
        <v>84</v>
      </c>
      <c r="L520" s="15" t="s">
        <v>84</v>
      </c>
      <c r="M520" s="15" t="s">
        <v>84</v>
      </c>
    </row>
    <row r="521" spans="1:13" ht="60" x14ac:dyDescent="0.25">
      <c r="A521" s="15" t="s">
        <v>154</v>
      </c>
      <c r="B521" s="15">
        <v>9</v>
      </c>
      <c r="C521" s="15">
        <v>2</v>
      </c>
      <c r="D521" s="15">
        <v>5</v>
      </c>
      <c r="E521" s="15">
        <v>1</v>
      </c>
      <c r="F521" s="15">
        <v>9</v>
      </c>
      <c r="G521" s="15">
        <v>2</v>
      </c>
      <c r="H521" s="15">
        <v>5</v>
      </c>
      <c r="I521" s="15">
        <v>1</v>
      </c>
      <c r="J521" s="15" t="s">
        <v>84</v>
      </c>
      <c r="K521" s="15" t="s">
        <v>84</v>
      </c>
      <c r="L521" s="15" t="s">
        <v>84</v>
      </c>
      <c r="M521" s="15" t="s">
        <v>84</v>
      </c>
    </row>
    <row r="522" spans="1:13" ht="15" customHeight="1" x14ac:dyDescent="0.25">
      <c r="A522" s="207" t="s">
        <v>137</v>
      </c>
      <c r="B522" s="208"/>
      <c r="C522" s="208"/>
      <c r="D522" s="208"/>
      <c r="E522" s="208"/>
      <c r="F522" s="208"/>
      <c r="G522" s="208"/>
      <c r="H522" s="208"/>
      <c r="I522" s="208"/>
      <c r="J522" s="208"/>
      <c r="K522" s="208"/>
      <c r="L522" s="208"/>
      <c r="M522" s="209"/>
    </row>
    <row r="523" spans="1:13" x14ac:dyDescent="0.25">
      <c r="A523" s="207"/>
      <c r="B523" s="208"/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9"/>
    </row>
    <row r="524" spans="1:13" x14ac:dyDescent="0.25">
      <c r="A524" s="15" t="s">
        <v>83</v>
      </c>
      <c r="B524" s="27">
        <v>685</v>
      </c>
      <c r="C524" s="15">
        <v>357</v>
      </c>
      <c r="D524" s="27">
        <v>30</v>
      </c>
      <c r="E524" s="15">
        <v>16</v>
      </c>
      <c r="F524" s="15">
        <v>660</v>
      </c>
      <c r="G524" s="15">
        <v>348</v>
      </c>
      <c r="H524" s="15">
        <v>28</v>
      </c>
      <c r="I524" s="15">
        <v>15</v>
      </c>
      <c r="J524" s="15">
        <v>25</v>
      </c>
      <c r="K524" s="15">
        <v>9</v>
      </c>
      <c r="L524" s="15">
        <v>2</v>
      </c>
      <c r="M524" s="15">
        <v>1</v>
      </c>
    </row>
    <row r="525" spans="1:13" ht="30" x14ac:dyDescent="0.25">
      <c r="A525" s="15" t="s">
        <v>151</v>
      </c>
      <c r="B525" s="15">
        <v>205</v>
      </c>
      <c r="C525" s="15">
        <v>117</v>
      </c>
      <c r="D525" s="15">
        <v>6</v>
      </c>
      <c r="E525" s="15">
        <v>3</v>
      </c>
      <c r="F525" s="15">
        <v>190</v>
      </c>
      <c r="G525" s="15">
        <v>110</v>
      </c>
      <c r="H525" s="15">
        <v>4</v>
      </c>
      <c r="I525" s="15">
        <v>2</v>
      </c>
      <c r="J525" s="15">
        <v>15</v>
      </c>
      <c r="K525" s="15">
        <v>7</v>
      </c>
      <c r="L525" s="15">
        <v>2</v>
      </c>
      <c r="M525" s="15">
        <v>1</v>
      </c>
    </row>
    <row r="526" spans="1:13" ht="60" x14ac:dyDescent="0.25">
      <c r="A526" s="15" t="s">
        <v>152</v>
      </c>
      <c r="B526" s="15">
        <v>32</v>
      </c>
      <c r="C526" s="15">
        <v>14</v>
      </c>
      <c r="D526" s="15" t="s">
        <v>84</v>
      </c>
      <c r="E526" s="15" t="s">
        <v>84</v>
      </c>
      <c r="F526" s="15">
        <v>31</v>
      </c>
      <c r="G526" s="15">
        <v>14</v>
      </c>
      <c r="H526" s="15" t="s">
        <v>84</v>
      </c>
      <c r="I526" s="15" t="s">
        <v>84</v>
      </c>
      <c r="J526" s="15">
        <v>1</v>
      </c>
      <c r="K526" s="15" t="s">
        <v>84</v>
      </c>
      <c r="L526" s="15" t="s">
        <v>84</v>
      </c>
      <c r="M526" s="15" t="s">
        <v>84</v>
      </c>
    </row>
    <row r="527" spans="1:13" ht="30" x14ac:dyDescent="0.25">
      <c r="A527" s="15" t="s">
        <v>85</v>
      </c>
      <c r="B527" s="15">
        <v>322</v>
      </c>
      <c r="C527" s="15">
        <v>173</v>
      </c>
      <c r="D527" s="15">
        <v>14</v>
      </c>
      <c r="E527" s="15">
        <v>8</v>
      </c>
      <c r="F527" s="15">
        <v>313</v>
      </c>
      <c r="G527" s="15">
        <v>171</v>
      </c>
      <c r="H527" s="15">
        <v>14</v>
      </c>
      <c r="I527" s="15">
        <v>8</v>
      </c>
      <c r="J527" s="15">
        <v>9</v>
      </c>
      <c r="K527" s="15">
        <v>2</v>
      </c>
      <c r="L527" s="15" t="s">
        <v>84</v>
      </c>
      <c r="M527" s="15" t="s">
        <v>84</v>
      </c>
    </row>
    <row r="528" spans="1:13" ht="30" x14ac:dyDescent="0.25">
      <c r="A528" s="15" t="s">
        <v>86</v>
      </c>
      <c r="B528" s="15">
        <v>93</v>
      </c>
      <c r="C528" s="15">
        <v>38</v>
      </c>
      <c r="D528" s="15">
        <v>9</v>
      </c>
      <c r="E528" s="15">
        <v>5</v>
      </c>
      <c r="F528" s="15">
        <v>93</v>
      </c>
      <c r="G528" s="15">
        <v>38</v>
      </c>
      <c r="H528" s="15">
        <v>9</v>
      </c>
      <c r="I528" s="15">
        <v>5</v>
      </c>
      <c r="J528" s="15" t="s">
        <v>84</v>
      </c>
      <c r="K528" s="15" t="s">
        <v>84</v>
      </c>
      <c r="L528" s="15" t="s">
        <v>84</v>
      </c>
      <c r="M528" s="15" t="s">
        <v>84</v>
      </c>
    </row>
    <row r="529" spans="1:13" ht="45" x14ac:dyDescent="0.25">
      <c r="A529" s="15" t="s">
        <v>87</v>
      </c>
      <c r="B529" s="15">
        <v>33</v>
      </c>
      <c r="C529" s="15">
        <v>15</v>
      </c>
      <c r="D529" s="15">
        <v>1</v>
      </c>
      <c r="E529" s="15" t="s">
        <v>84</v>
      </c>
      <c r="F529" s="15">
        <v>33</v>
      </c>
      <c r="G529" s="15">
        <v>15</v>
      </c>
      <c r="H529" s="15">
        <v>1</v>
      </c>
      <c r="I529" s="15" t="s">
        <v>84</v>
      </c>
      <c r="J529" s="15" t="s">
        <v>84</v>
      </c>
      <c r="K529" s="15" t="s">
        <v>84</v>
      </c>
      <c r="L529" s="15" t="s">
        <v>84</v>
      </c>
      <c r="M529" s="15" t="s">
        <v>84</v>
      </c>
    </row>
    <row r="530" spans="1:13" ht="45" x14ac:dyDescent="0.25">
      <c r="A530" s="15" t="s">
        <v>153</v>
      </c>
      <c r="B530" s="15">
        <v>13</v>
      </c>
      <c r="C530" s="15">
        <v>4</v>
      </c>
      <c r="D530" s="15" t="s">
        <v>84</v>
      </c>
      <c r="E530" s="15" t="s">
        <v>84</v>
      </c>
      <c r="F530" s="15">
        <v>13</v>
      </c>
      <c r="G530" s="15">
        <v>4</v>
      </c>
      <c r="H530" s="15" t="s">
        <v>84</v>
      </c>
      <c r="I530" s="15" t="s">
        <v>84</v>
      </c>
      <c r="J530" s="15" t="s">
        <v>84</v>
      </c>
      <c r="K530" s="15" t="s">
        <v>84</v>
      </c>
      <c r="L530" s="15" t="s">
        <v>84</v>
      </c>
      <c r="M530" s="15" t="s">
        <v>84</v>
      </c>
    </row>
    <row r="531" spans="1:13" ht="60" x14ac:dyDescent="0.25">
      <c r="A531" s="15" t="s">
        <v>154</v>
      </c>
      <c r="B531" s="15">
        <v>7</v>
      </c>
      <c r="C531" s="15">
        <v>3</v>
      </c>
      <c r="D531" s="15" t="s">
        <v>84</v>
      </c>
      <c r="E531" s="15" t="s">
        <v>84</v>
      </c>
      <c r="F531" s="15">
        <v>7</v>
      </c>
      <c r="G531" s="15">
        <v>3</v>
      </c>
      <c r="H531" s="15" t="s">
        <v>84</v>
      </c>
      <c r="I531" s="15" t="s">
        <v>84</v>
      </c>
      <c r="J531" s="15" t="s">
        <v>84</v>
      </c>
      <c r="K531" s="15" t="s">
        <v>84</v>
      </c>
      <c r="L531" s="15" t="s">
        <v>84</v>
      </c>
      <c r="M531" s="15" t="s">
        <v>84</v>
      </c>
    </row>
    <row r="533" spans="1:13" x14ac:dyDescent="0.25">
      <c r="A533" t="s">
        <v>138</v>
      </c>
    </row>
    <row r="534" spans="1:13" x14ac:dyDescent="0.25">
      <c r="A534" t="s">
        <v>139</v>
      </c>
    </row>
    <row r="535" spans="1:13" x14ac:dyDescent="0.25">
      <c r="A535" t="s">
        <v>140</v>
      </c>
    </row>
    <row r="536" spans="1:13" x14ac:dyDescent="0.25">
      <c r="A536" t="s">
        <v>141</v>
      </c>
    </row>
    <row r="539" spans="1:13" x14ac:dyDescent="0.25">
      <c r="A539" t="s">
        <v>142</v>
      </c>
    </row>
    <row r="540" spans="1:13" x14ac:dyDescent="0.25">
      <c r="A540" t="s">
        <v>143</v>
      </c>
    </row>
    <row r="541" spans="1:13" x14ac:dyDescent="0.25">
      <c r="A541" t="s">
        <v>144</v>
      </c>
    </row>
    <row r="543" spans="1:13" x14ac:dyDescent="0.25">
      <c r="A543" t="s">
        <v>145</v>
      </c>
    </row>
    <row r="545" spans="1:1" x14ac:dyDescent="0.25">
      <c r="A545" t="s">
        <v>146</v>
      </c>
    </row>
  </sheetData>
  <mergeCells count="115">
    <mergeCell ref="A513:M513"/>
    <mergeCell ref="A522:M522"/>
    <mergeCell ref="A523:M523"/>
    <mergeCell ref="A483:M483"/>
    <mergeCell ref="A492:M492"/>
    <mergeCell ref="A493:M493"/>
    <mergeCell ref="A502:M502"/>
    <mergeCell ref="A503:M503"/>
    <mergeCell ref="A512:M512"/>
    <mergeCell ref="A453:M453"/>
    <mergeCell ref="A462:M462"/>
    <mergeCell ref="A463:M463"/>
    <mergeCell ref="A472:M472"/>
    <mergeCell ref="A473:M473"/>
    <mergeCell ref="A482:M482"/>
    <mergeCell ref="A423:M423"/>
    <mergeCell ref="A432:M432"/>
    <mergeCell ref="A433:M433"/>
    <mergeCell ref="A442:M442"/>
    <mergeCell ref="A443:M443"/>
    <mergeCell ref="A452:M452"/>
    <mergeCell ref="A394:M394"/>
    <mergeCell ref="A403:M403"/>
    <mergeCell ref="A404:M404"/>
    <mergeCell ref="A412:M412"/>
    <mergeCell ref="A413:M413"/>
    <mergeCell ref="A422:M422"/>
    <mergeCell ref="A364:M364"/>
    <mergeCell ref="A373:M373"/>
    <mergeCell ref="A374:M374"/>
    <mergeCell ref="A383:M383"/>
    <mergeCell ref="A384:M384"/>
    <mergeCell ref="A393:M393"/>
    <mergeCell ref="A334:M334"/>
    <mergeCell ref="A343:M343"/>
    <mergeCell ref="A344:M344"/>
    <mergeCell ref="A353:M353"/>
    <mergeCell ref="A354:M354"/>
    <mergeCell ref="A363:M363"/>
    <mergeCell ref="A304:M304"/>
    <mergeCell ref="A313:M313"/>
    <mergeCell ref="A314:M314"/>
    <mergeCell ref="A323:M323"/>
    <mergeCell ref="A324:M324"/>
    <mergeCell ref="A333:M333"/>
    <mergeCell ref="A274:M274"/>
    <mergeCell ref="A283:M283"/>
    <mergeCell ref="A284:M284"/>
    <mergeCell ref="A293:M293"/>
    <mergeCell ref="A294:M294"/>
    <mergeCell ref="A303:M303"/>
    <mergeCell ref="A244:M244"/>
    <mergeCell ref="A253:M253"/>
    <mergeCell ref="A254:M254"/>
    <mergeCell ref="A263:M263"/>
    <mergeCell ref="A264:M264"/>
    <mergeCell ref="A273:M273"/>
    <mergeCell ref="A214:M214"/>
    <mergeCell ref="A223:M223"/>
    <mergeCell ref="A224:M224"/>
    <mergeCell ref="A233:M233"/>
    <mergeCell ref="A234:M234"/>
    <mergeCell ref="A243:M243"/>
    <mergeCell ref="A184:M184"/>
    <mergeCell ref="A193:M193"/>
    <mergeCell ref="A194:M194"/>
    <mergeCell ref="A203:M203"/>
    <mergeCell ref="A204:M204"/>
    <mergeCell ref="A213:M213"/>
    <mergeCell ref="A154:M154"/>
    <mergeCell ref="A163:M163"/>
    <mergeCell ref="A164:M164"/>
    <mergeCell ref="A173:M173"/>
    <mergeCell ref="A174:M174"/>
    <mergeCell ref="A183:M183"/>
    <mergeCell ref="A124:M124"/>
    <mergeCell ref="A133:M133"/>
    <mergeCell ref="A134:M134"/>
    <mergeCell ref="A143:M143"/>
    <mergeCell ref="A144:M144"/>
    <mergeCell ref="A153:M153"/>
    <mergeCell ref="A94:M94"/>
    <mergeCell ref="A103:M103"/>
    <mergeCell ref="A104:M104"/>
    <mergeCell ref="A113:M113"/>
    <mergeCell ref="A114:M114"/>
    <mergeCell ref="A123:M123"/>
    <mergeCell ref="A64:M64"/>
    <mergeCell ref="A73:M73"/>
    <mergeCell ref="A74:M74"/>
    <mergeCell ref="A83:M83"/>
    <mergeCell ref="A84:M84"/>
    <mergeCell ref="A93:M93"/>
    <mergeCell ref="A34:M34"/>
    <mergeCell ref="A43:M43"/>
    <mergeCell ref="A44:M44"/>
    <mergeCell ref="A53:M53"/>
    <mergeCell ref="A54:M54"/>
    <mergeCell ref="A63:M63"/>
    <mergeCell ref="J18:J20"/>
    <mergeCell ref="K18:K20"/>
    <mergeCell ref="L18:L20"/>
    <mergeCell ref="A23:M23"/>
    <mergeCell ref="A24:M24"/>
    <mergeCell ref="A33:M33"/>
    <mergeCell ref="B15:M16"/>
    <mergeCell ref="B17:E17"/>
    <mergeCell ref="F17:I17"/>
    <mergeCell ref="J17:M17"/>
    <mergeCell ref="B18:B20"/>
    <mergeCell ref="C18:C20"/>
    <mergeCell ref="D18:D20"/>
    <mergeCell ref="F18:F20"/>
    <mergeCell ref="G18:G20"/>
    <mergeCell ref="H18:H20"/>
  </mergeCells>
  <hyperlinks>
    <hyperlink ref="A1" r:id="rId1" display="https://www1.nls.niedersachsen.de/Statistik/pool/K3002519/K3002519_000016CE1821D844E098B3AD2E8021CD9EE0017B20A66A3F80AB.zip" xr:uid="{00000000-0004-0000-0900-000000000000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2020_4-1-3_CSV_Vorbereitung_fin</vt:lpstr>
      <vt:lpstr>2020_4-1-3_CSV_Export</vt:lpstr>
      <vt:lpstr>2020_B5</vt:lpstr>
      <vt:lpstr>Tabelle2</vt:lpstr>
      <vt:lpstr>2020_4-1-3_CSV_Vorbereitung</vt:lpstr>
      <vt:lpstr>2019_B5</vt:lpstr>
      <vt:lpstr>2019_B5_Roh</vt:lpstr>
      <vt:lpstr>2020_4-1-3_Rohdaten</vt:lpstr>
      <vt:lpstr>2020_4-1-3_bearbeitet (2)</vt:lpstr>
      <vt:lpstr>2020_4-1-3_bearbeitet</vt:lpstr>
      <vt:lpstr>2019_B5_bearbeitet</vt:lpstr>
      <vt:lpstr>2019_B5_Berechnung</vt:lpstr>
      <vt:lpstr>2019_B5 Ergänzung_Gö_Osterode</vt:lpstr>
      <vt:lpstr>2019_B5_Karte</vt:lpstr>
      <vt:lpstr>2013_B5_Roh</vt:lpstr>
      <vt:lpstr>2015_B5_Roh</vt:lpstr>
      <vt:lpstr>2016_B5_Roh</vt:lpstr>
      <vt:lpstr>2017_B5_Roh</vt:lpstr>
      <vt:lpstr>2018_B5_Roh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Daus, Juliane (LSN)</dc:creator>
  <cp:lastModifiedBy>Biester, Christoph (LSN)</cp:lastModifiedBy>
  <dcterms:created xsi:type="dcterms:W3CDTF">2019-09-02T07:16:22Z</dcterms:created>
  <dcterms:modified xsi:type="dcterms:W3CDTF">2021-10-06T13:46:54Z</dcterms:modified>
</cp:coreProperties>
</file>