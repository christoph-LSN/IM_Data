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3" codeName="{3D1A710C-6663-3D7B-7F91-EC182F24A4BC}"/>
  <workbookPr codeName="DieseArbeitsmappe"/>
  <mc:AlternateContent xmlns:mc="http://schemas.openxmlformats.org/markup-compatibility/2006">
    <mc:Choice Requires="x15">
      <x15ac:absPath xmlns:x15ac="http://schemas.microsoft.com/office/spreadsheetml/2010/11/ac" url="S:\Hannover\Dez15-Uebergreifende-Analysen\Projekte\Integrationsmonitoring_2021\Daten_2021\"/>
    </mc:Choice>
  </mc:AlternateContent>
  <xr:revisionPtr revIDLastSave="0" documentId="13_ncr:1_{D366373F-1CE3-4F6A-846C-61C2C5E5D8AB}" xr6:coauthVersionLast="36" xr6:coauthVersionMax="36" xr10:uidLastSave="{00000000-0000-0000-0000-000000000000}"/>
  <bookViews>
    <workbookView xWindow="0" yWindow="0" windowWidth="28800" windowHeight="13110" activeTab="1" xr2:uid="{ADD6D54E-372C-4C84-AF5F-05EAB5A17BCF}"/>
  </bookViews>
  <sheets>
    <sheet name="2018_B7_Zeitreihe" sheetId="1" r:id="rId1"/>
    <sheet name="2019_4-1-5_Download" sheetId="15" r:id="rId2"/>
    <sheet name="2019_4-1-5_CSV_Vorbereitung" sheetId="16" r:id="rId3"/>
    <sheet name="2019_4-1-5_CSV_Export" sheetId="17" r:id="rId4"/>
    <sheet name="2018_B7_Rand" sheetId="4" state="hidden" r:id="rId5"/>
    <sheet name="2019-B7_Berechnung" sheetId="13" r:id="rId6"/>
    <sheet name="2011" sheetId="5" r:id="rId7"/>
    <sheet name="2012" sheetId="6" r:id="rId8"/>
    <sheet name="2013" sheetId="7" r:id="rId9"/>
    <sheet name="2014" sheetId="8" r:id="rId10"/>
    <sheet name="2015" sheetId="9" r:id="rId11"/>
    <sheet name="2016" sheetId="10" r:id="rId12"/>
    <sheet name="2017" sheetId="11" r:id="rId13"/>
    <sheet name="2018" sheetId="12" r:id="rId14"/>
    <sheet name="2019" sheetId="14" r:id="rId15"/>
  </sheets>
  <definedNames>
    <definedName name="_xlnm._FilterDatabase" localSheetId="0" hidden="1">'2018_B7_Zeitreihe'!$A$8:$F$153</definedName>
    <definedName name="_xlnm._FilterDatabase" localSheetId="1" hidden="1">'2019_4-1-5_Download'!$B$10:$V$155</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0" i="15" l="1"/>
  <c r="G120" i="15"/>
  <c r="F121" i="15"/>
  <c r="G121" i="15"/>
  <c r="F122" i="15"/>
  <c r="G122" i="15"/>
  <c r="F123" i="15"/>
  <c r="G123" i="15"/>
  <c r="F124" i="15"/>
  <c r="G124" i="15"/>
  <c r="F125" i="15"/>
  <c r="G125" i="15"/>
  <c r="F126" i="15"/>
  <c r="G126" i="15"/>
  <c r="F127" i="15"/>
  <c r="G127" i="15"/>
  <c r="F128" i="15"/>
  <c r="G128" i="15"/>
  <c r="F129" i="15"/>
  <c r="G129" i="15"/>
  <c r="F130" i="15"/>
  <c r="G130" i="15"/>
  <c r="F131" i="15"/>
  <c r="G131" i="15"/>
  <c r="F132" i="15"/>
  <c r="G132" i="15"/>
  <c r="F133" i="15"/>
  <c r="G133" i="15"/>
  <c r="F134" i="15"/>
  <c r="G134" i="15"/>
  <c r="F135" i="15"/>
  <c r="G135" i="15"/>
  <c r="F136" i="15"/>
  <c r="G136" i="15"/>
  <c r="F137" i="15"/>
  <c r="G137" i="15"/>
  <c r="F138" i="15"/>
  <c r="G138" i="15"/>
  <c r="F139" i="15"/>
  <c r="G139" i="15"/>
  <c r="F140" i="15"/>
  <c r="G140" i="15"/>
  <c r="F141" i="15"/>
  <c r="G141" i="15"/>
  <c r="F142" i="15"/>
  <c r="G142" i="15"/>
  <c r="F143" i="15"/>
  <c r="G143" i="15"/>
  <c r="F144" i="15"/>
  <c r="G144" i="15"/>
  <c r="F145" i="15"/>
  <c r="G145" i="15"/>
  <c r="F146" i="15"/>
  <c r="G146" i="15"/>
  <c r="F147" i="15"/>
  <c r="G147" i="15"/>
  <c r="F148" i="15"/>
  <c r="G148" i="15"/>
  <c r="F149" i="15"/>
  <c r="G149" i="15"/>
  <c r="F150" i="15"/>
  <c r="G150" i="15"/>
  <c r="F151" i="15"/>
  <c r="G151" i="15"/>
  <c r="F152" i="15"/>
  <c r="G152" i="15"/>
  <c r="F153" i="15"/>
  <c r="G153" i="15"/>
  <c r="F154" i="15"/>
  <c r="G154" i="15"/>
  <c r="F119" i="15"/>
  <c r="G119" i="15"/>
  <c r="F24" i="15"/>
  <c r="G24" i="15"/>
  <c r="F25" i="15"/>
  <c r="G25" i="15"/>
  <c r="F26" i="15"/>
  <c r="G26" i="15"/>
  <c r="F27" i="15"/>
  <c r="G27" i="15"/>
  <c r="F28" i="15"/>
  <c r="G28" i="15"/>
  <c r="F29" i="15"/>
  <c r="G29" i="15"/>
  <c r="F30" i="15"/>
  <c r="G30" i="15"/>
  <c r="F31" i="15"/>
  <c r="G31" i="15"/>
  <c r="F32" i="15"/>
  <c r="G32" i="15"/>
  <c r="F33" i="15"/>
  <c r="G33" i="15"/>
  <c r="F34" i="15"/>
  <c r="G34" i="15"/>
  <c r="F35" i="15"/>
  <c r="G35" i="15"/>
  <c r="F36" i="15"/>
  <c r="G36" i="15"/>
  <c r="F37" i="15"/>
  <c r="G37" i="15"/>
  <c r="F38" i="15"/>
  <c r="G38" i="15"/>
  <c r="F39" i="15"/>
  <c r="G39" i="15"/>
  <c r="F40" i="15"/>
  <c r="G40" i="15"/>
  <c r="F41" i="15"/>
  <c r="G41" i="15"/>
  <c r="F42" i="15"/>
  <c r="G42" i="15"/>
  <c r="F43" i="15"/>
  <c r="G43" i="15"/>
  <c r="F44" i="15"/>
  <c r="G44" i="15"/>
  <c r="F45" i="15"/>
  <c r="G45" i="15"/>
  <c r="F46" i="15"/>
  <c r="G46" i="15"/>
  <c r="F47" i="15"/>
  <c r="G47" i="15"/>
  <c r="F48" i="15"/>
  <c r="G48" i="15"/>
  <c r="F49" i="15"/>
  <c r="G49" i="15"/>
  <c r="F50" i="15"/>
  <c r="G50" i="15"/>
  <c r="F51" i="15"/>
  <c r="G51" i="15"/>
  <c r="F52" i="15"/>
  <c r="G52" i="15"/>
  <c r="F53" i="15"/>
  <c r="G53" i="15"/>
  <c r="F54" i="15"/>
  <c r="G54" i="15"/>
  <c r="F55" i="15"/>
  <c r="G55" i="15"/>
  <c r="F56" i="15"/>
  <c r="G56" i="15"/>
  <c r="F57" i="15"/>
  <c r="G57" i="15"/>
  <c r="F58" i="15"/>
  <c r="G58" i="15"/>
  <c r="F59" i="15"/>
  <c r="G59" i="15"/>
  <c r="F60" i="15"/>
  <c r="G60" i="15"/>
  <c r="F61" i="15"/>
  <c r="G61" i="15"/>
  <c r="F62" i="15"/>
  <c r="G62" i="15"/>
  <c r="F63" i="15"/>
  <c r="G63" i="15"/>
  <c r="F64" i="15"/>
  <c r="G64" i="15"/>
  <c r="F65" i="15"/>
  <c r="G65" i="15"/>
  <c r="F66" i="15"/>
  <c r="G66" i="15"/>
  <c r="F67" i="15"/>
  <c r="G67" i="15"/>
  <c r="F68" i="15"/>
  <c r="G68" i="15"/>
  <c r="F69" i="15"/>
  <c r="G69" i="15"/>
  <c r="F70" i="15"/>
  <c r="G70" i="15"/>
  <c r="F71" i="15"/>
  <c r="G71" i="15"/>
  <c r="F72" i="15"/>
  <c r="G72" i="15"/>
  <c r="F73" i="15"/>
  <c r="G73" i="15"/>
  <c r="F74" i="15"/>
  <c r="G74" i="15"/>
  <c r="F75" i="15"/>
  <c r="G75" i="15"/>
  <c r="F76" i="15"/>
  <c r="G76" i="15"/>
  <c r="F77" i="15"/>
  <c r="G77" i="15"/>
  <c r="F78" i="15"/>
  <c r="G78" i="15"/>
  <c r="F79" i="15"/>
  <c r="G79" i="15"/>
  <c r="F80" i="15"/>
  <c r="G80" i="15"/>
  <c r="F81" i="15"/>
  <c r="G81" i="15"/>
  <c r="F82" i="15"/>
  <c r="G82" i="15"/>
  <c r="F83" i="15"/>
  <c r="G83" i="15"/>
  <c r="F84" i="15"/>
  <c r="G84" i="15"/>
  <c r="F85" i="15"/>
  <c r="G85" i="15"/>
  <c r="F86" i="15"/>
  <c r="G86" i="15"/>
  <c r="F87" i="15"/>
  <c r="G87" i="15"/>
  <c r="F88" i="15"/>
  <c r="G88" i="15"/>
  <c r="F89" i="15"/>
  <c r="G89" i="15"/>
  <c r="F90" i="15"/>
  <c r="G90" i="15"/>
  <c r="F91" i="15"/>
  <c r="G91" i="15"/>
  <c r="F92" i="15"/>
  <c r="G92" i="15"/>
  <c r="F93" i="15"/>
  <c r="G93" i="15"/>
  <c r="F94" i="15"/>
  <c r="G94" i="15"/>
  <c r="F95" i="15"/>
  <c r="G95" i="15"/>
  <c r="F96" i="15"/>
  <c r="G96" i="15"/>
  <c r="F97" i="15"/>
  <c r="G97" i="15"/>
  <c r="F98" i="15"/>
  <c r="G98" i="15"/>
  <c r="F99" i="15"/>
  <c r="G99" i="15"/>
  <c r="F100" i="15"/>
  <c r="G100" i="15"/>
  <c r="F101" i="15"/>
  <c r="G101" i="15"/>
  <c r="F102" i="15"/>
  <c r="G102" i="15"/>
  <c r="F103" i="15"/>
  <c r="G103" i="15"/>
  <c r="F104" i="15"/>
  <c r="G104" i="15"/>
  <c r="F105" i="15"/>
  <c r="G105" i="15"/>
  <c r="F106" i="15"/>
  <c r="G106" i="15"/>
  <c r="F107" i="15"/>
  <c r="G107" i="15"/>
  <c r="F108" i="15"/>
  <c r="G108" i="15"/>
  <c r="F109" i="15"/>
  <c r="G109" i="15"/>
  <c r="F110" i="15"/>
  <c r="G110" i="15"/>
  <c r="F111" i="15"/>
  <c r="G111" i="15"/>
  <c r="F112" i="15"/>
  <c r="G112" i="15"/>
  <c r="F113" i="15"/>
  <c r="G113" i="15"/>
  <c r="F114" i="15"/>
  <c r="G114" i="15"/>
  <c r="F115" i="15"/>
  <c r="G115" i="15"/>
  <c r="F116" i="15"/>
  <c r="G116" i="15"/>
  <c r="F117" i="15"/>
  <c r="G117" i="15"/>
  <c r="F118" i="15"/>
  <c r="G118" i="15"/>
  <c r="F12" i="15"/>
  <c r="G12" i="15"/>
  <c r="F13" i="15"/>
  <c r="G13" i="15"/>
  <c r="F14" i="15"/>
  <c r="G14" i="15"/>
  <c r="F15" i="15"/>
  <c r="G15" i="15"/>
  <c r="F16" i="15"/>
  <c r="G16" i="15"/>
  <c r="F17" i="15"/>
  <c r="G17" i="15"/>
  <c r="F18" i="15"/>
  <c r="G18" i="15"/>
  <c r="F19" i="15"/>
  <c r="G19" i="15"/>
  <c r="F20" i="15"/>
  <c r="G20" i="15"/>
  <c r="F21" i="15"/>
  <c r="G21" i="15"/>
  <c r="F22" i="15"/>
  <c r="G22" i="15"/>
  <c r="F23" i="15"/>
  <c r="G23" i="15"/>
  <c r="G11" i="15"/>
  <c r="F11" i="15"/>
  <c r="A432" i="16" l="1"/>
  <c r="B432" i="16"/>
  <c r="C432" i="16"/>
  <c r="F432" i="16"/>
  <c r="A433" i="16"/>
  <c r="B433" i="16"/>
  <c r="C433" i="16"/>
  <c r="F433" i="16"/>
  <c r="A291" i="16"/>
  <c r="B291" i="16"/>
  <c r="C291" i="16"/>
  <c r="A292" i="16"/>
  <c r="B292" i="16"/>
  <c r="C292" i="16"/>
  <c r="A293" i="16"/>
  <c r="B293" i="16"/>
  <c r="C293" i="16"/>
  <c r="A294" i="16"/>
  <c r="B294" i="16"/>
  <c r="C294" i="16"/>
  <c r="A295" i="16"/>
  <c r="B295" i="16"/>
  <c r="C295" i="16"/>
  <c r="A296" i="16"/>
  <c r="B296" i="16"/>
  <c r="C296" i="16"/>
  <c r="A297" i="16"/>
  <c r="B297" i="16"/>
  <c r="C297" i="16"/>
  <c r="A298" i="16"/>
  <c r="B298" i="16"/>
  <c r="C298" i="16"/>
  <c r="A299" i="16"/>
  <c r="B299" i="16"/>
  <c r="C299" i="16"/>
  <c r="A300" i="16"/>
  <c r="B300" i="16"/>
  <c r="C300" i="16"/>
  <c r="A301" i="16"/>
  <c r="B301" i="16"/>
  <c r="C301" i="16"/>
  <c r="A302" i="16"/>
  <c r="B302" i="16"/>
  <c r="C302" i="16"/>
  <c r="F302" i="16"/>
  <c r="A303" i="16"/>
  <c r="B303" i="16"/>
  <c r="C303" i="16"/>
  <c r="F303" i="16"/>
  <c r="A304" i="16"/>
  <c r="B304" i="16"/>
  <c r="C304" i="16"/>
  <c r="F304" i="16"/>
  <c r="A305" i="16"/>
  <c r="B305" i="16"/>
  <c r="C305" i="16"/>
  <c r="F305" i="16"/>
  <c r="A306" i="16"/>
  <c r="B306" i="16"/>
  <c r="C306" i="16"/>
  <c r="F306" i="16"/>
  <c r="A307" i="16"/>
  <c r="B307" i="16"/>
  <c r="C307" i="16"/>
  <c r="F307" i="16"/>
  <c r="A308" i="16"/>
  <c r="B308" i="16"/>
  <c r="C308" i="16"/>
  <c r="F308" i="16"/>
  <c r="A309" i="16"/>
  <c r="B309" i="16"/>
  <c r="C309" i="16"/>
  <c r="F309" i="16"/>
  <c r="A310" i="16"/>
  <c r="B310" i="16"/>
  <c r="C310" i="16"/>
  <c r="F310" i="16"/>
  <c r="A311" i="16"/>
  <c r="B311" i="16"/>
  <c r="C311" i="16"/>
  <c r="F311" i="16"/>
  <c r="A312" i="16"/>
  <c r="B312" i="16"/>
  <c r="C312" i="16"/>
  <c r="F312" i="16"/>
  <c r="A313" i="16"/>
  <c r="B313" i="16"/>
  <c r="C313" i="16"/>
  <c r="F313" i="16"/>
  <c r="A314" i="16"/>
  <c r="B314" i="16"/>
  <c r="C314" i="16"/>
  <c r="F314" i="16"/>
  <c r="A315" i="16"/>
  <c r="B315" i="16"/>
  <c r="C315" i="16"/>
  <c r="F315" i="16"/>
  <c r="A316" i="16"/>
  <c r="B316" i="16"/>
  <c r="C316" i="16"/>
  <c r="F316" i="16"/>
  <c r="A317" i="16"/>
  <c r="B317" i="16"/>
  <c r="C317" i="16"/>
  <c r="F317" i="16"/>
  <c r="A318" i="16"/>
  <c r="B318" i="16"/>
  <c r="C318" i="16"/>
  <c r="F318" i="16"/>
  <c r="A319" i="16"/>
  <c r="B319" i="16"/>
  <c r="C319" i="16"/>
  <c r="F319" i="16"/>
  <c r="A320" i="16"/>
  <c r="B320" i="16"/>
  <c r="C320" i="16"/>
  <c r="F320" i="16"/>
  <c r="A321" i="16"/>
  <c r="B321" i="16"/>
  <c r="C321" i="16"/>
  <c r="F321" i="16"/>
  <c r="A322" i="16"/>
  <c r="B322" i="16"/>
  <c r="C322" i="16"/>
  <c r="F322" i="16"/>
  <c r="A323" i="16"/>
  <c r="B323" i="16"/>
  <c r="C323" i="16"/>
  <c r="F323" i="16"/>
  <c r="A324" i="16"/>
  <c r="B324" i="16"/>
  <c r="C324" i="16"/>
  <c r="F324" i="16"/>
  <c r="A325" i="16"/>
  <c r="B325" i="16"/>
  <c r="C325" i="16"/>
  <c r="F325" i="16"/>
  <c r="A326" i="16"/>
  <c r="B326" i="16"/>
  <c r="C326" i="16"/>
  <c r="F326" i="16"/>
  <c r="A327" i="16"/>
  <c r="B327" i="16"/>
  <c r="C327" i="16"/>
  <c r="F327" i="16"/>
  <c r="A328" i="16"/>
  <c r="B328" i="16"/>
  <c r="C328" i="16"/>
  <c r="F328" i="16"/>
  <c r="A329" i="16"/>
  <c r="B329" i="16"/>
  <c r="C329" i="16"/>
  <c r="F329" i="16"/>
  <c r="A330" i="16"/>
  <c r="B330" i="16"/>
  <c r="C330" i="16"/>
  <c r="F330" i="16"/>
  <c r="A331" i="16"/>
  <c r="B331" i="16"/>
  <c r="C331" i="16"/>
  <c r="F331" i="16"/>
  <c r="A332" i="16"/>
  <c r="B332" i="16"/>
  <c r="C332" i="16"/>
  <c r="F332" i="16"/>
  <c r="A333" i="16"/>
  <c r="B333" i="16"/>
  <c r="C333" i="16"/>
  <c r="F333" i="16"/>
  <c r="A334" i="16"/>
  <c r="B334" i="16"/>
  <c r="C334" i="16"/>
  <c r="F334" i="16"/>
  <c r="A335" i="16"/>
  <c r="B335" i="16"/>
  <c r="C335" i="16"/>
  <c r="F335" i="16"/>
  <c r="A336" i="16"/>
  <c r="B336" i="16"/>
  <c r="C336" i="16"/>
  <c r="F336" i="16"/>
  <c r="A337" i="16"/>
  <c r="B337" i="16"/>
  <c r="C337" i="16"/>
  <c r="F337" i="16"/>
  <c r="A338" i="16"/>
  <c r="B338" i="16"/>
  <c r="C338" i="16"/>
  <c r="F338" i="16"/>
  <c r="A339" i="16"/>
  <c r="B339" i="16"/>
  <c r="C339" i="16"/>
  <c r="F339" i="16"/>
  <c r="A340" i="16"/>
  <c r="B340" i="16"/>
  <c r="C340" i="16"/>
  <c r="F340" i="16"/>
  <c r="A341" i="16"/>
  <c r="B341" i="16"/>
  <c r="C341" i="16"/>
  <c r="F341" i="16"/>
  <c r="A342" i="16"/>
  <c r="B342" i="16"/>
  <c r="C342" i="16"/>
  <c r="F342" i="16"/>
  <c r="A343" i="16"/>
  <c r="B343" i="16"/>
  <c r="C343" i="16"/>
  <c r="F343" i="16"/>
  <c r="A344" i="16"/>
  <c r="B344" i="16"/>
  <c r="C344" i="16"/>
  <c r="F344" i="16"/>
  <c r="A345" i="16"/>
  <c r="B345" i="16"/>
  <c r="C345" i="16"/>
  <c r="F345" i="16"/>
  <c r="A346" i="16"/>
  <c r="B346" i="16"/>
  <c r="C346" i="16"/>
  <c r="F346" i="16"/>
  <c r="A347" i="16"/>
  <c r="B347" i="16"/>
  <c r="C347" i="16"/>
  <c r="F347" i="16"/>
  <c r="A348" i="16"/>
  <c r="B348" i="16"/>
  <c r="C348" i="16"/>
  <c r="F348" i="16"/>
  <c r="A349" i="16"/>
  <c r="B349" i="16"/>
  <c r="C349" i="16"/>
  <c r="F349" i="16"/>
  <c r="A350" i="16"/>
  <c r="B350" i="16"/>
  <c r="C350" i="16"/>
  <c r="F350" i="16"/>
  <c r="A351" i="16"/>
  <c r="B351" i="16"/>
  <c r="C351" i="16"/>
  <c r="F351" i="16"/>
  <c r="A352" i="16"/>
  <c r="B352" i="16"/>
  <c r="C352" i="16"/>
  <c r="F352" i="16"/>
  <c r="A353" i="16"/>
  <c r="B353" i="16"/>
  <c r="C353" i="16"/>
  <c r="F353" i="16"/>
  <c r="A354" i="16"/>
  <c r="B354" i="16"/>
  <c r="C354" i="16"/>
  <c r="F354" i="16"/>
  <c r="A355" i="16"/>
  <c r="B355" i="16"/>
  <c r="C355" i="16"/>
  <c r="F355" i="16"/>
  <c r="A356" i="16"/>
  <c r="B356" i="16"/>
  <c r="C356" i="16"/>
  <c r="F356" i="16"/>
  <c r="A357" i="16"/>
  <c r="B357" i="16"/>
  <c r="C357" i="16"/>
  <c r="F357" i="16"/>
  <c r="A358" i="16"/>
  <c r="B358" i="16"/>
  <c r="C358" i="16"/>
  <c r="F358" i="16"/>
  <c r="A359" i="16"/>
  <c r="B359" i="16"/>
  <c r="C359" i="16"/>
  <c r="F359" i="16"/>
  <c r="A360" i="16"/>
  <c r="B360" i="16"/>
  <c r="C360" i="16"/>
  <c r="F360" i="16"/>
  <c r="A361" i="16"/>
  <c r="B361" i="16"/>
  <c r="C361" i="16"/>
  <c r="F361" i="16"/>
  <c r="A362" i="16"/>
  <c r="B362" i="16"/>
  <c r="C362" i="16"/>
  <c r="F362" i="16"/>
  <c r="A363" i="16"/>
  <c r="B363" i="16"/>
  <c r="C363" i="16"/>
  <c r="F363" i="16"/>
  <c r="A364" i="16"/>
  <c r="B364" i="16"/>
  <c r="C364" i="16"/>
  <c r="F364" i="16"/>
  <c r="A365" i="16"/>
  <c r="B365" i="16"/>
  <c r="C365" i="16"/>
  <c r="F365" i="16"/>
  <c r="A366" i="16"/>
  <c r="B366" i="16"/>
  <c r="C366" i="16"/>
  <c r="F366" i="16"/>
  <c r="A367" i="16"/>
  <c r="B367" i="16"/>
  <c r="C367" i="16"/>
  <c r="F367" i="16"/>
  <c r="A368" i="16"/>
  <c r="B368" i="16"/>
  <c r="C368" i="16"/>
  <c r="F368" i="16"/>
  <c r="A369" i="16"/>
  <c r="B369" i="16"/>
  <c r="C369" i="16"/>
  <c r="F369" i="16"/>
  <c r="A370" i="16"/>
  <c r="B370" i="16"/>
  <c r="C370" i="16"/>
  <c r="F370" i="16"/>
  <c r="A371" i="16"/>
  <c r="B371" i="16"/>
  <c r="C371" i="16"/>
  <c r="F371" i="16"/>
  <c r="A372" i="16"/>
  <c r="B372" i="16"/>
  <c r="C372" i="16"/>
  <c r="F372" i="16"/>
  <c r="A373" i="16"/>
  <c r="B373" i="16"/>
  <c r="C373" i="16"/>
  <c r="F373" i="16"/>
  <c r="A374" i="16"/>
  <c r="B374" i="16"/>
  <c r="C374" i="16"/>
  <c r="F374" i="16"/>
  <c r="A375" i="16"/>
  <c r="B375" i="16"/>
  <c r="C375" i="16"/>
  <c r="F375" i="16"/>
  <c r="A376" i="16"/>
  <c r="B376" i="16"/>
  <c r="C376" i="16"/>
  <c r="F376" i="16"/>
  <c r="A377" i="16"/>
  <c r="B377" i="16"/>
  <c r="C377" i="16"/>
  <c r="F377" i="16"/>
  <c r="A378" i="16"/>
  <c r="B378" i="16"/>
  <c r="C378" i="16"/>
  <c r="F378" i="16"/>
  <c r="A379" i="16"/>
  <c r="B379" i="16"/>
  <c r="C379" i="16"/>
  <c r="F379" i="16"/>
  <c r="A380" i="16"/>
  <c r="B380" i="16"/>
  <c r="C380" i="16"/>
  <c r="F380" i="16"/>
  <c r="A381" i="16"/>
  <c r="B381" i="16"/>
  <c r="C381" i="16"/>
  <c r="F381" i="16"/>
  <c r="A382" i="16"/>
  <c r="B382" i="16"/>
  <c r="C382" i="16"/>
  <c r="F382" i="16"/>
  <c r="A383" i="16"/>
  <c r="B383" i="16"/>
  <c r="C383" i="16"/>
  <c r="F383" i="16"/>
  <c r="A384" i="16"/>
  <c r="B384" i="16"/>
  <c r="C384" i="16"/>
  <c r="F384" i="16"/>
  <c r="A385" i="16"/>
  <c r="B385" i="16"/>
  <c r="C385" i="16"/>
  <c r="F385" i="16"/>
  <c r="A386" i="16"/>
  <c r="B386" i="16"/>
  <c r="C386" i="16"/>
  <c r="F386" i="16"/>
  <c r="A387" i="16"/>
  <c r="B387" i="16"/>
  <c r="C387" i="16"/>
  <c r="F387" i="16"/>
  <c r="A388" i="16"/>
  <c r="B388" i="16"/>
  <c r="C388" i="16"/>
  <c r="F388" i="16"/>
  <c r="A389" i="16"/>
  <c r="B389" i="16"/>
  <c r="C389" i="16"/>
  <c r="F389" i="16"/>
  <c r="A390" i="16"/>
  <c r="B390" i="16"/>
  <c r="C390" i="16"/>
  <c r="F390" i="16"/>
  <c r="A391" i="16"/>
  <c r="B391" i="16"/>
  <c r="C391" i="16"/>
  <c r="F391" i="16"/>
  <c r="A392" i="16"/>
  <c r="B392" i="16"/>
  <c r="C392" i="16"/>
  <c r="F392" i="16"/>
  <c r="A393" i="16"/>
  <c r="B393" i="16"/>
  <c r="C393" i="16"/>
  <c r="F393" i="16"/>
  <c r="A394" i="16"/>
  <c r="B394" i="16"/>
  <c r="C394" i="16"/>
  <c r="F394" i="16"/>
  <c r="A395" i="16"/>
  <c r="B395" i="16"/>
  <c r="C395" i="16"/>
  <c r="F395" i="16"/>
  <c r="A396" i="16"/>
  <c r="B396" i="16"/>
  <c r="C396" i="16"/>
  <c r="F396" i="16"/>
  <c r="A397" i="16"/>
  <c r="B397" i="16"/>
  <c r="C397" i="16"/>
  <c r="F397" i="16"/>
  <c r="A398" i="16"/>
  <c r="B398" i="16"/>
  <c r="C398" i="16"/>
  <c r="F398" i="16"/>
  <c r="A399" i="16"/>
  <c r="B399" i="16"/>
  <c r="C399" i="16"/>
  <c r="F399" i="16"/>
  <c r="A400" i="16"/>
  <c r="B400" i="16"/>
  <c r="C400" i="16"/>
  <c r="F400" i="16"/>
  <c r="A401" i="16"/>
  <c r="B401" i="16"/>
  <c r="C401" i="16"/>
  <c r="F401" i="16"/>
  <c r="A402" i="16"/>
  <c r="B402" i="16"/>
  <c r="C402" i="16"/>
  <c r="F402" i="16"/>
  <c r="A403" i="16"/>
  <c r="B403" i="16"/>
  <c r="C403" i="16"/>
  <c r="F403" i="16"/>
  <c r="A404" i="16"/>
  <c r="B404" i="16"/>
  <c r="C404" i="16"/>
  <c r="F404" i="16"/>
  <c r="A405" i="16"/>
  <c r="B405" i="16"/>
  <c r="C405" i="16"/>
  <c r="F405" i="16"/>
  <c r="A406" i="16"/>
  <c r="B406" i="16"/>
  <c r="C406" i="16"/>
  <c r="F406" i="16"/>
  <c r="A407" i="16"/>
  <c r="B407" i="16"/>
  <c r="C407" i="16"/>
  <c r="F407" i="16"/>
  <c r="A408" i="16"/>
  <c r="B408" i="16"/>
  <c r="C408" i="16"/>
  <c r="F408" i="16"/>
  <c r="A409" i="16"/>
  <c r="B409" i="16"/>
  <c r="C409" i="16"/>
  <c r="F409" i="16"/>
  <c r="A410" i="16"/>
  <c r="B410" i="16"/>
  <c r="C410" i="16"/>
  <c r="F410" i="16"/>
  <c r="A411" i="16"/>
  <c r="B411" i="16"/>
  <c r="C411" i="16"/>
  <c r="F411" i="16"/>
  <c r="A412" i="16"/>
  <c r="B412" i="16"/>
  <c r="C412" i="16"/>
  <c r="F412" i="16"/>
  <c r="A413" i="16"/>
  <c r="B413" i="16"/>
  <c r="C413" i="16"/>
  <c r="F413" i="16"/>
  <c r="A414" i="16"/>
  <c r="B414" i="16"/>
  <c r="C414" i="16"/>
  <c r="F414" i="16"/>
  <c r="A415" i="16"/>
  <c r="B415" i="16"/>
  <c r="C415" i="16"/>
  <c r="F415" i="16"/>
  <c r="A416" i="16"/>
  <c r="B416" i="16"/>
  <c r="C416" i="16"/>
  <c r="F416" i="16"/>
  <c r="A417" i="16"/>
  <c r="B417" i="16"/>
  <c r="C417" i="16"/>
  <c r="F417" i="16"/>
  <c r="A418" i="16"/>
  <c r="B418" i="16"/>
  <c r="C418" i="16"/>
  <c r="F418" i="16"/>
  <c r="A419" i="16"/>
  <c r="B419" i="16"/>
  <c r="C419" i="16"/>
  <c r="F419" i="16"/>
  <c r="A420" i="16"/>
  <c r="B420" i="16"/>
  <c r="C420" i="16"/>
  <c r="F420" i="16"/>
  <c r="A421" i="16"/>
  <c r="B421" i="16"/>
  <c r="C421" i="16"/>
  <c r="F421" i="16"/>
  <c r="A422" i="16"/>
  <c r="B422" i="16"/>
  <c r="C422" i="16"/>
  <c r="F422" i="16"/>
  <c r="A423" i="16"/>
  <c r="B423" i="16"/>
  <c r="C423" i="16"/>
  <c r="F423" i="16"/>
  <c r="A424" i="16"/>
  <c r="B424" i="16"/>
  <c r="C424" i="16"/>
  <c r="F424" i="16"/>
  <c r="A425" i="16"/>
  <c r="B425" i="16"/>
  <c r="C425" i="16"/>
  <c r="F425" i="16"/>
  <c r="A426" i="16"/>
  <c r="B426" i="16"/>
  <c r="C426" i="16"/>
  <c r="F426" i="16"/>
  <c r="A427" i="16"/>
  <c r="B427" i="16"/>
  <c r="C427" i="16"/>
  <c r="F427" i="16"/>
  <c r="A428" i="16"/>
  <c r="B428" i="16"/>
  <c r="C428" i="16"/>
  <c r="F428" i="16"/>
  <c r="A429" i="16"/>
  <c r="B429" i="16"/>
  <c r="C429" i="16"/>
  <c r="F429" i="16"/>
  <c r="A430" i="16"/>
  <c r="B430" i="16"/>
  <c r="C430" i="16"/>
  <c r="F430" i="16"/>
  <c r="A431" i="16"/>
  <c r="B431" i="16"/>
  <c r="C431" i="16"/>
  <c r="F431" i="16"/>
  <c r="C290" i="16"/>
  <c r="B290" i="16"/>
  <c r="A290" i="16"/>
  <c r="A147" i="16"/>
  <c r="B147" i="16"/>
  <c r="C147" i="16"/>
  <c r="A148" i="16"/>
  <c r="B148" i="16"/>
  <c r="C148" i="16"/>
  <c r="A149" i="16"/>
  <c r="B149" i="16"/>
  <c r="C149" i="16"/>
  <c r="A150" i="16"/>
  <c r="B150" i="16"/>
  <c r="C150" i="16"/>
  <c r="A151" i="16"/>
  <c r="B151" i="16"/>
  <c r="C151" i="16"/>
  <c r="A152" i="16"/>
  <c r="B152" i="16"/>
  <c r="C152" i="16"/>
  <c r="A153" i="16"/>
  <c r="B153" i="16"/>
  <c r="C153" i="16"/>
  <c r="A154" i="16"/>
  <c r="B154" i="16"/>
  <c r="C154" i="16"/>
  <c r="A155" i="16"/>
  <c r="B155" i="16"/>
  <c r="C155" i="16"/>
  <c r="A156" i="16"/>
  <c r="B156" i="16"/>
  <c r="C156" i="16"/>
  <c r="A157" i="16"/>
  <c r="B157" i="16"/>
  <c r="C157" i="16"/>
  <c r="A158" i="16"/>
  <c r="B158" i="16"/>
  <c r="C158" i="16"/>
  <c r="F158" i="16"/>
  <c r="A159" i="16"/>
  <c r="B159" i="16"/>
  <c r="C159" i="16"/>
  <c r="F159" i="16"/>
  <c r="A160" i="16"/>
  <c r="B160" i="16"/>
  <c r="C160" i="16"/>
  <c r="F160" i="16"/>
  <c r="A161" i="16"/>
  <c r="B161" i="16"/>
  <c r="C161" i="16"/>
  <c r="F161" i="16"/>
  <c r="A162" i="16"/>
  <c r="B162" i="16"/>
  <c r="C162" i="16"/>
  <c r="F162" i="16"/>
  <c r="A163" i="16"/>
  <c r="B163" i="16"/>
  <c r="C163" i="16"/>
  <c r="F163" i="16"/>
  <c r="A164" i="16"/>
  <c r="B164" i="16"/>
  <c r="C164" i="16"/>
  <c r="F164" i="16"/>
  <c r="A165" i="16"/>
  <c r="B165" i="16"/>
  <c r="C165" i="16"/>
  <c r="F165" i="16"/>
  <c r="A166" i="16"/>
  <c r="B166" i="16"/>
  <c r="C166" i="16"/>
  <c r="F166" i="16"/>
  <c r="A167" i="16"/>
  <c r="B167" i="16"/>
  <c r="C167" i="16"/>
  <c r="F167" i="16"/>
  <c r="A168" i="16"/>
  <c r="B168" i="16"/>
  <c r="C168" i="16"/>
  <c r="F168" i="16"/>
  <c r="A169" i="16"/>
  <c r="B169" i="16"/>
  <c r="C169" i="16"/>
  <c r="F169" i="16"/>
  <c r="A170" i="16"/>
  <c r="B170" i="16"/>
  <c r="C170" i="16"/>
  <c r="F170" i="16"/>
  <c r="A171" i="16"/>
  <c r="B171" i="16"/>
  <c r="C171" i="16"/>
  <c r="F171" i="16"/>
  <c r="A172" i="16"/>
  <c r="B172" i="16"/>
  <c r="C172" i="16"/>
  <c r="F172" i="16"/>
  <c r="A173" i="16"/>
  <c r="B173" i="16"/>
  <c r="C173" i="16"/>
  <c r="F173" i="16"/>
  <c r="A174" i="16"/>
  <c r="B174" i="16"/>
  <c r="C174" i="16"/>
  <c r="F174" i="16"/>
  <c r="A175" i="16"/>
  <c r="B175" i="16"/>
  <c r="C175" i="16"/>
  <c r="F175" i="16"/>
  <c r="A176" i="16"/>
  <c r="B176" i="16"/>
  <c r="C176" i="16"/>
  <c r="F176" i="16"/>
  <c r="A177" i="16"/>
  <c r="B177" i="16"/>
  <c r="C177" i="16"/>
  <c r="F177" i="16"/>
  <c r="A178" i="16"/>
  <c r="B178" i="16"/>
  <c r="C178" i="16"/>
  <c r="F178" i="16"/>
  <c r="A179" i="16"/>
  <c r="B179" i="16"/>
  <c r="C179" i="16"/>
  <c r="F179" i="16"/>
  <c r="A180" i="16"/>
  <c r="B180" i="16"/>
  <c r="C180" i="16"/>
  <c r="F180" i="16"/>
  <c r="A181" i="16"/>
  <c r="B181" i="16"/>
  <c r="C181" i="16"/>
  <c r="F181" i="16"/>
  <c r="A182" i="16"/>
  <c r="B182" i="16"/>
  <c r="C182" i="16"/>
  <c r="F182" i="16"/>
  <c r="A183" i="16"/>
  <c r="B183" i="16"/>
  <c r="C183" i="16"/>
  <c r="F183" i="16"/>
  <c r="A184" i="16"/>
  <c r="B184" i="16"/>
  <c r="C184" i="16"/>
  <c r="F184" i="16"/>
  <c r="A185" i="16"/>
  <c r="B185" i="16"/>
  <c r="C185" i="16"/>
  <c r="F185" i="16"/>
  <c r="A186" i="16"/>
  <c r="B186" i="16"/>
  <c r="C186" i="16"/>
  <c r="F186" i="16"/>
  <c r="A187" i="16"/>
  <c r="B187" i="16"/>
  <c r="C187" i="16"/>
  <c r="F187" i="16"/>
  <c r="A188" i="16"/>
  <c r="B188" i="16"/>
  <c r="C188" i="16"/>
  <c r="F188" i="16"/>
  <c r="A189" i="16"/>
  <c r="B189" i="16"/>
  <c r="C189" i="16"/>
  <c r="F189" i="16"/>
  <c r="A190" i="16"/>
  <c r="B190" i="16"/>
  <c r="C190" i="16"/>
  <c r="F190" i="16"/>
  <c r="A191" i="16"/>
  <c r="B191" i="16"/>
  <c r="C191" i="16"/>
  <c r="F191" i="16"/>
  <c r="A192" i="16"/>
  <c r="B192" i="16"/>
  <c r="C192" i="16"/>
  <c r="F192" i="16"/>
  <c r="A193" i="16"/>
  <c r="B193" i="16"/>
  <c r="C193" i="16"/>
  <c r="F193" i="16"/>
  <c r="A194" i="16"/>
  <c r="B194" i="16"/>
  <c r="C194" i="16"/>
  <c r="F194" i="16"/>
  <c r="A195" i="16"/>
  <c r="B195" i="16"/>
  <c r="C195" i="16"/>
  <c r="F195" i="16"/>
  <c r="A196" i="16"/>
  <c r="B196" i="16"/>
  <c r="C196" i="16"/>
  <c r="F196" i="16"/>
  <c r="A197" i="16"/>
  <c r="B197" i="16"/>
  <c r="C197" i="16"/>
  <c r="F197" i="16"/>
  <c r="A198" i="16"/>
  <c r="B198" i="16"/>
  <c r="C198" i="16"/>
  <c r="F198" i="16"/>
  <c r="A199" i="16"/>
  <c r="B199" i="16"/>
  <c r="C199" i="16"/>
  <c r="F199" i="16"/>
  <c r="A200" i="16"/>
  <c r="B200" i="16"/>
  <c r="C200" i="16"/>
  <c r="F200" i="16"/>
  <c r="A201" i="16"/>
  <c r="B201" i="16"/>
  <c r="C201" i="16"/>
  <c r="F201" i="16"/>
  <c r="A202" i="16"/>
  <c r="B202" i="16"/>
  <c r="C202" i="16"/>
  <c r="F202" i="16"/>
  <c r="A203" i="16"/>
  <c r="B203" i="16"/>
  <c r="C203" i="16"/>
  <c r="F203" i="16"/>
  <c r="A204" i="16"/>
  <c r="B204" i="16"/>
  <c r="C204" i="16"/>
  <c r="F204" i="16"/>
  <c r="A205" i="16"/>
  <c r="B205" i="16"/>
  <c r="C205" i="16"/>
  <c r="F205" i="16"/>
  <c r="A206" i="16"/>
  <c r="B206" i="16"/>
  <c r="C206" i="16"/>
  <c r="F206" i="16"/>
  <c r="A207" i="16"/>
  <c r="B207" i="16"/>
  <c r="C207" i="16"/>
  <c r="F207" i="16"/>
  <c r="A208" i="16"/>
  <c r="B208" i="16"/>
  <c r="C208" i="16"/>
  <c r="F208" i="16"/>
  <c r="A209" i="16"/>
  <c r="B209" i="16"/>
  <c r="C209" i="16"/>
  <c r="F209" i="16"/>
  <c r="A210" i="16"/>
  <c r="B210" i="16"/>
  <c r="C210" i="16"/>
  <c r="F210" i="16"/>
  <c r="A211" i="16"/>
  <c r="B211" i="16"/>
  <c r="C211" i="16"/>
  <c r="F211" i="16"/>
  <c r="A212" i="16"/>
  <c r="B212" i="16"/>
  <c r="C212" i="16"/>
  <c r="F212" i="16"/>
  <c r="A213" i="16"/>
  <c r="B213" i="16"/>
  <c r="C213" i="16"/>
  <c r="F213" i="16"/>
  <c r="A214" i="16"/>
  <c r="B214" i="16"/>
  <c r="C214" i="16"/>
  <c r="F214" i="16"/>
  <c r="A215" i="16"/>
  <c r="B215" i="16"/>
  <c r="C215" i="16"/>
  <c r="F215" i="16"/>
  <c r="A216" i="16"/>
  <c r="B216" i="16"/>
  <c r="C216" i="16"/>
  <c r="F216" i="16"/>
  <c r="A217" i="16"/>
  <c r="B217" i="16"/>
  <c r="C217" i="16"/>
  <c r="F217" i="16"/>
  <c r="A218" i="16"/>
  <c r="B218" i="16"/>
  <c r="C218" i="16"/>
  <c r="F218" i="16"/>
  <c r="A219" i="16"/>
  <c r="B219" i="16"/>
  <c r="C219" i="16"/>
  <c r="F219" i="16"/>
  <c r="A220" i="16"/>
  <c r="B220" i="16"/>
  <c r="C220" i="16"/>
  <c r="F220" i="16"/>
  <c r="A221" i="16"/>
  <c r="B221" i="16"/>
  <c r="C221" i="16"/>
  <c r="F221" i="16"/>
  <c r="A222" i="16"/>
  <c r="B222" i="16"/>
  <c r="C222" i="16"/>
  <c r="F222" i="16"/>
  <c r="A223" i="16"/>
  <c r="B223" i="16"/>
  <c r="C223" i="16"/>
  <c r="F223" i="16"/>
  <c r="A224" i="16"/>
  <c r="B224" i="16"/>
  <c r="C224" i="16"/>
  <c r="F224" i="16"/>
  <c r="A225" i="16"/>
  <c r="B225" i="16"/>
  <c r="C225" i="16"/>
  <c r="F225" i="16"/>
  <c r="A226" i="16"/>
  <c r="B226" i="16"/>
  <c r="C226" i="16"/>
  <c r="F226" i="16"/>
  <c r="A227" i="16"/>
  <c r="B227" i="16"/>
  <c r="C227" i="16"/>
  <c r="F227" i="16"/>
  <c r="A228" i="16"/>
  <c r="B228" i="16"/>
  <c r="C228" i="16"/>
  <c r="F228" i="16"/>
  <c r="A229" i="16"/>
  <c r="B229" i="16"/>
  <c r="C229" i="16"/>
  <c r="F229" i="16"/>
  <c r="A230" i="16"/>
  <c r="B230" i="16"/>
  <c r="C230" i="16"/>
  <c r="F230" i="16"/>
  <c r="A231" i="16"/>
  <c r="B231" i="16"/>
  <c r="C231" i="16"/>
  <c r="F231" i="16"/>
  <c r="A232" i="16"/>
  <c r="B232" i="16"/>
  <c r="C232" i="16"/>
  <c r="F232" i="16"/>
  <c r="A233" i="16"/>
  <c r="B233" i="16"/>
  <c r="C233" i="16"/>
  <c r="F233" i="16"/>
  <c r="A234" i="16"/>
  <c r="B234" i="16"/>
  <c r="C234" i="16"/>
  <c r="F234" i="16"/>
  <c r="A235" i="16"/>
  <c r="B235" i="16"/>
  <c r="C235" i="16"/>
  <c r="F235" i="16"/>
  <c r="A236" i="16"/>
  <c r="B236" i="16"/>
  <c r="C236" i="16"/>
  <c r="F236" i="16"/>
  <c r="A237" i="16"/>
  <c r="B237" i="16"/>
  <c r="C237" i="16"/>
  <c r="F237" i="16"/>
  <c r="A238" i="16"/>
  <c r="B238" i="16"/>
  <c r="C238" i="16"/>
  <c r="F238" i="16"/>
  <c r="A239" i="16"/>
  <c r="B239" i="16"/>
  <c r="C239" i="16"/>
  <c r="F239" i="16"/>
  <c r="A240" i="16"/>
  <c r="B240" i="16"/>
  <c r="C240" i="16"/>
  <c r="F240" i="16"/>
  <c r="A241" i="16"/>
  <c r="B241" i="16"/>
  <c r="C241" i="16"/>
  <c r="F241" i="16"/>
  <c r="A242" i="16"/>
  <c r="B242" i="16"/>
  <c r="C242" i="16"/>
  <c r="F242" i="16"/>
  <c r="A243" i="16"/>
  <c r="B243" i="16"/>
  <c r="C243" i="16"/>
  <c r="F243" i="16"/>
  <c r="A244" i="16"/>
  <c r="B244" i="16"/>
  <c r="C244" i="16"/>
  <c r="F244" i="16"/>
  <c r="A245" i="16"/>
  <c r="B245" i="16"/>
  <c r="C245" i="16"/>
  <c r="F245" i="16"/>
  <c r="A246" i="16"/>
  <c r="B246" i="16"/>
  <c r="C246" i="16"/>
  <c r="F246" i="16"/>
  <c r="A247" i="16"/>
  <c r="B247" i="16"/>
  <c r="C247" i="16"/>
  <c r="F247" i="16"/>
  <c r="A248" i="16"/>
  <c r="B248" i="16"/>
  <c r="C248" i="16"/>
  <c r="F248" i="16"/>
  <c r="A249" i="16"/>
  <c r="B249" i="16"/>
  <c r="C249" i="16"/>
  <c r="F249" i="16"/>
  <c r="A250" i="16"/>
  <c r="B250" i="16"/>
  <c r="C250" i="16"/>
  <c r="F250" i="16"/>
  <c r="A251" i="16"/>
  <c r="B251" i="16"/>
  <c r="C251" i="16"/>
  <c r="F251" i="16"/>
  <c r="A252" i="16"/>
  <c r="B252" i="16"/>
  <c r="C252" i="16"/>
  <c r="F252" i="16"/>
  <c r="A253" i="16"/>
  <c r="B253" i="16"/>
  <c r="C253" i="16"/>
  <c r="F253" i="16"/>
  <c r="A254" i="16"/>
  <c r="B254" i="16"/>
  <c r="C254" i="16"/>
  <c r="F254" i="16"/>
  <c r="A255" i="16"/>
  <c r="B255" i="16"/>
  <c r="C255" i="16"/>
  <c r="F255" i="16"/>
  <c r="A256" i="16"/>
  <c r="B256" i="16"/>
  <c r="C256" i="16"/>
  <c r="F256" i="16"/>
  <c r="A257" i="16"/>
  <c r="B257" i="16"/>
  <c r="C257" i="16"/>
  <c r="F257" i="16"/>
  <c r="A258" i="16"/>
  <c r="B258" i="16"/>
  <c r="C258" i="16"/>
  <c r="F258" i="16"/>
  <c r="A259" i="16"/>
  <c r="B259" i="16"/>
  <c r="C259" i="16"/>
  <c r="F259" i="16"/>
  <c r="A260" i="16"/>
  <c r="B260" i="16"/>
  <c r="C260" i="16"/>
  <c r="F260" i="16"/>
  <c r="A261" i="16"/>
  <c r="B261" i="16"/>
  <c r="C261" i="16"/>
  <c r="F261" i="16"/>
  <c r="A262" i="16"/>
  <c r="B262" i="16"/>
  <c r="C262" i="16"/>
  <c r="F262" i="16"/>
  <c r="A263" i="16"/>
  <c r="B263" i="16"/>
  <c r="C263" i="16"/>
  <c r="F263" i="16"/>
  <c r="A264" i="16"/>
  <c r="B264" i="16"/>
  <c r="C264" i="16"/>
  <c r="F264" i="16"/>
  <c r="A265" i="16"/>
  <c r="B265" i="16"/>
  <c r="C265" i="16"/>
  <c r="F265" i="16"/>
  <c r="A266" i="16"/>
  <c r="B266" i="16"/>
  <c r="C266" i="16"/>
  <c r="F266" i="16"/>
  <c r="A267" i="16"/>
  <c r="B267" i="16"/>
  <c r="C267" i="16"/>
  <c r="F267" i="16"/>
  <c r="A268" i="16"/>
  <c r="B268" i="16"/>
  <c r="C268" i="16"/>
  <c r="F268" i="16"/>
  <c r="A269" i="16"/>
  <c r="B269" i="16"/>
  <c r="C269" i="16"/>
  <c r="F269" i="16"/>
  <c r="A270" i="16"/>
  <c r="B270" i="16"/>
  <c r="C270" i="16"/>
  <c r="F270" i="16"/>
  <c r="A271" i="16"/>
  <c r="B271" i="16"/>
  <c r="C271" i="16"/>
  <c r="F271" i="16"/>
  <c r="A272" i="16"/>
  <c r="B272" i="16"/>
  <c r="C272" i="16"/>
  <c r="F272" i="16"/>
  <c r="A273" i="16"/>
  <c r="B273" i="16"/>
  <c r="C273" i="16"/>
  <c r="F273" i="16"/>
  <c r="A274" i="16"/>
  <c r="B274" i="16"/>
  <c r="C274" i="16"/>
  <c r="F274" i="16"/>
  <c r="A275" i="16"/>
  <c r="B275" i="16"/>
  <c r="C275" i="16"/>
  <c r="F275" i="16"/>
  <c r="A276" i="16"/>
  <c r="B276" i="16"/>
  <c r="C276" i="16"/>
  <c r="F276" i="16"/>
  <c r="A277" i="16"/>
  <c r="B277" i="16"/>
  <c r="C277" i="16"/>
  <c r="F277" i="16"/>
  <c r="A278" i="16"/>
  <c r="B278" i="16"/>
  <c r="C278" i="16"/>
  <c r="F278" i="16"/>
  <c r="A279" i="16"/>
  <c r="B279" i="16"/>
  <c r="C279" i="16"/>
  <c r="F279" i="16"/>
  <c r="A280" i="16"/>
  <c r="B280" i="16"/>
  <c r="C280" i="16"/>
  <c r="F280" i="16"/>
  <c r="A281" i="16"/>
  <c r="B281" i="16"/>
  <c r="C281" i="16"/>
  <c r="F281" i="16"/>
  <c r="A282" i="16"/>
  <c r="B282" i="16"/>
  <c r="C282" i="16"/>
  <c r="F282" i="16"/>
  <c r="A283" i="16"/>
  <c r="B283" i="16"/>
  <c r="C283" i="16"/>
  <c r="F283" i="16"/>
  <c r="A284" i="16"/>
  <c r="B284" i="16"/>
  <c r="C284" i="16"/>
  <c r="F284" i="16"/>
  <c r="A285" i="16"/>
  <c r="B285" i="16"/>
  <c r="C285" i="16"/>
  <c r="F285" i="16"/>
  <c r="A286" i="16"/>
  <c r="B286" i="16"/>
  <c r="C286" i="16"/>
  <c r="F286" i="16"/>
  <c r="A287" i="16"/>
  <c r="B287" i="16"/>
  <c r="C287" i="16"/>
  <c r="F287" i="16"/>
  <c r="A288" i="16"/>
  <c r="B288" i="16"/>
  <c r="C288" i="16"/>
  <c r="F288" i="16"/>
  <c r="A289" i="16"/>
  <c r="B289" i="16"/>
  <c r="C289" i="16"/>
  <c r="F289" i="16"/>
  <c r="C146" i="16"/>
  <c r="B146" i="16"/>
  <c r="A146" i="16"/>
  <c r="A124" i="16"/>
  <c r="B124" i="16"/>
  <c r="C124" i="16"/>
  <c r="D124" i="16"/>
  <c r="F124" i="16"/>
  <c r="A125" i="16"/>
  <c r="B125" i="16"/>
  <c r="C125" i="16"/>
  <c r="D125" i="16"/>
  <c r="F125" i="16"/>
  <c r="A126" i="16"/>
  <c r="B126" i="16"/>
  <c r="C126" i="16"/>
  <c r="D126" i="16"/>
  <c r="F126" i="16"/>
  <c r="A127" i="16"/>
  <c r="B127" i="16"/>
  <c r="C127" i="16"/>
  <c r="D127" i="16"/>
  <c r="F127" i="16"/>
  <c r="A128" i="16"/>
  <c r="B128" i="16"/>
  <c r="C128" i="16"/>
  <c r="D128" i="16"/>
  <c r="F128" i="16"/>
  <c r="A129" i="16"/>
  <c r="B129" i="16"/>
  <c r="C129" i="16"/>
  <c r="D129" i="16"/>
  <c r="F129" i="16"/>
  <c r="A130" i="16"/>
  <c r="B130" i="16"/>
  <c r="C130" i="16"/>
  <c r="D130" i="16"/>
  <c r="F130" i="16"/>
  <c r="A131" i="16"/>
  <c r="B131" i="16"/>
  <c r="C131" i="16"/>
  <c r="D131" i="16"/>
  <c r="F131" i="16"/>
  <c r="A132" i="16"/>
  <c r="B132" i="16"/>
  <c r="C132" i="16"/>
  <c r="D132" i="16"/>
  <c r="F132" i="16"/>
  <c r="A133" i="16"/>
  <c r="B133" i="16"/>
  <c r="C133" i="16"/>
  <c r="D133" i="16"/>
  <c r="F133" i="16"/>
  <c r="A134" i="16"/>
  <c r="B134" i="16"/>
  <c r="C134" i="16"/>
  <c r="D134" i="16"/>
  <c r="F134" i="16"/>
  <c r="A135" i="16"/>
  <c r="B135" i="16"/>
  <c r="C135" i="16"/>
  <c r="D135" i="16"/>
  <c r="F135" i="16"/>
  <c r="A136" i="16"/>
  <c r="B136" i="16"/>
  <c r="C136" i="16"/>
  <c r="D136" i="16"/>
  <c r="F136" i="16"/>
  <c r="A137" i="16"/>
  <c r="B137" i="16"/>
  <c r="C137" i="16"/>
  <c r="D137" i="16"/>
  <c r="F137" i="16"/>
  <c r="A138" i="16"/>
  <c r="B138" i="16"/>
  <c r="C138" i="16"/>
  <c r="D138" i="16"/>
  <c r="F138" i="16"/>
  <c r="A139" i="16"/>
  <c r="B139" i="16"/>
  <c r="C139" i="16"/>
  <c r="D139" i="16"/>
  <c r="F139" i="16"/>
  <c r="A140" i="16"/>
  <c r="B140" i="16"/>
  <c r="C140" i="16"/>
  <c r="D140" i="16"/>
  <c r="F140" i="16"/>
  <c r="A141" i="16"/>
  <c r="B141" i="16"/>
  <c r="C141" i="16"/>
  <c r="D141" i="16"/>
  <c r="F141" i="16"/>
  <c r="A142" i="16"/>
  <c r="B142" i="16"/>
  <c r="C142" i="16"/>
  <c r="D142" i="16"/>
  <c r="F142" i="16"/>
  <c r="A143" i="16"/>
  <c r="B143" i="16"/>
  <c r="C143" i="16"/>
  <c r="D143" i="16"/>
  <c r="F143" i="16"/>
  <c r="A144" i="16"/>
  <c r="B144" i="16"/>
  <c r="C144" i="16"/>
  <c r="D144" i="16"/>
  <c r="F144" i="16"/>
  <c r="A145" i="16"/>
  <c r="B145" i="16"/>
  <c r="C145" i="16"/>
  <c r="D145" i="16"/>
  <c r="F145" i="16"/>
  <c r="A94" i="16"/>
  <c r="B94" i="16"/>
  <c r="C94" i="16"/>
  <c r="D94" i="16"/>
  <c r="F94" i="16"/>
  <c r="A95" i="16"/>
  <c r="B95" i="16"/>
  <c r="C95" i="16"/>
  <c r="D95" i="16"/>
  <c r="F95" i="16"/>
  <c r="A96" i="16"/>
  <c r="B96" i="16"/>
  <c r="C96" i="16"/>
  <c r="D96" i="16"/>
  <c r="F96" i="16"/>
  <c r="A97" i="16"/>
  <c r="B97" i="16"/>
  <c r="C97" i="16"/>
  <c r="D97" i="16"/>
  <c r="F97" i="16"/>
  <c r="A98" i="16"/>
  <c r="B98" i="16"/>
  <c r="C98" i="16"/>
  <c r="D98" i="16"/>
  <c r="F98" i="16"/>
  <c r="A99" i="16"/>
  <c r="B99" i="16"/>
  <c r="C99" i="16"/>
  <c r="D99" i="16"/>
  <c r="F99" i="16"/>
  <c r="A100" i="16"/>
  <c r="B100" i="16"/>
  <c r="C100" i="16"/>
  <c r="D100" i="16"/>
  <c r="F100" i="16"/>
  <c r="A101" i="16"/>
  <c r="B101" i="16"/>
  <c r="C101" i="16"/>
  <c r="D101" i="16"/>
  <c r="F101" i="16"/>
  <c r="A102" i="16"/>
  <c r="B102" i="16"/>
  <c r="C102" i="16"/>
  <c r="D102" i="16"/>
  <c r="F102" i="16"/>
  <c r="A103" i="16"/>
  <c r="B103" i="16"/>
  <c r="C103" i="16"/>
  <c r="D103" i="16"/>
  <c r="F103" i="16"/>
  <c r="A104" i="16"/>
  <c r="B104" i="16"/>
  <c r="C104" i="16"/>
  <c r="D104" i="16"/>
  <c r="F104" i="16"/>
  <c r="A105" i="16"/>
  <c r="B105" i="16"/>
  <c r="C105" i="16"/>
  <c r="D105" i="16"/>
  <c r="F105" i="16"/>
  <c r="A106" i="16"/>
  <c r="B106" i="16"/>
  <c r="C106" i="16"/>
  <c r="D106" i="16"/>
  <c r="F106" i="16"/>
  <c r="A107" i="16"/>
  <c r="B107" i="16"/>
  <c r="C107" i="16"/>
  <c r="D107" i="16"/>
  <c r="F107" i="16"/>
  <c r="A108" i="16"/>
  <c r="B108" i="16"/>
  <c r="C108" i="16"/>
  <c r="D108" i="16"/>
  <c r="F108" i="16"/>
  <c r="A109" i="16"/>
  <c r="B109" i="16"/>
  <c r="C109" i="16"/>
  <c r="D109" i="16"/>
  <c r="F109" i="16"/>
  <c r="A110" i="16"/>
  <c r="B110" i="16"/>
  <c r="C110" i="16"/>
  <c r="D110" i="16"/>
  <c r="F110" i="16"/>
  <c r="A111" i="16"/>
  <c r="B111" i="16"/>
  <c r="C111" i="16"/>
  <c r="D111" i="16"/>
  <c r="F111" i="16"/>
  <c r="A112" i="16"/>
  <c r="B112" i="16"/>
  <c r="C112" i="16"/>
  <c r="D112" i="16"/>
  <c r="F112" i="16"/>
  <c r="A113" i="16"/>
  <c r="B113" i="16"/>
  <c r="C113" i="16"/>
  <c r="D113" i="16"/>
  <c r="F113" i="16"/>
  <c r="A114" i="16"/>
  <c r="B114" i="16"/>
  <c r="C114" i="16"/>
  <c r="D114" i="16"/>
  <c r="F114" i="16"/>
  <c r="A115" i="16"/>
  <c r="B115" i="16"/>
  <c r="C115" i="16"/>
  <c r="D115" i="16"/>
  <c r="F115" i="16"/>
  <c r="A116" i="16"/>
  <c r="B116" i="16"/>
  <c r="C116" i="16"/>
  <c r="D116" i="16"/>
  <c r="F116" i="16"/>
  <c r="A117" i="16"/>
  <c r="B117" i="16"/>
  <c r="C117" i="16"/>
  <c r="D117" i="16"/>
  <c r="F117" i="16"/>
  <c r="A118" i="16"/>
  <c r="B118" i="16"/>
  <c r="C118" i="16"/>
  <c r="D118" i="16"/>
  <c r="F118" i="16"/>
  <c r="A119" i="16"/>
  <c r="B119" i="16"/>
  <c r="C119" i="16"/>
  <c r="D119" i="16"/>
  <c r="F119" i="16"/>
  <c r="A120" i="16"/>
  <c r="B120" i="16"/>
  <c r="C120" i="16"/>
  <c r="D120" i="16"/>
  <c r="F120" i="16"/>
  <c r="A121" i="16"/>
  <c r="B121" i="16"/>
  <c r="C121" i="16"/>
  <c r="D121" i="16"/>
  <c r="F121" i="16"/>
  <c r="A122" i="16"/>
  <c r="B122" i="16"/>
  <c r="C122" i="16"/>
  <c r="D122" i="16"/>
  <c r="F122" i="16"/>
  <c r="A123" i="16"/>
  <c r="B123" i="16"/>
  <c r="C123" i="16"/>
  <c r="D123" i="16"/>
  <c r="F123" i="16"/>
  <c r="A65" i="16"/>
  <c r="B65" i="16"/>
  <c r="C65" i="16"/>
  <c r="D65" i="16"/>
  <c r="F65" i="16"/>
  <c r="A66" i="16"/>
  <c r="B66" i="16"/>
  <c r="C66" i="16"/>
  <c r="D66" i="16"/>
  <c r="F66" i="16"/>
  <c r="A67" i="16"/>
  <c r="B67" i="16"/>
  <c r="C67" i="16"/>
  <c r="D67" i="16"/>
  <c r="F67" i="16"/>
  <c r="A68" i="16"/>
  <c r="B68" i="16"/>
  <c r="C68" i="16"/>
  <c r="D68" i="16"/>
  <c r="F68" i="16"/>
  <c r="A69" i="16"/>
  <c r="B69" i="16"/>
  <c r="C69" i="16"/>
  <c r="D69" i="16"/>
  <c r="F69" i="16"/>
  <c r="A70" i="16"/>
  <c r="B70" i="16"/>
  <c r="C70" i="16"/>
  <c r="D70" i="16"/>
  <c r="F70" i="16"/>
  <c r="A71" i="16"/>
  <c r="B71" i="16"/>
  <c r="C71" i="16"/>
  <c r="D71" i="16"/>
  <c r="F71" i="16"/>
  <c r="A72" i="16"/>
  <c r="B72" i="16"/>
  <c r="C72" i="16"/>
  <c r="D72" i="16"/>
  <c r="F72" i="16"/>
  <c r="A73" i="16"/>
  <c r="B73" i="16"/>
  <c r="C73" i="16"/>
  <c r="D73" i="16"/>
  <c r="F73" i="16"/>
  <c r="A74" i="16"/>
  <c r="B74" i="16"/>
  <c r="C74" i="16"/>
  <c r="D74" i="16"/>
  <c r="F74" i="16"/>
  <c r="A75" i="16"/>
  <c r="B75" i="16"/>
  <c r="C75" i="16"/>
  <c r="D75" i="16"/>
  <c r="F75" i="16"/>
  <c r="A76" i="16"/>
  <c r="B76" i="16"/>
  <c r="C76" i="16"/>
  <c r="D76" i="16"/>
  <c r="F76" i="16"/>
  <c r="A77" i="16"/>
  <c r="B77" i="16"/>
  <c r="C77" i="16"/>
  <c r="D77" i="16"/>
  <c r="F77" i="16"/>
  <c r="A78" i="16"/>
  <c r="B78" i="16"/>
  <c r="C78" i="16"/>
  <c r="D78" i="16"/>
  <c r="F78" i="16"/>
  <c r="A79" i="16"/>
  <c r="B79" i="16"/>
  <c r="C79" i="16"/>
  <c r="D79" i="16"/>
  <c r="F79" i="16"/>
  <c r="A80" i="16"/>
  <c r="B80" i="16"/>
  <c r="C80" i="16"/>
  <c r="D80" i="16"/>
  <c r="F80" i="16"/>
  <c r="A81" i="16"/>
  <c r="B81" i="16"/>
  <c r="C81" i="16"/>
  <c r="D81" i="16"/>
  <c r="F81" i="16"/>
  <c r="A82" i="16"/>
  <c r="B82" i="16"/>
  <c r="C82" i="16"/>
  <c r="D82" i="16"/>
  <c r="F82" i="16"/>
  <c r="A83" i="16"/>
  <c r="B83" i="16"/>
  <c r="C83" i="16"/>
  <c r="D83" i="16"/>
  <c r="F83" i="16"/>
  <c r="A84" i="16"/>
  <c r="B84" i="16"/>
  <c r="C84" i="16"/>
  <c r="D84" i="16"/>
  <c r="F84" i="16"/>
  <c r="A85" i="16"/>
  <c r="B85" i="16"/>
  <c r="C85" i="16"/>
  <c r="D85" i="16"/>
  <c r="F85" i="16"/>
  <c r="A86" i="16"/>
  <c r="B86" i="16"/>
  <c r="C86" i="16"/>
  <c r="D86" i="16"/>
  <c r="F86" i="16"/>
  <c r="A87" i="16"/>
  <c r="B87" i="16"/>
  <c r="C87" i="16"/>
  <c r="D87" i="16"/>
  <c r="F87" i="16"/>
  <c r="A88" i="16"/>
  <c r="B88" i="16"/>
  <c r="C88" i="16"/>
  <c r="D88" i="16"/>
  <c r="F88" i="16"/>
  <c r="A89" i="16"/>
  <c r="B89" i="16"/>
  <c r="C89" i="16"/>
  <c r="D89" i="16"/>
  <c r="F89" i="16"/>
  <c r="A90" i="16"/>
  <c r="B90" i="16"/>
  <c r="C90" i="16"/>
  <c r="D90" i="16"/>
  <c r="F90" i="16"/>
  <c r="A91" i="16"/>
  <c r="B91" i="16"/>
  <c r="C91" i="16"/>
  <c r="D91" i="16"/>
  <c r="F91" i="16"/>
  <c r="A92" i="16"/>
  <c r="B92" i="16"/>
  <c r="C92" i="16"/>
  <c r="D92" i="16"/>
  <c r="F92" i="16"/>
  <c r="A93" i="16"/>
  <c r="B93" i="16"/>
  <c r="C93" i="16"/>
  <c r="D93" i="16"/>
  <c r="F93" i="16"/>
  <c r="A3" i="16"/>
  <c r="B3" i="16"/>
  <c r="C3" i="16"/>
  <c r="D3" i="16"/>
  <c r="A4" i="16"/>
  <c r="B4" i="16"/>
  <c r="C4" i="16"/>
  <c r="D4" i="16"/>
  <c r="A5" i="16"/>
  <c r="B5" i="16"/>
  <c r="C5" i="16"/>
  <c r="D5" i="16"/>
  <c r="A6" i="16"/>
  <c r="B6" i="16"/>
  <c r="C6" i="16"/>
  <c r="D6" i="16"/>
  <c r="A7" i="16"/>
  <c r="B7" i="16"/>
  <c r="C7" i="16"/>
  <c r="D7" i="16"/>
  <c r="A8" i="16"/>
  <c r="B8" i="16"/>
  <c r="C8" i="16"/>
  <c r="D8" i="16"/>
  <c r="A9" i="16"/>
  <c r="B9" i="16"/>
  <c r="C9" i="16"/>
  <c r="D9" i="16"/>
  <c r="A10" i="16"/>
  <c r="B10" i="16"/>
  <c r="C10" i="16"/>
  <c r="D10" i="16"/>
  <c r="A11" i="16"/>
  <c r="B11" i="16"/>
  <c r="C11" i="16"/>
  <c r="D11" i="16"/>
  <c r="A12" i="16"/>
  <c r="B12" i="16"/>
  <c r="C12" i="16"/>
  <c r="D12" i="16"/>
  <c r="A13" i="16"/>
  <c r="B13" i="16"/>
  <c r="C13" i="16"/>
  <c r="D13" i="16"/>
  <c r="A14" i="16"/>
  <c r="B14" i="16"/>
  <c r="C14" i="16"/>
  <c r="D14" i="16"/>
  <c r="F14" i="16"/>
  <c r="A15" i="16"/>
  <c r="B15" i="16"/>
  <c r="C15" i="16"/>
  <c r="D15" i="16"/>
  <c r="F15" i="16"/>
  <c r="A16" i="16"/>
  <c r="B16" i="16"/>
  <c r="C16" i="16"/>
  <c r="D16" i="16"/>
  <c r="F16" i="16"/>
  <c r="A17" i="16"/>
  <c r="B17" i="16"/>
  <c r="C17" i="16"/>
  <c r="D17" i="16"/>
  <c r="F17" i="16"/>
  <c r="A18" i="16"/>
  <c r="B18" i="16"/>
  <c r="C18" i="16"/>
  <c r="D18" i="16"/>
  <c r="F18" i="16"/>
  <c r="A19" i="16"/>
  <c r="B19" i="16"/>
  <c r="C19" i="16"/>
  <c r="D19" i="16"/>
  <c r="F19" i="16"/>
  <c r="A20" i="16"/>
  <c r="B20" i="16"/>
  <c r="C20" i="16"/>
  <c r="D20" i="16"/>
  <c r="F20" i="16"/>
  <c r="A21" i="16"/>
  <c r="B21" i="16"/>
  <c r="C21" i="16"/>
  <c r="D21" i="16"/>
  <c r="F21" i="16"/>
  <c r="A22" i="16"/>
  <c r="B22" i="16"/>
  <c r="C22" i="16"/>
  <c r="D22" i="16"/>
  <c r="F22" i="16"/>
  <c r="A23" i="16"/>
  <c r="B23" i="16"/>
  <c r="C23" i="16"/>
  <c r="D23" i="16"/>
  <c r="F23" i="16"/>
  <c r="A24" i="16"/>
  <c r="B24" i="16"/>
  <c r="C24" i="16"/>
  <c r="D24" i="16"/>
  <c r="F24" i="16"/>
  <c r="A25" i="16"/>
  <c r="B25" i="16"/>
  <c r="C25" i="16"/>
  <c r="D25" i="16"/>
  <c r="F25" i="16"/>
  <c r="A26" i="16"/>
  <c r="B26" i="16"/>
  <c r="C26" i="16"/>
  <c r="D26" i="16"/>
  <c r="F26" i="16"/>
  <c r="A27" i="16"/>
  <c r="B27" i="16"/>
  <c r="C27" i="16"/>
  <c r="D27" i="16"/>
  <c r="F27" i="16"/>
  <c r="A28" i="16"/>
  <c r="B28" i="16"/>
  <c r="C28" i="16"/>
  <c r="D28" i="16"/>
  <c r="F28" i="16"/>
  <c r="A29" i="16"/>
  <c r="B29" i="16"/>
  <c r="C29" i="16"/>
  <c r="D29" i="16"/>
  <c r="F29" i="16"/>
  <c r="A30" i="16"/>
  <c r="B30" i="16"/>
  <c r="C30" i="16"/>
  <c r="D30" i="16"/>
  <c r="F30" i="16"/>
  <c r="A31" i="16"/>
  <c r="B31" i="16"/>
  <c r="C31" i="16"/>
  <c r="D31" i="16"/>
  <c r="F31" i="16"/>
  <c r="A32" i="16"/>
  <c r="B32" i="16"/>
  <c r="C32" i="16"/>
  <c r="D32" i="16"/>
  <c r="F32" i="16"/>
  <c r="A33" i="16"/>
  <c r="B33" i="16"/>
  <c r="C33" i="16"/>
  <c r="D33" i="16"/>
  <c r="F33" i="16"/>
  <c r="A34" i="16"/>
  <c r="B34" i="16"/>
  <c r="C34" i="16"/>
  <c r="D34" i="16"/>
  <c r="F34" i="16"/>
  <c r="A35" i="16"/>
  <c r="B35" i="16"/>
  <c r="C35" i="16"/>
  <c r="D35" i="16"/>
  <c r="F35" i="16"/>
  <c r="A36" i="16"/>
  <c r="B36" i="16"/>
  <c r="C36" i="16"/>
  <c r="D36" i="16"/>
  <c r="F36" i="16"/>
  <c r="A37" i="16"/>
  <c r="B37" i="16"/>
  <c r="C37" i="16"/>
  <c r="D37" i="16"/>
  <c r="F37" i="16"/>
  <c r="A38" i="16"/>
  <c r="B38" i="16"/>
  <c r="C38" i="16"/>
  <c r="D38" i="16"/>
  <c r="F38" i="16"/>
  <c r="A39" i="16"/>
  <c r="B39" i="16"/>
  <c r="C39" i="16"/>
  <c r="D39" i="16"/>
  <c r="F39" i="16"/>
  <c r="A40" i="16"/>
  <c r="B40" i="16"/>
  <c r="C40" i="16"/>
  <c r="D40" i="16"/>
  <c r="F40" i="16"/>
  <c r="A41" i="16"/>
  <c r="B41" i="16"/>
  <c r="C41" i="16"/>
  <c r="D41" i="16"/>
  <c r="F41" i="16"/>
  <c r="A42" i="16"/>
  <c r="B42" i="16"/>
  <c r="C42" i="16"/>
  <c r="D42" i="16"/>
  <c r="F42" i="16"/>
  <c r="A43" i="16"/>
  <c r="B43" i="16"/>
  <c r="C43" i="16"/>
  <c r="D43" i="16"/>
  <c r="F43" i="16"/>
  <c r="A44" i="16"/>
  <c r="B44" i="16"/>
  <c r="C44" i="16"/>
  <c r="D44" i="16"/>
  <c r="F44" i="16"/>
  <c r="A45" i="16"/>
  <c r="B45" i="16"/>
  <c r="C45" i="16"/>
  <c r="D45" i="16"/>
  <c r="F45" i="16"/>
  <c r="A46" i="16"/>
  <c r="B46" i="16"/>
  <c r="C46" i="16"/>
  <c r="D46" i="16"/>
  <c r="F46" i="16"/>
  <c r="A47" i="16"/>
  <c r="B47" i="16"/>
  <c r="C47" i="16"/>
  <c r="D47" i="16"/>
  <c r="F47" i="16"/>
  <c r="A48" i="16"/>
  <c r="B48" i="16"/>
  <c r="C48" i="16"/>
  <c r="D48" i="16"/>
  <c r="F48" i="16"/>
  <c r="A49" i="16"/>
  <c r="B49" i="16"/>
  <c r="C49" i="16"/>
  <c r="D49" i="16"/>
  <c r="F49" i="16"/>
  <c r="A50" i="16"/>
  <c r="B50" i="16"/>
  <c r="C50" i="16"/>
  <c r="D50" i="16"/>
  <c r="F50" i="16"/>
  <c r="A51" i="16"/>
  <c r="B51" i="16"/>
  <c r="C51" i="16"/>
  <c r="D51" i="16"/>
  <c r="F51" i="16"/>
  <c r="A52" i="16"/>
  <c r="B52" i="16"/>
  <c r="C52" i="16"/>
  <c r="D52" i="16"/>
  <c r="F52" i="16"/>
  <c r="A53" i="16"/>
  <c r="B53" i="16"/>
  <c r="C53" i="16"/>
  <c r="D53" i="16"/>
  <c r="F53" i="16"/>
  <c r="A54" i="16"/>
  <c r="B54" i="16"/>
  <c r="C54" i="16"/>
  <c r="D54" i="16"/>
  <c r="F54" i="16"/>
  <c r="A55" i="16"/>
  <c r="B55" i="16"/>
  <c r="C55" i="16"/>
  <c r="D55" i="16"/>
  <c r="F55" i="16"/>
  <c r="A56" i="16"/>
  <c r="B56" i="16"/>
  <c r="C56" i="16"/>
  <c r="D56" i="16"/>
  <c r="F56" i="16"/>
  <c r="A57" i="16"/>
  <c r="B57" i="16"/>
  <c r="C57" i="16"/>
  <c r="D57" i="16"/>
  <c r="F57" i="16"/>
  <c r="A58" i="16"/>
  <c r="B58" i="16"/>
  <c r="C58" i="16"/>
  <c r="D58" i="16"/>
  <c r="F58" i="16"/>
  <c r="A59" i="16"/>
  <c r="B59" i="16"/>
  <c r="C59" i="16"/>
  <c r="D59" i="16"/>
  <c r="F59" i="16"/>
  <c r="A60" i="16"/>
  <c r="B60" i="16"/>
  <c r="C60" i="16"/>
  <c r="D60" i="16"/>
  <c r="F60" i="16"/>
  <c r="A61" i="16"/>
  <c r="B61" i="16"/>
  <c r="C61" i="16"/>
  <c r="D61" i="16"/>
  <c r="F61" i="16"/>
  <c r="A62" i="16"/>
  <c r="B62" i="16"/>
  <c r="C62" i="16"/>
  <c r="D62" i="16"/>
  <c r="F62" i="16"/>
  <c r="A63" i="16"/>
  <c r="B63" i="16"/>
  <c r="C63" i="16"/>
  <c r="D63" i="16"/>
  <c r="F63" i="16"/>
  <c r="A64" i="16"/>
  <c r="B64" i="16"/>
  <c r="C64" i="16"/>
  <c r="D64" i="16"/>
  <c r="F64" i="16"/>
  <c r="D2" i="16"/>
  <c r="C2" i="16"/>
  <c r="B2" i="16"/>
  <c r="A2" i="16"/>
  <c r="I21" i="14" l="1"/>
  <c r="E20" i="13" s="1"/>
  <c r="F301" i="16" s="1"/>
  <c r="H21" i="14"/>
  <c r="F20" i="13" s="1"/>
  <c r="G21" i="14"/>
  <c r="D20" i="13" s="1"/>
  <c r="I20" i="14"/>
  <c r="E19" i="13" s="1"/>
  <c r="H20" i="14"/>
  <c r="F19" i="13" s="1"/>
  <c r="F156" i="16" s="1"/>
  <c r="G20" i="14"/>
  <c r="D19" i="13" s="1"/>
  <c r="I19" i="14"/>
  <c r="E18" i="13" s="1"/>
  <c r="H19" i="14"/>
  <c r="F18" i="13" s="1"/>
  <c r="F155" i="16" s="1"/>
  <c r="G19" i="14"/>
  <c r="D18" i="13" s="1"/>
  <c r="I17" i="14"/>
  <c r="E17" i="13" s="1"/>
  <c r="H17" i="14"/>
  <c r="F17" i="13" s="1"/>
  <c r="G17" i="14"/>
  <c r="D17" i="13" s="1"/>
  <c r="I16" i="14"/>
  <c r="E16" i="13" s="1"/>
  <c r="F297" i="16" s="1"/>
  <c r="H16" i="14"/>
  <c r="F16" i="13" s="1"/>
  <c r="G16" i="14"/>
  <c r="D16" i="13" s="1"/>
  <c r="I15" i="14"/>
  <c r="E15" i="13" s="1"/>
  <c r="F296" i="16" s="1"/>
  <c r="H15" i="14"/>
  <c r="F15" i="13" s="1"/>
  <c r="G15" i="14"/>
  <c r="D15" i="13" s="1"/>
  <c r="I13" i="14"/>
  <c r="E14" i="13" s="1"/>
  <c r="F295" i="16" s="1"/>
  <c r="H13" i="14"/>
  <c r="F14" i="13" s="1"/>
  <c r="G13" i="14"/>
  <c r="D14" i="13" s="1"/>
  <c r="E16" i="15" s="1"/>
  <c r="F7" i="16" s="1"/>
  <c r="I12" i="14"/>
  <c r="E13" i="13" s="1"/>
  <c r="H12" i="14"/>
  <c r="F13" i="13" s="1"/>
  <c r="G12" i="14"/>
  <c r="D13" i="13" s="1"/>
  <c r="E15" i="15" s="1"/>
  <c r="F6" i="16" s="1"/>
  <c r="I11" i="14"/>
  <c r="E12" i="13" s="1"/>
  <c r="H11" i="14"/>
  <c r="F12" i="13" s="1"/>
  <c r="G11" i="14"/>
  <c r="D12" i="13" s="1"/>
  <c r="I9" i="14"/>
  <c r="E11" i="13" s="1"/>
  <c r="H9" i="14"/>
  <c r="F11" i="13" s="1"/>
  <c r="F148" i="16" s="1"/>
  <c r="G9" i="14"/>
  <c r="D11" i="13" s="1"/>
  <c r="I8" i="14"/>
  <c r="E10" i="13" s="1"/>
  <c r="H8" i="14"/>
  <c r="F10" i="13" s="1"/>
  <c r="F147" i="16" s="1"/>
  <c r="G8" i="14"/>
  <c r="D10" i="13" s="1"/>
  <c r="I7" i="14"/>
  <c r="E9" i="13" s="1"/>
  <c r="H7" i="14"/>
  <c r="F9" i="13" s="1"/>
  <c r="G7" i="14"/>
  <c r="D9" i="13" s="1"/>
  <c r="I4" i="14"/>
  <c r="H4" i="14"/>
  <c r="G4" i="14"/>
  <c r="F146" i="16" l="1"/>
  <c r="E9" i="1"/>
  <c r="E14" i="15"/>
  <c r="F5" i="16" s="1"/>
  <c r="D12" i="1"/>
  <c r="F154" i="16"/>
  <c r="E17" i="1"/>
  <c r="E18" i="1"/>
  <c r="F14" i="1"/>
  <c r="F291" i="16"/>
  <c r="F10" i="1"/>
  <c r="E18" i="15"/>
  <c r="F9" i="16" s="1"/>
  <c r="D16" i="1"/>
  <c r="F299" i="16"/>
  <c r="F18" i="1"/>
  <c r="E13" i="15"/>
  <c r="F4" i="16" s="1"/>
  <c r="D11" i="1"/>
  <c r="F294" i="16"/>
  <c r="F13" i="1"/>
  <c r="F153" i="16"/>
  <c r="E16" i="1"/>
  <c r="E21" i="15"/>
  <c r="F12" i="16" s="1"/>
  <c r="D19" i="1"/>
  <c r="F150" i="16"/>
  <c r="E13" i="1"/>
  <c r="E11" i="15"/>
  <c r="F2" i="16" s="1"/>
  <c r="D9" i="1"/>
  <c r="F151" i="16"/>
  <c r="E14" i="1"/>
  <c r="F300" i="16"/>
  <c r="F19" i="1"/>
  <c r="E22" i="15"/>
  <c r="F13" i="16" s="1"/>
  <c r="D20" i="1"/>
  <c r="F292" i="16"/>
  <c r="F11" i="1"/>
  <c r="E19" i="15"/>
  <c r="F10" i="16" s="1"/>
  <c r="D17" i="1"/>
  <c r="F290" i="16"/>
  <c r="F9" i="1"/>
  <c r="F149" i="16"/>
  <c r="E12" i="1"/>
  <c r="E17" i="15"/>
  <c r="F8" i="16" s="1"/>
  <c r="D15" i="1"/>
  <c r="F298" i="16"/>
  <c r="F17" i="1"/>
  <c r="F157" i="16"/>
  <c r="E20" i="1"/>
  <c r="E12" i="15"/>
  <c r="F3" i="16" s="1"/>
  <c r="D10" i="1"/>
  <c r="F293" i="16"/>
  <c r="F12" i="1"/>
  <c r="F152" i="16"/>
  <c r="E15" i="1"/>
  <c r="E20" i="15"/>
  <c r="F11" i="16" s="1"/>
  <c r="D18" i="1"/>
  <c r="F15" i="1"/>
  <c r="D13" i="1"/>
  <c r="E10" i="1"/>
  <c r="F20" i="1"/>
  <c r="E19" i="1"/>
  <c r="F16" i="1"/>
  <c r="D14" i="1"/>
  <c r="E11" i="1"/>
  <c r="E36" i="13"/>
  <c r="F40" i="13"/>
  <c r="E40" i="13"/>
  <c r="E44" i="13"/>
  <c r="E48" i="13"/>
  <c r="F52" i="13"/>
  <c r="E52" i="13"/>
  <c r="E56" i="13"/>
  <c r="F60" i="13"/>
  <c r="F64" i="13"/>
  <c r="E64" i="13"/>
  <c r="F68" i="13"/>
  <c r="F72" i="13"/>
  <c r="E72" i="13"/>
  <c r="F76" i="13"/>
  <c r="E76" i="13"/>
  <c r="F80" i="13"/>
  <c r="E80" i="13"/>
  <c r="E93" i="13"/>
  <c r="F94" i="13"/>
  <c r="E94" i="13"/>
  <c r="F98" i="13"/>
  <c r="E98" i="13"/>
  <c r="E101" i="13"/>
  <c r="F102" i="13"/>
  <c r="E102" i="13"/>
  <c r="E105" i="13"/>
  <c r="F106" i="13"/>
  <c r="E106" i="13"/>
  <c r="E109" i="13"/>
  <c r="E110" i="13"/>
  <c r="E113" i="13"/>
  <c r="F114" i="13"/>
  <c r="E114" i="13"/>
  <c r="D112" i="13"/>
  <c r="D113" i="13"/>
  <c r="D104" i="13"/>
  <c r="D100" i="13"/>
  <c r="D101" i="13"/>
  <c r="D85" i="13"/>
  <c r="D79" i="13"/>
  <c r="D80" i="13"/>
  <c r="D71" i="13"/>
  <c r="D67" i="13"/>
  <c r="D59" i="13"/>
  <c r="D55" i="13"/>
  <c r="D47" i="13"/>
  <c r="D34" i="13"/>
  <c r="D38" i="13"/>
  <c r="D105" i="13"/>
  <c r="D99" i="13"/>
  <c r="D102" i="13"/>
  <c r="D90" i="13"/>
  <c r="D45" i="13"/>
  <c r="D33" i="13"/>
  <c r="D31" i="13"/>
  <c r="E30" i="13"/>
  <c r="D30" i="13"/>
  <c r="F27" i="13"/>
  <c r="E27" i="13"/>
  <c r="E26" i="13"/>
  <c r="F24" i="13"/>
  <c r="F23" i="13"/>
  <c r="I21" i="5"/>
  <c r="E116" i="13" s="1"/>
  <c r="H21" i="5"/>
  <c r="F116" i="13" s="1"/>
  <c r="G21" i="5"/>
  <c r="D116" i="13" s="1"/>
  <c r="I20" i="5"/>
  <c r="E115" i="13" s="1"/>
  <c r="H20" i="5"/>
  <c r="F115" i="13" s="1"/>
  <c r="G20" i="5"/>
  <c r="D115" i="13" s="1"/>
  <c r="I19" i="5"/>
  <c r="H19" i="5"/>
  <c r="G19" i="5"/>
  <c r="D114" i="13" s="1"/>
  <c r="I17" i="5"/>
  <c r="H17" i="5"/>
  <c r="F113" i="13" s="1"/>
  <c r="G17" i="5"/>
  <c r="I16" i="5"/>
  <c r="E112" i="13" s="1"/>
  <c r="H16" i="5"/>
  <c r="F112" i="13" s="1"/>
  <c r="G16" i="5"/>
  <c r="I15" i="5"/>
  <c r="E111" i="13" s="1"/>
  <c r="H15" i="5"/>
  <c r="F111" i="13" s="1"/>
  <c r="G15" i="5"/>
  <c r="D111" i="13" s="1"/>
  <c r="I13" i="5"/>
  <c r="H13" i="5"/>
  <c r="F110" i="13" s="1"/>
  <c r="G13" i="5"/>
  <c r="D110" i="13" s="1"/>
  <c r="I12" i="5"/>
  <c r="H12" i="5"/>
  <c r="F109" i="13" s="1"/>
  <c r="G12" i="5"/>
  <c r="D109" i="13" s="1"/>
  <c r="I11" i="5"/>
  <c r="E108" i="13" s="1"/>
  <c r="H11" i="5"/>
  <c r="F108" i="13" s="1"/>
  <c r="G11" i="5"/>
  <c r="D108" i="13" s="1"/>
  <c r="I9" i="5"/>
  <c r="E107" i="13" s="1"/>
  <c r="H9" i="5"/>
  <c r="F107" i="13" s="1"/>
  <c r="G9" i="5"/>
  <c r="D107" i="13" s="1"/>
  <c r="I8" i="5"/>
  <c r="H8" i="5"/>
  <c r="G8" i="5"/>
  <c r="D106" i="13" s="1"/>
  <c r="I7" i="5"/>
  <c r="H7" i="5"/>
  <c r="F105" i="13" s="1"/>
  <c r="G7" i="5"/>
  <c r="I4" i="5"/>
  <c r="H4" i="5"/>
  <c r="G4" i="5"/>
  <c r="I21" i="6"/>
  <c r="E104" i="13" s="1"/>
  <c r="H21" i="6"/>
  <c r="F104" i="13" s="1"/>
  <c r="G21" i="6"/>
  <c r="I20" i="6"/>
  <c r="E103" i="13" s="1"/>
  <c r="H20" i="6"/>
  <c r="F103" i="13" s="1"/>
  <c r="G20" i="6"/>
  <c r="D103" i="13" s="1"/>
  <c r="I19" i="6"/>
  <c r="H19" i="6"/>
  <c r="G19" i="6"/>
  <c r="I17" i="6"/>
  <c r="H17" i="6"/>
  <c r="F101" i="13" s="1"/>
  <c r="G17" i="6"/>
  <c r="I16" i="6"/>
  <c r="E100" i="13" s="1"/>
  <c r="H16" i="6"/>
  <c r="F100" i="13" s="1"/>
  <c r="G16" i="6"/>
  <c r="I15" i="6"/>
  <c r="E99" i="13" s="1"/>
  <c r="H15" i="6"/>
  <c r="F99" i="13" s="1"/>
  <c r="G15" i="6"/>
  <c r="I13" i="6"/>
  <c r="H13" i="6"/>
  <c r="G13" i="6"/>
  <c r="D98" i="13" s="1"/>
  <c r="I12" i="6"/>
  <c r="E97" i="13" s="1"/>
  <c r="H12" i="6"/>
  <c r="F97" i="13" s="1"/>
  <c r="G12" i="6"/>
  <c r="D97" i="13" s="1"/>
  <c r="I11" i="6"/>
  <c r="E96" i="13" s="1"/>
  <c r="H11" i="6"/>
  <c r="F96" i="13" s="1"/>
  <c r="G11" i="6"/>
  <c r="D96" i="13" s="1"/>
  <c r="I9" i="6"/>
  <c r="E95" i="13" s="1"/>
  <c r="H9" i="6"/>
  <c r="F95" i="13" s="1"/>
  <c r="G9" i="6"/>
  <c r="D95" i="13" s="1"/>
  <c r="I8" i="6"/>
  <c r="H8" i="6"/>
  <c r="G8" i="6"/>
  <c r="D94" i="13" s="1"/>
  <c r="I7" i="6"/>
  <c r="H7" i="6"/>
  <c r="F93" i="13" s="1"/>
  <c r="G7" i="6"/>
  <c r="D93" i="13" s="1"/>
  <c r="I4" i="6"/>
  <c r="H4" i="6"/>
  <c r="G4" i="6"/>
  <c r="I21" i="7"/>
  <c r="E92" i="13" s="1"/>
  <c r="H21" i="7"/>
  <c r="F92" i="13" s="1"/>
  <c r="G21" i="7"/>
  <c r="D92" i="13" s="1"/>
  <c r="I20" i="7"/>
  <c r="E91" i="13" s="1"/>
  <c r="H20" i="7"/>
  <c r="F91" i="13" s="1"/>
  <c r="G20" i="7"/>
  <c r="D91" i="13" s="1"/>
  <c r="I19" i="7"/>
  <c r="E90" i="13" s="1"/>
  <c r="H19" i="7"/>
  <c r="F90" i="13" s="1"/>
  <c r="G19" i="7"/>
  <c r="I17" i="7"/>
  <c r="E89" i="13" s="1"/>
  <c r="H17" i="7"/>
  <c r="F89" i="13" s="1"/>
  <c r="G17" i="7"/>
  <c r="D89" i="13" s="1"/>
  <c r="I16" i="7"/>
  <c r="E88" i="13" s="1"/>
  <c r="H16" i="7"/>
  <c r="F88" i="13" s="1"/>
  <c r="G16" i="7"/>
  <c r="D88" i="13" s="1"/>
  <c r="I15" i="7"/>
  <c r="E87" i="13" s="1"/>
  <c r="H15" i="7"/>
  <c r="F87" i="13" s="1"/>
  <c r="G15" i="7"/>
  <c r="D87" i="13" s="1"/>
  <c r="I13" i="7"/>
  <c r="E86" i="13" s="1"/>
  <c r="H13" i="7"/>
  <c r="F86" i="13" s="1"/>
  <c r="G13" i="7"/>
  <c r="D86" i="13" s="1"/>
  <c r="I12" i="7"/>
  <c r="E85" i="13" s="1"/>
  <c r="H12" i="7"/>
  <c r="F85" i="13" s="1"/>
  <c r="G12" i="7"/>
  <c r="I11" i="7"/>
  <c r="E84" i="13" s="1"/>
  <c r="H11" i="7"/>
  <c r="F84" i="13" s="1"/>
  <c r="G11" i="7"/>
  <c r="D84" i="13" s="1"/>
  <c r="I9" i="7"/>
  <c r="E83" i="13" s="1"/>
  <c r="H9" i="7"/>
  <c r="F83" i="13" s="1"/>
  <c r="G9" i="7"/>
  <c r="D83" i="13" s="1"/>
  <c r="I8" i="7"/>
  <c r="E82" i="13" s="1"/>
  <c r="H8" i="7"/>
  <c r="F82" i="13" s="1"/>
  <c r="G8" i="7"/>
  <c r="D82" i="13" s="1"/>
  <c r="I7" i="7"/>
  <c r="E81" i="13" s="1"/>
  <c r="H7" i="7"/>
  <c r="F81" i="13" s="1"/>
  <c r="G7" i="7"/>
  <c r="D81" i="13" s="1"/>
  <c r="I4" i="7"/>
  <c r="H4" i="7"/>
  <c r="G4" i="7"/>
  <c r="I21" i="8"/>
  <c r="H21" i="8"/>
  <c r="G21" i="8"/>
  <c r="I20" i="8"/>
  <c r="E79" i="13" s="1"/>
  <c r="H20" i="8"/>
  <c r="F79" i="13" s="1"/>
  <c r="G20" i="8"/>
  <c r="I19" i="8"/>
  <c r="E78" i="13" s="1"/>
  <c r="H19" i="8"/>
  <c r="F78" i="13" s="1"/>
  <c r="G19" i="8"/>
  <c r="D78" i="13" s="1"/>
  <c r="I17" i="8"/>
  <c r="E77" i="13" s="1"/>
  <c r="H17" i="8"/>
  <c r="F77" i="13" s="1"/>
  <c r="G17" i="8"/>
  <c r="D77" i="13" s="1"/>
  <c r="I16" i="8"/>
  <c r="H16" i="8"/>
  <c r="G16" i="8"/>
  <c r="D76" i="13" s="1"/>
  <c r="I15" i="8"/>
  <c r="E75" i="13" s="1"/>
  <c r="H15" i="8"/>
  <c r="F75" i="13" s="1"/>
  <c r="G15" i="8"/>
  <c r="D75" i="13" s="1"/>
  <c r="I13" i="8"/>
  <c r="E74" i="13" s="1"/>
  <c r="H13" i="8"/>
  <c r="F74" i="13" s="1"/>
  <c r="G13" i="8"/>
  <c r="D74" i="13" s="1"/>
  <c r="I12" i="8"/>
  <c r="E73" i="13" s="1"/>
  <c r="H12" i="8"/>
  <c r="F73" i="13" s="1"/>
  <c r="G12" i="8"/>
  <c r="D73" i="13" s="1"/>
  <c r="I11" i="8"/>
  <c r="H11" i="8"/>
  <c r="G11" i="8"/>
  <c r="D72" i="13" s="1"/>
  <c r="I9" i="8"/>
  <c r="E71" i="13" s="1"/>
  <c r="H9" i="8"/>
  <c r="F71" i="13" s="1"/>
  <c r="G9" i="8"/>
  <c r="I8" i="8"/>
  <c r="E70" i="13" s="1"/>
  <c r="H8" i="8"/>
  <c r="F70" i="13" s="1"/>
  <c r="G8" i="8"/>
  <c r="D70" i="13" s="1"/>
  <c r="I7" i="8"/>
  <c r="E69" i="13" s="1"/>
  <c r="H7" i="8"/>
  <c r="F69" i="13" s="1"/>
  <c r="G7" i="8"/>
  <c r="D69" i="13" s="1"/>
  <c r="I4" i="8"/>
  <c r="H4" i="8"/>
  <c r="G4" i="8"/>
  <c r="I21" i="9"/>
  <c r="E68" i="13" s="1"/>
  <c r="H21" i="9"/>
  <c r="G21" i="9"/>
  <c r="D68" i="13" s="1"/>
  <c r="I20" i="9"/>
  <c r="E67" i="13" s="1"/>
  <c r="H20" i="9"/>
  <c r="F67" i="13" s="1"/>
  <c r="G20" i="9"/>
  <c r="I19" i="9"/>
  <c r="E66" i="13" s="1"/>
  <c r="H19" i="9"/>
  <c r="F66" i="13" s="1"/>
  <c r="G19" i="9"/>
  <c r="D66" i="13" s="1"/>
  <c r="I17" i="9"/>
  <c r="E65" i="13" s="1"/>
  <c r="H17" i="9"/>
  <c r="F65" i="13" s="1"/>
  <c r="G17" i="9"/>
  <c r="D65" i="13" s="1"/>
  <c r="I16" i="9"/>
  <c r="H16" i="9"/>
  <c r="G16" i="9"/>
  <c r="D64" i="13" s="1"/>
  <c r="I15" i="9"/>
  <c r="E63" i="13" s="1"/>
  <c r="H15" i="9"/>
  <c r="F63" i="13" s="1"/>
  <c r="G15" i="9"/>
  <c r="D63" i="13" s="1"/>
  <c r="I13" i="9"/>
  <c r="E62" i="13" s="1"/>
  <c r="H13" i="9"/>
  <c r="F62" i="13" s="1"/>
  <c r="G13" i="9"/>
  <c r="D62" i="13" s="1"/>
  <c r="I12" i="9"/>
  <c r="E61" i="13" s="1"/>
  <c r="H12" i="9"/>
  <c r="F61" i="13" s="1"/>
  <c r="G12" i="9"/>
  <c r="D61" i="13" s="1"/>
  <c r="I11" i="9"/>
  <c r="E60" i="13" s="1"/>
  <c r="H11" i="9"/>
  <c r="G11" i="9"/>
  <c r="D60" i="13" s="1"/>
  <c r="I9" i="9"/>
  <c r="E59" i="13" s="1"/>
  <c r="H9" i="9"/>
  <c r="F59" i="13" s="1"/>
  <c r="G9" i="9"/>
  <c r="I8" i="9"/>
  <c r="E58" i="13" s="1"/>
  <c r="H8" i="9"/>
  <c r="F58" i="13" s="1"/>
  <c r="G8" i="9"/>
  <c r="D58" i="13" s="1"/>
  <c r="I7" i="9"/>
  <c r="E57" i="13" s="1"/>
  <c r="H7" i="9"/>
  <c r="F57" i="13" s="1"/>
  <c r="G7" i="9"/>
  <c r="D57" i="13" s="1"/>
  <c r="I4" i="9"/>
  <c r="H4" i="9"/>
  <c r="G4" i="9"/>
  <c r="I21" i="10"/>
  <c r="H21" i="10"/>
  <c r="F56" i="13" s="1"/>
  <c r="G21" i="10"/>
  <c r="D56" i="13" s="1"/>
  <c r="I20" i="10"/>
  <c r="E55" i="13" s="1"/>
  <c r="H20" i="10"/>
  <c r="F55" i="13" s="1"/>
  <c r="G20" i="10"/>
  <c r="I19" i="10"/>
  <c r="E54" i="13" s="1"/>
  <c r="H19" i="10"/>
  <c r="F54" i="13" s="1"/>
  <c r="G19" i="10"/>
  <c r="D54" i="13" s="1"/>
  <c r="I17" i="10"/>
  <c r="E53" i="13" s="1"/>
  <c r="H17" i="10"/>
  <c r="F53" i="13" s="1"/>
  <c r="G17" i="10"/>
  <c r="D53" i="13" s="1"/>
  <c r="I16" i="10"/>
  <c r="H16" i="10"/>
  <c r="G16" i="10"/>
  <c r="D52" i="13" s="1"/>
  <c r="I15" i="10"/>
  <c r="E51" i="13" s="1"/>
  <c r="H15" i="10"/>
  <c r="F51" i="13" s="1"/>
  <c r="G15" i="10"/>
  <c r="D51" i="13" s="1"/>
  <c r="I13" i="10"/>
  <c r="E50" i="13" s="1"/>
  <c r="H13" i="10"/>
  <c r="F50" i="13" s="1"/>
  <c r="G13" i="10"/>
  <c r="D50" i="13" s="1"/>
  <c r="I12" i="10"/>
  <c r="E49" i="13" s="1"/>
  <c r="H12" i="10"/>
  <c r="F49" i="13" s="1"/>
  <c r="G12" i="10"/>
  <c r="D49" i="13" s="1"/>
  <c r="I11" i="10"/>
  <c r="H11" i="10"/>
  <c r="F48" i="13" s="1"/>
  <c r="G11" i="10"/>
  <c r="D48" i="13" s="1"/>
  <c r="I9" i="10"/>
  <c r="E47" i="13" s="1"/>
  <c r="H9" i="10"/>
  <c r="F47" i="13" s="1"/>
  <c r="G9" i="10"/>
  <c r="I8" i="10"/>
  <c r="E46" i="13" s="1"/>
  <c r="H8" i="10"/>
  <c r="F46" i="13" s="1"/>
  <c r="G8" i="10"/>
  <c r="D46" i="13" s="1"/>
  <c r="I7" i="10"/>
  <c r="E45" i="13" s="1"/>
  <c r="H7" i="10"/>
  <c r="F45" i="13" s="1"/>
  <c r="G7" i="10"/>
  <c r="I4" i="10"/>
  <c r="H4" i="10"/>
  <c r="G4" i="10"/>
  <c r="I21" i="11"/>
  <c r="H21" i="11"/>
  <c r="F44" i="13" s="1"/>
  <c r="G21" i="11"/>
  <c r="D44" i="13" s="1"/>
  <c r="I20" i="11"/>
  <c r="E43" i="13" s="1"/>
  <c r="H20" i="11"/>
  <c r="F43" i="13" s="1"/>
  <c r="G20" i="11"/>
  <c r="D43" i="13" s="1"/>
  <c r="I19" i="11"/>
  <c r="E42" i="13" s="1"/>
  <c r="H19" i="11"/>
  <c r="F42" i="13" s="1"/>
  <c r="G19" i="11"/>
  <c r="D42" i="13" s="1"/>
  <c r="I17" i="11"/>
  <c r="E41" i="13" s="1"/>
  <c r="H17" i="11"/>
  <c r="F41" i="13" s="1"/>
  <c r="G17" i="11"/>
  <c r="D41" i="13" s="1"/>
  <c r="I16" i="11"/>
  <c r="H16" i="11"/>
  <c r="G16" i="11"/>
  <c r="D40" i="13" s="1"/>
  <c r="I15" i="11"/>
  <c r="E39" i="13" s="1"/>
  <c r="H15" i="11"/>
  <c r="F39" i="13" s="1"/>
  <c r="G15" i="11"/>
  <c r="D39" i="13" s="1"/>
  <c r="I13" i="11"/>
  <c r="E38" i="13" s="1"/>
  <c r="H13" i="11"/>
  <c r="F38" i="13" s="1"/>
  <c r="G13" i="11"/>
  <c r="I12" i="11"/>
  <c r="E37" i="13" s="1"/>
  <c r="H12" i="11"/>
  <c r="F37" i="13" s="1"/>
  <c r="G12" i="11"/>
  <c r="D37" i="13" s="1"/>
  <c r="I11" i="11"/>
  <c r="H11" i="11"/>
  <c r="F36" i="13" s="1"/>
  <c r="G11" i="11"/>
  <c r="D36" i="13" s="1"/>
  <c r="I9" i="11"/>
  <c r="E35" i="13" s="1"/>
  <c r="H9" i="11"/>
  <c r="F35" i="13" s="1"/>
  <c r="G9" i="11"/>
  <c r="D35" i="13" s="1"/>
  <c r="I8" i="11"/>
  <c r="E34" i="13" s="1"/>
  <c r="H8" i="11"/>
  <c r="F34" i="13" s="1"/>
  <c r="G8" i="11"/>
  <c r="I7" i="11"/>
  <c r="E33" i="13" s="1"/>
  <c r="H7" i="11"/>
  <c r="F33" i="13" s="1"/>
  <c r="G7" i="11"/>
  <c r="I4" i="11"/>
  <c r="H4" i="11"/>
  <c r="G4" i="11"/>
  <c r="G20" i="12"/>
  <c r="H20" i="12"/>
  <c r="F31" i="13" s="1"/>
  <c r="I20" i="12"/>
  <c r="E31" i="13" s="1"/>
  <c r="G21" i="12"/>
  <c r="D32" i="13" s="1"/>
  <c r="H21" i="12"/>
  <c r="F32" i="13" s="1"/>
  <c r="I21" i="12"/>
  <c r="E32" i="13" s="1"/>
  <c r="H19" i="12"/>
  <c r="F30" i="13" s="1"/>
  <c r="I19" i="12"/>
  <c r="G19" i="12"/>
  <c r="G16" i="12"/>
  <c r="D28" i="13" s="1"/>
  <c r="H16" i="12"/>
  <c r="F28" i="13" s="1"/>
  <c r="I16" i="12"/>
  <c r="E28" i="13" s="1"/>
  <c r="G17" i="12"/>
  <c r="D29" i="13" s="1"/>
  <c r="H17" i="12"/>
  <c r="F29" i="13" s="1"/>
  <c r="I17" i="12"/>
  <c r="E29" i="13" s="1"/>
  <c r="H15" i="12"/>
  <c r="I15" i="12"/>
  <c r="G15" i="12"/>
  <c r="D27" i="13" s="1"/>
  <c r="G12" i="12"/>
  <c r="D25" i="13" s="1"/>
  <c r="H12" i="12"/>
  <c r="F25" i="13" s="1"/>
  <c r="I12" i="12"/>
  <c r="E25" i="13" s="1"/>
  <c r="G13" i="12"/>
  <c r="D26" i="13" s="1"/>
  <c r="H13" i="12"/>
  <c r="F26" i="13" s="1"/>
  <c r="I13" i="12"/>
  <c r="H11" i="12"/>
  <c r="I11" i="12"/>
  <c r="E24" i="13" s="1"/>
  <c r="G11" i="12"/>
  <c r="D24" i="13" s="1"/>
  <c r="I9" i="12"/>
  <c r="E23" i="13" s="1"/>
  <c r="H9" i="12"/>
  <c r="G9" i="12"/>
  <c r="D23" i="13" s="1"/>
  <c r="I8" i="12"/>
  <c r="E22" i="13" s="1"/>
  <c r="H8" i="12"/>
  <c r="F22" i="13" s="1"/>
  <c r="G8" i="12"/>
  <c r="D22" i="13" s="1"/>
  <c r="I7" i="12"/>
  <c r="E21" i="13" s="1"/>
  <c r="H7" i="12"/>
  <c r="F21" i="13" s="1"/>
  <c r="G7" i="12"/>
  <c r="D21" i="13" s="1"/>
  <c r="I4" i="12"/>
  <c r="H4" i="12"/>
  <c r="G4" i="12"/>
</calcChain>
</file>

<file path=xl/sharedStrings.xml><?xml version="1.0" encoding="utf-8"?>
<sst xmlns="http://schemas.openxmlformats.org/spreadsheetml/2006/main" count="4799" uniqueCount="526">
  <si>
    <t>Altersgruppe
von … bis unter … Jahre</t>
  </si>
  <si>
    <t>Schulabschluss</t>
  </si>
  <si>
    <t>1</t>
  </si>
  <si>
    <t>2</t>
  </si>
  <si>
    <t>18 – 25</t>
  </si>
  <si>
    <r>
      <t>Ohne Abschluss</t>
    </r>
    <r>
      <rPr>
        <vertAlign val="superscript"/>
        <sz val="6"/>
        <rFont val="NDSFrutiger 45 Light"/>
      </rPr>
      <t>2)</t>
    </r>
  </si>
  <si>
    <t>25 – 35</t>
  </si>
  <si>
    <t>15 – 65</t>
  </si>
  <si>
    <t>Hauptschulabschluss</t>
  </si>
  <si>
    <t>Realschulabschluss</t>
  </si>
  <si>
    <t>(Fach-)Hochschulreife</t>
  </si>
  <si>
    <t>Jahr</t>
  </si>
  <si>
    <t>Insgesamt</t>
  </si>
  <si>
    <t>mit</t>
  </si>
  <si>
    <t>ohne</t>
  </si>
  <si>
    <t xml:space="preserve"> </t>
  </si>
  <si>
    <t>Prozent</t>
  </si>
  <si>
    <t/>
  </si>
  <si>
    <t>Migrationshintergrund (i.w.S.)</t>
  </si>
  <si>
    <t>Bevölkerung ohne
Migrationshintergrund</t>
  </si>
  <si>
    <t>Bevölkerung mit
Migrationshintergrund
(i.w.S.)</t>
  </si>
  <si>
    <t>Variable für
die
Hochrechnung</t>
  </si>
  <si>
    <t>Variable für die
Hochrechnung</t>
  </si>
  <si>
    <t>Sum</t>
  </si>
  <si>
    <t>SchulAbsch</t>
  </si>
  <si>
    <t>18 - 25</t>
  </si>
  <si>
    <t>25 - 35</t>
  </si>
  <si>
    <t>15 - 65</t>
  </si>
  <si>
    <t>(Fach-)Hochschulabschluss</t>
  </si>
  <si>
    <t>Indikator B7: Höchster Schulabschluss an allgmeinbildenden Schulen nach Zuwanderungsgeschichte und Altersgruppen</t>
  </si>
  <si>
    <t>Schulabgängerinnen und Schulabgänger</t>
  </si>
  <si>
    <t xml:space="preserve"> ohne Migrationshintergrund</t>
  </si>
  <si>
    <t>3</t>
  </si>
  <si>
    <t>4</t>
  </si>
  <si>
    <t>5</t>
  </si>
  <si>
    <t>6</t>
  </si>
  <si>
    <t>7</t>
  </si>
  <si>
    <t>8</t>
  </si>
  <si>
    <t xml:space="preserve">1) Hochrechnung anhand der Bevölkerungsfortschreibung auf Basis des Zensus 2011. Die Hochrechnung für die Jahre vor 2011 sowie für bislang veröffentlichte Ergebnisse des Mikrozensus 2011-2013 basiert auf den fortgeschriebenen Ergebnissen der Volkszählung 1987. In 2016 erfolgte die Umstellung auf eine neue Mikrozensus-Stichprobe. Ab 2017 wird nur noch die Bevölkerung in Privathaushalten (ohne Gemeinschaftsunterkünfte) ausgewiesen. Dadurch ergibt sich jeweils eine eingeschränkte Vergleichbarkeit mit den Vorjahren. </t>
  </si>
  <si>
    <t>2) Ohne Abschluss einschließlich Abschluss Förderschule</t>
  </si>
  <si>
    <t>Quelle: Mikrozensus</t>
  </si>
  <si>
    <r>
      <t xml:space="preserve"> mit Migrationshintergrund </t>
    </r>
    <r>
      <rPr>
        <vertAlign val="superscript"/>
        <sz val="6"/>
        <rFont val="NDSFrutiger 45 Light"/>
      </rPr>
      <t>3)</t>
    </r>
  </si>
  <si>
    <t>B7 Höchster Schulabschluss an allgemeinbildenden Schulen 2018 nach Migrationshintergrund, Altersklassen (18-25, 25-35, 15-65)</t>
  </si>
  <si>
    <t>Indikator B7: Höchster Schulabschluss an allgemeinbildenden Schulen nach Zuwanderungsgeschichte und Altersgruppen</t>
  </si>
  <si>
    <t>Tabelle B7-3: Höchster Schulabschluss an allgemeinbildenden Schulen nach Zuwanderungsgeschichte und Altersgruppen</t>
  </si>
  <si>
    <r>
      <t>Migrationshintergrund</t>
    </r>
    <r>
      <rPr>
        <vertAlign val="superscript"/>
        <sz val="6"/>
        <rFont val="NDSFrutiger 45 Light"/>
      </rPr>
      <t xml:space="preserve"> 3)</t>
    </r>
  </si>
  <si>
    <r>
      <t>2018</t>
    </r>
    <r>
      <rPr>
        <vertAlign val="superscript"/>
        <sz val="6"/>
        <color theme="1"/>
        <rFont val="NDSFrutiger 45 Light"/>
      </rPr>
      <t>1)</t>
    </r>
  </si>
  <si>
    <r>
      <t>2017</t>
    </r>
    <r>
      <rPr>
        <vertAlign val="superscript"/>
        <sz val="6"/>
        <color theme="1"/>
        <rFont val="NDSFrutiger 45 Light"/>
      </rPr>
      <t>1)</t>
    </r>
  </si>
  <si>
    <r>
      <t>2016</t>
    </r>
    <r>
      <rPr>
        <vertAlign val="superscript"/>
        <sz val="6"/>
        <color theme="1"/>
        <rFont val="NDSFrutiger 45 Light"/>
      </rPr>
      <t>1)</t>
    </r>
  </si>
  <si>
    <r>
      <t>2015</t>
    </r>
    <r>
      <rPr>
        <vertAlign val="superscript"/>
        <sz val="6"/>
        <color theme="1"/>
        <rFont val="NDSFrutiger 45 Light"/>
      </rPr>
      <t>1)</t>
    </r>
  </si>
  <si>
    <r>
      <t>2014</t>
    </r>
    <r>
      <rPr>
        <vertAlign val="superscript"/>
        <sz val="6"/>
        <color theme="1"/>
        <rFont val="NDSFrutiger 45 Light"/>
      </rPr>
      <t>1)</t>
    </r>
  </si>
  <si>
    <r>
      <t>2013</t>
    </r>
    <r>
      <rPr>
        <vertAlign val="superscript"/>
        <sz val="6"/>
        <color theme="1"/>
        <rFont val="NDSFrutiger 45 Light"/>
      </rPr>
      <t>1)</t>
    </r>
  </si>
  <si>
    <r>
      <t>2012</t>
    </r>
    <r>
      <rPr>
        <vertAlign val="superscript"/>
        <sz val="6"/>
        <color theme="1"/>
        <rFont val="NDSFrutiger 45 Light"/>
      </rPr>
      <t>1)</t>
    </r>
  </si>
  <si>
    <r>
      <t>2011</t>
    </r>
    <r>
      <rPr>
        <vertAlign val="superscript"/>
        <sz val="6"/>
        <color theme="1"/>
        <rFont val="NDSFrutiger 45 Light"/>
      </rPr>
      <t>1)</t>
    </r>
  </si>
  <si>
    <t>3) Seit dem Jahr 2018 wird im Mikrozensus der Migrationshintergrund im weiteren Sinne jährlich berichtet. Die in der Tabelle ab dem Jahr 2018 abgebildeten Daten zum Migrationshintergrund entsprechen dem Migrationshintergrund im weiteren Sinne, bis 2017 wird der Migrationshintergrund im engeren Sinne abgebildet. Die Vergleichbarkeit ist dadurch eingeschränkt.</t>
  </si>
  <si>
    <t>B7 Höchster Schulabschluss an allgemeinbildenden Schulen 2011 nach Migrationshintergrund, Altersklassen (18-25, 25-35, 15-65)</t>
  </si>
  <si>
    <t>Ohne Abschluss (einschl. Abschluss nach
höchstens 7 Jahren Schulbesuch (nur 2010))</t>
  </si>
  <si>
    <t>Ergebnisse des Mikrozensus 2011 - Landesamt für Statistik Niedersachsen</t>
  </si>
  <si>
    <t>B7 Höchster Schulabschluss an allgemeinbildenden Schulen 2012 nach Migrationshintergrund, Altersklassen (18-25, 25-35, 15-65)</t>
  </si>
  <si>
    <t>Ergebnisse des Mikrozensus 2012 - Landesamt für Statistik Niedersachsen</t>
  </si>
  <si>
    <t>B7 Höchster Schulabschluss an allgemeinbildenden Schulen 2013 nach Migrationshintergrund, Altersklassen (18-25, 25-35, 15-65)</t>
  </si>
  <si>
    <t>Ergebnisse des Mikrozensus 2013 - Landesamt für Statistik Niedersachsen</t>
  </si>
  <si>
    <t>B7 Höchster Schulabschluss an allgemeinbildenden Schulen 2014 nach Migrationshintergrund, Altersklassen (18-25, 25-35, 15-65)</t>
  </si>
  <si>
    <t>Ergebnisse des Mikrozensus 2014 - Landesamt für Statistik Niedersachsen</t>
  </si>
  <si>
    <t>B7 Höchster Schulabschluss an allgemeinbildenden Schulen 2015 nach Migrationshintergrund, Altersklassen (18-25, 25-35, 15-65)</t>
  </si>
  <si>
    <t>Ergebnisse des Mikrozensus 2015 - Landesamt für Statistik Niedersachsen</t>
  </si>
  <si>
    <t>B7 Höchster Schulabschluss an allgemeinbildenden Schulen 2016 nach Migrationshintergrund, Altersklassen (18-25, 25-35, 15-65)</t>
  </si>
  <si>
    <t>Ergebnisse des Mikrozensus 2016 - Landesamt für Statistik Niedersachsen</t>
  </si>
  <si>
    <t>B7 Höchster Schulabschluss an allgemeinbildenden Schulen 2017 nach Migrationshintergrund, Altersklassen (18-25, 25-35, 15-65)</t>
  </si>
  <si>
    <t>Ergebnisse des Mikrozensus 2017 - Landesamt für Statistik Niedersachsen</t>
  </si>
  <si>
    <t>Ergebnisse des Mikrozensus 2018 - Landesamt für Statistik Niedersachsen</t>
  </si>
  <si>
    <t>alter</t>
  </si>
  <si>
    <t>Bevölkerung mit
Migrationshintergrund
(i.e.S.)</t>
  </si>
  <si>
    <t>B7 Höchster Schulabschluss an allgemeinbildenden Schulen 2019 nach Migrationshintergrund, Altersklassen (18-25, 25-35, 15-65)</t>
  </si>
  <si>
    <t>Ergebnisse des Mikrozensus 2019 - Landesamt für Statistik Niedersachsen</t>
  </si>
  <si>
    <r>
      <t>2019</t>
    </r>
    <r>
      <rPr>
        <vertAlign val="superscript"/>
        <sz val="6"/>
        <color theme="1"/>
        <rFont val="NDSFrutiger 45 Light"/>
      </rPr>
      <t>1)</t>
    </r>
  </si>
  <si>
    <r>
      <t>2019</t>
    </r>
    <r>
      <rPr>
        <vertAlign val="superscript"/>
        <sz val="6"/>
        <rFont val="NDSFrutiger 45 Light"/>
      </rPr>
      <t>1)</t>
    </r>
  </si>
  <si>
    <t>Tabelle B7-1: Höchster Schulabschluss an allgemeinbildenden Schulen 2005 und 201 nach Zuwanderungsgeschichte und Altersgruppen</t>
  </si>
  <si>
    <t>Year</t>
  </si>
  <si>
    <t>Altersgruppe</t>
  </si>
  <si>
    <t>Migrationsstatus</t>
  </si>
  <si>
    <t>Units</t>
  </si>
  <si>
    <t>Value</t>
  </si>
  <si>
    <t>%</t>
  </si>
  <si>
    <t>mit Migrationshintergrund</t>
  </si>
  <si>
    <t>ohne Migrationshintergrund</t>
  </si>
  <si>
    <t>4.67535046814551</t>
  </si>
  <si>
    <t>4.74913006634145</t>
  </si>
  <si>
    <t>4.1453676331601</t>
  </si>
  <si>
    <t>12.2398443213927</t>
  </si>
  <si>
    <t>13.7767730991181</t>
  </si>
  <si>
    <t>22.4409548673615</t>
  </si>
  <si>
    <t>35.2865221283734</t>
  </si>
  <si>
    <t>35.471306016721</t>
  </si>
  <si>
    <t>36.8567886630311</t>
  </si>
  <si>
    <t>47.7982830820884</t>
  </si>
  <si>
    <t>46.0027908178194</t>
  </si>
  <si>
    <t>36.5568890425676</t>
  </si>
  <si>
    <t>4.69829888868067</t>
  </si>
  <si>
    <t>4.64854158681157</t>
  </si>
  <si>
    <t>4.20696238944428</t>
  </si>
  <si>
    <t>12.9014671856899</t>
  </si>
  <si>
    <t>14.8041431602725</t>
  </si>
  <si>
    <t>23.5805729388685</t>
  </si>
  <si>
    <t>35.5556401356863</t>
  </si>
  <si>
    <t>36.0772996848019</t>
  </si>
  <si>
    <t>36.9643593506712</t>
  </si>
  <si>
    <t>46.8445937899431</t>
  </si>
  <si>
    <t>44.470015568114</t>
  </si>
  <si>
    <t>35.2481051140062</t>
  </si>
  <si>
    <t>4.91947935759943</t>
  </si>
  <si>
    <t>4.6497542305345</t>
  </si>
  <si>
    <t>4.22015122201331</t>
  </si>
  <si>
    <t>13.0419244579118</t>
  </si>
  <si>
    <t>15.1611761077529</t>
  </si>
  <si>
    <t>24.8574375151289</t>
  </si>
  <si>
    <t>37.0257888242633</t>
  </si>
  <si>
    <t>36.9894147782708</t>
  </si>
  <si>
    <t>36.6420554912212</t>
  </si>
  <si>
    <t>45.0128073602255</t>
  </si>
  <si>
    <t>43.1996538265916</t>
  </si>
  <si>
    <t>34.2803557716366</t>
  </si>
  <si>
    <t>4.9161793714797</t>
  </si>
  <si>
    <t>4.76691764945931</t>
  </si>
  <si>
    <t>4.13794834789097</t>
  </si>
  <si>
    <t>13.8626051677443</t>
  </si>
  <si>
    <t>15.5207493099864</t>
  </si>
  <si>
    <t>26.0464191112209</t>
  </si>
  <si>
    <t>37.6605710014727</t>
  </si>
  <si>
    <t>36.7934738621367</t>
  </si>
  <si>
    <t>36.5198660802176</t>
  </si>
  <si>
    <t>43.560642662873</t>
  </si>
  <si>
    <t>42.9188591784176</t>
  </si>
  <si>
    <t>33.295766256137</t>
  </si>
  <si>
    <t>3.98651094662857</t>
  </si>
  <si>
    <t>4.17317776687259</t>
  </si>
  <si>
    <t>3.74991365539768</t>
  </si>
  <si>
    <t>13.7518266146371</t>
  </si>
  <si>
    <t>14.7134071637803</t>
  </si>
  <si>
    <t>25.9690595739161</t>
  </si>
  <si>
    <t>39.6373599803497</t>
  </si>
  <si>
    <t>37.6478115929655</t>
  </si>
  <si>
    <t>37.134010687532</t>
  </si>
  <si>
    <t>42.6243024583847</t>
  </si>
  <si>
    <t>43.4656034763816</t>
  </si>
  <si>
    <t>33.1470160831542</t>
  </si>
  <si>
    <t>4.70723891751852</t>
  </si>
  <si>
    <t>3.53056145389947</t>
  </si>
  <si>
    <t>3.62776663011742</t>
  </si>
  <si>
    <t>14.1620732569102</t>
  </si>
  <si>
    <t>15.8110340284484</t>
  </si>
  <si>
    <t>27.4121399274081</t>
  </si>
  <si>
    <t>40.4719987350484</t>
  </si>
  <si>
    <t>39.2464806662233</t>
  </si>
  <si>
    <t>36.9052477074631</t>
  </si>
  <si>
    <t>40.6586872450636</t>
  </si>
  <si>
    <t>41.4119238514289</t>
  </si>
  <si>
    <t>32.0548457350113</t>
  </si>
  <si>
    <t>4.55160717543214</t>
  </si>
  <si>
    <t>3.71334883829649</t>
  </si>
  <si>
    <t>3.64584459153347</t>
  </si>
  <si>
    <t>15.1526772514557</t>
  </si>
  <si>
    <t>16.2996285313348</t>
  </si>
  <si>
    <t>28.4732847377322</t>
  </si>
  <si>
    <t>40.4170056430478</t>
  </si>
  <si>
    <t>39.4475685389831</t>
  </si>
  <si>
    <t>36.1698129334363</t>
  </si>
  <si>
    <t>39.8787099300643</t>
  </si>
  <si>
    <t>40.5394529450154</t>
  </si>
  <si>
    <t>31.711057737298</t>
  </si>
  <si>
    <t>5.20650349805188</t>
  </si>
  <si>
    <t>3.58776236083453</t>
  </si>
  <si>
    <t>3.59786280539906</t>
  </si>
  <si>
    <t>16.1902444928661</t>
  </si>
  <si>
    <t>17.1201415112542</t>
  </si>
  <si>
    <t>29.8072580207776</t>
  </si>
  <si>
    <t>42.0805614447945</t>
  </si>
  <si>
    <t>40.1914221831389</t>
  </si>
  <si>
    <t>36.0962061000574</t>
  </si>
  <si>
    <t>36.5226905642876</t>
  </si>
  <si>
    <t>39.1006739447724</t>
  </si>
  <si>
    <t>30.4986728631171</t>
  </si>
  <si>
    <t>4.68019980345889</t>
  </si>
  <si>
    <t>3.45330609363281</t>
  </si>
  <si>
    <t>3.66888208990647</t>
  </si>
  <si>
    <t>17.513989203262</t>
  </si>
  <si>
    <t>18.3917415373394</t>
  </si>
  <si>
    <t>31.1495096200074</t>
  </si>
  <si>
    <t>42.4938705495868</t>
  </si>
  <si>
    <t>40.1254481283449</t>
  </si>
  <si>
    <t>35.5487305868579</t>
  </si>
  <si>
    <t>35.3119422625742</t>
  </si>
  <si>
    <t>38.0295030522972</t>
  </si>
  <si>
    <t>29.6328777032282</t>
  </si>
  <si>
    <t>4.98741179499201</t>
  </si>
  <si>
    <t>3.8616844005459</t>
  </si>
  <si>
    <t>4.14330351916854</t>
  </si>
  <si>
    <t>17.7912781958781</t>
  </si>
  <si>
    <t>19.2625350144147</t>
  </si>
  <si>
    <t>32.035128689762</t>
  </si>
  <si>
    <t>45.1297543203308</t>
  </si>
  <si>
    <t>39.0096397194317</t>
  </si>
  <si>
    <t>35.4650208724387</t>
  </si>
  <si>
    <t>32.0915556887991</t>
  </si>
  <si>
    <t>37.8661408656078</t>
  </si>
  <si>
    <t>28.3565469186308</t>
  </si>
  <si>
    <t>4.25154836863836</t>
  </si>
  <si>
    <t>4.2461545108542</t>
  </si>
  <si>
    <t>3.65854435505334</t>
  </si>
  <si>
    <t>21.2424561149263</t>
  </si>
  <si>
    <t>22.4972586007751</t>
  </si>
  <si>
    <t>36.7255587389201</t>
  </si>
  <si>
    <t>45.1611136302008</t>
  </si>
  <si>
    <t>39.5962560218796</t>
  </si>
  <si>
    <t>34.009697900806</t>
  </si>
  <si>
    <t>29.3448818862346</t>
  </si>
  <si>
    <t>33.6603308664912</t>
  </si>
  <si>
    <t>25.6061990052206</t>
  </si>
  <si>
    <t>4.79887915233571</t>
  </si>
  <si>
    <t>4.37554881853402</t>
  </si>
  <si>
    <t>3.62296981481807</t>
  </si>
  <si>
    <t>22.1207096036731</t>
  </si>
  <si>
    <t>22.8887998200984</t>
  </si>
  <si>
    <t>37.5243414620501</t>
  </si>
  <si>
    <t>42.8991241750646</t>
  </si>
  <si>
    <t>38.480961097515</t>
  </si>
  <si>
    <t>33.3689349181162</t>
  </si>
  <si>
    <t>30.1812870689266</t>
  </si>
  <si>
    <t>34.2546902638525</t>
  </si>
  <si>
    <t>25.4837538050156</t>
  </si>
  <si>
    <t>2.36154851270046</t>
  </si>
  <si>
    <t>1.83853985446954</t>
  </si>
  <si>
    <t>1.93463833380332</t>
  </si>
  <si>
    <t>10.2842714419443</t>
  </si>
  <si>
    <t>12.0456953542199</t>
  </si>
  <si>
    <t>21.8937002582936</t>
  </si>
  <si>
    <t>35.8779575345181</t>
  </si>
  <si>
    <t>38.6419935555119</t>
  </si>
  <si>
    <t>38.772982954836</t>
  </si>
  <si>
    <t>51.4762225108371</t>
  </si>
  <si>
    <t>47.4737712357987</t>
  </si>
  <si>
    <t>37.398678453067</t>
  </si>
  <si>
    <t>2.22914674369602</t>
  </si>
  <si>
    <t>1.99286660942186</t>
  </si>
  <si>
    <t>1.91305848966343</t>
  </si>
  <si>
    <t>11.7935694345249</t>
  </si>
  <si>
    <t>13.1807434985902</t>
  </si>
  <si>
    <t>23.3681748457702</t>
  </si>
  <si>
    <t>36.2127959461121</t>
  </si>
  <si>
    <t>39.3246061962801</t>
  </si>
  <si>
    <t>38.7361333723027</t>
  </si>
  <si>
    <t>49.764487875667</t>
  </si>
  <si>
    <t>45.5017821823892</t>
  </si>
  <si>
    <t>35.9826332922637</t>
  </si>
  <si>
    <t>2.33497665643216</t>
  </si>
  <si>
    <t>2.19058201026269</t>
  </si>
  <si>
    <t>1.99477967477266</t>
  </si>
  <si>
    <t>11.3925590845768</t>
  </si>
  <si>
    <t>12.7382037812541</t>
  </si>
  <si>
    <t>24.6066834984341</t>
  </si>
  <si>
    <t>38.3802350708004</t>
  </si>
  <si>
    <t>39.3986212850021</t>
  </si>
  <si>
    <t>38.1962109034812</t>
  </si>
  <si>
    <t>47.8922291881907</t>
  </si>
  <si>
    <t>45.6725944398756</t>
  </si>
  <si>
    <t>35.202325923312</t>
  </si>
  <si>
    <t>2.86937453968511</t>
  </si>
  <si>
    <t>2.24801523777964</t>
  </si>
  <si>
    <t>2.18145181137259</t>
  </si>
  <si>
    <t>12.1838109541446</t>
  </si>
  <si>
    <t>13.709942976141</t>
  </si>
  <si>
    <t>25.7511629685003</t>
  </si>
  <si>
    <t>39.1068602556339</t>
  </si>
  <si>
    <t>38.8797051258562</t>
  </si>
  <si>
    <t>37.8809583102876</t>
  </si>
  <si>
    <t>45.8399542505364</t>
  </si>
  <si>
    <t>45.1623381004997</t>
  </si>
  <si>
    <t>34.1864271655167</t>
  </si>
  <si>
    <t>2.88272323173724</t>
  </si>
  <si>
    <t>2.64045672643164</t>
  </si>
  <si>
    <t>2.12166938020212</t>
  </si>
  <si>
    <t>12.0366454414079</t>
  </si>
  <si>
    <t>13.0541779146588</t>
  </si>
  <si>
    <t>25.9767153626498</t>
  </si>
  <si>
    <t>40.2661896118546</t>
  </si>
  <si>
    <t>38.8096188615495</t>
  </si>
  <si>
    <t>38.0552554373444</t>
  </si>
  <si>
    <t>44.81443929373</t>
  </si>
  <si>
    <t>45.49574649736</t>
  </si>
  <si>
    <t>33.8463598198036</t>
  </si>
  <si>
    <t>3.49421961504331</t>
  </si>
  <si>
    <t>2.41518450864186</t>
  </si>
  <si>
    <t>2.28948318647338</t>
  </si>
  <si>
    <t>13.0654190335031</t>
  </si>
  <si>
    <t>14.1293175061867</t>
  </si>
  <si>
    <t>27.4288462161987</t>
  </si>
  <si>
    <t>40.9421673613119</t>
  </si>
  <si>
    <t>40.4708566546779</t>
  </si>
  <si>
    <t>37.718834126586</t>
  </si>
  <si>
    <t>42.4981939901418</t>
  </si>
  <si>
    <t>42.9846413304936</t>
  </si>
  <si>
    <t>32.5628367261845</t>
  </si>
  <si>
    <t>4.4659382405957</t>
  </si>
  <si>
    <t>2.15208114288503</t>
  </si>
  <si>
    <t>2.23957248230154</t>
  </si>
  <si>
    <t>14.8325802443114</t>
  </si>
  <si>
    <t>14.9870980733261</t>
  </si>
  <si>
    <t>29.9321055740499</t>
  </si>
  <si>
    <t>42.5163208818286</t>
  </si>
  <si>
    <t>41.552107480163</t>
  </si>
  <si>
    <t>36.8752601550146</t>
  </si>
  <si>
    <t>38.185158300335</t>
  </si>
  <si>
    <t>41.3087148079254</t>
  </si>
  <si>
    <t>30.9530617886341</t>
  </si>
  <si>
    <t>4.21247337753593</t>
  </si>
  <si>
    <t>2.09626079863827</t>
  </si>
  <si>
    <t>2.25603488363145</t>
  </si>
  <si>
    <t>15.8074398245418</t>
  </si>
  <si>
    <t>16.3548917692901</t>
  </si>
  <si>
    <t>31.2918861219488</t>
  </si>
  <si>
    <t>42.9356903788874</t>
  </si>
  <si>
    <t>41.6239860727287</t>
  </si>
  <si>
    <t>36.2457428759724</t>
  </si>
  <si>
    <t>37.0443964190348</t>
  </si>
  <si>
    <t>39.924861359343</t>
  </si>
  <si>
    <t>30.2063361184474</t>
  </si>
  <si>
    <t>8.42674225068588</t>
  </si>
  <si>
    <t>9.82103431308965</t>
  </si>
  <si>
    <t>12.1621650161919</t>
  </si>
  <si>
    <t>22.1134897371692</t>
  </si>
  <si>
    <t>25.1841958827906</t>
  </si>
  <si>
    <t>30.3421715868025</t>
  </si>
  <si>
    <t>44.0269553968381</t>
  </si>
  <si>
    <t>33.6546387708485</t>
  </si>
  <si>
    <t>32.2370629370629</t>
  </si>
  <si>
    <t>25.4328126153069</t>
  </si>
  <si>
    <t>31.3401310332713</t>
  </si>
  <si>
    <t>25.2586004599427</t>
  </si>
  <si>
    <t>8.04691377731026</t>
  </si>
  <si>
    <t>11.6008072462795</t>
  </si>
  <si>
    <t>12.2423872159555</t>
  </si>
  <si>
    <t>30.853960175348</t>
  </si>
  <si>
    <t>29.1386247163094</t>
  </si>
  <si>
    <t>35.109006773471</t>
  </si>
  <si>
    <t>38.8845655712063</t>
  </si>
  <si>
    <t>31.1446869618161</t>
  </si>
  <si>
    <t>28.4402379173244</t>
  </si>
  <si>
    <t>22.2145604761355</t>
  </si>
  <si>
    <t>28.115881075595</t>
  </si>
  <si>
    <t>24.2083680932491</t>
  </si>
  <si>
    <t>9.83952716316597</t>
  </si>
  <si>
    <t>12.616248257356</t>
  </si>
  <si>
    <t>12.7671882874692</t>
  </si>
  <si>
    <t>29.4496250432791</t>
  </si>
  <si>
    <t>29.8469574221169</t>
  </si>
  <si>
    <t>35.4639042795683</t>
  </si>
  <si>
    <t>37.7107056252857</t>
  </si>
  <si>
    <t>31.468724501456</t>
  </si>
  <si>
    <t>28.7114194862192</t>
  </si>
  <si>
    <t>23.0001421682692</t>
  </si>
  <si>
    <t>26.0680698190712</t>
  </si>
  <si>
    <t>23.0574879467433</t>
  </si>
  <si>
    <t>11.0652512767909</t>
  </si>
  <si>
    <t>11.7324291571626</t>
  </si>
  <si>
    <t>11.5644060556639</t>
  </si>
  <si>
    <t>17.6404497210659</t>
  </si>
  <si>
    <t>17.9301003496463</t>
  </si>
  <si>
    <t>24.2774994740429</t>
  </si>
  <si>
    <t>33.653187930571</t>
  </si>
  <si>
    <t>27.8639661884164</t>
  </si>
  <si>
    <t>30.4261871958957</t>
  </si>
  <si>
    <t>37.6411110715722</t>
  </si>
  <si>
    <t>42.4735043047747</t>
  </si>
  <si>
    <t>33.7319072743975</t>
  </si>
  <si>
    <t>11.5884006844223</t>
  </si>
  <si>
    <t>10.9318880337526</t>
  </si>
  <si>
    <t>11.9270857262579</t>
  </si>
  <si>
    <t>15.9930249356073</t>
  </si>
  <si>
    <t>18.645115069236</t>
  </si>
  <si>
    <t>24.2953979828167</t>
  </si>
  <si>
    <t>33.7218691007498</t>
  </si>
  <si>
    <t>28.3941486950372</t>
  </si>
  <si>
    <t>31.0014621518687</t>
  </si>
  <si>
    <t>38.6967121655885</t>
  </si>
  <si>
    <t>42.0288446214512</t>
  </si>
  <si>
    <t>32.7760541390566</t>
  </si>
  <si>
    <t>12.0425801124429</t>
  </si>
  <si>
    <t>10.3053100087195</t>
  </si>
  <si>
    <t>11.7674407273477</t>
  </si>
  <si>
    <t>17.5877096266988</t>
  </si>
  <si>
    <t>20.733476648051</t>
  </si>
  <si>
    <t>25.7078632163865</t>
  </si>
  <si>
    <t>33.2928216161464</t>
  </si>
  <si>
    <t>31.4487760666677</t>
  </si>
  <si>
    <t>31.3711779844277</t>
  </si>
  <si>
    <t>37.0768886447119</t>
  </si>
  <si>
    <t>37.5124372765619</t>
  </si>
  <si>
    <t>31.1535171708756</t>
  </si>
  <si>
    <t>11.5033499333378</t>
  </si>
  <si>
    <t>11.7623228926361</t>
  </si>
  <si>
    <t>11.9623671251532</t>
  </si>
  <si>
    <t>19.2654244170864</t>
  </si>
  <si>
    <t>20.5496560599743</t>
  </si>
  <si>
    <t>27.2272080176712</t>
  </si>
  <si>
    <t>33.0060163459954</t>
  </si>
  <si>
    <t>30.9996650097147</t>
  </si>
  <si>
    <t>31.0765892782814</t>
  </si>
  <si>
    <t>36.2252017257457</t>
  </si>
  <si>
    <t>36.6883520377909</t>
  </si>
  <si>
    <t>29.7338366013978</t>
  </si>
  <si>
    <t>8.21940372720406</t>
  </si>
  <si>
    <t>9.33620657684447</t>
  </si>
  <si>
    <t>11.0683214977199</t>
  </si>
  <si>
    <t>20.3293395798504</t>
  </si>
  <si>
    <t>20.302583164475</t>
  </si>
  <si>
    <t>25.9346493904064</t>
  </si>
  <si>
    <t>37.2258648889689</t>
  </si>
  <si>
    <t>33.7342178694955</t>
  </si>
  <si>
    <t>32.9933256758336</t>
  </si>
  <si>
    <t>34.2253918039766</t>
  </si>
  <si>
    <t>36.626992389185</t>
  </si>
  <si>
    <t>30.0037022912731</t>
  </si>
  <si>
    <t>9.55935417011347</t>
  </si>
  <si>
    <t>7.3042348379108</t>
  </si>
  <si>
    <t>9.84627513025619</t>
  </si>
  <si>
    <t>18.5487254578913</t>
  </si>
  <si>
    <t>21.5008135298934</t>
  </si>
  <si>
    <t>27.3345123043587</t>
  </si>
  <si>
    <t>38.5913226147774</t>
  </si>
  <si>
    <t>35.1040290051066</t>
  </si>
  <si>
    <t>33.1248128035722</t>
  </si>
  <si>
    <t>33.3006162119257</t>
  </si>
  <si>
    <t>36.0909226270893</t>
  </si>
  <si>
    <t>29.6943997618129</t>
  </si>
  <si>
    <t>8.10022196047738</t>
  </si>
  <si>
    <t>8.42876841069858</t>
  </si>
  <si>
    <t>10.2161306287911</t>
  </si>
  <si>
    <t>21.4952436975449</t>
  </si>
  <si>
    <t>24.3125915056762</t>
  </si>
  <si>
    <t>29.1989397177257</t>
  </si>
  <si>
    <t>40.3778551465633</t>
  </si>
  <si>
    <t>35.6033013868284</t>
  </si>
  <si>
    <t>32.30026747289</t>
  </si>
  <si>
    <t>30.0266883112088</t>
  </si>
  <si>
    <t>31.6553386967969</t>
  </si>
  <si>
    <t>28.2846634176279</t>
  </si>
  <si>
    <t>6.43071541895578</t>
  </si>
  <si>
    <t>8.14563888054527</t>
  </si>
  <si>
    <t>10.6882888353684</t>
  </si>
  <si>
    <t>23.900930736812</t>
  </si>
  <si>
    <t>25.4346816099645</t>
  </si>
  <si>
    <t>30.4421446808382</t>
  </si>
  <si>
    <t>40.8403131118161</t>
  </si>
  <si>
    <t>34.9438646288094</t>
  </si>
  <si>
    <t>32.085785165619</t>
  </si>
  <si>
    <t>28.8280407324161</t>
  </si>
  <si>
    <t>31.4758148806809</t>
  </si>
  <si>
    <t>26.7837813181744</t>
  </si>
  <si>
    <t>4.01300454707768</t>
  </si>
  <si>
    <t>2.02953875623098</t>
  </si>
  <si>
    <t>2.43403135264804</t>
  </si>
  <si>
    <t>16.5667392028655</t>
  </si>
  <si>
    <t>17.4419752329106</t>
  </si>
  <si>
    <t>32.395993772894</t>
  </si>
  <si>
    <t>45.4421916618094</t>
  </si>
  <si>
    <t>40.6559846443521</t>
  </si>
  <si>
    <t>36.1530808164678</t>
  </si>
  <si>
    <t>33.9780645882474</t>
  </si>
  <si>
    <t>39.8725013665064</t>
  </si>
  <si>
    <t>29.0168940579902</t>
  </si>
  <si>
    <t>3.20747049280786</t>
  </si>
  <si>
    <t>2.05782613605823</t>
  </si>
  <si>
    <t>2.02890286217007</t>
  </si>
  <si>
    <t>18.5984000986038</t>
  </si>
  <si>
    <t>20.5211648441393</t>
  </si>
  <si>
    <t>37.0324609727205</t>
  </si>
  <si>
    <t>46.887747105336</t>
  </si>
  <si>
    <t>42.1109647659073</t>
  </si>
  <si>
    <t>35.0670591119203</t>
  </si>
  <si>
    <t>31.3063823032524</t>
  </si>
  <si>
    <t>35.3100442538952</t>
  </si>
  <si>
    <t>25.8715770531891</t>
  </si>
  <si>
    <t>3.28717630226263</t>
  </si>
  <si>
    <t>2.0206492308206</t>
  </si>
  <si>
    <t>1.8955267408438</t>
  </si>
  <si>
    <t>19.9227489398554</t>
  </si>
  <si>
    <t>20.9004043287381</t>
  </si>
  <si>
    <t>37.9135806797758</t>
  </si>
  <si>
    <t>44.4551438810361</t>
  </si>
  <si>
    <t>40.4848107677562</t>
  </si>
  <si>
    <t>34.2487907461271</t>
  </si>
  <si>
    <t>32.3349308768458</t>
  </si>
  <si>
    <t>36.5941356726851</t>
  </si>
  <si>
    <t>25.9421018332533</t>
  </si>
  <si>
    <t>Niedersächsisches Ministerium für Soziales, Gesundheit und Gleichstellung (Hrsg.),</t>
  </si>
  <si>
    <t>© Landesamt für Statistik Niedersachsen, Hannover 2021,                                                                          </t>
  </si>
  <si>
    <t>Vervielfältigung und Verbreitung, auch auszugsweise, mit Quellenangabe gestattet.</t>
  </si>
  <si>
    <t>https://www.integrationsmonitoring.niedersachsen.de</t>
  </si>
  <si>
    <t>Migration und Teilhabe in Niedersachsen - Integrationsmonitoring 2021</t>
  </si>
  <si>
    <t>Indikator 4.1.5: Höchster Schulabschluss an allgemeinbildenden Schulen nach Zuwanderungsgeschichte und Altersgruppen</t>
  </si>
  <si>
    <t>Tabelle 4.1.5: Höchster Schulabschluss an allgemeinbildenden Schulen nach Zuwanderungsgeschichte und Altersgruppen</t>
  </si>
  <si>
    <t>Ohne Abschluss2)</t>
  </si>
  <si>
    <t>7.15290427260099</t>
  </si>
  <si>
    <t>7.27578194958006</t>
  </si>
  <si>
    <t>10.1797277531646</t>
  </si>
  <si>
    <t>19.9157610229215</t>
  </si>
  <si>
    <t>22.4094581773105</t>
  </si>
  <si>
    <t>27.6909404486725</t>
  </si>
  <si>
    <t>40.4242065407127</t>
  </si>
  <si>
    <t>35.3256957733529</t>
  </si>
  <si>
    <t>32.9104189163079</t>
  </si>
  <si>
    <t>32.5071370792631</t>
  </si>
  <si>
    <t>34.9890690375149</t>
  </si>
  <si>
    <t>29.218912881855</t>
  </si>
  <si>
    <t>3.85811345968942</t>
  </si>
  <si>
    <t>2.63620579760915</t>
  </si>
  <si>
    <t>2.23266602156267</t>
  </si>
  <si>
    <t>13.8828570659155</t>
  </si>
  <si>
    <t>14.4522520449017</t>
  </si>
  <si>
    <t>28.6424937909535</t>
  </si>
  <si>
    <t>40.4150868709669</t>
  </si>
  <si>
    <t>40.6938646589115</t>
  </si>
  <si>
    <t>36.8747697963238</t>
  </si>
  <si>
    <t>41.8439449802671</t>
  </si>
  <si>
    <t>42.217676005589</t>
  </si>
  <si>
    <t>32.2500706470325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</si>
</sst>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0\)"/>
    <numFmt numFmtId="166" formatCode="\(0.0\)"/>
    <numFmt numFmtId="167" formatCode="########0.00"/>
    <numFmt numFmtId="168" formatCode="#################################################################################0"/>
  </numFmts>
  <fonts count="19" x14ac:knownFonts="1">
    <font>
      <sz val="11"/>
      <color theme="1"/>
      <name val="Calibri"/>
      <family val="2"/>
      <scheme val="minor"/>
    </font>
    <font>
      <sz val="6"/>
      <name val="NDSFrutiger 45 Light"/>
    </font>
    <font>
      <vertAlign val="superscript"/>
      <sz val="6"/>
      <name val="NDSFrutiger 45 Light"/>
    </font>
    <font>
      <sz val="6"/>
      <color theme="1"/>
      <name val="NDSFrutiger 45 Light"/>
    </font>
    <font>
      <sz val="11"/>
      <name val="NDSFrutiger 55 Roman"/>
    </font>
    <font>
      <sz val="9"/>
      <name val="NDSFrutiger 55 Roman"/>
    </font>
    <font>
      <sz val="8"/>
      <name val="NDSFrutiger 45 Light"/>
    </font>
    <font>
      <sz val="10"/>
      <name val="Arial"/>
      <family val="2"/>
    </font>
    <font>
      <sz val="6"/>
      <name val="Arial"/>
      <family val="2"/>
    </font>
    <font>
      <vertAlign val="superscript"/>
      <sz val="6"/>
      <color theme="1"/>
      <name val="NDSFrutiger 45 Light"/>
    </font>
    <font>
      <b/>
      <sz val="11"/>
      <color rgb="FF112277"/>
      <name val="Arial"/>
      <family val="2"/>
    </font>
    <font>
      <b/>
      <sz val="9.5"/>
      <color rgb="FF112277"/>
      <name val="Arial"/>
      <family val="2"/>
    </font>
    <font>
      <sz val="9.5"/>
      <color rgb="FF112277"/>
      <name val="Arial"/>
      <family val="2"/>
    </font>
    <font>
      <sz val="9.5"/>
      <color rgb="FF000000"/>
      <name val="Arial"/>
      <family val="2"/>
    </font>
    <font>
      <b/>
      <sz val="11"/>
      <color rgb="FF112277"/>
      <name val="Arial"/>
      <family val="2"/>
    </font>
    <font>
      <b/>
      <sz val="9.5"/>
      <color rgb="FF112277"/>
      <name val="Arial"/>
      <family val="2"/>
    </font>
    <font>
      <sz val="9.5"/>
      <color rgb="FF112277"/>
      <name val="Arial"/>
      <family val="2"/>
    </font>
    <font>
      <u/>
      <sz val="11"/>
      <color theme="10"/>
      <name val="Calibri"/>
      <family val="2"/>
      <scheme val="minor"/>
    </font>
    <font>
      <u/>
      <sz val="6"/>
      <color theme="10"/>
      <name val="NDSFrutiger 45 Light"/>
    </font>
  </fonts>
  <fills count="6">
    <fill>
      <patternFill patternType="none"/>
    </fill>
    <fill>
      <patternFill patternType="gray125"/>
    </fill>
    <fill>
      <patternFill patternType="solid">
        <fgColor rgb="FFEDF2F9"/>
        <bgColor indexed="64"/>
      </patternFill>
    </fill>
    <fill>
      <patternFill patternType="solid">
        <fgColor rgb="FFFFFFFF"/>
        <bgColor indexed="64"/>
      </patternFill>
    </fill>
    <fill>
      <patternFill patternType="solid">
        <fgColor rgb="FFFAFBFE"/>
        <bgColor indexed="64"/>
      </patternFill>
    </fill>
    <fill>
      <patternFill patternType="solid">
        <fgColor theme="5"/>
        <bgColor indexed="64"/>
      </patternFill>
    </fill>
  </fills>
  <borders count="18">
    <border>
      <left/>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rgb="FFB0B7BB"/>
      </left>
      <right style="thin">
        <color rgb="FFB0B7BB"/>
      </right>
      <top style="thin">
        <color rgb="FFB0B7BB"/>
      </top>
      <bottom style="thin">
        <color rgb="FFB0B7BB"/>
      </bottom>
      <diagonal/>
    </border>
    <border>
      <left style="thin">
        <color rgb="FFC1C1C1"/>
      </left>
      <right style="thin">
        <color rgb="FFC1C1C1"/>
      </right>
      <top style="thin">
        <color rgb="FFC1C1C1"/>
      </top>
      <bottom style="thin">
        <color rgb="FFC1C1C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s>
  <cellStyleXfs count="4">
    <xf numFmtId="0" fontId="0" fillId="0" borderId="0"/>
    <xf numFmtId="0" fontId="7" fillId="0" borderId="0"/>
    <xf numFmtId="0" fontId="13" fillId="0" borderId="0"/>
    <xf numFmtId="0" fontId="17" fillId="0" borderId="0" applyNumberFormat="0" applyFill="0" applyBorder="0" applyAlignment="0" applyProtection="0"/>
  </cellStyleXfs>
  <cellXfs count="118">
    <xf numFmtId="0" fontId="0" fillId="0" borderId="0" xfId="0"/>
    <xf numFmtId="0" fontId="0" fillId="3" borderId="14" xfId="0" applyFont="1" applyFill="1" applyBorder="1" applyAlignment="1">
      <alignment horizontal="right"/>
    </xf>
    <xf numFmtId="167" fontId="0" fillId="3" borderId="14" xfId="0" applyNumberFormat="1" applyFont="1" applyFill="1" applyBorder="1" applyAlignment="1">
      <alignment horizontal="right"/>
    </xf>
    <xf numFmtId="0" fontId="1" fillId="0" borderId="7" xfId="0" applyFont="1" applyBorder="1" applyAlignment="1">
      <alignment horizontal="center" vertical="center" wrapText="1"/>
    </xf>
    <xf numFmtId="0" fontId="1" fillId="0" borderId="11" xfId="0" applyFont="1" applyBorder="1" applyAlignment="1">
      <alignment horizontal="center" vertical="center" wrapText="1"/>
    </xf>
    <xf numFmtId="0" fontId="0" fillId="0" borderId="0" xfId="0" applyAlignment="1"/>
    <xf numFmtId="1" fontId="1" fillId="0" borderId="0" xfId="0" applyNumberFormat="1" applyFont="1" applyBorder="1" applyAlignment="1">
      <alignment horizontal="center" wrapText="1"/>
    </xf>
    <xf numFmtId="0" fontId="3" fillId="0" borderId="0" xfId="0" applyFont="1" applyAlignment="1">
      <alignment horizontal="center"/>
    </xf>
    <xf numFmtId="0" fontId="1" fillId="0" borderId="0" xfId="0" applyFont="1" applyAlignment="1">
      <alignment horizontal="left" wrapText="1"/>
    </xf>
    <xf numFmtId="0" fontId="5" fillId="0" borderId="0" xfId="0" applyFont="1"/>
    <xf numFmtId="0" fontId="6" fillId="0" borderId="0" xfId="0" applyFont="1"/>
    <xf numFmtId="0" fontId="1" fillId="0" borderId="15" xfId="0" applyFont="1" applyBorder="1" applyAlignment="1">
      <alignment horizontal="center" vertical="center" wrapText="1"/>
    </xf>
    <xf numFmtId="0" fontId="1" fillId="0" borderId="0" xfId="0" applyFont="1" applyBorder="1" applyAlignment="1">
      <alignment vertical="top" wrapText="1"/>
    </xf>
    <xf numFmtId="1" fontId="1" fillId="0" borderId="0" xfId="0" applyNumberFormat="1" applyFont="1" applyBorder="1" applyAlignment="1">
      <alignment horizontal="center" vertical="top" wrapText="1"/>
    </xf>
    <xf numFmtId="164" fontId="1" fillId="0" borderId="0" xfId="0" applyNumberFormat="1" applyFont="1" applyBorder="1" applyAlignment="1">
      <alignment horizontal="right" vertical="top" wrapText="1"/>
    </xf>
    <xf numFmtId="164" fontId="1" fillId="0" borderId="0" xfId="0" applyNumberFormat="1" applyFont="1" applyBorder="1" applyAlignment="1">
      <alignment vertical="top" wrapText="1"/>
    </xf>
    <xf numFmtId="0" fontId="1" fillId="0" borderId="12" xfId="0" applyFont="1" applyBorder="1" applyAlignment="1">
      <alignment vertical="top" wrapText="1"/>
    </xf>
    <xf numFmtId="0" fontId="1" fillId="0" borderId="0" xfId="0" applyFont="1" applyBorder="1" applyAlignment="1">
      <alignment vertical="center"/>
    </xf>
    <xf numFmtId="0" fontId="1" fillId="0" borderId="0" xfId="0" applyFont="1" applyBorder="1" applyAlignment="1"/>
    <xf numFmtId="0" fontId="1" fillId="0" borderId="0" xfId="0" applyFont="1" applyBorder="1"/>
    <xf numFmtId="0" fontId="1" fillId="0" borderId="0" xfId="1" applyFont="1"/>
    <xf numFmtId="0" fontId="1" fillId="0" borderId="0" xfId="1" applyFont="1" applyBorder="1"/>
    <xf numFmtId="0" fontId="0" fillId="4" borderId="0" xfId="0" applyFont="1" applyFill="1" applyBorder="1" applyAlignment="1">
      <alignment horizontal="left"/>
    </xf>
    <xf numFmtId="0" fontId="4" fillId="0" borderId="0" xfId="0" applyFont="1" applyAlignment="1" applyProtection="1">
      <alignment vertical="center"/>
      <protection locked="0"/>
    </xf>
    <xf numFmtId="0" fontId="0" fillId="0" borderId="0" xfId="0" applyProtection="1">
      <protection locked="0"/>
    </xf>
    <xf numFmtId="0" fontId="0" fillId="0" borderId="0" xfId="0" applyBorder="1" applyProtection="1">
      <protection locked="0"/>
    </xf>
    <xf numFmtId="0" fontId="5" fillId="0" borderId="0" xfId="0" applyFont="1" applyAlignment="1">
      <alignment vertical="center"/>
    </xf>
    <xf numFmtId="164" fontId="1" fillId="0" borderId="0" xfId="0" applyNumberFormat="1" applyFont="1" applyBorder="1" applyAlignment="1">
      <alignment vertical="center"/>
    </xf>
    <xf numFmtId="0" fontId="8" fillId="0" borderId="0" xfId="0" applyFont="1" applyBorder="1"/>
    <xf numFmtId="0" fontId="8" fillId="0" borderId="0" xfId="1" applyFont="1" applyBorder="1"/>
    <xf numFmtId="0" fontId="1" fillId="0" borderId="0" xfId="0" applyFont="1" applyAlignment="1">
      <alignment wrapText="1"/>
    </xf>
    <xf numFmtId="0" fontId="3" fillId="0" borderId="0" xfId="0" applyFont="1" applyAlignment="1">
      <alignment horizontal="right"/>
    </xf>
    <xf numFmtId="0" fontId="0" fillId="0" borderId="0" xfId="0" applyAlignment="1" applyProtection="1">
      <alignment horizontal="right"/>
      <protection locked="0"/>
    </xf>
    <xf numFmtId="0" fontId="5" fillId="0" borderId="0" xfId="0" applyFont="1" applyAlignment="1">
      <alignment horizontal="right" vertical="center"/>
    </xf>
    <xf numFmtId="164" fontId="1" fillId="0" borderId="0" xfId="0" applyNumberFormat="1" applyFont="1" applyBorder="1" applyAlignment="1">
      <alignment horizontal="right" vertical="center"/>
    </xf>
    <xf numFmtId="0" fontId="1" fillId="0" borderId="0" xfId="0" applyFont="1" applyAlignment="1">
      <alignment horizontal="right" wrapText="1"/>
    </xf>
    <xf numFmtId="0" fontId="8" fillId="0" borderId="0" xfId="1" applyFont="1" applyBorder="1" applyAlignment="1">
      <alignment horizontal="right"/>
    </xf>
    <xf numFmtId="0" fontId="1" fillId="0" borderId="0" xfId="0" applyFont="1" applyBorder="1" applyAlignment="1">
      <alignment vertical="center" wrapText="1"/>
    </xf>
    <xf numFmtId="0" fontId="3" fillId="0" borderId="0" xfId="0" applyFont="1" applyAlignment="1">
      <alignment horizontal="right" vertical="center"/>
    </xf>
    <xf numFmtId="164" fontId="3" fillId="0" borderId="0" xfId="0" applyNumberFormat="1" applyFont="1" applyAlignment="1">
      <alignment vertical="center"/>
    </xf>
    <xf numFmtId="0" fontId="0" fillId="0" borderId="0" xfId="0" applyAlignment="1">
      <alignment vertical="center"/>
    </xf>
    <xf numFmtId="164" fontId="1" fillId="0" borderId="0" xfId="0" applyNumberFormat="1" applyFont="1" applyBorder="1" applyAlignment="1">
      <alignment vertical="center" wrapText="1"/>
    </xf>
    <xf numFmtId="164" fontId="1" fillId="0" borderId="0" xfId="0" applyNumberFormat="1" applyFont="1" applyBorder="1" applyAlignment="1">
      <alignment horizontal="right" vertical="center" wrapText="1"/>
    </xf>
    <xf numFmtId="164" fontId="1" fillId="0" borderId="0" xfId="0" applyNumberFormat="1" applyFont="1" applyAlignment="1">
      <alignment horizontal="right" vertical="center" wrapText="1"/>
    </xf>
    <xf numFmtId="165" fontId="1" fillId="0" borderId="0" xfId="0" applyNumberFormat="1" applyFont="1" applyBorder="1" applyAlignment="1">
      <alignment horizontal="right" vertical="center" wrapText="1"/>
    </xf>
    <xf numFmtId="166" fontId="1" fillId="0" borderId="0" xfId="0" applyNumberFormat="1" applyFont="1" applyBorder="1" applyAlignment="1">
      <alignment horizontal="right" vertical="center" wrapText="1"/>
    </xf>
    <xf numFmtId="0" fontId="8" fillId="0" borderId="0" xfId="0" applyFont="1" applyBorder="1" applyAlignment="1">
      <alignment vertical="center"/>
    </xf>
    <xf numFmtId="0" fontId="0" fillId="4" borderId="0" xfId="0" applyFont="1" applyFill="1" applyBorder="1" applyAlignment="1">
      <alignment horizontal="left"/>
    </xf>
    <xf numFmtId="0" fontId="11" fillId="2" borderId="13" xfId="0" applyFont="1" applyFill="1" applyBorder="1" applyAlignment="1">
      <alignment horizontal="center"/>
    </xf>
    <xf numFmtId="0" fontId="11" fillId="2" borderId="13" xfId="0" applyFont="1" applyFill="1" applyBorder="1" applyAlignment="1">
      <alignment horizontal="center" wrapText="1"/>
    </xf>
    <xf numFmtId="0" fontId="11" fillId="2" borderId="13" xfId="0" applyFont="1" applyFill="1" applyBorder="1" applyAlignment="1">
      <alignment horizontal="left" vertical="top"/>
    </xf>
    <xf numFmtId="0" fontId="11" fillId="2" borderId="13" xfId="0" applyFont="1" applyFill="1" applyBorder="1" applyAlignment="1">
      <alignment horizontal="left" vertical="top"/>
    </xf>
    <xf numFmtId="164" fontId="0" fillId="4" borderId="0" xfId="0" applyNumberFormat="1" applyFont="1" applyFill="1" applyBorder="1" applyAlignment="1">
      <alignment horizontal="left"/>
    </xf>
    <xf numFmtId="0" fontId="3" fillId="0" borderId="0" xfId="0" applyFont="1" applyAlignment="1">
      <alignment horizontal="center" vertical="center"/>
    </xf>
    <xf numFmtId="1" fontId="1" fillId="0" borderId="0" xfId="0" applyNumberFormat="1" applyFont="1" applyBorder="1" applyAlignment="1">
      <alignment horizontal="center" vertical="center" wrapText="1"/>
    </xf>
    <xf numFmtId="0" fontId="1" fillId="0" borderId="0" xfId="0" applyFont="1" applyAlignment="1">
      <alignment horizontal="right" vertical="top" wrapText="1"/>
    </xf>
    <xf numFmtId="1" fontId="1" fillId="0" borderId="0" xfId="0" applyNumberFormat="1" applyFont="1" applyAlignment="1">
      <alignment horizontal="center" vertical="top" wrapText="1"/>
    </xf>
    <xf numFmtId="164" fontId="1" fillId="0" borderId="0" xfId="0" applyNumberFormat="1" applyFont="1" applyAlignment="1">
      <alignment horizontal="right" vertical="top" wrapText="1"/>
    </xf>
    <xf numFmtId="0" fontId="0" fillId="4" borderId="0" xfId="0" applyFont="1" applyFill="1" applyBorder="1" applyAlignment="1">
      <alignment horizontal="left"/>
    </xf>
    <xf numFmtId="0" fontId="11" fillId="2" borderId="13" xfId="0" applyFont="1" applyFill="1" applyBorder="1" applyAlignment="1">
      <alignment horizontal="center"/>
    </xf>
    <xf numFmtId="0" fontId="15" fillId="2" borderId="13" xfId="2" applyFont="1" applyFill="1" applyBorder="1" applyAlignment="1">
      <alignment horizontal="center"/>
    </xf>
    <xf numFmtId="0" fontId="15" fillId="2" borderId="13" xfId="2" applyFont="1" applyFill="1" applyBorder="1" applyAlignment="1">
      <alignment horizontal="center" wrapText="1"/>
    </xf>
    <xf numFmtId="0" fontId="15" fillId="2" borderId="13" xfId="2" applyFont="1" applyFill="1" applyBorder="1" applyAlignment="1">
      <alignment horizontal="left" vertical="top"/>
    </xf>
    <xf numFmtId="0" fontId="13" fillId="3" borderId="14" xfId="2" applyFont="1" applyFill="1" applyBorder="1" applyAlignment="1">
      <alignment horizontal="right"/>
    </xf>
    <xf numFmtId="167" fontId="13" fillId="3" borderId="14" xfId="2" applyNumberFormat="1" applyFont="1" applyFill="1" applyBorder="1" applyAlignment="1">
      <alignment horizontal="right"/>
    </xf>
    <xf numFmtId="164" fontId="3" fillId="0" borderId="0" xfId="0" applyNumberFormat="1" applyFont="1" applyAlignment="1">
      <alignment horizontal="right" vertical="center"/>
    </xf>
    <xf numFmtId="0" fontId="1" fillId="5" borderId="0" xfId="0" applyFont="1" applyFill="1" applyBorder="1" applyAlignment="1">
      <alignment vertical="center" wrapText="1"/>
    </xf>
    <xf numFmtId="0" fontId="3" fillId="5" borderId="0" xfId="0" applyFont="1" applyFill="1" applyAlignment="1">
      <alignment horizontal="right" vertical="center"/>
    </xf>
    <xf numFmtId="164" fontId="3" fillId="5" borderId="0" xfId="0" applyNumberFormat="1" applyFont="1" applyFill="1" applyAlignment="1">
      <alignment horizontal="right" vertical="center"/>
    </xf>
    <xf numFmtId="164" fontId="1" fillId="5" borderId="0" xfId="0" applyNumberFormat="1" applyFont="1" applyFill="1" applyBorder="1" applyAlignment="1">
      <alignment vertical="center" wrapText="1"/>
    </xf>
    <xf numFmtId="0" fontId="5" fillId="0" borderId="0" xfId="0" applyFont="1" applyAlignment="1"/>
    <xf numFmtId="0" fontId="1" fillId="0" borderId="0" xfId="0" applyFont="1" applyFill="1" applyBorder="1" applyAlignment="1">
      <alignment vertical="center" wrapText="1"/>
    </xf>
    <xf numFmtId="0" fontId="3" fillId="0" borderId="0" xfId="0" applyFont="1" applyFill="1" applyAlignment="1">
      <alignment horizontal="right" vertical="center"/>
    </xf>
    <xf numFmtId="164" fontId="3" fillId="0" borderId="0" xfId="0" applyNumberFormat="1" applyFont="1" applyFill="1" applyAlignment="1">
      <alignment horizontal="right" vertical="center"/>
    </xf>
    <xf numFmtId="164" fontId="1" fillId="0" borderId="0" xfId="0" applyNumberFormat="1" applyFont="1" applyFill="1" applyBorder="1" applyAlignment="1">
      <alignment vertical="center" wrapText="1"/>
    </xf>
    <xf numFmtId="49" fontId="0" fillId="0" borderId="0" xfId="0" applyNumberFormat="1"/>
    <xf numFmtId="0" fontId="0" fillId="0" borderId="12" xfId="0" applyBorder="1" applyAlignment="1"/>
    <xf numFmtId="0" fontId="18" fillId="0" borderId="0" xfId="3" applyFont="1" applyBorder="1" applyAlignment="1">
      <alignment vertical="center"/>
    </xf>
    <xf numFmtId="164" fontId="1" fillId="0" borderId="0" xfId="0" applyNumberFormat="1" applyFont="1" applyBorder="1" applyAlignment="1">
      <alignment horizontal="left" vertical="center" wrapText="1"/>
    </xf>
    <xf numFmtId="0" fontId="1" fillId="0" borderId="0" xfId="0" applyFont="1" applyAlignment="1">
      <alignment horizontal="left" vertical="center" wrapText="1"/>
    </xf>
    <xf numFmtId="0" fontId="1" fillId="0" borderId="2"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7"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1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1" fillId="0" borderId="1" xfId="0" applyFont="1" applyBorder="1" applyAlignment="1">
      <alignment horizontal="center" vertical="center" wrapText="1"/>
    </xf>
    <xf numFmtId="0" fontId="1" fillId="0" borderId="3" xfId="0" applyFont="1" applyBorder="1" applyAlignment="1">
      <alignment horizontal="center" vertical="center" wrapText="1"/>
    </xf>
    <xf numFmtId="0" fontId="1" fillId="0" borderId="5" xfId="0" applyFont="1" applyBorder="1" applyAlignment="1">
      <alignment horizontal="center" vertical="center" wrapText="1"/>
    </xf>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11" xfId="0" applyFont="1" applyBorder="1" applyAlignment="1">
      <alignment horizontal="center" vertical="center" wrapText="1"/>
    </xf>
    <xf numFmtId="0" fontId="3" fillId="0" borderId="16" xfId="0" applyFont="1" applyBorder="1" applyAlignment="1">
      <alignment horizontal="center" vertical="center"/>
    </xf>
    <xf numFmtId="0" fontId="3" fillId="0" borderId="8" xfId="0" applyFont="1" applyBorder="1" applyAlignment="1">
      <alignment horizontal="center" vertical="center"/>
    </xf>
    <xf numFmtId="0" fontId="3" fillId="0" borderId="9" xfId="0" applyFont="1" applyBorder="1" applyAlignment="1">
      <alignment horizontal="center" vertical="center"/>
    </xf>
    <xf numFmtId="0" fontId="3" fillId="0" borderId="11" xfId="0" applyFont="1" applyBorder="1" applyAlignment="1">
      <alignment horizontal="center" vertical="center"/>
    </xf>
    <xf numFmtId="0" fontId="3" fillId="0" borderId="10" xfId="0" applyFont="1" applyBorder="1" applyAlignment="1">
      <alignment horizontal="center" vertical="center"/>
    </xf>
    <xf numFmtId="0" fontId="1" fillId="0" borderId="0" xfId="0" applyFont="1" applyBorder="1" applyAlignment="1">
      <alignment horizontal="left" vertical="center" wrapText="1"/>
    </xf>
    <xf numFmtId="0" fontId="4" fillId="0" borderId="0" xfId="0" applyFont="1" applyAlignment="1" applyProtection="1">
      <alignment horizontal="left" vertical="center" wrapText="1"/>
      <protection locked="0"/>
    </xf>
    <xf numFmtId="0" fontId="1" fillId="0" borderId="10" xfId="1" applyFont="1" applyBorder="1" applyAlignment="1">
      <alignment horizontal="center" vertical="center"/>
    </xf>
    <xf numFmtId="0" fontId="1" fillId="0" borderId="15" xfId="0" applyFont="1" applyBorder="1" applyAlignment="1">
      <alignment horizontal="center" vertical="center" wrapText="1"/>
    </xf>
    <xf numFmtId="0" fontId="11" fillId="2" borderId="13" xfId="0" applyFont="1" applyFill="1" applyBorder="1" applyAlignment="1">
      <alignment horizontal="left" vertical="top"/>
    </xf>
    <xf numFmtId="0" fontId="12" fillId="4" borderId="0" xfId="0" applyFont="1" applyFill="1" applyBorder="1" applyAlignment="1">
      <alignment horizontal="center" wrapText="1"/>
    </xf>
    <xf numFmtId="0" fontId="0" fillId="4" borderId="0" xfId="0" applyFont="1" applyFill="1" applyBorder="1" applyAlignment="1">
      <alignment horizontal="left"/>
    </xf>
    <xf numFmtId="0" fontId="10" fillId="4" borderId="0" xfId="0" applyFont="1" applyFill="1" applyBorder="1" applyAlignment="1">
      <alignment horizontal="center" wrapText="1"/>
    </xf>
    <xf numFmtId="0" fontId="11" fillId="2" borderId="13" xfId="0" applyFont="1" applyFill="1" applyBorder="1" applyAlignment="1">
      <alignment horizontal="center" vertical="center"/>
    </xf>
    <xf numFmtId="0" fontId="11" fillId="2" borderId="13" xfId="0" applyFont="1" applyFill="1" applyBorder="1" applyAlignment="1">
      <alignment horizontal="center"/>
    </xf>
    <xf numFmtId="0" fontId="11" fillId="2" borderId="13" xfId="0" applyFont="1" applyFill="1" applyBorder="1" applyAlignment="1">
      <alignment horizontal="left" vertical="top" wrapText="1"/>
    </xf>
    <xf numFmtId="168" fontId="11" fillId="2" borderId="13" xfId="0" applyNumberFormat="1" applyFont="1" applyFill="1" applyBorder="1" applyAlignment="1">
      <alignment horizontal="left" vertical="top"/>
    </xf>
    <xf numFmtId="0" fontId="15" fillId="2" borderId="13" xfId="2" applyFont="1" applyFill="1" applyBorder="1" applyAlignment="1">
      <alignment horizontal="left" vertical="top"/>
    </xf>
    <xf numFmtId="0" fontId="14" fillId="4" borderId="0" xfId="2" applyFont="1" applyFill="1" applyBorder="1" applyAlignment="1">
      <alignment horizontal="center" wrapText="1"/>
    </xf>
    <xf numFmtId="0" fontId="13" fillId="4" borderId="0" xfId="2" applyFont="1" applyFill="1" applyBorder="1" applyAlignment="1">
      <alignment horizontal="left"/>
    </xf>
    <xf numFmtId="0" fontId="16" fillId="4" borderId="0" xfId="2" applyFont="1" applyFill="1" applyBorder="1" applyAlignment="1">
      <alignment horizontal="center" wrapText="1"/>
    </xf>
    <xf numFmtId="168" fontId="15" fillId="2" borderId="13" xfId="2" applyNumberFormat="1" applyFont="1" applyFill="1" applyBorder="1" applyAlignment="1">
      <alignment horizontal="left" vertical="top"/>
    </xf>
    <xf numFmtId="0" fontId="15" fillId="2" borderId="13" xfId="2" applyFont="1" applyFill="1" applyBorder="1" applyAlignment="1">
      <alignment horizontal="center" vertical="center"/>
    </xf>
    <xf numFmtId="0" fontId="15" fillId="2" borderId="13" xfId="2" applyFont="1" applyFill="1" applyBorder="1" applyAlignment="1">
      <alignment horizontal="center"/>
    </xf>
    <xf numFmtId="0" fontId="15" fillId="2" borderId="13" xfId="2" applyFont="1" applyFill="1" applyBorder="1" applyAlignment="1">
      <alignment horizontal="left" vertical="top" wrapText="1"/>
    </xf>
  </cellXfs>
  <cellStyles count="4">
    <cellStyle name="Link" xfId="3" builtinId="8"/>
    <cellStyle name="Standard" xfId="0" builtinId="0"/>
    <cellStyle name="Standard 2" xfId="2" xr:uid="{00000000-0005-0000-0000-000030000000}"/>
    <cellStyle name="Standard_Tabelle_A_6_HT" xfId="1" xr:uid="{00000000-0005-0000-0000-000001000000}"/>
  </cellStyles>
  <dxfs count="11">
    <dxf>
      <font>
        <b val="0"/>
        <i val="0"/>
        <strike val="0"/>
        <condense val="0"/>
        <extend val="0"/>
        <outline val="0"/>
        <shadow val="0"/>
        <u val="none"/>
        <vertAlign val="baseline"/>
        <sz val="6"/>
        <color auto="1"/>
        <name val="NDSFrutiger 45 Light"/>
        <scheme val="none"/>
      </font>
      <numFmt numFmtId="164" formatCode="0.0"/>
      <fill>
        <patternFill patternType="solid">
          <fgColor indexed="64"/>
          <bgColor rgb="FFFFFF00"/>
        </patternFill>
      </fill>
      <alignment horizontal="right" vertical="top" textRotation="0" wrapText="1" indent="0" justifyLastLine="0" shrinkToFit="0" readingOrder="0"/>
    </dxf>
    <dxf>
      <font>
        <b val="0"/>
        <i val="0"/>
        <strike val="0"/>
        <condense val="0"/>
        <extend val="0"/>
        <outline val="0"/>
        <shadow val="0"/>
        <u val="none"/>
        <vertAlign val="baseline"/>
        <sz val="6"/>
        <color auto="1"/>
        <name val="NDSFrutiger 45 Light"/>
        <scheme val="none"/>
      </font>
      <numFmt numFmtId="164" formatCode="0.0"/>
      <fill>
        <patternFill patternType="solid">
          <fgColor indexed="64"/>
          <bgColor rgb="FFFFFF00"/>
        </patternFill>
      </fill>
      <alignment horizontal="right" vertical="top" textRotation="0" wrapText="1" indent="0" justifyLastLine="0" shrinkToFit="0" readingOrder="0"/>
    </dxf>
    <dxf>
      <font>
        <b val="0"/>
        <i val="0"/>
        <strike val="0"/>
        <condense val="0"/>
        <extend val="0"/>
        <outline val="0"/>
        <shadow val="0"/>
        <u val="none"/>
        <vertAlign val="baseline"/>
        <sz val="6"/>
        <color auto="1"/>
        <name val="NDSFrutiger 45 Light"/>
        <scheme val="none"/>
      </font>
      <numFmt numFmtId="164" formatCode="0.0"/>
      <fill>
        <patternFill patternType="solid">
          <fgColor indexed="64"/>
          <bgColor rgb="FFFFFF00"/>
        </patternFill>
      </fill>
      <alignment horizontal="right" vertical="top" textRotation="0" wrapText="1" indent="0" justifyLastLine="0" shrinkToFit="0" readingOrder="0"/>
    </dxf>
    <dxf>
      <font>
        <b val="0"/>
        <i val="0"/>
        <strike val="0"/>
        <condense val="0"/>
        <extend val="0"/>
        <outline val="0"/>
        <shadow val="0"/>
        <u val="none"/>
        <vertAlign val="baseline"/>
        <sz val="6"/>
        <color auto="1"/>
        <name val="NDSFrutiger 45 Light"/>
        <scheme val="none"/>
      </font>
      <numFmt numFmtId="164" formatCode="0.0"/>
      <alignment horizontal="right" vertical="top" textRotation="0" wrapText="1" indent="0" justifyLastLine="0" shrinkToFit="0" readingOrder="0"/>
    </dxf>
    <dxf>
      <font>
        <b val="0"/>
        <i val="0"/>
        <strike val="0"/>
        <condense val="0"/>
        <extend val="0"/>
        <outline val="0"/>
        <shadow val="0"/>
        <u val="none"/>
        <vertAlign val="baseline"/>
        <sz val="6"/>
        <color auto="1"/>
        <name val="NDSFrutiger 45 Light"/>
        <scheme val="none"/>
      </font>
      <numFmt numFmtId="164" formatCode="0.0"/>
      <alignment horizontal="right" vertical="top" textRotation="0" wrapText="1" indent="0" justifyLastLine="0" shrinkToFit="0" readingOrder="0"/>
    </dxf>
    <dxf>
      <font>
        <b val="0"/>
        <i val="0"/>
        <strike val="0"/>
        <condense val="0"/>
        <extend val="0"/>
        <outline val="0"/>
        <shadow val="0"/>
        <u val="none"/>
        <vertAlign val="baseline"/>
        <sz val="6"/>
        <color auto="1"/>
        <name val="NDSFrutiger 45 Light"/>
        <scheme val="none"/>
      </font>
      <numFmt numFmtId="164" formatCode="0.0"/>
      <alignment horizontal="right" vertical="top" textRotation="0" wrapText="1" indent="0" justifyLastLine="0" shrinkToFit="0" readingOrder="0"/>
    </dxf>
    <dxf>
      <font>
        <b val="0"/>
        <i val="0"/>
        <strike val="0"/>
        <condense val="0"/>
        <extend val="0"/>
        <outline val="0"/>
        <shadow val="0"/>
        <u val="none"/>
        <vertAlign val="baseline"/>
        <sz val="6"/>
        <color auto="1"/>
        <name val="NDSFrutiger 45 Light"/>
        <scheme val="none"/>
      </font>
      <numFmt numFmtId="164" formatCode="0.0"/>
      <alignment horizontal="general" vertical="top" textRotation="0" wrapText="1" indent="0" justifyLastLine="0" shrinkToFit="0" readingOrder="0"/>
    </dxf>
    <dxf>
      <font>
        <b val="0"/>
        <i val="0"/>
        <strike val="0"/>
        <condense val="0"/>
        <extend val="0"/>
        <outline val="0"/>
        <shadow val="0"/>
        <u val="none"/>
        <vertAlign val="baseline"/>
        <sz val="6"/>
        <color auto="1"/>
        <name val="NDSFrutiger 45 Light"/>
        <scheme val="none"/>
      </font>
      <alignment horizontal="general" vertical="top" textRotation="0" wrapText="1" indent="0" justifyLastLine="0" shrinkToFit="0" readingOrder="0"/>
    </dxf>
    <dxf>
      <font>
        <b val="0"/>
        <i val="0"/>
        <strike val="0"/>
        <condense val="0"/>
        <extend val="0"/>
        <outline val="0"/>
        <shadow val="0"/>
        <u val="none"/>
        <vertAlign val="baseline"/>
        <sz val="6"/>
        <color auto="1"/>
        <name val="NDSFrutiger 45 Light"/>
        <scheme val="none"/>
      </font>
      <alignment horizontal="right" vertical="top" textRotation="0" wrapText="1" indent="0" justifyLastLine="0" shrinkToFit="0" readingOrder="0"/>
    </dxf>
    <dxf>
      <font>
        <b val="0"/>
        <i val="0"/>
        <strike val="0"/>
        <condense val="0"/>
        <extend val="0"/>
        <outline val="0"/>
        <shadow val="0"/>
        <u val="none"/>
        <vertAlign val="baseline"/>
        <sz val="6"/>
        <color auto="1"/>
        <name val="NDSFrutiger 45 Light"/>
        <scheme val="none"/>
      </font>
      <numFmt numFmtId="1" formatCode="0"/>
      <alignment horizontal="center" vertical="top" textRotation="0" wrapText="1" indent="0" justifyLastLine="0" shrinkToFit="0" readingOrder="0"/>
    </dxf>
    <dxf>
      <font>
        <strike val="0"/>
      </font>
    </dxf>
  </dxfs>
  <tableStyles count="1" defaultTableStyle="TableStyleMedium2" defaultPivotStyle="PivotStyleLight16">
    <tableStyle name="Tabellenformat 1" pivot="0" count="1" xr9:uid="{00000000-0011-0000-FFFF-FFFF00000000}">
      <tableStyleElement type="wholeTable"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le6" displayName="Tabelle6" ref="A8:H20" totalsRowShown="0" headerRowDxfId="9" dataDxfId="8">
  <autoFilter ref="A8:H20" xr:uid="{00000000-0009-0000-0100-000001000000}"/>
  <tableColumns count="8">
    <tableColumn id="1" xr3:uid="{00000000-0010-0000-0000-000001000000}" name="1" dataDxfId="7"/>
    <tableColumn id="2" xr3:uid="{00000000-0010-0000-0000-000002000000}" name="2" dataDxfId="6"/>
    <tableColumn id="3" xr3:uid="{00000000-0010-0000-0000-000003000000}" name="3" dataDxfId="5"/>
    <tableColumn id="4" xr3:uid="{00000000-0010-0000-0000-000004000000}" name="4" dataDxfId="4"/>
    <tableColumn id="5" xr3:uid="{00000000-0010-0000-0000-000005000000}" name="5" dataDxfId="3"/>
    <tableColumn id="6" xr3:uid="{00000000-0010-0000-0000-000006000000}" name="6" dataDxfId="2"/>
    <tableColumn id="7" xr3:uid="{00000000-0010-0000-0000-000007000000}" name="7" dataDxfId="1"/>
    <tableColumn id="8" xr3:uid="{00000000-0010-0000-0000-000008000000}" name="8" dataDxfId="0"/>
  </tableColumns>
  <tableStyleInfo name="Tabellenformat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hyperlink" Target="https://www.integrationsmonitoring.niedersachsen.de/"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theme="5"/>
  </sheetPr>
  <dimension ref="A1:U161"/>
  <sheetViews>
    <sheetView workbookViewId="0"/>
  </sheetViews>
  <sheetFormatPr baseColWidth="10" defaultColWidth="11.42578125" defaultRowHeight="15" x14ac:dyDescent="0.25"/>
  <cols>
    <col min="1" max="2" width="11.42578125" style="5"/>
    <col min="3" max="3" width="11.42578125" style="31"/>
    <col min="4" max="16384" width="11.42578125" style="5"/>
  </cols>
  <sheetData>
    <row r="1" spans="1:11" ht="30" customHeight="1" x14ac:dyDescent="0.25">
      <c r="A1" s="23" t="s">
        <v>43</v>
      </c>
      <c r="B1" s="23"/>
      <c r="C1" s="32"/>
      <c r="D1" s="24"/>
      <c r="E1" s="24"/>
      <c r="F1" s="24"/>
      <c r="G1" s="24"/>
      <c r="H1" s="24"/>
      <c r="I1" s="24"/>
      <c r="J1" s="24"/>
      <c r="K1" s="25"/>
    </row>
    <row r="2" spans="1:11" ht="30" customHeight="1" x14ac:dyDescent="0.25">
      <c r="A2" s="26" t="s">
        <v>44</v>
      </c>
      <c r="B2" s="26"/>
      <c r="C2" s="33"/>
      <c r="D2" s="26"/>
      <c r="E2" s="26"/>
      <c r="F2" s="26"/>
      <c r="G2" s="26"/>
      <c r="H2" s="9"/>
      <c r="I2" s="9"/>
      <c r="J2" s="9"/>
      <c r="K2" s="9"/>
    </row>
    <row r="4" spans="1:11" ht="8.25" customHeight="1" x14ac:dyDescent="0.25">
      <c r="A4" s="87" t="s">
        <v>0</v>
      </c>
      <c r="B4" s="80" t="s">
        <v>1</v>
      </c>
      <c r="C4" s="93" t="s">
        <v>11</v>
      </c>
      <c r="D4" s="84" t="s">
        <v>12</v>
      </c>
      <c r="E4" s="80" t="s">
        <v>13</v>
      </c>
      <c r="F4" s="82" t="s">
        <v>14</v>
      </c>
    </row>
    <row r="5" spans="1:11" ht="8.25" customHeight="1" x14ac:dyDescent="0.25">
      <c r="A5" s="88"/>
      <c r="B5" s="90"/>
      <c r="C5" s="94"/>
      <c r="D5" s="85"/>
      <c r="E5" s="81"/>
      <c r="F5" s="83"/>
    </row>
    <row r="6" spans="1:11" ht="8.25" customHeight="1" x14ac:dyDescent="0.25">
      <c r="A6" s="88"/>
      <c r="B6" s="90"/>
      <c r="C6" s="94"/>
      <c r="D6" s="86"/>
      <c r="E6" s="91" t="s">
        <v>45</v>
      </c>
      <c r="F6" s="92"/>
    </row>
    <row r="7" spans="1:11" ht="8.25" customHeight="1" x14ac:dyDescent="0.25">
      <c r="A7" s="89"/>
      <c r="B7" s="81"/>
      <c r="C7" s="95"/>
      <c r="D7" s="96" t="s">
        <v>16</v>
      </c>
      <c r="E7" s="97"/>
      <c r="F7" s="97"/>
    </row>
    <row r="8" spans="1:11" ht="8.25" customHeight="1" x14ac:dyDescent="0.25">
      <c r="A8" s="6" t="s">
        <v>2</v>
      </c>
      <c r="B8" s="6" t="s">
        <v>3</v>
      </c>
      <c r="C8" s="31">
        <v>3</v>
      </c>
      <c r="D8" s="7">
        <v>4</v>
      </c>
      <c r="E8" s="7">
        <v>5</v>
      </c>
      <c r="F8" s="7">
        <v>6</v>
      </c>
    </row>
    <row r="9" spans="1:11" ht="8.25" customHeight="1" x14ac:dyDescent="0.25">
      <c r="A9" s="66" t="s">
        <v>4</v>
      </c>
      <c r="B9" s="66" t="s">
        <v>5</v>
      </c>
      <c r="C9" s="67" t="s">
        <v>75</v>
      </c>
      <c r="D9" s="68">
        <f>'2019-B7_Berechnung'!D9</f>
        <v>4.6753504681455125</v>
      </c>
      <c r="E9" s="68">
        <f>'2019-B7_Berechnung'!F9</f>
        <v>2.3615485127004585</v>
      </c>
      <c r="F9" s="68">
        <f>'2019-B7_Berechnung'!E9</f>
        <v>11.065251276790905</v>
      </c>
    </row>
    <row r="10" spans="1:11" ht="8.25" customHeight="1" x14ac:dyDescent="0.25">
      <c r="A10" s="66" t="s">
        <v>6</v>
      </c>
      <c r="B10" s="66" t="s">
        <v>5</v>
      </c>
      <c r="C10" s="67" t="s">
        <v>75</v>
      </c>
      <c r="D10" s="68">
        <f>'2019-B7_Berechnung'!D10</f>
        <v>4.7491300663414506</v>
      </c>
      <c r="E10" s="68">
        <f>'2019-B7_Berechnung'!F10</f>
        <v>1.8385398544695397</v>
      </c>
      <c r="F10" s="68">
        <f>'2019-B7_Berechnung'!E10</f>
        <v>11.732429157162567</v>
      </c>
    </row>
    <row r="11" spans="1:11" ht="8.25" customHeight="1" x14ac:dyDescent="0.25">
      <c r="A11" s="66" t="s">
        <v>7</v>
      </c>
      <c r="B11" s="66" t="s">
        <v>5</v>
      </c>
      <c r="C11" s="67" t="s">
        <v>75</v>
      </c>
      <c r="D11" s="68">
        <f>'2019-B7_Berechnung'!D11</f>
        <v>4.1453676331601041</v>
      </c>
      <c r="E11" s="68">
        <f>'2019-B7_Berechnung'!F11</f>
        <v>1.9346383338033166</v>
      </c>
      <c r="F11" s="68">
        <f>'2019-B7_Berechnung'!E11</f>
        <v>11.564406055663891</v>
      </c>
    </row>
    <row r="12" spans="1:11" ht="8.25" customHeight="1" x14ac:dyDescent="0.25">
      <c r="A12" s="66" t="s">
        <v>4</v>
      </c>
      <c r="B12" s="69" t="s">
        <v>8</v>
      </c>
      <c r="C12" s="67" t="s">
        <v>75</v>
      </c>
      <c r="D12" s="68">
        <f>'2019-B7_Berechnung'!D12</f>
        <v>12.239844321392724</v>
      </c>
      <c r="E12" s="68">
        <f>'2019-B7_Berechnung'!F12</f>
        <v>10.284271441944323</v>
      </c>
      <c r="F12" s="68">
        <f>'2019-B7_Berechnung'!E12</f>
        <v>17.640449721065899</v>
      </c>
    </row>
    <row r="13" spans="1:11" ht="8.25" customHeight="1" x14ac:dyDescent="0.25">
      <c r="A13" s="66" t="s">
        <v>6</v>
      </c>
      <c r="B13" s="69" t="s">
        <v>8</v>
      </c>
      <c r="C13" s="67" t="s">
        <v>75</v>
      </c>
      <c r="D13" s="68">
        <f>'2019-B7_Berechnung'!D13</f>
        <v>13.776773099118131</v>
      </c>
      <c r="E13" s="68">
        <f>'2019-B7_Berechnung'!F13</f>
        <v>12.04569535421993</v>
      </c>
      <c r="F13" s="68">
        <f>'2019-B7_Berechnung'!E13</f>
        <v>17.930100349646338</v>
      </c>
    </row>
    <row r="14" spans="1:11" ht="8.25" customHeight="1" x14ac:dyDescent="0.25">
      <c r="A14" s="66" t="s">
        <v>7</v>
      </c>
      <c r="B14" s="69" t="s">
        <v>8</v>
      </c>
      <c r="C14" s="67" t="s">
        <v>75</v>
      </c>
      <c r="D14" s="68">
        <f>'2019-B7_Berechnung'!D14</f>
        <v>22.440954867361455</v>
      </c>
      <c r="E14" s="68">
        <f>'2019-B7_Berechnung'!F14</f>
        <v>21.893700258293645</v>
      </c>
      <c r="F14" s="68">
        <f>'2019-B7_Berechnung'!E14</f>
        <v>24.277499474042926</v>
      </c>
    </row>
    <row r="15" spans="1:11" ht="8.25" customHeight="1" x14ac:dyDescent="0.25">
      <c r="A15" s="66" t="s">
        <v>4</v>
      </c>
      <c r="B15" s="69" t="s">
        <v>9</v>
      </c>
      <c r="C15" s="67" t="s">
        <v>75</v>
      </c>
      <c r="D15" s="68">
        <f>'2019-B7_Berechnung'!D15</f>
        <v>35.286522128373356</v>
      </c>
      <c r="E15" s="68">
        <f>'2019-B7_Berechnung'!F15</f>
        <v>35.877957534518096</v>
      </c>
      <c r="F15" s="68">
        <f>'2019-B7_Berechnung'!E15</f>
        <v>33.653187930570994</v>
      </c>
    </row>
    <row r="16" spans="1:11" ht="8.25" customHeight="1" x14ac:dyDescent="0.25">
      <c r="A16" s="66" t="s">
        <v>6</v>
      </c>
      <c r="B16" s="69" t="s">
        <v>9</v>
      </c>
      <c r="C16" s="67" t="s">
        <v>75</v>
      </c>
      <c r="D16" s="68">
        <f>'2019-B7_Berechnung'!D16</f>
        <v>35.471306016720987</v>
      </c>
      <c r="E16" s="68">
        <f>'2019-B7_Berechnung'!F16</f>
        <v>38.641993555511853</v>
      </c>
      <c r="F16" s="68">
        <f>'2019-B7_Berechnung'!E16</f>
        <v>27.863966188416445</v>
      </c>
    </row>
    <row r="17" spans="1:21" ht="8.25" customHeight="1" x14ac:dyDescent="0.25">
      <c r="A17" s="66" t="s">
        <v>7</v>
      </c>
      <c r="B17" s="69" t="s">
        <v>9</v>
      </c>
      <c r="C17" s="67" t="s">
        <v>75</v>
      </c>
      <c r="D17" s="68">
        <f>'2019-B7_Berechnung'!D17</f>
        <v>36.856788663031125</v>
      </c>
      <c r="E17" s="68">
        <f>'2019-B7_Berechnung'!F17</f>
        <v>38.772982954836024</v>
      </c>
      <c r="F17" s="68">
        <f>'2019-B7_Berechnung'!E17</f>
        <v>30.426187195895714</v>
      </c>
    </row>
    <row r="18" spans="1:21" ht="8.25" customHeight="1" x14ac:dyDescent="0.25">
      <c r="A18" s="66" t="s">
        <v>4</v>
      </c>
      <c r="B18" s="69" t="s">
        <v>10</v>
      </c>
      <c r="C18" s="67" t="s">
        <v>75</v>
      </c>
      <c r="D18" s="68">
        <f>'2019-B7_Berechnung'!D18</f>
        <v>47.798283082088417</v>
      </c>
      <c r="E18" s="68">
        <f>'2019-B7_Berechnung'!F18</f>
        <v>51.476222510837118</v>
      </c>
      <c r="F18" s="68">
        <f>'2019-B7_Berechnung'!E18</f>
        <v>37.641111071572212</v>
      </c>
    </row>
    <row r="19" spans="1:21" ht="8.25" customHeight="1" x14ac:dyDescent="0.25">
      <c r="A19" s="66" t="s">
        <v>6</v>
      </c>
      <c r="B19" s="69" t="s">
        <v>10</v>
      </c>
      <c r="C19" s="67" t="s">
        <v>75</v>
      </c>
      <c r="D19" s="68">
        <f>'2019-B7_Berechnung'!D19</f>
        <v>46.002790817819431</v>
      </c>
      <c r="E19" s="68">
        <f>'2019-B7_Berechnung'!F19</f>
        <v>47.473771235798679</v>
      </c>
      <c r="F19" s="68">
        <f>'2019-B7_Berechnung'!E19</f>
        <v>42.47350430477465</v>
      </c>
    </row>
    <row r="20" spans="1:21" ht="8.25" customHeight="1" x14ac:dyDescent="0.25">
      <c r="A20" s="66" t="s">
        <v>7</v>
      </c>
      <c r="B20" s="69" t="s">
        <v>10</v>
      </c>
      <c r="C20" s="67" t="s">
        <v>75</v>
      </c>
      <c r="D20" s="68">
        <f>'2019-B7_Berechnung'!D20</f>
        <v>36.556889042567576</v>
      </c>
      <c r="E20" s="68">
        <f>'2019-B7_Berechnung'!F20</f>
        <v>37.398678453067021</v>
      </c>
      <c r="F20" s="68">
        <f>'2019-B7_Berechnung'!E20</f>
        <v>33.731907274397457</v>
      </c>
    </row>
    <row r="21" spans="1:21" ht="8.25" customHeight="1" x14ac:dyDescent="0.25">
      <c r="A21" s="37" t="s">
        <v>4</v>
      </c>
      <c r="B21" s="37" t="s">
        <v>5</v>
      </c>
      <c r="C21" s="38" t="s">
        <v>46</v>
      </c>
      <c r="D21" s="39">
        <v>4.6982988886806689</v>
      </c>
      <c r="E21" s="39">
        <v>2.2291467436960244</v>
      </c>
      <c r="F21" s="39">
        <v>11.588400684422339</v>
      </c>
      <c r="H21" s="40"/>
      <c r="I21" s="40"/>
      <c r="J21" s="40"/>
    </row>
    <row r="22" spans="1:21" ht="8.25" customHeight="1" x14ac:dyDescent="0.25">
      <c r="A22" s="37" t="s">
        <v>6</v>
      </c>
      <c r="B22" s="37" t="s">
        <v>5</v>
      </c>
      <c r="C22" s="38" t="s">
        <v>46</v>
      </c>
      <c r="D22" s="39">
        <v>4.6485415868115689</v>
      </c>
      <c r="E22" s="39">
        <v>1.9928666094218581</v>
      </c>
      <c r="F22" s="39">
        <v>10.931888033752587</v>
      </c>
      <c r="H22" s="40"/>
      <c r="I22" s="40"/>
      <c r="J22" s="40"/>
      <c r="U22"/>
    </row>
    <row r="23" spans="1:21" ht="8.25" customHeight="1" x14ac:dyDescent="0.25">
      <c r="A23" s="37" t="s">
        <v>7</v>
      </c>
      <c r="B23" s="37" t="s">
        <v>5</v>
      </c>
      <c r="C23" s="38" t="s">
        <v>46</v>
      </c>
      <c r="D23" s="39">
        <v>4.2069623894442829</v>
      </c>
      <c r="E23" s="39">
        <v>1.9130584896634324</v>
      </c>
      <c r="F23" s="39">
        <v>11.927085726257943</v>
      </c>
      <c r="H23" s="40"/>
      <c r="I23" s="40"/>
      <c r="J23" s="40"/>
      <c r="U23"/>
    </row>
    <row r="24" spans="1:21" ht="8.25" customHeight="1" x14ac:dyDescent="0.25">
      <c r="A24" s="37" t="s">
        <v>4</v>
      </c>
      <c r="B24" s="41" t="s">
        <v>8</v>
      </c>
      <c r="C24" s="38" t="s">
        <v>46</v>
      </c>
      <c r="D24" s="39">
        <v>12.901467185689915</v>
      </c>
      <c r="E24" s="39">
        <v>11.793569434524862</v>
      </c>
      <c r="F24" s="39">
        <v>15.993024935607295</v>
      </c>
      <c r="H24" s="40"/>
      <c r="I24" s="40"/>
      <c r="J24" s="40"/>
    </row>
    <row r="25" spans="1:21" ht="8.25" customHeight="1" x14ac:dyDescent="0.25">
      <c r="A25" s="37" t="s">
        <v>6</v>
      </c>
      <c r="B25" s="41" t="s">
        <v>8</v>
      </c>
      <c r="C25" s="38" t="s">
        <v>46</v>
      </c>
      <c r="D25" s="39">
        <v>14.804143160272476</v>
      </c>
      <c r="E25" s="39">
        <v>13.1807434985902</v>
      </c>
      <c r="F25" s="39">
        <v>18.645115069236038</v>
      </c>
      <c r="H25" s="40"/>
      <c r="I25" s="40"/>
      <c r="J25" s="40"/>
    </row>
    <row r="26" spans="1:21" ht="8.25" customHeight="1" x14ac:dyDescent="0.25">
      <c r="A26" s="37" t="s">
        <v>7</v>
      </c>
      <c r="B26" s="41" t="s">
        <v>8</v>
      </c>
      <c r="C26" s="38" t="s">
        <v>46</v>
      </c>
      <c r="D26" s="39">
        <v>23.580572938868478</v>
      </c>
      <c r="E26" s="39">
        <v>23.368174845770174</v>
      </c>
      <c r="F26" s="39">
        <v>24.295397982816738</v>
      </c>
      <c r="H26" s="40"/>
      <c r="I26" s="40"/>
      <c r="J26" s="40"/>
    </row>
    <row r="27" spans="1:21" ht="8.25" customHeight="1" x14ac:dyDescent="0.25">
      <c r="A27" s="37" t="s">
        <v>4</v>
      </c>
      <c r="B27" s="41" t="s">
        <v>9</v>
      </c>
      <c r="C27" s="38" t="s">
        <v>46</v>
      </c>
      <c r="D27" s="39">
        <v>35.555640135686318</v>
      </c>
      <c r="E27" s="39">
        <v>36.212795946112124</v>
      </c>
      <c r="F27" s="39">
        <v>33.721869100749835</v>
      </c>
      <c r="H27" s="40"/>
      <c r="I27" s="40"/>
      <c r="J27" s="40"/>
    </row>
    <row r="28" spans="1:21" ht="8.25" customHeight="1" x14ac:dyDescent="0.25">
      <c r="A28" s="37" t="s">
        <v>6</v>
      </c>
      <c r="B28" s="41" t="s">
        <v>9</v>
      </c>
      <c r="C28" s="38" t="s">
        <v>46</v>
      </c>
      <c r="D28" s="39">
        <v>36.077299684801908</v>
      </c>
      <c r="E28" s="39">
        <v>39.324606196280122</v>
      </c>
      <c r="F28" s="39">
        <v>28.394148695037224</v>
      </c>
      <c r="H28" s="40"/>
      <c r="I28" s="40"/>
      <c r="J28" s="40"/>
    </row>
    <row r="29" spans="1:21" ht="8.25" customHeight="1" x14ac:dyDescent="0.25">
      <c r="A29" s="37" t="s">
        <v>7</v>
      </c>
      <c r="B29" s="41" t="s">
        <v>9</v>
      </c>
      <c r="C29" s="38" t="s">
        <v>46</v>
      </c>
      <c r="D29" s="39">
        <v>36.964359350671153</v>
      </c>
      <c r="E29" s="39">
        <v>38.73613337230266</v>
      </c>
      <c r="F29" s="39">
        <v>31.001462151868665</v>
      </c>
      <c r="H29" s="40"/>
      <c r="I29" s="40"/>
      <c r="J29" s="40"/>
    </row>
    <row r="30" spans="1:21" ht="8.25" customHeight="1" x14ac:dyDescent="0.25">
      <c r="A30" s="37" t="s">
        <v>4</v>
      </c>
      <c r="B30" s="41" t="s">
        <v>10</v>
      </c>
      <c r="C30" s="38" t="s">
        <v>46</v>
      </c>
      <c r="D30" s="39">
        <v>46.844593789943104</v>
      </c>
      <c r="E30" s="39">
        <v>49.764487875666994</v>
      </c>
      <c r="F30" s="39">
        <v>38.696712165588501</v>
      </c>
      <c r="H30" s="40"/>
      <c r="I30" s="40"/>
      <c r="J30" s="40"/>
    </row>
    <row r="31" spans="1:21" ht="8.25" customHeight="1" x14ac:dyDescent="0.25">
      <c r="A31" s="37" t="s">
        <v>6</v>
      </c>
      <c r="B31" s="41" t="s">
        <v>10</v>
      </c>
      <c r="C31" s="38" t="s">
        <v>46</v>
      </c>
      <c r="D31" s="39">
        <v>44.470015568114043</v>
      </c>
      <c r="E31" s="39">
        <v>45.501782182389192</v>
      </c>
      <c r="F31" s="39">
        <v>42.028844621451178</v>
      </c>
      <c r="H31" s="40"/>
      <c r="I31" s="40"/>
      <c r="J31" s="40"/>
    </row>
    <row r="32" spans="1:21" ht="8.25" customHeight="1" x14ac:dyDescent="0.25">
      <c r="A32" s="37" t="s">
        <v>7</v>
      </c>
      <c r="B32" s="41" t="s">
        <v>10</v>
      </c>
      <c r="C32" s="38" t="s">
        <v>46</v>
      </c>
      <c r="D32" s="39">
        <v>35.248105114006158</v>
      </c>
      <c r="E32" s="39">
        <v>35.982633292263735</v>
      </c>
      <c r="F32" s="39">
        <v>32.77605413905664</v>
      </c>
      <c r="H32" s="40"/>
      <c r="I32" s="40"/>
      <c r="J32" s="40"/>
    </row>
    <row r="33" spans="1:10" ht="8.25" customHeight="1" x14ac:dyDescent="0.25">
      <c r="A33" s="37" t="s">
        <v>4</v>
      </c>
      <c r="B33" s="37" t="s">
        <v>5</v>
      </c>
      <c r="C33" s="38" t="s">
        <v>47</v>
      </c>
      <c r="D33" s="14">
        <v>4.9194793575994309</v>
      </c>
      <c r="E33" s="14">
        <v>2.3349766564321568</v>
      </c>
      <c r="F33" s="14">
        <v>12.042580112442936</v>
      </c>
      <c r="J33" s="40"/>
    </row>
    <row r="34" spans="1:10" ht="8.25" customHeight="1" x14ac:dyDescent="0.25">
      <c r="A34" s="37" t="s">
        <v>6</v>
      </c>
      <c r="B34" s="37" t="s">
        <v>5</v>
      </c>
      <c r="C34" s="38" t="s">
        <v>47</v>
      </c>
      <c r="D34" s="14">
        <v>4.6497542305345041</v>
      </c>
      <c r="E34" s="14">
        <v>2.190582010262685</v>
      </c>
      <c r="F34" s="14">
        <v>10.305310008719477</v>
      </c>
      <c r="J34" s="40"/>
    </row>
    <row r="35" spans="1:10" ht="8.25" customHeight="1" x14ac:dyDescent="0.25">
      <c r="A35" s="37" t="s">
        <v>7</v>
      </c>
      <c r="B35" s="37" t="s">
        <v>5</v>
      </c>
      <c r="C35" s="38" t="s">
        <v>47</v>
      </c>
      <c r="D35" s="14">
        <v>4.2201512220133068</v>
      </c>
      <c r="E35" s="14">
        <v>1.994779674772662</v>
      </c>
      <c r="F35" s="14">
        <v>11.767440727347701</v>
      </c>
      <c r="J35" s="40"/>
    </row>
    <row r="36" spans="1:10" ht="8.25" customHeight="1" x14ac:dyDescent="0.25">
      <c r="A36" s="37" t="s">
        <v>4</v>
      </c>
      <c r="B36" s="41" t="s">
        <v>8</v>
      </c>
      <c r="C36" s="38" t="s">
        <v>47</v>
      </c>
      <c r="D36" s="14">
        <v>13.041924457911779</v>
      </c>
      <c r="E36" s="14">
        <v>11.39255908457678</v>
      </c>
      <c r="F36" s="14">
        <v>17.587709626698761</v>
      </c>
      <c r="J36" s="40"/>
    </row>
    <row r="37" spans="1:10" ht="8.25" customHeight="1" x14ac:dyDescent="0.25">
      <c r="A37" s="37" t="s">
        <v>6</v>
      </c>
      <c r="B37" s="41" t="s">
        <v>8</v>
      </c>
      <c r="C37" s="38" t="s">
        <v>47</v>
      </c>
      <c r="D37" s="14">
        <v>15.161176107752899</v>
      </c>
      <c r="E37" s="14">
        <v>12.738203781254084</v>
      </c>
      <c r="F37" s="14">
        <v>20.733476648050956</v>
      </c>
      <c r="J37" s="40"/>
    </row>
    <row r="38" spans="1:10" ht="8.25" customHeight="1" x14ac:dyDescent="0.25">
      <c r="A38" s="37" t="s">
        <v>7</v>
      </c>
      <c r="B38" s="41" t="s">
        <v>8</v>
      </c>
      <c r="C38" s="38" t="s">
        <v>47</v>
      </c>
      <c r="D38" s="14">
        <v>24.857437515128886</v>
      </c>
      <c r="E38" s="14">
        <v>24.606683498434101</v>
      </c>
      <c r="F38" s="14">
        <v>25.707863216386546</v>
      </c>
      <c r="J38" s="40"/>
    </row>
    <row r="39" spans="1:10" ht="8.25" customHeight="1" x14ac:dyDescent="0.25">
      <c r="A39" s="37" t="s">
        <v>4</v>
      </c>
      <c r="B39" s="41" t="s">
        <v>9</v>
      </c>
      <c r="C39" s="38" t="s">
        <v>47</v>
      </c>
      <c r="D39" s="14">
        <v>37.025788824263287</v>
      </c>
      <c r="E39" s="14">
        <v>38.380235070800403</v>
      </c>
      <c r="F39" s="14">
        <v>33.292821616146412</v>
      </c>
      <c r="J39" s="40"/>
    </row>
    <row r="40" spans="1:10" ht="8.25" customHeight="1" x14ac:dyDescent="0.25">
      <c r="A40" s="37" t="s">
        <v>6</v>
      </c>
      <c r="B40" s="41" t="s">
        <v>9</v>
      </c>
      <c r="C40" s="38" t="s">
        <v>47</v>
      </c>
      <c r="D40" s="14">
        <v>36.989414778270813</v>
      </c>
      <c r="E40" s="14">
        <v>39.398621285002122</v>
      </c>
      <c r="F40" s="14">
        <v>31.448776066667673</v>
      </c>
      <c r="J40" s="40"/>
    </row>
    <row r="41" spans="1:10" ht="8.25" customHeight="1" x14ac:dyDescent="0.25">
      <c r="A41" s="37" t="s">
        <v>7</v>
      </c>
      <c r="B41" s="41" t="s">
        <v>9</v>
      </c>
      <c r="C41" s="38" t="s">
        <v>47</v>
      </c>
      <c r="D41" s="14">
        <v>36.642055491221164</v>
      </c>
      <c r="E41" s="14">
        <v>38.196210903481202</v>
      </c>
      <c r="F41" s="14">
        <v>31.371177984427728</v>
      </c>
      <c r="J41" s="40"/>
    </row>
    <row r="42" spans="1:10" ht="8.25" customHeight="1" x14ac:dyDescent="0.25">
      <c r="A42" s="37" t="s">
        <v>4</v>
      </c>
      <c r="B42" s="41" t="s">
        <v>10</v>
      </c>
      <c r="C42" s="38" t="s">
        <v>47</v>
      </c>
      <c r="D42" s="14">
        <v>45.012807360225494</v>
      </c>
      <c r="E42" s="14">
        <v>47.892229188190669</v>
      </c>
      <c r="F42" s="14">
        <v>37.076888644711886</v>
      </c>
      <c r="J42" s="40"/>
    </row>
    <row r="43" spans="1:10" ht="8.25" customHeight="1" x14ac:dyDescent="0.25">
      <c r="A43" s="37" t="s">
        <v>6</v>
      </c>
      <c r="B43" s="41" t="s">
        <v>10</v>
      </c>
      <c r="C43" s="38" t="s">
        <v>47</v>
      </c>
      <c r="D43" s="14">
        <v>43.19965382659155</v>
      </c>
      <c r="E43" s="14">
        <v>45.672594439875638</v>
      </c>
      <c r="F43" s="14">
        <v>37.512437276561897</v>
      </c>
      <c r="J43" s="40"/>
    </row>
    <row r="44" spans="1:10" ht="8.25" customHeight="1" x14ac:dyDescent="0.25">
      <c r="A44" s="37" t="s">
        <v>7</v>
      </c>
      <c r="B44" s="41" t="s">
        <v>10</v>
      </c>
      <c r="C44" s="38" t="s">
        <v>47</v>
      </c>
      <c r="D44" s="14">
        <v>34.280355771636643</v>
      </c>
      <c r="E44" s="14">
        <v>35.202325923312038</v>
      </c>
      <c r="F44" s="14">
        <v>31.153517170875585</v>
      </c>
      <c r="J44" s="40"/>
    </row>
    <row r="45" spans="1:10" ht="8.25" customHeight="1" x14ac:dyDescent="0.25">
      <c r="A45" s="37" t="s">
        <v>4</v>
      </c>
      <c r="B45" s="37" t="s">
        <v>5</v>
      </c>
      <c r="C45" s="38" t="s">
        <v>48</v>
      </c>
      <c r="D45" s="43">
        <v>4.9161793714797044</v>
      </c>
      <c r="E45" s="43">
        <v>2.8693745396851096</v>
      </c>
      <c r="F45" s="43">
        <v>11.503349933337789</v>
      </c>
      <c r="G45" s="40"/>
      <c r="H45" s="40"/>
      <c r="I45" s="40"/>
      <c r="J45" s="40"/>
    </row>
    <row r="46" spans="1:10" ht="8.25" customHeight="1" x14ac:dyDescent="0.25">
      <c r="A46" s="37" t="s">
        <v>6</v>
      </c>
      <c r="B46" s="37" t="s">
        <v>5</v>
      </c>
      <c r="C46" s="38" t="s">
        <v>48</v>
      </c>
      <c r="D46" s="43">
        <v>4.7669176494593097</v>
      </c>
      <c r="E46" s="43">
        <v>2.2480152377796392</v>
      </c>
      <c r="F46" s="43">
        <v>11.762322892636114</v>
      </c>
      <c r="G46" s="40"/>
      <c r="H46" s="40"/>
      <c r="I46" s="40"/>
      <c r="J46" s="40"/>
    </row>
    <row r="47" spans="1:10" ht="8.25" customHeight="1" x14ac:dyDescent="0.25">
      <c r="A47" s="37" t="s">
        <v>7</v>
      </c>
      <c r="B47" s="37" t="s">
        <v>5</v>
      </c>
      <c r="C47" s="38" t="s">
        <v>48</v>
      </c>
      <c r="D47" s="43">
        <v>4.1379483478909744</v>
      </c>
      <c r="E47" s="43">
        <v>2.1814518113725949</v>
      </c>
      <c r="F47" s="43">
        <v>11.962367125153166</v>
      </c>
      <c r="G47" s="40"/>
      <c r="H47" s="40"/>
      <c r="I47" s="40"/>
      <c r="J47" s="40"/>
    </row>
    <row r="48" spans="1:10" ht="8.25" customHeight="1" x14ac:dyDescent="0.25">
      <c r="A48" s="37" t="s">
        <v>4</v>
      </c>
      <c r="B48" s="41" t="s">
        <v>8</v>
      </c>
      <c r="C48" s="38" t="s">
        <v>48</v>
      </c>
      <c r="D48" s="43">
        <v>13.862605167744283</v>
      </c>
      <c r="E48" s="43">
        <v>12.183810954144603</v>
      </c>
      <c r="F48" s="43">
        <v>19.265424417086439</v>
      </c>
      <c r="G48" s="40"/>
      <c r="H48" s="40"/>
      <c r="I48" s="40"/>
      <c r="J48" s="40"/>
    </row>
    <row r="49" spans="1:10" ht="8.25" customHeight="1" x14ac:dyDescent="0.25">
      <c r="A49" s="37" t="s">
        <v>6</v>
      </c>
      <c r="B49" s="41" t="s">
        <v>8</v>
      </c>
      <c r="C49" s="38" t="s">
        <v>48</v>
      </c>
      <c r="D49" s="43">
        <v>15.520749309986433</v>
      </c>
      <c r="E49" s="43">
        <v>13.709942976140971</v>
      </c>
      <c r="F49" s="43">
        <v>20.549656059974257</v>
      </c>
      <c r="G49" s="40"/>
      <c r="H49" s="40"/>
      <c r="I49" s="40"/>
      <c r="J49" s="40"/>
    </row>
    <row r="50" spans="1:10" ht="8.25" customHeight="1" x14ac:dyDescent="0.25">
      <c r="A50" s="37" t="s">
        <v>7</v>
      </c>
      <c r="B50" s="41" t="s">
        <v>8</v>
      </c>
      <c r="C50" s="38" t="s">
        <v>48</v>
      </c>
      <c r="D50" s="43">
        <v>26.046419111220899</v>
      </c>
      <c r="E50" s="43">
        <v>25.751162968500303</v>
      </c>
      <c r="F50" s="43">
        <v>27.227208017671156</v>
      </c>
      <c r="G50" s="40"/>
      <c r="H50" s="40"/>
      <c r="I50" s="40"/>
      <c r="J50" s="40"/>
    </row>
    <row r="51" spans="1:10" ht="8.25" customHeight="1" x14ac:dyDescent="0.25">
      <c r="A51" s="37" t="s">
        <v>4</v>
      </c>
      <c r="B51" s="41" t="s">
        <v>9</v>
      </c>
      <c r="C51" s="38" t="s">
        <v>48</v>
      </c>
      <c r="D51" s="43">
        <v>37.66057100147269</v>
      </c>
      <c r="E51" s="43">
        <v>39.106860255633862</v>
      </c>
      <c r="F51" s="43">
        <v>33.006016345995434</v>
      </c>
      <c r="G51" s="40"/>
      <c r="H51" s="40"/>
      <c r="I51" s="40"/>
      <c r="J51" s="40"/>
    </row>
    <row r="52" spans="1:10" ht="8.25" customHeight="1" x14ac:dyDescent="0.25">
      <c r="A52" s="37" t="s">
        <v>6</v>
      </c>
      <c r="B52" s="41" t="s">
        <v>9</v>
      </c>
      <c r="C52" s="38" t="s">
        <v>48</v>
      </c>
      <c r="D52" s="43">
        <v>36.793473862136686</v>
      </c>
      <c r="E52" s="43">
        <v>38.879705125856184</v>
      </c>
      <c r="F52" s="43">
        <v>30.999665009714722</v>
      </c>
      <c r="G52" s="40"/>
      <c r="H52" s="40"/>
      <c r="I52" s="40"/>
      <c r="J52" s="40"/>
    </row>
    <row r="53" spans="1:10" ht="8.25" customHeight="1" x14ac:dyDescent="0.25">
      <c r="A53" s="37" t="s">
        <v>7</v>
      </c>
      <c r="B53" s="41" t="s">
        <v>9</v>
      </c>
      <c r="C53" s="38" t="s">
        <v>48</v>
      </c>
      <c r="D53" s="43">
        <v>36.519866080217575</v>
      </c>
      <c r="E53" s="43">
        <v>37.880958310287554</v>
      </c>
      <c r="F53" s="43">
        <v>31.076589278281414</v>
      </c>
      <c r="G53" s="40"/>
      <c r="H53" s="40"/>
      <c r="I53" s="40"/>
      <c r="J53" s="40"/>
    </row>
    <row r="54" spans="1:10" ht="8.25" customHeight="1" x14ac:dyDescent="0.25">
      <c r="A54" s="37" t="s">
        <v>4</v>
      </c>
      <c r="B54" s="41" t="s">
        <v>10</v>
      </c>
      <c r="C54" s="38" t="s">
        <v>48</v>
      </c>
      <c r="D54" s="43">
        <v>43.560642662873036</v>
      </c>
      <c r="E54" s="43">
        <v>45.839954250536422</v>
      </c>
      <c r="F54" s="43">
        <v>36.225201725745734</v>
      </c>
      <c r="G54" s="40"/>
      <c r="H54" s="40"/>
      <c r="I54" s="40"/>
      <c r="J54" s="40"/>
    </row>
    <row r="55" spans="1:10" ht="8.25" customHeight="1" x14ac:dyDescent="0.25">
      <c r="A55" s="37" t="s">
        <v>6</v>
      </c>
      <c r="B55" s="41" t="s">
        <v>10</v>
      </c>
      <c r="C55" s="38" t="s">
        <v>48</v>
      </c>
      <c r="D55" s="43">
        <v>42.91885917841757</v>
      </c>
      <c r="E55" s="43">
        <v>45.162338100499696</v>
      </c>
      <c r="F55" s="43">
        <v>36.688352037790899</v>
      </c>
      <c r="G55" s="40"/>
      <c r="H55" s="40"/>
      <c r="I55" s="40"/>
      <c r="J55" s="40"/>
    </row>
    <row r="56" spans="1:10" ht="8.25" customHeight="1" x14ac:dyDescent="0.25">
      <c r="A56" s="37" t="s">
        <v>7</v>
      </c>
      <c r="B56" s="41" t="s">
        <v>10</v>
      </c>
      <c r="C56" s="38" t="s">
        <v>48</v>
      </c>
      <c r="D56" s="43">
        <v>33.295766256137043</v>
      </c>
      <c r="E56" s="43">
        <v>34.186427165516669</v>
      </c>
      <c r="F56" s="43">
        <v>29.733836601397812</v>
      </c>
      <c r="G56" s="40"/>
      <c r="H56" s="40"/>
      <c r="I56" s="40"/>
      <c r="J56" s="40"/>
    </row>
    <row r="57" spans="1:10" ht="8.25" customHeight="1" x14ac:dyDescent="0.25">
      <c r="A57" s="37" t="s">
        <v>4</v>
      </c>
      <c r="B57" s="37" t="s">
        <v>5</v>
      </c>
      <c r="C57" s="38" t="s">
        <v>49</v>
      </c>
      <c r="D57" s="42">
        <v>3.986510946628572</v>
      </c>
      <c r="E57" s="42">
        <v>2.8827232317372364</v>
      </c>
      <c r="F57" s="42">
        <v>8.2194037272040585</v>
      </c>
      <c r="G57" s="40"/>
      <c r="H57" s="40"/>
      <c r="I57" s="40"/>
      <c r="J57" s="40"/>
    </row>
    <row r="58" spans="1:10" ht="8.25" customHeight="1" x14ac:dyDescent="0.25">
      <c r="A58" s="37" t="s">
        <v>6</v>
      </c>
      <c r="B58" s="37" t="s">
        <v>5</v>
      </c>
      <c r="C58" s="38" t="s">
        <v>49</v>
      </c>
      <c r="D58" s="42">
        <v>4.173177766872592</v>
      </c>
      <c r="E58" s="42">
        <v>2.6404567264316414</v>
      </c>
      <c r="F58" s="42">
        <v>9.336206576844468</v>
      </c>
      <c r="G58" s="40"/>
      <c r="H58" s="40"/>
      <c r="I58" s="40"/>
      <c r="J58" s="40"/>
    </row>
    <row r="59" spans="1:10" ht="8.25" customHeight="1" x14ac:dyDescent="0.25">
      <c r="A59" s="37" t="s">
        <v>7</v>
      </c>
      <c r="B59" s="37" t="s">
        <v>5</v>
      </c>
      <c r="C59" s="38" t="s">
        <v>49</v>
      </c>
      <c r="D59" s="42">
        <v>3.7499136553976844</v>
      </c>
      <c r="E59" s="42">
        <v>2.121669380202122</v>
      </c>
      <c r="F59" s="42">
        <v>11.068321497719857</v>
      </c>
      <c r="G59" s="40"/>
      <c r="H59" s="40"/>
      <c r="I59" s="40"/>
      <c r="J59" s="40"/>
    </row>
    <row r="60" spans="1:10" ht="8.25" customHeight="1" x14ac:dyDescent="0.25">
      <c r="A60" s="37" t="s">
        <v>4</v>
      </c>
      <c r="B60" s="41" t="s">
        <v>8</v>
      </c>
      <c r="C60" s="38" t="s">
        <v>49</v>
      </c>
      <c r="D60" s="42">
        <v>13.751826614637078</v>
      </c>
      <c r="E60" s="42">
        <v>12.036645441407863</v>
      </c>
      <c r="F60" s="42">
        <v>20.329339579850387</v>
      </c>
      <c r="G60" s="40"/>
      <c r="H60" s="40"/>
      <c r="I60" s="40"/>
      <c r="J60" s="40"/>
    </row>
    <row r="61" spans="1:10" ht="8.25" customHeight="1" x14ac:dyDescent="0.25">
      <c r="A61" s="37" t="s">
        <v>6</v>
      </c>
      <c r="B61" s="41" t="s">
        <v>8</v>
      </c>
      <c r="C61" s="38" t="s">
        <v>49</v>
      </c>
      <c r="D61" s="42">
        <v>14.713407163780346</v>
      </c>
      <c r="E61" s="42">
        <v>13.054177914658844</v>
      </c>
      <c r="F61" s="42">
        <v>20.302583164475035</v>
      </c>
      <c r="G61" s="40"/>
      <c r="H61" s="40"/>
      <c r="I61" s="40"/>
      <c r="J61" s="40"/>
    </row>
    <row r="62" spans="1:10" ht="8.25" customHeight="1" x14ac:dyDescent="0.25">
      <c r="A62" s="37" t="s">
        <v>7</v>
      </c>
      <c r="B62" s="41" t="s">
        <v>8</v>
      </c>
      <c r="C62" s="38" t="s">
        <v>49</v>
      </c>
      <c r="D62" s="42">
        <v>25.96905957391607</v>
      </c>
      <c r="E62" s="42">
        <v>25.976715362649799</v>
      </c>
      <c r="F62" s="42">
        <v>25.934649390406367</v>
      </c>
      <c r="G62" s="40"/>
      <c r="H62" s="40"/>
      <c r="I62" s="40"/>
      <c r="J62" s="40"/>
    </row>
    <row r="63" spans="1:10" ht="8.25" customHeight="1" x14ac:dyDescent="0.25">
      <c r="A63" s="37" t="s">
        <v>4</v>
      </c>
      <c r="B63" s="41" t="s">
        <v>9</v>
      </c>
      <c r="C63" s="38" t="s">
        <v>49</v>
      </c>
      <c r="D63" s="42">
        <v>39.637359980349665</v>
      </c>
      <c r="E63" s="42">
        <v>40.266189611854642</v>
      </c>
      <c r="F63" s="42">
        <v>37.225864888968943</v>
      </c>
      <c r="G63" s="40"/>
      <c r="H63" s="40"/>
      <c r="I63" s="40"/>
      <c r="J63" s="40"/>
    </row>
    <row r="64" spans="1:10" ht="8.25" customHeight="1" x14ac:dyDescent="0.25">
      <c r="A64" s="37" t="s">
        <v>6</v>
      </c>
      <c r="B64" s="41" t="s">
        <v>9</v>
      </c>
      <c r="C64" s="38" t="s">
        <v>49</v>
      </c>
      <c r="D64" s="42">
        <v>37.647811592965461</v>
      </c>
      <c r="E64" s="42">
        <v>38.809618861549488</v>
      </c>
      <c r="F64" s="42">
        <v>33.734217869495488</v>
      </c>
      <c r="G64" s="40"/>
      <c r="H64" s="40"/>
      <c r="I64" s="40"/>
      <c r="J64" s="40"/>
    </row>
    <row r="65" spans="1:10" ht="8.25" customHeight="1" x14ac:dyDescent="0.25">
      <c r="A65" s="37" t="s">
        <v>7</v>
      </c>
      <c r="B65" s="41" t="s">
        <v>9</v>
      </c>
      <c r="C65" s="38" t="s">
        <v>49</v>
      </c>
      <c r="D65" s="42">
        <v>37.134010687532005</v>
      </c>
      <c r="E65" s="42">
        <v>38.055255437344449</v>
      </c>
      <c r="F65" s="42">
        <v>32.993325675833574</v>
      </c>
      <c r="G65" s="40"/>
      <c r="H65" s="40"/>
      <c r="I65" s="40"/>
      <c r="J65" s="40"/>
    </row>
    <row r="66" spans="1:10" ht="8.25" customHeight="1" x14ac:dyDescent="0.25">
      <c r="A66" s="37" t="s">
        <v>4</v>
      </c>
      <c r="B66" s="41" t="s">
        <v>10</v>
      </c>
      <c r="C66" s="38" t="s">
        <v>49</v>
      </c>
      <c r="D66" s="42">
        <v>42.624302458384683</v>
      </c>
      <c r="E66" s="42">
        <v>44.81443929372999</v>
      </c>
      <c r="F66" s="42">
        <v>34.225391803976599</v>
      </c>
      <c r="G66" s="40"/>
      <c r="H66" s="40"/>
      <c r="I66" s="40"/>
      <c r="J66" s="40"/>
    </row>
    <row r="67" spans="1:10" ht="8.25" customHeight="1" x14ac:dyDescent="0.25">
      <c r="A67" s="37" t="s">
        <v>6</v>
      </c>
      <c r="B67" s="41" t="s">
        <v>10</v>
      </c>
      <c r="C67" s="38" t="s">
        <v>49</v>
      </c>
      <c r="D67" s="42">
        <v>43.465603476381609</v>
      </c>
      <c r="E67" s="42">
        <v>45.495746497360031</v>
      </c>
      <c r="F67" s="42">
        <v>36.626992389185006</v>
      </c>
      <c r="G67" s="40"/>
      <c r="H67" s="40"/>
      <c r="I67" s="40"/>
      <c r="J67" s="40"/>
    </row>
    <row r="68" spans="1:10" ht="8.25" customHeight="1" x14ac:dyDescent="0.25">
      <c r="A68" s="37" t="s">
        <v>7</v>
      </c>
      <c r="B68" s="41" t="s">
        <v>10</v>
      </c>
      <c r="C68" s="38" t="s">
        <v>49</v>
      </c>
      <c r="D68" s="42">
        <v>33.147016083154249</v>
      </c>
      <c r="E68" s="42">
        <v>33.846359819803624</v>
      </c>
      <c r="F68" s="42">
        <v>30.0037022912731</v>
      </c>
      <c r="G68" s="40"/>
      <c r="H68" s="40"/>
      <c r="I68" s="40"/>
      <c r="J68" s="40"/>
    </row>
    <row r="69" spans="1:10" ht="8.25" customHeight="1" x14ac:dyDescent="0.25">
      <c r="A69" s="37" t="s">
        <v>4</v>
      </c>
      <c r="B69" s="37" t="s">
        <v>5</v>
      </c>
      <c r="C69" s="38" t="s">
        <v>50</v>
      </c>
      <c r="D69" s="42">
        <v>4.7072389175185236</v>
      </c>
      <c r="E69" s="42">
        <v>3.4942196150433125</v>
      </c>
      <c r="F69" s="42">
        <v>9.559354170113469</v>
      </c>
      <c r="G69" s="40"/>
      <c r="H69" s="40"/>
      <c r="I69" s="40"/>
      <c r="J69" s="40"/>
    </row>
    <row r="70" spans="1:10" ht="8.25" customHeight="1" x14ac:dyDescent="0.25">
      <c r="A70" s="37" t="s">
        <v>6</v>
      </c>
      <c r="B70" s="37" t="s">
        <v>5</v>
      </c>
      <c r="C70" s="38" t="s">
        <v>50</v>
      </c>
      <c r="D70" s="42">
        <v>3.5305614538994701</v>
      </c>
      <c r="E70" s="42">
        <v>2.4151845086418589</v>
      </c>
      <c r="F70" s="42">
        <v>7.3042348379107986</v>
      </c>
      <c r="G70" s="40"/>
      <c r="H70" s="40"/>
      <c r="I70" s="40"/>
      <c r="J70" s="40"/>
    </row>
    <row r="71" spans="1:10" ht="8.25" customHeight="1" x14ac:dyDescent="0.25">
      <c r="A71" s="37" t="s">
        <v>7</v>
      </c>
      <c r="B71" s="37" t="s">
        <v>5</v>
      </c>
      <c r="C71" s="38" t="s">
        <v>50</v>
      </c>
      <c r="D71" s="42">
        <v>3.627766630117423</v>
      </c>
      <c r="E71" s="42">
        <v>2.2894831864733827</v>
      </c>
      <c r="F71" s="42">
        <v>9.8462751302561919</v>
      </c>
      <c r="G71" s="40"/>
      <c r="H71" s="40"/>
      <c r="I71" s="40"/>
      <c r="J71" s="40"/>
    </row>
    <row r="72" spans="1:10" ht="8.25" customHeight="1" x14ac:dyDescent="0.25">
      <c r="A72" s="37" t="s">
        <v>4</v>
      </c>
      <c r="B72" s="41" t="s">
        <v>8</v>
      </c>
      <c r="C72" s="38" t="s">
        <v>50</v>
      </c>
      <c r="D72" s="42">
        <v>14.162073256910157</v>
      </c>
      <c r="E72" s="42">
        <v>13.065419033503062</v>
      </c>
      <c r="F72" s="42">
        <v>18.548725457891294</v>
      </c>
      <c r="G72" s="40"/>
      <c r="H72" s="40"/>
      <c r="I72" s="40"/>
      <c r="J72" s="40"/>
    </row>
    <row r="73" spans="1:10" ht="8.25" customHeight="1" x14ac:dyDescent="0.25">
      <c r="A73" s="37" t="s">
        <v>6</v>
      </c>
      <c r="B73" s="41" t="s">
        <v>8</v>
      </c>
      <c r="C73" s="38" t="s">
        <v>50</v>
      </c>
      <c r="D73" s="42">
        <v>15.811034028448406</v>
      </c>
      <c r="E73" s="42">
        <v>14.129317506186712</v>
      </c>
      <c r="F73" s="42">
        <v>21.50081352989336</v>
      </c>
      <c r="G73" s="40"/>
      <c r="H73" s="40"/>
      <c r="I73" s="40"/>
      <c r="J73" s="40"/>
    </row>
    <row r="74" spans="1:10" ht="8.25" customHeight="1" x14ac:dyDescent="0.25">
      <c r="A74" s="37" t="s">
        <v>7</v>
      </c>
      <c r="B74" s="41" t="s">
        <v>8</v>
      </c>
      <c r="C74" s="38" t="s">
        <v>50</v>
      </c>
      <c r="D74" s="42">
        <v>27.412139927408134</v>
      </c>
      <c r="E74" s="42">
        <v>27.428846216198711</v>
      </c>
      <c r="F74" s="42">
        <v>27.334512304358739</v>
      </c>
      <c r="G74" s="40"/>
      <c r="H74" s="40"/>
      <c r="I74" s="40"/>
      <c r="J74" s="40"/>
    </row>
    <row r="75" spans="1:10" ht="8.25" customHeight="1" x14ac:dyDescent="0.25">
      <c r="A75" s="37" t="s">
        <v>4</v>
      </c>
      <c r="B75" s="41" t="s">
        <v>9</v>
      </c>
      <c r="C75" s="38" t="s">
        <v>50</v>
      </c>
      <c r="D75" s="42">
        <v>40.471998735048359</v>
      </c>
      <c r="E75" s="42">
        <v>40.942167361311874</v>
      </c>
      <c r="F75" s="42">
        <v>38.59132261477744</v>
      </c>
      <c r="G75" s="40"/>
      <c r="H75" s="40"/>
      <c r="I75" s="40"/>
      <c r="J75" s="40"/>
    </row>
    <row r="76" spans="1:10" ht="8.25" customHeight="1" x14ac:dyDescent="0.25">
      <c r="A76" s="37" t="s">
        <v>6</v>
      </c>
      <c r="B76" s="41" t="s">
        <v>9</v>
      </c>
      <c r="C76" s="38" t="s">
        <v>50</v>
      </c>
      <c r="D76" s="42">
        <v>39.24648066622327</v>
      </c>
      <c r="E76" s="42">
        <v>40.470856654677874</v>
      </c>
      <c r="F76" s="42">
        <v>35.104029005106554</v>
      </c>
      <c r="G76" s="40"/>
      <c r="H76" s="40"/>
      <c r="I76" s="40"/>
      <c r="J76" s="40"/>
    </row>
    <row r="77" spans="1:10" ht="8.25" customHeight="1" x14ac:dyDescent="0.25">
      <c r="A77" s="37" t="s">
        <v>7</v>
      </c>
      <c r="B77" s="41" t="s">
        <v>9</v>
      </c>
      <c r="C77" s="38" t="s">
        <v>50</v>
      </c>
      <c r="D77" s="42">
        <v>36.90524770746309</v>
      </c>
      <c r="E77" s="42">
        <v>37.718834126586046</v>
      </c>
      <c r="F77" s="42">
        <v>33.124812803572162</v>
      </c>
      <c r="G77" s="40"/>
      <c r="H77" s="40"/>
      <c r="I77" s="40"/>
      <c r="J77" s="40"/>
    </row>
    <row r="78" spans="1:10" ht="8.25" customHeight="1" x14ac:dyDescent="0.25">
      <c r="A78" s="37" t="s">
        <v>4</v>
      </c>
      <c r="B78" s="41" t="s">
        <v>10</v>
      </c>
      <c r="C78" s="38" t="s">
        <v>50</v>
      </c>
      <c r="D78" s="42">
        <v>40.658687245063632</v>
      </c>
      <c r="E78" s="42">
        <v>42.49819399014175</v>
      </c>
      <c r="F78" s="42">
        <v>33.300616211925743</v>
      </c>
      <c r="G78" s="40"/>
      <c r="H78" s="40"/>
      <c r="I78" s="40"/>
      <c r="J78" s="40"/>
    </row>
    <row r="79" spans="1:10" ht="8.25" customHeight="1" x14ac:dyDescent="0.25">
      <c r="A79" s="37" t="s">
        <v>6</v>
      </c>
      <c r="B79" s="41" t="s">
        <v>10</v>
      </c>
      <c r="C79" s="38" t="s">
        <v>50</v>
      </c>
      <c r="D79" s="42">
        <v>41.411923851428853</v>
      </c>
      <c r="E79" s="42">
        <v>42.98464133049356</v>
      </c>
      <c r="F79" s="42">
        <v>36.090922627089292</v>
      </c>
      <c r="G79" s="40"/>
      <c r="H79" s="40"/>
      <c r="I79" s="40"/>
      <c r="J79" s="40"/>
    </row>
    <row r="80" spans="1:10" ht="8.25" customHeight="1" x14ac:dyDescent="0.25">
      <c r="A80" s="37" t="s">
        <v>7</v>
      </c>
      <c r="B80" s="41" t="s">
        <v>10</v>
      </c>
      <c r="C80" s="38" t="s">
        <v>50</v>
      </c>
      <c r="D80" s="42">
        <v>32.054845735011348</v>
      </c>
      <c r="E80" s="42">
        <v>32.562836726184457</v>
      </c>
      <c r="F80" s="42">
        <v>29.69439976181291</v>
      </c>
      <c r="G80" s="40"/>
      <c r="H80" s="40"/>
      <c r="I80" s="40"/>
      <c r="J80" s="40"/>
    </row>
    <row r="81" spans="1:10" ht="8.25" customHeight="1" x14ac:dyDescent="0.25">
      <c r="A81" s="37" t="s">
        <v>4</v>
      </c>
      <c r="B81" s="37" t="s">
        <v>5</v>
      </c>
      <c r="C81" s="38" t="s">
        <v>51</v>
      </c>
      <c r="D81" s="42">
        <v>4.5516071754321441</v>
      </c>
      <c r="E81" s="44">
        <v>3.8629674657631838</v>
      </c>
      <c r="F81" s="42">
        <v>6.8208050274641208</v>
      </c>
      <c r="G81" s="40"/>
      <c r="H81" s="40"/>
      <c r="I81" s="40"/>
      <c r="J81" s="40"/>
    </row>
    <row r="82" spans="1:10" ht="8.25" customHeight="1" x14ac:dyDescent="0.25">
      <c r="A82" s="37" t="s">
        <v>6</v>
      </c>
      <c r="B82" s="37" t="s">
        <v>5</v>
      </c>
      <c r="C82" s="38" t="s">
        <v>51</v>
      </c>
      <c r="D82" s="42">
        <v>3.7133488382964872</v>
      </c>
      <c r="E82" s="42">
        <v>2.65173504892195</v>
      </c>
      <c r="F82" s="42">
        <v>6.8634385712269683</v>
      </c>
      <c r="G82" s="40"/>
      <c r="H82" s="40"/>
      <c r="I82" s="40"/>
      <c r="J82" s="40"/>
    </row>
    <row r="83" spans="1:10" ht="8.25" customHeight="1" x14ac:dyDescent="0.25">
      <c r="A83" s="37" t="s">
        <v>7</v>
      </c>
      <c r="B83" s="37" t="s">
        <v>5</v>
      </c>
      <c r="C83" s="38" t="s">
        <v>51</v>
      </c>
      <c r="D83" s="42">
        <v>3.6458445915334661</v>
      </c>
      <c r="E83" s="42">
        <v>2.2355632684336917</v>
      </c>
      <c r="F83" s="42">
        <v>9.74639822695387</v>
      </c>
      <c r="G83" s="40"/>
      <c r="H83" s="40"/>
      <c r="I83" s="40"/>
      <c r="J83" s="40"/>
    </row>
    <row r="84" spans="1:10" ht="8.25" customHeight="1" x14ac:dyDescent="0.25">
      <c r="A84" s="37" t="s">
        <v>4</v>
      </c>
      <c r="B84" s="41" t="s">
        <v>8</v>
      </c>
      <c r="C84" s="38" t="s">
        <v>51</v>
      </c>
      <c r="D84" s="42">
        <v>15.152677251455742</v>
      </c>
      <c r="E84" s="42">
        <v>13.826135215859136</v>
      </c>
      <c r="F84" s="42">
        <v>19.523868170925269</v>
      </c>
      <c r="G84" s="40"/>
      <c r="H84" s="40"/>
      <c r="I84" s="40"/>
      <c r="J84" s="40"/>
    </row>
    <row r="85" spans="1:10" ht="8.25" customHeight="1" x14ac:dyDescent="0.25">
      <c r="A85" s="37" t="s">
        <v>6</v>
      </c>
      <c r="B85" s="41" t="s">
        <v>8</v>
      </c>
      <c r="C85" s="38" t="s">
        <v>51</v>
      </c>
      <c r="D85" s="42">
        <v>16.299628531334761</v>
      </c>
      <c r="E85" s="42">
        <v>14.406207388752398</v>
      </c>
      <c r="F85" s="42">
        <v>21.917907775670916</v>
      </c>
      <c r="G85" s="40"/>
      <c r="H85" s="40"/>
      <c r="I85" s="40"/>
      <c r="J85" s="40"/>
    </row>
    <row r="86" spans="1:10" ht="8.25" customHeight="1" x14ac:dyDescent="0.25">
      <c r="A86" s="37" t="s">
        <v>7</v>
      </c>
      <c r="B86" s="41" t="s">
        <v>8</v>
      </c>
      <c r="C86" s="38" t="s">
        <v>51</v>
      </c>
      <c r="D86" s="42">
        <v>28.473284737732225</v>
      </c>
      <c r="E86" s="42">
        <v>28.765772682026284</v>
      </c>
      <c r="F86" s="42">
        <v>27.208048956294039</v>
      </c>
      <c r="G86" s="40"/>
      <c r="H86" s="40"/>
      <c r="I86" s="40"/>
      <c r="J86" s="40"/>
    </row>
    <row r="87" spans="1:10" ht="8.25" customHeight="1" x14ac:dyDescent="0.25">
      <c r="A87" s="37" t="s">
        <v>4</v>
      </c>
      <c r="B87" s="41" t="s">
        <v>9</v>
      </c>
      <c r="C87" s="38" t="s">
        <v>51</v>
      </c>
      <c r="D87" s="42">
        <v>40.417005643047794</v>
      </c>
      <c r="E87" s="42">
        <v>40.694530032119715</v>
      </c>
      <c r="F87" s="42">
        <v>39.502513635339263</v>
      </c>
      <c r="G87" s="40"/>
      <c r="H87" s="40"/>
      <c r="I87" s="40"/>
      <c r="J87" s="40"/>
    </row>
    <row r="88" spans="1:10" ht="8.25" customHeight="1" x14ac:dyDescent="0.25">
      <c r="A88" s="37" t="s">
        <v>6</v>
      </c>
      <c r="B88" s="41" t="s">
        <v>9</v>
      </c>
      <c r="C88" s="38" t="s">
        <v>51</v>
      </c>
      <c r="D88" s="42">
        <v>39.44756853898312</v>
      </c>
      <c r="E88" s="42">
        <v>40.757219017053608</v>
      </c>
      <c r="F88" s="42">
        <v>35.561493763237088</v>
      </c>
      <c r="G88" s="40"/>
      <c r="H88" s="40"/>
      <c r="I88" s="40"/>
      <c r="J88" s="40"/>
    </row>
    <row r="89" spans="1:10" ht="8.25" customHeight="1" x14ac:dyDescent="0.25">
      <c r="A89" s="37" t="s">
        <v>7</v>
      </c>
      <c r="B89" s="41" t="s">
        <v>9</v>
      </c>
      <c r="C89" s="38" t="s">
        <v>51</v>
      </c>
      <c r="D89" s="42">
        <v>36.169812933436305</v>
      </c>
      <c r="E89" s="42">
        <v>36.895927205310372</v>
      </c>
      <c r="F89" s="42">
        <v>33.028807966181574</v>
      </c>
      <c r="G89" s="40"/>
      <c r="H89" s="40"/>
      <c r="I89" s="40"/>
      <c r="J89" s="40"/>
    </row>
    <row r="90" spans="1:10" ht="8.25" customHeight="1" x14ac:dyDescent="0.25">
      <c r="A90" s="37" t="s">
        <v>4</v>
      </c>
      <c r="B90" s="41" t="s">
        <v>10</v>
      </c>
      <c r="C90" s="38" t="s">
        <v>51</v>
      </c>
      <c r="D90" s="42">
        <v>39.878709930064325</v>
      </c>
      <c r="E90" s="42">
        <v>41.616367286257969</v>
      </c>
      <c r="F90" s="42">
        <v>34.152821226411596</v>
      </c>
      <c r="G90" s="40"/>
      <c r="H90" s="40"/>
      <c r="I90" s="40"/>
      <c r="J90" s="40"/>
    </row>
    <row r="91" spans="1:10" ht="8.25" customHeight="1" x14ac:dyDescent="0.25">
      <c r="A91" s="37" t="s">
        <v>6</v>
      </c>
      <c r="B91" s="41" t="s">
        <v>10</v>
      </c>
      <c r="C91" s="38" t="s">
        <v>51</v>
      </c>
      <c r="D91" s="42">
        <v>40.539452945015391</v>
      </c>
      <c r="E91" s="42">
        <v>42.184838545272044</v>
      </c>
      <c r="F91" s="42">
        <v>35.657164437814949</v>
      </c>
      <c r="G91" s="40"/>
      <c r="H91" s="40"/>
      <c r="I91" s="40"/>
      <c r="J91" s="40"/>
    </row>
    <row r="92" spans="1:10" ht="8.25" customHeight="1" x14ac:dyDescent="0.25">
      <c r="A92" s="37" t="s">
        <v>7</v>
      </c>
      <c r="B92" s="41" t="s">
        <v>10</v>
      </c>
      <c r="C92" s="38" t="s">
        <v>51</v>
      </c>
      <c r="D92" s="42">
        <v>31.711057737298017</v>
      </c>
      <c r="E92" s="42">
        <v>32.102736844229646</v>
      </c>
      <c r="F92" s="42">
        <v>30.016743730176369</v>
      </c>
      <c r="G92" s="40"/>
      <c r="H92" s="40"/>
      <c r="I92" s="40"/>
      <c r="J92" s="40"/>
    </row>
    <row r="93" spans="1:10" ht="8.25" customHeight="1" x14ac:dyDescent="0.25">
      <c r="A93" s="37" t="s">
        <v>4</v>
      </c>
      <c r="B93" s="37" t="s">
        <v>5</v>
      </c>
      <c r="C93" s="38" t="s">
        <v>52</v>
      </c>
      <c r="D93" s="42">
        <v>5.2065034980518829</v>
      </c>
      <c r="E93" s="42">
        <v>4.4659382405956984</v>
      </c>
      <c r="F93" s="42">
        <v>8.1002219604773789</v>
      </c>
      <c r="G93" s="40"/>
      <c r="H93" s="40"/>
      <c r="I93" s="40"/>
      <c r="J93" s="40"/>
    </row>
    <row r="94" spans="1:10" ht="8.25" customHeight="1" x14ac:dyDescent="0.25">
      <c r="A94" s="37" t="s">
        <v>6</v>
      </c>
      <c r="B94" s="37" t="s">
        <v>5</v>
      </c>
      <c r="C94" s="38" t="s">
        <v>52</v>
      </c>
      <c r="D94" s="42">
        <v>3.5877623608345308</v>
      </c>
      <c r="E94" s="42">
        <v>2.1520811428850282</v>
      </c>
      <c r="F94" s="42">
        <v>8.4287684106985772</v>
      </c>
      <c r="G94" s="40"/>
      <c r="H94" s="40"/>
      <c r="I94" s="40"/>
      <c r="J94" s="40"/>
    </row>
    <row r="95" spans="1:10" ht="8.25" customHeight="1" x14ac:dyDescent="0.25">
      <c r="A95" s="37" t="s">
        <v>7</v>
      </c>
      <c r="B95" s="37" t="s">
        <v>5</v>
      </c>
      <c r="C95" s="38" t="s">
        <v>52</v>
      </c>
      <c r="D95" s="42">
        <v>3.5978628053990644</v>
      </c>
      <c r="E95" s="42">
        <v>2.2395724823015377</v>
      </c>
      <c r="F95" s="42">
        <v>10.216130628791072</v>
      </c>
      <c r="G95" s="40"/>
      <c r="H95" s="40"/>
      <c r="I95" s="40"/>
      <c r="J95" s="40"/>
    </row>
    <row r="96" spans="1:10" ht="8.25" customHeight="1" x14ac:dyDescent="0.25">
      <c r="A96" s="37" t="s">
        <v>4</v>
      </c>
      <c r="B96" s="41" t="s">
        <v>8</v>
      </c>
      <c r="C96" s="38" t="s">
        <v>52</v>
      </c>
      <c r="D96" s="42">
        <v>16.190244492866064</v>
      </c>
      <c r="E96" s="42">
        <v>14.832580244311355</v>
      </c>
      <c r="F96" s="42">
        <v>21.495243697544868</v>
      </c>
      <c r="G96" s="40"/>
      <c r="H96" s="40"/>
      <c r="I96" s="40"/>
      <c r="J96" s="40"/>
    </row>
    <row r="97" spans="1:10" ht="8.25" customHeight="1" x14ac:dyDescent="0.25">
      <c r="A97" s="37" t="s">
        <v>6</v>
      </c>
      <c r="B97" s="41" t="s">
        <v>8</v>
      </c>
      <c r="C97" s="38" t="s">
        <v>52</v>
      </c>
      <c r="D97" s="42">
        <v>17.120141511254189</v>
      </c>
      <c r="E97" s="42">
        <v>14.987098073326122</v>
      </c>
      <c r="F97" s="42">
        <v>24.312591505676192</v>
      </c>
      <c r="G97" s="40"/>
      <c r="H97" s="40"/>
      <c r="I97" s="40"/>
      <c r="J97" s="40"/>
    </row>
    <row r="98" spans="1:10" ht="8.25" customHeight="1" x14ac:dyDescent="0.25">
      <c r="A98" s="37" t="s">
        <v>7</v>
      </c>
      <c r="B98" s="41" t="s">
        <v>8</v>
      </c>
      <c r="C98" s="38" t="s">
        <v>52</v>
      </c>
      <c r="D98" s="42">
        <v>29.807258020777628</v>
      </c>
      <c r="E98" s="42">
        <v>29.932105574049857</v>
      </c>
      <c r="F98" s="42">
        <v>29.198939717725743</v>
      </c>
      <c r="G98" s="40"/>
      <c r="H98" s="40"/>
      <c r="I98" s="40"/>
      <c r="J98" s="40"/>
    </row>
    <row r="99" spans="1:10" ht="8.25" customHeight="1" x14ac:dyDescent="0.25">
      <c r="A99" s="37" t="s">
        <v>4</v>
      </c>
      <c r="B99" s="41" t="s">
        <v>9</v>
      </c>
      <c r="C99" s="38" t="s">
        <v>52</v>
      </c>
      <c r="D99" s="42">
        <v>42.080561444794476</v>
      </c>
      <c r="E99" s="42">
        <v>42.516320881828612</v>
      </c>
      <c r="F99" s="42">
        <v>40.377855146563284</v>
      </c>
      <c r="G99" s="40"/>
      <c r="H99" s="40"/>
      <c r="I99" s="40"/>
      <c r="J99" s="40"/>
    </row>
    <row r="100" spans="1:10" ht="8.25" customHeight="1" x14ac:dyDescent="0.25">
      <c r="A100" s="37" t="s">
        <v>6</v>
      </c>
      <c r="B100" s="41" t="s">
        <v>9</v>
      </c>
      <c r="C100" s="38" t="s">
        <v>52</v>
      </c>
      <c r="D100" s="42">
        <v>40.191422183138876</v>
      </c>
      <c r="E100" s="42">
        <v>41.552107480163023</v>
      </c>
      <c r="F100" s="42">
        <v>35.603301386828385</v>
      </c>
      <c r="G100" s="40"/>
      <c r="H100" s="40"/>
      <c r="I100" s="40"/>
      <c r="J100" s="40"/>
    </row>
    <row r="101" spans="1:10" ht="8.25" customHeight="1" x14ac:dyDescent="0.25">
      <c r="A101" s="37" t="s">
        <v>7</v>
      </c>
      <c r="B101" s="41" t="s">
        <v>9</v>
      </c>
      <c r="C101" s="38" t="s">
        <v>52</v>
      </c>
      <c r="D101" s="42">
        <v>36.096206100057415</v>
      </c>
      <c r="E101" s="42">
        <v>36.875260155014551</v>
      </c>
      <c r="F101" s="42">
        <v>32.300267472890042</v>
      </c>
      <c r="G101" s="40"/>
      <c r="H101" s="40"/>
      <c r="I101" s="40"/>
      <c r="J101" s="40"/>
    </row>
    <row r="102" spans="1:10" ht="8.25" customHeight="1" x14ac:dyDescent="0.25">
      <c r="A102" s="37" t="s">
        <v>4</v>
      </c>
      <c r="B102" s="41" t="s">
        <v>10</v>
      </c>
      <c r="C102" s="38" t="s">
        <v>52</v>
      </c>
      <c r="D102" s="42">
        <v>36.522690564287579</v>
      </c>
      <c r="E102" s="42">
        <v>38.185158300335011</v>
      </c>
      <c r="F102" s="42">
        <v>30.026688311208844</v>
      </c>
      <c r="G102" s="40"/>
      <c r="H102" s="40"/>
      <c r="I102" s="40"/>
      <c r="J102" s="40"/>
    </row>
    <row r="103" spans="1:10" ht="8.25" customHeight="1" x14ac:dyDescent="0.25">
      <c r="A103" s="37" t="s">
        <v>6</v>
      </c>
      <c r="B103" s="41" t="s">
        <v>10</v>
      </c>
      <c r="C103" s="38" t="s">
        <v>52</v>
      </c>
      <c r="D103" s="42">
        <v>39.100673944772396</v>
      </c>
      <c r="E103" s="42">
        <v>41.308714807925448</v>
      </c>
      <c r="F103" s="42">
        <v>31.655338696796854</v>
      </c>
      <c r="G103" s="40"/>
      <c r="H103" s="40"/>
      <c r="I103" s="40"/>
      <c r="J103" s="40"/>
    </row>
    <row r="104" spans="1:10" ht="8.25" customHeight="1" x14ac:dyDescent="0.25">
      <c r="A104" s="37" t="s">
        <v>7</v>
      </c>
      <c r="B104" s="41" t="s">
        <v>10</v>
      </c>
      <c r="C104" s="38" t="s">
        <v>52</v>
      </c>
      <c r="D104" s="42">
        <v>30.498672863117111</v>
      </c>
      <c r="E104" s="42">
        <v>30.953061788634063</v>
      </c>
      <c r="F104" s="42">
        <v>28.284663417627893</v>
      </c>
      <c r="G104" s="40"/>
      <c r="H104" s="40"/>
      <c r="I104" s="40"/>
      <c r="J104" s="40"/>
    </row>
    <row r="105" spans="1:10" ht="8.25" customHeight="1" x14ac:dyDescent="0.25">
      <c r="A105" s="37" t="s">
        <v>4</v>
      </c>
      <c r="B105" s="37" t="s">
        <v>5</v>
      </c>
      <c r="C105" s="38" t="s">
        <v>53</v>
      </c>
      <c r="D105" s="42">
        <v>4.680199803458887</v>
      </c>
      <c r="E105" s="45">
        <v>4.212473377535928</v>
      </c>
      <c r="F105" s="42">
        <v>6.4307154189557831</v>
      </c>
      <c r="G105" s="40"/>
      <c r="H105" s="40"/>
      <c r="I105" s="40"/>
      <c r="J105" s="40"/>
    </row>
    <row r="106" spans="1:10" ht="8.25" customHeight="1" x14ac:dyDescent="0.25">
      <c r="A106" s="37" t="s">
        <v>6</v>
      </c>
      <c r="B106" s="37" t="s">
        <v>5</v>
      </c>
      <c r="C106" s="38" t="s">
        <v>53</v>
      </c>
      <c r="D106" s="42">
        <v>3.4533060936328104</v>
      </c>
      <c r="E106" s="42">
        <v>2.0962607986382698</v>
      </c>
      <c r="F106" s="42">
        <v>8.1456388805452651</v>
      </c>
      <c r="G106" s="40"/>
      <c r="H106" s="40"/>
      <c r="I106" s="40"/>
      <c r="J106" s="40"/>
    </row>
    <row r="107" spans="1:10" ht="8.25" customHeight="1" x14ac:dyDescent="0.25">
      <c r="A107" s="37" t="s">
        <v>7</v>
      </c>
      <c r="B107" s="37" t="s">
        <v>5</v>
      </c>
      <c r="C107" s="38" t="s">
        <v>53</v>
      </c>
      <c r="D107" s="42">
        <v>3.6688820899064702</v>
      </c>
      <c r="E107" s="42">
        <v>2.256034883631453</v>
      </c>
      <c r="F107" s="42">
        <v>10.688288835368448</v>
      </c>
      <c r="G107" s="40"/>
      <c r="H107" s="40"/>
      <c r="I107" s="40"/>
      <c r="J107" s="40"/>
    </row>
    <row r="108" spans="1:10" ht="8.25" customHeight="1" x14ac:dyDescent="0.25">
      <c r="A108" s="37" t="s">
        <v>4</v>
      </c>
      <c r="B108" s="41" t="s">
        <v>8</v>
      </c>
      <c r="C108" s="38" t="s">
        <v>53</v>
      </c>
      <c r="D108" s="42">
        <v>17.513989203262025</v>
      </c>
      <c r="E108" s="42">
        <v>15.807439824541817</v>
      </c>
      <c r="F108" s="42">
        <v>23.900930736812033</v>
      </c>
      <c r="G108" s="40"/>
      <c r="H108" s="40"/>
      <c r="I108" s="40"/>
      <c r="J108" s="40"/>
    </row>
    <row r="109" spans="1:10" ht="8.25" customHeight="1" x14ac:dyDescent="0.25">
      <c r="A109" s="37" t="s">
        <v>6</v>
      </c>
      <c r="B109" s="41" t="s">
        <v>8</v>
      </c>
      <c r="C109" s="38" t="s">
        <v>53</v>
      </c>
      <c r="D109" s="42">
        <v>18.39174153733941</v>
      </c>
      <c r="E109" s="42">
        <v>16.354891769290095</v>
      </c>
      <c r="F109" s="42">
        <v>25.434681609964461</v>
      </c>
      <c r="G109" s="40"/>
      <c r="H109" s="40"/>
      <c r="I109" s="40"/>
      <c r="J109" s="40"/>
    </row>
    <row r="110" spans="1:10" ht="8.25" customHeight="1" x14ac:dyDescent="0.25">
      <c r="A110" s="37" t="s">
        <v>7</v>
      </c>
      <c r="B110" s="41" t="s">
        <v>8</v>
      </c>
      <c r="C110" s="38" t="s">
        <v>53</v>
      </c>
      <c r="D110" s="42">
        <v>31.149509620007436</v>
      </c>
      <c r="E110" s="42">
        <v>31.29188612194876</v>
      </c>
      <c r="F110" s="42">
        <v>30.442144680838183</v>
      </c>
      <c r="G110" s="40"/>
      <c r="H110" s="40"/>
      <c r="I110" s="40"/>
      <c r="J110" s="40"/>
    </row>
    <row r="111" spans="1:10" ht="8.25" customHeight="1" x14ac:dyDescent="0.25">
      <c r="A111" s="37" t="s">
        <v>4</v>
      </c>
      <c r="B111" s="41" t="s">
        <v>9</v>
      </c>
      <c r="C111" s="38" t="s">
        <v>53</v>
      </c>
      <c r="D111" s="42">
        <v>42.493870549586831</v>
      </c>
      <c r="E111" s="42">
        <v>42.935690378887422</v>
      </c>
      <c r="F111" s="42">
        <v>40.840313111816087</v>
      </c>
      <c r="G111" s="40"/>
      <c r="H111" s="40"/>
      <c r="I111" s="40"/>
      <c r="J111" s="40"/>
    </row>
    <row r="112" spans="1:10" ht="8.25" customHeight="1" x14ac:dyDescent="0.25">
      <c r="A112" s="37" t="s">
        <v>6</v>
      </c>
      <c r="B112" s="41" t="s">
        <v>9</v>
      </c>
      <c r="C112" s="38" t="s">
        <v>53</v>
      </c>
      <c r="D112" s="42">
        <v>40.125448128344885</v>
      </c>
      <c r="E112" s="42">
        <v>41.623986072728655</v>
      </c>
      <c r="F112" s="42">
        <v>34.943864628809393</v>
      </c>
      <c r="G112" s="40"/>
      <c r="H112" s="40"/>
      <c r="I112" s="40"/>
      <c r="J112" s="40"/>
    </row>
    <row r="113" spans="1:10" ht="8.25" customHeight="1" x14ac:dyDescent="0.25">
      <c r="A113" s="37" t="s">
        <v>7</v>
      </c>
      <c r="B113" s="41" t="s">
        <v>9</v>
      </c>
      <c r="C113" s="38" t="s">
        <v>53</v>
      </c>
      <c r="D113" s="42">
        <v>35.548730586857872</v>
      </c>
      <c r="E113" s="42">
        <v>36.24574287597239</v>
      </c>
      <c r="F113" s="42">
        <v>32.085785165618979</v>
      </c>
      <c r="G113" s="40"/>
      <c r="H113" s="40"/>
      <c r="I113" s="40"/>
      <c r="J113" s="40"/>
    </row>
    <row r="114" spans="1:10" ht="8.25" customHeight="1" x14ac:dyDescent="0.25">
      <c r="A114" s="37" t="s">
        <v>4</v>
      </c>
      <c r="B114" s="41" t="s">
        <v>10</v>
      </c>
      <c r="C114" s="38" t="s">
        <v>53</v>
      </c>
      <c r="D114" s="42">
        <v>35.311942262574242</v>
      </c>
      <c r="E114" s="42">
        <v>37.04439641903484</v>
      </c>
      <c r="F114" s="42">
        <v>28.828040732416099</v>
      </c>
      <c r="G114" s="40"/>
      <c r="H114" s="40"/>
      <c r="I114" s="40"/>
      <c r="J114" s="40"/>
    </row>
    <row r="115" spans="1:10" ht="8.25" customHeight="1" x14ac:dyDescent="0.25">
      <c r="A115" s="37" t="s">
        <v>6</v>
      </c>
      <c r="B115" s="41" t="s">
        <v>10</v>
      </c>
      <c r="C115" s="38" t="s">
        <v>53</v>
      </c>
      <c r="D115" s="42">
        <v>38.029503052297244</v>
      </c>
      <c r="E115" s="42">
        <v>39.92486135934297</v>
      </c>
      <c r="F115" s="42">
        <v>31.475814880680879</v>
      </c>
      <c r="G115" s="40"/>
      <c r="H115" s="40"/>
      <c r="I115" s="40"/>
      <c r="J115" s="40"/>
    </row>
    <row r="116" spans="1:10" ht="8.25" customHeight="1" x14ac:dyDescent="0.25">
      <c r="A116" s="37" t="s">
        <v>7</v>
      </c>
      <c r="B116" s="41" t="s">
        <v>10</v>
      </c>
      <c r="C116" s="38" t="s">
        <v>53</v>
      </c>
      <c r="D116" s="42">
        <v>29.632877703228218</v>
      </c>
      <c r="E116" s="42">
        <v>30.206336118447407</v>
      </c>
      <c r="F116" s="42">
        <v>26.783781318174388</v>
      </c>
      <c r="G116" s="40"/>
      <c r="H116" s="40"/>
      <c r="I116" s="40"/>
      <c r="J116" s="40"/>
    </row>
    <row r="117" spans="1:10" ht="8.25" customHeight="1" x14ac:dyDescent="0.25">
      <c r="A117" s="37" t="s">
        <v>4</v>
      </c>
      <c r="B117" s="37" t="s">
        <v>5</v>
      </c>
      <c r="C117" s="38">
        <v>2010</v>
      </c>
      <c r="D117" s="42">
        <v>4.9874117949920072</v>
      </c>
      <c r="E117" s="42">
        <v>8.4267422506858765</v>
      </c>
      <c r="F117" s="42">
        <v>4.0130045470776761</v>
      </c>
      <c r="G117" s="40"/>
      <c r="H117" s="40"/>
      <c r="I117" s="40"/>
      <c r="J117" s="40"/>
    </row>
    <row r="118" spans="1:10" ht="8.25" customHeight="1" x14ac:dyDescent="0.25">
      <c r="A118" s="37" t="s">
        <v>6</v>
      </c>
      <c r="B118" s="37" t="s">
        <v>5</v>
      </c>
      <c r="C118" s="38">
        <v>2010</v>
      </c>
      <c r="D118" s="42">
        <v>3.8616844005459012</v>
      </c>
      <c r="E118" s="42">
        <v>9.8210343130896494</v>
      </c>
      <c r="F118" s="42">
        <v>2.0295387562309761</v>
      </c>
      <c r="G118" s="40"/>
      <c r="H118" s="40"/>
      <c r="I118" s="40"/>
      <c r="J118" s="40"/>
    </row>
    <row r="119" spans="1:10" ht="8.25" customHeight="1" x14ac:dyDescent="0.25">
      <c r="A119" s="37" t="s">
        <v>7</v>
      </c>
      <c r="B119" s="37" t="s">
        <v>5</v>
      </c>
      <c r="C119" s="38">
        <v>2010</v>
      </c>
      <c r="D119" s="42">
        <v>4.1433035191685352</v>
      </c>
      <c r="E119" s="42">
        <v>12.162165016191862</v>
      </c>
      <c r="F119" s="42">
        <v>2.4340313526480446</v>
      </c>
      <c r="G119" s="40"/>
      <c r="H119" s="40"/>
      <c r="I119" s="40"/>
      <c r="J119" s="40"/>
    </row>
    <row r="120" spans="1:10" ht="8.25" customHeight="1" x14ac:dyDescent="0.25">
      <c r="A120" s="37" t="s">
        <v>4</v>
      </c>
      <c r="B120" s="41" t="s">
        <v>8</v>
      </c>
      <c r="C120" s="38">
        <v>2010</v>
      </c>
      <c r="D120" s="42">
        <v>17.791278195878107</v>
      </c>
      <c r="E120" s="42">
        <v>22.113489737169161</v>
      </c>
      <c r="F120" s="42">
        <v>16.566739202865495</v>
      </c>
      <c r="G120" s="40"/>
      <c r="H120" s="40"/>
      <c r="I120" s="40"/>
      <c r="J120" s="40"/>
    </row>
    <row r="121" spans="1:10" ht="8.25" customHeight="1" x14ac:dyDescent="0.25">
      <c r="A121" s="37" t="s">
        <v>6</v>
      </c>
      <c r="B121" s="41" t="s">
        <v>8</v>
      </c>
      <c r="C121" s="38">
        <v>2010</v>
      </c>
      <c r="D121" s="42">
        <v>19.262535014414681</v>
      </c>
      <c r="E121" s="42">
        <v>25.18419588279059</v>
      </c>
      <c r="F121" s="42">
        <v>17.441975232910607</v>
      </c>
      <c r="G121" s="40"/>
      <c r="H121" s="40"/>
      <c r="I121" s="40"/>
      <c r="J121" s="40"/>
    </row>
    <row r="122" spans="1:10" ht="8.25" customHeight="1" x14ac:dyDescent="0.25">
      <c r="A122" s="37" t="s">
        <v>7</v>
      </c>
      <c r="B122" s="41" t="s">
        <v>8</v>
      </c>
      <c r="C122" s="38">
        <v>2010</v>
      </c>
      <c r="D122" s="42">
        <v>32.035128689761962</v>
      </c>
      <c r="E122" s="42">
        <v>30.342171586802458</v>
      </c>
      <c r="F122" s="42">
        <v>32.395993772894002</v>
      </c>
      <c r="G122" s="40"/>
      <c r="H122" s="40"/>
      <c r="I122" s="40"/>
      <c r="J122" s="40"/>
    </row>
    <row r="123" spans="1:10" ht="8.25" customHeight="1" x14ac:dyDescent="0.25">
      <c r="A123" s="37" t="s">
        <v>4</v>
      </c>
      <c r="B123" s="41" t="s">
        <v>9</v>
      </c>
      <c r="C123" s="38">
        <v>2010</v>
      </c>
      <c r="D123" s="42">
        <v>45.129754320330797</v>
      </c>
      <c r="E123" s="42">
        <v>44.026955396838098</v>
      </c>
      <c r="F123" s="42">
        <v>45.442191661809403</v>
      </c>
      <c r="G123" s="40"/>
      <c r="H123" s="40"/>
      <c r="I123" s="40"/>
      <c r="J123" s="40"/>
    </row>
    <row r="124" spans="1:10" ht="8.25" customHeight="1" x14ac:dyDescent="0.25">
      <c r="A124" s="37" t="s">
        <v>6</v>
      </c>
      <c r="B124" s="41" t="s">
        <v>9</v>
      </c>
      <c r="C124" s="38">
        <v>2010</v>
      </c>
      <c r="D124" s="42">
        <v>39.009639719431668</v>
      </c>
      <c r="E124" s="42">
        <v>33.654638770848486</v>
      </c>
      <c r="F124" s="42">
        <v>40.655984644352053</v>
      </c>
      <c r="G124" s="40"/>
      <c r="H124" s="40"/>
      <c r="I124" s="40"/>
      <c r="J124" s="40"/>
    </row>
    <row r="125" spans="1:10" ht="8.25" customHeight="1" x14ac:dyDescent="0.25">
      <c r="A125" s="37" t="s">
        <v>7</v>
      </c>
      <c r="B125" s="41" t="s">
        <v>9</v>
      </c>
      <c r="C125" s="38">
        <v>2010</v>
      </c>
      <c r="D125" s="42">
        <v>35.465020872438728</v>
      </c>
      <c r="E125" s="42">
        <v>32.23706293706293</v>
      </c>
      <c r="F125" s="42">
        <v>36.153080816467799</v>
      </c>
      <c r="G125" s="40"/>
      <c r="H125" s="40"/>
      <c r="I125" s="40"/>
      <c r="J125" s="40"/>
    </row>
    <row r="126" spans="1:10" ht="8.25" customHeight="1" x14ac:dyDescent="0.25">
      <c r="A126" s="37" t="s">
        <v>4</v>
      </c>
      <c r="B126" s="41" t="s">
        <v>10</v>
      </c>
      <c r="C126" s="38">
        <v>2010</v>
      </c>
      <c r="D126" s="42">
        <v>32.09155568879909</v>
      </c>
      <c r="E126" s="42">
        <v>25.432812615306872</v>
      </c>
      <c r="F126" s="42">
        <v>33.978064588247413</v>
      </c>
      <c r="G126" s="40"/>
      <c r="H126" s="40"/>
      <c r="I126" s="40"/>
      <c r="J126" s="40"/>
    </row>
    <row r="127" spans="1:10" ht="8.25" customHeight="1" x14ac:dyDescent="0.25">
      <c r="A127" s="37" t="s">
        <v>6</v>
      </c>
      <c r="B127" s="41" t="s">
        <v>10</v>
      </c>
      <c r="C127" s="38">
        <v>2010</v>
      </c>
      <c r="D127" s="42">
        <v>37.866140865607754</v>
      </c>
      <c r="E127" s="42">
        <v>31.340131033271273</v>
      </c>
      <c r="F127" s="42">
        <v>39.872501366506377</v>
      </c>
      <c r="G127" s="40"/>
      <c r="H127" s="40"/>
      <c r="I127" s="40"/>
      <c r="J127" s="40"/>
    </row>
    <row r="128" spans="1:10" ht="8.25" customHeight="1" x14ac:dyDescent="0.25">
      <c r="A128" s="37" t="s">
        <v>7</v>
      </c>
      <c r="B128" s="41" t="s">
        <v>10</v>
      </c>
      <c r="C128" s="38">
        <v>2010</v>
      </c>
      <c r="D128" s="42">
        <v>28.35654691863078</v>
      </c>
      <c r="E128" s="42">
        <v>25.258600459942741</v>
      </c>
      <c r="F128" s="42">
        <v>29.01689405799015</v>
      </c>
      <c r="G128" s="40"/>
      <c r="H128" s="40"/>
      <c r="I128" s="40"/>
      <c r="J128" s="40"/>
    </row>
    <row r="129" spans="1:10" ht="8.25" customHeight="1" x14ac:dyDescent="0.25">
      <c r="A129" s="37" t="s">
        <v>4</v>
      </c>
      <c r="B129" s="37" t="s">
        <v>5</v>
      </c>
      <c r="C129" s="38">
        <v>2006</v>
      </c>
      <c r="D129" s="42">
        <v>4.2515483686383551</v>
      </c>
      <c r="E129" s="45">
        <v>8.0469137773102641</v>
      </c>
      <c r="F129" s="42">
        <v>3.2074704928078637</v>
      </c>
      <c r="G129" s="40"/>
      <c r="H129" s="40"/>
      <c r="I129" s="40"/>
      <c r="J129" s="40"/>
    </row>
    <row r="130" spans="1:10" ht="8.25" customHeight="1" x14ac:dyDescent="0.25">
      <c r="A130" s="37" t="s">
        <v>6</v>
      </c>
      <c r="B130" s="37" t="s">
        <v>5</v>
      </c>
      <c r="C130" s="38">
        <v>2006</v>
      </c>
      <c r="D130" s="42">
        <v>4.2461545108542014</v>
      </c>
      <c r="E130" s="42">
        <v>11.60080724627948</v>
      </c>
      <c r="F130" s="42">
        <v>2.0578261360582344</v>
      </c>
      <c r="G130" s="40"/>
      <c r="H130" s="40"/>
      <c r="I130" s="40"/>
      <c r="J130" s="40"/>
    </row>
    <row r="131" spans="1:10" ht="8.25" customHeight="1" x14ac:dyDescent="0.25">
      <c r="A131" s="37" t="s">
        <v>7</v>
      </c>
      <c r="B131" s="37" t="s">
        <v>5</v>
      </c>
      <c r="C131" s="38">
        <v>2006</v>
      </c>
      <c r="D131" s="42">
        <v>3.6585443550533352</v>
      </c>
      <c r="E131" s="42">
        <v>12.242387215955501</v>
      </c>
      <c r="F131" s="42">
        <v>2.0289028621700744</v>
      </c>
      <c r="G131" s="40"/>
      <c r="H131" s="40"/>
      <c r="I131" s="40"/>
      <c r="J131" s="40"/>
    </row>
    <row r="132" spans="1:10" ht="8.25" customHeight="1" x14ac:dyDescent="0.25">
      <c r="A132" s="37" t="s">
        <v>4</v>
      </c>
      <c r="B132" s="41" t="s">
        <v>8</v>
      </c>
      <c r="C132" s="38">
        <v>2006</v>
      </c>
      <c r="D132" s="42">
        <v>21.24245611492627</v>
      </c>
      <c r="E132" s="42">
        <v>30.853960175348</v>
      </c>
      <c r="F132" s="42">
        <v>18.598400098603769</v>
      </c>
      <c r="G132" s="40"/>
      <c r="H132" s="40"/>
      <c r="I132" s="40"/>
      <c r="J132" s="40"/>
    </row>
    <row r="133" spans="1:10" ht="8.25" customHeight="1" x14ac:dyDescent="0.25">
      <c r="A133" s="37" t="s">
        <v>6</v>
      </c>
      <c r="B133" s="41" t="s">
        <v>8</v>
      </c>
      <c r="C133" s="38">
        <v>2006</v>
      </c>
      <c r="D133" s="42">
        <v>22.49725860077508</v>
      </c>
      <c r="E133" s="42">
        <v>29.13862471630944</v>
      </c>
      <c r="F133" s="42">
        <v>20.521164844139275</v>
      </c>
      <c r="G133" s="40"/>
      <c r="H133" s="40"/>
      <c r="I133" s="40"/>
      <c r="J133" s="40"/>
    </row>
    <row r="134" spans="1:10" ht="8.25" customHeight="1" x14ac:dyDescent="0.25">
      <c r="A134" s="37" t="s">
        <v>7</v>
      </c>
      <c r="B134" s="41" t="s">
        <v>8</v>
      </c>
      <c r="C134" s="38">
        <v>2006</v>
      </c>
      <c r="D134" s="42">
        <v>36.725558738920071</v>
      </c>
      <c r="E134" s="42">
        <v>35.109006773471037</v>
      </c>
      <c r="F134" s="42">
        <v>37.032460972720457</v>
      </c>
      <c r="G134" s="40"/>
      <c r="H134" s="40"/>
      <c r="I134" s="40"/>
      <c r="J134" s="40"/>
    </row>
    <row r="135" spans="1:10" ht="8.25" customHeight="1" x14ac:dyDescent="0.25">
      <c r="A135" s="37" t="s">
        <v>4</v>
      </c>
      <c r="B135" s="41" t="s">
        <v>9</v>
      </c>
      <c r="C135" s="38">
        <v>2006</v>
      </c>
      <c r="D135" s="42">
        <v>45.161113630200795</v>
      </c>
      <c r="E135" s="42">
        <v>38.884565571206252</v>
      </c>
      <c r="F135" s="42">
        <v>46.887747105335961</v>
      </c>
      <c r="G135" s="40"/>
      <c r="H135" s="40"/>
      <c r="I135" s="40"/>
      <c r="J135" s="40"/>
    </row>
    <row r="136" spans="1:10" ht="8.25" customHeight="1" x14ac:dyDescent="0.25">
      <c r="A136" s="37" t="s">
        <v>6</v>
      </c>
      <c r="B136" s="41" t="s">
        <v>9</v>
      </c>
      <c r="C136" s="38">
        <v>2006</v>
      </c>
      <c r="D136" s="42">
        <v>39.596256021879555</v>
      </c>
      <c r="E136" s="42">
        <v>31.14468696181607</v>
      </c>
      <c r="F136" s="42">
        <v>42.110964765907347</v>
      </c>
      <c r="G136" s="40"/>
      <c r="H136" s="40"/>
      <c r="I136" s="40"/>
      <c r="J136" s="40"/>
    </row>
    <row r="137" spans="1:10" ht="8.25" customHeight="1" x14ac:dyDescent="0.25">
      <c r="A137" s="37" t="s">
        <v>7</v>
      </c>
      <c r="B137" s="41" t="s">
        <v>9</v>
      </c>
      <c r="C137" s="38">
        <v>2006</v>
      </c>
      <c r="D137" s="42">
        <v>34.009697900806025</v>
      </c>
      <c r="E137" s="42">
        <v>28.440237917324406</v>
      </c>
      <c r="F137" s="42">
        <v>35.067059111920329</v>
      </c>
      <c r="G137" s="40"/>
      <c r="H137" s="40"/>
      <c r="I137" s="40"/>
      <c r="J137" s="40"/>
    </row>
    <row r="138" spans="1:10" ht="8.25" customHeight="1" x14ac:dyDescent="0.25">
      <c r="A138" s="37" t="s">
        <v>4</v>
      </c>
      <c r="B138" s="41" t="s">
        <v>10</v>
      </c>
      <c r="C138" s="38">
        <v>2006</v>
      </c>
      <c r="D138" s="42">
        <v>29.344881886234596</v>
      </c>
      <c r="E138" s="42">
        <v>22.214560476135489</v>
      </c>
      <c r="F138" s="42">
        <v>31.306382303252398</v>
      </c>
      <c r="G138" s="40"/>
      <c r="H138" s="40"/>
      <c r="I138" s="40"/>
      <c r="J138" s="40"/>
    </row>
    <row r="139" spans="1:10" ht="8.25" customHeight="1" x14ac:dyDescent="0.25">
      <c r="A139" s="37" t="s">
        <v>6</v>
      </c>
      <c r="B139" s="41" t="s">
        <v>10</v>
      </c>
      <c r="C139" s="38">
        <v>2006</v>
      </c>
      <c r="D139" s="42">
        <v>33.660330866491151</v>
      </c>
      <c r="E139" s="42">
        <v>28.115881075595023</v>
      </c>
      <c r="F139" s="42">
        <v>35.310044253895157</v>
      </c>
      <c r="G139" s="40"/>
      <c r="H139" s="40"/>
      <c r="I139" s="40"/>
      <c r="J139" s="40"/>
    </row>
    <row r="140" spans="1:10" ht="8.25" customHeight="1" x14ac:dyDescent="0.25">
      <c r="A140" s="37" t="s">
        <v>7</v>
      </c>
      <c r="B140" s="41" t="s">
        <v>10</v>
      </c>
      <c r="C140" s="38">
        <v>2006</v>
      </c>
      <c r="D140" s="42">
        <v>25.606199005220553</v>
      </c>
      <c r="E140" s="42">
        <v>24.208368093249053</v>
      </c>
      <c r="F140" s="42">
        <v>25.871577053189139</v>
      </c>
      <c r="G140" s="40"/>
      <c r="H140" s="40"/>
      <c r="I140" s="40"/>
      <c r="J140" s="40"/>
    </row>
    <row r="141" spans="1:10" ht="8.25" customHeight="1" x14ac:dyDescent="0.25">
      <c r="A141" s="37" t="s">
        <v>4</v>
      </c>
      <c r="B141" s="37" t="s">
        <v>5</v>
      </c>
      <c r="C141" s="38">
        <v>2005</v>
      </c>
      <c r="D141" s="42">
        <v>4.7988791523357115</v>
      </c>
      <c r="E141" s="42">
        <v>9.8395271631659735</v>
      </c>
      <c r="F141" s="42">
        <v>3.2871763022626288</v>
      </c>
      <c r="G141" s="40"/>
      <c r="H141" s="40"/>
      <c r="I141" s="40"/>
      <c r="J141" s="40"/>
    </row>
    <row r="142" spans="1:10" ht="8.25" customHeight="1" x14ac:dyDescent="0.25">
      <c r="A142" s="37" t="s">
        <v>6</v>
      </c>
      <c r="B142" s="37" t="s">
        <v>5</v>
      </c>
      <c r="C142" s="38">
        <v>2005</v>
      </c>
      <c r="D142" s="42">
        <v>4.3755488185340248</v>
      </c>
      <c r="E142" s="42">
        <v>12.61624825735595</v>
      </c>
      <c r="F142" s="42">
        <v>2.0206492308206041</v>
      </c>
      <c r="G142" s="40"/>
      <c r="H142" s="40"/>
      <c r="I142" s="40"/>
      <c r="J142" s="40"/>
    </row>
    <row r="143" spans="1:10" ht="8.25" customHeight="1" x14ac:dyDescent="0.25">
      <c r="A143" s="37" t="s">
        <v>7</v>
      </c>
      <c r="B143" s="37" t="s">
        <v>5</v>
      </c>
      <c r="C143" s="38">
        <v>2005</v>
      </c>
      <c r="D143" s="42">
        <v>3.622969814818068</v>
      </c>
      <c r="E143" s="42">
        <v>12.767188287469155</v>
      </c>
      <c r="F143" s="42">
        <v>1.8955267408437952</v>
      </c>
      <c r="G143" s="40"/>
      <c r="H143" s="40"/>
      <c r="I143" s="40"/>
      <c r="J143" s="40"/>
    </row>
    <row r="144" spans="1:10" ht="8.25" customHeight="1" x14ac:dyDescent="0.25">
      <c r="A144" s="37" t="s">
        <v>4</v>
      </c>
      <c r="B144" s="41" t="s">
        <v>8</v>
      </c>
      <c r="C144" s="38">
        <v>2005</v>
      </c>
      <c r="D144" s="42">
        <v>22.120709603673063</v>
      </c>
      <c r="E144" s="42">
        <v>29.449625043279116</v>
      </c>
      <c r="F144" s="42">
        <v>19.922748939855431</v>
      </c>
      <c r="G144" s="40"/>
      <c r="H144" s="40"/>
      <c r="I144" s="40"/>
      <c r="J144" s="40"/>
    </row>
    <row r="145" spans="1:10" ht="8.25" customHeight="1" x14ac:dyDescent="0.25">
      <c r="A145" s="37" t="s">
        <v>6</v>
      </c>
      <c r="B145" s="41" t="s">
        <v>8</v>
      </c>
      <c r="C145" s="38">
        <v>2005</v>
      </c>
      <c r="D145" s="42">
        <v>22.888799820098448</v>
      </c>
      <c r="E145" s="42">
        <v>29.846957422116866</v>
      </c>
      <c r="F145" s="42">
        <v>20.900404328738102</v>
      </c>
      <c r="G145" s="40"/>
      <c r="H145" s="40"/>
      <c r="I145" s="40"/>
      <c r="J145" s="40"/>
    </row>
    <row r="146" spans="1:10" ht="8.25" customHeight="1" x14ac:dyDescent="0.25">
      <c r="A146" s="37" t="s">
        <v>7</v>
      </c>
      <c r="B146" s="41" t="s">
        <v>8</v>
      </c>
      <c r="C146" s="38">
        <v>2005</v>
      </c>
      <c r="D146" s="42">
        <v>37.524341462050145</v>
      </c>
      <c r="E146" s="42">
        <v>35.463904279568304</v>
      </c>
      <c r="F146" s="42">
        <v>37.913580679775841</v>
      </c>
      <c r="G146" s="40"/>
      <c r="H146" s="40"/>
      <c r="I146" s="40"/>
      <c r="J146" s="40"/>
    </row>
    <row r="147" spans="1:10" ht="8.25" customHeight="1" x14ac:dyDescent="0.25">
      <c r="A147" s="37" t="s">
        <v>4</v>
      </c>
      <c r="B147" s="41" t="s">
        <v>9</v>
      </c>
      <c r="C147" s="38">
        <v>2005</v>
      </c>
      <c r="D147" s="42">
        <v>42.899124175064578</v>
      </c>
      <c r="E147" s="42">
        <v>37.710705625285698</v>
      </c>
      <c r="F147" s="42">
        <v>44.455143881036122</v>
      </c>
      <c r="G147" s="40"/>
      <c r="H147" s="40"/>
      <c r="I147" s="40"/>
      <c r="J147" s="40"/>
    </row>
    <row r="148" spans="1:10" ht="8.25" customHeight="1" x14ac:dyDescent="0.25">
      <c r="A148" s="37" t="s">
        <v>6</v>
      </c>
      <c r="B148" s="41" t="s">
        <v>9</v>
      </c>
      <c r="C148" s="38">
        <v>2005</v>
      </c>
      <c r="D148" s="42">
        <v>38.480961097514978</v>
      </c>
      <c r="E148" s="42">
        <v>31.468724501456013</v>
      </c>
      <c r="F148" s="42">
        <v>40.484810767756208</v>
      </c>
      <c r="G148" s="40"/>
      <c r="H148" s="40"/>
      <c r="I148" s="40"/>
      <c r="J148" s="40"/>
    </row>
    <row r="149" spans="1:10" ht="8.25" customHeight="1" x14ac:dyDescent="0.25">
      <c r="A149" s="37" t="s">
        <v>7</v>
      </c>
      <c r="B149" s="41" t="s">
        <v>9</v>
      </c>
      <c r="C149" s="38">
        <v>2005</v>
      </c>
      <c r="D149" s="42">
        <v>33.36893491811621</v>
      </c>
      <c r="E149" s="42">
        <v>28.71141948621921</v>
      </c>
      <c r="F149" s="42">
        <v>34.248790746127099</v>
      </c>
      <c r="G149" s="40"/>
      <c r="H149" s="40"/>
      <c r="I149" s="40"/>
      <c r="J149" s="40"/>
    </row>
    <row r="150" spans="1:10" ht="8.25" customHeight="1" x14ac:dyDescent="0.25">
      <c r="A150" s="37" t="s">
        <v>4</v>
      </c>
      <c r="B150" s="41" t="s">
        <v>10</v>
      </c>
      <c r="C150" s="38">
        <v>2005</v>
      </c>
      <c r="D150" s="42">
        <v>30.181287068926643</v>
      </c>
      <c r="E150" s="42">
        <v>23.0001421682692</v>
      </c>
      <c r="F150" s="42">
        <v>32.334930876845824</v>
      </c>
      <c r="G150" s="40"/>
      <c r="H150" s="40"/>
      <c r="I150" s="40"/>
      <c r="J150" s="40"/>
    </row>
    <row r="151" spans="1:10" ht="8.25" customHeight="1" x14ac:dyDescent="0.25">
      <c r="A151" s="37" t="s">
        <v>6</v>
      </c>
      <c r="B151" s="41" t="s">
        <v>10</v>
      </c>
      <c r="C151" s="38">
        <v>2005</v>
      </c>
      <c r="D151" s="42">
        <v>34.254690263852538</v>
      </c>
      <c r="E151" s="42">
        <v>26.068069819071184</v>
      </c>
      <c r="F151" s="42">
        <v>36.594135672685091</v>
      </c>
      <c r="G151" s="40"/>
      <c r="H151" s="40"/>
      <c r="I151" s="40"/>
      <c r="J151" s="40"/>
    </row>
    <row r="152" spans="1:10" ht="8.25" customHeight="1" x14ac:dyDescent="0.25">
      <c r="A152" s="37" t="s">
        <v>7</v>
      </c>
      <c r="B152" s="41" t="s">
        <v>10</v>
      </c>
      <c r="C152" s="38">
        <v>2005</v>
      </c>
      <c r="D152" s="42">
        <v>25.483753805015574</v>
      </c>
      <c r="E152" s="42">
        <v>23.057487946743326</v>
      </c>
      <c r="F152" s="42">
        <v>25.942101833253261</v>
      </c>
      <c r="G152" s="40"/>
      <c r="H152" s="40"/>
      <c r="I152" s="40"/>
      <c r="J152" s="40"/>
    </row>
    <row r="153" spans="1:10" x14ac:dyDescent="0.25">
      <c r="C153" s="31" t="s">
        <v>15</v>
      </c>
    </row>
    <row r="154" spans="1:10" ht="8.25" customHeight="1" x14ac:dyDescent="0.25"/>
    <row r="155" spans="1:10" ht="8.25" customHeight="1" x14ac:dyDescent="0.25">
      <c r="A155" s="78" t="s">
        <v>38</v>
      </c>
      <c r="B155" s="78"/>
      <c r="C155" s="78"/>
      <c r="D155" s="78"/>
      <c r="E155" s="78"/>
      <c r="F155" s="78"/>
      <c r="G155" s="78"/>
      <c r="H155" s="78"/>
      <c r="I155" s="78"/>
      <c r="J155" s="78"/>
    </row>
    <row r="156" spans="1:10" ht="8.25" customHeight="1" x14ac:dyDescent="0.25">
      <c r="A156" s="17" t="s">
        <v>39</v>
      </c>
      <c r="B156" s="27"/>
      <c r="C156" s="34"/>
      <c r="D156" s="27"/>
      <c r="E156" s="27"/>
      <c r="F156" s="27"/>
      <c r="G156" s="27"/>
      <c r="H156" s="46"/>
      <c r="I156" s="46"/>
      <c r="J156" s="46"/>
    </row>
    <row r="157" spans="1:10" ht="8.25" customHeight="1" x14ac:dyDescent="0.25">
      <c r="A157" s="79" t="s">
        <v>54</v>
      </c>
      <c r="B157" s="79"/>
      <c r="C157" s="79"/>
      <c r="D157" s="79"/>
      <c r="E157" s="79"/>
      <c r="F157" s="79"/>
      <c r="G157" s="27"/>
      <c r="H157" s="46"/>
      <c r="I157" s="46"/>
      <c r="J157" s="46"/>
    </row>
    <row r="158" spans="1:10" ht="8.25" customHeight="1" x14ac:dyDescent="0.25">
      <c r="A158" s="79"/>
      <c r="B158" s="79"/>
      <c r="C158" s="79"/>
      <c r="D158" s="79"/>
      <c r="E158" s="79"/>
      <c r="F158" s="79"/>
      <c r="G158" s="27"/>
      <c r="H158" s="46"/>
      <c r="I158" s="46"/>
      <c r="J158" s="46"/>
    </row>
    <row r="159" spans="1:10" ht="8.25" customHeight="1" x14ac:dyDescent="0.25">
      <c r="A159" s="30"/>
      <c r="B159" s="30"/>
      <c r="C159" s="35"/>
      <c r="D159" s="30"/>
      <c r="E159" s="30"/>
      <c r="F159" s="30"/>
      <c r="G159" s="29"/>
      <c r="H159" s="29"/>
      <c r="I159" s="29"/>
      <c r="J159" s="29"/>
    </row>
    <row r="160" spans="1:10" ht="8.25" customHeight="1" x14ac:dyDescent="0.25">
      <c r="A160" s="8"/>
      <c r="B160" s="8"/>
      <c r="C160" s="35"/>
      <c r="D160" s="8"/>
      <c r="E160" s="8"/>
      <c r="F160" s="8"/>
      <c r="G160" s="29"/>
      <c r="H160" s="29"/>
      <c r="I160" s="29"/>
      <c r="J160" s="29"/>
    </row>
    <row r="161" spans="1:10" ht="8.25" customHeight="1" x14ac:dyDescent="0.25">
      <c r="A161" s="17" t="s">
        <v>40</v>
      </c>
      <c r="B161" s="28"/>
      <c r="C161" s="36"/>
      <c r="D161" s="29"/>
      <c r="E161" s="29"/>
      <c r="F161" s="29"/>
      <c r="G161" s="29"/>
      <c r="H161" s="29"/>
      <c r="I161" s="29"/>
      <c r="J161" s="29"/>
    </row>
  </sheetData>
  <autoFilter ref="A8:F153" xr:uid="{00000000-0009-0000-0000-000000000000}"/>
  <mergeCells count="10">
    <mergeCell ref="A155:J155"/>
    <mergeCell ref="A157:F158"/>
    <mergeCell ref="E4:E5"/>
    <mergeCell ref="F4:F5"/>
    <mergeCell ref="D4:D6"/>
    <mergeCell ref="A4:A7"/>
    <mergeCell ref="B4:B7"/>
    <mergeCell ref="E6:F6"/>
    <mergeCell ref="C4:C7"/>
    <mergeCell ref="D7:F7"/>
  </mergeCells>
  <pageMargins left="0.7" right="0.7" top="0.78740157499999996" bottom="0.78740157499999996" header="0.3" footer="0.3"/>
  <pageSetup paperSize="9" orientation="portrait" r:id="rId1"/>
  <ignoredErrors>
    <ignoredError sqref="A8:F8"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74C76-CAD9-4D01-8C93-6BF3D15EBD0C}">
  <sheetPr codeName="Tabelle12"/>
  <dimension ref="B1:V168"/>
  <sheetViews>
    <sheetView tabSelected="1" topLeftCell="A122" zoomScale="205" zoomScaleNormal="205" workbookViewId="0">
      <selection activeCell="E11" sqref="E11:G154"/>
    </sheetView>
  </sheetViews>
  <sheetFormatPr baseColWidth="10" defaultColWidth="11.42578125" defaultRowHeight="15" x14ac:dyDescent="0.25"/>
  <cols>
    <col min="1" max="1" width="11.42578125" style="5"/>
    <col min="2" max="2" width="14.7109375" style="5" customWidth="1"/>
    <col min="3" max="3" width="11.5703125" style="5" customWidth="1"/>
    <col min="4" max="4" width="5.7109375" style="31" customWidth="1"/>
    <col min="5" max="5" width="8.28515625" style="5" customWidth="1"/>
    <col min="6" max="7" width="9.7109375" style="5" customWidth="1"/>
    <col min="8" max="11" width="5.7109375" style="5" customWidth="1"/>
    <col min="12" max="16384" width="11.42578125" style="5"/>
  </cols>
  <sheetData>
    <row r="1" spans="2:12" ht="15" customHeight="1" x14ac:dyDescent="0.25">
      <c r="B1" s="70" t="s">
        <v>498</v>
      </c>
    </row>
    <row r="2" spans="2:12" ht="15" customHeight="1" x14ac:dyDescent="0.25"/>
    <row r="3" spans="2:12" ht="15" customHeight="1" x14ac:dyDescent="0.25">
      <c r="B3" s="23" t="s">
        <v>499</v>
      </c>
      <c r="C3" s="23"/>
      <c r="D3" s="32"/>
      <c r="E3" s="24"/>
      <c r="F3" s="24"/>
      <c r="G3" s="24"/>
      <c r="H3" s="24"/>
      <c r="I3" s="24"/>
      <c r="J3" s="24"/>
      <c r="K3" s="24"/>
      <c r="L3" s="25"/>
    </row>
    <row r="4" spans="2:12" ht="15" customHeight="1" x14ac:dyDescent="0.25">
      <c r="B4" s="26" t="s">
        <v>500</v>
      </c>
      <c r="C4" s="26"/>
      <c r="D4" s="33"/>
      <c r="E4" s="26"/>
      <c r="F4" s="26"/>
      <c r="G4" s="26"/>
      <c r="H4" s="26"/>
      <c r="I4" s="9"/>
      <c r="J4" s="9"/>
      <c r="K4" s="9"/>
      <c r="L4" s="9"/>
    </row>
    <row r="6" spans="2:12" ht="8.25" customHeight="1" x14ac:dyDescent="0.25">
      <c r="B6" s="87" t="s">
        <v>0</v>
      </c>
      <c r="C6" s="80" t="s">
        <v>1</v>
      </c>
      <c r="D6" s="93" t="s">
        <v>11</v>
      </c>
      <c r="E6" s="84" t="s">
        <v>12</v>
      </c>
      <c r="F6" s="80" t="s">
        <v>13</v>
      </c>
      <c r="G6" s="82" t="s">
        <v>14</v>
      </c>
    </row>
    <row r="7" spans="2:12" ht="8.25" customHeight="1" x14ac:dyDescent="0.25">
      <c r="B7" s="88"/>
      <c r="C7" s="90"/>
      <c r="D7" s="94"/>
      <c r="E7" s="85"/>
      <c r="F7" s="81"/>
      <c r="G7" s="83"/>
    </row>
    <row r="8" spans="2:12" ht="8.25" customHeight="1" x14ac:dyDescent="0.25">
      <c r="B8" s="88"/>
      <c r="C8" s="90"/>
      <c r="D8" s="94"/>
      <c r="E8" s="86"/>
      <c r="F8" s="91" t="s">
        <v>45</v>
      </c>
      <c r="G8" s="92"/>
    </row>
    <row r="9" spans="2:12" ht="8.25" customHeight="1" x14ac:dyDescent="0.25">
      <c r="B9" s="89"/>
      <c r="C9" s="81"/>
      <c r="D9" s="95"/>
      <c r="E9" s="96" t="s">
        <v>16</v>
      </c>
      <c r="F9" s="97"/>
      <c r="G9" s="97"/>
    </row>
    <row r="10" spans="2:12" ht="8.25" customHeight="1" x14ac:dyDescent="0.25">
      <c r="B10" s="6" t="s">
        <v>2</v>
      </c>
      <c r="C10" s="6" t="s">
        <v>3</v>
      </c>
      <c r="D10" s="31">
        <v>3</v>
      </c>
      <c r="E10" s="7">
        <v>4</v>
      </c>
      <c r="F10" s="7">
        <v>5</v>
      </c>
      <c r="G10" s="7">
        <v>6</v>
      </c>
    </row>
    <row r="11" spans="2:12" ht="8.25" customHeight="1" x14ac:dyDescent="0.25">
      <c r="B11" s="71" t="s">
        <v>4</v>
      </c>
      <c r="C11" s="71" t="s">
        <v>5</v>
      </c>
      <c r="D11" s="72" t="s">
        <v>75</v>
      </c>
      <c r="E11" s="73">
        <f>'2019-B7_Berechnung'!D9</f>
        <v>4.6753504681455125</v>
      </c>
      <c r="F11" s="73">
        <f>'2019-B7_Berechnung'!E9</f>
        <v>11.065251276790905</v>
      </c>
      <c r="G11" s="73">
        <f>'2019-B7_Berechnung'!F9</f>
        <v>2.3615485127004585</v>
      </c>
    </row>
    <row r="12" spans="2:12" ht="8.25" customHeight="1" x14ac:dyDescent="0.25">
      <c r="B12" s="71" t="s">
        <v>6</v>
      </c>
      <c r="C12" s="71" t="s">
        <v>5</v>
      </c>
      <c r="D12" s="72" t="s">
        <v>75</v>
      </c>
      <c r="E12" s="73">
        <f>'2019-B7_Berechnung'!D10</f>
        <v>4.7491300663414506</v>
      </c>
      <c r="F12" s="73">
        <f>'2019-B7_Berechnung'!E10</f>
        <v>11.732429157162567</v>
      </c>
      <c r="G12" s="73">
        <f>'2019-B7_Berechnung'!F10</f>
        <v>1.8385398544695397</v>
      </c>
    </row>
    <row r="13" spans="2:12" ht="8.25" customHeight="1" x14ac:dyDescent="0.25">
      <c r="B13" s="71" t="s">
        <v>7</v>
      </c>
      <c r="C13" s="71" t="s">
        <v>5</v>
      </c>
      <c r="D13" s="72" t="s">
        <v>75</v>
      </c>
      <c r="E13" s="73">
        <f>'2019-B7_Berechnung'!D11</f>
        <v>4.1453676331601041</v>
      </c>
      <c r="F13" s="73">
        <f>'2019-B7_Berechnung'!E11</f>
        <v>11.564406055663891</v>
      </c>
      <c r="G13" s="73">
        <f>'2019-B7_Berechnung'!F11</f>
        <v>1.9346383338033166</v>
      </c>
    </row>
    <row r="14" spans="2:12" ht="8.25" customHeight="1" x14ac:dyDescent="0.25">
      <c r="B14" s="71" t="s">
        <v>4</v>
      </c>
      <c r="C14" s="74" t="s">
        <v>8</v>
      </c>
      <c r="D14" s="72" t="s">
        <v>75</v>
      </c>
      <c r="E14" s="73">
        <f>'2019-B7_Berechnung'!D12</f>
        <v>12.239844321392724</v>
      </c>
      <c r="F14" s="73">
        <f>'2019-B7_Berechnung'!E12</f>
        <v>17.640449721065899</v>
      </c>
      <c r="G14" s="73">
        <f>'2019-B7_Berechnung'!F12</f>
        <v>10.284271441944323</v>
      </c>
    </row>
    <row r="15" spans="2:12" ht="8.25" customHeight="1" x14ac:dyDescent="0.25">
      <c r="B15" s="71" t="s">
        <v>6</v>
      </c>
      <c r="C15" s="74" t="s">
        <v>8</v>
      </c>
      <c r="D15" s="72" t="s">
        <v>75</v>
      </c>
      <c r="E15" s="73">
        <f>'2019-B7_Berechnung'!D13</f>
        <v>13.776773099118131</v>
      </c>
      <c r="F15" s="73">
        <f>'2019-B7_Berechnung'!E13</f>
        <v>17.930100349646338</v>
      </c>
      <c r="G15" s="73">
        <f>'2019-B7_Berechnung'!F13</f>
        <v>12.04569535421993</v>
      </c>
    </row>
    <row r="16" spans="2:12" ht="8.25" customHeight="1" x14ac:dyDescent="0.25">
      <c r="B16" s="71" t="s">
        <v>7</v>
      </c>
      <c r="C16" s="74" t="s">
        <v>8</v>
      </c>
      <c r="D16" s="72" t="s">
        <v>75</v>
      </c>
      <c r="E16" s="73">
        <f>'2019-B7_Berechnung'!D14</f>
        <v>22.440954867361455</v>
      </c>
      <c r="F16" s="73">
        <f>'2019-B7_Berechnung'!E14</f>
        <v>24.277499474042926</v>
      </c>
      <c r="G16" s="73">
        <f>'2019-B7_Berechnung'!F14</f>
        <v>21.893700258293645</v>
      </c>
    </row>
    <row r="17" spans="2:22" ht="8.25" customHeight="1" x14ac:dyDescent="0.25">
      <c r="B17" s="71" t="s">
        <v>4</v>
      </c>
      <c r="C17" s="74" t="s">
        <v>9</v>
      </c>
      <c r="D17" s="72" t="s">
        <v>75</v>
      </c>
      <c r="E17" s="73">
        <f>'2019-B7_Berechnung'!D15</f>
        <v>35.286522128373356</v>
      </c>
      <c r="F17" s="73">
        <f>'2019-B7_Berechnung'!E15</f>
        <v>33.653187930570994</v>
      </c>
      <c r="G17" s="73">
        <f>'2019-B7_Berechnung'!F15</f>
        <v>35.877957534518096</v>
      </c>
    </row>
    <row r="18" spans="2:22" ht="8.25" customHeight="1" x14ac:dyDescent="0.25">
      <c r="B18" s="71" t="s">
        <v>6</v>
      </c>
      <c r="C18" s="74" t="s">
        <v>9</v>
      </c>
      <c r="D18" s="72" t="s">
        <v>75</v>
      </c>
      <c r="E18" s="73">
        <f>'2019-B7_Berechnung'!D16</f>
        <v>35.471306016720987</v>
      </c>
      <c r="F18" s="73">
        <f>'2019-B7_Berechnung'!E16</f>
        <v>27.863966188416445</v>
      </c>
      <c r="G18" s="73">
        <f>'2019-B7_Berechnung'!F16</f>
        <v>38.641993555511853</v>
      </c>
    </row>
    <row r="19" spans="2:22" ht="8.25" customHeight="1" x14ac:dyDescent="0.25">
      <c r="B19" s="71" t="s">
        <v>7</v>
      </c>
      <c r="C19" s="74" t="s">
        <v>9</v>
      </c>
      <c r="D19" s="72" t="s">
        <v>75</v>
      </c>
      <c r="E19" s="73">
        <f>'2019-B7_Berechnung'!D17</f>
        <v>36.856788663031125</v>
      </c>
      <c r="F19" s="73">
        <f>'2019-B7_Berechnung'!E17</f>
        <v>30.426187195895714</v>
      </c>
      <c r="G19" s="73">
        <f>'2019-B7_Berechnung'!F17</f>
        <v>38.772982954836024</v>
      </c>
    </row>
    <row r="20" spans="2:22" ht="8.25" customHeight="1" x14ac:dyDescent="0.25">
      <c r="B20" s="71" t="s">
        <v>4</v>
      </c>
      <c r="C20" s="74" t="s">
        <v>10</v>
      </c>
      <c r="D20" s="72" t="s">
        <v>75</v>
      </c>
      <c r="E20" s="73">
        <f>'2019-B7_Berechnung'!D18</f>
        <v>47.798283082088417</v>
      </c>
      <c r="F20" s="73">
        <f>'2019-B7_Berechnung'!E18</f>
        <v>37.641111071572212</v>
      </c>
      <c r="G20" s="73">
        <f>'2019-B7_Berechnung'!F18</f>
        <v>51.476222510837118</v>
      </c>
    </row>
    <row r="21" spans="2:22" ht="8.25" customHeight="1" x14ac:dyDescent="0.25">
      <c r="B21" s="71" t="s">
        <v>6</v>
      </c>
      <c r="C21" s="74" t="s">
        <v>10</v>
      </c>
      <c r="D21" s="72" t="s">
        <v>75</v>
      </c>
      <c r="E21" s="73">
        <f>'2019-B7_Berechnung'!D19</f>
        <v>46.002790817819431</v>
      </c>
      <c r="F21" s="73">
        <f>'2019-B7_Berechnung'!E19</f>
        <v>42.47350430477465</v>
      </c>
      <c r="G21" s="73">
        <f>'2019-B7_Berechnung'!F19</f>
        <v>47.473771235798679</v>
      </c>
    </row>
    <row r="22" spans="2:22" ht="8.25" customHeight="1" x14ac:dyDescent="0.25">
      <c r="B22" s="71" t="s">
        <v>7</v>
      </c>
      <c r="C22" s="74" t="s">
        <v>10</v>
      </c>
      <c r="D22" s="72" t="s">
        <v>75</v>
      </c>
      <c r="E22" s="73">
        <f>'2019-B7_Berechnung'!D20</f>
        <v>36.556889042567576</v>
      </c>
      <c r="F22" s="73">
        <f>'2019-B7_Berechnung'!E20</f>
        <v>33.731907274397457</v>
      </c>
      <c r="G22" s="73">
        <f>'2019-B7_Berechnung'!F20</f>
        <v>37.398678453067021</v>
      </c>
    </row>
    <row r="23" spans="2:22" ht="8.25" customHeight="1" x14ac:dyDescent="0.25">
      <c r="B23" s="37" t="s">
        <v>4</v>
      </c>
      <c r="C23" s="37" t="s">
        <v>5</v>
      </c>
      <c r="D23" s="38" t="s">
        <v>46</v>
      </c>
      <c r="E23" s="39">
        <v>4.6982988886806689</v>
      </c>
      <c r="F23" s="73">
        <f>'2019-B7_Berechnung'!E21</f>
        <v>11.588400684422339</v>
      </c>
      <c r="G23" s="73">
        <f>'2019-B7_Berechnung'!F21</f>
        <v>2.2291467436960244</v>
      </c>
      <c r="I23" s="40"/>
      <c r="J23" s="40"/>
      <c r="K23" s="40"/>
    </row>
    <row r="24" spans="2:22" ht="8.25" customHeight="1" x14ac:dyDescent="0.25">
      <c r="B24" s="37" t="s">
        <v>6</v>
      </c>
      <c r="C24" s="37" t="s">
        <v>5</v>
      </c>
      <c r="D24" s="38" t="s">
        <v>46</v>
      </c>
      <c r="E24" s="39">
        <v>4.6485415868115689</v>
      </c>
      <c r="F24" s="73">
        <f>'2019-B7_Berechnung'!E22</f>
        <v>10.931888033752587</v>
      </c>
      <c r="G24" s="73">
        <f>'2019-B7_Berechnung'!F22</f>
        <v>1.9928666094218581</v>
      </c>
      <c r="I24" s="40"/>
      <c r="J24" s="40"/>
      <c r="K24" s="40"/>
      <c r="V24"/>
    </row>
    <row r="25" spans="2:22" ht="8.25" customHeight="1" x14ac:dyDescent="0.25">
      <c r="B25" s="37" t="s">
        <v>7</v>
      </c>
      <c r="C25" s="37" t="s">
        <v>5</v>
      </c>
      <c r="D25" s="38" t="s">
        <v>46</v>
      </c>
      <c r="E25" s="39">
        <v>4.2069623894442829</v>
      </c>
      <c r="F25" s="73">
        <f>'2019-B7_Berechnung'!E23</f>
        <v>11.927085726257943</v>
      </c>
      <c r="G25" s="73">
        <f>'2019-B7_Berechnung'!F23</f>
        <v>1.9130584896634324</v>
      </c>
      <c r="I25" s="40"/>
      <c r="J25" s="40"/>
      <c r="K25" s="40"/>
      <c r="V25"/>
    </row>
    <row r="26" spans="2:22" ht="8.25" customHeight="1" x14ac:dyDescent="0.25">
      <c r="B26" s="37" t="s">
        <v>4</v>
      </c>
      <c r="C26" s="41" t="s">
        <v>8</v>
      </c>
      <c r="D26" s="38" t="s">
        <v>46</v>
      </c>
      <c r="E26" s="39">
        <v>12.901467185689915</v>
      </c>
      <c r="F26" s="73">
        <f>'2019-B7_Berechnung'!E24</f>
        <v>15.993024935607295</v>
      </c>
      <c r="G26" s="73">
        <f>'2019-B7_Berechnung'!F24</f>
        <v>11.793569434524862</v>
      </c>
      <c r="I26" s="40"/>
      <c r="J26" s="40"/>
      <c r="K26" s="40"/>
    </row>
    <row r="27" spans="2:22" ht="8.25" customHeight="1" x14ac:dyDescent="0.25">
      <c r="B27" s="37" t="s">
        <v>6</v>
      </c>
      <c r="C27" s="41" t="s">
        <v>8</v>
      </c>
      <c r="D27" s="38" t="s">
        <v>46</v>
      </c>
      <c r="E27" s="39">
        <v>14.804143160272476</v>
      </c>
      <c r="F27" s="73">
        <f>'2019-B7_Berechnung'!E25</f>
        <v>18.645115069236038</v>
      </c>
      <c r="G27" s="73">
        <f>'2019-B7_Berechnung'!F25</f>
        <v>13.1807434985902</v>
      </c>
      <c r="I27" s="40"/>
      <c r="J27" s="40"/>
      <c r="K27" s="40"/>
    </row>
    <row r="28" spans="2:22" ht="8.25" customHeight="1" x14ac:dyDescent="0.25">
      <c r="B28" s="37" t="s">
        <v>7</v>
      </c>
      <c r="C28" s="41" t="s">
        <v>8</v>
      </c>
      <c r="D28" s="38" t="s">
        <v>46</v>
      </c>
      <c r="E28" s="39">
        <v>23.580572938868478</v>
      </c>
      <c r="F28" s="73">
        <f>'2019-B7_Berechnung'!E26</f>
        <v>24.295397982816738</v>
      </c>
      <c r="G28" s="73">
        <f>'2019-B7_Berechnung'!F26</f>
        <v>23.368174845770174</v>
      </c>
      <c r="I28" s="40"/>
      <c r="J28" s="40"/>
      <c r="K28" s="40"/>
    </row>
    <row r="29" spans="2:22" ht="8.25" customHeight="1" x14ac:dyDescent="0.25">
      <c r="B29" s="37" t="s">
        <v>4</v>
      </c>
      <c r="C29" s="41" t="s">
        <v>9</v>
      </c>
      <c r="D29" s="38" t="s">
        <v>46</v>
      </c>
      <c r="E29" s="39">
        <v>35.555640135686318</v>
      </c>
      <c r="F29" s="73">
        <f>'2019-B7_Berechnung'!E27</f>
        <v>33.721869100749835</v>
      </c>
      <c r="G29" s="73">
        <f>'2019-B7_Berechnung'!F27</f>
        <v>36.212795946112124</v>
      </c>
      <c r="I29" s="40"/>
      <c r="J29" s="40"/>
      <c r="K29" s="40"/>
    </row>
    <row r="30" spans="2:22" ht="8.25" customHeight="1" x14ac:dyDescent="0.25">
      <c r="B30" s="37" t="s">
        <v>6</v>
      </c>
      <c r="C30" s="41" t="s">
        <v>9</v>
      </c>
      <c r="D30" s="38" t="s">
        <v>46</v>
      </c>
      <c r="E30" s="39">
        <v>36.077299684801908</v>
      </c>
      <c r="F30" s="73">
        <f>'2019-B7_Berechnung'!E28</f>
        <v>28.394148695037224</v>
      </c>
      <c r="G30" s="73">
        <f>'2019-B7_Berechnung'!F28</f>
        <v>39.324606196280122</v>
      </c>
      <c r="I30" s="40"/>
      <c r="J30" s="40"/>
      <c r="K30" s="40"/>
    </row>
    <row r="31" spans="2:22" ht="8.25" customHeight="1" x14ac:dyDescent="0.25">
      <c r="B31" s="37" t="s">
        <v>7</v>
      </c>
      <c r="C31" s="41" t="s">
        <v>9</v>
      </c>
      <c r="D31" s="38" t="s">
        <v>46</v>
      </c>
      <c r="E31" s="39">
        <v>36.964359350671153</v>
      </c>
      <c r="F31" s="73">
        <f>'2019-B7_Berechnung'!E29</f>
        <v>31.001462151868665</v>
      </c>
      <c r="G31" s="73">
        <f>'2019-B7_Berechnung'!F29</f>
        <v>38.73613337230266</v>
      </c>
      <c r="I31" s="40"/>
      <c r="J31" s="40"/>
      <c r="K31" s="40"/>
    </row>
    <row r="32" spans="2:22" ht="8.25" customHeight="1" x14ac:dyDescent="0.25">
      <c r="B32" s="37" t="s">
        <v>4</v>
      </c>
      <c r="C32" s="41" t="s">
        <v>10</v>
      </c>
      <c r="D32" s="38" t="s">
        <v>46</v>
      </c>
      <c r="E32" s="39">
        <v>46.844593789943104</v>
      </c>
      <c r="F32" s="73">
        <f>'2019-B7_Berechnung'!E30</f>
        <v>38.696712165588501</v>
      </c>
      <c r="G32" s="73">
        <f>'2019-B7_Berechnung'!F30</f>
        <v>49.764487875666994</v>
      </c>
      <c r="I32" s="40"/>
      <c r="J32" s="40"/>
      <c r="K32" s="40"/>
    </row>
    <row r="33" spans="2:11" ht="8.25" customHeight="1" x14ac:dyDescent="0.25">
      <c r="B33" s="37" t="s">
        <v>6</v>
      </c>
      <c r="C33" s="41" t="s">
        <v>10</v>
      </c>
      <c r="D33" s="38" t="s">
        <v>46</v>
      </c>
      <c r="E33" s="39">
        <v>44.470015568114043</v>
      </c>
      <c r="F33" s="73">
        <f>'2019-B7_Berechnung'!E31</f>
        <v>42.028844621451178</v>
      </c>
      <c r="G33" s="73">
        <f>'2019-B7_Berechnung'!F31</f>
        <v>45.501782182389192</v>
      </c>
      <c r="I33" s="40"/>
      <c r="J33" s="40"/>
      <c r="K33" s="40"/>
    </row>
    <row r="34" spans="2:11" ht="8.25" customHeight="1" x14ac:dyDescent="0.25">
      <c r="B34" s="37" t="s">
        <v>7</v>
      </c>
      <c r="C34" s="41" t="s">
        <v>10</v>
      </c>
      <c r="D34" s="38" t="s">
        <v>46</v>
      </c>
      <c r="E34" s="39">
        <v>35.248105114006158</v>
      </c>
      <c r="F34" s="73">
        <f>'2019-B7_Berechnung'!E32</f>
        <v>32.77605413905664</v>
      </c>
      <c r="G34" s="73">
        <f>'2019-B7_Berechnung'!F32</f>
        <v>35.982633292263735</v>
      </c>
      <c r="I34" s="40"/>
      <c r="J34" s="40"/>
      <c r="K34" s="40"/>
    </row>
    <row r="35" spans="2:11" ht="8.25" customHeight="1" x14ac:dyDescent="0.25">
      <c r="B35" s="37" t="s">
        <v>4</v>
      </c>
      <c r="C35" s="37" t="s">
        <v>5</v>
      </c>
      <c r="D35" s="38" t="s">
        <v>47</v>
      </c>
      <c r="E35" s="14">
        <v>4.9194793575994309</v>
      </c>
      <c r="F35" s="73">
        <f>'2019-B7_Berechnung'!E33</f>
        <v>12.042580112442936</v>
      </c>
      <c r="G35" s="73">
        <f>'2019-B7_Berechnung'!F33</f>
        <v>2.3349766564321568</v>
      </c>
      <c r="K35" s="40"/>
    </row>
    <row r="36" spans="2:11" ht="8.25" customHeight="1" x14ac:dyDescent="0.25">
      <c r="B36" s="37" t="s">
        <v>6</v>
      </c>
      <c r="C36" s="37" t="s">
        <v>5</v>
      </c>
      <c r="D36" s="38" t="s">
        <v>47</v>
      </c>
      <c r="E36" s="14">
        <v>4.6497542305345041</v>
      </c>
      <c r="F36" s="73">
        <f>'2019-B7_Berechnung'!E34</f>
        <v>10.305310008719477</v>
      </c>
      <c r="G36" s="73">
        <f>'2019-B7_Berechnung'!F34</f>
        <v>2.190582010262685</v>
      </c>
      <c r="K36" s="40"/>
    </row>
    <row r="37" spans="2:11" ht="8.25" customHeight="1" x14ac:dyDescent="0.25">
      <c r="B37" s="37" t="s">
        <v>7</v>
      </c>
      <c r="C37" s="37" t="s">
        <v>5</v>
      </c>
      <c r="D37" s="38" t="s">
        <v>47</v>
      </c>
      <c r="E37" s="14">
        <v>4.2201512220133068</v>
      </c>
      <c r="F37" s="73">
        <f>'2019-B7_Berechnung'!E35</f>
        <v>11.767440727347701</v>
      </c>
      <c r="G37" s="73">
        <f>'2019-B7_Berechnung'!F35</f>
        <v>1.994779674772662</v>
      </c>
      <c r="K37" s="40"/>
    </row>
    <row r="38" spans="2:11" ht="8.25" customHeight="1" x14ac:dyDescent="0.25">
      <c r="B38" s="37" t="s">
        <v>4</v>
      </c>
      <c r="C38" s="41" t="s">
        <v>8</v>
      </c>
      <c r="D38" s="38" t="s">
        <v>47</v>
      </c>
      <c r="E38" s="14">
        <v>13.041924457911779</v>
      </c>
      <c r="F38" s="73">
        <f>'2019-B7_Berechnung'!E36</f>
        <v>17.587709626698761</v>
      </c>
      <c r="G38" s="73">
        <f>'2019-B7_Berechnung'!F36</f>
        <v>11.39255908457678</v>
      </c>
      <c r="K38" s="40"/>
    </row>
    <row r="39" spans="2:11" ht="8.25" customHeight="1" x14ac:dyDescent="0.25">
      <c r="B39" s="37" t="s">
        <v>6</v>
      </c>
      <c r="C39" s="41" t="s">
        <v>8</v>
      </c>
      <c r="D39" s="38" t="s">
        <v>47</v>
      </c>
      <c r="E39" s="14">
        <v>15.161176107752899</v>
      </c>
      <c r="F39" s="73">
        <f>'2019-B7_Berechnung'!E37</f>
        <v>20.733476648050956</v>
      </c>
      <c r="G39" s="73">
        <f>'2019-B7_Berechnung'!F37</f>
        <v>12.738203781254084</v>
      </c>
      <c r="K39" s="40"/>
    </row>
    <row r="40" spans="2:11" ht="8.25" customHeight="1" x14ac:dyDescent="0.25">
      <c r="B40" s="37" t="s">
        <v>7</v>
      </c>
      <c r="C40" s="41" t="s">
        <v>8</v>
      </c>
      <c r="D40" s="38" t="s">
        <v>47</v>
      </c>
      <c r="E40" s="14">
        <v>24.857437515128886</v>
      </c>
      <c r="F40" s="73">
        <f>'2019-B7_Berechnung'!E38</f>
        <v>25.707863216386546</v>
      </c>
      <c r="G40" s="73">
        <f>'2019-B7_Berechnung'!F38</f>
        <v>24.606683498434101</v>
      </c>
      <c r="K40" s="40"/>
    </row>
    <row r="41" spans="2:11" ht="8.25" customHeight="1" x14ac:dyDescent="0.25">
      <c r="B41" s="37" t="s">
        <v>4</v>
      </c>
      <c r="C41" s="41" t="s">
        <v>9</v>
      </c>
      <c r="D41" s="38" t="s">
        <v>47</v>
      </c>
      <c r="E41" s="14">
        <v>37.025788824263287</v>
      </c>
      <c r="F41" s="73">
        <f>'2019-B7_Berechnung'!E39</f>
        <v>33.292821616146412</v>
      </c>
      <c r="G41" s="73">
        <f>'2019-B7_Berechnung'!F39</f>
        <v>38.380235070800403</v>
      </c>
      <c r="K41" s="40"/>
    </row>
    <row r="42" spans="2:11" ht="8.25" customHeight="1" x14ac:dyDescent="0.25">
      <c r="B42" s="37" t="s">
        <v>6</v>
      </c>
      <c r="C42" s="41" t="s">
        <v>9</v>
      </c>
      <c r="D42" s="38" t="s">
        <v>47</v>
      </c>
      <c r="E42" s="14">
        <v>36.989414778270813</v>
      </c>
      <c r="F42" s="73">
        <f>'2019-B7_Berechnung'!E40</f>
        <v>31.448776066667673</v>
      </c>
      <c r="G42" s="73">
        <f>'2019-B7_Berechnung'!F40</f>
        <v>39.398621285002122</v>
      </c>
      <c r="K42" s="40"/>
    </row>
    <row r="43" spans="2:11" ht="8.25" customHeight="1" x14ac:dyDescent="0.25">
      <c r="B43" s="37" t="s">
        <v>7</v>
      </c>
      <c r="C43" s="41" t="s">
        <v>9</v>
      </c>
      <c r="D43" s="38" t="s">
        <v>47</v>
      </c>
      <c r="E43" s="14">
        <v>36.642055491221164</v>
      </c>
      <c r="F43" s="73">
        <f>'2019-B7_Berechnung'!E41</f>
        <v>31.371177984427728</v>
      </c>
      <c r="G43" s="73">
        <f>'2019-B7_Berechnung'!F41</f>
        <v>38.196210903481202</v>
      </c>
      <c r="K43" s="40"/>
    </row>
    <row r="44" spans="2:11" ht="8.25" customHeight="1" x14ac:dyDescent="0.25">
      <c r="B44" s="37" t="s">
        <v>4</v>
      </c>
      <c r="C44" s="41" t="s">
        <v>10</v>
      </c>
      <c r="D44" s="38" t="s">
        <v>47</v>
      </c>
      <c r="E44" s="14">
        <v>45.012807360225494</v>
      </c>
      <c r="F44" s="73">
        <f>'2019-B7_Berechnung'!E42</f>
        <v>37.076888644711886</v>
      </c>
      <c r="G44" s="73">
        <f>'2019-B7_Berechnung'!F42</f>
        <v>47.892229188190669</v>
      </c>
      <c r="K44" s="40"/>
    </row>
    <row r="45" spans="2:11" ht="8.25" customHeight="1" x14ac:dyDescent="0.25">
      <c r="B45" s="37" t="s">
        <v>6</v>
      </c>
      <c r="C45" s="41" t="s">
        <v>10</v>
      </c>
      <c r="D45" s="38" t="s">
        <v>47</v>
      </c>
      <c r="E45" s="14">
        <v>43.19965382659155</v>
      </c>
      <c r="F45" s="73">
        <f>'2019-B7_Berechnung'!E43</f>
        <v>37.512437276561897</v>
      </c>
      <c r="G45" s="73">
        <f>'2019-B7_Berechnung'!F43</f>
        <v>45.672594439875638</v>
      </c>
      <c r="K45" s="40"/>
    </row>
    <row r="46" spans="2:11" ht="8.25" customHeight="1" x14ac:dyDescent="0.25">
      <c r="B46" s="37" t="s">
        <v>7</v>
      </c>
      <c r="C46" s="41" t="s">
        <v>10</v>
      </c>
      <c r="D46" s="38" t="s">
        <v>47</v>
      </c>
      <c r="E46" s="14">
        <v>34.280355771636643</v>
      </c>
      <c r="F46" s="73">
        <f>'2019-B7_Berechnung'!E44</f>
        <v>31.153517170875585</v>
      </c>
      <c r="G46" s="73">
        <f>'2019-B7_Berechnung'!F44</f>
        <v>35.202325923312038</v>
      </c>
      <c r="K46" s="40"/>
    </row>
    <row r="47" spans="2:11" ht="8.25" customHeight="1" x14ac:dyDescent="0.25">
      <c r="B47" s="37" t="s">
        <v>4</v>
      </c>
      <c r="C47" s="37" t="s">
        <v>5</v>
      </c>
      <c r="D47" s="38" t="s">
        <v>48</v>
      </c>
      <c r="E47" s="43">
        <v>4.9161793714797044</v>
      </c>
      <c r="F47" s="73">
        <f>'2019-B7_Berechnung'!E45</f>
        <v>11.503349933337789</v>
      </c>
      <c r="G47" s="73">
        <f>'2019-B7_Berechnung'!F45</f>
        <v>2.8693745396851096</v>
      </c>
      <c r="H47" s="40"/>
      <c r="I47" s="40"/>
      <c r="J47" s="40"/>
      <c r="K47" s="40"/>
    </row>
    <row r="48" spans="2:11" ht="8.25" customHeight="1" x14ac:dyDescent="0.25">
      <c r="B48" s="37" t="s">
        <v>6</v>
      </c>
      <c r="C48" s="37" t="s">
        <v>5</v>
      </c>
      <c r="D48" s="38" t="s">
        <v>48</v>
      </c>
      <c r="E48" s="43">
        <v>4.7669176494593097</v>
      </c>
      <c r="F48" s="73">
        <f>'2019-B7_Berechnung'!E46</f>
        <v>11.762322892636114</v>
      </c>
      <c r="G48" s="73">
        <f>'2019-B7_Berechnung'!F46</f>
        <v>2.2480152377796392</v>
      </c>
      <c r="H48" s="40"/>
      <c r="I48" s="40"/>
      <c r="J48" s="40"/>
      <c r="K48" s="40"/>
    </row>
    <row r="49" spans="2:11" ht="8.25" customHeight="1" x14ac:dyDescent="0.25">
      <c r="B49" s="37" t="s">
        <v>7</v>
      </c>
      <c r="C49" s="37" t="s">
        <v>5</v>
      </c>
      <c r="D49" s="38" t="s">
        <v>48</v>
      </c>
      <c r="E49" s="43">
        <v>4.1379483478909744</v>
      </c>
      <c r="F49" s="73">
        <f>'2019-B7_Berechnung'!E47</f>
        <v>11.962367125153166</v>
      </c>
      <c r="G49" s="73">
        <f>'2019-B7_Berechnung'!F47</f>
        <v>2.1814518113725949</v>
      </c>
      <c r="H49" s="40"/>
      <c r="I49" s="40"/>
      <c r="J49" s="40"/>
      <c r="K49" s="40"/>
    </row>
    <row r="50" spans="2:11" ht="8.25" customHeight="1" x14ac:dyDescent="0.25">
      <c r="B50" s="37" t="s">
        <v>4</v>
      </c>
      <c r="C50" s="41" t="s">
        <v>8</v>
      </c>
      <c r="D50" s="38" t="s">
        <v>48</v>
      </c>
      <c r="E50" s="43">
        <v>13.862605167744283</v>
      </c>
      <c r="F50" s="73">
        <f>'2019-B7_Berechnung'!E48</f>
        <v>19.265424417086439</v>
      </c>
      <c r="G50" s="73">
        <f>'2019-B7_Berechnung'!F48</f>
        <v>12.183810954144603</v>
      </c>
      <c r="H50" s="40"/>
      <c r="I50" s="40"/>
      <c r="J50" s="40"/>
      <c r="K50" s="40"/>
    </row>
    <row r="51" spans="2:11" ht="8.25" customHeight="1" x14ac:dyDescent="0.25">
      <c r="B51" s="37" t="s">
        <v>6</v>
      </c>
      <c r="C51" s="41" t="s">
        <v>8</v>
      </c>
      <c r="D51" s="38" t="s">
        <v>48</v>
      </c>
      <c r="E51" s="43">
        <v>15.520749309986433</v>
      </c>
      <c r="F51" s="73">
        <f>'2019-B7_Berechnung'!E49</f>
        <v>20.549656059974257</v>
      </c>
      <c r="G51" s="73">
        <f>'2019-B7_Berechnung'!F49</f>
        <v>13.709942976140971</v>
      </c>
      <c r="H51" s="40"/>
      <c r="I51" s="40"/>
      <c r="J51" s="40"/>
      <c r="K51" s="40"/>
    </row>
    <row r="52" spans="2:11" ht="8.25" customHeight="1" x14ac:dyDescent="0.25">
      <c r="B52" s="37" t="s">
        <v>7</v>
      </c>
      <c r="C52" s="41" t="s">
        <v>8</v>
      </c>
      <c r="D52" s="38" t="s">
        <v>48</v>
      </c>
      <c r="E52" s="43">
        <v>26.046419111220899</v>
      </c>
      <c r="F52" s="73">
        <f>'2019-B7_Berechnung'!E50</f>
        <v>27.227208017671156</v>
      </c>
      <c r="G52" s="73">
        <f>'2019-B7_Berechnung'!F50</f>
        <v>25.751162968500303</v>
      </c>
      <c r="H52" s="40"/>
      <c r="I52" s="40"/>
      <c r="J52" s="40"/>
      <c r="K52" s="40"/>
    </row>
    <row r="53" spans="2:11" ht="8.25" customHeight="1" x14ac:dyDescent="0.25">
      <c r="B53" s="37" t="s">
        <v>4</v>
      </c>
      <c r="C53" s="41" t="s">
        <v>9</v>
      </c>
      <c r="D53" s="38" t="s">
        <v>48</v>
      </c>
      <c r="E53" s="43">
        <v>37.66057100147269</v>
      </c>
      <c r="F53" s="73">
        <f>'2019-B7_Berechnung'!E51</f>
        <v>33.006016345995434</v>
      </c>
      <c r="G53" s="73">
        <f>'2019-B7_Berechnung'!F51</f>
        <v>39.106860255633862</v>
      </c>
      <c r="H53" s="40"/>
      <c r="I53" s="40"/>
      <c r="J53" s="40"/>
      <c r="K53" s="40"/>
    </row>
    <row r="54" spans="2:11" ht="8.25" customHeight="1" x14ac:dyDescent="0.25">
      <c r="B54" s="37" t="s">
        <v>6</v>
      </c>
      <c r="C54" s="41" t="s">
        <v>9</v>
      </c>
      <c r="D54" s="38" t="s">
        <v>48</v>
      </c>
      <c r="E54" s="43">
        <v>36.793473862136686</v>
      </c>
      <c r="F54" s="73">
        <f>'2019-B7_Berechnung'!E52</f>
        <v>30.999665009714722</v>
      </c>
      <c r="G54" s="73">
        <f>'2019-B7_Berechnung'!F52</f>
        <v>38.879705125856184</v>
      </c>
      <c r="H54" s="40"/>
      <c r="I54" s="40"/>
      <c r="J54" s="40"/>
      <c r="K54" s="40"/>
    </row>
    <row r="55" spans="2:11" ht="8.25" customHeight="1" x14ac:dyDescent="0.25">
      <c r="B55" s="37" t="s">
        <v>7</v>
      </c>
      <c r="C55" s="41" t="s">
        <v>9</v>
      </c>
      <c r="D55" s="38" t="s">
        <v>48</v>
      </c>
      <c r="E55" s="43">
        <v>36.519866080217575</v>
      </c>
      <c r="F55" s="73">
        <f>'2019-B7_Berechnung'!E53</f>
        <v>31.076589278281414</v>
      </c>
      <c r="G55" s="73">
        <f>'2019-B7_Berechnung'!F53</f>
        <v>37.880958310287554</v>
      </c>
      <c r="H55" s="40"/>
      <c r="I55" s="40"/>
      <c r="J55" s="40"/>
      <c r="K55" s="40"/>
    </row>
    <row r="56" spans="2:11" ht="8.25" customHeight="1" x14ac:dyDescent="0.25">
      <c r="B56" s="37" t="s">
        <v>4</v>
      </c>
      <c r="C56" s="41" t="s">
        <v>10</v>
      </c>
      <c r="D56" s="38" t="s">
        <v>48</v>
      </c>
      <c r="E56" s="43">
        <v>43.560642662873036</v>
      </c>
      <c r="F56" s="73">
        <f>'2019-B7_Berechnung'!E54</f>
        <v>36.225201725745734</v>
      </c>
      <c r="G56" s="73">
        <f>'2019-B7_Berechnung'!F54</f>
        <v>45.839954250536422</v>
      </c>
      <c r="H56" s="40"/>
      <c r="I56" s="40"/>
      <c r="J56" s="40"/>
      <c r="K56" s="40"/>
    </row>
    <row r="57" spans="2:11" ht="8.25" customHeight="1" x14ac:dyDescent="0.25">
      <c r="B57" s="37" t="s">
        <v>6</v>
      </c>
      <c r="C57" s="41" t="s">
        <v>10</v>
      </c>
      <c r="D57" s="38" t="s">
        <v>48</v>
      </c>
      <c r="E57" s="43">
        <v>42.91885917841757</v>
      </c>
      <c r="F57" s="73">
        <f>'2019-B7_Berechnung'!E55</f>
        <v>36.688352037790899</v>
      </c>
      <c r="G57" s="73">
        <f>'2019-B7_Berechnung'!F55</f>
        <v>45.162338100499696</v>
      </c>
      <c r="H57" s="40"/>
      <c r="I57" s="40"/>
      <c r="J57" s="40"/>
      <c r="K57" s="40"/>
    </row>
    <row r="58" spans="2:11" ht="8.25" customHeight="1" x14ac:dyDescent="0.25">
      <c r="B58" s="37" t="s">
        <v>7</v>
      </c>
      <c r="C58" s="41" t="s">
        <v>10</v>
      </c>
      <c r="D58" s="38" t="s">
        <v>48</v>
      </c>
      <c r="E58" s="43">
        <v>33.295766256137043</v>
      </c>
      <c r="F58" s="73">
        <f>'2019-B7_Berechnung'!E56</f>
        <v>29.733836601397812</v>
      </c>
      <c r="G58" s="73">
        <f>'2019-B7_Berechnung'!F56</f>
        <v>34.186427165516669</v>
      </c>
      <c r="H58" s="40"/>
      <c r="I58" s="40"/>
      <c r="J58" s="40"/>
      <c r="K58" s="40"/>
    </row>
    <row r="59" spans="2:11" ht="8.25" customHeight="1" x14ac:dyDescent="0.25">
      <c r="B59" s="37" t="s">
        <v>4</v>
      </c>
      <c r="C59" s="37" t="s">
        <v>5</v>
      </c>
      <c r="D59" s="38" t="s">
        <v>49</v>
      </c>
      <c r="E59" s="42">
        <v>3.986510946628572</v>
      </c>
      <c r="F59" s="73">
        <f>'2019-B7_Berechnung'!E57</f>
        <v>8.2194037272040585</v>
      </c>
      <c r="G59" s="73">
        <f>'2019-B7_Berechnung'!F57</f>
        <v>2.8827232317372364</v>
      </c>
      <c r="H59" s="40"/>
      <c r="I59" s="40"/>
      <c r="J59" s="40"/>
      <c r="K59" s="40"/>
    </row>
    <row r="60" spans="2:11" ht="8.25" customHeight="1" x14ac:dyDescent="0.25">
      <c r="B60" s="37" t="s">
        <v>6</v>
      </c>
      <c r="C60" s="37" t="s">
        <v>5</v>
      </c>
      <c r="D60" s="38" t="s">
        <v>49</v>
      </c>
      <c r="E60" s="42">
        <v>4.173177766872592</v>
      </c>
      <c r="F60" s="73">
        <f>'2019-B7_Berechnung'!E58</f>
        <v>9.336206576844468</v>
      </c>
      <c r="G60" s="73">
        <f>'2019-B7_Berechnung'!F58</f>
        <v>2.6404567264316414</v>
      </c>
      <c r="H60" s="40"/>
      <c r="I60" s="40"/>
      <c r="J60" s="40"/>
      <c r="K60" s="40"/>
    </row>
    <row r="61" spans="2:11" ht="8.25" customHeight="1" x14ac:dyDescent="0.25">
      <c r="B61" s="37" t="s">
        <v>7</v>
      </c>
      <c r="C61" s="37" t="s">
        <v>5</v>
      </c>
      <c r="D61" s="38" t="s">
        <v>49</v>
      </c>
      <c r="E61" s="42">
        <v>3.7499136553976844</v>
      </c>
      <c r="F61" s="73">
        <f>'2019-B7_Berechnung'!E59</f>
        <v>11.068321497719857</v>
      </c>
      <c r="G61" s="73">
        <f>'2019-B7_Berechnung'!F59</f>
        <v>2.121669380202122</v>
      </c>
      <c r="H61" s="40"/>
      <c r="I61" s="40"/>
      <c r="J61" s="40"/>
      <c r="K61" s="40"/>
    </row>
    <row r="62" spans="2:11" ht="8.25" customHeight="1" x14ac:dyDescent="0.25">
      <c r="B62" s="37" t="s">
        <v>4</v>
      </c>
      <c r="C62" s="41" t="s">
        <v>8</v>
      </c>
      <c r="D62" s="38" t="s">
        <v>49</v>
      </c>
      <c r="E62" s="42">
        <v>13.751826614637078</v>
      </c>
      <c r="F62" s="73">
        <f>'2019-B7_Berechnung'!E60</f>
        <v>20.329339579850387</v>
      </c>
      <c r="G62" s="73">
        <f>'2019-B7_Berechnung'!F60</f>
        <v>12.036645441407863</v>
      </c>
      <c r="H62" s="40"/>
      <c r="I62" s="40"/>
      <c r="J62" s="40"/>
      <c r="K62" s="40"/>
    </row>
    <row r="63" spans="2:11" ht="8.25" customHeight="1" x14ac:dyDescent="0.25">
      <c r="B63" s="37" t="s">
        <v>6</v>
      </c>
      <c r="C63" s="41" t="s">
        <v>8</v>
      </c>
      <c r="D63" s="38" t="s">
        <v>49</v>
      </c>
      <c r="E63" s="42">
        <v>14.713407163780346</v>
      </c>
      <c r="F63" s="73">
        <f>'2019-B7_Berechnung'!E61</f>
        <v>20.302583164475035</v>
      </c>
      <c r="G63" s="73">
        <f>'2019-B7_Berechnung'!F61</f>
        <v>13.054177914658844</v>
      </c>
      <c r="H63" s="40"/>
      <c r="I63" s="40"/>
      <c r="J63" s="40"/>
      <c r="K63" s="40"/>
    </row>
    <row r="64" spans="2:11" ht="8.25" customHeight="1" x14ac:dyDescent="0.25">
      <c r="B64" s="37" t="s">
        <v>7</v>
      </c>
      <c r="C64" s="41" t="s">
        <v>8</v>
      </c>
      <c r="D64" s="38" t="s">
        <v>49</v>
      </c>
      <c r="E64" s="42">
        <v>25.96905957391607</v>
      </c>
      <c r="F64" s="73">
        <f>'2019-B7_Berechnung'!E62</f>
        <v>25.934649390406367</v>
      </c>
      <c r="G64" s="73">
        <f>'2019-B7_Berechnung'!F62</f>
        <v>25.976715362649799</v>
      </c>
      <c r="H64" s="40"/>
      <c r="I64" s="40"/>
      <c r="J64" s="40"/>
      <c r="K64" s="40"/>
    </row>
    <row r="65" spans="2:11" ht="8.25" customHeight="1" x14ac:dyDescent="0.25">
      <c r="B65" s="37" t="s">
        <v>4</v>
      </c>
      <c r="C65" s="41" t="s">
        <v>9</v>
      </c>
      <c r="D65" s="38" t="s">
        <v>49</v>
      </c>
      <c r="E65" s="42">
        <v>39.637359980349665</v>
      </c>
      <c r="F65" s="73">
        <f>'2019-B7_Berechnung'!E63</f>
        <v>37.225864888968943</v>
      </c>
      <c r="G65" s="73">
        <f>'2019-B7_Berechnung'!F63</f>
        <v>40.266189611854642</v>
      </c>
      <c r="H65" s="40"/>
      <c r="I65" s="40"/>
      <c r="J65" s="40"/>
      <c r="K65" s="40"/>
    </row>
    <row r="66" spans="2:11" ht="8.25" customHeight="1" x14ac:dyDescent="0.25">
      <c r="B66" s="37" t="s">
        <v>6</v>
      </c>
      <c r="C66" s="41" t="s">
        <v>9</v>
      </c>
      <c r="D66" s="38" t="s">
        <v>49</v>
      </c>
      <c r="E66" s="42">
        <v>37.647811592965461</v>
      </c>
      <c r="F66" s="73">
        <f>'2019-B7_Berechnung'!E64</f>
        <v>33.734217869495488</v>
      </c>
      <c r="G66" s="73">
        <f>'2019-B7_Berechnung'!F64</f>
        <v>38.809618861549488</v>
      </c>
      <c r="H66" s="40"/>
      <c r="I66" s="40"/>
      <c r="J66" s="40"/>
      <c r="K66" s="40"/>
    </row>
    <row r="67" spans="2:11" ht="8.25" customHeight="1" x14ac:dyDescent="0.25">
      <c r="B67" s="37" t="s">
        <v>7</v>
      </c>
      <c r="C67" s="41" t="s">
        <v>9</v>
      </c>
      <c r="D67" s="38" t="s">
        <v>49</v>
      </c>
      <c r="E67" s="42">
        <v>37.134010687532005</v>
      </c>
      <c r="F67" s="73">
        <f>'2019-B7_Berechnung'!E65</f>
        <v>32.993325675833574</v>
      </c>
      <c r="G67" s="73">
        <f>'2019-B7_Berechnung'!F65</f>
        <v>38.055255437344449</v>
      </c>
      <c r="H67" s="40"/>
      <c r="I67" s="40"/>
      <c r="J67" s="40"/>
      <c r="K67" s="40"/>
    </row>
    <row r="68" spans="2:11" ht="8.25" customHeight="1" x14ac:dyDescent="0.25">
      <c r="B68" s="37" t="s">
        <v>4</v>
      </c>
      <c r="C68" s="41" t="s">
        <v>10</v>
      </c>
      <c r="D68" s="38" t="s">
        <v>49</v>
      </c>
      <c r="E68" s="42">
        <v>42.624302458384683</v>
      </c>
      <c r="F68" s="73">
        <f>'2019-B7_Berechnung'!E66</f>
        <v>34.225391803976599</v>
      </c>
      <c r="G68" s="73">
        <f>'2019-B7_Berechnung'!F66</f>
        <v>44.81443929372999</v>
      </c>
      <c r="H68" s="40"/>
      <c r="I68" s="40"/>
      <c r="J68" s="40"/>
      <c r="K68" s="40"/>
    </row>
    <row r="69" spans="2:11" ht="8.25" customHeight="1" x14ac:dyDescent="0.25">
      <c r="B69" s="37" t="s">
        <v>6</v>
      </c>
      <c r="C69" s="41" t="s">
        <v>10</v>
      </c>
      <c r="D69" s="38" t="s">
        <v>49</v>
      </c>
      <c r="E69" s="42">
        <v>43.465603476381609</v>
      </c>
      <c r="F69" s="73">
        <f>'2019-B7_Berechnung'!E67</f>
        <v>36.626992389185006</v>
      </c>
      <c r="G69" s="73">
        <f>'2019-B7_Berechnung'!F67</f>
        <v>45.495746497360031</v>
      </c>
      <c r="H69" s="40"/>
      <c r="I69" s="40"/>
      <c r="J69" s="40"/>
      <c r="K69" s="40"/>
    </row>
    <row r="70" spans="2:11" ht="8.25" customHeight="1" x14ac:dyDescent="0.25">
      <c r="B70" s="37" t="s">
        <v>7</v>
      </c>
      <c r="C70" s="41" t="s">
        <v>10</v>
      </c>
      <c r="D70" s="38" t="s">
        <v>49</v>
      </c>
      <c r="E70" s="42">
        <v>33.147016083154249</v>
      </c>
      <c r="F70" s="73">
        <f>'2019-B7_Berechnung'!E68</f>
        <v>30.0037022912731</v>
      </c>
      <c r="G70" s="73">
        <f>'2019-B7_Berechnung'!F68</f>
        <v>33.846359819803624</v>
      </c>
      <c r="H70" s="40"/>
      <c r="I70" s="40"/>
      <c r="J70" s="40"/>
      <c r="K70" s="40"/>
    </row>
    <row r="71" spans="2:11" ht="8.25" customHeight="1" x14ac:dyDescent="0.25">
      <c r="B71" s="37" t="s">
        <v>4</v>
      </c>
      <c r="C71" s="37" t="s">
        <v>5</v>
      </c>
      <c r="D71" s="38" t="s">
        <v>50</v>
      </c>
      <c r="E71" s="42">
        <v>4.7072389175185236</v>
      </c>
      <c r="F71" s="73">
        <f>'2019-B7_Berechnung'!E69</f>
        <v>9.559354170113469</v>
      </c>
      <c r="G71" s="73">
        <f>'2019-B7_Berechnung'!F69</f>
        <v>3.4942196150433125</v>
      </c>
      <c r="H71" s="40"/>
      <c r="I71" s="40"/>
      <c r="J71" s="40"/>
      <c r="K71" s="40"/>
    </row>
    <row r="72" spans="2:11" ht="8.25" customHeight="1" x14ac:dyDescent="0.25">
      <c r="B72" s="37" t="s">
        <v>6</v>
      </c>
      <c r="C72" s="37" t="s">
        <v>5</v>
      </c>
      <c r="D72" s="38" t="s">
        <v>50</v>
      </c>
      <c r="E72" s="42">
        <v>3.5305614538994701</v>
      </c>
      <c r="F72" s="73">
        <f>'2019-B7_Berechnung'!E70</f>
        <v>7.3042348379107986</v>
      </c>
      <c r="G72" s="73">
        <f>'2019-B7_Berechnung'!F70</f>
        <v>2.4151845086418589</v>
      </c>
      <c r="H72" s="40"/>
      <c r="I72" s="40"/>
      <c r="J72" s="40"/>
      <c r="K72" s="40"/>
    </row>
    <row r="73" spans="2:11" ht="8.25" customHeight="1" x14ac:dyDescent="0.25">
      <c r="B73" s="37" t="s">
        <v>7</v>
      </c>
      <c r="C73" s="37" t="s">
        <v>5</v>
      </c>
      <c r="D73" s="38" t="s">
        <v>50</v>
      </c>
      <c r="E73" s="42">
        <v>3.627766630117423</v>
      </c>
      <c r="F73" s="73">
        <f>'2019-B7_Berechnung'!E71</f>
        <v>9.8462751302561919</v>
      </c>
      <c r="G73" s="73">
        <f>'2019-B7_Berechnung'!F71</f>
        <v>2.2894831864733827</v>
      </c>
      <c r="H73" s="40"/>
      <c r="I73" s="40"/>
      <c r="J73" s="40"/>
      <c r="K73" s="40"/>
    </row>
    <row r="74" spans="2:11" ht="8.25" customHeight="1" x14ac:dyDescent="0.25">
      <c r="B74" s="37" t="s">
        <v>4</v>
      </c>
      <c r="C74" s="41" t="s">
        <v>8</v>
      </c>
      <c r="D74" s="38" t="s">
        <v>50</v>
      </c>
      <c r="E74" s="42">
        <v>14.162073256910157</v>
      </c>
      <c r="F74" s="73">
        <f>'2019-B7_Berechnung'!E72</f>
        <v>18.548725457891294</v>
      </c>
      <c r="G74" s="73">
        <f>'2019-B7_Berechnung'!F72</f>
        <v>13.065419033503062</v>
      </c>
      <c r="H74" s="40"/>
      <c r="I74" s="40"/>
      <c r="J74" s="40"/>
      <c r="K74" s="40"/>
    </row>
    <row r="75" spans="2:11" ht="8.25" customHeight="1" x14ac:dyDescent="0.25">
      <c r="B75" s="37" t="s">
        <v>6</v>
      </c>
      <c r="C75" s="41" t="s">
        <v>8</v>
      </c>
      <c r="D75" s="38" t="s">
        <v>50</v>
      </c>
      <c r="E75" s="42">
        <v>15.811034028448406</v>
      </c>
      <c r="F75" s="73">
        <f>'2019-B7_Berechnung'!E73</f>
        <v>21.50081352989336</v>
      </c>
      <c r="G75" s="73">
        <f>'2019-B7_Berechnung'!F73</f>
        <v>14.129317506186712</v>
      </c>
      <c r="H75" s="40"/>
      <c r="I75" s="40"/>
      <c r="J75" s="40"/>
      <c r="K75" s="40"/>
    </row>
    <row r="76" spans="2:11" ht="8.25" customHeight="1" x14ac:dyDescent="0.25">
      <c r="B76" s="37" t="s">
        <v>7</v>
      </c>
      <c r="C76" s="41" t="s">
        <v>8</v>
      </c>
      <c r="D76" s="38" t="s">
        <v>50</v>
      </c>
      <c r="E76" s="42">
        <v>27.412139927408134</v>
      </c>
      <c r="F76" s="73">
        <f>'2019-B7_Berechnung'!E74</f>
        <v>27.334512304358739</v>
      </c>
      <c r="G76" s="73">
        <f>'2019-B7_Berechnung'!F74</f>
        <v>27.428846216198711</v>
      </c>
      <c r="H76" s="40"/>
      <c r="I76" s="40"/>
      <c r="J76" s="40"/>
      <c r="K76" s="40"/>
    </row>
    <row r="77" spans="2:11" ht="8.25" customHeight="1" x14ac:dyDescent="0.25">
      <c r="B77" s="37" t="s">
        <v>4</v>
      </c>
      <c r="C77" s="41" t="s">
        <v>9</v>
      </c>
      <c r="D77" s="38" t="s">
        <v>50</v>
      </c>
      <c r="E77" s="42">
        <v>40.471998735048359</v>
      </c>
      <c r="F77" s="73">
        <f>'2019-B7_Berechnung'!E75</f>
        <v>38.59132261477744</v>
      </c>
      <c r="G77" s="73">
        <f>'2019-B7_Berechnung'!F75</f>
        <v>40.942167361311874</v>
      </c>
      <c r="H77" s="40"/>
      <c r="I77" s="40"/>
      <c r="J77" s="40"/>
      <c r="K77" s="40"/>
    </row>
    <row r="78" spans="2:11" ht="8.25" customHeight="1" x14ac:dyDescent="0.25">
      <c r="B78" s="37" t="s">
        <v>6</v>
      </c>
      <c r="C78" s="41" t="s">
        <v>9</v>
      </c>
      <c r="D78" s="38" t="s">
        <v>50</v>
      </c>
      <c r="E78" s="42">
        <v>39.24648066622327</v>
      </c>
      <c r="F78" s="73">
        <f>'2019-B7_Berechnung'!E76</f>
        <v>35.104029005106554</v>
      </c>
      <c r="G78" s="73">
        <f>'2019-B7_Berechnung'!F76</f>
        <v>40.470856654677874</v>
      </c>
      <c r="H78" s="40"/>
      <c r="I78" s="40"/>
      <c r="J78" s="40"/>
      <c r="K78" s="40"/>
    </row>
    <row r="79" spans="2:11" ht="8.25" customHeight="1" x14ac:dyDescent="0.25">
      <c r="B79" s="37" t="s">
        <v>7</v>
      </c>
      <c r="C79" s="41" t="s">
        <v>9</v>
      </c>
      <c r="D79" s="38" t="s">
        <v>50</v>
      </c>
      <c r="E79" s="42">
        <v>36.90524770746309</v>
      </c>
      <c r="F79" s="73">
        <f>'2019-B7_Berechnung'!E77</f>
        <v>33.124812803572162</v>
      </c>
      <c r="G79" s="73">
        <f>'2019-B7_Berechnung'!F77</f>
        <v>37.718834126586046</v>
      </c>
      <c r="H79" s="40"/>
      <c r="I79" s="40"/>
      <c r="J79" s="40"/>
      <c r="K79" s="40"/>
    </row>
    <row r="80" spans="2:11" ht="8.25" customHeight="1" x14ac:dyDescent="0.25">
      <c r="B80" s="37" t="s">
        <v>4</v>
      </c>
      <c r="C80" s="41" t="s">
        <v>10</v>
      </c>
      <c r="D80" s="38" t="s">
        <v>50</v>
      </c>
      <c r="E80" s="42">
        <v>40.658687245063632</v>
      </c>
      <c r="F80" s="73">
        <f>'2019-B7_Berechnung'!E78</f>
        <v>33.300616211925743</v>
      </c>
      <c r="G80" s="73">
        <f>'2019-B7_Berechnung'!F78</f>
        <v>42.49819399014175</v>
      </c>
      <c r="H80" s="40"/>
      <c r="I80" s="40"/>
      <c r="J80" s="40"/>
      <c r="K80" s="40"/>
    </row>
    <row r="81" spans="2:11" ht="8.25" customHeight="1" x14ac:dyDescent="0.25">
      <c r="B81" s="37" t="s">
        <v>6</v>
      </c>
      <c r="C81" s="41" t="s">
        <v>10</v>
      </c>
      <c r="D81" s="38" t="s">
        <v>50</v>
      </c>
      <c r="E81" s="42">
        <v>41.411923851428853</v>
      </c>
      <c r="F81" s="73">
        <f>'2019-B7_Berechnung'!E79</f>
        <v>36.090922627089292</v>
      </c>
      <c r="G81" s="73">
        <f>'2019-B7_Berechnung'!F79</f>
        <v>42.98464133049356</v>
      </c>
      <c r="H81" s="40"/>
      <c r="I81" s="40"/>
      <c r="J81" s="40"/>
      <c r="K81" s="40"/>
    </row>
    <row r="82" spans="2:11" ht="8.25" customHeight="1" x14ac:dyDescent="0.25">
      <c r="B82" s="37" t="s">
        <v>7</v>
      </c>
      <c r="C82" s="41" t="s">
        <v>10</v>
      </c>
      <c r="D82" s="38" t="s">
        <v>50</v>
      </c>
      <c r="E82" s="42">
        <v>32.054845735011348</v>
      </c>
      <c r="F82" s="73">
        <f>'2019-B7_Berechnung'!E80</f>
        <v>29.69439976181291</v>
      </c>
      <c r="G82" s="73">
        <f>'2019-B7_Berechnung'!F80</f>
        <v>32.562836726184457</v>
      </c>
      <c r="H82" s="40"/>
      <c r="I82" s="40"/>
      <c r="J82" s="40"/>
      <c r="K82" s="40"/>
    </row>
    <row r="83" spans="2:11" ht="8.25" customHeight="1" x14ac:dyDescent="0.25">
      <c r="B83" s="37" t="s">
        <v>4</v>
      </c>
      <c r="C83" s="37" t="s">
        <v>5</v>
      </c>
      <c r="D83" s="38" t="s">
        <v>51</v>
      </c>
      <c r="E83" s="42">
        <v>4.5516071754321441</v>
      </c>
      <c r="F83" s="73">
        <f>'2019-B7_Berechnung'!E81</f>
        <v>7.1529042726009893</v>
      </c>
      <c r="G83" s="73">
        <f>'2019-B7_Berechnung'!F81</f>
        <v>3.8581134596894184</v>
      </c>
      <c r="H83" s="40"/>
      <c r="I83" s="40"/>
      <c r="J83" s="40"/>
      <c r="K83" s="40"/>
    </row>
    <row r="84" spans="2:11" ht="8.25" customHeight="1" x14ac:dyDescent="0.25">
      <c r="B84" s="37" t="s">
        <v>6</v>
      </c>
      <c r="C84" s="37" t="s">
        <v>5</v>
      </c>
      <c r="D84" s="38" t="s">
        <v>51</v>
      </c>
      <c r="E84" s="42">
        <v>3.7133488382964872</v>
      </c>
      <c r="F84" s="73">
        <f>'2019-B7_Berechnung'!E82</f>
        <v>7.2757819495800566</v>
      </c>
      <c r="G84" s="73">
        <f>'2019-B7_Berechnung'!F82</f>
        <v>2.636205797609152</v>
      </c>
      <c r="H84" s="40"/>
      <c r="I84" s="40"/>
      <c r="J84" s="40"/>
      <c r="K84" s="40"/>
    </row>
    <row r="85" spans="2:11" ht="8.25" customHeight="1" x14ac:dyDescent="0.25">
      <c r="B85" s="37" t="s">
        <v>7</v>
      </c>
      <c r="C85" s="37" t="s">
        <v>5</v>
      </c>
      <c r="D85" s="38" t="s">
        <v>51</v>
      </c>
      <c r="E85" s="42">
        <v>3.6458445915334661</v>
      </c>
      <c r="F85" s="73">
        <f>'2019-B7_Berechnung'!E83</f>
        <v>10.179727753164585</v>
      </c>
      <c r="G85" s="73">
        <f>'2019-B7_Berechnung'!F83</f>
        <v>2.2326660215626659</v>
      </c>
      <c r="H85" s="40"/>
      <c r="I85" s="40"/>
      <c r="J85" s="40"/>
      <c r="K85" s="40"/>
    </row>
    <row r="86" spans="2:11" ht="8.25" customHeight="1" x14ac:dyDescent="0.25">
      <c r="B86" s="37" t="s">
        <v>4</v>
      </c>
      <c r="C86" s="41" t="s">
        <v>8</v>
      </c>
      <c r="D86" s="38" t="s">
        <v>51</v>
      </c>
      <c r="E86" s="42">
        <v>15.152677251455742</v>
      </c>
      <c r="F86" s="73">
        <f>'2019-B7_Berechnung'!E84</f>
        <v>19.91576102292148</v>
      </c>
      <c r="G86" s="73">
        <f>'2019-B7_Berechnung'!F84</f>
        <v>13.882857065915472</v>
      </c>
      <c r="H86" s="40"/>
      <c r="I86" s="40"/>
      <c r="J86" s="40"/>
      <c r="K86" s="40"/>
    </row>
    <row r="87" spans="2:11" ht="8.25" customHeight="1" x14ac:dyDescent="0.25">
      <c r="B87" s="37" t="s">
        <v>6</v>
      </c>
      <c r="C87" s="41" t="s">
        <v>8</v>
      </c>
      <c r="D87" s="38" t="s">
        <v>51</v>
      </c>
      <c r="E87" s="42">
        <v>16.299628531334761</v>
      </c>
      <c r="F87" s="73">
        <f>'2019-B7_Berechnung'!E85</f>
        <v>22.409458177310459</v>
      </c>
      <c r="G87" s="73">
        <f>'2019-B7_Berechnung'!F85</f>
        <v>14.452252044901693</v>
      </c>
      <c r="H87" s="40"/>
      <c r="I87" s="40"/>
      <c r="J87" s="40"/>
      <c r="K87" s="40"/>
    </row>
    <row r="88" spans="2:11" ht="8.25" customHeight="1" x14ac:dyDescent="0.25">
      <c r="B88" s="37" t="s">
        <v>7</v>
      </c>
      <c r="C88" s="41" t="s">
        <v>8</v>
      </c>
      <c r="D88" s="38" t="s">
        <v>51</v>
      </c>
      <c r="E88" s="42">
        <v>28.473284737732225</v>
      </c>
      <c r="F88" s="73">
        <f>'2019-B7_Berechnung'!E86</f>
        <v>27.690940448672496</v>
      </c>
      <c r="G88" s="73">
        <f>'2019-B7_Berechnung'!F86</f>
        <v>28.642493790953527</v>
      </c>
      <c r="H88" s="40"/>
      <c r="I88" s="40"/>
      <c r="J88" s="40"/>
      <c r="K88" s="40"/>
    </row>
    <row r="89" spans="2:11" ht="8.25" customHeight="1" x14ac:dyDescent="0.25">
      <c r="B89" s="37" t="s">
        <v>4</v>
      </c>
      <c r="C89" s="41" t="s">
        <v>9</v>
      </c>
      <c r="D89" s="38" t="s">
        <v>51</v>
      </c>
      <c r="E89" s="42">
        <v>40.417005643047794</v>
      </c>
      <c r="F89" s="73">
        <f>'2019-B7_Berechnung'!E87</f>
        <v>40.424206540712667</v>
      </c>
      <c r="G89" s="73">
        <f>'2019-B7_Berechnung'!F87</f>
        <v>40.41508687096691</v>
      </c>
      <c r="H89" s="40"/>
      <c r="I89" s="40"/>
      <c r="J89" s="40"/>
      <c r="K89" s="40"/>
    </row>
    <row r="90" spans="2:11" ht="8.25" customHeight="1" x14ac:dyDescent="0.25">
      <c r="B90" s="37" t="s">
        <v>6</v>
      </c>
      <c r="C90" s="41" t="s">
        <v>9</v>
      </c>
      <c r="D90" s="38" t="s">
        <v>51</v>
      </c>
      <c r="E90" s="42">
        <v>39.44756853898312</v>
      </c>
      <c r="F90" s="73">
        <f>'2019-B7_Berechnung'!E88</f>
        <v>35.325695773352948</v>
      </c>
      <c r="G90" s="73">
        <f>'2019-B7_Berechnung'!F88</f>
        <v>40.693864658911529</v>
      </c>
      <c r="H90" s="40"/>
      <c r="I90" s="40"/>
      <c r="J90" s="40"/>
      <c r="K90" s="40"/>
    </row>
    <row r="91" spans="2:11" ht="8.25" customHeight="1" x14ac:dyDescent="0.25">
      <c r="B91" s="37" t="s">
        <v>7</v>
      </c>
      <c r="C91" s="41" t="s">
        <v>9</v>
      </c>
      <c r="D91" s="38" t="s">
        <v>51</v>
      </c>
      <c r="E91" s="42">
        <v>36.169812933436305</v>
      </c>
      <c r="F91" s="73">
        <f>'2019-B7_Berechnung'!E89</f>
        <v>32.910418916307925</v>
      </c>
      <c r="G91" s="73">
        <f>'2019-B7_Berechnung'!F89</f>
        <v>36.87476979632379</v>
      </c>
      <c r="H91" s="40"/>
      <c r="I91" s="40"/>
      <c r="J91" s="40"/>
      <c r="K91" s="40"/>
    </row>
    <row r="92" spans="2:11" ht="8.25" customHeight="1" x14ac:dyDescent="0.25">
      <c r="B92" s="37" t="s">
        <v>4</v>
      </c>
      <c r="C92" s="41" t="s">
        <v>10</v>
      </c>
      <c r="D92" s="38" t="s">
        <v>51</v>
      </c>
      <c r="E92" s="42">
        <v>39.878709930064325</v>
      </c>
      <c r="F92" s="73">
        <f>'2019-B7_Berechnung'!E90</f>
        <v>32.507137079263146</v>
      </c>
      <c r="G92" s="73">
        <f>'2019-B7_Berechnung'!F90</f>
        <v>41.843944980267125</v>
      </c>
      <c r="H92" s="40"/>
      <c r="I92" s="40"/>
      <c r="J92" s="40"/>
      <c r="K92" s="40"/>
    </row>
    <row r="93" spans="2:11" ht="8.25" customHeight="1" x14ac:dyDescent="0.25">
      <c r="B93" s="37" t="s">
        <v>6</v>
      </c>
      <c r="C93" s="41" t="s">
        <v>10</v>
      </c>
      <c r="D93" s="38" t="s">
        <v>51</v>
      </c>
      <c r="E93" s="42">
        <v>40.539452945015391</v>
      </c>
      <c r="F93" s="73">
        <f>'2019-B7_Berechnung'!E91</f>
        <v>34.989069037514867</v>
      </c>
      <c r="G93" s="73">
        <f>'2019-B7_Berechnung'!F91</f>
        <v>42.217676005589034</v>
      </c>
      <c r="H93" s="40"/>
      <c r="I93" s="40"/>
      <c r="J93" s="40"/>
      <c r="K93" s="40"/>
    </row>
    <row r="94" spans="2:11" ht="8.25" customHeight="1" x14ac:dyDescent="0.25">
      <c r="B94" s="37" t="s">
        <v>7</v>
      </c>
      <c r="C94" s="41" t="s">
        <v>10</v>
      </c>
      <c r="D94" s="38" t="s">
        <v>51</v>
      </c>
      <c r="E94" s="42">
        <v>31.711057737298017</v>
      </c>
      <c r="F94" s="73">
        <f>'2019-B7_Berechnung'!E92</f>
        <v>29.218912881854987</v>
      </c>
      <c r="G94" s="73">
        <f>'2019-B7_Berechnung'!F92</f>
        <v>32.250070647032501</v>
      </c>
      <c r="H94" s="40"/>
      <c r="I94" s="40"/>
      <c r="J94" s="40"/>
      <c r="K94" s="40"/>
    </row>
    <row r="95" spans="2:11" ht="8.25" customHeight="1" x14ac:dyDescent="0.25">
      <c r="B95" s="37" t="s">
        <v>4</v>
      </c>
      <c r="C95" s="37" t="s">
        <v>5</v>
      </c>
      <c r="D95" s="38" t="s">
        <v>52</v>
      </c>
      <c r="E95" s="42">
        <v>5.2065034980518829</v>
      </c>
      <c r="F95" s="73">
        <f>'2019-B7_Berechnung'!E93</f>
        <v>8.1002219604773789</v>
      </c>
      <c r="G95" s="73">
        <f>'2019-B7_Berechnung'!F93</f>
        <v>4.4659382405956984</v>
      </c>
      <c r="H95" s="40"/>
      <c r="I95" s="40"/>
      <c r="J95" s="40"/>
      <c r="K95" s="40"/>
    </row>
    <row r="96" spans="2:11" ht="8.25" customHeight="1" x14ac:dyDescent="0.25">
      <c r="B96" s="37" t="s">
        <v>6</v>
      </c>
      <c r="C96" s="37" t="s">
        <v>5</v>
      </c>
      <c r="D96" s="38" t="s">
        <v>52</v>
      </c>
      <c r="E96" s="42">
        <v>3.5877623608345308</v>
      </c>
      <c r="F96" s="73">
        <f>'2019-B7_Berechnung'!E94</f>
        <v>8.4287684106985772</v>
      </c>
      <c r="G96" s="73">
        <f>'2019-B7_Berechnung'!F94</f>
        <v>2.1520811428850282</v>
      </c>
      <c r="H96" s="40"/>
      <c r="I96" s="40"/>
      <c r="J96" s="40"/>
      <c r="K96" s="40"/>
    </row>
    <row r="97" spans="2:11" ht="8.25" customHeight="1" x14ac:dyDescent="0.25">
      <c r="B97" s="37" t="s">
        <v>7</v>
      </c>
      <c r="C97" s="37" t="s">
        <v>5</v>
      </c>
      <c r="D97" s="38" t="s">
        <v>52</v>
      </c>
      <c r="E97" s="42">
        <v>3.5978628053990644</v>
      </c>
      <c r="F97" s="73">
        <f>'2019-B7_Berechnung'!E95</f>
        <v>10.216130628791072</v>
      </c>
      <c r="G97" s="73">
        <f>'2019-B7_Berechnung'!F95</f>
        <v>2.2395724823015377</v>
      </c>
      <c r="H97" s="40"/>
      <c r="I97" s="40"/>
      <c r="J97" s="40"/>
      <c r="K97" s="40"/>
    </row>
    <row r="98" spans="2:11" ht="8.25" customHeight="1" x14ac:dyDescent="0.25">
      <c r="B98" s="37" t="s">
        <v>4</v>
      </c>
      <c r="C98" s="41" t="s">
        <v>8</v>
      </c>
      <c r="D98" s="38" t="s">
        <v>52</v>
      </c>
      <c r="E98" s="42">
        <v>16.190244492866064</v>
      </c>
      <c r="F98" s="73">
        <f>'2019-B7_Berechnung'!E96</f>
        <v>21.495243697544868</v>
      </c>
      <c r="G98" s="73">
        <f>'2019-B7_Berechnung'!F96</f>
        <v>14.832580244311355</v>
      </c>
      <c r="H98" s="40"/>
      <c r="I98" s="40"/>
      <c r="J98" s="40"/>
      <c r="K98" s="40"/>
    </row>
    <row r="99" spans="2:11" ht="8.25" customHeight="1" x14ac:dyDescent="0.25">
      <c r="B99" s="37" t="s">
        <v>6</v>
      </c>
      <c r="C99" s="41" t="s">
        <v>8</v>
      </c>
      <c r="D99" s="38" t="s">
        <v>52</v>
      </c>
      <c r="E99" s="42">
        <v>17.120141511254189</v>
      </c>
      <c r="F99" s="73">
        <f>'2019-B7_Berechnung'!E97</f>
        <v>24.312591505676192</v>
      </c>
      <c r="G99" s="73">
        <f>'2019-B7_Berechnung'!F97</f>
        <v>14.987098073326122</v>
      </c>
      <c r="H99" s="40"/>
      <c r="I99" s="40"/>
      <c r="J99" s="40"/>
      <c r="K99" s="40"/>
    </row>
    <row r="100" spans="2:11" ht="8.25" customHeight="1" x14ac:dyDescent="0.25">
      <c r="B100" s="37" t="s">
        <v>7</v>
      </c>
      <c r="C100" s="41" t="s">
        <v>8</v>
      </c>
      <c r="D100" s="38" t="s">
        <v>52</v>
      </c>
      <c r="E100" s="42">
        <v>29.807258020777628</v>
      </c>
      <c r="F100" s="73">
        <f>'2019-B7_Berechnung'!E98</f>
        <v>29.198939717725743</v>
      </c>
      <c r="G100" s="73">
        <f>'2019-B7_Berechnung'!F98</f>
        <v>29.932105574049857</v>
      </c>
      <c r="H100" s="40"/>
      <c r="I100" s="40"/>
      <c r="J100" s="40"/>
      <c r="K100" s="40"/>
    </row>
    <row r="101" spans="2:11" ht="8.25" customHeight="1" x14ac:dyDescent="0.25">
      <c r="B101" s="37" t="s">
        <v>4</v>
      </c>
      <c r="C101" s="41" t="s">
        <v>9</v>
      </c>
      <c r="D101" s="38" t="s">
        <v>52</v>
      </c>
      <c r="E101" s="42">
        <v>42.080561444794476</v>
      </c>
      <c r="F101" s="73">
        <f>'2019-B7_Berechnung'!E99</f>
        <v>40.377855146563284</v>
      </c>
      <c r="G101" s="73">
        <f>'2019-B7_Berechnung'!F99</f>
        <v>42.516320881828612</v>
      </c>
      <c r="H101" s="40"/>
      <c r="I101" s="40"/>
      <c r="J101" s="40"/>
      <c r="K101" s="40"/>
    </row>
    <row r="102" spans="2:11" ht="8.25" customHeight="1" x14ac:dyDescent="0.25">
      <c r="B102" s="37" t="s">
        <v>6</v>
      </c>
      <c r="C102" s="41" t="s">
        <v>9</v>
      </c>
      <c r="D102" s="38" t="s">
        <v>52</v>
      </c>
      <c r="E102" s="42">
        <v>40.191422183138876</v>
      </c>
      <c r="F102" s="73">
        <f>'2019-B7_Berechnung'!E100</f>
        <v>35.603301386828385</v>
      </c>
      <c r="G102" s="73">
        <f>'2019-B7_Berechnung'!F100</f>
        <v>41.552107480163023</v>
      </c>
      <c r="H102" s="40"/>
      <c r="I102" s="40"/>
      <c r="J102" s="40"/>
      <c r="K102" s="40"/>
    </row>
    <row r="103" spans="2:11" ht="8.25" customHeight="1" x14ac:dyDescent="0.25">
      <c r="B103" s="37" t="s">
        <v>7</v>
      </c>
      <c r="C103" s="41" t="s">
        <v>9</v>
      </c>
      <c r="D103" s="38" t="s">
        <v>52</v>
      </c>
      <c r="E103" s="42">
        <v>36.096206100057415</v>
      </c>
      <c r="F103" s="73">
        <f>'2019-B7_Berechnung'!E101</f>
        <v>32.300267472890042</v>
      </c>
      <c r="G103" s="73">
        <f>'2019-B7_Berechnung'!F101</f>
        <v>36.875260155014551</v>
      </c>
      <c r="H103" s="40"/>
      <c r="I103" s="40"/>
      <c r="J103" s="40"/>
      <c r="K103" s="40"/>
    </row>
    <row r="104" spans="2:11" ht="8.25" customHeight="1" x14ac:dyDescent="0.25">
      <c r="B104" s="37" t="s">
        <v>4</v>
      </c>
      <c r="C104" s="41" t="s">
        <v>10</v>
      </c>
      <c r="D104" s="38" t="s">
        <v>52</v>
      </c>
      <c r="E104" s="42">
        <v>36.522690564287579</v>
      </c>
      <c r="F104" s="73">
        <f>'2019-B7_Berechnung'!E102</f>
        <v>30.026688311208844</v>
      </c>
      <c r="G104" s="73">
        <f>'2019-B7_Berechnung'!F102</f>
        <v>38.185158300335011</v>
      </c>
      <c r="H104" s="40"/>
      <c r="I104" s="40"/>
      <c r="J104" s="40"/>
      <c r="K104" s="40"/>
    </row>
    <row r="105" spans="2:11" ht="8.25" customHeight="1" x14ac:dyDescent="0.25">
      <c r="B105" s="37" t="s">
        <v>6</v>
      </c>
      <c r="C105" s="41" t="s">
        <v>10</v>
      </c>
      <c r="D105" s="38" t="s">
        <v>52</v>
      </c>
      <c r="E105" s="42">
        <v>39.100673944772396</v>
      </c>
      <c r="F105" s="73">
        <f>'2019-B7_Berechnung'!E103</f>
        <v>31.655338696796854</v>
      </c>
      <c r="G105" s="73">
        <f>'2019-B7_Berechnung'!F103</f>
        <v>41.308714807925448</v>
      </c>
      <c r="H105" s="40"/>
      <c r="I105" s="40"/>
      <c r="J105" s="40"/>
      <c r="K105" s="40"/>
    </row>
    <row r="106" spans="2:11" ht="8.25" customHeight="1" x14ac:dyDescent="0.25">
      <c r="B106" s="37" t="s">
        <v>7</v>
      </c>
      <c r="C106" s="41" t="s">
        <v>10</v>
      </c>
      <c r="D106" s="38" t="s">
        <v>52</v>
      </c>
      <c r="E106" s="42">
        <v>30.498672863117111</v>
      </c>
      <c r="F106" s="73">
        <f>'2019-B7_Berechnung'!E104</f>
        <v>28.284663417627893</v>
      </c>
      <c r="G106" s="73">
        <f>'2019-B7_Berechnung'!F104</f>
        <v>30.953061788634063</v>
      </c>
      <c r="H106" s="40"/>
      <c r="I106" s="40"/>
      <c r="J106" s="40"/>
      <c r="K106" s="40"/>
    </row>
    <row r="107" spans="2:11" ht="8.25" customHeight="1" x14ac:dyDescent="0.25">
      <c r="B107" s="37" t="s">
        <v>4</v>
      </c>
      <c r="C107" s="37" t="s">
        <v>5</v>
      </c>
      <c r="D107" s="38" t="s">
        <v>53</v>
      </c>
      <c r="E107" s="42">
        <v>4.680199803458887</v>
      </c>
      <c r="F107" s="73">
        <f>'2019-B7_Berechnung'!E105</f>
        <v>6.4307154189557831</v>
      </c>
      <c r="G107" s="73">
        <f>'2019-B7_Berechnung'!F105</f>
        <v>4.212473377535928</v>
      </c>
      <c r="H107" s="40"/>
      <c r="I107" s="40"/>
      <c r="J107" s="40"/>
      <c r="K107" s="40"/>
    </row>
    <row r="108" spans="2:11" ht="8.25" customHeight="1" x14ac:dyDescent="0.25">
      <c r="B108" s="37" t="s">
        <v>6</v>
      </c>
      <c r="C108" s="37" t="s">
        <v>5</v>
      </c>
      <c r="D108" s="38" t="s">
        <v>53</v>
      </c>
      <c r="E108" s="42">
        <v>3.4533060936328104</v>
      </c>
      <c r="F108" s="73">
        <f>'2019-B7_Berechnung'!E106</f>
        <v>8.1456388805452651</v>
      </c>
      <c r="G108" s="73">
        <f>'2019-B7_Berechnung'!F106</f>
        <v>2.0962607986382698</v>
      </c>
      <c r="H108" s="40"/>
      <c r="I108" s="40"/>
      <c r="J108" s="40"/>
      <c r="K108" s="40"/>
    </row>
    <row r="109" spans="2:11" ht="8.25" customHeight="1" x14ac:dyDescent="0.25">
      <c r="B109" s="37" t="s">
        <v>7</v>
      </c>
      <c r="C109" s="37" t="s">
        <v>5</v>
      </c>
      <c r="D109" s="38" t="s">
        <v>53</v>
      </c>
      <c r="E109" s="42">
        <v>3.6688820899064702</v>
      </c>
      <c r="F109" s="73">
        <f>'2019-B7_Berechnung'!E107</f>
        <v>10.688288835368448</v>
      </c>
      <c r="G109" s="73">
        <f>'2019-B7_Berechnung'!F107</f>
        <v>2.256034883631453</v>
      </c>
      <c r="H109" s="40"/>
      <c r="I109" s="40"/>
      <c r="J109" s="40"/>
      <c r="K109" s="40"/>
    </row>
    <row r="110" spans="2:11" ht="8.25" customHeight="1" x14ac:dyDescent="0.25">
      <c r="B110" s="37" t="s">
        <v>4</v>
      </c>
      <c r="C110" s="41" t="s">
        <v>8</v>
      </c>
      <c r="D110" s="38" t="s">
        <v>53</v>
      </c>
      <c r="E110" s="42">
        <v>17.513989203262025</v>
      </c>
      <c r="F110" s="73">
        <f>'2019-B7_Berechnung'!E108</f>
        <v>23.900930736812033</v>
      </c>
      <c r="G110" s="73">
        <f>'2019-B7_Berechnung'!F108</f>
        <v>15.807439824541817</v>
      </c>
      <c r="H110" s="40"/>
      <c r="I110" s="40"/>
      <c r="J110" s="40"/>
      <c r="K110" s="40"/>
    </row>
    <row r="111" spans="2:11" ht="8.25" customHeight="1" x14ac:dyDescent="0.25">
      <c r="B111" s="37" t="s">
        <v>6</v>
      </c>
      <c r="C111" s="41" t="s">
        <v>8</v>
      </c>
      <c r="D111" s="38" t="s">
        <v>53</v>
      </c>
      <c r="E111" s="42">
        <v>18.39174153733941</v>
      </c>
      <c r="F111" s="73">
        <f>'2019-B7_Berechnung'!E109</f>
        <v>25.434681609964461</v>
      </c>
      <c r="G111" s="73">
        <f>'2019-B7_Berechnung'!F109</f>
        <v>16.354891769290095</v>
      </c>
      <c r="H111" s="40"/>
      <c r="I111" s="40"/>
      <c r="J111" s="40"/>
      <c r="K111" s="40"/>
    </row>
    <row r="112" spans="2:11" ht="8.25" customHeight="1" x14ac:dyDescent="0.25">
      <c r="B112" s="37" t="s">
        <v>7</v>
      </c>
      <c r="C112" s="41" t="s">
        <v>8</v>
      </c>
      <c r="D112" s="38" t="s">
        <v>53</v>
      </c>
      <c r="E112" s="42">
        <v>31.149509620007436</v>
      </c>
      <c r="F112" s="73">
        <f>'2019-B7_Berechnung'!E110</f>
        <v>30.442144680838183</v>
      </c>
      <c r="G112" s="73">
        <f>'2019-B7_Berechnung'!F110</f>
        <v>31.29188612194876</v>
      </c>
      <c r="H112" s="40"/>
      <c r="I112" s="40"/>
      <c r="J112" s="40"/>
      <c r="K112" s="40"/>
    </row>
    <row r="113" spans="2:11" ht="8.25" customHeight="1" x14ac:dyDescent="0.25">
      <c r="B113" s="37" t="s">
        <v>4</v>
      </c>
      <c r="C113" s="41" t="s">
        <v>9</v>
      </c>
      <c r="D113" s="38" t="s">
        <v>53</v>
      </c>
      <c r="E113" s="42">
        <v>42.493870549586831</v>
      </c>
      <c r="F113" s="73">
        <f>'2019-B7_Berechnung'!E111</f>
        <v>40.840313111816087</v>
      </c>
      <c r="G113" s="73">
        <f>'2019-B7_Berechnung'!F111</f>
        <v>42.935690378887422</v>
      </c>
      <c r="H113" s="40"/>
      <c r="I113" s="40"/>
      <c r="J113" s="40"/>
      <c r="K113" s="40"/>
    </row>
    <row r="114" spans="2:11" ht="8.25" customHeight="1" x14ac:dyDescent="0.25">
      <c r="B114" s="37" t="s">
        <v>6</v>
      </c>
      <c r="C114" s="41" t="s">
        <v>9</v>
      </c>
      <c r="D114" s="38" t="s">
        <v>53</v>
      </c>
      <c r="E114" s="42">
        <v>40.125448128344885</v>
      </c>
      <c r="F114" s="73">
        <f>'2019-B7_Berechnung'!E112</f>
        <v>34.943864628809393</v>
      </c>
      <c r="G114" s="73">
        <f>'2019-B7_Berechnung'!F112</f>
        <v>41.623986072728655</v>
      </c>
      <c r="H114" s="40"/>
      <c r="I114" s="40"/>
      <c r="J114" s="40"/>
      <c r="K114" s="40"/>
    </row>
    <row r="115" spans="2:11" ht="8.25" customHeight="1" x14ac:dyDescent="0.25">
      <c r="B115" s="37" t="s">
        <v>7</v>
      </c>
      <c r="C115" s="41" t="s">
        <v>9</v>
      </c>
      <c r="D115" s="38" t="s">
        <v>53</v>
      </c>
      <c r="E115" s="42">
        <v>35.548730586857872</v>
      </c>
      <c r="F115" s="73">
        <f>'2019-B7_Berechnung'!E113</f>
        <v>32.085785165618979</v>
      </c>
      <c r="G115" s="73">
        <f>'2019-B7_Berechnung'!F113</f>
        <v>36.24574287597239</v>
      </c>
      <c r="H115" s="40"/>
      <c r="I115" s="40"/>
      <c r="J115" s="40"/>
      <c r="K115" s="40"/>
    </row>
    <row r="116" spans="2:11" ht="8.25" customHeight="1" x14ac:dyDescent="0.25">
      <c r="B116" s="37" t="s">
        <v>4</v>
      </c>
      <c r="C116" s="41" t="s">
        <v>10</v>
      </c>
      <c r="D116" s="38" t="s">
        <v>53</v>
      </c>
      <c r="E116" s="42">
        <v>35.311942262574242</v>
      </c>
      <c r="F116" s="73">
        <f>'2019-B7_Berechnung'!E114</f>
        <v>28.828040732416099</v>
      </c>
      <c r="G116" s="73">
        <f>'2019-B7_Berechnung'!F114</f>
        <v>37.04439641903484</v>
      </c>
      <c r="H116" s="40"/>
      <c r="I116" s="40"/>
      <c r="J116" s="40"/>
      <c r="K116" s="40"/>
    </row>
    <row r="117" spans="2:11" ht="8.25" customHeight="1" x14ac:dyDescent="0.25">
      <c r="B117" s="37" t="s">
        <v>6</v>
      </c>
      <c r="C117" s="41" t="s">
        <v>10</v>
      </c>
      <c r="D117" s="38" t="s">
        <v>53</v>
      </c>
      <c r="E117" s="42">
        <v>38.029503052297244</v>
      </c>
      <c r="F117" s="73">
        <f>'2019-B7_Berechnung'!E115</f>
        <v>31.475814880680879</v>
      </c>
      <c r="G117" s="73">
        <f>'2019-B7_Berechnung'!F115</f>
        <v>39.92486135934297</v>
      </c>
      <c r="H117" s="40"/>
      <c r="I117" s="40"/>
      <c r="J117" s="40"/>
      <c r="K117" s="40"/>
    </row>
    <row r="118" spans="2:11" ht="8.25" customHeight="1" x14ac:dyDescent="0.25">
      <c r="B118" s="37" t="s">
        <v>7</v>
      </c>
      <c r="C118" s="41" t="s">
        <v>10</v>
      </c>
      <c r="D118" s="38" t="s">
        <v>53</v>
      </c>
      <c r="E118" s="42">
        <v>29.632877703228218</v>
      </c>
      <c r="F118" s="73">
        <f>'2019-B7_Berechnung'!E116</f>
        <v>26.783781318174388</v>
      </c>
      <c r="G118" s="73">
        <f>'2019-B7_Berechnung'!F116</f>
        <v>30.206336118447407</v>
      </c>
      <c r="H118" s="40"/>
      <c r="I118" s="40"/>
      <c r="J118" s="40"/>
      <c r="K118" s="40"/>
    </row>
    <row r="119" spans="2:11" ht="8.25" customHeight="1" x14ac:dyDescent="0.25">
      <c r="B119" s="37" t="s">
        <v>4</v>
      </c>
      <c r="C119" s="37" t="s">
        <v>5</v>
      </c>
      <c r="D119" s="38">
        <v>2010</v>
      </c>
      <c r="E119" s="42">
        <v>4.9874117949920072</v>
      </c>
      <c r="F119" s="73">
        <f>'2019-B7_Berechnung'!E117</f>
        <v>8.4267422506858765</v>
      </c>
      <c r="G119" s="73">
        <f>'2019-B7_Berechnung'!F117</f>
        <v>4.0130045470776761</v>
      </c>
      <c r="H119" s="40"/>
      <c r="I119" s="40"/>
      <c r="J119" s="40"/>
      <c r="K119" s="40"/>
    </row>
    <row r="120" spans="2:11" ht="8.25" customHeight="1" x14ac:dyDescent="0.25">
      <c r="B120" s="37" t="s">
        <v>6</v>
      </c>
      <c r="C120" s="37" t="s">
        <v>5</v>
      </c>
      <c r="D120" s="38">
        <v>2010</v>
      </c>
      <c r="E120" s="42">
        <v>3.8616844005459012</v>
      </c>
      <c r="F120" s="73">
        <f>'2019-B7_Berechnung'!E118</f>
        <v>9.8210343130896494</v>
      </c>
      <c r="G120" s="73">
        <f>'2019-B7_Berechnung'!F118</f>
        <v>2.0295387562309761</v>
      </c>
      <c r="H120" s="40"/>
      <c r="I120" s="40"/>
      <c r="J120" s="40"/>
      <c r="K120" s="40"/>
    </row>
    <row r="121" spans="2:11" ht="8.25" customHeight="1" x14ac:dyDescent="0.25">
      <c r="B121" s="37" t="s">
        <v>7</v>
      </c>
      <c r="C121" s="37" t="s">
        <v>5</v>
      </c>
      <c r="D121" s="38">
        <v>2010</v>
      </c>
      <c r="E121" s="42">
        <v>4.1433035191685352</v>
      </c>
      <c r="F121" s="73">
        <f>'2019-B7_Berechnung'!E119</f>
        <v>12.162165016191862</v>
      </c>
      <c r="G121" s="73">
        <f>'2019-B7_Berechnung'!F119</f>
        <v>2.4340313526480446</v>
      </c>
      <c r="H121" s="40"/>
      <c r="I121" s="40"/>
      <c r="J121" s="40"/>
      <c r="K121" s="40"/>
    </row>
    <row r="122" spans="2:11" ht="8.25" customHeight="1" x14ac:dyDescent="0.25">
      <c r="B122" s="37" t="s">
        <v>4</v>
      </c>
      <c r="C122" s="41" t="s">
        <v>8</v>
      </c>
      <c r="D122" s="38">
        <v>2010</v>
      </c>
      <c r="E122" s="42">
        <v>17.791278195878107</v>
      </c>
      <c r="F122" s="73">
        <f>'2019-B7_Berechnung'!E120</f>
        <v>22.113489737169161</v>
      </c>
      <c r="G122" s="73">
        <f>'2019-B7_Berechnung'!F120</f>
        <v>16.566739202865495</v>
      </c>
      <c r="H122" s="40"/>
      <c r="I122" s="40"/>
      <c r="J122" s="40"/>
      <c r="K122" s="40"/>
    </row>
    <row r="123" spans="2:11" ht="8.25" customHeight="1" x14ac:dyDescent="0.25">
      <c r="B123" s="37" t="s">
        <v>6</v>
      </c>
      <c r="C123" s="41" t="s">
        <v>8</v>
      </c>
      <c r="D123" s="38">
        <v>2010</v>
      </c>
      <c r="E123" s="42">
        <v>19.262535014414681</v>
      </c>
      <c r="F123" s="73">
        <f>'2019-B7_Berechnung'!E121</f>
        <v>25.18419588279059</v>
      </c>
      <c r="G123" s="73">
        <f>'2019-B7_Berechnung'!F121</f>
        <v>17.441975232910607</v>
      </c>
      <c r="H123" s="40"/>
      <c r="I123" s="40"/>
      <c r="J123" s="40"/>
      <c r="K123" s="40"/>
    </row>
    <row r="124" spans="2:11" ht="8.25" customHeight="1" x14ac:dyDescent="0.25">
      <c r="B124" s="37" t="s">
        <v>7</v>
      </c>
      <c r="C124" s="41" t="s">
        <v>8</v>
      </c>
      <c r="D124" s="38">
        <v>2010</v>
      </c>
      <c r="E124" s="42">
        <v>32.035128689761962</v>
      </c>
      <c r="F124" s="73">
        <f>'2019-B7_Berechnung'!E122</f>
        <v>30.342171586802458</v>
      </c>
      <c r="G124" s="73">
        <f>'2019-B7_Berechnung'!F122</f>
        <v>32.395993772894002</v>
      </c>
      <c r="H124" s="40"/>
      <c r="I124" s="40"/>
      <c r="J124" s="40"/>
      <c r="K124" s="40"/>
    </row>
    <row r="125" spans="2:11" ht="8.25" customHeight="1" x14ac:dyDescent="0.25">
      <c r="B125" s="37" t="s">
        <v>4</v>
      </c>
      <c r="C125" s="41" t="s">
        <v>9</v>
      </c>
      <c r="D125" s="38">
        <v>2010</v>
      </c>
      <c r="E125" s="42">
        <v>45.129754320330797</v>
      </c>
      <c r="F125" s="73">
        <f>'2019-B7_Berechnung'!E123</f>
        <v>44.026955396838098</v>
      </c>
      <c r="G125" s="73">
        <f>'2019-B7_Berechnung'!F123</f>
        <v>45.442191661809403</v>
      </c>
      <c r="H125" s="40"/>
      <c r="I125" s="40"/>
      <c r="J125" s="40"/>
      <c r="K125" s="40"/>
    </row>
    <row r="126" spans="2:11" ht="8.25" customHeight="1" x14ac:dyDescent="0.25">
      <c r="B126" s="37" t="s">
        <v>6</v>
      </c>
      <c r="C126" s="41" t="s">
        <v>9</v>
      </c>
      <c r="D126" s="38">
        <v>2010</v>
      </c>
      <c r="E126" s="42">
        <v>39.009639719431668</v>
      </c>
      <c r="F126" s="73">
        <f>'2019-B7_Berechnung'!E124</f>
        <v>33.654638770848486</v>
      </c>
      <c r="G126" s="73">
        <f>'2019-B7_Berechnung'!F124</f>
        <v>40.655984644352053</v>
      </c>
      <c r="H126" s="40"/>
      <c r="I126" s="40"/>
      <c r="J126" s="40"/>
      <c r="K126" s="40"/>
    </row>
    <row r="127" spans="2:11" ht="8.25" customHeight="1" x14ac:dyDescent="0.25">
      <c r="B127" s="37" t="s">
        <v>7</v>
      </c>
      <c r="C127" s="41" t="s">
        <v>9</v>
      </c>
      <c r="D127" s="38">
        <v>2010</v>
      </c>
      <c r="E127" s="42">
        <v>35.465020872438728</v>
      </c>
      <c r="F127" s="73">
        <f>'2019-B7_Berechnung'!E125</f>
        <v>32.23706293706293</v>
      </c>
      <c r="G127" s="73">
        <f>'2019-B7_Berechnung'!F125</f>
        <v>36.153080816467799</v>
      </c>
      <c r="H127" s="40"/>
      <c r="I127" s="40"/>
      <c r="J127" s="40"/>
      <c r="K127" s="40"/>
    </row>
    <row r="128" spans="2:11" ht="8.25" customHeight="1" x14ac:dyDescent="0.25">
      <c r="B128" s="37" t="s">
        <v>4</v>
      </c>
      <c r="C128" s="41" t="s">
        <v>10</v>
      </c>
      <c r="D128" s="38">
        <v>2010</v>
      </c>
      <c r="E128" s="42">
        <v>32.09155568879909</v>
      </c>
      <c r="F128" s="73">
        <f>'2019-B7_Berechnung'!E126</f>
        <v>25.432812615306872</v>
      </c>
      <c r="G128" s="73">
        <f>'2019-B7_Berechnung'!F126</f>
        <v>33.978064588247413</v>
      </c>
      <c r="H128" s="40"/>
      <c r="I128" s="40"/>
      <c r="J128" s="40"/>
      <c r="K128" s="40"/>
    </row>
    <row r="129" spans="2:11" ht="8.25" customHeight="1" x14ac:dyDescent="0.25">
      <c r="B129" s="37" t="s">
        <v>6</v>
      </c>
      <c r="C129" s="41" t="s">
        <v>10</v>
      </c>
      <c r="D129" s="38">
        <v>2010</v>
      </c>
      <c r="E129" s="42">
        <v>37.866140865607754</v>
      </c>
      <c r="F129" s="73">
        <f>'2019-B7_Berechnung'!E127</f>
        <v>31.340131033271273</v>
      </c>
      <c r="G129" s="73">
        <f>'2019-B7_Berechnung'!F127</f>
        <v>39.872501366506377</v>
      </c>
      <c r="H129" s="40"/>
      <c r="I129" s="40"/>
      <c r="J129" s="40"/>
      <c r="K129" s="40"/>
    </row>
    <row r="130" spans="2:11" ht="8.25" customHeight="1" x14ac:dyDescent="0.25">
      <c r="B130" s="37" t="s">
        <v>7</v>
      </c>
      <c r="C130" s="41" t="s">
        <v>10</v>
      </c>
      <c r="D130" s="38">
        <v>2010</v>
      </c>
      <c r="E130" s="42">
        <v>28.35654691863078</v>
      </c>
      <c r="F130" s="73">
        <f>'2019-B7_Berechnung'!E128</f>
        <v>25.258600459942741</v>
      </c>
      <c r="G130" s="73">
        <f>'2019-B7_Berechnung'!F128</f>
        <v>29.01689405799015</v>
      </c>
      <c r="H130" s="40"/>
      <c r="I130" s="40"/>
      <c r="J130" s="40"/>
      <c r="K130" s="40"/>
    </row>
    <row r="131" spans="2:11" ht="8.25" customHeight="1" x14ac:dyDescent="0.25">
      <c r="B131" s="37" t="s">
        <v>4</v>
      </c>
      <c r="C131" s="37" t="s">
        <v>5</v>
      </c>
      <c r="D131" s="38">
        <v>2006</v>
      </c>
      <c r="E131" s="42">
        <v>4.2515483686383551</v>
      </c>
      <c r="F131" s="73">
        <f>'2019-B7_Berechnung'!E129</f>
        <v>8.0469137773102641</v>
      </c>
      <c r="G131" s="73">
        <f>'2019-B7_Berechnung'!F129</f>
        <v>3.2074704928078637</v>
      </c>
      <c r="H131" s="40"/>
      <c r="I131" s="40"/>
      <c r="J131" s="40"/>
      <c r="K131" s="40"/>
    </row>
    <row r="132" spans="2:11" ht="8.25" customHeight="1" x14ac:dyDescent="0.25">
      <c r="B132" s="37" t="s">
        <v>6</v>
      </c>
      <c r="C132" s="37" t="s">
        <v>5</v>
      </c>
      <c r="D132" s="38">
        <v>2006</v>
      </c>
      <c r="E132" s="42">
        <v>4.2461545108542014</v>
      </c>
      <c r="F132" s="73">
        <f>'2019-B7_Berechnung'!E130</f>
        <v>11.60080724627948</v>
      </c>
      <c r="G132" s="73">
        <f>'2019-B7_Berechnung'!F130</f>
        <v>2.0578261360582344</v>
      </c>
      <c r="H132" s="40"/>
      <c r="I132" s="40"/>
      <c r="J132" s="40"/>
      <c r="K132" s="40"/>
    </row>
    <row r="133" spans="2:11" ht="8.25" customHeight="1" x14ac:dyDescent="0.25">
      <c r="B133" s="37" t="s">
        <v>7</v>
      </c>
      <c r="C133" s="37" t="s">
        <v>5</v>
      </c>
      <c r="D133" s="38">
        <v>2006</v>
      </c>
      <c r="E133" s="42">
        <v>3.6585443550533352</v>
      </c>
      <c r="F133" s="73">
        <f>'2019-B7_Berechnung'!E131</f>
        <v>12.242387215955501</v>
      </c>
      <c r="G133" s="73">
        <f>'2019-B7_Berechnung'!F131</f>
        <v>2.0289028621700744</v>
      </c>
      <c r="H133" s="40"/>
      <c r="I133" s="40"/>
      <c r="J133" s="40"/>
      <c r="K133" s="40"/>
    </row>
    <row r="134" spans="2:11" ht="8.25" customHeight="1" x14ac:dyDescent="0.25">
      <c r="B134" s="37" t="s">
        <v>4</v>
      </c>
      <c r="C134" s="41" t="s">
        <v>8</v>
      </c>
      <c r="D134" s="38">
        <v>2006</v>
      </c>
      <c r="E134" s="42">
        <v>21.24245611492627</v>
      </c>
      <c r="F134" s="73">
        <f>'2019-B7_Berechnung'!E132</f>
        <v>30.853960175348</v>
      </c>
      <c r="G134" s="73">
        <f>'2019-B7_Berechnung'!F132</f>
        <v>18.598400098603769</v>
      </c>
      <c r="H134" s="40"/>
      <c r="I134" s="40"/>
      <c r="J134" s="40"/>
      <c r="K134" s="40"/>
    </row>
    <row r="135" spans="2:11" ht="8.25" customHeight="1" x14ac:dyDescent="0.25">
      <c r="B135" s="37" t="s">
        <v>6</v>
      </c>
      <c r="C135" s="41" t="s">
        <v>8</v>
      </c>
      <c r="D135" s="38">
        <v>2006</v>
      </c>
      <c r="E135" s="42">
        <v>22.49725860077508</v>
      </c>
      <c r="F135" s="73">
        <f>'2019-B7_Berechnung'!E133</f>
        <v>29.13862471630944</v>
      </c>
      <c r="G135" s="73">
        <f>'2019-B7_Berechnung'!F133</f>
        <v>20.521164844139275</v>
      </c>
      <c r="H135" s="40"/>
      <c r="I135" s="40"/>
      <c r="J135" s="40"/>
      <c r="K135" s="40"/>
    </row>
    <row r="136" spans="2:11" ht="8.25" customHeight="1" x14ac:dyDescent="0.25">
      <c r="B136" s="37" t="s">
        <v>7</v>
      </c>
      <c r="C136" s="41" t="s">
        <v>8</v>
      </c>
      <c r="D136" s="38">
        <v>2006</v>
      </c>
      <c r="E136" s="42">
        <v>36.725558738920071</v>
      </c>
      <c r="F136" s="73">
        <f>'2019-B7_Berechnung'!E134</f>
        <v>35.109006773471037</v>
      </c>
      <c r="G136" s="73">
        <f>'2019-B7_Berechnung'!F134</f>
        <v>37.032460972720457</v>
      </c>
      <c r="H136" s="40"/>
      <c r="I136" s="40"/>
      <c r="J136" s="40"/>
      <c r="K136" s="40"/>
    </row>
    <row r="137" spans="2:11" ht="8.25" customHeight="1" x14ac:dyDescent="0.25">
      <c r="B137" s="37" t="s">
        <v>4</v>
      </c>
      <c r="C137" s="41" t="s">
        <v>9</v>
      </c>
      <c r="D137" s="38">
        <v>2006</v>
      </c>
      <c r="E137" s="42">
        <v>45.161113630200795</v>
      </c>
      <c r="F137" s="73">
        <f>'2019-B7_Berechnung'!E135</f>
        <v>38.884565571206252</v>
      </c>
      <c r="G137" s="73">
        <f>'2019-B7_Berechnung'!F135</f>
        <v>46.887747105335961</v>
      </c>
      <c r="H137" s="40"/>
      <c r="I137" s="40"/>
      <c r="J137" s="40"/>
      <c r="K137" s="40"/>
    </row>
    <row r="138" spans="2:11" ht="8.25" customHeight="1" x14ac:dyDescent="0.25">
      <c r="B138" s="37" t="s">
        <v>6</v>
      </c>
      <c r="C138" s="41" t="s">
        <v>9</v>
      </c>
      <c r="D138" s="38">
        <v>2006</v>
      </c>
      <c r="E138" s="42">
        <v>39.596256021879555</v>
      </c>
      <c r="F138" s="73">
        <f>'2019-B7_Berechnung'!E136</f>
        <v>31.14468696181607</v>
      </c>
      <c r="G138" s="73">
        <f>'2019-B7_Berechnung'!F136</f>
        <v>42.110964765907347</v>
      </c>
      <c r="H138" s="40"/>
      <c r="I138" s="40"/>
      <c r="J138" s="40"/>
      <c r="K138" s="40"/>
    </row>
    <row r="139" spans="2:11" ht="8.25" customHeight="1" x14ac:dyDescent="0.25">
      <c r="B139" s="37" t="s">
        <v>7</v>
      </c>
      <c r="C139" s="41" t="s">
        <v>9</v>
      </c>
      <c r="D139" s="38">
        <v>2006</v>
      </c>
      <c r="E139" s="42">
        <v>34.009697900806025</v>
      </c>
      <c r="F139" s="73">
        <f>'2019-B7_Berechnung'!E137</f>
        <v>28.440237917324406</v>
      </c>
      <c r="G139" s="73">
        <f>'2019-B7_Berechnung'!F137</f>
        <v>35.067059111920329</v>
      </c>
      <c r="H139" s="40"/>
      <c r="I139" s="40"/>
      <c r="J139" s="40"/>
      <c r="K139" s="40"/>
    </row>
    <row r="140" spans="2:11" ht="8.25" customHeight="1" x14ac:dyDescent="0.25">
      <c r="B140" s="37" t="s">
        <v>4</v>
      </c>
      <c r="C140" s="41" t="s">
        <v>10</v>
      </c>
      <c r="D140" s="38">
        <v>2006</v>
      </c>
      <c r="E140" s="42">
        <v>29.344881886234596</v>
      </c>
      <c r="F140" s="73">
        <f>'2019-B7_Berechnung'!E138</f>
        <v>22.214560476135489</v>
      </c>
      <c r="G140" s="73">
        <f>'2019-B7_Berechnung'!F138</f>
        <v>31.306382303252398</v>
      </c>
      <c r="H140" s="40"/>
      <c r="I140" s="40"/>
      <c r="J140" s="40"/>
      <c r="K140" s="40"/>
    </row>
    <row r="141" spans="2:11" ht="8.25" customHeight="1" x14ac:dyDescent="0.25">
      <c r="B141" s="37" t="s">
        <v>6</v>
      </c>
      <c r="C141" s="41" t="s">
        <v>10</v>
      </c>
      <c r="D141" s="38">
        <v>2006</v>
      </c>
      <c r="E141" s="42">
        <v>33.660330866491151</v>
      </c>
      <c r="F141" s="73">
        <f>'2019-B7_Berechnung'!E139</f>
        <v>28.115881075595023</v>
      </c>
      <c r="G141" s="73">
        <f>'2019-B7_Berechnung'!F139</f>
        <v>35.310044253895157</v>
      </c>
      <c r="H141" s="40"/>
      <c r="I141" s="40"/>
      <c r="J141" s="40"/>
      <c r="K141" s="40"/>
    </row>
    <row r="142" spans="2:11" ht="8.25" customHeight="1" x14ac:dyDescent="0.25">
      <c r="B142" s="37" t="s">
        <v>7</v>
      </c>
      <c r="C142" s="41" t="s">
        <v>10</v>
      </c>
      <c r="D142" s="38">
        <v>2006</v>
      </c>
      <c r="E142" s="42">
        <v>25.606199005220553</v>
      </c>
      <c r="F142" s="73">
        <f>'2019-B7_Berechnung'!E140</f>
        <v>24.208368093249053</v>
      </c>
      <c r="G142" s="73">
        <f>'2019-B7_Berechnung'!F140</f>
        <v>25.871577053189139</v>
      </c>
      <c r="H142" s="40"/>
      <c r="I142" s="40"/>
      <c r="J142" s="40"/>
      <c r="K142" s="40"/>
    </row>
    <row r="143" spans="2:11" ht="8.25" customHeight="1" x14ac:dyDescent="0.25">
      <c r="B143" s="37" t="s">
        <v>4</v>
      </c>
      <c r="C143" s="37" t="s">
        <v>5</v>
      </c>
      <c r="D143" s="38">
        <v>2005</v>
      </c>
      <c r="E143" s="42">
        <v>4.7988791523357115</v>
      </c>
      <c r="F143" s="73">
        <f>'2019-B7_Berechnung'!E141</f>
        <v>9.8395271631659735</v>
      </c>
      <c r="G143" s="73">
        <f>'2019-B7_Berechnung'!F141</f>
        <v>3.2871763022626288</v>
      </c>
      <c r="H143" s="40"/>
      <c r="I143" s="40"/>
      <c r="J143" s="40"/>
      <c r="K143" s="40"/>
    </row>
    <row r="144" spans="2:11" ht="8.25" customHeight="1" x14ac:dyDescent="0.25">
      <c r="B144" s="37" t="s">
        <v>6</v>
      </c>
      <c r="C144" s="37" t="s">
        <v>5</v>
      </c>
      <c r="D144" s="38">
        <v>2005</v>
      </c>
      <c r="E144" s="42">
        <v>4.3755488185340248</v>
      </c>
      <c r="F144" s="73">
        <f>'2019-B7_Berechnung'!E142</f>
        <v>12.61624825735595</v>
      </c>
      <c r="G144" s="73">
        <f>'2019-B7_Berechnung'!F142</f>
        <v>2.0206492308206041</v>
      </c>
      <c r="H144" s="40"/>
      <c r="I144" s="40"/>
      <c r="J144" s="40"/>
      <c r="K144" s="40"/>
    </row>
    <row r="145" spans="2:11" ht="8.25" customHeight="1" x14ac:dyDescent="0.25">
      <c r="B145" s="37" t="s">
        <v>7</v>
      </c>
      <c r="C145" s="37" t="s">
        <v>5</v>
      </c>
      <c r="D145" s="38">
        <v>2005</v>
      </c>
      <c r="E145" s="42">
        <v>3.622969814818068</v>
      </c>
      <c r="F145" s="73">
        <f>'2019-B7_Berechnung'!E143</f>
        <v>12.767188287469155</v>
      </c>
      <c r="G145" s="73">
        <f>'2019-B7_Berechnung'!F143</f>
        <v>1.8955267408437952</v>
      </c>
      <c r="H145" s="40"/>
      <c r="I145" s="40"/>
      <c r="J145" s="40"/>
      <c r="K145" s="40"/>
    </row>
    <row r="146" spans="2:11" ht="8.25" customHeight="1" x14ac:dyDescent="0.25">
      <c r="B146" s="37" t="s">
        <v>4</v>
      </c>
      <c r="C146" s="41" t="s">
        <v>8</v>
      </c>
      <c r="D146" s="38">
        <v>2005</v>
      </c>
      <c r="E146" s="42">
        <v>22.120709603673063</v>
      </c>
      <c r="F146" s="73">
        <f>'2019-B7_Berechnung'!E144</f>
        <v>29.449625043279116</v>
      </c>
      <c r="G146" s="73">
        <f>'2019-B7_Berechnung'!F144</f>
        <v>19.922748939855431</v>
      </c>
      <c r="H146" s="40"/>
      <c r="I146" s="40"/>
      <c r="J146" s="40"/>
      <c r="K146" s="40"/>
    </row>
    <row r="147" spans="2:11" ht="8.25" customHeight="1" x14ac:dyDescent="0.25">
      <c r="B147" s="37" t="s">
        <v>6</v>
      </c>
      <c r="C147" s="41" t="s">
        <v>8</v>
      </c>
      <c r="D147" s="38">
        <v>2005</v>
      </c>
      <c r="E147" s="42">
        <v>22.888799820098448</v>
      </c>
      <c r="F147" s="73">
        <f>'2019-B7_Berechnung'!E145</f>
        <v>29.846957422116866</v>
      </c>
      <c r="G147" s="73">
        <f>'2019-B7_Berechnung'!F145</f>
        <v>20.900404328738102</v>
      </c>
      <c r="H147" s="40"/>
      <c r="I147" s="40"/>
      <c r="J147" s="40"/>
      <c r="K147" s="40"/>
    </row>
    <row r="148" spans="2:11" ht="8.25" customHeight="1" x14ac:dyDescent="0.25">
      <c r="B148" s="37" t="s">
        <v>7</v>
      </c>
      <c r="C148" s="41" t="s">
        <v>8</v>
      </c>
      <c r="D148" s="38">
        <v>2005</v>
      </c>
      <c r="E148" s="42">
        <v>37.524341462050145</v>
      </c>
      <c r="F148" s="73">
        <f>'2019-B7_Berechnung'!E146</f>
        <v>35.463904279568304</v>
      </c>
      <c r="G148" s="73">
        <f>'2019-B7_Berechnung'!F146</f>
        <v>37.913580679775841</v>
      </c>
      <c r="H148" s="40"/>
      <c r="I148" s="40"/>
      <c r="J148" s="40"/>
      <c r="K148" s="40"/>
    </row>
    <row r="149" spans="2:11" ht="8.25" customHeight="1" x14ac:dyDescent="0.25">
      <c r="B149" s="37" t="s">
        <v>4</v>
      </c>
      <c r="C149" s="41" t="s">
        <v>9</v>
      </c>
      <c r="D149" s="38">
        <v>2005</v>
      </c>
      <c r="E149" s="42">
        <v>42.899124175064578</v>
      </c>
      <c r="F149" s="73">
        <f>'2019-B7_Berechnung'!E147</f>
        <v>37.710705625285698</v>
      </c>
      <c r="G149" s="73">
        <f>'2019-B7_Berechnung'!F147</f>
        <v>44.455143881036122</v>
      </c>
      <c r="H149" s="40"/>
      <c r="I149" s="40"/>
      <c r="J149" s="40"/>
      <c r="K149" s="40"/>
    </row>
    <row r="150" spans="2:11" ht="8.25" customHeight="1" x14ac:dyDescent="0.25">
      <c r="B150" s="37" t="s">
        <v>6</v>
      </c>
      <c r="C150" s="41" t="s">
        <v>9</v>
      </c>
      <c r="D150" s="38">
        <v>2005</v>
      </c>
      <c r="E150" s="42">
        <v>38.480961097514978</v>
      </c>
      <c r="F150" s="73">
        <f>'2019-B7_Berechnung'!E148</f>
        <v>31.468724501456013</v>
      </c>
      <c r="G150" s="73">
        <f>'2019-B7_Berechnung'!F148</f>
        <v>40.484810767756208</v>
      </c>
      <c r="H150" s="40"/>
      <c r="I150" s="40"/>
      <c r="J150" s="40"/>
      <c r="K150" s="40"/>
    </row>
    <row r="151" spans="2:11" ht="8.25" customHeight="1" x14ac:dyDescent="0.25">
      <c r="B151" s="37" t="s">
        <v>7</v>
      </c>
      <c r="C151" s="41" t="s">
        <v>9</v>
      </c>
      <c r="D151" s="38">
        <v>2005</v>
      </c>
      <c r="E151" s="42">
        <v>33.36893491811621</v>
      </c>
      <c r="F151" s="73">
        <f>'2019-B7_Berechnung'!E149</f>
        <v>28.71141948621921</v>
      </c>
      <c r="G151" s="73">
        <f>'2019-B7_Berechnung'!F149</f>
        <v>34.248790746127099</v>
      </c>
      <c r="H151" s="40"/>
      <c r="I151" s="40"/>
      <c r="J151" s="40"/>
      <c r="K151" s="40"/>
    </row>
    <row r="152" spans="2:11" ht="8.25" customHeight="1" x14ac:dyDescent="0.25">
      <c r="B152" s="37" t="s">
        <v>4</v>
      </c>
      <c r="C152" s="41" t="s">
        <v>10</v>
      </c>
      <c r="D152" s="38">
        <v>2005</v>
      </c>
      <c r="E152" s="42">
        <v>30.181287068926643</v>
      </c>
      <c r="F152" s="73">
        <f>'2019-B7_Berechnung'!E150</f>
        <v>23.0001421682692</v>
      </c>
      <c r="G152" s="73">
        <f>'2019-B7_Berechnung'!F150</f>
        <v>32.334930876845824</v>
      </c>
      <c r="H152" s="40"/>
      <c r="I152" s="40"/>
      <c r="J152" s="40"/>
      <c r="K152" s="40"/>
    </row>
    <row r="153" spans="2:11" ht="8.25" customHeight="1" x14ac:dyDescent="0.25">
      <c r="B153" s="37" t="s">
        <v>6</v>
      </c>
      <c r="C153" s="41" t="s">
        <v>10</v>
      </c>
      <c r="D153" s="38">
        <v>2005</v>
      </c>
      <c r="E153" s="42">
        <v>34.254690263852538</v>
      </c>
      <c r="F153" s="73">
        <f>'2019-B7_Berechnung'!E151</f>
        <v>26.068069819071184</v>
      </c>
      <c r="G153" s="73">
        <f>'2019-B7_Berechnung'!F151</f>
        <v>36.594135672685091</v>
      </c>
      <c r="H153" s="40"/>
      <c r="I153" s="40"/>
      <c r="J153" s="40"/>
      <c r="K153" s="40"/>
    </row>
    <row r="154" spans="2:11" ht="8.25" customHeight="1" x14ac:dyDescent="0.25">
      <c r="B154" s="37" t="s">
        <v>7</v>
      </c>
      <c r="C154" s="41" t="s">
        <v>10</v>
      </c>
      <c r="D154" s="38">
        <v>2005</v>
      </c>
      <c r="E154" s="42">
        <v>25.483753805015574</v>
      </c>
      <c r="F154" s="73">
        <f>'2019-B7_Berechnung'!E152</f>
        <v>23.057487946743326</v>
      </c>
      <c r="G154" s="73">
        <f>'2019-B7_Berechnung'!F152</f>
        <v>25.942101833253261</v>
      </c>
      <c r="H154" s="40"/>
      <c r="I154" s="40"/>
      <c r="J154" s="40"/>
      <c r="K154" s="40"/>
    </row>
    <row r="155" spans="2:11" x14ac:dyDescent="0.25">
      <c r="D155" s="31" t="s">
        <v>15</v>
      </c>
    </row>
    <row r="156" spans="2:11" ht="8.25" customHeight="1" x14ac:dyDescent="0.25">
      <c r="B156" s="76"/>
    </row>
    <row r="157" spans="2:11" ht="8.25" customHeight="1" x14ac:dyDescent="0.25">
      <c r="B157" s="78" t="s">
        <v>38</v>
      </c>
      <c r="C157" s="78"/>
      <c r="D157" s="78"/>
      <c r="E157" s="78"/>
      <c r="F157" s="78"/>
      <c r="G157" s="78"/>
      <c r="H157" s="78"/>
      <c r="I157" s="78"/>
      <c r="J157" s="78"/>
      <c r="K157" s="78"/>
    </row>
    <row r="158" spans="2:11" ht="8.25" customHeight="1" x14ac:dyDescent="0.25">
      <c r="B158" s="17" t="s">
        <v>39</v>
      </c>
      <c r="C158" s="27"/>
      <c r="D158" s="34"/>
      <c r="E158" s="27"/>
      <c r="F158" s="27"/>
      <c r="G158" s="27"/>
      <c r="H158" s="27"/>
      <c r="I158" s="46"/>
      <c r="J158" s="46"/>
      <c r="K158" s="46"/>
    </row>
    <row r="159" spans="2:11" ht="8.25" customHeight="1" x14ac:dyDescent="0.25">
      <c r="B159" s="79" t="s">
        <v>54</v>
      </c>
      <c r="C159" s="79"/>
      <c r="D159" s="79"/>
      <c r="E159" s="79"/>
      <c r="F159" s="79"/>
      <c r="G159" s="79"/>
      <c r="H159" s="27"/>
      <c r="I159" s="46"/>
      <c r="J159" s="46"/>
      <c r="K159" s="46"/>
    </row>
    <row r="160" spans="2:11" ht="8.25" customHeight="1" x14ac:dyDescent="0.25">
      <c r="B160" s="79"/>
      <c r="C160" s="79"/>
      <c r="D160" s="79"/>
      <c r="E160" s="79"/>
      <c r="F160" s="79"/>
      <c r="G160" s="79"/>
      <c r="H160" s="27"/>
      <c r="I160" s="46"/>
      <c r="J160" s="46"/>
      <c r="K160" s="46"/>
    </row>
    <row r="161" spans="2:11" ht="8.25" customHeight="1" x14ac:dyDescent="0.25">
      <c r="B161" s="30"/>
      <c r="C161" s="30"/>
      <c r="D161" s="35"/>
      <c r="E161" s="30"/>
      <c r="F161" s="30"/>
      <c r="G161" s="30"/>
      <c r="H161" s="29"/>
      <c r="I161" s="29"/>
      <c r="J161" s="29"/>
      <c r="K161" s="29"/>
    </row>
    <row r="162" spans="2:11" ht="8.25" customHeight="1" x14ac:dyDescent="0.25">
      <c r="B162" s="8"/>
      <c r="C162" s="8"/>
      <c r="D162" s="35"/>
      <c r="E162" s="8"/>
      <c r="F162" s="8"/>
      <c r="G162" s="8"/>
      <c r="H162" s="29"/>
      <c r="I162" s="29"/>
      <c r="J162" s="29"/>
      <c r="K162" s="29"/>
    </row>
    <row r="163" spans="2:11" ht="8.25" customHeight="1" x14ac:dyDescent="0.25">
      <c r="B163" s="17" t="s">
        <v>40</v>
      </c>
      <c r="C163" s="28"/>
      <c r="D163" s="36"/>
      <c r="E163" s="29"/>
      <c r="F163" s="29"/>
      <c r="G163" s="29"/>
      <c r="H163" s="29"/>
      <c r="I163" s="29"/>
      <c r="J163" s="29"/>
      <c r="K163" s="29"/>
    </row>
    <row r="164" spans="2:11" ht="8.25" customHeight="1" x14ac:dyDescent="0.25"/>
    <row r="165" spans="2:11" ht="8.25" customHeight="1" x14ac:dyDescent="0.25">
      <c r="B165" s="17" t="s">
        <v>494</v>
      </c>
    </row>
    <row r="166" spans="2:11" ht="8.25" customHeight="1" x14ac:dyDescent="0.25">
      <c r="B166" s="17" t="s">
        <v>495</v>
      </c>
    </row>
    <row r="167" spans="2:11" ht="8.25" customHeight="1" x14ac:dyDescent="0.25">
      <c r="B167" s="17" t="s">
        <v>496</v>
      </c>
    </row>
    <row r="168" spans="2:11" ht="8.25" customHeight="1" x14ac:dyDescent="0.25">
      <c r="B168" s="77" t="s">
        <v>497</v>
      </c>
    </row>
  </sheetData>
  <autoFilter ref="B10:V155" xr:uid="{DC7A6138-87FC-428D-AFD8-5DE965435593}"/>
  <mergeCells count="10">
    <mergeCell ref="B157:K157"/>
    <mergeCell ref="B159:G160"/>
    <mergeCell ref="B6:B9"/>
    <mergeCell ref="C6:C9"/>
    <mergeCell ref="D6:D9"/>
    <mergeCell ref="E6:E8"/>
    <mergeCell ref="F6:F7"/>
    <mergeCell ref="G6:G7"/>
    <mergeCell ref="F8:G8"/>
    <mergeCell ref="E9:G9"/>
  </mergeCells>
  <hyperlinks>
    <hyperlink ref="B168" r:id="rId1" xr:uid="{87AACBFD-E790-46FF-8AC4-14B90EC58704}"/>
  </hyperlink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1A3E8-332D-4D34-A949-A007591C4DDE}">
  <sheetPr codeName="Tabelle14"/>
  <dimension ref="A1:F433"/>
  <sheetViews>
    <sheetView topLeftCell="A319" workbookViewId="0">
      <selection activeCell="A319" sqref="A1:XFD1048576"/>
    </sheetView>
  </sheetViews>
  <sheetFormatPr baseColWidth="10" defaultRowHeight="15" x14ac:dyDescent="0.25"/>
  <cols>
    <col min="3" max="3" width="20.5703125" bestFit="1" customWidth="1"/>
    <col min="4" max="4" width="47.42578125" customWidth="1"/>
  </cols>
  <sheetData>
    <row r="1" spans="1:6" x14ac:dyDescent="0.25">
      <c r="A1" t="s">
        <v>78</v>
      </c>
      <c r="B1" t="s">
        <v>79</v>
      </c>
      <c r="C1" t="s">
        <v>1</v>
      </c>
      <c r="D1" t="s">
        <v>80</v>
      </c>
      <c r="E1" t="s">
        <v>81</v>
      </c>
      <c r="F1" t="s">
        <v>82</v>
      </c>
    </row>
    <row r="2" spans="1:6" x14ac:dyDescent="0.25">
      <c r="A2" t="str">
        <f>'2019_4-1-5_Download'!D11</f>
        <v>20191)</v>
      </c>
      <c r="B2" t="str">
        <f>'2019_4-1-5_Download'!B11</f>
        <v>18 – 25</v>
      </c>
      <c r="C2" t="str">
        <f>'2019_4-1-5_Download'!C11</f>
        <v>Ohne Abschluss2)</v>
      </c>
      <c r="D2" t="str">
        <f>'2019_4-1-5_Download'!$E$6</f>
        <v>Insgesamt</v>
      </c>
      <c r="E2" t="s">
        <v>83</v>
      </c>
      <c r="F2">
        <f>'2019_4-1-5_Download'!E11</f>
        <v>4.6753504681455125</v>
      </c>
    </row>
    <row r="3" spans="1:6" x14ac:dyDescent="0.25">
      <c r="A3" t="str">
        <f>'2019_4-1-5_Download'!D12</f>
        <v>20191)</v>
      </c>
      <c r="B3" t="str">
        <f>'2019_4-1-5_Download'!B12</f>
        <v>25 – 35</v>
      </c>
      <c r="C3" t="str">
        <f>'2019_4-1-5_Download'!C12</f>
        <v>Ohne Abschluss2)</v>
      </c>
      <c r="D3" t="str">
        <f>'2019_4-1-5_Download'!$E$6</f>
        <v>Insgesamt</v>
      </c>
      <c r="E3" t="s">
        <v>83</v>
      </c>
      <c r="F3">
        <f>'2019_4-1-5_Download'!E12</f>
        <v>4.7491300663414506</v>
      </c>
    </row>
    <row r="4" spans="1:6" x14ac:dyDescent="0.25">
      <c r="A4" t="str">
        <f>'2019_4-1-5_Download'!D13</f>
        <v>20191)</v>
      </c>
      <c r="B4" t="str">
        <f>'2019_4-1-5_Download'!B13</f>
        <v>15 – 65</v>
      </c>
      <c r="C4" t="str">
        <f>'2019_4-1-5_Download'!C13</f>
        <v>Ohne Abschluss2)</v>
      </c>
      <c r="D4" t="str">
        <f>'2019_4-1-5_Download'!$E$6</f>
        <v>Insgesamt</v>
      </c>
      <c r="E4" t="s">
        <v>83</v>
      </c>
      <c r="F4">
        <f>'2019_4-1-5_Download'!E13</f>
        <v>4.1453676331601041</v>
      </c>
    </row>
    <row r="5" spans="1:6" x14ac:dyDescent="0.25">
      <c r="A5" t="str">
        <f>'2019_4-1-5_Download'!D14</f>
        <v>20191)</v>
      </c>
      <c r="B5" t="str">
        <f>'2019_4-1-5_Download'!B14</f>
        <v>18 – 25</v>
      </c>
      <c r="C5" t="str">
        <f>'2019_4-1-5_Download'!C14</f>
        <v>Hauptschulabschluss</v>
      </c>
      <c r="D5" t="str">
        <f>'2019_4-1-5_Download'!$E$6</f>
        <v>Insgesamt</v>
      </c>
      <c r="E5" t="s">
        <v>83</v>
      </c>
      <c r="F5">
        <f>'2019_4-1-5_Download'!E14</f>
        <v>12.239844321392724</v>
      </c>
    </row>
    <row r="6" spans="1:6" x14ac:dyDescent="0.25">
      <c r="A6" t="str">
        <f>'2019_4-1-5_Download'!D15</f>
        <v>20191)</v>
      </c>
      <c r="B6" t="str">
        <f>'2019_4-1-5_Download'!B15</f>
        <v>25 – 35</v>
      </c>
      <c r="C6" t="str">
        <f>'2019_4-1-5_Download'!C15</f>
        <v>Hauptschulabschluss</v>
      </c>
      <c r="D6" t="str">
        <f>'2019_4-1-5_Download'!$E$6</f>
        <v>Insgesamt</v>
      </c>
      <c r="E6" t="s">
        <v>83</v>
      </c>
      <c r="F6">
        <f>'2019_4-1-5_Download'!E15</f>
        <v>13.776773099118131</v>
      </c>
    </row>
    <row r="7" spans="1:6" x14ac:dyDescent="0.25">
      <c r="A7" t="str">
        <f>'2019_4-1-5_Download'!D16</f>
        <v>20191)</v>
      </c>
      <c r="B7" t="str">
        <f>'2019_4-1-5_Download'!B16</f>
        <v>15 – 65</v>
      </c>
      <c r="C7" t="str">
        <f>'2019_4-1-5_Download'!C16</f>
        <v>Hauptschulabschluss</v>
      </c>
      <c r="D7" t="str">
        <f>'2019_4-1-5_Download'!$E$6</f>
        <v>Insgesamt</v>
      </c>
      <c r="E7" t="s">
        <v>83</v>
      </c>
      <c r="F7">
        <f>'2019_4-1-5_Download'!E16</f>
        <v>22.440954867361455</v>
      </c>
    </row>
    <row r="8" spans="1:6" x14ac:dyDescent="0.25">
      <c r="A8" t="str">
        <f>'2019_4-1-5_Download'!D17</f>
        <v>20191)</v>
      </c>
      <c r="B8" t="str">
        <f>'2019_4-1-5_Download'!B17</f>
        <v>18 – 25</v>
      </c>
      <c r="C8" t="str">
        <f>'2019_4-1-5_Download'!C17</f>
        <v>Realschulabschluss</v>
      </c>
      <c r="D8" t="str">
        <f>'2019_4-1-5_Download'!$E$6</f>
        <v>Insgesamt</v>
      </c>
      <c r="E8" t="s">
        <v>83</v>
      </c>
      <c r="F8">
        <f>'2019_4-1-5_Download'!E17</f>
        <v>35.286522128373356</v>
      </c>
    </row>
    <row r="9" spans="1:6" x14ac:dyDescent="0.25">
      <c r="A9" t="str">
        <f>'2019_4-1-5_Download'!D18</f>
        <v>20191)</v>
      </c>
      <c r="B9" t="str">
        <f>'2019_4-1-5_Download'!B18</f>
        <v>25 – 35</v>
      </c>
      <c r="C9" t="str">
        <f>'2019_4-1-5_Download'!C18</f>
        <v>Realschulabschluss</v>
      </c>
      <c r="D9" t="str">
        <f>'2019_4-1-5_Download'!$E$6</f>
        <v>Insgesamt</v>
      </c>
      <c r="E9" t="s">
        <v>83</v>
      </c>
      <c r="F9">
        <f>'2019_4-1-5_Download'!E18</f>
        <v>35.471306016720987</v>
      </c>
    </row>
    <row r="10" spans="1:6" x14ac:dyDescent="0.25">
      <c r="A10" t="str">
        <f>'2019_4-1-5_Download'!D19</f>
        <v>20191)</v>
      </c>
      <c r="B10" t="str">
        <f>'2019_4-1-5_Download'!B19</f>
        <v>15 – 65</v>
      </c>
      <c r="C10" t="str">
        <f>'2019_4-1-5_Download'!C19</f>
        <v>Realschulabschluss</v>
      </c>
      <c r="D10" t="str">
        <f>'2019_4-1-5_Download'!$E$6</f>
        <v>Insgesamt</v>
      </c>
      <c r="E10" t="s">
        <v>83</v>
      </c>
      <c r="F10">
        <f>'2019_4-1-5_Download'!E19</f>
        <v>36.856788663031125</v>
      </c>
    </row>
    <row r="11" spans="1:6" x14ac:dyDescent="0.25">
      <c r="A11" t="str">
        <f>'2019_4-1-5_Download'!D20</f>
        <v>20191)</v>
      </c>
      <c r="B11" t="str">
        <f>'2019_4-1-5_Download'!B20</f>
        <v>18 – 25</v>
      </c>
      <c r="C11" t="str">
        <f>'2019_4-1-5_Download'!C20</f>
        <v>(Fach-)Hochschulreife</v>
      </c>
      <c r="D11" t="str">
        <f>'2019_4-1-5_Download'!$E$6</f>
        <v>Insgesamt</v>
      </c>
      <c r="E11" t="s">
        <v>83</v>
      </c>
      <c r="F11">
        <f>'2019_4-1-5_Download'!E20</f>
        <v>47.798283082088417</v>
      </c>
    </row>
    <row r="12" spans="1:6" x14ac:dyDescent="0.25">
      <c r="A12" t="str">
        <f>'2019_4-1-5_Download'!D21</f>
        <v>20191)</v>
      </c>
      <c r="B12" t="str">
        <f>'2019_4-1-5_Download'!B21</f>
        <v>25 – 35</v>
      </c>
      <c r="C12" t="str">
        <f>'2019_4-1-5_Download'!C21</f>
        <v>(Fach-)Hochschulreife</v>
      </c>
      <c r="D12" t="str">
        <f>'2019_4-1-5_Download'!$E$6</f>
        <v>Insgesamt</v>
      </c>
      <c r="E12" t="s">
        <v>83</v>
      </c>
      <c r="F12">
        <f>'2019_4-1-5_Download'!E21</f>
        <v>46.002790817819431</v>
      </c>
    </row>
    <row r="13" spans="1:6" x14ac:dyDescent="0.25">
      <c r="A13" t="str">
        <f>'2019_4-1-5_Download'!D22</f>
        <v>20191)</v>
      </c>
      <c r="B13" t="str">
        <f>'2019_4-1-5_Download'!B22</f>
        <v>15 – 65</v>
      </c>
      <c r="C13" t="str">
        <f>'2019_4-1-5_Download'!C22</f>
        <v>(Fach-)Hochschulreife</v>
      </c>
      <c r="D13" t="str">
        <f>'2019_4-1-5_Download'!$E$6</f>
        <v>Insgesamt</v>
      </c>
      <c r="E13" t="s">
        <v>83</v>
      </c>
      <c r="F13">
        <f>'2019_4-1-5_Download'!E22</f>
        <v>36.556889042567576</v>
      </c>
    </row>
    <row r="14" spans="1:6" x14ac:dyDescent="0.25">
      <c r="A14" t="str">
        <f>'2019_4-1-5_Download'!D23</f>
        <v>20181)</v>
      </c>
      <c r="B14" t="str">
        <f>'2019_4-1-5_Download'!B23</f>
        <v>18 – 25</v>
      </c>
      <c r="C14" t="str">
        <f>'2019_4-1-5_Download'!C23</f>
        <v>Ohne Abschluss2)</v>
      </c>
      <c r="D14" t="str">
        <f>'2019_4-1-5_Download'!$E$6</f>
        <v>Insgesamt</v>
      </c>
      <c r="E14" t="s">
        <v>83</v>
      </c>
      <c r="F14">
        <f>'2019_4-1-5_Download'!E23</f>
        <v>4.6982988886806689</v>
      </c>
    </row>
    <row r="15" spans="1:6" x14ac:dyDescent="0.25">
      <c r="A15" t="str">
        <f>'2019_4-1-5_Download'!D24</f>
        <v>20181)</v>
      </c>
      <c r="B15" t="str">
        <f>'2019_4-1-5_Download'!B24</f>
        <v>25 – 35</v>
      </c>
      <c r="C15" t="str">
        <f>'2019_4-1-5_Download'!C24</f>
        <v>Ohne Abschluss2)</v>
      </c>
      <c r="D15" t="str">
        <f>'2019_4-1-5_Download'!$E$6</f>
        <v>Insgesamt</v>
      </c>
      <c r="E15" t="s">
        <v>83</v>
      </c>
      <c r="F15">
        <f>'2019_4-1-5_Download'!E24</f>
        <v>4.6485415868115689</v>
      </c>
    </row>
    <row r="16" spans="1:6" x14ac:dyDescent="0.25">
      <c r="A16" t="str">
        <f>'2019_4-1-5_Download'!D25</f>
        <v>20181)</v>
      </c>
      <c r="B16" t="str">
        <f>'2019_4-1-5_Download'!B25</f>
        <v>15 – 65</v>
      </c>
      <c r="C16" t="str">
        <f>'2019_4-1-5_Download'!C25</f>
        <v>Ohne Abschluss2)</v>
      </c>
      <c r="D16" t="str">
        <f>'2019_4-1-5_Download'!$E$6</f>
        <v>Insgesamt</v>
      </c>
      <c r="E16" t="s">
        <v>83</v>
      </c>
      <c r="F16">
        <f>'2019_4-1-5_Download'!E25</f>
        <v>4.2069623894442829</v>
      </c>
    </row>
    <row r="17" spans="1:6" x14ac:dyDescent="0.25">
      <c r="A17" t="str">
        <f>'2019_4-1-5_Download'!D26</f>
        <v>20181)</v>
      </c>
      <c r="B17" t="str">
        <f>'2019_4-1-5_Download'!B26</f>
        <v>18 – 25</v>
      </c>
      <c r="C17" t="str">
        <f>'2019_4-1-5_Download'!C26</f>
        <v>Hauptschulabschluss</v>
      </c>
      <c r="D17" t="str">
        <f>'2019_4-1-5_Download'!$E$6</f>
        <v>Insgesamt</v>
      </c>
      <c r="E17" t="s">
        <v>83</v>
      </c>
      <c r="F17">
        <f>'2019_4-1-5_Download'!E26</f>
        <v>12.901467185689915</v>
      </c>
    </row>
    <row r="18" spans="1:6" x14ac:dyDescent="0.25">
      <c r="A18" t="str">
        <f>'2019_4-1-5_Download'!D27</f>
        <v>20181)</v>
      </c>
      <c r="B18" t="str">
        <f>'2019_4-1-5_Download'!B27</f>
        <v>25 – 35</v>
      </c>
      <c r="C18" t="str">
        <f>'2019_4-1-5_Download'!C27</f>
        <v>Hauptschulabschluss</v>
      </c>
      <c r="D18" t="str">
        <f>'2019_4-1-5_Download'!$E$6</f>
        <v>Insgesamt</v>
      </c>
      <c r="E18" t="s">
        <v>83</v>
      </c>
      <c r="F18">
        <f>'2019_4-1-5_Download'!E27</f>
        <v>14.804143160272476</v>
      </c>
    </row>
    <row r="19" spans="1:6" x14ac:dyDescent="0.25">
      <c r="A19" t="str">
        <f>'2019_4-1-5_Download'!D28</f>
        <v>20181)</v>
      </c>
      <c r="B19" t="str">
        <f>'2019_4-1-5_Download'!B28</f>
        <v>15 – 65</v>
      </c>
      <c r="C19" t="str">
        <f>'2019_4-1-5_Download'!C28</f>
        <v>Hauptschulabschluss</v>
      </c>
      <c r="D19" t="str">
        <f>'2019_4-1-5_Download'!$E$6</f>
        <v>Insgesamt</v>
      </c>
      <c r="E19" t="s">
        <v>83</v>
      </c>
      <c r="F19">
        <f>'2019_4-1-5_Download'!E28</f>
        <v>23.580572938868478</v>
      </c>
    </row>
    <row r="20" spans="1:6" x14ac:dyDescent="0.25">
      <c r="A20" t="str">
        <f>'2019_4-1-5_Download'!D29</f>
        <v>20181)</v>
      </c>
      <c r="B20" t="str">
        <f>'2019_4-1-5_Download'!B29</f>
        <v>18 – 25</v>
      </c>
      <c r="C20" t="str">
        <f>'2019_4-1-5_Download'!C29</f>
        <v>Realschulabschluss</v>
      </c>
      <c r="D20" t="str">
        <f>'2019_4-1-5_Download'!$E$6</f>
        <v>Insgesamt</v>
      </c>
      <c r="E20" t="s">
        <v>83</v>
      </c>
      <c r="F20">
        <f>'2019_4-1-5_Download'!E29</f>
        <v>35.555640135686318</v>
      </c>
    </row>
    <row r="21" spans="1:6" x14ac:dyDescent="0.25">
      <c r="A21" t="str">
        <f>'2019_4-1-5_Download'!D30</f>
        <v>20181)</v>
      </c>
      <c r="B21" t="str">
        <f>'2019_4-1-5_Download'!B30</f>
        <v>25 – 35</v>
      </c>
      <c r="C21" t="str">
        <f>'2019_4-1-5_Download'!C30</f>
        <v>Realschulabschluss</v>
      </c>
      <c r="D21" t="str">
        <f>'2019_4-1-5_Download'!$E$6</f>
        <v>Insgesamt</v>
      </c>
      <c r="E21" t="s">
        <v>83</v>
      </c>
      <c r="F21">
        <f>'2019_4-1-5_Download'!E30</f>
        <v>36.077299684801908</v>
      </c>
    </row>
    <row r="22" spans="1:6" x14ac:dyDescent="0.25">
      <c r="A22" t="str">
        <f>'2019_4-1-5_Download'!D31</f>
        <v>20181)</v>
      </c>
      <c r="B22" t="str">
        <f>'2019_4-1-5_Download'!B31</f>
        <v>15 – 65</v>
      </c>
      <c r="C22" t="str">
        <f>'2019_4-1-5_Download'!C31</f>
        <v>Realschulabschluss</v>
      </c>
      <c r="D22" t="str">
        <f>'2019_4-1-5_Download'!$E$6</f>
        <v>Insgesamt</v>
      </c>
      <c r="E22" t="s">
        <v>83</v>
      </c>
      <c r="F22">
        <f>'2019_4-1-5_Download'!E31</f>
        <v>36.964359350671153</v>
      </c>
    </row>
    <row r="23" spans="1:6" x14ac:dyDescent="0.25">
      <c r="A23" t="str">
        <f>'2019_4-1-5_Download'!D32</f>
        <v>20181)</v>
      </c>
      <c r="B23" t="str">
        <f>'2019_4-1-5_Download'!B32</f>
        <v>18 – 25</v>
      </c>
      <c r="C23" t="str">
        <f>'2019_4-1-5_Download'!C32</f>
        <v>(Fach-)Hochschulreife</v>
      </c>
      <c r="D23" t="str">
        <f>'2019_4-1-5_Download'!$E$6</f>
        <v>Insgesamt</v>
      </c>
      <c r="E23" t="s">
        <v>83</v>
      </c>
      <c r="F23">
        <f>'2019_4-1-5_Download'!E32</f>
        <v>46.844593789943104</v>
      </c>
    </row>
    <row r="24" spans="1:6" x14ac:dyDescent="0.25">
      <c r="A24" t="str">
        <f>'2019_4-1-5_Download'!D33</f>
        <v>20181)</v>
      </c>
      <c r="B24" t="str">
        <f>'2019_4-1-5_Download'!B33</f>
        <v>25 – 35</v>
      </c>
      <c r="C24" t="str">
        <f>'2019_4-1-5_Download'!C33</f>
        <v>(Fach-)Hochschulreife</v>
      </c>
      <c r="D24" t="str">
        <f>'2019_4-1-5_Download'!$E$6</f>
        <v>Insgesamt</v>
      </c>
      <c r="E24" t="s">
        <v>83</v>
      </c>
      <c r="F24">
        <f>'2019_4-1-5_Download'!E33</f>
        <v>44.470015568114043</v>
      </c>
    </row>
    <row r="25" spans="1:6" x14ac:dyDescent="0.25">
      <c r="A25" t="str">
        <f>'2019_4-1-5_Download'!D34</f>
        <v>20181)</v>
      </c>
      <c r="B25" t="str">
        <f>'2019_4-1-5_Download'!B34</f>
        <v>15 – 65</v>
      </c>
      <c r="C25" t="str">
        <f>'2019_4-1-5_Download'!C34</f>
        <v>(Fach-)Hochschulreife</v>
      </c>
      <c r="D25" t="str">
        <f>'2019_4-1-5_Download'!$E$6</f>
        <v>Insgesamt</v>
      </c>
      <c r="E25" t="s">
        <v>83</v>
      </c>
      <c r="F25">
        <f>'2019_4-1-5_Download'!E34</f>
        <v>35.248105114006158</v>
      </c>
    </row>
    <row r="26" spans="1:6" x14ac:dyDescent="0.25">
      <c r="A26" t="str">
        <f>'2019_4-1-5_Download'!D35</f>
        <v>20171)</v>
      </c>
      <c r="B26" t="str">
        <f>'2019_4-1-5_Download'!B35</f>
        <v>18 – 25</v>
      </c>
      <c r="C26" t="str">
        <f>'2019_4-1-5_Download'!C35</f>
        <v>Ohne Abschluss2)</v>
      </c>
      <c r="D26" t="str">
        <f>'2019_4-1-5_Download'!$E$6</f>
        <v>Insgesamt</v>
      </c>
      <c r="E26" t="s">
        <v>83</v>
      </c>
      <c r="F26">
        <f>'2019_4-1-5_Download'!E35</f>
        <v>4.9194793575994309</v>
      </c>
    </row>
    <row r="27" spans="1:6" x14ac:dyDescent="0.25">
      <c r="A27" t="str">
        <f>'2019_4-1-5_Download'!D36</f>
        <v>20171)</v>
      </c>
      <c r="B27" t="str">
        <f>'2019_4-1-5_Download'!B36</f>
        <v>25 – 35</v>
      </c>
      <c r="C27" t="str">
        <f>'2019_4-1-5_Download'!C36</f>
        <v>Ohne Abschluss2)</v>
      </c>
      <c r="D27" t="str">
        <f>'2019_4-1-5_Download'!$E$6</f>
        <v>Insgesamt</v>
      </c>
      <c r="E27" t="s">
        <v>83</v>
      </c>
      <c r="F27">
        <f>'2019_4-1-5_Download'!E36</f>
        <v>4.6497542305345041</v>
      </c>
    </row>
    <row r="28" spans="1:6" x14ac:dyDescent="0.25">
      <c r="A28" t="str">
        <f>'2019_4-1-5_Download'!D37</f>
        <v>20171)</v>
      </c>
      <c r="B28" t="str">
        <f>'2019_4-1-5_Download'!B37</f>
        <v>15 – 65</v>
      </c>
      <c r="C28" t="str">
        <f>'2019_4-1-5_Download'!C37</f>
        <v>Ohne Abschluss2)</v>
      </c>
      <c r="D28" t="str">
        <f>'2019_4-1-5_Download'!$E$6</f>
        <v>Insgesamt</v>
      </c>
      <c r="E28" t="s">
        <v>83</v>
      </c>
      <c r="F28">
        <f>'2019_4-1-5_Download'!E37</f>
        <v>4.2201512220133068</v>
      </c>
    </row>
    <row r="29" spans="1:6" x14ac:dyDescent="0.25">
      <c r="A29" t="str">
        <f>'2019_4-1-5_Download'!D38</f>
        <v>20171)</v>
      </c>
      <c r="B29" t="str">
        <f>'2019_4-1-5_Download'!B38</f>
        <v>18 – 25</v>
      </c>
      <c r="C29" t="str">
        <f>'2019_4-1-5_Download'!C38</f>
        <v>Hauptschulabschluss</v>
      </c>
      <c r="D29" t="str">
        <f>'2019_4-1-5_Download'!$E$6</f>
        <v>Insgesamt</v>
      </c>
      <c r="E29" t="s">
        <v>83</v>
      </c>
      <c r="F29">
        <f>'2019_4-1-5_Download'!E38</f>
        <v>13.041924457911779</v>
      </c>
    </row>
    <row r="30" spans="1:6" x14ac:dyDescent="0.25">
      <c r="A30" t="str">
        <f>'2019_4-1-5_Download'!D39</f>
        <v>20171)</v>
      </c>
      <c r="B30" t="str">
        <f>'2019_4-1-5_Download'!B39</f>
        <v>25 – 35</v>
      </c>
      <c r="C30" t="str">
        <f>'2019_4-1-5_Download'!C39</f>
        <v>Hauptschulabschluss</v>
      </c>
      <c r="D30" t="str">
        <f>'2019_4-1-5_Download'!$E$6</f>
        <v>Insgesamt</v>
      </c>
      <c r="E30" t="s">
        <v>83</v>
      </c>
      <c r="F30">
        <f>'2019_4-1-5_Download'!E39</f>
        <v>15.161176107752899</v>
      </c>
    </row>
    <row r="31" spans="1:6" x14ac:dyDescent="0.25">
      <c r="A31" t="str">
        <f>'2019_4-1-5_Download'!D40</f>
        <v>20171)</v>
      </c>
      <c r="B31" t="str">
        <f>'2019_4-1-5_Download'!B40</f>
        <v>15 – 65</v>
      </c>
      <c r="C31" t="str">
        <f>'2019_4-1-5_Download'!C40</f>
        <v>Hauptschulabschluss</v>
      </c>
      <c r="D31" t="str">
        <f>'2019_4-1-5_Download'!$E$6</f>
        <v>Insgesamt</v>
      </c>
      <c r="E31" t="s">
        <v>83</v>
      </c>
      <c r="F31">
        <f>'2019_4-1-5_Download'!E40</f>
        <v>24.857437515128886</v>
      </c>
    </row>
    <row r="32" spans="1:6" x14ac:dyDescent="0.25">
      <c r="A32" t="str">
        <f>'2019_4-1-5_Download'!D41</f>
        <v>20171)</v>
      </c>
      <c r="B32" t="str">
        <f>'2019_4-1-5_Download'!B41</f>
        <v>18 – 25</v>
      </c>
      <c r="C32" t="str">
        <f>'2019_4-1-5_Download'!C41</f>
        <v>Realschulabschluss</v>
      </c>
      <c r="D32" t="str">
        <f>'2019_4-1-5_Download'!$E$6</f>
        <v>Insgesamt</v>
      </c>
      <c r="E32" t="s">
        <v>83</v>
      </c>
      <c r="F32">
        <f>'2019_4-1-5_Download'!E41</f>
        <v>37.025788824263287</v>
      </c>
    </row>
    <row r="33" spans="1:6" x14ac:dyDescent="0.25">
      <c r="A33" t="str">
        <f>'2019_4-1-5_Download'!D42</f>
        <v>20171)</v>
      </c>
      <c r="B33" t="str">
        <f>'2019_4-1-5_Download'!B42</f>
        <v>25 – 35</v>
      </c>
      <c r="C33" t="str">
        <f>'2019_4-1-5_Download'!C42</f>
        <v>Realschulabschluss</v>
      </c>
      <c r="D33" t="str">
        <f>'2019_4-1-5_Download'!$E$6</f>
        <v>Insgesamt</v>
      </c>
      <c r="E33" t="s">
        <v>83</v>
      </c>
      <c r="F33">
        <f>'2019_4-1-5_Download'!E42</f>
        <v>36.989414778270813</v>
      </c>
    </row>
    <row r="34" spans="1:6" x14ac:dyDescent="0.25">
      <c r="A34" t="str">
        <f>'2019_4-1-5_Download'!D43</f>
        <v>20171)</v>
      </c>
      <c r="B34" t="str">
        <f>'2019_4-1-5_Download'!B43</f>
        <v>15 – 65</v>
      </c>
      <c r="C34" t="str">
        <f>'2019_4-1-5_Download'!C43</f>
        <v>Realschulabschluss</v>
      </c>
      <c r="D34" t="str">
        <f>'2019_4-1-5_Download'!$E$6</f>
        <v>Insgesamt</v>
      </c>
      <c r="E34" t="s">
        <v>83</v>
      </c>
      <c r="F34">
        <f>'2019_4-1-5_Download'!E43</f>
        <v>36.642055491221164</v>
      </c>
    </row>
    <row r="35" spans="1:6" x14ac:dyDescent="0.25">
      <c r="A35" t="str">
        <f>'2019_4-1-5_Download'!D44</f>
        <v>20171)</v>
      </c>
      <c r="B35" t="str">
        <f>'2019_4-1-5_Download'!B44</f>
        <v>18 – 25</v>
      </c>
      <c r="C35" t="str">
        <f>'2019_4-1-5_Download'!C44</f>
        <v>(Fach-)Hochschulreife</v>
      </c>
      <c r="D35" t="str">
        <f>'2019_4-1-5_Download'!$E$6</f>
        <v>Insgesamt</v>
      </c>
      <c r="E35" t="s">
        <v>83</v>
      </c>
      <c r="F35">
        <f>'2019_4-1-5_Download'!E44</f>
        <v>45.012807360225494</v>
      </c>
    </row>
    <row r="36" spans="1:6" x14ac:dyDescent="0.25">
      <c r="A36" t="str">
        <f>'2019_4-1-5_Download'!D45</f>
        <v>20171)</v>
      </c>
      <c r="B36" t="str">
        <f>'2019_4-1-5_Download'!B45</f>
        <v>25 – 35</v>
      </c>
      <c r="C36" t="str">
        <f>'2019_4-1-5_Download'!C45</f>
        <v>(Fach-)Hochschulreife</v>
      </c>
      <c r="D36" t="str">
        <f>'2019_4-1-5_Download'!$E$6</f>
        <v>Insgesamt</v>
      </c>
      <c r="E36" t="s">
        <v>83</v>
      </c>
      <c r="F36">
        <f>'2019_4-1-5_Download'!E45</f>
        <v>43.19965382659155</v>
      </c>
    </row>
    <row r="37" spans="1:6" x14ac:dyDescent="0.25">
      <c r="A37" t="str">
        <f>'2019_4-1-5_Download'!D46</f>
        <v>20171)</v>
      </c>
      <c r="B37" t="str">
        <f>'2019_4-1-5_Download'!B46</f>
        <v>15 – 65</v>
      </c>
      <c r="C37" t="str">
        <f>'2019_4-1-5_Download'!C46</f>
        <v>(Fach-)Hochschulreife</v>
      </c>
      <c r="D37" t="str">
        <f>'2019_4-1-5_Download'!$E$6</f>
        <v>Insgesamt</v>
      </c>
      <c r="E37" t="s">
        <v>83</v>
      </c>
      <c r="F37">
        <f>'2019_4-1-5_Download'!E46</f>
        <v>34.280355771636643</v>
      </c>
    </row>
    <row r="38" spans="1:6" x14ac:dyDescent="0.25">
      <c r="A38" t="str">
        <f>'2019_4-1-5_Download'!D47</f>
        <v>20161)</v>
      </c>
      <c r="B38" t="str">
        <f>'2019_4-1-5_Download'!B47</f>
        <v>18 – 25</v>
      </c>
      <c r="C38" t="str">
        <f>'2019_4-1-5_Download'!C47</f>
        <v>Ohne Abschluss2)</v>
      </c>
      <c r="D38" t="str">
        <f>'2019_4-1-5_Download'!$E$6</f>
        <v>Insgesamt</v>
      </c>
      <c r="E38" t="s">
        <v>83</v>
      </c>
      <c r="F38">
        <f>'2019_4-1-5_Download'!E47</f>
        <v>4.9161793714797044</v>
      </c>
    </row>
    <row r="39" spans="1:6" x14ac:dyDescent="0.25">
      <c r="A39" t="str">
        <f>'2019_4-1-5_Download'!D48</f>
        <v>20161)</v>
      </c>
      <c r="B39" t="str">
        <f>'2019_4-1-5_Download'!B48</f>
        <v>25 – 35</v>
      </c>
      <c r="C39" t="str">
        <f>'2019_4-1-5_Download'!C48</f>
        <v>Ohne Abschluss2)</v>
      </c>
      <c r="D39" t="str">
        <f>'2019_4-1-5_Download'!$E$6</f>
        <v>Insgesamt</v>
      </c>
      <c r="E39" t="s">
        <v>83</v>
      </c>
      <c r="F39">
        <f>'2019_4-1-5_Download'!E48</f>
        <v>4.7669176494593097</v>
      </c>
    </row>
    <row r="40" spans="1:6" x14ac:dyDescent="0.25">
      <c r="A40" t="str">
        <f>'2019_4-1-5_Download'!D49</f>
        <v>20161)</v>
      </c>
      <c r="B40" t="str">
        <f>'2019_4-1-5_Download'!B49</f>
        <v>15 – 65</v>
      </c>
      <c r="C40" t="str">
        <f>'2019_4-1-5_Download'!C49</f>
        <v>Ohne Abschluss2)</v>
      </c>
      <c r="D40" t="str">
        <f>'2019_4-1-5_Download'!$E$6</f>
        <v>Insgesamt</v>
      </c>
      <c r="E40" t="s">
        <v>83</v>
      </c>
      <c r="F40">
        <f>'2019_4-1-5_Download'!E49</f>
        <v>4.1379483478909744</v>
      </c>
    </row>
    <row r="41" spans="1:6" x14ac:dyDescent="0.25">
      <c r="A41" t="str">
        <f>'2019_4-1-5_Download'!D50</f>
        <v>20161)</v>
      </c>
      <c r="B41" t="str">
        <f>'2019_4-1-5_Download'!B50</f>
        <v>18 – 25</v>
      </c>
      <c r="C41" t="str">
        <f>'2019_4-1-5_Download'!C50</f>
        <v>Hauptschulabschluss</v>
      </c>
      <c r="D41" t="str">
        <f>'2019_4-1-5_Download'!$E$6</f>
        <v>Insgesamt</v>
      </c>
      <c r="E41" t="s">
        <v>83</v>
      </c>
      <c r="F41">
        <f>'2019_4-1-5_Download'!E50</f>
        <v>13.862605167744283</v>
      </c>
    </row>
    <row r="42" spans="1:6" x14ac:dyDescent="0.25">
      <c r="A42" t="str">
        <f>'2019_4-1-5_Download'!D51</f>
        <v>20161)</v>
      </c>
      <c r="B42" t="str">
        <f>'2019_4-1-5_Download'!B51</f>
        <v>25 – 35</v>
      </c>
      <c r="C42" t="str">
        <f>'2019_4-1-5_Download'!C51</f>
        <v>Hauptschulabschluss</v>
      </c>
      <c r="D42" t="str">
        <f>'2019_4-1-5_Download'!$E$6</f>
        <v>Insgesamt</v>
      </c>
      <c r="E42" t="s">
        <v>83</v>
      </c>
      <c r="F42">
        <f>'2019_4-1-5_Download'!E51</f>
        <v>15.520749309986433</v>
      </c>
    </row>
    <row r="43" spans="1:6" x14ac:dyDescent="0.25">
      <c r="A43" t="str">
        <f>'2019_4-1-5_Download'!D52</f>
        <v>20161)</v>
      </c>
      <c r="B43" t="str">
        <f>'2019_4-1-5_Download'!B52</f>
        <v>15 – 65</v>
      </c>
      <c r="C43" t="str">
        <f>'2019_4-1-5_Download'!C52</f>
        <v>Hauptschulabschluss</v>
      </c>
      <c r="D43" t="str">
        <f>'2019_4-1-5_Download'!$E$6</f>
        <v>Insgesamt</v>
      </c>
      <c r="E43" t="s">
        <v>83</v>
      </c>
      <c r="F43">
        <f>'2019_4-1-5_Download'!E52</f>
        <v>26.046419111220899</v>
      </c>
    </row>
    <row r="44" spans="1:6" x14ac:dyDescent="0.25">
      <c r="A44" t="str">
        <f>'2019_4-1-5_Download'!D53</f>
        <v>20161)</v>
      </c>
      <c r="B44" t="str">
        <f>'2019_4-1-5_Download'!B53</f>
        <v>18 – 25</v>
      </c>
      <c r="C44" t="str">
        <f>'2019_4-1-5_Download'!C53</f>
        <v>Realschulabschluss</v>
      </c>
      <c r="D44" t="str">
        <f>'2019_4-1-5_Download'!$E$6</f>
        <v>Insgesamt</v>
      </c>
      <c r="E44" t="s">
        <v>83</v>
      </c>
      <c r="F44">
        <f>'2019_4-1-5_Download'!E53</f>
        <v>37.66057100147269</v>
      </c>
    </row>
    <row r="45" spans="1:6" x14ac:dyDescent="0.25">
      <c r="A45" t="str">
        <f>'2019_4-1-5_Download'!D54</f>
        <v>20161)</v>
      </c>
      <c r="B45" t="str">
        <f>'2019_4-1-5_Download'!B54</f>
        <v>25 – 35</v>
      </c>
      <c r="C45" t="str">
        <f>'2019_4-1-5_Download'!C54</f>
        <v>Realschulabschluss</v>
      </c>
      <c r="D45" t="str">
        <f>'2019_4-1-5_Download'!$E$6</f>
        <v>Insgesamt</v>
      </c>
      <c r="E45" t="s">
        <v>83</v>
      </c>
      <c r="F45">
        <f>'2019_4-1-5_Download'!E54</f>
        <v>36.793473862136686</v>
      </c>
    </row>
    <row r="46" spans="1:6" x14ac:dyDescent="0.25">
      <c r="A46" t="str">
        <f>'2019_4-1-5_Download'!D55</f>
        <v>20161)</v>
      </c>
      <c r="B46" t="str">
        <f>'2019_4-1-5_Download'!B55</f>
        <v>15 – 65</v>
      </c>
      <c r="C46" t="str">
        <f>'2019_4-1-5_Download'!C55</f>
        <v>Realschulabschluss</v>
      </c>
      <c r="D46" t="str">
        <f>'2019_4-1-5_Download'!$E$6</f>
        <v>Insgesamt</v>
      </c>
      <c r="E46" t="s">
        <v>83</v>
      </c>
      <c r="F46">
        <f>'2019_4-1-5_Download'!E55</f>
        <v>36.519866080217575</v>
      </c>
    </row>
    <row r="47" spans="1:6" x14ac:dyDescent="0.25">
      <c r="A47" t="str">
        <f>'2019_4-1-5_Download'!D56</f>
        <v>20161)</v>
      </c>
      <c r="B47" t="str">
        <f>'2019_4-1-5_Download'!B56</f>
        <v>18 – 25</v>
      </c>
      <c r="C47" t="str">
        <f>'2019_4-1-5_Download'!C56</f>
        <v>(Fach-)Hochschulreife</v>
      </c>
      <c r="D47" t="str">
        <f>'2019_4-1-5_Download'!$E$6</f>
        <v>Insgesamt</v>
      </c>
      <c r="E47" t="s">
        <v>83</v>
      </c>
      <c r="F47">
        <f>'2019_4-1-5_Download'!E56</f>
        <v>43.560642662873036</v>
      </c>
    </row>
    <row r="48" spans="1:6" x14ac:dyDescent="0.25">
      <c r="A48" t="str">
        <f>'2019_4-1-5_Download'!D57</f>
        <v>20161)</v>
      </c>
      <c r="B48" t="str">
        <f>'2019_4-1-5_Download'!B57</f>
        <v>25 – 35</v>
      </c>
      <c r="C48" t="str">
        <f>'2019_4-1-5_Download'!C57</f>
        <v>(Fach-)Hochschulreife</v>
      </c>
      <c r="D48" t="str">
        <f>'2019_4-1-5_Download'!$E$6</f>
        <v>Insgesamt</v>
      </c>
      <c r="E48" t="s">
        <v>83</v>
      </c>
      <c r="F48">
        <f>'2019_4-1-5_Download'!E57</f>
        <v>42.91885917841757</v>
      </c>
    </row>
    <row r="49" spans="1:6" x14ac:dyDescent="0.25">
      <c r="A49" t="str">
        <f>'2019_4-1-5_Download'!D58</f>
        <v>20161)</v>
      </c>
      <c r="B49" t="str">
        <f>'2019_4-1-5_Download'!B58</f>
        <v>15 – 65</v>
      </c>
      <c r="C49" t="str">
        <f>'2019_4-1-5_Download'!C58</f>
        <v>(Fach-)Hochschulreife</v>
      </c>
      <c r="D49" t="str">
        <f>'2019_4-1-5_Download'!$E$6</f>
        <v>Insgesamt</v>
      </c>
      <c r="E49" t="s">
        <v>83</v>
      </c>
      <c r="F49">
        <f>'2019_4-1-5_Download'!E58</f>
        <v>33.295766256137043</v>
      </c>
    </row>
    <row r="50" spans="1:6" x14ac:dyDescent="0.25">
      <c r="A50" t="str">
        <f>'2019_4-1-5_Download'!D59</f>
        <v>20151)</v>
      </c>
      <c r="B50" t="str">
        <f>'2019_4-1-5_Download'!B59</f>
        <v>18 – 25</v>
      </c>
      <c r="C50" t="str">
        <f>'2019_4-1-5_Download'!C59</f>
        <v>Ohne Abschluss2)</v>
      </c>
      <c r="D50" t="str">
        <f>'2019_4-1-5_Download'!$E$6</f>
        <v>Insgesamt</v>
      </c>
      <c r="E50" t="s">
        <v>83</v>
      </c>
      <c r="F50">
        <f>'2019_4-1-5_Download'!E59</f>
        <v>3.986510946628572</v>
      </c>
    </row>
    <row r="51" spans="1:6" x14ac:dyDescent="0.25">
      <c r="A51" t="str">
        <f>'2019_4-1-5_Download'!D60</f>
        <v>20151)</v>
      </c>
      <c r="B51" t="str">
        <f>'2019_4-1-5_Download'!B60</f>
        <v>25 – 35</v>
      </c>
      <c r="C51" t="str">
        <f>'2019_4-1-5_Download'!C60</f>
        <v>Ohne Abschluss2)</v>
      </c>
      <c r="D51" t="str">
        <f>'2019_4-1-5_Download'!$E$6</f>
        <v>Insgesamt</v>
      </c>
      <c r="E51" t="s">
        <v>83</v>
      </c>
      <c r="F51">
        <f>'2019_4-1-5_Download'!E60</f>
        <v>4.173177766872592</v>
      </c>
    </row>
    <row r="52" spans="1:6" x14ac:dyDescent="0.25">
      <c r="A52" t="str">
        <f>'2019_4-1-5_Download'!D61</f>
        <v>20151)</v>
      </c>
      <c r="B52" t="str">
        <f>'2019_4-1-5_Download'!B61</f>
        <v>15 – 65</v>
      </c>
      <c r="C52" t="str">
        <f>'2019_4-1-5_Download'!C61</f>
        <v>Ohne Abschluss2)</v>
      </c>
      <c r="D52" t="str">
        <f>'2019_4-1-5_Download'!$E$6</f>
        <v>Insgesamt</v>
      </c>
      <c r="E52" t="s">
        <v>83</v>
      </c>
      <c r="F52">
        <f>'2019_4-1-5_Download'!E61</f>
        <v>3.7499136553976844</v>
      </c>
    </row>
    <row r="53" spans="1:6" x14ac:dyDescent="0.25">
      <c r="A53" t="str">
        <f>'2019_4-1-5_Download'!D62</f>
        <v>20151)</v>
      </c>
      <c r="B53" t="str">
        <f>'2019_4-1-5_Download'!B62</f>
        <v>18 – 25</v>
      </c>
      <c r="C53" t="str">
        <f>'2019_4-1-5_Download'!C62</f>
        <v>Hauptschulabschluss</v>
      </c>
      <c r="D53" t="str">
        <f>'2019_4-1-5_Download'!$E$6</f>
        <v>Insgesamt</v>
      </c>
      <c r="E53" t="s">
        <v>83</v>
      </c>
      <c r="F53">
        <f>'2019_4-1-5_Download'!E62</f>
        <v>13.751826614637078</v>
      </c>
    </row>
    <row r="54" spans="1:6" x14ac:dyDescent="0.25">
      <c r="A54" t="str">
        <f>'2019_4-1-5_Download'!D63</f>
        <v>20151)</v>
      </c>
      <c r="B54" t="str">
        <f>'2019_4-1-5_Download'!B63</f>
        <v>25 – 35</v>
      </c>
      <c r="C54" t="str">
        <f>'2019_4-1-5_Download'!C63</f>
        <v>Hauptschulabschluss</v>
      </c>
      <c r="D54" t="str">
        <f>'2019_4-1-5_Download'!$E$6</f>
        <v>Insgesamt</v>
      </c>
      <c r="E54" t="s">
        <v>83</v>
      </c>
      <c r="F54">
        <f>'2019_4-1-5_Download'!E63</f>
        <v>14.713407163780346</v>
      </c>
    </row>
    <row r="55" spans="1:6" x14ac:dyDescent="0.25">
      <c r="A55" t="str">
        <f>'2019_4-1-5_Download'!D64</f>
        <v>20151)</v>
      </c>
      <c r="B55" t="str">
        <f>'2019_4-1-5_Download'!B64</f>
        <v>15 – 65</v>
      </c>
      <c r="C55" t="str">
        <f>'2019_4-1-5_Download'!C64</f>
        <v>Hauptschulabschluss</v>
      </c>
      <c r="D55" t="str">
        <f>'2019_4-1-5_Download'!$E$6</f>
        <v>Insgesamt</v>
      </c>
      <c r="E55" t="s">
        <v>83</v>
      </c>
      <c r="F55">
        <f>'2019_4-1-5_Download'!E64</f>
        <v>25.96905957391607</v>
      </c>
    </row>
    <row r="56" spans="1:6" x14ac:dyDescent="0.25">
      <c r="A56" t="str">
        <f>'2019_4-1-5_Download'!D65</f>
        <v>20151)</v>
      </c>
      <c r="B56" t="str">
        <f>'2019_4-1-5_Download'!B65</f>
        <v>18 – 25</v>
      </c>
      <c r="C56" t="str">
        <f>'2019_4-1-5_Download'!C65</f>
        <v>Realschulabschluss</v>
      </c>
      <c r="D56" t="str">
        <f>'2019_4-1-5_Download'!$E$6</f>
        <v>Insgesamt</v>
      </c>
      <c r="E56" t="s">
        <v>83</v>
      </c>
      <c r="F56">
        <f>'2019_4-1-5_Download'!E65</f>
        <v>39.637359980349665</v>
      </c>
    </row>
    <row r="57" spans="1:6" x14ac:dyDescent="0.25">
      <c r="A57" t="str">
        <f>'2019_4-1-5_Download'!D66</f>
        <v>20151)</v>
      </c>
      <c r="B57" t="str">
        <f>'2019_4-1-5_Download'!B66</f>
        <v>25 – 35</v>
      </c>
      <c r="C57" t="str">
        <f>'2019_4-1-5_Download'!C66</f>
        <v>Realschulabschluss</v>
      </c>
      <c r="D57" t="str">
        <f>'2019_4-1-5_Download'!$E$6</f>
        <v>Insgesamt</v>
      </c>
      <c r="E57" t="s">
        <v>83</v>
      </c>
      <c r="F57">
        <f>'2019_4-1-5_Download'!E66</f>
        <v>37.647811592965461</v>
      </c>
    </row>
    <row r="58" spans="1:6" x14ac:dyDescent="0.25">
      <c r="A58" t="str">
        <f>'2019_4-1-5_Download'!D67</f>
        <v>20151)</v>
      </c>
      <c r="B58" t="str">
        <f>'2019_4-1-5_Download'!B67</f>
        <v>15 – 65</v>
      </c>
      <c r="C58" t="str">
        <f>'2019_4-1-5_Download'!C67</f>
        <v>Realschulabschluss</v>
      </c>
      <c r="D58" t="str">
        <f>'2019_4-1-5_Download'!$E$6</f>
        <v>Insgesamt</v>
      </c>
      <c r="E58" t="s">
        <v>83</v>
      </c>
      <c r="F58">
        <f>'2019_4-1-5_Download'!E67</f>
        <v>37.134010687532005</v>
      </c>
    </row>
    <row r="59" spans="1:6" x14ac:dyDescent="0.25">
      <c r="A59" t="str">
        <f>'2019_4-1-5_Download'!D68</f>
        <v>20151)</v>
      </c>
      <c r="B59" t="str">
        <f>'2019_4-1-5_Download'!B68</f>
        <v>18 – 25</v>
      </c>
      <c r="C59" t="str">
        <f>'2019_4-1-5_Download'!C68</f>
        <v>(Fach-)Hochschulreife</v>
      </c>
      <c r="D59" t="str">
        <f>'2019_4-1-5_Download'!$E$6</f>
        <v>Insgesamt</v>
      </c>
      <c r="E59" t="s">
        <v>83</v>
      </c>
      <c r="F59">
        <f>'2019_4-1-5_Download'!E68</f>
        <v>42.624302458384683</v>
      </c>
    </row>
    <row r="60" spans="1:6" x14ac:dyDescent="0.25">
      <c r="A60" t="str">
        <f>'2019_4-1-5_Download'!D69</f>
        <v>20151)</v>
      </c>
      <c r="B60" t="str">
        <f>'2019_4-1-5_Download'!B69</f>
        <v>25 – 35</v>
      </c>
      <c r="C60" t="str">
        <f>'2019_4-1-5_Download'!C69</f>
        <v>(Fach-)Hochschulreife</v>
      </c>
      <c r="D60" t="str">
        <f>'2019_4-1-5_Download'!$E$6</f>
        <v>Insgesamt</v>
      </c>
      <c r="E60" t="s">
        <v>83</v>
      </c>
      <c r="F60">
        <f>'2019_4-1-5_Download'!E69</f>
        <v>43.465603476381609</v>
      </c>
    </row>
    <row r="61" spans="1:6" x14ac:dyDescent="0.25">
      <c r="A61" t="str">
        <f>'2019_4-1-5_Download'!D70</f>
        <v>20151)</v>
      </c>
      <c r="B61" t="str">
        <f>'2019_4-1-5_Download'!B70</f>
        <v>15 – 65</v>
      </c>
      <c r="C61" t="str">
        <f>'2019_4-1-5_Download'!C70</f>
        <v>(Fach-)Hochschulreife</v>
      </c>
      <c r="D61" t="str">
        <f>'2019_4-1-5_Download'!$E$6</f>
        <v>Insgesamt</v>
      </c>
      <c r="E61" t="s">
        <v>83</v>
      </c>
      <c r="F61">
        <f>'2019_4-1-5_Download'!E70</f>
        <v>33.147016083154249</v>
      </c>
    </row>
    <row r="62" spans="1:6" x14ac:dyDescent="0.25">
      <c r="A62" t="str">
        <f>'2019_4-1-5_Download'!D71</f>
        <v>20141)</v>
      </c>
      <c r="B62" t="str">
        <f>'2019_4-1-5_Download'!B71</f>
        <v>18 – 25</v>
      </c>
      <c r="C62" t="str">
        <f>'2019_4-1-5_Download'!C71</f>
        <v>Ohne Abschluss2)</v>
      </c>
      <c r="D62" t="str">
        <f>'2019_4-1-5_Download'!$E$6</f>
        <v>Insgesamt</v>
      </c>
      <c r="E62" t="s">
        <v>83</v>
      </c>
      <c r="F62">
        <f>'2019_4-1-5_Download'!E71</f>
        <v>4.7072389175185236</v>
      </c>
    </row>
    <row r="63" spans="1:6" x14ac:dyDescent="0.25">
      <c r="A63" t="str">
        <f>'2019_4-1-5_Download'!D72</f>
        <v>20141)</v>
      </c>
      <c r="B63" t="str">
        <f>'2019_4-1-5_Download'!B72</f>
        <v>25 – 35</v>
      </c>
      <c r="C63" t="str">
        <f>'2019_4-1-5_Download'!C72</f>
        <v>Ohne Abschluss2)</v>
      </c>
      <c r="D63" t="str">
        <f>'2019_4-1-5_Download'!$E$6</f>
        <v>Insgesamt</v>
      </c>
      <c r="E63" t="s">
        <v>83</v>
      </c>
      <c r="F63">
        <f>'2019_4-1-5_Download'!E72</f>
        <v>3.5305614538994701</v>
      </c>
    </row>
    <row r="64" spans="1:6" x14ac:dyDescent="0.25">
      <c r="A64" t="str">
        <f>'2019_4-1-5_Download'!D73</f>
        <v>20141)</v>
      </c>
      <c r="B64" t="str">
        <f>'2019_4-1-5_Download'!B73</f>
        <v>15 – 65</v>
      </c>
      <c r="C64" t="str">
        <f>'2019_4-1-5_Download'!C73</f>
        <v>Ohne Abschluss2)</v>
      </c>
      <c r="D64" t="str">
        <f>'2019_4-1-5_Download'!$E$6</f>
        <v>Insgesamt</v>
      </c>
      <c r="E64" t="s">
        <v>83</v>
      </c>
      <c r="F64">
        <f>'2019_4-1-5_Download'!E73</f>
        <v>3.627766630117423</v>
      </c>
    </row>
    <row r="65" spans="1:6" x14ac:dyDescent="0.25">
      <c r="A65" t="str">
        <f>'2019_4-1-5_Download'!D74</f>
        <v>20141)</v>
      </c>
      <c r="B65" t="str">
        <f>'2019_4-1-5_Download'!B74</f>
        <v>18 – 25</v>
      </c>
      <c r="C65" t="str">
        <f>'2019_4-1-5_Download'!C74</f>
        <v>Hauptschulabschluss</v>
      </c>
      <c r="D65" t="str">
        <f>'2019_4-1-5_Download'!$E$6</f>
        <v>Insgesamt</v>
      </c>
      <c r="E65" t="s">
        <v>83</v>
      </c>
      <c r="F65">
        <f>'2019_4-1-5_Download'!E74</f>
        <v>14.162073256910157</v>
      </c>
    </row>
    <row r="66" spans="1:6" x14ac:dyDescent="0.25">
      <c r="A66" t="str">
        <f>'2019_4-1-5_Download'!D75</f>
        <v>20141)</v>
      </c>
      <c r="B66" t="str">
        <f>'2019_4-1-5_Download'!B75</f>
        <v>25 – 35</v>
      </c>
      <c r="C66" t="str">
        <f>'2019_4-1-5_Download'!C75</f>
        <v>Hauptschulabschluss</v>
      </c>
      <c r="D66" t="str">
        <f>'2019_4-1-5_Download'!$E$6</f>
        <v>Insgesamt</v>
      </c>
      <c r="E66" t="s">
        <v>83</v>
      </c>
      <c r="F66">
        <f>'2019_4-1-5_Download'!E75</f>
        <v>15.811034028448406</v>
      </c>
    </row>
    <row r="67" spans="1:6" x14ac:dyDescent="0.25">
      <c r="A67" t="str">
        <f>'2019_4-1-5_Download'!D76</f>
        <v>20141)</v>
      </c>
      <c r="B67" t="str">
        <f>'2019_4-1-5_Download'!B76</f>
        <v>15 – 65</v>
      </c>
      <c r="C67" t="str">
        <f>'2019_4-1-5_Download'!C76</f>
        <v>Hauptschulabschluss</v>
      </c>
      <c r="D67" t="str">
        <f>'2019_4-1-5_Download'!$E$6</f>
        <v>Insgesamt</v>
      </c>
      <c r="E67" t="s">
        <v>83</v>
      </c>
      <c r="F67">
        <f>'2019_4-1-5_Download'!E76</f>
        <v>27.412139927408134</v>
      </c>
    </row>
    <row r="68" spans="1:6" x14ac:dyDescent="0.25">
      <c r="A68" t="str">
        <f>'2019_4-1-5_Download'!D77</f>
        <v>20141)</v>
      </c>
      <c r="B68" t="str">
        <f>'2019_4-1-5_Download'!B77</f>
        <v>18 – 25</v>
      </c>
      <c r="C68" t="str">
        <f>'2019_4-1-5_Download'!C77</f>
        <v>Realschulabschluss</v>
      </c>
      <c r="D68" t="str">
        <f>'2019_4-1-5_Download'!$E$6</f>
        <v>Insgesamt</v>
      </c>
      <c r="E68" t="s">
        <v>83</v>
      </c>
      <c r="F68">
        <f>'2019_4-1-5_Download'!E77</f>
        <v>40.471998735048359</v>
      </c>
    </row>
    <row r="69" spans="1:6" x14ac:dyDescent="0.25">
      <c r="A69" t="str">
        <f>'2019_4-1-5_Download'!D78</f>
        <v>20141)</v>
      </c>
      <c r="B69" t="str">
        <f>'2019_4-1-5_Download'!B78</f>
        <v>25 – 35</v>
      </c>
      <c r="C69" t="str">
        <f>'2019_4-1-5_Download'!C78</f>
        <v>Realschulabschluss</v>
      </c>
      <c r="D69" t="str">
        <f>'2019_4-1-5_Download'!$E$6</f>
        <v>Insgesamt</v>
      </c>
      <c r="E69" t="s">
        <v>83</v>
      </c>
      <c r="F69">
        <f>'2019_4-1-5_Download'!E78</f>
        <v>39.24648066622327</v>
      </c>
    </row>
    <row r="70" spans="1:6" x14ac:dyDescent="0.25">
      <c r="A70" t="str">
        <f>'2019_4-1-5_Download'!D79</f>
        <v>20141)</v>
      </c>
      <c r="B70" t="str">
        <f>'2019_4-1-5_Download'!B79</f>
        <v>15 – 65</v>
      </c>
      <c r="C70" t="str">
        <f>'2019_4-1-5_Download'!C79</f>
        <v>Realschulabschluss</v>
      </c>
      <c r="D70" t="str">
        <f>'2019_4-1-5_Download'!$E$6</f>
        <v>Insgesamt</v>
      </c>
      <c r="E70" t="s">
        <v>83</v>
      </c>
      <c r="F70">
        <f>'2019_4-1-5_Download'!E79</f>
        <v>36.90524770746309</v>
      </c>
    </row>
    <row r="71" spans="1:6" x14ac:dyDescent="0.25">
      <c r="A71" t="str">
        <f>'2019_4-1-5_Download'!D80</f>
        <v>20141)</v>
      </c>
      <c r="B71" t="str">
        <f>'2019_4-1-5_Download'!B80</f>
        <v>18 – 25</v>
      </c>
      <c r="C71" t="str">
        <f>'2019_4-1-5_Download'!C80</f>
        <v>(Fach-)Hochschulreife</v>
      </c>
      <c r="D71" t="str">
        <f>'2019_4-1-5_Download'!$E$6</f>
        <v>Insgesamt</v>
      </c>
      <c r="E71" t="s">
        <v>83</v>
      </c>
      <c r="F71">
        <f>'2019_4-1-5_Download'!E80</f>
        <v>40.658687245063632</v>
      </c>
    </row>
    <row r="72" spans="1:6" x14ac:dyDescent="0.25">
      <c r="A72" t="str">
        <f>'2019_4-1-5_Download'!D81</f>
        <v>20141)</v>
      </c>
      <c r="B72" t="str">
        <f>'2019_4-1-5_Download'!B81</f>
        <v>25 – 35</v>
      </c>
      <c r="C72" t="str">
        <f>'2019_4-1-5_Download'!C81</f>
        <v>(Fach-)Hochschulreife</v>
      </c>
      <c r="D72" t="str">
        <f>'2019_4-1-5_Download'!$E$6</f>
        <v>Insgesamt</v>
      </c>
      <c r="E72" t="s">
        <v>83</v>
      </c>
      <c r="F72">
        <f>'2019_4-1-5_Download'!E81</f>
        <v>41.411923851428853</v>
      </c>
    </row>
    <row r="73" spans="1:6" x14ac:dyDescent="0.25">
      <c r="A73" t="str">
        <f>'2019_4-1-5_Download'!D82</f>
        <v>20141)</v>
      </c>
      <c r="B73" t="str">
        <f>'2019_4-1-5_Download'!B82</f>
        <v>15 – 65</v>
      </c>
      <c r="C73" t="str">
        <f>'2019_4-1-5_Download'!C82</f>
        <v>(Fach-)Hochschulreife</v>
      </c>
      <c r="D73" t="str">
        <f>'2019_4-1-5_Download'!$E$6</f>
        <v>Insgesamt</v>
      </c>
      <c r="E73" t="s">
        <v>83</v>
      </c>
      <c r="F73">
        <f>'2019_4-1-5_Download'!E82</f>
        <v>32.054845735011348</v>
      </c>
    </row>
    <row r="74" spans="1:6" x14ac:dyDescent="0.25">
      <c r="A74" t="str">
        <f>'2019_4-1-5_Download'!D83</f>
        <v>20131)</v>
      </c>
      <c r="B74" t="str">
        <f>'2019_4-1-5_Download'!B83</f>
        <v>18 – 25</v>
      </c>
      <c r="C74" t="str">
        <f>'2019_4-1-5_Download'!C83</f>
        <v>Ohne Abschluss2)</v>
      </c>
      <c r="D74" t="str">
        <f>'2019_4-1-5_Download'!$E$6</f>
        <v>Insgesamt</v>
      </c>
      <c r="E74" t="s">
        <v>83</v>
      </c>
      <c r="F74">
        <f>'2019_4-1-5_Download'!E83</f>
        <v>4.5516071754321441</v>
      </c>
    </row>
    <row r="75" spans="1:6" x14ac:dyDescent="0.25">
      <c r="A75" t="str">
        <f>'2019_4-1-5_Download'!D84</f>
        <v>20131)</v>
      </c>
      <c r="B75" t="str">
        <f>'2019_4-1-5_Download'!B84</f>
        <v>25 – 35</v>
      </c>
      <c r="C75" t="str">
        <f>'2019_4-1-5_Download'!C84</f>
        <v>Ohne Abschluss2)</v>
      </c>
      <c r="D75" t="str">
        <f>'2019_4-1-5_Download'!$E$6</f>
        <v>Insgesamt</v>
      </c>
      <c r="E75" t="s">
        <v>83</v>
      </c>
      <c r="F75">
        <f>'2019_4-1-5_Download'!E84</f>
        <v>3.7133488382964872</v>
      </c>
    </row>
    <row r="76" spans="1:6" x14ac:dyDescent="0.25">
      <c r="A76" t="str">
        <f>'2019_4-1-5_Download'!D85</f>
        <v>20131)</v>
      </c>
      <c r="B76" t="str">
        <f>'2019_4-1-5_Download'!B85</f>
        <v>15 – 65</v>
      </c>
      <c r="C76" t="str">
        <f>'2019_4-1-5_Download'!C85</f>
        <v>Ohne Abschluss2)</v>
      </c>
      <c r="D76" t="str">
        <f>'2019_4-1-5_Download'!$E$6</f>
        <v>Insgesamt</v>
      </c>
      <c r="E76" t="s">
        <v>83</v>
      </c>
      <c r="F76">
        <f>'2019_4-1-5_Download'!E85</f>
        <v>3.6458445915334661</v>
      </c>
    </row>
    <row r="77" spans="1:6" x14ac:dyDescent="0.25">
      <c r="A77" t="str">
        <f>'2019_4-1-5_Download'!D86</f>
        <v>20131)</v>
      </c>
      <c r="B77" t="str">
        <f>'2019_4-1-5_Download'!B86</f>
        <v>18 – 25</v>
      </c>
      <c r="C77" t="str">
        <f>'2019_4-1-5_Download'!C86</f>
        <v>Hauptschulabschluss</v>
      </c>
      <c r="D77" t="str">
        <f>'2019_4-1-5_Download'!$E$6</f>
        <v>Insgesamt</v>
      </c>
      <c r="E77" t="s">
        <v>83</v>
      </c>
      <c r="F77">
        <f>'2019_4-1-5_Download'!E86</f>
        <v>15.152677251455742</v>
      </c>
    </row>
    <row r="78" spans="1:6" x14ac:dyDescent="0.25">
      <c r="A78" t="str">
        <f>'2019_4-1-5_Download'!D87</f>
        <v>20131)</v>
      </c>
      <c r="B78" t="str">
        <f>'2019_4-1-5_Download'!B87</f>
        <v>25 – 35</v>
      </c>
      <c r="C78" t="str">
        <f>'2019_4-1-5_Download'!C87</f>
        <v>Hauptschulabschluss</v>
      </c>
      <c r="D78" t="str">
        <f>'2019_4-1-5_Download'!$E$6</f>
        <v>Insgesamt</v>
      </c>
      <c r="E78" t="s">
        <v>83</v>
      </c>
      <c r="F78">
        <f>'2019_4-1-5_Download'!E87</f>
        <v>16.299628531334761</v>
      </c>
    </row>
    <row r="79" spans="1:6" x14ac:dyDescent="0.25">
      <c r="A79" t="str">
        <f>'2019_4-1-5_Download'!D88</f>
        <v>20131)</v>
      </c>
      <c r="B79" t="str">
        <f>'2019_4-1-5_Download'!B88</f>
        <v>15 – 65</v>
      </c>
      <c r="C79" t="str">
        <f>'2019_4-1-5_Download'!C88</f>
        <v>Hauptschulabschluss</v>
      </c>
      <c r="D79" t="str">
        <f>'2019_4-1-5_Download'!$E$6</f>
        <v>Insgesamt</v>
      </c>
      <c r="E79" t="s">
        <v>83</v>
      </c>
      <c r="F79">
        <f>'2019_4-1-5_Download'!E88</f>
        <v>28.473284737732225</v>
      </c>
    </row>
    <row r="80" spans="1:6" x14ac:dyDescent="0.25">
      <c r="A80" t="str">
        <f>'2019_4-1-5_Download'!D89</f>
        <v>20131)</v>
      </c>
      <c r="B80" t="str">
        <f>'2019_4-1-5_Download'!B89</f>
        <v>18 – 25</v>
      </c>
      <c r="C80" t="str">
        <f>'2019_4-1-5_Download'!C89</f>
        <v>Realschulabschluss</v>
      </c>
      <c r="D80" t="str">
        <f>'2019_4-1-5_Download'!$E$6</f>
        <v>Insgesamt</v>
      </c>
      <c r="E80" t="s">
        <v>83</v>
      </c>
      <c r="F80">
        <f>'2019_4-1-5_Download'!E89</f>
        <v>40.417005643047794</v>
      </c>
    </row>
    <row r="81" spans="1:6" x14ac:dyDescent="0.25">
      <c r="A81" t="str">
        <f>'2019_4-1-5_Download'!D90</f>
        <v>20131)</v>
      </c>
      <c r="B81" t="str">
        <f>'2019_4-1-5_Download'!B90</f>
        <v>25 – 35</v>
      </c>
      <c r="C81" t="str">
        <f>'2019_4-1-5_Download'!C90</f>
        <v>Realschulabschluss</v>
      </c>
      <c r="D81" t="str">
        <f>'2019_4-1-5_Download'!$E$6</f>
        <v>Insgesamt</v>
      </c>
      <c r="E81" t="s">
        <v>83</v>
      </c>
      <c r="F81">
        <f>'2019_4-1-5_Download'!E90</f>
        <v>39.44756853898312</v>
      </c>
    </row>
    <row r="82" spans="1:6" x14ac:dyDescent="0.25">
      <c r="A82" t="str">
        <f>'2019_4-1-5_Download'!D91</f>
        <v>20131)</v>
      </c>
      <c r="B82" t="str">
        <f>'2019_4-1-5_Download'!B91</f>
        <v>15 – 65</v>
      </c>
      <c r="C82" t="str">
        <f>'2019_4-1-5_Download'!C91</f>
        <v>Realschulabschluss</v>
      </c>
      <c r="D82" t="str">
        <f>'2019_4-1-5_Download'!$E$6</f>
        <v>Insgesamt</v>
      </c>
      <c r="E82" t="s">
        <v>83</v>
      </c>
      <c r="F82">
        <f>'2019_4-1-5_Download'!E91</f>
        <v>36.169812933436305</v>
      </c>
    </row>
    <row r="83" spans="1:6" x14ac:dyDescent="0.25">
      <c r="A83" t="str">
        <f>'2019_4-1-5_Download'!D92</f>
        <v>20131)</v>
      </c>
      <c r="B83" t="str">
        <f>'2019_4-1-5_Download'!B92</f>
        <v>18 – 25</v>
      </c>
      <c r="C83" t="str">
        <f>'2019_4-1-5_Download'!C92</f>
        <v>(Fach-)Hochschulreife</v>
      </c>
      <c r="D83" t="str">
        <f>'2019_4-1-5_Download'!$E$6</f>
        <v>Insgesamt</v>
      </c>
      <c r="E83" t="s">
        <v>83</v>
      </c>
      <c r="F83">
        <f>'2019_4-1-5_Download'!E92</f>
        <v>39.878709930064325</v>
      </c>
    </row>
    <row r="84" spans="1:6" x14ac:dyDescent="0.25">
      <c r="A84" t="str">
        <f>'2019_4-1-5_Download'!D93</f>
        <v>20131)</v>
      </c>
      <c r="B84" t="str">
        <f>'2019_4-1-5_Download'!B93</f>
        <v>25 – 35</v>
      </c>
      <c r="C84" t="str">
        <f>'2019_4-1-5_Download'!C93</f>
        <v>(Fach-)Hochschulreife</v>
      </c>
      <c r="D84" t="str">
        <f>'2019_4-1-5_Download'!$E$6</f>
        <v>Insgesamt</v>
      </c>
      <c r="E84" t="s">
        <v>83</v>
      </c>
      <c r="F84">
        <f>'2019_4-1-5_Download'!E93</f>
        <v>40.539452945015391</v>
      </c>
    </row>
    <row r="85" spans="1:6" x14ac:dyDescent="0.25">
      <c r="A85" t="str">
        <f>'2019_4-1-5_Download'!D94</f>
        <v>20131)</v>
      </c>
      <c r="B85" t="str">
        <f>'2019_4-1-5_Download'!B94</f>
        <v>15 – 65</v>
      </c>
      <c r="C85" t="str">
        <f>'2019_4-1-5_Download'!C94</f>
        <v>(Fach-)Hochschulreife</v>
      </c>
      <c r="D85" t="str">
        <f>'2019_4-1-5_Download'!$E$6</f>
        <v>Insgesamt</v>
      </c>
      <c r="E85" t="s">
        <v>83</v>
      </c>
      <c r="F85">
        <f>'2019_4-1-5_Download'!E94</f>
        <v>31.711057737298017</v>
      </c>
    </row>
    <row r="86" spans="1:6" x14ac:dyDescent="0.25">
      <c r="A86" t="str">
        <f>'2019_4-1-5_Download'!D95</f>
        <v>20121)</v>
      </c>
      <c r="B86" t="str">
        <f>'2019_4-1-5_Download'!B95</f>
        <v>18 – 25</v>
      </c>
      <c r="C86" t="str">
        <f>'2019_4-1-5_Download'!C95</f>
        <v>Ohne Abschluss2)</v>
      </c>
      <c r="D86" t="str">
        <f>'2019_4-1-5_Download'!$E$6</f>
        <v>Insgesamt</v>
      </c>
      <c r="E86" t="s">
        <v>83</v>
      </c>
      <c r="F86">
        <f>'2019_4-1-5_Download'!E95</f>
        <v>5.2065034980518829</v>
      </c>
    </row>
    <row r="87" spans="1:6" x14ac:dyDescent="0.25">
      <c r="A87" t="str">
        <f>'2019_4-1-5_Download'!D96</f>
        <v>20121)</v>
      </c>
      <c r="B87" t="str">
        <f>'2019_4-1-5_Download'!B96</f>
        <v>25 – 35</v>
      </c>
      <c r="C87" t="str">
        <f>'2019_4-1-5_Download'!C96</f>
        <v>Ohne Abschluss2)</v>
      </c>
      <c r="D87" t="str">
        <f>'2019_4-1-5_Download'!$E$6</f>
        <v>Insgesamt</v>
      </c>
      <c r="E87" t="s">
        <v>83</v>
      </c>
      <c r="F87">
        <f>'2019_4-1-5_Download'!E96</f>
        <v>3.5877623608345308</v>
      </c>
    </row>
    <row r="88" spans="1:6" x14ac:dyDescent="0.25">
      <c r="A88" t="str">
        <f>'2019_4-1-5_Download'!D97</f>
        <v>20121)</v>
      </c>
      <c r="B88" t="str">
        <f>'2019_4-1-5_Download'!B97</f>
        <v>15 – 65</v>
      </c>
      <c r="C88" t="str">
        <f>'2019_4-1-5_Download'!C97</f>
        <v>Ohne Abschluss2)</v>
      </c>
      <c r="D88" t="str">
        <f>'2019_4-1-5_Download'!$E$6</f>
        <v>Insgesamt</v>
      </c>
      <c r="E88" t="s">
        <v>83</v>
      </c>
      <c r="F88">
        <f>'2019_4-1-5_Download'!E97</f>
        <v>3.5978628053990644</v>
      </c>
    </row>
    <row r="89" spans="1:6" x14ac:dyDescent="0.25">
      <c r="A89" t="str">
        <f>'2019_4-1-5_Download'!D98</f>
        <v>20121)</v>
      </c>
      <c r="B89" t="str">
        <f>'2019_4-1-5_Download'!B98</f>
        <v>18 – 25</v>
      </c>
      <c r="C89" t="str">
        <f>'2019_4-1-5_Download'!C98</f>
        <v>Hauptschulabschluss</v>
      </c>
      <c r="D89" t="str">
        <f>'2019_4-1-5_Download'!$E$6</f>
        <v>Insgesamt</v>
      </c>
      <c r="E89" t="s">
        <v>83</v>
      </c>
      <c r="F89">
        <f>'2019_4-1-5_Download'!E98</f>
        <v>16.190244492866064</v>
      </c>
    </row>
    <row r="90" spans="1:6" x14ac:dyDescent="0.25">
      <c r="A90" t="str">
        <f>'2019_4-1-5_Download'!D99</f>
        <v>20121)</v>
      </c>
      <c r="B90" t="str">
        <f>'2019_4-1-5_Download'!B99</f>
        <v>25 – 35</v>
      </c>
      <c r="C90" t="str">
        <f>'2019_4-1-5_Download'!C99</f>
        <v>Hauptschulabschluss</v>
      </c>
      <c r="D90" t="str">
        <f>'2019_4-1-5_Download'!$E$6</f>
        <v>Insgesamt</v>
      </c>
      <c r="E90" t="s">
        <v>83</v>
      </c>
      <c r="F90">
        <f>'2019_4-1-5_Download'!E99</f>
        <v>17.120141511254189</v>
      </c>
    </row>
    <row r="91" spans="1:6" x14ac:dyDescent="0.25">
      <c r="A91" t="str">
        <f>'2019_4-1-5_Download'!D100</f>
        <v>20121)</v>
      </c>
      <c r="B91" t="str">
        <f>'2019_4-1-5_Download'!B100</f>
        <v>15 – 65</v>
      </c>
      <c r="C91" t="str">
        <f>'2019_4-1-5_Download'!C100</f>
        <v>Hauptschulabschluss</v>
      </c>
      <c r="D91" t="str">
        <f>'2019_4-1-5_Download'!$E$6</f>
        <v>Insgesamt</v>
      </c>
      <c r="E91" t="s">
        <v>83</v>
      </c>
      <c r="F91">
        <f>'2019_4-1-5_Download'!E100</f>
        <v>29.807258020777628</v>
      </c>
    </row>
    <row r="92" spans="1:6" x14ac:dyDescent="0.25">
      <c r="A92" t="str">
        <f>'2019_4-1-5_Download'!D101</f>
        <v>20121)</v>
      </c>
      <c r="B92" t="str">
        <f>'2019_4-1-5_Download'!B101</f>
        <v>18 – 25</v>
      </c>
      <c r="C92" t="str">
        <f>'2019_4-1-5_Download'!C101</f>
        <v>Realschulabschluss</v>
      </c>
      <c r="D92" t="str">
        <f>'2019_4-1-5_Download'!$E$6</f>
        <v>Insgesamt</v>
      </c>
      <c r="E92" t="s">
        <v>83</v>
      </c>
      <c r="F92">
        <f>'2019_4-1-5_Download'!E101</f>
        <v>42.080561444794476</v>
      </c>
    </row>
    <row r="93" spans="1:6" x14ac:dyDescent="0.25">
      <c r="A93" t="str">
        <f>'2019_4-1-5_Download'!D102</f>
        <v>20121)</v>
      </c>
      <c r="B93" t="str">
        <f>'2019_4-1-5_Download'!B102</f>
        <v>25 – 35</v>
      </c>
      <c r="C93" t="str">
        <f>'2019_4-1-5_Download'!C102</f>
        <v>Realschulabschluss</v>
      </c>
      <c r="D93" t="str">
        <f>'2019_4-1-5_Download'!$E$6</f>
        <v>Insgesamt</v>
      </c>
      <c r="E93" t="s">
        <v>83</v>
      </c>
      <c r="F93">
        <f>'2019_4-1-5_Download'!E102</f>
        <v>40.191422183138876</v>
      </c>
    </row>
    <row r="94" spans="1:6" x14ac:dyDescent="0.25">
      <c r="A94" t="str">
        <f>'2019_4-1-5_Download'!D103</f>
        <v>20121)</v>
      </c>
      <c r="B94" t="str">
        <f>'2019_4-1-5_Download'!B103</f>
        <v>15 – 65</v>
      </c>
      <c r="C94" t="str">
        <f>'2019_4-1-5_Download'!C103</f>
        <v>Realschulabschluss</v>
      </c>
      <c r="D94" t="str">
        <f>'2019_4-1-5_Download'!$E$6</f>
        <v>Insgesamt</v>
      </c>
      <c r="E94" t="s">
        <v>83</v>
      </c>
      <c r="F94">
        <f>'2019_4-1-5_Download'!E103</f>
        <v>36.096206100057415</v>
      </c>
    </row>
    <row r="95" spans="1:6" x14ac:dyDescent="0.25">
      <c r="A95" t="str">
        <f>'2019_4-1-5_Download'!D104</f>
        <v>20121)</v>
      </c>
      <c r="B95" t="str">
        <f>'2019_4-1-5_Download'!B104</f>
        <v>18 – 25</v>
      </c>
      <c r="C95" t="str">
        <f>'2019_4-1-5_Download'!C104</f>
        <v>(Fach-)Hochschulreife</v>
      </c>
      <c r="D95" t="str">
        <f>'2019_4-1-5_Download'!$E$6</f>
        <v>Insgesamt</v>
      </c>
      <c r="E95" t="s">
        <v>83</v>
      </c>
      <c r="F95">
        <f>'2019_4-1-5_Download'!E104</f>
        <v>36.522690564287579</v>
      </c>
    </row>
    <row r="96" spans="1:6" x14ac:dyDescent="0.25">
      <c r="A96" t="str">
        <f>'2019_4-1-5_Download'!D105</f>
        <v>20121)</v>
      </c>
      <c r="B96" t="str">
        <f>'2019_4-1-5_Download'!B105</f>
        <v>25 – 35</v>
      </c>
      <c r="C96" t="str">
        <f>'2019_4-1-5_Download'!C105</f>
        <v>(Fach-)Hochschulreife</v>
      </c>
      <c r="D96" t="str">
        <f>'2019_4-1-5_Download'!$E$6</f>
        <v>Insgesamt</v>
      </c>
      <c r="E96" t="s">
        <v>83</v>
      </c>
      <c r="F96">
        <f>'2019_4-1-5_Download'!E105</f>
        <v>39.100673944772396</v>
      </c>
    </row>
    <row r="97" spans="1:6" x14ac:dyDescent="0.25">
      <c r="A97" t="str">
        <f>'2019_4-1-5_Download'!D106</f>
        <v>20121)</v>
      </c>
      <c r="B97" t="str">
        <f>'2019_4-1-5_Download'!B106</f>
        <v>15 – 65</v>
      </c>
      <c r="C97" t="str">
        <f>'2019_4-1-5_Download'!C106</f>
        <v>(Fach-)Hochschulreife</v>
      </c>
      <c r="D97" t="str">
        <f>'2019_4-1-5_Download'!$E$6</f>
        <v>Insgesamt</v>
      </c>
      <c r="E97" t="s">
        <v>83</v>
      </c>
      <c r="F97">
        <f>'2019_4-1-5_Download'!E106</f>
        <v>30.498672863117111</v>
      </c>
    </row>
    <row r="98" spans="1:6" x14ac:dyDescent="0.25">
      <c r="A98" t="str">
        <f>'2019_4-1-5_Download'!D107</f>
        <v>20111)</v>
      </c>
      <c r="B98" t="str">
        <f>'2019_4-1-5_Download'!B107</f>
        <v>18 – 25</v>
      </c>
      <c r="C98" t="str">
        <f>'2019_4-1-5_Download'!C107</f>
        <v>Ohne Abschluss2)</v>
      </c>
      <c r="D98" t="str">
        <f>'2019_4-1-5_Download'!$E$6</f>
        <v>Insgesamt</v>
      </c>
      <c r="E98" t="s">
        <v>83</v>
      </c>
      <c r="F98">
        <f>'2019_4-1-5_Download'!E107</f>
        <v>4.680199803458887</v>
      </c>
    </row>
    <row r="99" spans="1:6" x14ac:dyDescent="0.25">
      <c r="A99" t="str">
        <f>'2019_4-1-5_Download'!D108</f>
        <v>20111)</v>
      </c>
      <c r="B99" t="str">
        <f>'2019_4-1-5_Download'!B108</f>
        <v>25 – 35</v>
      </c>
      <c r="C99" t="str">
        <f>'2019_4-1-5_Download'!C108</f>
        <v>Ohne Abschluss2)</v>
      </c>
      <c r="D99" t="str">
        <f>'2019_4-1-5_Download'!$E$6</f>
        <v>Insgesamt</v>
      </c>
      <c r="E99" t="s">
        <v>83</v>
      </c>
      <c r="F99">
        <f>'2019_4-1-5_Download'!E108</f>
        <v>3.4533060936328104</v>
      </c>
    </row>
    <row r="100" spans="1:6" x14ac:dyDescent="0.25">
      <c r="A100" t="str">
        <f>'2019_4-1-5_Download'!D109</f>
        <v>20111)</v>
      </c>
      <c r="B100" t="str">
        <f>'2019_4-1-5_Download'!B109</f>
        <v>15 – 65</v>
      </c>
      <c r="C100" t="str">
        <f>'2019_4-1-5_Download'!C109</f>
        <v>Ohne Abschluss2)</v>
      </c>
      <c r="D100" t="str">
        <f>'2019_4-1-5_Download'!$E$6</f>
        <v>Insgesamt</v>
      </c>
      <c r="E100" t="s">
        <v>83</v>
      </c>
      <c r="F100">
        <f>'2019_4-1-5_Download'!E109</f>
        <v>3.6688820899064702</v>
      </c>
    </row>
    <row r="101" spans="1:6" x14ac:dyDescent="0.25">
      <c r="A101" t="str">
        <f>'2019_4-1-5_Download'!D110</f>
        <v>20111)</v>
      </c>
      <c r="B101" t="str">
        <f>'2019_4-1-5_Download'!B110</f>
        <v>18 – 25</v>
      </c>
      <c r="C101" t="str">
        <f>'2019_4-1-5_Download'!C110</f>
        <v>Hauptschulabschluss</v>
      </c>
      <c r="D101" t="str">
        <f>'2019_4-1-5_Download'!$E$6</f>
        <v>Insgesamt</v>
      </c>
      <c r="E101" t="s">
        <v>83</v>
      </c>
      <c r="F101">
        <f>'2019_4-1-5_Download'!E110</f>
        <v>17.513989203262025</v>
      </c>
    </row>
    <row r="102" spans="1:6" x14ac:dyDescent="0.25">
      <c r="A102" t="str">
        <f>'2019_4-1-5_Download'!D111</f>
        <v>20111)</v>
      </c>
      <c r="B102" t="str">
        <f>'2019_4-1-5_Download'!B111</f>
        <v>25 – 35</v>
      </c>
      <c r="C102" t="str">
        <f>'2019_4-1-5_Download'!C111</f>
        <v>Hauptschulabschluss</v>
      </c>
      <c r="D102" t="str">
        <f>'2019_4-1-5_Download'!$E$6</f>
        <v>Insgesamt</v>
      </c>
      <c r="E102" t="s">
        <v>83</v>
      </c>
      <c r="F102">
        <f>'2019_4-1-5_Download'!E111</f>
        <v>18.39174153733941</v>
      </c>
    </row>
    <row r="103" spans="1:6" x14ac:dyDescent="0.25">
      <c r="A103" t="str">
        <f>'2019_4-1-5_Download'!D112</f>
        <v>20111)</v>
      </c>
      <c r="B103" t="str">
        <f>'2019_4-1-5_Download'!B112</f>
        <v>15 – 65</v>
      </c>
      <c r="C103" t="str">
        <f>'2019_4-1-5_Download'!C112</f>
        <v>Hauptschulabschluss</v>
      </c>
      <c r="D103" t="str">
        <f>'2019_4-1-5_Download'!$E$6</f>
        <v>Insgesamt</v>
      </c>
      <c r="E103" t="s">
        <v>83</v>
      </c>
      <c r="F103">
        <f>'2019_4-1-5_Download'!E112</f>
        <v>31.149509620007436</v>
      </c>
    </row>
    <row r="104" spans="1:6" x14ac:dyDescent="0.25">
      <c r="A104" t="str">
        <f>'2019_4-1-5_Download'!D113</f>
        <v>20111)</v>
      </c>
      <c r="B104" t="str">
        <f>'2019_4-1-5_Download'!B113</f>
        <v>18 – 25</v>
      </c>
      <c r="C104" t="str">
        <f>'2019_4-1-5_Download'!C113</f>
        <v>Realschulabschluss</v>
      </c>
      <c r="D104" t="str">
        <f>'2019_4-1-5_Download'!$E$6</f>
        <v>Insgesamt</v>
      </c>
      <c r="E104" t="s">
        <v>83</v>
      </c>
      <c r="F104">
        <f>'2019_4-1-5_Download'!E113</f>
        <v>42.493870549586831</v>
      </c>
    </row>
    <row r="105" spans="1:6" x14ac:dyDescent="0.25">
      <c r="A105" t="str">
        <f>'2019_4-1-5_Download'!D114</f>
        <v>20111)</v>
      </c>
      <c r="B105" t="str">
        <f>'2019_4-1-5_Download'!B114</f>
        <v>25 – 35</v>
      </c>
      <c r="C105" t="str">
        <f>'2019_4-1-5_Download'!C114</f>
        <v>Realschulabschluss</v>
      </c>
      <c r="D105" t="str">
        <f>'2019_4-1-5_Download'!$E$6</f>
        <v>Insgesamt</v>
      </c>
      <c r="E105" t="s">
        <v>83</v>
      </c>
      <c r="F105">
        <f>'2019_4-1-5_Download'!E114</f>
        <v>40.125448128344885</v>
      </c>
    </row>
    <row r="106" spans="1:6" x14ac:dyDescent="0.25">
      <c r="A106" t="str">
        <f>'2019_4-1-5_Download'!D115</f>
        <v>20111)</v>
      </c>
      <c r="B106" t="str">
        <f>'2019_4-1-5_Download'!B115</f>
        <v>15 – 65</v>
      </c>
      <c r="C106" t="str">
        <f>'2019_4-1-5_Download'!C115</f>
        <v>Realschulabschluss</v>
      </c>
      <c r="D106" t="str">
        <f>'2019_4-1-5_Download'!$E$6</f>
        <v>Insgesamt</v>
      </c>
      <c r="E106" t="s">
        <v>83</v>
      </c>
      <c r="F106">
        <f>'2019_4-1-5_Download'!E115</f>
        <v>35.548730586857872</v>
      </c>
    </row>
    <row r="107" spans="1:6" x14ac:dyDescent="0.25">
      <c r="A107" t="str">
        <f>'2019_4-1-5_Download'!D116</f>
        <v>20111)</v>
      </c>
      <c r="B107" t="str">
        <f>'2019_4-1-5_Download'!B116</f>
        <v>18 – 25</v>
      </c>
      <c r="C107" t="str">
        <f>'2019_4-1-5_Download'!C116</f>
        <v>(Fach-)Hochschulreife</v>
      </c>
      <c r="D107" t="str">
        <f>'2019_4-1-5_Download'!$E$6</f>
        <v>Insgesamt</v>
      </c>
      <c r="E107" t="s">
        <v>83</v>
      </c>
      <c r="F107">
        <f>'2019_4-1-5_Download'!E116</f>
        <v>35.311942262574242</v>
      </c>
    </row>
    <row r="108" spans="1:6" x14ac:dyDescent="0.25">
      <c r="A108" t="str">
        <f>'2019_4-1-5_Download'!D117</f>
        <v>20111)</v>
      </c>
      <c r="B108" t="str">
        <f>'2019_4-1-5_Download'!B117</f>
        <v>25 – 35</v>
      </c>
      <c r="C108" t="str">
        <f>'2019_4-1-5_Download'!C117</f>
        <v>(Fach-)Hochschulreife</v>
      </c>
      <c r="D108" t="str">
        <f>'2019_4-1-5_Download'!$E$6</f>
        <v>Insgesamt</v>
      </c>
      <c r="E108" t="s">
        <v>83</v>
      </c>
      <c r="F108">
        <f>'2019_4-1-5_Download'!E117</f>
        <v>38.029503052297244</v>
      </c>
    </row>
    <row r="109" spans="1:6" x14ac:dyDescent="0.25">
      <c r="A109" t="str">
        <f>'2019_4-1-5_Download'!D118</f>
        <v>20111)</v>
      </c>
      <c r="B109" t="str">
        <f>'2019_4-1-5_Download'!B118</f>
        <v>15 – 65</v>
      </c>
      <c r="C109" t="str">
        <f>'2019_4-1-5_Download'!C118</f>
        <v>(Fach-)Hochschulreife</v>
      </c>
      <c r="D109" t="str">
        <f>'2019_4-1-5_Download'!$E$6</f>
        <v>Insgesamt</v>
      </c>
      <c r="E109" t="s">
        <v>83</v>
      </c>
      <c r="F109">
        <f>'2019_4-1-5_Download'!E118</f>
        <v>29.632877703228218</v>
      </c>
    </row>
    <row r="110" spans="1:6" x14ac:dyDescent="0.25">
      <c r="A110">
        <f>'2019_4-1-5_Download'!D119</f>
        <v>2010</v>
      </c>
      <c r="B110" t="str">
        <f>'2019_4-1-5_Download'!B119</f>
        <v>18 – 25</v>
      </c>
      <c r="C110" t="str">
        <f>'2019_4-1-5_Download'!C119</f>
        <v>Ohne Abschluss2)</v>
      </c>
      <c r="D110" t="str">
        <f>'2019_4-1-5_Download'!$E$6</f>
        <v>Insgesamt</v>
      </c>
      <c r="E110" t="s">
        <v>83</v>
      </c>
      <c r="F110">
        <f>'2019_4-1-5_Download'!E119</f>
        <v>4.9874117949920072</v>
      </c>
    </row>
    <row r="111" spans="1:6" x14ac:dyDescent="0.25">
      <c r="A111">
        <f>'2019_4-1-5_Download'!D120</f>
        <v>2010</v>
      </c>
      <c r="B111" t="str">
        <f>'2019_4-1-5_Download'!B120</f>
        <v>25 – 35</v>
      </c>
      <c r="C111" t="str">
        <f>'2019_4-1-5_Download'!C120</f>
        <v>Ohne Abschluss2)</v>
      </c>
      <c r="D111" t="str">
        <f>'2019_4-1-5_Download'!$E$6</f>
        <v>Insgesamt</v>
      </c>
      <c r="E111" t="s">
        <v>83</v>
      </c>
      <c r="F111">
        <f>'2019_4-1-5_Download'!E120</f>
        <v>3.8616844005459012</v>
      </c>
    </row>
    <row r="112" spans="1:6" x14ac:dyDescent="0.25">
      <c r="A112">
        <f>'2019_4-1-5_Download'!D121</f>
        <v>2010</v>
      </c>
      <c r="B112" t="str">
        <f>'2019_4-1-5_Download'!B121</f>
        <v>15 – 65</v>
      </c>
      <c r="C112" t="str">
        <f>'2019_4-1-5_Download'!C121</f>
        <v>Ohne Abschluss2)</v>
      </c>
      <c r="D112" t="str">
        <f>'2019_4-1-5_Download'!$E$6</f>
        <v>Insgesamt</v>
      </c>
      <c r="E112" t="s">
        <v>83</v>
      </c>
      <c r="F112">
        <f>'2019_4-1-5_Download'!E121</f>
        <v>4.1433035191685352</v>
      </c>
    </row>
    <row r="113" spans="1:6" x14ac:dyDescent="0.25">
      <c r="A113">
        <f>'2019_4-1-5_Download'!D122</f>
        <v>2010</v>
      </c>
      <c r="B113" t="str">
        <f>'2019_4-1-5_Download'!B122</f>
        <v>18 – 25</v>
      </c>
      <c r="C113" t="str">
        <f>'2019_4-1-5_Download'!C122</f>
        <v>Hauptschulabschluss</v>
      </c>
      <c r="D113" t="str">
        <f>'2019_4-1-5_Download'!$E$6</f>
        <v>Insgesamt</v>
      </c>
      <c r="E113" t="s">
        <v>83</v>
      </c>
      <c r="F113">
        <f>'2019_4-1-5_Download'!E122</f>
        <v>17.791278195878107</v>
      </c>
    </row>
    <row r="114" spans="1:6" x14ac:dyDescent="0.25">
      <c r="A114">
        <f>'2019_4-1-5_Download'!D123</f>
        <v>2010</v>
      </c>
      <c r="B114" t="str">
        <f>'2019_4-1-5_Download'!B123</f>
        <v>25 – 35</v>
      </c>
      <c r="C114" t="str">
        <f>'2019_4-1-5_Download'!C123</f>
        <v>Hauptschulabschluss</v>
      </c>
      <c r="D114" t="str">
        <f>'2019_4-1-5_Download'!$E$6</f>
        <v>Insgesamt</v>
      </c>
      <c r="E114" t="s">
        <v>83</v>
      </c>
      <c r="F114">
        <f>'2019_4-1-5_Download'!E123</f>
        <v>19.262535014414681</v>
      </c>
    </row>
    <row r="115" spans="1:6" x14ac:dyDescent="0.25">
      <c r="A115">
        <f>'2019_4-1-5_Download'!D124</f>
        <v>2010</v>
      </c>
      <c r="B115" t="str">
        <f>'2019_4-1-5_Download'!B124</f>
        <v>15 – 65</v>
      </c>
      <c r="C115" t="str">
        <f>'2019_4-1-5_Download'!C124</f>
        <v>Hauptschulabschluss</v>
      </c>
      <c r="D115" t="str">
        <f>'2019_4-1-5_Download'!$E$6</f>
        <v>Insgesamt</v>
      </c>
      <c r="E115" t="s">
        <v>83</v>
      </c>
      <c r="F115">
        <f>'2019_4-1-5_Download'!E124</f>
        <v>32.035128689761962</v>
      </c>
    </row>
    <row r="116" spans="1:6" x14ac:dyDescent="0.25">
      <c r="A116">
        <f>'2019_4-1-5_Download'!D125</f>
        <v>2010</v>
      </c>
      <c r="B116" t="str">
        <f>'2019_4-1-5_Download'!B125</f>
        <v>18 – 25</v>
      </c>
      <c r="C116" t="str">
        <f>'2019_4-1-5_Download'!C125</f>
        <v>Realschulabschluss</v>
      </c>
      <c r="D116" t="str">
        <f>'2019_4-1-5_Download'!$E$6</f>
        <v>Insgesamt</v>
      </c>
      <c r="E116" t="s">
        <v>83</v>
      </c>
      <c r="F116">
        <f>'2019_4-1-5_Download'!E125</f>
        <v>45.129754320330797</v>
      </c>
    </row>
    <row r="117" spans="1:6" x14ac:dyDescent="0.25">
      <c r="A117">
        <f>'2019_4-1-5_Download'!D126</f>
        <v>2010</v>
      </c>
      <c r="B117" t="str">
        <f>'2019_4-1-5_Download'!B126</f>
        <v>25 – 35</v>
      </c>
      <c r="C117" t="str">
        <f>'2019_4-1-5_Download'!C126</f>
        <v>Realschulabschluss</v>
      </c>
      <c r="D117" t="str">
        <f>'2019_4-1-5_Download'!$E$6</f>
        <v>Insgesamt</v>
      </c>
      <c r="E117" t="s">
        <v>83</v>
      </c>
      <c r="F117">
        <f>'2019_4-1-5_Download'!E126</f>
        <v>39.009639719431668</v>
      </c>
    </row>
    <row r="118" spans="1:6" x14ac:dyDescent="0.25">
      <c r="A118">
        <f>'2019_4-1-5_Download'!D127</f>
        <v>2010</v>
      </c>
      <c r="B118" t="str">
        <f>'2019_4-1-5_Download'!B127</f>
        <v>15 – 65</v>
      </c>
      <c r="C118" t="str">
        <f>'2019_4-1-5_Download'!C127</f>
        <v>Realschulabschluss</v>
      </c>
      <c r="D118" t="str">
        <f>'2019_4-1-5_Download'!$E$6</f>
        <v>Insgesamt</v>
      </c>
      <c r="E118" t="s">
        <v>83</v>
      </c>
      <c r="F118">
        <f>'2019_4-1-5_Download'!E127</f>
        <v>35.465020872438728</v>
      </c>
    </row>
    <row r="119" spans="1:6" x14ac:dyDescent="0.25">
      <c r="A119">
        <f>'2019_4-1-5_Download'!D128</f>
        <v>2010</v>
      </c>
      <c r="B119" t="str">
        <f>'2019_4-1-5_Download'!B128</f>
        <v>18 – 25</v>
      </c>
      <c r="C119" t="str">
        <f>'2019_4-1-5_Download'!C128</f>
        <v>(Fach-)Hochschulreife</v>
      </c>
      <c r="D119" t="str">
        <f>'2019_4-1-5_Download'!$E$6</f>
        <v>Insgesamt</v>
      </c>
      <c r="E119" t="s">
        <v>83</v>
      </c>
      <c r="F119">
        <f>'2019_4-1-5_Download'!E128</f>
        <v>32.09155568879909</v>
      </c>
    </row>
    <row r="120" spans="1:6" x14ac:dyDescent="0.25">
      <c r="A120">
        <f>'2019_4-1-5_Download'!D129</f>
        <v>2010</v>
      </c>
      <c r="B120" t="str">
        <f>'2019_4-1-5_Download'!B129</f>
        <v>25 – 35</v>
      </c>
      <c r="C120" t="str">
        <f>'2019_4-1-5_Download'!C129</f>
        <v>(Fach-)Hochschulreife</v>
      </c>
      <c r="D120" t="str">
        <f>'2019_4-1-5_Download'!$E$6</f>
        <v>Insgesamt</v>
      </c>
      <c r="E120" t="s">
        <v>83</v>
      </c>
      <c r="F120">
        <f>'2019_4-1-5_Download'!E129</f>
        <v>37.866140865607754</v>
      </c>
    </row>
    <row r="121" spans="1:6" x14ac:dyDescent="0.25">
      <c r="A121">
        <f>'2019_4-1-5_Download'!D130</f>
        <v>2010</v>
      </c>
      <c r="B121" t="str">
        <f>'2019_4-1-5_Download'!B130</f>
        <v>15 – 65</v>
      </c>
      <c r="C121" t="str">
        <f>'2019_4-1-5_Download'!C130</f>
        <v>(Fach-)Hochschulreife</v>
      </c>
      <c r="D121" t="str">
        <f>'2019_4-1-5_Download'!$E$6</f>
        <v>Insgesamt</v>
      </c>
      <c r="E121" t="s">
        <v>83</v>
      </c>
      <c r="F121">
        <f>'2019_4-1-5_Download'!E130</f>
        <v>28.35654691863078</v>
      </c>
    </row>
    <row r="122" spans="1:6" x14ac:dyDescent="0.25">
      <c r="A122">
        <f>'2019_4-1-5_Download'!D131</f>
        <v>2006</v>
      </c>
      <c r="B122" t="str">
        <f>'2019_4-1-5_Download'!B131</f>
        <v>18 – 25</v>
      </c>
      <c r="C122" t="str">
        <f>'2019_4-1-5_Download'!C131</f>
        <v>Ohne Abschluss2)</v>
      </c>
      <c r="D122" t="str">
        <f>'2019_4-1-5_Download'!$E$6</f>
        <v>Insgesamt</v>
      </c>
      <c r="E122" t="s">
        <v>83</v>
      </c>
      <c r="F122">
        <f>'2019_4-1-5_Download'!E131</f>
        <v>4.2515483686383551</v>
      </c>
    </row>
    <row r="123" spans="1:6" x14ac:dyDescent="0.25">
      <c r="A123">
        <f>'2019_4-1-5_Download'!D132</f>
        <v>2006</v>
      </c>
      <c r="B123" t="str">
        <f>'2019_4-1-5_Download'!B132</f>
        <v>25 – 35</v>
      </c>
      <c r="C123" t="str">
        <f>'2019_4-1-5_Download'!C132</f>
        <v>Ohne Abschluss2)</v>
      </c>
      <c r="D123" t="str">
        <f>'2019_4-1-5_Download'!$E$6</f>
        <v>Insgesamt</v>
      </c>
      <c r="E123" t="s">
        <v>83</v>
      </c>
      <c r="F123">
        <f>'2019_4-1-5_Download'!E132</f>
        <v>4.2461545108542014</v>
      </c>
    </row>
    <row r="124" spans="1:6" x14ac:dyDescent="0.25">
      <c r="A124">
        <f>'2019_4-1-5_Download'!D133</f>
        <v>2006</v>
      </c>
      <c r="B124" t="str">
        <f>'2019_4-1-5_Download'!B133</f>
        <v>15 – 65</v>
      </c>
      <c r="C124" t="str">
        <f>'2019_4-1-5_Download'!C133</f>
        <v>Ohne Abschluss2)</v>
      </c>
      <c r="D124" t="str">
        <f>'2019_4-1-5_Download'!$E$6</f>
        <v>Insgesamt</v>
      </c>
      <c r="E124" t="s">
        <v>83</v>
      </c>
      <c r="F124">
        <f>'2019_4-1-5_Download'!E133</f>
        <v>3.6585443550533352</v>
      </c>
    </row>
    <row r="125" spans="1:6" x14ac:dyDescent="0.25">
      <c r="A125">
        <f>'2019_4-1-5_Download'!D134</f>
        <v>2006</v>
      </c>
      <c r="B125" t="str">
        <f>'2019_4-1-5_Download'!B134</f>
        <v>18 – 25</v>
      </c>
      <c r="C125" t="str">
        <f>'2019_4-1-5_Download'!C134</f>
        <v>Hauptschulabschluss</v>
      </c>
      <c r="D125" t="str">
        <f>'2019_4-1-5_Download'!$E$6</f>
        <v>Insgesamt</v>
      </c>
      <c r="E125" t="s">
        <v>83</v>
      </c>
      <c r="F125">
        <f>'2019_4-1-5_Download'!E134</f>
        <v>21.24245611492627</v>
      </c>
    </row>
    <row r="126" spans="1:6" x14ac:dyDescent="0.25">
      <c r="A126">
        <f>'2019_4-1-5_Download'!D135</f>
        <v>2006</v>
      </c>
      <c r="B126" t="str">
        <f>'2019_4-1-5_Download'!B135</f>
        <v>25 – 35</v>
      </c>
      <c r="C126" t="str">
        <f>'2019_4-1-5_Download'!C135</f>
        <v>Hauptschulabschluss</v>
      </c>
      <c r="D126" t="str">
        <f>'2019_4-1-5_Download'!$E$6</f>
        <v>Insgesamt</v>
      </c>
      <c r="E126" t="s">
        <v>83</v>
      </c>
      <c r="F126">
        <f>'2019_4-1-5_Download'!E135</f>
        <v>22.49725860077508</v>
      </c>
    </row>
    <row r="127" spans="1:6" x14ac:dyDescent="0.25">
      <c r="A127">
        <f>'2019_4-1-5_Download'!D136</f>
        <v>2006</v>
      </c>
      <c r="B127" t="str">
        <f>'2019_4-1-5_Download'!B136</f>
        <v>15 – 65</v>
      </c>
      <c r="C127" t="str">
        <f>'2019_4-1-5_Download'!C136</f>
        <v>Hauptschulabschluss</v>
      </c>
      <c r="D127" t="str">
        <f>'2019_4-1-5_Download'!$E$6</f>
        <v>Insgesamt</v>
      </c>
      <c r="E127" t="s">
        <v>83</v>
      </c>
      <c r="F127">
        <f>'2019_4-1-5_Download'!E136</f>
        <v>36.725558738920071</v>
      </c>
    </row>
    <row r="128" spans="1:6" x14ac:dyDescent="0.25">
      <c r="A128">
        <f>'2019_4-1-5_Download'!D137</f>
        <v>2006</v>
      </c>
      <c r="B128" t="str">
        <f>'2019_4-1-5_Download'!B137</f>
        <v>18 – 25</v>
      </c>
      <c r="C128" t="str">
        <f>'2019_4-1-5_Download'!C137</f>
        <v>Realschulabschluss</v>
      </c>
      <c r="D128" t="str">
        <f>'2019_4-1-5_Download'!$E$6</f>
        <v>Insgesamt</v>
      </c>
      <c r="E128" t="s">
        <v>83</v>
      </c>
      <c r="F128">
        <f>'2019_4-1-5_Download'!E137</f>
        <v>45.161113630200795</v>
      </c>
    </row>
    <row r="129" spans="1:6" x14ac:dyDescent="0.25">
      <c r="A129">
        <f>'2019_4-1-5_Download'!D138</f>
        <v>2006</v>
      </c>
      <c r="B129" t="str">
        <f>'2019_4-1-5_Download'!B138</f>
        <v>25 – 35</v>
      </c>
      <c r="C129" t="str">
        <f>'2019_4-1-5_Download'!C138</f>
        <v>Realschulabschluss</v>
      </c>
      <c r="D129" t="str">
        <f>'2019_4-1-5_Download'!$E$6</f>
        <v>Insgesamt</v>
      </c>
      <c r="E129" t="s">
        <v>83</v>
      </c>
      <c r="F129">
        <f>'2019_4-1-5_Download'!E138</f>
        <v>39.596256021879555</v>
      </c>
    </row>
    <row r="130" spans="1:6" x14ac:dyDescent="0.25">
      <c r="A130">
        <f>'2019_4-1-5_Download'!D139</f>
        <v>2006</v>
      </c>
      <c r="B130" t="str">
        <f>'2019_4-1-5_Download'!B139</f>
        <v>15 – 65</v>
      </c>
      <c r="C130" t="str">
        <f>'2019_4-1-5_Download'!C139</f>
        <v>Realschulabschluss</v>
      </c>
      <c r="D130" t="str">
        <f>'2019_4-1-5_Download'!$E$6</f>
        <v>Insgesamt</v>
      </c>
      <c r="E130" t="s">
        <v>83</v>
      </c>
      <c r="F130">
        <f>'2019_4-1-5_Download'!E139</f>
        <v>34.009697900806025</v>
      </c>
    </row>
    <row r="131" spans="1:6" x14ac:dyDescent="0.25">
      <c r="A131">
        <f>'2019_4-1-5_Download'!D140</f>
        <v>2006</v>
      </c>
      <c r="B131" t="str">
        <f>'2019_4-1-5_Download'!B140</f>
        <v>18 – 25</v>
      </c>
      <c r="C131" t="str">
        <f>'2019_4-1-5_Download'!C140</f>
        <v>(Fach-)Hochschulreife</v>
      </c>
      <c r="D131" t="str">
        <f>'2019_4-1-5_Download'!$E$6</f>
        <v>Insgesamt</v>
      </c>
      <c r="E131" t="s">
        <v>83</v>
      </c>
      <c r="F131">
        <f>'2019_4-1-5_Download'!E140</f>
        <v>29.344881886234596</v>
      </c>
    </row>
    <row r="132" spans="1:6" x14ac:dyDescent="0.25">
      <c r="A132">
        <f>'2019_4-1-5_Download'!D141</f>
        <v>2006</v>
      </c>
      <c r="B132" t="str">
        <f>'2019_4-1-5_Download'!B141</f>
        <v>25 – 35</v>
      </c>
      <c r="C132" t="str">
        <f>'2019_4-1-5_Download'!C141</f>
        <v>(Fach-)Hochschulreife</v>
      </c>
      <c r="D132" t="str">
        <f>'2019_4-1-5_Download'!$E$6</f>
        <v>Insgesamt</v>
      </c>
      <c r="E132" t="s">
        <v>83</v>
      </c>
      <c r="F132">
        <f>'2019_4-1-5_Download'!E141</f>
        <v>33.660330866491151</v>
      </c>
    </row>
    <row r="133" spans="1:6" x14ac:dyDescent="0.25">
      <c r="A133">
        <f>'2019_4-1-5_Download'!D142</f>
        <v>2006</v>
      </c>
      <c r="B133" t="str">
        <f>'2019_4-1-5_Download'!B142</f>
        <v>15 – 65</v>
      </c>
      <c r="C133" t="str">
        <f>'2019_4-1-5_Download'!C142</f>
        <v>(Fach-)Hochschulreife</v>
      </c>
      <c r="D133" t="str">
        <f>'2019_4-1-5_Download'!$E$6</f>
        <v>Insgesamt</v>
      </c>
      <c r="E133" t="s">
        <v>83</v>
      </c>
      <c r="F133">
        <f>'2019_4-1-5_Download'!E142</f>
        <v>25.606199005220553</v>
      </c>
    </row>
    <row r="134" spans="1:6" x14ac:dyDescent="0.25">
      <c r="A134">
        <f>'2019_4-1-5_Download'!D143</f>
        <v>2005</v>
      </c>
      <c r="B134" t="str">
        <f>'2019_4-1-5_Download'!B143</f>
        <v>18 – 25</v>
      </c>
      <c r="C134" t="str">
        <f>'2019_4-1-5_Download'!C143</f>
        <v>Ohne Abschluss2)</v>
      </c>
      <c r="D134" t="str">
        <f>'2019_4-1-5_Download'!$E$6</f>
        <v>Insgesamt</v>
      </c>
      <c r="E134" t="s">
        <v>83</v>
      </c>
      <c r="F134">
        <f>'2019_4-1-5_Download'!E143</f>
        <v>4.7988791523357115</v>
      </c>
    </row>
    <row r="135" spans="1:6" x14ac:dyDescent="0.25">
      <c r="A135">
        <f>'2019_4-1-5_Download'!D144</f>
        <v>2005</v>
      </c>
      <c r="B135" t="str">
        <f>'2019_4-1-5_Download'!B144</f>
        <v>25 – 35</v>
      </c>
      <c r="C135" t="str">
        <f>'2019_4-1-5_Download'!C144</f>
        <v>Ohne Abschluss2)</v>
      </c>
      <c r="D135" t="str">
        <f>'2019_4-1-5_Download'!$E$6</f>
        <v>Insgesamt</v>
      </c>
      <c r="E135" t="s">
        <v>83</v>
      </c>
      <c r="F135">
        <f>'2019_4-1-5_Download'!E144</f>
        <v>4.3755488185340248</v>
      </c>
    </row>
    <row r="136" spans="1:6" x14ac:dyDescent="0.25">
      <c r="A136">
        <f>'2019_4-1-5_Download'!D145</f>
        <v>2005</v>
      </c>
      <c r="B136" t="str">
        <f>'2019_4-1-5_Download'!B145</f>
        <v>15 – 65</v>
      </c>
      <c r="C136" t="str">
        <f>'2019_4-1-5_Download'!C145</f>
        <v>Ohne Abschluss2)</v>
      </c>
      <c r="D136" t="str">
        <f>'2019_4-1-5_Download'!$E$6</f>
        <v>Insgesamt</v>
      </c>
      <c r="E136" t="s">
        <v>83</v>
      </c>
      <c r="F136">
        <f>'2019_4-1-5_Download'!E145</f>
        <v>3.622969814818068</v>
      </c>
    </row>
    <row r="137" spans="1:6" x14ac:dyDescent="0.25">
      <c r="A137">
        <f>'2019_4-1-5_Download'!D146</f>
        <v>2005</v>
      </c>
      <c r="B137" t="str">
        <f>'2019_4-1-5_Download'!B146</f>
        <v>18 – 25</v>
      </c>
      <c r="C137" t="str">
        <f>'2019_4-1-5_Download'!C146</f>
        <v>Hauptschulabschluss</v>
      </c>
      <c r="D137" t="str">
        <f>'2019_4-1-5_Download'!$E$6</f>
        <v>Insgesamt</v>
      </c>
      <c r="E137" t="s">
        <v>83</v>
      </c>
      <c r="F137">
        <f>'2019_4-1-5_Download'!E146</f>
        <v>22.120709603673063</v>
      </c>
    </row>
    <row r="138" spans="1:6" x14ac:dyDescent="0.25">
      <c r="A138">
        <f>'2019_4-1-5_Download'!D147</f>
        <v>2005</v>
      </c>
      <c r="B138" t="str">
        <f>'2019_4-1-5_Download'!B147</f>
        <v>25 – 35</v>
      </c>
      <c r="C138" t="str">
        <f>'2019_4-1-5_Download'!C147</f>
        <v>Hauptschulabschluss</v>
      </c>
      <c r="D138" t="str">
        <f>'2019_4-1-5_Download'!$E$6</f>
        <v>Insgesamt</v>
      </c>
      <c r="E138" t="s">
        <v>83</v>
      </c>
      <c r="F138">
        <f>'2019_4-1-5_Download'!E147</f>
        <v>22.888799820098448</v>
      </c>
    </row>
    <row r="139" spans="1:6" x14ac:dyDescent="0.25">
      <c r="A139">
        <f>'2019_4-1-5_Download'!D148</f>
        <v>2005</v>
      </c>
      <c r="B139" t="str">
        <f>'2019_4-1-5_Download'!B148</f>
        <v>15 – 65</v>
      </c>
      <c r="C139" t="str">
        <f>'2019_4-1-5_Download'!C148</f>
        <v>Hauptschulabschluss</v>
      </c>
      <c r="D139" t="str">
        <f>'2019_4-1-5_Download'!$E$6</f>
        <v>Insgesamt</v>
      </c>
      <c r="E139" t="s">
        <v>83</v>
      </c>
      <c r="F139">
        <f>'2019_4-1-5_Download'!E148</f>
        <v>37.524341462050145</v>
      </c>
    </row>
    <row r="140" spans="1:6" x14ac:dyDescent="0.25">
      <c r="A140">
        <f>'2019_4-1-5_Download'!D149</f>
        <v>2005</v>
      </c>
      <c r="B140" t="str">
        <f>'2019_4-1-5_Download'!B149</f>
        <v>18 – 25</v>
      </c>
      <c r="C140" t="str">
        <f>'2019_4-1-5_Download'!C149</f>
        <v>Realschulabschluss</v>
      </c>
      <c r="D140" t="str">
        <f>'2019_4-1-5_Download'!$E$6</f>
        <v>Insgesamt</v>
      </c>
      <c r="E140" t="s">
        <v>83</v>
      </c>
      <c r="F140">
        <f>'2019_4-1-5_Download'!E149</f>
        <v>42.899124175064578</v>
      </c>
    </row>
    <row r="141" spans="1:6" x14ac:dyDescent="0.25">
      <c r="A141">
        <f>'2019_4-1-5_Download'!D150</f>
        <v>2005</v>
      </c>
      <c r="B141" t="str">
        <f>'2019_4-1-5_Download'!B150</f>
        <v>25 – 35</v>
      </c>
      <c r="C141" t="str">
        <f>'2019_4-1-5_Download'!C150</f>
        <v>Realschulabschluss</v>
      </c>
      <c r="D141" t="str">
        <f>'2019_4-1-5_Download'!$E$6</f>
        <v>Insgesamt</v>
      </c>
      <c r="E141" t="s">
        <v>83</v>
      </c>
      <c r="F141">
        <f>'2019_4-1-5_Download'!E150</f>
        <v>38.480961097514978</v>
      </c>
    </row>
    <row r="142" spans="1:6" x14ac:dyDescent="0.25">
      <c r="A142">
        <f>'2019_4-1-5_Download'!D151</f>
        <v>2005</v>
      </c>
      <c r="B142" t="str">
        <f>'2019_4-1-5_Download'!B151</f>
        <v>15 – 65</v>
      </c>
      <c r="C142" t="str">
        <f>'2019_4-1-5_Download'!C151</f>
        <v>Realschulabschluss</v>
      </c>
      <c r="D142" t="str">
        <f>'2019_4-1-5_Download'!$E$6</f>
        <v>Insgesamt</v>
      </c>
      <c r="E142" t="s">
        <v>83</v>
      </c>
      <c r="F142">
        <f>'2019_4-1-5_Download'!E151</f>
        <v>33.36893491811621</v>
      </c>
    </row>
    <row r="143" spans="1:6" x14ac:dyDescent="0.25">
      <c r="A143">
        <f>'2019_4-1-5_Download'!D152</f>
        <v>2005</v>
      </c>
      <c r="B143" t="str">
        <f>'2019_4-1-5_Download'!B152</f>
        <v>18 – 25</v>
      </c>
      <c r="C143" t="str">
        <f>'2019_4-1-5_Download'!C152</f>
        <v>(Fach-)Hochschulreife</v>
      </c>
      <c r="D143" t="str">
        <f>'2019_4-1-5_Download'!$E$6</f>
        <v>Insgesamt</v>
      </c>
      <c r="E143" t="s">
        <v>83</v>
      </c>
      <c r="F143">
        <f>'2019_4-1-5_Download'!E152</f>
        <v>30.181287068926643</v>
      </c>
    </row>
    <row r="144" spans="1:6" x14ac:dyDescent="0.25">
      <c r="A144">
        <f>'2019_4-1-5_Download'!D153</f>
        <v>2005</v>
      </c>
      <c r="B144" t="str">
        <f>'2019_4-1-5_Download'!B153</f>
        <v>25 – 35</v>
      </c>
      <c r="C144" t="str">
        <f>'2019_4-1-5_Download'!C153</f>
        <v>(Fach-)Hochschulreife</v>
      </c>
      <c r="D144" t="str">
        <f>'2019_4-1-5_Download'!$E$6</f>
        <v>Insgesamt</v>
      </c>
      <c r="E144" t="s">
        <v>83</v>
      </c>
      <c r="F144">
        <f>'2019_4-1-5_Download'!E153</f>
        <v>34.254690263852538</v>
      </c>
    </row>
    <row r="145" spans="1:6" x14ac:dyDescent="0.25">
      <c r="A145">
        <f>'2019_4-1-5_Download'!D154</f>
        <v>2005</v>
      </c>
      <c r="B145" t="str">
        <f>'2019_4-1-5_Download'!B154</f>
        <v>15 – 65</v>
      </c>
      <c r="C145" t="str">
        <f>'2019_4-1-5_Download'!C154</f>
        <v>(Fach-)Hochschulreife</v>
      </c>
      <c r="D145" t="str">
        <f>'2019_4-1-5_Download'!$E$6</f>
        <v>Insgesamt</v>
      </c>
      <c r="E145" t="s">
        <v>83</v>
      </c>
      <c r="F145">
        <f>'2019_4-1-5_Download'!E154</f>
        <v>25.483753805015574</v>
      </c>
    </row>
    <row r="146" spans="1:6" x14ac:dyDescent="0.25">
      <c r="A146" t="str">
        <f>'2019_4-1-5_Download'!D11</f>
        <v>20191)</v>
      </c>
      <c r="B146" t="str">
        <f>'2019_4-1-5_Download'!B11</f>
        <v>18 – 25</v>
      </c>
      <c r="C146" t="str">
        <f>'2019_4-1-5_Download'!C11</f>
        <v>Ohne Abschluss2)</v>
      </c>
      <c r="D146" t="s">
        <v>84</v>
      </c>
      <c r="E146" t="s">
        <v>83</v>
      </c>
      <c r="F146">
        <f>'2019_4-1-5_Download'!F11</f>
        <v>11.065251276790905</v>
      </c>
    </row>
    <row r="147" spans="1:6" x14ac:dyDescent="0.25">
      <c r="A147" t="str">
        <f>'2019_4-1-5_Download'!D12</f>
        <v>20191)</v>
      </c>
      <c r="B147" t="str">
        <f>'2019_4-1-5_Download'!B12</f>
        <v>25 – 35</v>
      </c>
      <c r="C147" t="str">
        <f>'2019_4-1-5_Download'!C12</f>
        <v>Ohne Abschluss2)</v>
      </c>
      <c r="D147" t="s">
        <v>84</v>
      </c>
      <c r="E147" t="s">
        <v>83</v>
      </c>
      <c r="F147">
        <f>'2019_4-1-5_Download'!F12</f>
        <v>11.732429157162567</v>
      </c>
    </row>
    <row r="148" spans="1:6" x14ac:dyDescent="0.25">
      <c r="A148" t="str">
        <f>'2019_4-1-5_Download'!D13</f>
        <v>20191)</v>
      </c>
      <c r="B148" t="str">
        <f>'2019_4-1-5_Download'!B13</f>
        <v>15 – 65</v>
      </c>
      <c r="C148" t="str">
        <f>'2019_4-1-5_Download'!C13</f>
        <v>Ohne Abschluss2)</v>
      </c>
      <c r="D148" t="s">
        <v>84</v>
      </c>
      <c r="E148" t="s">
        <v>83</v>
      </c>
      <c r="F148">
        <f>'2019_4-1-5_Download'!F13</f>
        <v>11.564406055663891</v>
      </c>
    </row>
    <row r="149" spans="1:6" x14ac:dyDescent="0.25">
      <c r="A149" t="str">
        <f>'2019_4-1-5_Download'!D14</f>
        <v>20191)</v>
      </c>
      <c r="B149" t="str">
        <f>'2019_4-1-5_Download'!B14</f>
        <v>18 – 25</v>
      </c>
      <c r="C149" t="str">
        <f>'2019_4-1-5_Download'!C14</f>
        <v>Hauptschulabschluss</v>
      </c>
      <c r="D149" t="s">
        <v>84</v>
      </c>
      <c r="E149" t="s">
        <v>83</v>
      </c>
      <c r="F149">
        <f>'2019_4-1-5_Download'!F14</f>
        <v>17.640449721065899</v>
      </c>
    </row>
    <row r="150" spans="1:6" x14ac:dyDescent="0.25">
      <c r="A150" t="str">
        <f>'2019_4-1-5_Download'!D15</f>
        <v>20191)</v>
      </c>
      <c r="B150" t="str">
        <f>'2019_4-1-5_Download'!B15</f>
        <v>25 – 35</v>
      </c>
      <c r="C150" t="str">
        <f>'2019_4-1-5_Download'!C15</f>
        <v>Hauptschulabschluss</v>
      </c>
      <c r="D150" t="s">
        <v>84</v>
      </c>
      <c r="E150" t="s">
        <v>83</v>
      </c>
      <c r="F150">
        <f>'2019_4-1-5_Download'!F15</f>
        <v>17.930100349646338</v>
      </c>
    </row>
    <row r="151" spans="1:6" x14ac:dyDescent="0.25">
      <c r="A151" t="str">
        <f>'2019_4-1-5_Download'!D16</f>
        <v>20191)</v>
      </c>
      <c r="B151" t="str">
        <f>'2019_4-1-5_Download'!B16</f>
        <v>15 – 65</v>
      </c>
      <c r="C151" t="str">
        <f>'2019_4-1-5_Download'!C16</f>
        <v>Hauptschulabschluss</v>
      </c>
      <c r="D151" t="s">
        <v>84</v>
      </c>
      <c r="E151" t="s">
        <v>83</v>
      </c>
      <c r="F151">
        <f>'2019_4-1-5_Download'!F16</f>
        <v>24.277499474042926</v>
      </c>
    </row>
    <row r="152" spans="1:6" x14ac:dyDescent="0.25">
      <c r="A152" t="str">
        <f>'2019_4-1-5_Download'!D17</f>
        <v>20191)</v>
      </c>
      <c r="B152" t="str">
        <f>'2019_4-1-5_Download'!B17</f>
        <v>18 – 25</v>
      </c>
      <c r="C152" t="str">
        <f>'2019_4-1-5_Download'!C17</f>
        <v>Realschulabschluss</v>
      </c>
      <c r="D152" t="s">
        <v>84</v>
      </c>
      <c r="E152" t="s">
        <v>83</v>
      </c>
      <c r="F152">
        <f>'2019_4-1-5_Download'!F17</f>
        <v>33.653187930570994</v>
      </c>
    </row>
    <row r="153" spans="1:6" x14ac:dyDescent="0.25">
      <c r="A153" t="str">
        <f>'2019_4-1-5_Download'!D18</f>
        <v>20191)</v>
      </c>
      <c r="B153" t="str">
        <f>'2019_4-1-5_Download'!B18</f>
        <v>25 – 35</v>
      </c>
      <c r="C153" t="str">
        <f>'2019_4-1-5_Download'!C18</f>
        <v>Realschulabschluss</v>
      </c>
      <c r="D153" t="s">
        <v>84</v>
      </c>
      <c r="E153" t="s">
        <v>83</v>
      </c>
      <c r="F153">
        <f>'2019_4-1-5_Download'!F18</f>
        <v>27.863966188416445</v>
      </c>
    </row>
    <row r="154" spans="1:6" x14ac:dyDescent="0.25">
      <c r="A154" t="str">
        <f>'2019_4-1-5_Download'!D19</f>
        <v>20191)</v>
      </c>
      <c r="B154" t="str">
        <f>'2019_4-1-5_Download'!B19</f>
        <v>15 – 65</v>
      </c>
      <c r="C154" t="str">
        <f>'2019_4-1-5_Download'!C19</f>
        <v>Realschulabschluss</v>
      </c>
      <c r="D154" t="s">
        <v>84</v>
      </c>
      <c r="E154" t="s">
        <v>83</v>
      </c>
      <c r="F154">
        <f>'2019_4-1-5_Download'!F19</f>
        <v>30.426187195895714</v>
      </c>
    </row>
    <row r="155" spans="1:6" x14ac:dyDescent="0.25">
      <c r="A155" t="str">
        <f>'2019_4-1-5_Download'!D20</f>
        <v>20191)</v>
      </c>
      <c r="B155" t="str">
        <f>'2019_4-1-5_Download'!B20</f>
        <v>18 – 25</v>
      </c>
      <c r="C155" t="str">
        <f>'2019_4-1-5_Download'!C20</f>
        <v>(Fach-)Hochschulreife</v>
      </c>
      <c r="D155" t="s">
        <v>84</v>
      </c>
      <c r="E155" t="s">
        <v>83</v>
      </c>
      <c r="F155">
        <f>'2019_4-1-5_Download'!F20</f>
        <v>37.641111071572212</v>
      </c>
    </row>
    <row r="156" spans="1:6" x14ac:dyDescent="0.25">
      <c r="A156" t="str">
        <f>'2019_4-1-5_Download'!D21</f>
        <v>20191)</v>
      </c>
      <c r="B156" t="str">
        <f>'2019_4-1-5_Download'!B21</f>
        <v>25 – 35</v>
      </c>
      <c r="C156" t="str">
        <f>'2019_4-1-5_Download'!C21</f>
        <v>(Fach-)Hochschulreife</v>
      </c>
      <c r="D156" t="s">
        <v>84</v>
      </c>
      <c r="E156" t="s">
        <v>83</v>
      </c>
      <c r="F156">
        <f>'2019_4-1-5_Download'!F21</f>
        <v>42.47350430477465</v>
      </c>
    </row>
    <row r="157" spans="1:6" x14ac:dyDescent="0.25">
      <c r="A157" t="str">
        <f>'2019_4-1-5_Download'!D22</f>
        <v>20191)</v>
      </c>
      <c r="B157" t="str">
        <f>'2019_4-1-5_Download'!B22</f>
        <v>15 – 65</v>
      </c>
      <c r="C157" t="str">
        <f>'2019_4-1-5_Download'!C22</f>
        <v>(Fach-)Hochschulreife</v>
      </c>
      <c r="D157" t="s">
        <v>84</v>
      </c>
      <c r="E157" t="s">
        <v>83</v>
      </c>
      <c r="F157">
        <f>'2019_4-1-5_Download'!F22</f>
        <v>33.731907274397457</v>
      </c>
    </row>
    <row r="158" spans="1:6" x14ac:dyDescent="0.25">
      <c r="A158" t="str">
        <f>'2019_4-1-5_Download'!D23</f>
        <v>20181)</v>
      </c>
      <c r="B158" t="str">
        <f>'2019_4-1-5_Download'!B23</f>
        <v>18 – 25</v>
      </c>
      <c r="C158" t="str">
        <f>'2019_4-1-5_Download'!C23</f>
        <v>Ohne Abschluss2)</v>
      </c>
      <c r="D158" t="s">
        <v>84</v>
      </c>
      <c r="E158" t="s">
        <v>83</v>
      </c>
      <c r="F158">
        <f>'2019_4-1-5_Download'!F23</f>
        <v>11.588400684422339</v>
      </c>
    </row>
    <row r="159" spans="1:6" x14ac:dyDescent="0.25">
      <c r="A159" t="str">
        <f>'2019_4-1-5_Download'!D24</f>
        <v>20181)</v>
      </c>
      <c r="B159" t="str">
        <f>'2019_4-1-5_Download'!B24</f>
        <v>25 – 35</v>
      </c>
      <c r="C159" t="str">
        <f>'2019_4-1-5_Download'!C24</f>
        <v>Ohne Abschluss2)</v>
      </c>
      <c r="D159" t="s">
        <v>84</v>
      </c>
      <c r="E159" t="s">
        <v>83</v>
      </c>
      <c r="F159">
        <f>'2019_4-1-5_Download'!F24</f>
        <v>10.931888033752587</v>
      </c>
    </row>
    <row r="160" spans="1:6" x14ac:dyDescent="0.25">
      <c r="A160" t="str">
        <f>'2019_4-1-5_Download'!D25</f>
        <v>20181)</v>
      </c>
      <c r="B160" t="str">
        <f>'2019_4-1-5_Download'!B25</f>
        <v>15 – 65</v>
      </c>
      <c r="C160" t="str">
        <f>'2019_4-1-5_Download'!C25</f>
        <v>Ohne Abschluss2)</v>
      </c>
      <c r="D160" t="s">
        <v>84</v>
      </c>
      <c r="E160" t="s">
        <v>83</v>
      </c>
      <c r="F160">
        <f>'2019_4-1-5_Download'!F25</f>
        <v>11.927085726257943</v>
      </c>
    </row>
    <row r="161" spans="1:6" x14ac:dyDescent="0.25">
      <c r="A161" t="str">
        <f>'2019_4-1-5_Download'!D26</f>
        <v>20181)</v>
      </c>
      <c r="B161" t="str">
        <f>'2019_4-1-5_Download'!B26</f>
        <v>18 – 25</v>
      </c>
      <c r="C161" t="str">
        <f>'2019_4-1-5_Download'!C26</f>
        <v>Hauptschulabschluss</v>
      </c>
      <c r="D161" t="s">
        <v>84</v>
      </c>
      <c r="E161" t="s">
        <v>83</v>
      </c>
      <c r="F161">
        <f>'2019_4-1-5_Download'!F26</f>
        <v>15.993024935607295</v>
      </c>
    </row>
    <row r="162" spans="1:6" x14ac:dyDescent="0.25">
      <c r="A162" t="str">
        <f>'2019_4-1-5_Download'!D27</f>
        <v>20181)</v>
      </c>
      <c r="B162" t="str">
        <f>'2019_4-1-5_Download'!B27</f>
        <v>25 – 35</v>
      </c>
      <c r="C162" t="str">
        <f>'2019_4-1-5_Download'!C27</f>
        <v>Hauptschulabschluss</v>
      </c>
      <c r="D162" t="s">
        <v>84</v>
      </c>
      <c r="E162" t="s">
        <v>83</v>
      </c>
      <c r="F162">
        <f>'2019_4-1-5_Download'!F27</f>
        <v>18.645115069236038</v>
      </c>
    </row>
    <row r="163" spans="1:6" x14ac:dyDescent="0.25">
      <c r="A163" t="str">
        <f>'2019_4-1-5_Download'!D28</f>
        <v>20181)</v>
      </c>
      <c r="B163" t="str">
        <f>'2019_4-1-5_Download'!B28</f>
        <v>15 – 65</v>
      </c>
      <c r="C163" t="str">
        <f>'2019_4-1-5_Download'!C28</f>
        <v>Hauptschulabschluss</v>
      </c>
      <c r="D163" t="s">
        <v>84</v>
      </c>
      <c r="E163" t="s">
        <v>83</v>
      </c>
      <c r="F163">
        <f>'2019_4-1-5_Download'!F28</f>
        <v>24.295397982816738</v>
      </c>
    </row>
    <row r="164" spans="1:6" x14ac:dyDescent="0.25">
      <c r="A164" t="str">
        <f>'2019_4-1-5_Download'!D29</f>
        <v>20181)</v>
      </c>
      <c r="B164" t="str">
        <f>'2019_4-1-5_Download'!B29</f>
        <v>18 – 25</v>
      </c>
      <c r="C164" t="str">
        <f>'2019_4-1-5_Download'!C29</f>
        <v>Realschulabschluss</v>
      </c>
      <c r="D164" t="s">
        <v>84</v>
      </c>
      <c r="E164" t="s">
        <v>83</v>
      </c>
      <c r="F164">
        <f>'2019_4-1-5_Download'!F29</f>
        <v>33.721869100749835</v>
      </c>
    </row>
    <row r="165" spans="1:6" x14ac:dyDescent="0.25">
      <c r="A165" t="str">
        <f>'2019_4-1-5_Download'!D30</f>
        <v>20181)</v>
      </c>
      <c r="B165" t="str">
        <f>'2019_4-1-5_Download'!B30</f>
        <v>25 – 35</v>
      </c>
      <c r="C165" t="str">
        <f>'2019_4-1-5_Download'!C30</f>
        <v>Realschulabschluss</v>
      </c>
      <c r="D165" t="s">
        <v>84</v>
      </c>
      <c r="E165" t="s">
        <v>83</v>
      </c>
      <c r="F165">
        <f>'2019_4-1-5_Download'!F30</f>
        <v>28.394148695037224</v>
      </c>
    </row>
    <row r="166" spans="1:6" x14ac:dyDescent="0.25">
      <c r="A166" t="str">
        <f>'2019_4-1-5_Download'!D31</f>
        <v>20181)</v>
      </c>
      <c r="B166" t="str">
        <f>'2019_4-1-5_Download'!B31</f>
        <v>15 – 65</v>
      </c>
      <c r="C166" t="str">
        <f>'2019_4-1-5_Download'!C31</f>
        <v>Realschulabschluss</v>
      </c>
      <c r="D166" t="s">
        <v>84</v>
      </c>
      <c r="E166" t="s">
        <v>83</v>
      </c>
      <c r="F166">
        <f>'2019_4-1-5_Download'!F31</f>
        <v>31.001462151868665</v>
      </c>
    </row>
    <row r="167" spans="1:6" x14ac:dyDescent="0.25">
      <c r="A167" t="str">
        <f>'2019_4-1-5_Download'!D32</f>
        <v>20181)</v>
      </c>
      <c r="B167" t="str">
        <f>'2019_4-1-5_Download'!B32</f>
        <v>18 – 25</v>
      </c>
      <c r="C167" t="str">
        <f>'2019_4-1-5_Download'!C32</f>
        <v>(Fach-)Hochschulreife</v>
      </c>
      <c r="D167" t="s">
        <v>84</v>
      </c>
      <c r="E167" t="s">
        <v>83</v>
      </c>
      <c r="F167">
        <f>'2019_4-1-5_Download'!F32</f>
        <v>38.696712165588501</v>
      </c>
    </row>
    <row r="168" spans="1:6" x14ac:dyDescent="0.25">
      <c r="A168" t="str">
        <f>'2019_4-1-5_Download'!D33</f>
        <v>20181)</v>
      </c>
      <c r="B168" t="str">
        <f>'2019_4-1-5_Download'!B33</f>
        <v>25 – 35</v>
      </c>
      <c r="C168" t="str">
        <f>'2019_4-1-5_Download'!C33</f>
        <v>(Fach-)Hochschulreife</v>
      </c>
      <c r="D168" t="s">
        <v>84</v>
      </c>
      <c r="E168" t="s">
        <v>83</v>
      </c>
      <c r="F168">
        <f>'2019_4-1-5_Download'!F33</f>
        <v>42.028844621451178</v>
      </c>
    </row>
    <row r="169" spans="1:6" x14ac:dyDescent="0.25">
      <c r="A169" t="str">
        <f>'2019_4-1-5_Download'!D34</f>
        <v>20181)</v>
      </c>
      <c r="B169" t="str">
        <f>'2019_4-1-5_Download'!B34</f>
        <v>15 – 65</v>
      </c>
      <c r="C169" t="str">
        <f>'2019_4-1-5_Download'!C34</f>
        <v>(Fach-)Hochschulreife</v>
      </c>
      <c r="D169" t="s">
        <v>84</v>
      </c>
      <c r="E169" t="s">
        <v>83</v>
      </c>
      <c r="F169">
        <f>'2019_4-1-5_Download'!F34</f>
        <v>32.77605413905664</v>
      </c>
    </row>
    <row r="170" spans="1:6" x14ac:dyDescent="0.25">
      <c r="A170" t="str">
        <f>'2019_4-1-5_Download'!D35</f>
        <v>20171)</v>
      </c>
      <c r="B170" t="str">
        <f>'2019_4-1-5_Download'!B35</f>
        <v>18 – 25</v>
      </c>
      <c r="C170" t="str">
        <f>'2019_4-1-5_Download'!C35</f>
        <v>Ohne Abschluss2)</v>
      </c>
      <c r="D170" t="s">
        <v>84</v>
      </c>
      <c r="E170" t="s">
        <v>83</v>
      </c>
      <c r="F170">
        <f>'2019_4-1-5_Download'!F35</f>
        <v>12.042580112442936</v>
      </c>
    </row>
    <row r="171" spans="1:6" x14ac:dyDescent="0.25">
      <c r="A171" t="str">
        <f>'2019_4-1-5_Download'!D36</f>
        <v>20171)</v>
      </c>
      <c r="B171" t="str">
        <f>'2019_4-1-5_Download'!B36</f>
        <v>25 – 35</v>
      </c>
      <c r="C171" t="str">
        <f>'2019_4-1-5_Download'!C36</f>
        <v>Ohne Abschluss2)</v>
      </c>
      <c r="D171" t="s">
        <v>84</v>
      </c>
      <c r="E171" t="s">
        <v>83</v>
      </c>
      <c r="F171">
        <f>'2019_4-1-5_Download'!F36</f>
        <v>10.305310008719477</v>
      </c>
    </row>
    <row r="172" spans="1:6" x14ac:dyDescent="0.25">
      <c r="A172" t="str">
        <f>'2019_4-1-5_Download'!D37</f>
        <v>20171)</v>
      </c>
      <c r="B172" t="str">
        <f>'2019_4-1-5_Download'!B37</f>
        <v>15 – 65</v>
      </c>
      <c r="C172" t="str">
        <f>'2019_4-1-5_Download'!C37</f>
        <v>Ohne Abschluss2)</v>
      </c>
      <c r="D172" t="s">
        <v>84</v>
      </c>
      <c r="E172" t="s">
        <v>83</v>
      </c>
      <c r="F172">
        <f>'2019_4-1-5_Download'!F37</f>
        <v>11.767440727347701</v>
      </c>
    </row>
    <row r="173" spans="1:6" x14ac:dyDescent="0.25">
      <c r="A173" t="str">
        <f>'2019_4-1-5_Download'!D38</f>
        <v>20171)</v>
      </c>
      <c r="B173" t="str">
        <f>'2019_4-1-5_Download'!B38</f>
        <v>18 – 25</v>
      </c>
      <c r="C173" t="str">
        <f>'2019_4-1-5_Download'!C38</f>
        <v>Hauptschulabschluss</v>
      </c>
      <c r="D173" t="s">
        <v>84</v>
      </c>
      <c r="E173" t="s">
        <v>83</v>
      </c>
      <c r="F173">
        <f>'2019_4-1-5_Download'!F38</f>
        <v>17.587709626698761</v>
      </c>
    </row>
    <row r="174" spans="1:6" x14ac:dyDescent="0.25">
      <c r="A174" t="str">
        <f>'2019_4-1-5_Download'!D39</f>
        <v>20171)</v>
      </c>
      <c r="B174" t="str">
        <f>'2019_4-1-5_Download'!B39</f>
        <v>25 – 35</v>
      </c>
      <c r="C174" t="str">
        <f>'2019_4-1-5_Download'!C39</f>
        <v>Hauptschulabschluss</v>
      </c>
      <c r="D174" t="s">
        <v>84</v>
      </c>
      <c r="E174" t="s">
        <v>83</v>
      </c>
      <c r="F174">
        <f>'2019_4-1-5_Download'!F39</f>
        <v>20.733476648050956</v>
      </c>
    </row>
    <row r="175" spans="1:6" x14ac:dyDescent="0.25">
      <c r="A175" t="str">
        <f>'2019_4-1-5_Download'!D40</f>
        <v>20171)</v>
      </c>
      <c r="B175" t="str">
        <f>'2019_4-1-5_Download'!B40</f>
        <v>15 – 65</v>
      </c>
      <c r="C175" t="str">
        <f>'2019_4-1-5_Download'!C40</f>
        <v>Hauptschulabschluss</v>
      </c>
      <c r="D175" t="s">
        <v>84</v>
      </c>
      <c r="E175" t="s">
        <v>83</v>
      </c>
      <c r="F175">
        <f>'2019_4-1-5_Download'!F40</f>
        <v>25.707863216386546</v>
      </c>
    </row>
    <row r="176" spans="1:6" x14ac:dyDescent="0.25">
      <c r="A176" t="str">
        <f>'2019_4-1-5_Download'!D41</f>
        <v>20171)</v>
      </c>
      <c r="B176" t="str">
        <f>'2019_4-1-5_Download'!B41</f>
        <v>18 – 25</v>
      </c>
      <c r="C176" t="str">
        <f>'2019_4-1-5_Download'!C41</f>
        <v>Realschulabschluss</v>
      </c>
      <c r="D176" t="s">
        <v>84</v>
      </c>
      <c r="E176" t="s">
        <v>83</v>
      </c>
      <c r="F176">
        <f>'2019_4-1-5_Download'!F41</f>
        <v>33.292821616146412</v>
      </c>
    </row>
    <row r="177" spans="1:6" x14ac:dyDescent="0.25">
      <c r="A177" t="str">
        <f>'2019_4-1-5_Download'!D42</f>
        <v>20171)</v>
      </c>
      <c r="B177" t="str">
        <f>'2019_4-1-5_Download'!B42</f>
        <v>25 – 35</v>
      </c>
      <c r="C177" t="str">
        <f>'2019_4-1-5_Download'!C42</f>
        <v>Realschulabschluss</v>
      </c>
      <c r="D177" t="s">
        <v>84</v>
      </c>
      <c r="E177" t="s">
        <v>83</v>
      </c>
      <c r="F177">
        <f>'2019_4-1-5_Download'!F42</f>
        <v>31.448776066667673</v>
      </c>
    </row>
    <row r="178" spans="1:6" x14ac:dyDescent="0.25">
      <c r="A178" t="str">
        <f>'2019_4-1-5_Download'!D43</f>
        <v>20171)</v>
      </c>
      <c r="B178" t="str">
        <f>'2019_4-1-5_Download'!B43</f>
        <v>15 – 65</v>
      </c>
      <c r="C178" t="str">
        <f>'2019_4-1-5_Download'!C43</f>
        <v>Realschulabschluss</v>
      </c>
      <c r="D178" t="s">
        <v>84</v>
      </c>
      <c r="E178" t="s">
        <v>83</v>
      </c>
      <c r="F178">
        <f>'2019_4-1-5_Download'!F43</f>
        <v>31.371177984427728</v>
      </c>
    </row>
    <row r="179" spans="1:6" x14ac:dyDescent="0.25">
      <c r="A179" t="str">
        <f>'2019_4-1-5_Download'!D44</f>
        <v>20171)</v>
      </c>
      <c r="B179" t="str">
        <f>'2019_4-1-5_Download'!B44</f>
        <v>18 – 25</v>
      </c>
      <c r="C179" t="str">
        <f>'2019_4-1-5_Download'!C44</f>
        <v>(Fach-)Hochschulreife</v>
      </c>
      <c r="D179" t="s">
        <v>84</v>
      </c>
      <c r="E179" t="s">
        <v>83</v>
      </c>
      <c r="F179">
        <f>'2019_4-1-5_Download'!F44</f>
        <v>37.076888644711886</v>
      </c>
    </row>
    <row r="180" spans="1:6" x14ac:dyDescent="0.25">
      <c r="A180" t="str">
        <f>'2019_4-1-5_Download'!D45</f>
        <v>20171)</v>
      </c>
      <c r="B180" t="str">
        <f>'2019_4-1-5_Download'!B45</f>
        <v>25 – 35</v>
      </c>
      <c r="C180" t="str">
        <f>'2019_4-1-5_Download'!C45</f>
        <v>(Fach-)Hochschulreife</v>
      </c>
      <c r="D180" t="s">
        <v>84</v>
      </c>
      <c r="E180" t="s">
        <v>83</v>
      </c>
      <c r="F180">
        <f>'2019_4-1-5_Download'!F45</f>
        <v>37.512437276561897</v>
      </c>
    </row>
    <row r="181" spans="1:6" x14ac:dyDescent="0.25">
      <c r="A181" t="str">
        <f>'2019_4-1-5_Download'!D46</f>
        <v>20171)</v>
      </c>
      <c r="B181" t="str">
        <f>'2019_4-1-5_Download'!B46</f>
        <v>15 – 65</v>
      </c>
      <c r="C181" t="str">
        <f>'2019_4-1-5_Download'!C46</f>
        <v>(Fach-)Hochschulreife</v>
      </c>
      <c r="D181" t="s">
        <v>84</v>
      </c>
      <c r="E181" t="s">
        <v>83</v>
      </c>
      <c r="F181">
        <f>'2019_4-1-5_Download'!F46</f>
        <v>31.153517170875585</v>
      </c>
    </row>
    <row r="182" spans="1:6" x14ac:dyDescent="0.25">
      <c r="A182" t="str">
        <f>'2019_4-1-5_Download'!D47</f>
        <v>20161)</v>
      </c>
      <c r="B182" t="str">
        <f>'2019_4-1-5_Download'!B47</f>
        <v>18 – 25</v>
      </c>
      <c r="C182" t="str">
        <f>'2019_4-1-5_Download'!C47</f>
        <v>Ohne Abschluss2)</v>
      </c>
      <c r="D182" t="s">
        <v>84</v>
      </c>
      <c r="E182" t="s">
        <v>83</v>
      </c>
      <c r="F182">
        <f>'2019_4-1-5_Download'!F47</f>
        <v>11.503349933337789</v>
      </c>
    </row>
    <row r="183" spans="1:6" x14ac:dyDescent="0.25">
      <c r="A183" t="str">
        <f>'2019_4-1-5_Download'!D48</f>
        <v>20161)</v>
      </c>
      <c r="B183" t="str">
        <f>'2019_4-1-5_Download'!B48</f>
        <v>25 – 35</v>
      </c>
      <c r="C183" t="str">
        <f>'2019_4-1-5_Download'!C48</f>
        <v>Ohne Abschluss2)</v>
      </c>
      <c r="D183" t="s">
        <v>84</v>
      </c>
      <c r="E183" t="s">
        <v>83</v>
      </c>
      <c r="F183">
        <f>'2019_4-1-5_Download'!F48</f>
        <v>11.762322892636114</v>
      </c>
    </row>
    <row r="184" spans="1:6" x14ac:dyDescent="0.25">
      <c r="A184" t="str">
        <f>'2019_4-1-5_Download'!D49</f>
        <v>20161)</v>
      </c>
      <c r="B184" t="str">
        <f>'2019_4-1-5_Download'!B49</f>
        <v>15 – 65</v>
      </c>
      <c r="C184" t="str">
        <f>'2019_4-1-5_Download'!C49</f>
        <v>Ohne Abschluss2)</v>
      </c>
      <c r="D184" t="s">
        <v>84</v>
      </c>
      <c r="E184" t="s">
        <v>83</v>
      </c>
      <c r="F184">
        <f>'2019_4-1-5_Download'!F49</f>
        <v>11.962367125153166</v>
      </c>
    </row>
    <row r="185" spans="1:6" x14ac:dyDescent="0.25">
      <c r="A185" t="str">
        <f>'2019_4-1-5_Download'!D50</f>
        <v>20161)</v>
      </c>
      <c r="B185" t="str">
        <f>'2019_4-1-5_Download'!B50</f>
        <v>18 – 25</v>
      </c>
      <c r="C185" t="str">
        <f>'2019_4-1-5_Download'!C50</f>
        <v>Hauptschulabschluss</v>
      </c>
      <c r="D185" t="s">
        <v>84</v>
      </c>
      <c r="E185" t="s">
        <v>83</v>
      </c>
      <c r="F185">
        <f>'2019_4-1-5_Download'!F50</f>
        <v>19.265424417086439</v>
      </c>
    </row>
    <row r="186" spans="1:6" x14ac:dyDescent="0.25">
      <c r="A186" t="str">
        <f>'2019_4-1-5_Download'!D51</f>
        <v>20161)</v>
      </c>
      <c r="B186" t="str">
        <f>'2019_4-1-5_Download'!B51</f>
        <v>25 – 35</v>
      </c>
      <c r="C186" t="str">
        <f>'2019_4-1-5_Download'!C51</f>
        <v>Hauptschulabschluss</v>
      </c>
      <c r="D186" t="s">
        <v>84</v>
      </c>
      <c r="E186" t="s">
        <v>83</v>
      </c>
      <c r="F186">
        <f>'2019_4-1-5_Download'!F51</f>
        <v>20.549656059974257</v>
      </c>
    </row>
    <row r="187" spans="1:6" x14ac:dyDescent="0.25">
      <c r="A187" t="str">
        <f>'2019_4-1-5_Download'!D52</f>
        <v>20161)</v>
      </c>
      <c r="B187" t="str">
        <f>'2019_4-1-5_Download'!B52</f>
        <v>15 – 65</v>
      </c>
      <c r="C187" t="str">
        <f>'2019_4-1-5_Download'!C52</f>
        <v>Hauptschulabschluss</v>
      </c>
      <c r="D187" t="s">
        <v>84</v>
      </c>
      <c r="E187" t="s">
        <v>83</v>
      </c>
      <c r="F187">
        <f>'2019_4-1-5_Download'!F52</f>
        <v>27.227208017671156</v>
      </c>
    </row>
    <row r="188" spans="1:6" x14ac:dyDescent="0.25">
      <c r="A188" t="str">
        <f>'2019_4-1-5_Download'!D53</f>
        <v>20161)</v>
      </c>
      <c r="B188" t="str">
        <f>'2019_4-1-5_Download'!B53</f>
        <v>18 – 25</v>
      </c>
      <c r="C188" t="str">
        <f>'2019_4-1-5_Download'!C53</f>
        <v>Realschulabschluss</v>
      </c>
      <c r="D188" t="s">
        <v>84</v>
      </c>
      <c r="E188" t="s">
        <v>83</v>
      </c>
      <c r="F188">
        <f>'2019_4-1-5_Download'!F53</f>
        <v>33.006016345995434</v>
      </c>
    </row>
    <row r="189" spans="1:6" x14ac:dyDescent="0.25">
      <c r="A189" t="str">
        <f>'2019_4-1-5_Download'!D54</f>
        <v>20161)</v>
      </c>
      <c r="B189" t="str">
        <f>'2019_4-1-5_Download'!B54</f>
        <v>25 – 35</v>
      </c>
      <c r="C189" t="str">
        <f>'2019_4-1-5_Download'!C54</f>
        <v>Realschulabschluss</v>
      </c>
      <c r="D189" t="s">
        <v>84</v>
      </c>
      <c r="E189" t="s">
        <v>83</v>
      </c>
      <c r="F189">
        <f>'2019_4-1-5_Download'!F54</f>
        <v>30.999665009714722</v>
      </c>
    </row>
    <row r="190" spans="1:6" x14ac:dyDescent="0.25">
      <c r="A190" t="str">
        <f>'2019_4-1-5_Download'!D55</f>
        <v>20161)</v>
      </c>
      <c r="B190" t="str">
        <f>'2019_4-1-5_Download'!B55</f>
        <v>15 – 65</v>
      </c>
      <c r="C190" t="str">
        <f>'2019_4-1-5_Download'!C55</f>
        <v>Realschulabschluss</v>
      </c>
      <c r="D190" t="s">
        <v>84</v>
      </c>
      <c r="E190" t="s">
        <v>83</v>
      </c>
      <c r="F190">
        <f>'2019_4-1-5_Download'!F55</f>
        <v>31.076589278281414</v>
      </c>
    </row>
    <row r="191" spans="1:6" x14ac:dyDescent="0.25">
      <c r="A191" t="str">
        <f>'2019_4-1-5_Download'!D56</f>
        <v>20161)</v>
      </c>
      <c r="B191" t="str">
        <f>'2019_4-1-5_Download'!B56</f>
        <v>18 – 25</v>
      </c>
      <c r="C191" t="str">
        <f>'2019_4-1-5_Download'!C56</f>
        <v>(Fach-)Hochschulreife</v>
      </c>
      <c r="D191" t="s">
        <v>84</v>
      </c>
      <c r="E191" t="s">
        <v>83</v>
      </c>
      <c r="F191">
        <f>'2019_4-1-5_Download'!F56</f>
        <v>36.225201725745734</v>
      </c>
    </row>
    <row r="192" spans="1:6" x14ac:dyDescent="0.25">
      <c r="A192" t="str">
        <f>'2019_4-1-5_Download'!D57</f>
        <v>20161)</v>
      </c>
      <c r="B192" t="str">
        <f>'2019_4-1-5_Download'!B57</f>
        <v>25 – 35</v>
      </c>
      <c r="C192" t="str">
        <f>'2019_4-1-5_Download'!C57</f>
        <v>(Fach-)Hochschulreife</v>
      </c>
      <c r="D192" t="s">
        <v>84</v>
      </c>
      <c r="E192" t="s">
        <v>83</v>
      </c>
      <c r="F192">
        <f>'2019_4-1-5_Download'!F57</f>
        <v>36.688352037790899</v>
      </c>
    </row>
    <row r="193" spans="1:6" x14ac:dyDescent="0.25">
      <c r="A193" t="str">
        <f>'2019_4-1-5_Download'!D58</f>
        <v>20161)</v>
      </c>
      <c r="B193" t="str">
        <f>'2019_4-1-5_Download'!B58</f>
        <v>15 – 65</v>
      </c>
      <c r="C193" t="str">
        <f>'2019_4-1-5_Download'!C58</f>
        <v>(Fach-)Hochschulreife</v>
      </c>
      <c r="D193" t="s">
        <v>84</v>
      </c>
      <c r="E193" t="s">
        <v>83</v>
      </c>
      <c r="F193">
        <f>'2019_4-1-5_Download'!F58</f>
        <v>29.733836601397812</v>
      </c>
    </row>
    <row r="194" spans="1:6" x14ac:dyDescent="0.25">
      <c r="A194" t="str">
        <f>'2019_4-1-5_Download'!D59</f>
        <v>20151)</v>
      </c>
      <c r="B194" t="str">
        <f>'2019_4-1-5_Download'!B59</f>
        <v>18 – 25</v>
      </c>
      <c r="C194" t="str">
        <f>'2019_4-1-5_Download'!C59</f>
        <v>Ohne Abschluss2)</v>
      </c>
      <c r="D194" t="s">
        <v>84</v>
      </c>
      <c r="E194" t="s">
        <v>83</v>
      </c>
      <c r="F194">
        <f>'2019_4-1-5_Download'!F59</f>
        <v>8.2194037272040585</v>
      </c>
    </row>
    <row r="195" spans="1:6" x14ac:dyDescent="0.25">
      <c r="A195" t="str">
        <f>'2019_4-1-5_Download'!D60</f>
        <v>20151)</v>
      </c>
      <c r="B195" t="str">
        <f>'2019_4-1-5_Download'!B60</f>
        <v>25 – 35</v>
      </c>
      <c r="C195" t="str">
        <f>'2019_4-1-5_Download'!C60</f>
        <v>Ohne Abschluss2)</v>
      </c>
      <c r="D195" t="s">
        <v>84</v>
      </c>
      <c r="E195" t="s">
        <v>83</v>
      </c>
      <c r="F195">
        <f>'2019_4-1-5_Download'!F60</f>
        <v>9.336206576844468</v>
      </c>
    </row>
    <row r="196" spans="1:6" x14ac:dyDescent="0.25">
      <c r="A196" t="str">
        <f>'2019_4-1-5_Download'!D61</f>
        <v>20151)</v>
      </c>
      <c r="B196" t="str">
        <f>'2019_4-1-5_Download'!B61</f>
        <v>15 – 65</v>
      </c>
      <c r="C196" t="str">
        <f>'2019_4-1-5_Download'!C61</f>
        <v>Ohne Abschluss2)</v>
      </c>
      <c r="D196" t="s">
        <v>84</v>
      </c>
      <c r="E196" t="s">
        <v>83</v>
      </c>
      <c r="F196">
        <f>'2019_4-1-5_Download'!F61</f>
        <v>11.068321497719857</v>
      </c>
    </row>
    <row r="197" spans="1:6" x14ac:dyDescent="0.25">
      <c r="A197" t="str">
        <f>'2019_4-1-5_Download'!D62</f>
        <v>20151)</v>
      </c>
      <c r="B197" t="str">
        <f>'2019_4-1-5_Download'!B62</f>
        <v>18 – 25</v>
      </c>
      <c r="C197" t="str">
        <f>'2019_4-1-5_Download'!C62</f>
        <v>Hauptschulabschluss</v>
      </c>
      <c r="D197" t="s">
        <v>84</v>
      </c>
      <c r="E197" t="s">
        <v>83</v>
      </c>
      <c r="F197">
        <f>'2019_4-1-5_Download'!F62</f>
        <v>20.329339579850387</v>
      </c>
    </row>
    <row r="198" spans="1:6" x14ac:dyDescent="0.25">
      <c r="A198" t="str">
        <f>'2019_4-1-5_Download'!D63</f>
        <v>20151)</v>
      </c>
      <c r="B198" t="str">
        <f>'2019_4-1-5_Download'!B63</f>
        <v>25 – 35</v>
      </c>
      <c r="C198" t="str">
        <f>'2019_4-1-5_Download'!C63</f>
        <v>Hauptschulabschluss</v>
      </c>
      <c r="D198" t="s">
        <v>84</v>
      </c>
      <c r="E198" t="s">
        <v>83</v>
      </c>
      <c r="F198">
        <f>'2019_4-1-5_Download'!F63</f>
        <v>20.302583164475035</v>
      </c>
    </row>
    <row r="199" spans="1:6" x14ac:dyDescent="0.25">
      <c r="A199" t="str">
        <f>'2019_4-1-5_Download'!D64</f>
        <v>20151)</v>
      </c>
      <c r="B199" t="str">
        <f>'2019_4-1-5_Download'!B64</f>
        <v>15 – 65</v>
      </c>
      <c r="C199" t="str">
        <f>'2019_4-1-5_Download'!C64</f>
        <v>Hauptschulabschluss</v>
      </c>
      <c r="D199" t="s">
        <v>84</v>
      </c>
      <c r="E199" t="s">
        <v>83</v>
      </c>
      <c r="F199">
        <f>'2019_4-1-5_Download'!F64</f>
        <v>25.934649390406367</v>
      </c>
    </row>
    <row r="200" spans="1:6" x14ac:dyDescent="0.25">
      <c r="A200" t="str">
        <f>'2019_4-1-5_Download'!D65</f>
        <v>20151)</v>
      </c>
      <c r="B200" t="str">
        <f>'2019_4-1-5_Download'!B65</f>
        <v>18 – 25</v>
      </c>
      <c r="C200" t="str">
        <f>'2019_4-1-5_Download'!C65</f>
        <v>Realschulabschluss</v>
      </c>
      <c r="D200" t="s">
        <v>84</v>
      </c>
      <c r="E200" t="s">
        <v>83</v>
      </c>
      <c r="F200">
        <f>'2019_4-1-5_Download'!F65</f>
        <v>37.225864888968943</v>
      </c>
    </row>
    <row r="201" spans="1:6" x14ac:dyDescent="0.25">
      <c r="A201" t="str">
        <f>'2019_4-1-5_Download'!D66</f>
        <v>20151)</v>
      </c>
      <c r="B201" t="str">
        <f>'2019_4-1-5_Download'!B66</f>
        <v>25 – 35</v>
      </c>
      <c r="C201" t="str">
        <f>'2019_4-1-5_Download'!C66</f>
        <v>Realschulabschluss</v>
      </c>
      <c r="D201" t="s">
        <v>84</v>
      </c>
      <c r="E201" t="s">
        <v>83</v>
      </c>
      <c r="F201">
        <f>'2019_4-1-5_Download'!F66</f>
        <v>33.734217869495488</v>
      </c>
    </row>
    <row r="202" spans="1:6" x14ac:dyDescent="0.25">
      <c r="A202" t="str">
        <f>'2019_4-1-5_Download'!D67</f>
        <v>20151)</v>
      </c>
      <c r="B202" t="str">
        <f>'2019_4-1-5_Download'!B67</f>
        <v>15 – 65</v>
      </c>
      <c r="C202" t="str">
        <f>'2019_4-1-5_Download'!C67</f>
        <v>Realschulabschluss</v>
      </c>
      <c r="D202" t="s">
        <v>84</v>
      </c>
      <c r="E202" t="s">
        <v>83</v>
      </c>
      <c r="F202">
        <f>'2019_4-1-5_Download'!F67</f>
        <v>32.993325675833574</v>
      </c>
    </row>
    <row r="203" spans="1:6" x14ac:dyDescent="0.25">
      <c r="A203" t="str">
        <f>'2019_4-1-5_Download'!D68</f>
        <v>20151)</v>
      </c>
      <c r="B203" t="str">
        <f>'2019_4-1-5_Download'!B68</f>
        <v>18 – 25</v>
      </c>
      <c r="C203" t="str">
        <f>'2019_4-1-5_Download'!C68</f>
        <v>(Fach-)Hochschulreife</v>
      </c>
      <c r="D203" t="s">
        <v>84</v>
      </c>
      <c r="E203" t="s">
        <v>83</v>
      </c>
      <c r="F203">
        <f>'2019_4-1-5_Download'!F68</f>
        <v>34.225391803976599</v>
      </c>
    </row>
    <row r="204" spans="1:6" x14ac:dyDescent="0.25">
      <c r="A204" t="str">
        <f>'2019_4-1-5_Download'!D69</f>
        <v>20151)</v>
      </c>
      <c r="B204" t="str">
        <f>'2019_4-1-5_Download'!B69</f>
        <v>25 – 35</v>
      </c>
      <c r="C204" t="str">
        <f>'2019_4-1-5_Download'!C69</f>
        <v>(Fach-)Hochschulreife</v>
      </c>
      <c r="D204" t="s">
        <v>84</v>
      </c>
      <c r="E204" t="s">
        <v>83</v>
      </c>
      <c r="F204">
        <f>'2019_4-1-5_Download'!F69</f>
        <v>36.626992389185006</v>
      </c>
    </row>
    <row r="205" spans="1:6" x14ac:dyDescent="0.25">
      <c r="A205" t="str">
        <f>'2019_4-1-5_Download'!D70</f>
        <v>20151)</v>
      </c>
      <c r="B205" t="str">
        <f>'2019_4-1-5_Download'!B70</f>
        <v>15 – 65</v>
      </c>
      <c r="C205" t="str">
        <f>'2019_4-1-5_Download'!C70</f>
        <v>(Fach-)Hochschulreife</v>
      </c>
      <c r="D205" t="s">
        <v>84</v>
      </c>
      <c r="E205" t="s">
        <v>83</v>
      </c>
      <c r="F205">
        <f>'2019_4-1-5_Download'!F70</f>
        <v>30.0037022912731</v>
      </c>
    </row>
    <row r="206" spans="1:6" x14ac:dyDescent="0.25">
      <c r="A206" t="str">
        <f>'2019_4-1-5_Download'!D71</f>
        <v>20141)</v>
      </c>
      <c r="B206" t="str">
        <f>'2019_4-1-5_Download'!B71</f>
        <v>18 – 25</v>
      </c>
      <c r="C206" t="str">
        <f>'2019_4-1-5_Download'!C71</f>
        <v>Ohne Abschluss2)</v>
      </c>
      <c r="D206" t="s">
        <v>84</v>
      </c>
      <c r="E206" t="s">
        <v>83</v>
      </c>
      <c r="F206">
        <f>'2019_4-1-5_Download'!F71</f>
        <v>9.559354170113469</v>
      </c>
    </row>
    <row r="207" spans="1:6" x14ac:dyDescent="0.25">
      <c r="A207" t="str">
        <f>'2019_4-1-5_Download'!D72</f>
        <v>20141)</v>
      </c>
      <c r="B207" t="str">
        <f>'2019_4-1-5_Download'!B72</f>
        <v>25 – 35</v>
      </c>
      <c r="C207" t="str">
        <f>'2019_4-1-5_Download'!C72</f>
        <v>Ohne Abschluss2)</v>
      </c>
      <c r="D207" t="s">
        <v>84</v>
      </c>
      <c r="E207" t="s">
        <v>83</v>
      </c>
      <c r="F207">
        <f>'2019_4-1-5_Download'!F72</f>
        <v>7.3042348379107986</v>
      </c>
    </row>
    <row r="208" spans="1:6" x14ac:dyDescent="0.25">
      <c r="A208" t="str">
        <f>'2019_4-1-5_Download'!D73</f>
        <v>20141)</v>
      </c>
      <c r="B208" t="str">
        <f>'2019_4-1-5_Download'!B73</f>
        <v>15 – 65</v>
      </c>
      <c r="C208" t="str">
        <f>'2019_4-1-5_Download'!C73</f>
        <v>Ohne Abschluss2)</v>
      </c>
      <c r="D208" t="s">
        <v>84</v>
      </c>
      <c r="E208" t="s">
        <v>83</v>
      </c>
      <c r="F208">
        <f>'2019_4-1-5_Download'!F73</f>
        <v>9.8462751302561919</v>
      </c>
    </row>
    <row r="209" spans="1:6" x14ac:dyDescent="0.25">
      <c r="A209" t="str">
        <f>'2019_4-1-5_Download'!D74</f>
        <v>20141)</v>
      </c>
      <c r="B209" t="str">
        <f>'2019_4-1-5_Download'!B74</f>
        <v>18 – 25</v>
      </c>
      <c r="C209" t="str">
        <f>'2019_4-1-5_Download'!C74</f>
        <v>Hauptschulabschluss</v>
      </c>
      <c r="D209" t="s">
        <v>84</v>
      </c>
      <c r="E209" t="s">
        <v>83</v>
      </c>
      <c r="F209">
        <f>'2019_4-1-5_Download'!F74</f>
        <v>18.548725457891294</v>
      </c>
    </row>
    <row r="210" spans="1:6" x14ac:dyDescent="0.25">
      <c r="A210" t="str">
        <f>'2019_4-1-5_Download'!D75</f>
        <v>20141)</v>
      </c>
      <c r="B210" t="str">
        <f>'2019_4-1-5_Download'!B75</f>
        <v>25 – 35</v>
      </c>
      <c r="C210" t="str">
        <f>'2019_4-1-5_Download'!C75</f>
        <v>Hauptschulabschluss</v>
      </c>
      <c r="D210" t="s">
        <v>84</v>
      </c>
      <c r="E210" t="s">
        <v>83</v>
      </c>
      <c r="F210">
        <f>'2019_4-1-5_Download'!F75</f>
        <v>21.50081352989336</v>
      </c>
    </row>
    <row r="211" spans="1:6" x14ac:dyDescent="0.25">
      <c r="A211" t="str">
        <f>'2019_4-1-5_Download'!D76</f>
        <v>20141)</v>
      </c>
      <c r="B211" t="str">
        <f>'2019_4-1-5_Download'!B76</f>
        <v>15 – 65</v>
      </c>
      <c r="C211" t="str">
        <f>'2019_4-1-5_Download'!C76</f>
        <v>Hauptschulabschluss</v>
      </c>
      <c r="D211" t="s">
        <v>84</v>
      </c>
      <c r="E211" t="s">
        <v>83</v>
      </c>
      <c r="F211">
        <f>'2019_4-1-5_Download'!F76</f>
        <v>27.334512304358739</v>
      </c>
    </row>
    <row r="212" spans="1:6" x14ac:dyDescent="0.25">
      <c r="A212" t="str">
        <f>'2019_4-1-5_Download'!D77</f>
        <v>20141)</v>
      </c>
      <c r="B212" t="str">
        <f>'2019_4-1-5_Download'!B77</f>
        <v>18 – 25</v>
      </c>
      <c r="C212" t="str">
        <f>'2019_4-1-5_Download'!C77</f>
        <v>Realschulabschluss</v>
      </c>
      <c r="D212" t="s">
        <v>84</v>
      </c>
      <c r="E212" t="s">
        <v>83</v>
      </c>
      <c r="F212">
        <f>'2019_4-1-5_Download'!F77</f>
        <v>38.59132261477744</v>
      </c>
    </row>
    <row r="213" spans="1:6" x14ac:dyDescent="0.25">
      <c r="A213" t="str">
        <f>'2019_4-1-5_Download'!D78</f>
        <v>20141)</v>
      </c>
      <c r="B213" t="str">
        <f>'2019_4-1-5_Download'!B78</f>
        <v>25 – 35</v>
      </c>
      <c r="C213" t="str">
        <f>'2019_4-1-5_Download'!C78</f>
        <v>Realschulabschluss</v>
      </c>
      <c r="D213" t="s">
        <v>84</v>
      </c>
      <c r="E213" t="s">
        <v>83</v>
      </c>
      <c r="F213">
        <f>'2019_4-1-5_Download'!F78</f>
        <v>35.104029005106554</v>
      </c>
    </row>
    <row r="214" spans="1:6" x14ac:dyDescent="0.25">
      <c r="A214" t="str">
        <f>'2019_4-1-5_Download'!D79</f>
        <v>20141)</v>
      </c>
      <c r="B214" t="str">
        <f>'2019_4-1-5_Download'!B79</f>
        <v>15 – 65</v>
      </c>
      <c r="C214" t="str">
        <f>'2019_4-1-5_Download'!C79</f>
        <v>Realschulabschluss</v>
      </c>
      <c r="D214" t="s">
        <v>84</v>
      </c>
      <c r="E214" t="s">
        <v>83</v>
      </c>
      <c r="F214">
        <f>'2019_4-1-5_Download'!F79</f>
        <v>33.124812803572162</v>
      </c>
    </row>
    <row r="215" spans="1:6" x14ac:dyDescent="0.25">
      <c r="A215" t="str">
        <f>'2019_4-1-5_Download'!D80</f>
        <v>20141)</v>
      </c>
      <c r="B215" t="str">
        <f>'2019_4-1-5_Download'!B80</f>
        <v>18 – 25</v>
      </c>
      <c r="C215" t="str">
        <f>'2019_4-1-5_Download'!C80</f>
        <v>(Fach-)Hochschulreife</v>
      </c>
      <c r="D215" t="s">
        <v>84</v>
      </c>
      <c r="E215" t="s">
        <v>83</v>
      </c>
      <c r="F215">
        <f>'2019_4-1-5_Download'!F80</f>
        <v>33.300616211925743</v>
      </c>
    </row>
    <row r="216" spans="1:6" x14ac:dyDescent="0.25">
      <c r="A216" t="str">
        <f>'2019_4-1-5_Download'!D81</f>
        <v>20141)</v>
      </c>
      <c r="B216" t="str">
        <f>'2019_4-1-5_Download'!B81</f>
        <v>25 – 35</v>
      </c>
      <c r="C216" t="str">
        <f>'2019_4-1-5_Download'!C81</f>
        <v>(Fach-)Hochschulreife</v>
      </c>
      <c r="D216" t="s">
        <v>84</v>
      </c>
      <c r="E216" t="s">
        <v>83</v>
      </c>
      <c r="F216">
        <f>'2019_4-1-5_Download'!F81</f>
        <v>36.090922627089292</v>
      </c>
    </row>
    <row r="217" spans="1:6" x14ac:dyDescent="0.25">
      <c r="A217" t="str">
        <f>'2019_4-1-5_Download'!D82</f>
        <v>20141)</v>
      </c>
      <c r="B217" t="str">
        <f>'2019_4-1-5_Download'!B82</f>
        <v>15 – 65</v>
      </c>
      <c r="C217" t="str">
        <f>'2019_4-1-5_Download'!C82</f>
        <v>(Fach-)Hochschulreife</v>
      </c>
      <c r="D217" t="s">
        <v>84</v>
      </c>
      <c r="E217" t="s">
        <v>83</v>
      </c>
      <c r="F217">
        <f>'2019_4-1-5_Download'!F82</f>
        <v>29.69439976181291</v>
      </c>
    </row>
    <row r="218" spans="1:6" x14ac:dyDescent="0.25">
      <c r="A218" t="str">
        <f>'2019_4-1-5_Download'!D83</f>
        <v>20131)</v>
      </c>
      <c r="B218" t="str">
        <f>'2019_4-1-5_Download'!B83</f>
        <v>18 – 25</v>
      </c>
      <c r="C218" t="str">
        <f>'2019_4-1-5_Download'!C83</f>
        <v>Ohne Abschluss2)</v>
      </c>
      <c r="D218" t="s">
        <v>84</v>
      </c>
      <c r="E218" t="s">
        <v>83</v>
      </c>
      <c r="F218">
        <f>'2019_4-1-5_Download'!F83</f>
        <v>7.1529042726009893</v>
      </c>
    </row>
    <row r="219" spans="1:6" x14ac:dyDescent="0.25">
      <c r="A219" t="str">
        <f>'2019_4-1-5_Download'!D84</f>
        <v>20131)</v>
      </c>
      <c r="B219" t="str">
        <f>'2019_4-1-5_Download'!B84</f>
        <v>25 – 35</v>
      </c>
      <c r="C219" t="str">
        <f>'2019_4-1-5_Download'!C84</f>
        <v>Ohne Abschluss2)</v>
      </c>
      <c r="D219" t="s">
        <v>84</v>
      </c>
      <c r="E219" t="s">
        <v>83</v>
      </c>
      <c r="F219">
        <f>'2019_4-1-5_Download'!F84</f>
        <v>7.2757819495800566</v>
      </c>
    </row>
    <row r="220" spans="1:6" x14ac:dyDescent="0.25">
      <c r="A220" t="str">
        <f>'2019_4-1-5_Download'!D85</f>
        <v>20131)</v>
      </c>
      <c r="B220" t="str">
        <f>'2019_4-1-5_Download'!B85</f>
        <v>15 – 65</v>
      </c>
      <c r="C220" t="str">
        <f>'2019_4-1-5_Download'!C85</f>
        <v>Ohne Abschluss2)</v>
      </c>
      <c r="D220" t="s">
        <v>84</v>
      </c>
      <c r="E220" t="s">
        <v>83</v>
      </c>
      <c r="F220">
        <f>'2019_4-1-5_Download'!F85</f>
        <v>10.179727753164585</v>
      </c>
    </row>
    <row r="221" spans="1:6" x14ac:dyDescent="0.25">
      <c r="A221" t="str">
        <f>'2019_4-1-5_Download'!D86</f>
        <v>20131)</v>
      </c>
      <c r="B221" t="str">
        <f>'2019_4-1-5_Download'!B86</f>
        <v>18 – 25</v>
      </c>
      <c r="C221" t="str">
        <f>'2019_4-1-5_Download'!C86</f>
        <v>Hauptschulabschluss</v>
      </c>
      <c r="D221" t="s">
        <v>84</v>
      </c>
      <c r="E221" t="s">
        <v>83</v>
      </c>
      <c r="F221">
        <f>'2019_4-1-5_Download'!F86</f>
        <v>19.91576102292148</v>
      </c>
    </row>
    <row r="222" spans="1:6" x14ac:dyDescent="0.25">
      <c r="A222" t="str">
        <f>'2019_4-1-5_Download'!D87</f>
        <v>20131)</v>
      </c>
      <c r="B222" t="str">
        <f>'2019_4-1-5_Download'!B87</f>
        <v>25 – 35</v>
      </c>
      <c r="C222" t="str">
        <f>'2019_4-1-5_Download'!C87</f>
        <v>Hauptschulabschluss</v>
      </c>
      <c r="D222" t="s">
        <v>84</v>
      </c>
      <c r="E222" t="s">
        <v>83</v>
      </c>
      <c r="F222">
        <f>'2019_4-1-5_Download'!F87</f>
        <v>22.409458177310459</v>
      </c>
    </row>
    <row r="223" spans="1:6" x14ac:dyDescent="0.25">
      <c r="A223" t="str">
        <f>'2019_4-1-5_Download'!D88</f>
        <v>20131)</v>
      </c>
      <c r="B223" t="str">
        <f>'2019_4-1-5_Download'!B88</f>
        <v>15 – 65</v>
      </c>
      <c r="C223" t="str">
        <f>'2019_4-1-5_Download'!C88</f>
        <v>Hauptschulabschluss</v>
      </c>
      <c r="D223" t="s">
        <v>84</v>
      </c>
      <c r="E223" t="s">
        <v>83</v>
      </c>
      <c r="F223">
        <f>'2019_4-1-5_Download'!F88</f>
        <v>27.690940448672496</v>
      </c>
    </row>
    <row r="224" spans="1:6" x14ac:dyDescent="0.25">
      <c r="A224" t="str">
        <f>'2019_4-1-5_Download'!D89</f>
        <v>20131)</v>
      </c>
      <c r="B224" t="str">
        <f>'2019_4-1-5_Download'!B89</f>
        <v>18 – 25</v>
      </c>
      <c r="C224" t="str">
        <f>'2019_4-1-5_Download'!C89</f>
        <v>Realschulabschluss</v>
      </c>
      <c r="D224" t="s">
        <v>84</v>
      </c>
      <c r="E224" t="s">
        <v>83</v>
      </c>
      <c r="F224">
        <f>'2019_4-1-5_Download'!F89</f>
        <v>40.424206540712667</v>
      </c>
    </row>
    <row r="225" spans="1:6" x14ac:dyDescent="0.25">
      <c r="A225" t="str">
        <f>'2019_4-1-5_Download'!D90</f>
        <v>20131)</v>
      </c>
      <c r="B225" t="str">
        <f>'2019_4-1-5_Download'!B90</f>
        <v>25 – 35</v>
      </c>
      <c r="C225" t="str">
        <f>'2019_4-1-5_Download'!C90</f>
        <v>Realschulabschluss</v>
      </c>
      <c r="D225" t="s">
        <v>84</v>
      </c>
      <c r="E225" t="s">
        <v>83</v>
      </c>
      <c r="F225">
        <f>'2019_4-1-5_Download'!F90</f>
        <v>35.325695773352948</v>
      </c>
    </row>
    <row r="226" spans="1:6" x14ac:dyDescent="0.25">
      <c r="A226" t="str">
        <f>'2019_4-1-5_Download'!D91</f>
        <v>20131)</v>
      </c>
      <c r="B226" t="str">
        <f>'2019_4-1-5_Download'!B91</f>
        <v>15 – 65</v>
      </c>
      <c r="C226" t="str">
        <f>'2019_4-1-5_Download'!C91</f>
        <v>Realschulabschluss</v>
      </c>
      <c r="D226" t="s">
        <v>84</v>
      </c>
      <c r="E226" t="s">
        <v>83</v>
      </c>
      <c r="F226">
        <f>'2019_4-1-5_Download'!F91</f>
        <v>32.910418916307925</v>
      </c>
    </row>
    <row r="227" spans="1:6" x14ac:dyDescent="0.25">
      <c r="A227" t="str">
        <f>'2019_4-1-5_Download'!D92</f>
        <v>20131)</v>
      </c>
      <c r="B227" t="str">
        <f>'2019_4-1-5_Download'!B92</f>
        <v>18 – 25</v>
      </c>
      <c r="C227" t="str">
        <f>'2019_4-1-5_Download'!C92</f>
        <v>(Fach-)Hochschulreife</v>
      </c>
      <c r="D227" t="s">
        <v>84</v>
      </c>
      <c r="E227" t="s">
        <v>83</v>
      </c>
      <c r="F227">
        <f>'2019_4-1-5_Download'!F92</f>
        <v>32.507137079263146</v>
      </c>
    </row>
    <row r="228" spans="1:6" x14ac:dyDescent="0.25">
      <c r="A228" t="str">
        <f>'2019_4-1-5_Download'!D93</f>
        <v>20131)</v>
      </c>
      <c r="B228" t="str">
        <f>'2019_4-1-5_Download'!B93</f>
        <v>25 – 35</v>
      </c>
      <c r="C228" t="str">
        <f>'2019_4-1-5_Download'!C93</f>
        <v>(Fach-)Hochschulreife</v>
      </c>
      <c r="D228" t="s">
        <v>84</v>
      </c>
      <c r="E228" t="s">
        <v>83</v>
      </c>
      <c r="F228">
        <f>'2019_4-1-5_Download'!F93</f>
        <v>34.989069037514867</v>
      </c>
    </row>
    <row r="229" spans="1:6" x14ac:dyDescent="0.25">
      <c r="A229" t="str">
        <f>'2019_4-1-5_Download'!D94</f>
        <v>20131)</v>
      </c>
      <c r="B229" t="str">
        <f>'2019_4-1-5_Download'!B94</f>
        <v>15 – 65</v>
      </c>
      <c r="C229" t="str">
        <f>'2019_4-1-5_Download'!C94</f>
        <v>(Fach-)Hochschulreife</v>
      </c>
      <c r="D229" t="s">
        <v>84</v>
      </c>
      <c r="E229" t="s">
        <v>83</v>
      </c>
      <c r="F229">
        <f>'2019_4-1-5_Download'!F94</f>
        <v>29.218912881854987</v>
      </c>
    </row>
    <row r="230" spans="1:6" x14ac:dyDescent="0.25">
      <c r="A230" t="str">
        <f>'2019_4-1-5_Download'!D95</f>
        <v>20121)</v>
      </c>
      <c r="B230" t="str">
        <f>'2019_4-1-5_Download'!B95</f>
        <v>18 – 25</v>
      </c>
      <c r="C230" t="str">
        <f>'2019_4-1-5_Download'!C95</f>
        <v>Ohne Abschluss2)</v>
      </c>
      <c r="D230" t="s">
        <v>84</v>
      </c>
      <c r="E230" t="s">
        <v>83</v>
      </c>
      <c r="F230">
        <f>'2019_4-1-5_Download'!F95</f>
        <v>8.1002219604773789</v>
      </c>
    </row>
    <row r="231" spans="1:6" x14ac:dyDescent="0.25">
      <c r="A231" t="str">
        <f>'2019_4-1-5_Download'!D96</f>
        <v>20121)</v>
      </c>
      <c r="B231" t="str">
        <f>'2019_4-1-5_Download'!B96</f>
        <v>25 – 35</v>
      </c>
      <c r="C231" t="str">
        <f>'2019_4-1-5_Download'!C96</f>
        <v>Ohne Abschluss2)</v>
      </c>
      <c r="D231" t="s">
        <v>84</v>
      </c>
      <c r="E231" t="s">
        <v>83</v>
      </c>
      <c r="F231">
        <f>'2019_4-1-5_Download'!F96</f>
        <v>8.4287684106985772</v>
      </c>
    </row>
    <row r="232" spans="1:6" x14ac:dyDescent="0.25">
      <c r="A232" t="str">
        <f>'2019_4-1-5_Download'!D97</f>
        <v>20121)</v>
      </c>
      <c r="B232" t="str">
        <f>'2019_4-1-5_Download'!B97</f>
        <v>15 – 65</v>
      </c>
      <c r="C232" t="str">
        <f>'2019_4-1-5_Download'!C97</f>
        <v>Ohne Abschluss2)</v>
      </c>
      <c r="D232" t="s">
        <v>84</v>
      </c>
      <c r="E232" t="s">
        <v>83</v>
      </c>
      <c r="F232">
        <f>'2019_4-1-5_Download'!F97</f>
        <v>10.216130628791072</v>
      </c>
    </row>
    <row r="233" spans="1:6" x14ac:dyDescent="0.25">
      <c r="A233" t="str">
        <f>'2019_4-1-5_Download'!D98</f>
        <v>20121)</v>
      </c>
      <c r="B233" t="str">
        <f>'2019_4-1-5_Download'!B98</f>
        <v>18 – 25</v>
      </c>
      <c r="C233" t="str">
        <f>'2019_4-1-5_Download'!C98</f>
        <v>Hauptschulabschluss</v>
      </c>
      <c r="D233" t="s">
        <v>84</v>
      </c>
      <c r="E233" t="s">
        <v>83</v>
      </c>
      <c r="F233">
        <f>'2019_4-1-5_Download'!F98</f>
        <v>21.495243697544868</v>
      </c>
    </row>
    <row r="234" spans="1:6" x14ac:dyDescent="0.25">
      <c r="A234" t="str">
        <f>'2019_4-1-5_Download'!D99</f>
        <v>20121)</v>
      </c>
      <c r="B234" t="str">
        <f>'2019_4-1-5_Download'!B99</f>
        <v>25 – 35</v>
      </c>
      <c r="C234" t="str">
        <f>'2019_4-1-5_Download'!C99</f>
        <v>Hauptschulabschluss</v>
      </c>
      <c r="D234" t="s">
        <v>84</v>
      </c>
      <c r="E234" t="s">
        <v>83</v>
      </c>
      <c r="F234">
        <f>'2019_4-1-5_Download'!F99</f>
        <v>24.312591505676192</v>
      </c>
    </row>
    <row r="235" spans="1:6" x14ac:dyDescent="0.25">
      <c r="A235" t="str">
        <f>'2019_4-1-5_Download'!D100</f>
        <v>20121)</v>
      </c>
      <c r="B235" t="str">
        <f>'2019_4-1-5_Download'!B100</f>
        <v>15 – 65</v>
      </c>
      <c r="C235" t="str">
        <f>'2019_4-1-5_Download'!C100</f>
        <v>Hauptschulabschluss</v>
      </c>
      <c r="D235" t="s">
        <v>84</v>
      </c>
      <c r="E235" t="s">
        <v>83</v>
      </c>
      <c r="F235">
        <f>'2019_4-1-5_Download'!F100</f>
        <v>29.198939717725743</v>
      </c>
    </row>
    <row r="236" spans="1:6" x14ac:dyDescent="0.25">
      <c r="A236" t="str">
        <f>'2019_4-1-5_Download'!D101</f>
        <v>20121)</v>
      </c>
      <c r="B236" t="str">
        <f>'2019_4-1-5_Download'!B101</f>
        <v>18 – 25</v>
      </c>
      <c r="C236" t="str">
        <f>'2019_4-1-5_Download'!C101</f>
        <v>Realschulabschluss</v>
      </c>
      <c r="D236" t="s">
        <v>84</v>
      </c>
      <c r="E236" t="s">
        <v>83</v>
      </c>
      <c r="F236">
        <f>'2019_4-1-5_Download'!F101</f>
        <v>40.377855146563284</v>
      </c>
    </row>
    <row r="237" spans="1:6" x14ac:dyDescent="0.25">
      <c r="A237" t="str">
        <f>'2019_4-1-5_Download'!D102</f>
        <v>20121)</v>
      </c>
      <c r="B237" t="str">
        <f>'2019_4-1-5_Download'!B102</f>
        <v>25 – 35</v>
      </c>
      <c r="C237" t="str">
        <f>'2019_4-1-5_Download'!C102</f>
        <v>Realschulabschluss</v>
      </c>
      <c r="D237" t="s">
        <v>84</v>
      </c>
      <c r="E237" t="s">
        <v>83</v>
      </c>
      <c r="F237">
        <f>'2019_4-1-5_Download'!F102</f>
        <v>35.603301386828385</v>
      </c>
    </row>
    <row r="238" spans="1:6" x14ac:dyDescent="0.25">
      <c r="A238" t="str">
        <f>'2019_4-1-5_Download'!D103</f>
        <v>20121)</v>
      </c>
      <c r="B238" t="str">
        <f>'2019_4-1-5_Download'!B103</f>
        <v>15 – 65</v>
      </c>
      <c r="C238" t="str">
        <f>'2019_4-1-5_Download'!C103</f>
        <v>Realschulabschluss</v>
      </c>
      <c r="D238" t="s">
        <v>84</v>
      </c>
      <c r="E238" t="s">
        <v>83</v>
      </c>
      <c r="F238">
        <f>'2019_4-1-5_Download'!F103</f>
        <v>32.300267472890042</v>
      </c>
    </row>
    <row r="239" spans="1:6" x14ac:dyDescent="0.25">
      <c r="A239" t="str">
        <f>'2019_4-1-5_Download'!D104</f>
        <v>20121)</v>
      </c>
      <c r="B239" t="str">
        <f>'2019_4-1-5_Download'!B104</f>
        <v>18 – 25</v>
      </c>
      <c r="C239" t="str">
        <f>'2019_4-1-5_Download'!C104</f>
        <v>(Fach-)Hochschulreife</v>
      </c>
      <c r="D239" t="s">
        <v>84</v>
      </c>
      <c r="E239" t="s">
        <v>83</v>
      </c>
      <c r="F239">
        <f>'2019_4-1-5_Download'!F104</f>
        <v>30.026688311208844</v>
      </c>
    </row>
    <row r="240" spans="1:6" x14ac:dyDescent="0.25">
      <c r="A240" t="str">
        <f>'2019_4-1-5_Download'!D105</f>
        <v>20121)</v>
      </c>
      <c r="B240" t="str">
        <f>'2019_4-1-5_Download'!B105</f>
        <v>25 – 35</v>
      </c>
      <c r="C240" t="str">
        <f>'2019_4-1-5_Download'!C105</f>
        <v>(Fach-)Hochschulreife</v>
      </c>
      <c r="D240" t="s">
        <v>84</v>
      </c>
      <c r="E240" t="s">
        <v>83</v>
      </c>
      <c r="F240">
        <f>'2019_4-1-5_Download'!F105</f>
        <v>31.655338696796854</v>
      </c>
    </row>
    <row r="241" spans="1:6" x14ac:dyDescent="0.25">
      <c r="A241" t="str">
        <f>'2019_4-1-5_Download'!D106</f>
        <v>20121)</v>
      </c>
      <c r="B241" t="str">
        <f>'2019_4-1-5_Download'!B106</f>
        <v>15 – 65</v>
      </c>
      <c r="C241" t="str">
        <f>'2019_4-1-5_Download'!C106</f>
        <v>(Fach-)Hochschulreife</v>
      </c>
      <c r="D241" t="s">
        <v>84</v>
      </c>
      <c r="E241" t="s">
        <v>83</v>
      </c>
      <c r="F241">
        <f>'2019_4-1-5_Download'!F106</f>
        <v>28.284663417627893</v>
      </c>
    </row>
    <row r="242" spans="1:6" x14ac:dyDescent="0.25">
      <c r="A242" t="str">
        <f>'2019_4-1-5_Download'!D107</f>
        <v>20111)</v>
      </c>
      <c r="B242" t="str">
        <f>'2019_4-1-5_Download'!B107</f>
        <v>18 – 25</v>
      </c>
      <c r="C242" t="str">
        <f>'2019_4-1-5_Download'!C107</f>
        <v>Ohne Abschluss2)</v>
      </c>
      <c r="D242" t="s">
        <v>84</v>
      </c>
      <c r="E242" t="s">
        <v>83</v>
      </c>
      <c r="F242">
        <f>'2019_4-1-5_Download'!F107</f>
        <v>6.4307154189557831</v>
      </c>
    </row>
    <row r="243" spans="1:6" x14ac:dyDescent="0.25">
      <c r="A243" t="str">
        <f>'2019_4-1-5_Download'!D108</f>
        <v>20111)</v>
      </c>
      <c r="B243" t="str">
        <f>'2019_4-1-5_Download'!B108</f>
        <v>25 – 35</v>
      </c>
      <c r="C243" t="str">
        <f>'2019_4-1-5_Download'!C108</f>
        <v>Ohne Abschluss2)</v>
      </c>
      <c r="D243" t="s">
        <v>84</v>
      </c>
      <c r="E243" t="s">
        <v>83</v>
      </c>
      <c r="F243">
        <f>'2019_4-1-5_Download'!F108</f>
        <v>8.1456388805452651</v>
      </c>
    </row>
    <row r="244" spans="1:6" x14ac:dyDescent="0.25">
      <c r="A244" t="str">
        <f>'2019_4-1-5_Download'!D109</f>
        <v>20111)</v>
      </c>
      <c r="B244" t="str">
        <f>'2019_4-1-5_Download'!B109</f>
        <v>15 – 65</v>
      </c>
      <c r="C244" t="str">
        <f>'2019_4-1-5_Download'!C109</f>
        <v>Ohne Abschluss2)</v>
      </c>
      <c r="D244" t="s">
        <v>84</v>
      </c>
      <c r="E244" t="s">
        <v>83</v>
      </c>
      <c r="F244">
        <f>'2019_4-1-5_Download'!F109</f>
        <v>10.688288835368448</v>
      </c>
    </row>
    <row r="245" spans="1:6" x14ac:dyDescent="0.25">
      <c r="A245" t="str">
        <f>'2019_4-1-5_Download'!D110</f>
        <v>20111)</v>
      </c>
      <c r="B245" t="str">
        <f>'2019_4-1-5_Download'!B110</f>
        <v>18 – 25</v>
      </c>
      <c r="C245" t="str">
        <f>'2019_4-1-5_Download'!C110</f>
        <v>Hauptschulabschluss</v>
      </c>
      <c r="D245" t="s">
        <v>84</v>
      </c>
      <c r="E245" t="s">
        <v>83</v>
      </c>
      <c r="F245">
        <f>'2019_4-1-5_Download'!F110</f>
        <v>23.900930736812033</v>
      </c>
    </row>
    <row r="246" spans="1:6" x14ac:dyDescent="0.25">
      <c r="A246" t="str">
        <f>'2019_4-1-5_Download'!D111</f>
        <v>20111)</v>
      </c>
      <c r="B246" t="str">
        <f>'2019_4-1-5_Download'!B111</f>
        <v>25 – 35</v>
      </c>
      <c r="C246" t="str">
        <f>'2019_4-1-5_Download'!C111</f>
        <v>Hauptschulabschluss</v>
      </c>
      <c r="D246" t="s">
        <v>84</v>
      </c>
      <c r="E246" t="s">
        <v>83</v>
      </c>
      <c r="F246">
        <f>'2019_4-1-5_Download'!F111</f>
        <v>25.434681609964461</v>
      </c>
    </row>
    <row r="247" spans="1:6" x14ac:dyDescent="0.25">
      <c r="A247" t="str">
        <f>'2019_4-1-5_Download'!D112</f>
        <v>20111)</v>
      </c>
      <c r="B247" t="str">
        <f>'2019_4-1-5_Download'!B112</f>
        <v>15 – 65</v>
      </c>
      <c r="C247" t="str">
        <f>'2019_4-1-5_Download'!C112</f>
        <v>Hauptschulabschluss</v>
      </c>
      <c r="D247" t="s">
        <v>84</v>
      </c>
      <c r="E247" t="s">
        <v>83</v>
      </c>
      <c r="F247">
        <f>'2019_4-1-5_Download'!F112</f>
        <v>30.442144680838183</v>
      </c>
    </row>
    <row r="248" spans="1:6" x14ac:dyDescent="0.25">
      <c r="A248" t="str">
        <f>'2019_4-1-5_Download'!D113</f>
        <v>20111)</v>
      </c>
      <c r="B248" t="str">
        <f>'2019_4-1-5_Download'!B113</f>
        <v>18 – 25</v>
      </c>
      <c r="C248" t="str">
        <f>'2019_4-1-5_Download'!C113</f>
        <v>Realschulabschluss</v>
      </c>
      <c r="D248" t="s">
        <v>84</v>
      </c>
      <c r="E248" t="s">
        <v>83</v>
      </c>
      <c r="F248">
        <f>'2019_4-1-5_Download'!F113</f>
        <v>40.840313111816087</v>
      </c>
    </row>
    <row r="249" spans="1:6" x14ac:dyDescent="0.25">
      <c r="A249" t="str">
        <f>'2019_4-1-5_Download'!D114</f>
        <v>20111)</v>
      </c>
      <c r="B249" t="str">
        <f>'2019_4-1-5_Download'!B114</f>
        <v>25 – 35</v>
      </c>
      <c r="C249" t="str">
        <f>'2019_4-1-5_Download'!C114</f>
        <v>Realschulabschluss</v>
      </c>
      <c r="D249" t="s">
        <v>84</v>
      </c>
      <c r="E249" t="s">
        <v>83</v>
      </c>
      <c r="F249">
        <f>'2019_4-1-5_Download'!F114</f>
        <v>34.943864628809393</v>
      </c>
    </row>
    <row r="250" spans="1:6" x14ac:dyDescent="0.25">
      <c r="A250" t="str">
        <f>'2019_4-1-5_Download'!D115</f>
        <v>20111)</v>
      </c>
      <c r="B250" t="str">
        <f>'2019_4-1-5_Download'!B115</f>
        <v>15 – 65</v>
      </c>
      <c r="C250" t="str">
        <f>'2019_4-1-5_Download'!C115</f>
        <v>Realschulabschluss</v>
      </c>
      <c r="D250" t="s">
        <v>84</v>
      </c>
      <c r="E250" t="s">
        <v>83</v>
      </c>
      <c r="F250">
        <f>'2019_4-1-5_Download'!F115</f>
        <v>32.085785165618979</v>
      </c>
    </row>
    <row r="251" spans="1:6" x14ac:dyDescent="0.25">
      <c r="A251" t="str">
        <f>'2019_4-1-5_Download'!D116</f>
        <v>20111)</v>
      </c>
      <c r="B251" t="str">
        <f>'2019_4-1-5_Download'!B116</f>
        <v>18 – 25</v>
      </c>
      <c r="C251" t="str">
        <f>'2019_4-1-5_Download'!C116</f>
        <v>(Fach-)Hochschulreife</v>
      </c>
      <c r="D251" t="s">
        <v>84</v>
      </c>
      <c r="E251" t="s">
        <v>83</v>
      </c>
      <c r="F251">
        <f>'2019_4-1-5_Download'!F116</f>
        <v>28.828040732416099</v>
      </c>
    </row>
    <row r="252" spans="1:6" x14ac:dyDescent="0.25">
      <c r="A252" t="str">
        <f>'2019_4-1-5_Download'!D117</f>
        <v>20111)</v>
      </c>
      <c r="B252" t="str">
        <f>'2019_4-1-5_Download'!B117</f>
        <v>25 – 35</v>
      </c>
      <c r="C252" t="str">
        <f>'2019_4-1-5_Download'!C117</f>
        <v>(Fach-)Hochschulreife</v>
      </c>
      <c r="D252" t="s">
        <v>84</v>
      </c>
      <c r="E252" t="s">
        <v>83</v>
      </c>
      <c r="F252">
        <f>'2019_4-1-5_Download'!F117</f>
        <v>31.475814880680879</v>
      </c>
    </row>
    <row r="253" spans="1:6" x14ac:dyDescent="0.25">
      <c r="A253" t="str">
        <f>'2019_4-1-5_Download'!D118</f>
        <v>20111)</v>
      </c>
      <c r="B253" t="str">
        <f>'2019_4-1-5_Download'!B118</f>
        <v>15 – 65</v>
      </c>
      <c r="C253" t="str">
        <f>'2019_4-1-5_Download'!C118</f>
        <v>(Fach-)Hochschulreife</v>
      </c>
      <c r="D253" t="s">
        <v>84</v>
      </c>
      <c r="E253" t="s">
        <v>83</v>
      </c>
      <c r="F253">
        <f>'2019_4-1-5_Download'!F118</f>
        <v>26.783781318174388</v>
      </c>
    </row>
    <row r="254" spans="1:6" x14ac:dyDescent="0.25">
      <c r="A254">
        <f>'2019_4-1-5_Download'!D119</f>
        <v>2010</v>
      </c>
      <c r="B254" t="str">
        <f>'2019_4-1-5_Download'!B119</f>
        <v>18 – 25</v>
      </c>
      <c r="C254" t="str">
        <f>'2019_4-1-5_Download'!C119</f>
        <v>Ohne Abschluss2)</v>
      </c>
      <c r="D254" t="s">
        <v>84</v>
      </c>
      <c r="E254" t="s">
        <v>83</v>
      </c>
      <c r="F254">
        <f>'2019_4-1-5_Download'!F119</f>
        <v>8.4267422506858765</v>
      </c>
    </row>
    <row r="255" spans="1:6" x14ac:dyDescent="0.25">
      <c r="A255">
        <f>'2019_4-1-5_Download'!D120</f>
        <v>2010</v>
      </c>
      <c r="B255" t="str">
        <f>'2019_4-1-5_Download'!B120</f>
        <v>25 – 35</v>
      </c>
      <c r="C255" t="str">
        <f>'2019_4-1-5_Download'!C120</f>
        <v>Ohne Abschluss2)</v>
      </c>
      <c r="D255" t="s">
        <v>84</v>
      </c>
      <c r="E255" t="s">
        <v>83</v>
      </c>
      <c r="F255">
        <f>'2019_4-1-5_Download'!F120</f>
        <v>9.8210343130896494</v>
      </c>
    </row>
    <row r="256" spans="1:6" x14ac:dyDescent="0.25">
      <c r="A256">
        <f>'2019_4-1-5_Download'!D121</f>
        <v>2010</v>
      </c>
      <c r="B256" t="str">
        <f>'2019_4-1-5_Download'!B121</f>
        <v>15 – 65</v>
      </c>
      <c r="C256" t="str">
        <f>'2019_4-1-5_Download'!C121</f>
        <v>Ohne Abschluss2)</v>
      </c>
      <c r="D256" t="s">
        <v>84</v>
      </c>
      <c r="E256" t="s">
        <v>83</v>
      </c>
      <c r="F256">
        <f>'2019_4-1-5_Download'!F121</f>
        <v>12.162165016191862</v>
      </c>
    </row>
    <row r="257" spans="1:6" x14ac:dyDescent="0.25">
      <c r="A257">
        <f>'2019_4-1-5_Download'!D122</f>
        <v>2010</v>
      </c>
      <c r="B257" t="str">
        <f>'2019_4-1-5_Download'!B122</f>
        <v>18 – 25</v>
      </c>
      <c r="C257" t="str">
        <f>'2019_4-1-5_Download'!C122</f>
        <v>Hauptschulabschluss</v>
      </c>
      <c r="D257" t="s">
        <v>84</v>
      </c>
      <c r="E257" t="s">
        <v>83</v>
      </c>
      <c r="F257">
        <f>'2019_4-1-5_Download'!F122</f>
        <v>22.113489737169161</v>
      </c>
    </row>
    <row r="258" spans="1:6" x14ac:dyDescent="0.25">
      <c r="A258">
        <f>'2019_4-1-5_Download'!D123</f>
        <v>2010</v>
      </c>
      <c r="B258" t="str">
        <f>'2019_4-1-5_Download'!B123</f>
        <v>25 – 35</v>
      </c>
      <c r="C258" t="str">
        <f>'2019_4-1-5_Download'!C123</f>
        <v>Hauptschulabschluss</v>
      </c>
      <c r="D258" t="s">
        <v>84</v>
      </c>
      <c r="E258" t="s">
        <v>83</v>
      </c>
      <c r="F258">
        <f>'2019_4-1-5_Download'!F123</f>
        <v>25.18419588279059</v>
      </c>
    </row>
    <row r="259" spans="1:6" x14ac:dyDescent="0.25">
      <c r="A259">
        <f>'2019_4-1-5_Download'!D124</f>
        <v>2010</v>
      </c>
      <c r="B259" t="str">
        <f>'2019_4-1-5_Download'!B124</f>
        <v>15 – 65</v>
      </c>
      <c r="C259" t="str">
        <f>'2019_4-1-5_Download'!C124</f>
        <v>Hauptschulabschluss</v>
      </c>
      <c r="D259" t="s">
        <v>84</v>
      </c>
      <c r="E259" t="s">
        <v>83</v>
      </c>
      <c r="F259">
        <f>'2019_4-1-5_Download'!F124</f>
        <v>30.342171586802458</v>
      </c>
    </row>
    <row r="260" spans="1:6" x14ac:dyDescent="0.25">
      <c r="A260">
        <f>'2019_4-1-5_Download'!D125</f>
        <v>2010</v>
      </c>
      <c r="B260" t="str">
        <f>'2019_4-1-5_Download'!B125</f>
        <v>18 – 25</v>
      </c>
      <c r="C260" t="str">
        <f>'2019_4-1-5_Download'!C125</f>
        <v>Realschulabschluss</v>
      </c>
      <c r="D260" t="s">
        <v>84</v>
      </c>
      <c r="E260" t="s">
        <v>83</v>
      </c>
      <c r="F260">
        <f>'2019_4-1-5_Download'!F125</f>
        <v>44.026955396838098</v>
      </c>
    </row>
    <row r="261" spans="1:6" x14ac:dyDescent="0.25">
      <c r="A261">
        <f>'2019_4-1-5_Download'!D126</f>
        <v>2010</v>
      </c>
      <c r="B261" t="str">
        <f>'2019_4-1-5_Download'!B126</f>
        <v>25 – 35</v>
      </c>
      <c r="C261" t="str">
        <f>'2019_4-1-5_Download'!C126</f>
        <v>Realschulabschluss</v>
      </c>
      <c r="D261" t="s">
        <v>84</v>
      </c>
      <c r="E261" t="s">
        <v>83</v>
      </c>
      <c r="F261">
        <f>'2019_4-1-5_Download'!F126</f>
        <v>33.654638770848486</v>
      </c>
    </row>
    <row r="262" spans="1:6" x14ac:dyDescent="0.25">
      <c r="A262">
        <f>'2019_4-1-5_Download'!D127</f>
        <v>2010</v>
      </c>
      <c r="B262" t="str">
        <f>'2019_4-1-5_Download'!B127</f>
        <v>15 – 65</v>
      </c>
      <c r="C262" t="str">
        <f>'2019_4-1-5_Download'!C127</f>
        <v>Realschulabschluss</v>
      </c>
      <c r="D262" t="s">
        <v>84</v>
      </c>
      <c r="E262" t="s">
        <v>83</v>
      </c>
      <c r="F262">
        <f>'2019_4-1-5_Download'!F127</f>
        <v>32.23706293706293</v>
      </c>
    </row>
    <row r="263" spans="1:6" x14ac:dyDescent="0.25">
      <c r="A263">
        <f>'2019_4-1-5_Download'!D128</f>
        <v>2010</v>
      </c>
      <c r="B263" t="str">
        <f>'2019_4-1-5_Download'!B128</f>
        <v>18 – 25</v>
      </c>
      <c r="C263" t="str">
        <f>'2019_4-1-5_Download'!C128</f>
        <v>(Fach-)Hochschulreife</v>
      </c>
      <c r="D263" t="s">
        <v>84</v>
      </c>
      <c r="E263" t="s">
        <v>83</v>
      </c>
      <c r="F263">
        <f>'2019_4-1-5_Download'!F128</f>
        <v>25.432812615306872</v>
      </c>
    </row>
    <row r="264" spans="1:6" x14ac:dyDescent="0.25">
      <c r="A264">
        <f>'2019_4-1-5_Download'!D129</f>
        <v>2010</v>
      </c>
      <c r="B264" t="str">
        <f>'2019_4-1-5_Download'!B129</f>
        <v>25 – 35</v>
      </c>
      <c r="C264" t="str">
        <f>'2019_4-1-5_Download'!C129</f>
        <v>(Fach-)Hochschulreife</v>
      </c>
      <c r="D264" t="s">
        <v>84</v>
      </c>
      <c r="E264" t="s">
        <v>83</v>
      </c>
      <c r="F264">
        <f>'2019_4-1-5_Download'!F129</f>
        <v>31.340131033271273</v>
      </c>
    </row>
    <row r="265" spans="1:6" x14ac:dyDescent="0.25">
      <c r="A265">
        <f>'2019_4-1-5_Download'!D130</f>
        <v>2010</v>
      </c>
      <c r="B265" t="str">
        <f>'2019_4-1-5_Download'!B130</f>
        <v>15 – 65</v>
      </c>
      <c r="C265" t="str">
        <f>'2019_4-1-5_Download'!C130</f>
        <v>(Fach-)Hochschulreife</v>
      </c>
      <c r="D265" t="s">
        <v>84</v>
      </c>
      <c r="E265" t="s">
        <v>83</v>
      </c>
      <c r="F265">
        <f>'2019_4-1-5_Download'!F130</f>
        <v>25.258600459942741</v>
      </c>
    </row>
    <row r="266" spans="1:6" x14ac:dyDescent="0.25">
      <c r="A266">
        <f>'2019_4-1-5_Download'!D131</f>
        <v>2006</v>
      </c>
      <c r="B266" t="str">
        <f>'2019_4-1-5_Download'!B131</f>
        <v>18 – 25</v>
      </c>
      <c r="C266" t="str">
        <f>'2019_4-1-5_Download'!C131</f>
        <v>Ohne Abschluss2)</v>
      </c>
      <c r="D266" t="s">
        <v>84</v>
      </c>
      <c r="E266" t="s">
        <v>83</v>
      </c>
      <c r="F266">
        <f>'2019_4-1-5_Download'!F131</f>
        <v>8.0469137773102641</v>
      </c>
    </row>
    <row r="267" spans="1:6" x14ac:dyDescent="0.25">
      <c r="A267">
        <f>'2019_4-1-5_Download'!D132</f>
        <v>2006</v>
      </c>
      <c r="B267" t="str">
        <f>'2019_4-1-5_Download'!B132</f>
        <v>25 – 35</v>
      </c>
      <c r="C267" t="str">
        <f>'2019_4-1-5_Download'!C132</f>
        <v>Ohne Abschluss2)</v>
      </c>
      <c r="D267" t="s">
        <v>84</v>
      </c>
      <c r="E267" t="s">
        <v>83</v>
      </c>
      <c r="F267">
        <f>'2019_4-1-5_Download'!F132</f>
        <v>11.60080724627948</v>
      </c>
    </row>
    <row r="268" spans="1:6" x14ac:dyDescent="0.25">
      <c r="A268">
        <f>'2019_4-1-5_Download'!D133</f>
        <v>2006</v>
      </c>
      <c r="B268" t="str">
        <f>'2019_4-1-5_Download'!B133</f>
        <v>15 – 65</v>
      </c>
      <c r="C268" t="str">
        <f>'2019_4-1-5_Download'!C133</f>
        <v>Ohne Abschluss2)</v>
      </c>
      <c r="D268" t="s">
        <v>84</v>
      </c>
      <c r="E268" t="s">
        <v>83</v>
      </c>
      <c r="F268">
        <f>'2019_4-1-5_Download'!F133</f>
        <v>12.242387215955501</v>
      </c>
    </row>
    <row r="269" spans="1:6" x14ac:dyDescent="0.25">
      <c r="A269">
        <f>'2019_4-1-5_Download'!D134</f>
        <v>2006</v>
      </c>
      <c r="B269" t="str">
        <f>'2019_4-1-5_Download'!B134</f>
        <v>18 – 25</v>
      </c>
      <c r="C269" t="str">
        <f>'2019_4-1-5_Download'!C134</f>
        <v>Hauptschulabschluss</v>
      </c>
      <c r="D269" t="s">
        <v>84</v>
      </c>
      <c r="E269" t="s">
        <v>83</v>
      </c>
      <c r="F269">
        <f>'2019_4-1-5_Download'!F134</f>
        <v>30.853960175348</v>
      </c>
    </row>
    <row r="270" spans="1:6" x14ac:dyDescent="0.25">
      <c r="A270">
        <f>'2019_4-1-5_Download'!D135</f>
        <v>2006</v>
      </c>
      <c r="B270" t="str">
        <f>'2019_4-1-5_Download'!B135</f>
        <v>25 – 35</v>
      </c>
      <c r="C270" t="str">
        <f>'2019_4-1-5_Download'!C135</f>
        <v>Hauptschulabschluss</v>
      </c>
      <c r="D270" t="s">
        <v>84</v>
      </c>
      <c r="E270" t="s">
        <v>83</v>
      </c>
      <c r="F270">
        <f>'2019_4-1-5_Download'!F135</f>
        <v>29.13862471630944</v>
      </c>
    </row>
    <row r="271" spans="1:6" x14ac:dyDescent="0.25">
      <c r="A271">
        <f>'2019_4-1-5_Download'!D136</f>
        <v>2006</v>
      </c>
      <c r="B271" t="str">
        <f>'2019_4-1-5_Download'!B136</f>
        <v>15 – 65</v>
      </c>
      <c r="C271" t="str">
        <f>'2019_4-1-5_Download'!C136</f>
        <v>Hauptschulabschluss</v>
      </c>
      <c r="D271" t="s">
        <v>84</v>
      </c>
      <c r="E271" t="s">
        <v>83</v>
      </c>
      <c r="F271">
        <f>'2019_4-1-5_Download'!F136</f>
        <v>35.109006773471037</v>
      </c>
    </row>
    <row r="272" spans="1:6" x14ac:dyDescent="0.25">
      <c r="A272">
        <f>'2019_4-1-5_Download'!D137</f>
        <v>2006</v>
      </c>
      <c r="B272" t="str">
        <f>'2019_4-1-5_Download'!B137</f>
        <v>18 – 25</v>
      </c>
      <c r="C272" t="str">
        <f>'2019_4-1-5_Download'!C137</f>
        <v>Realschulabschluss</v>
      </c>
      <c r="D272" t="s">
        <v>84</v>
      </c>
      <c r="E272" t="s">
        <v>83</v>
      </c>
      <c r="F272">
        <f>'2019_4-1-5_Download'!F137</f>
        <v>38.884565571206252</v>
      </c>
    </row>
    <row r="273" spans="1:6" x14ac:dyDescent="0.25">
      <c r="A273">
        <f>'2019_4-1-5_Download'!D138</f>
        <v>2006</v>
      </c>
      <c r="B273" t="str">
        <f>'2019_4-1-5_Download'!B138</f>
        <v>25 – 35</v>
      </c>
      <c r="C273" t="str">
        <f>'2019_4-1-5_Download'!C138</f>
        <v>Realschulabschluss</v>
      </c>
      <c r="D273" t="s">
        <v>84</v>
      </c>
      <c r="E273" t="s">
        <v>83</v>
      </c>
      <c r="F273">
        <f>'2019_4-1-5_Download'!F138</f>
        <v>31.14468696181607</v>
      </c>
    </row>
    <row r="274" spans="1:6" x14ac:dyDescent="0.25">
      <c r="A274">
        <f>'2019_4-1-5_Download'!D139</f>
        <v>2006</v>
      </c>
      <c r="B274" t="str">
        <f>'2019_4-1-5_Download'!B139</f>
        <v>15 – 65</v>
      </c>
      <c r="C274" t="str">
        <f>'2019_4-1-5_Download'!C139</f>
        <v>Realschulabschluss</v>
      </c>
      <c r="D274" t="s">
        <v>84</v>
      </c>
      <c r="E274" t="s">
        <v>83</v>
      </c>
      <c r="F274">
        <f>'2019_4-1-5_Download'!F139</f>
        <v>28.440237917324406</v>
      </c>
    </row>
    <row r="275" spans="1:6" x14ac:dyDescent="0.25">
      <c r="A275">
        <f>'2019_4-1-5_Download'!D140</f>
        <v>2006</v>
      </c>
      <c r="B275" t="str">
        <f>'2019_4-1-5_Download'!B140</f>
        <v>18 – 25</v>
      </c>
      <c r="C275" t="str">
        <f>'2019_4-1-5_Download'!C140</f>
        <v>(Fach-)Hochschulreife</v>
      </c>
      <c r="D275" t="s">
        <v>84</v>
      </c>
      <c r="E275" t="s">
        <v>83</v>
      </c>
      <c r="F275">
        <f>'2019_4-1-5_Download'!F140</f>
        <v>22.214560476135489</v>
      </c>
    </row>
    <row r="276" spans="1:6" x14ac:dyDescent="0.25">
      <c r="A276">
        <f>'2019_4-1-5_Download'!D141</f>
        <v>2006</v>
      </c>
      <c r="B276" t="str">
        <f>'2019_4-1-5_Download'!B141</f>
        <v>25 – 35</v>
      </c>
      <c r="C276" t="str">
        <f>'2019_4-1-5_Download'!C141</f>
        <v>(Fach-)Hochschulreife</v>
      </c>
      <c r="D276" t="s">
        <v>84</v>
      </c>
      <c r="E276" t="s">
        <v>83</v>
      </c>
      <c r="F276">
        <f>'2019_4-1-5_Download'!F141</f>
        <v>28.115881075595023</v>
      </c>
    </row>
    <row r="277" spans="1:6" x14ac:dyDescent="0.25">
      <c r="A277">
        <f>'2019_4-1-5_Download'!D142</f>
        <v>2006</v>
      </c>
      <c r="B277" t="str">
        <f>'2019_4-1-5_Download'!B142</f>
        <v>15 – 65</v>
      </c>
      <c r="C277" t="str">
        <f>'2019_4-1-5_Download'!C142</f>
        <v>(Fach-)Hochschulreife</v>
      </c>
      <c r="D277" t="s">
        <v>84</v>
      </c>
      <c r="E277" t="s">
        <v>83</v>
      </c>
      <c r="F277">
        <f>'2019_4-1-5_Download'!F142</f>
        <v>24.208368093249053</v>
      </c>
    </row>
    <row r="278" spans="1:6" x14ac:dyDescent="0.25">
      <c r="A278">
        <f>'2019_4-1-5_Download'!D143</f>
        <v>2005</v>
      </c>
      <c r="B278" t="str">
        <f>'2019_4-1-5_Download'!B143</f>
        <v>18 – 25</v>
      </c>
      <c r="C278" t="str">
        <f>'2019_4-1-5_Download'!C143</f>
        <v>Ohne Abschluss2)</v>
      </c>
      <c r="D278" t="s">
        <v>84</v>
      </c>
      <c r="E278" t="s">
        <v>83</v>
      </c>
      <c r="F278">
        <f>'2019_4-1-5_Download'!F143</f>
        <v>9.8395271631659735</v>
      </c>
    </row>
    <row r="279" spans="1:6" x14ac:dyDescent="0.25">
      <c r="A279">
        <f>'2019_4-1-5_Download'!D144</f>
        <v>2005</v>
      </c>
      <c r="B279" t="str">
        <f>'2019_4-1-5_Download'!B144</f>
        <v>25 – 35</v>
      </c>
      <c r="C279" t="str">
        <f>'2019_4-1-5_Download'!C144</f>
        <v>Ohne Abschluss2)</v>
      </c>
      <c r="D279" t="s">
        <v>84</v>
      </c>
      <c r="E279" t="s">
        <v>83</v>
      </c>
      <c r="F279">
        <f>'2019_4-1-5_Download'!F144</f>
        <v>12.61624825735595</v>
      </c>
    </row>
    <row r="280" spans="1:6" x14ac:dyDescent="0.25">
      <c r="A280">
        <f>'2019_4-1-5_Download'!D145</f>
        <v>2005</v>
      </c>
      <c r="B280" t="str">
        <f>'2019_4-1-5_Download'!B145</f>
        <v>15 – 65</v>
      </c>
      <c r="C280" t="str">
        <f>'2019_4-1-5_Download'!C145</f>
        <v>Ohne Abschluss2)</v>
      </c>
      <c r="D280" t="s">
        <v>84</v>
      </c>
      <c r="E280" t="s">
        <v>83</v>
      </c>
      <c r="F280">
        <f>'2019_4-1-5_Download'!F145</f>
        <v>12.767188287469155</v>
      </c>
    </row>
    <row r="281" spans="1:6" x14ac:dyDescent="0.25">
      <c r="A281">
        <f>'2019_4-1-5_Download'!D146</f>
        <v>2005</v>
      </c>
      <c r="B281" t="str">
        <f>'2019_4-1-5_Download'!B146</f>
        <v>18 – 25</v>
      </c>
      <c r="C281" t="str">
        <f>'2019_4-1-5_Download'!C146</f>
        <v>Hauptschulabschluss</v>
      </c>
      <c r="D281" t="s">
        <v>84</v>
      </c>
      <c r="E281" t="s">
        <v>83</v>
      </c>
      <c r="F281">
        <f>'2019_4-1-5_Download'!F146</f>
        <v>29.449625043279116</v>
      </c>
    </row>
    <row r="282" spans="1:6" x14ac:dyDescent="0.25">
      <c r="A282">
        <f>'2019_4-1-5_Download'!D147</f>
        <v>2005</v>
      </c>
      <c r="B282" t="str">
        <f>'2019_4-1-5_Download'!B147</f>
        <v>25 – 35</v>
      </c>
      <c r="C282" t="str">
        <f>'2019_4-1-5_Download'!C147</f>
        <v>Hauptschulabschluss</v>
      </c>
      <c r="D282" t="s">
        <v>84</v>
      </c>
      <c r="E282" t="s">
        <v>83</v>
      </c>
      <c r="F282">
        <f>'2019_4-1-5_Download'!F147</f>
        <v>29.846957422116866</v>
      </c>
    </row>
    <row r="283" spans="1:6" x14ac:dyDescent="0.25">
      <c r="A283">
        <f>'2019_4-1-5_Download'!D148</f>
        <v>2005</v>
      </c>
      <c r="B283" t="str">
        <f>'2019_4-1-5_Download'!B148</f>
        <v>15 – 65</v>
      </c>
      <c r="C283" t="str">
        <f>'2019_4-1-5_Download'!C148</f>
        <v>Hauptschulabschluss</v>
      </c>
      <c r="D283" t="s">
        <v>84</v>
      </c>
      <c r="E283" t="s">
        <v>83</v>
      </c>
      <c r="F283">
        <f>'2019_4-1-5_Download'!F148</f>
        <v>35.463904279568304</v>
      </c>
    </row>
    <row r="284" spans="1:6" x14ac:dyDescent="0.25">
      <c r="A284">
        <f>'2019_4-1-5_Download'!D149</f>
        <v>2005</v>
      </c>
      <c r="B284" t="str">
        <f>'2019_4-1-5_Download'!B149</f>
        <v>18 – 25</v>
      </c>
      <c r="C284" t="str">
        <f>'2019_4-1-5_Download'!C149</f>
        <v>Realschulabschluss</v>
      </c>
      <c r="D284" t="s">
        <v>84</v>
      </c>
      <c r="E284" t="s">
        <v>83</v>
      </c>
      <c r="F284">
        <f>'2019_4-1-5_Download'!F149</f>
        <v>37.710705625285698</v>
      </c>
    </row>
    <row r="285" spans="1:6" x14ac:dyDescent="0.25">
      <c r="A285">
        <f>'2019_4-1-5_Download'!D150</f>
        <v>2005</v>
      </c>
      <c r="B285" t="str">
        <f>'2019_4-1-5_Download'!B150</f>
        <v>25 – 35</v>
      </c>
      <c r="C285" t="str">
        <f>'2019_4-1-5_Download'!C150</f>
        <v>Realschulabschluss</v>
      </c>
      <c r="D285" t="s">
        <v>84</v>
      </c>
      <c r="E285" t="s">
        <v>83</v>
      </c>
      <c r="F285">
        <f>'2019_4-1-5_Download'!F150</f>
        <v>31.468724501456013</v>
      </c>
    </row>
    <row r="286" spans="1:6" x14ac:dyDescent="0.25">
      <c r="A286">
        <f>'2019_4-1-5_Download'!D151</f>
        <v>2005</v>
      </c>
      <c r="B286" t="str">
        <f>'2019_4-1-5_Download'!B151</f>
        <v>15 – 65</v>
      </c>
      <c r="C286" t="str">
        <f>'2019_4-1-5_Download'!C151</f>
        <v>Realschulabschluss</v>
      </c>
      <c r="D286" t="s">
        <v>84</v>
      </c>
      <c r="E286" t="s">
        <v>83</v>
      </c>
      <c r="F286">
        <f>'2019_4-1-5_Download'!F151</f>
        <v>28.71141948621921</v>
      </c>
    </row>
    <row r="287" spans="1:6" x14ac:dyDescent="0.25">
      <c r="A287">
        <f>'2019_4-1-5_Download'!D152</f>
        <v>2005</v>
      </c>
      <c r="B287" t="str">
        <f>'2019_4-1-5_Download'!B152</f>
        <v>18 – 25</v>
      </c>
      <c r="C287" t="str">
        <f>'2019_4-1-5_Download'!C152</f>
        <v>(Fach-)Hochschulreife</v>
      </c>
      <c r="D287" t="s">
        <v>84</v>
      </c>
      <c r="E287" t="s">
        <v>83</v>
      </c>
      <c r="F287">
        <f>'2019_4-1-5_Download'!F152</f>
        <v>23.0001421682692</v>
      </c>
    </row>
    <row r="288" spans="1:6" x14ac:dyDescent="0.25">
      <c r="A288">
        <f>'2019_4-1-5_Download'!D153</f>
        <v>2005</v>
      </c>
      <c r="B288" t="str">
        <f>'2019_4-1-5_Download'!B153</f>
        <v>25 – 35</v>
      </c>
      <c r="C288" t="str">
        <f>'2019_4-1-5_Download'!C153</f>
        <v>(Fach-)Hochschulreife</v>
      </c>
      <c r="D288" t="s">
        <v>84</v>
      </c>
      <c r="E288" t="s">
        <v>83</v>
      </c>
      <c r="F288">
        <f>'2019_4-1-5_Download'!F153</f>
        <v>26.068069819071184</v>
      </c>
    </row>
    <row r="289" spans="1:6" x14ac:dyDescent="0.25">
      <c r="A289">
        <f>'2019_4-1-5_Download'!D154</f>
        <v>2005</v>
      </c>
      <c r="B289" t="str">
        <f>'2019_4-1-5_Download'!B154</f>
        <v>15 – 65</v>
      </c>
      <c r="C289" t="str">
        <f>'2019_4-1-5_Download'!C154</f>
        <v>(Fach-)Hochschulreife</v>
      </c>
      <c r="D289" t="s">
        <v>84</v>
      </c>
      <c r="E289" t="s">
        <v>83</v>
      </c>
      <c r="F289">
        <f>'2019_4-1-5_Download'!F154</f>
        <v>23.057487946743326</v>
      </c>
    </row>
    <row r="290" spans="1:6" x14ac:dyDescent="0.25">
      <c r="A290" t="str">
        <f>'2019_4-1-5_Download'!D11</f>
        <v>20191)</v>
      </c>
      <c r="B290" t="str">
        <f>'2019_4-1-5_Download'!B11</f>
        <v>18 – 25</v>
      </c>
      <c r="C290" t="str">
        <f>'2019_4-1-5_Download'!C11</f>
        <v>Ohne Abschluss2)</v>
      </c>
      <c r="D290" t="s">
        <v>85</v>
      </c>
      <c r="E290" t="s">
        <v>83</v>
      </c>
      <c r="F290">
        <f>'2019_4-1-5_Download'!G11</f>
        <v>2.3615485127004585</v>
      </c>
    </row>
    <row r="291" spans="1:6" x14ac:dyDescent="0.25">
      <c r="A291" t="str">
        <f>'2019_4-1-5_Download'!D12</f>
        <v>20191)</v>
      </c>
      <c r="B291" t="str">
        <f>'2019_4-1-5_Download'!B12</f>
        <v>25 – 35</v>
      </c>
      <c r="C291" t="str">
        <f>'2019_4-1-5_Download'!C12</f>
        <v>Ohne Abschluss2)</v>
      </c>
      <c r="D291" t="s">
        <v>85</v>
      </c>
      <c r="E291" t="s">
        <v>83</v>
      </c>
      <c r="F291">
        <f>'2019_4-1-5_Download'!G12</f>
        <v>1.8385398544695397</v>
      </c>
    </row>
    <row r="292" spans="1:6" x14ac:dyDescent="0.25">
      <c r="A292" t="str">
        <f>'2019_4-1-5_Download'!D13</f>
        <v>20191)</v>
      </c>
      <c r="B292" t="str">
        <f>'2019_4-1-5_Download'!B13</f>
        <v>15 – 65</v>
      </c>
      <c r="C292" t="str">
        <f>'2019_4-1-5_Download'!C13</f>
        <v>Ohne Abschluss2)</v>
      </c>
      <c r="D292" t="s">
        <v>85</v>
      </c>
      <c r="E292" t="s">
        <v>83</v>
      </c>
      <c r="F292">
        <f>'2019_4-1-5_Download'!G13</f>
        <v>1.9346383338033166</v>
      </c>
    </row>
    <row r="293" spans="1:6" x14ac:dyDescent="0.25">
      <c r="A293" t="str">
        <f>'2019_4-1-5_Download'!D14</f>
        <v>20191)</v>
      </c>
      <c r="B293" t="str">
        <f>'2019_4-1-5_Download'!B14</f>
        <v>18 – 25</v>
      </c>
      <c r="C293" t="str">
        <f>'2019_4-1-5_Download'!C14</f>
        <v>Hauptschulabschluss</v>
      </c>
      <c r="D293" t="s">
        <v>85</v>
      </c>
      <c r="E293" t="s">
        <v>83</v>
      </c>
      <c r="F293">
        <f>'2019_4-1-5_Download'!G14</f>
        <v>10.284271441944323</v>
      </c>
    </row>
    <row r="294" spans="1:6" x14ac:dyDescent="0.25">
      <c r="A294" t="str">
        <f>'2019_4-1-5_Download'!D15</f>
        <v>20191)</v>
      </c>
      <c r="B294" t="str">
        <f>'2019_4-1-5_Download'!B15</f>
        <v>25 – 35</v>
      </c>
      <c r="C294" t="str">
        <f>'2019_4-1-5_Download'!C15</f>
        <v>Hauptschulabschluss</v>
      </c>
      <c r="D294" t="s">
        <v>85</v>
      </c>
      <c r="E294" t="s">
        <v>83</v>
      </c>
      <c r="F294">
        <f>'2019_4-1-5_Download'!G15</f>
        <v>12.04569535421993</v>
      </c>
    </row>
    <row r="295" spans="1:6" x14ac:dyDescent="0.25">
      <c r="A295" t="str">
        <f>'2019_4-1-5_Download'!D16</f>
        <v>20191)</v>
      </c>
      <c r="B295" t="str">
        <f>'2019_4-1-5_Download'!B16</f>
        <v>15 – 65</v>
      </c>
      <c r="C295" t="str">
        <f>'2019_4-1-5_Download'!C16</f>
        <v>Hauptschulabschluss</v>
      </c>
      <c r="D295" t="s">
        <v>85</v>
      </c>
      <c r="E295" t="s">
        <v>83</v>
      </c>
      <c r="F295">
        <f>'2019_4-1-5_Download'!G16</f>
        <v>21.893700258293645</v>
      </c>
    </row>
    <row r="296" spans="1:6" x14ac:dyDescent="0.25">
      <c r="A296" t="str">
        <f>'2019_4-1-5_Download'!D17</f>
        <v>20191)</v>
      </c>
      <c r="B296" t="str">
        <f>'2019_4-1-5_Download'!B17</f>
        <v>18 – 25</v>
      </c>
      <c r="C296" t="str">
        <f>'2019_4-1-5_Download'!C17</f>
        <v>Realschulabschluss</v>
      </c>
      <c r="D296" t="s">
        <v>85</v>
      </c>
      <c r="E296" t="s">
        <v>83</v>
      </c>
      <c r="F296">
        <f>'2019_4-1-5_Download'!G17</f>
        <v>35.877957534518096</v>
      </c>
    </row>
    <row r="297" spans="1:6" x14ac:dyDescent="0.25">
      <c r="A297" t="str">
        <f>'2019_4-1-5_Download'!D18</f>
        <v>20191)</v>
      </c>
      <c r="B297" t="str">
        <f>'2019_4-1-5_Download'!B18</f>
        <v>25 – 35</v>
      </c>
      <c r="C297" t="str">
        <f>'2019_4-1-5_Download'!C18</f>
        <v>Realschulabschluss</v>
      </c>
      <c r="D297" t="s">
        <v>85</v>
      </c>
      <c r="E297" t="s">
        <v>83</v>
      </c>
      <c r="F297">
        <f>'2019_4-1-5_Download'!G18</f>
        <v>38.641993555511853</v>
      </c>
    </row>
    <row r="298" spans="1:6" x14ac:dyDescent="0.25">
      <c r="A298" t="str">
        <f>'2019_4-1-5_Download'!D19</f>
        <v>20191)</v>
      </c>
      <c r="B298" t="str">
        <f>'2019_4-1-5_Download'!B19</f>
        <v>15 – 65</v>
      </c>
      <c r="C298" t="str">
        <f>'2019_4-1-5_Download'!C19</f>
        <v>Realschulabschluss</v>
      </c>
      <c r="D298" t="s">
        <v>85</v>
      </c>
      <c r="E298" t="s">
        <v>83</v>
      </c>
      <c r="F298">
        <f>'2019_4-1-5_Download'!G19</f>
        <v>38.772982954836024</v>
      </c>
    </row>
    <row r="299" spans="1:6" x14ac:dyDescent="0.25">
      <c r="A299" t="str">
        <f>'2019_4-1-5_Download'!D20</f>
        <v>20191)</v>
      </c>
      <c r="B299" t="str">
        <f>'2019_4-1-5_Download'!B20</f>
        <v>18 – 25</v>
      </c>
      <c r="C299" t="str">
        <f>'2019_4-1-5_Download'!C20</f>
        <v>(Fach-)Hochschulreife</v>
      </c>
      <c r="D299" t="s">
        <v>85</v>
      </c>
      <c r="E299" t="s">
        <v>83</v>
      </c>
      <c r="F299">
        <f>'2019_4-1-5_Download'!G20</f>
        <v>51.476222510837118</v>
      </c>
    </row>
    <row r="300" spans="1:6" x14ac:dyDescent="0.25">
      <c r="A300" t="str">
        <f>'2019_4-1-5_Download'!D21</f>
        <v>20191)</v>
      </c>
      <c r="B300" t="str">
        <f>'2019_4-1-5_Download'!B21</f>
        <v>25 – 35</v>
      </c>
      <c r="C300" t="str">
        <f>'2019_4-1-5_Download'!C21</f>
        <v>(Fach-)Hochschulreife</v>
      </c>
      <c r="D300" t="s">
        <v>85</v>
      </c>
      <c r="E300" t="s">
        <v>83</v>
      </c>
      <c r="F300">
        <f>'2019_4-1-5_Download'!G21</f>
        <v>47.473771235798679</v>
      </c>
    </row>
    <row r="301" spans="1:6" x14ac:dyDescent="0.25">
      <c r="A301" t="str">
        <f>'2019_4-1-5_Download'!D22</f>
        <v>20191)</v>
      </c>
      <c r="B301" t="str">
        <f>'2019_4-1-5_Download'!B22</f>
        <v>15 – 65</v>
      </c>
      <c r="C301" t="str">
        <f>'2019_4-1-5_Download'!C22</f>
        <v>(Fach-)Hochschulreife</v>
      </c>
      <c r="D301" t="s">
        <v>85</v>
      </c>
      <c r="E301" t="s">
        <v>83</v>
      </c>
      <c r="F301">
        <f>'2019_4-1-5_Download'!G22</f>
        <v>37.398678453067021</v>
      </c>
    </row>
    <row r="302" spans="1:6" x14ac:dyDescent="0.25">
      <c r="A302" t="str">
        <f>'2019_4-1-5_Download'!D23</f>
        <v>20181)</v>
      </c>
      <c r="B302" t="str">
        <f>'2019_4-1-5_Download'!B23</f>
        <v>18 – 25</v>
      </c>
      <c r="C302" t="str">
        <f>'2019_4-1-5_Download'!C23</f>
        <v>Ohne Abschluss2)</v>
      </c>
      <c r="D302" t="s">
        <v>85</v>
      </c>
      <c r="E302" t="s">
        <v>83</v>
      </c>
      <c r="F302">
        <f>'2019_4-1-5_Download'!G23</f>
        <v>2.2291467436960244</v>
      </c>
    </row>
    <row r="303" spans="1:6" x14ac:dyDescent="0.25">
      <c r="A303" t="str">
        <f>'2019_4-1-5_Download'!D24</f>
        <v>20181)</v>
      </c>
      <c r="B303" t="str">
        <f>'2019_4-1-5_Download'!B24</f>
        <v>25 – 35</v>
      </c>
      <c r="C303" t="str">
        <f>'2019_4-1-5_Download'!C24</f>
        <v>Ohne Abschluss2)</v>
      </c>
      <c r="D303" t="s">
        <v>85</v>
      </c>
      <c r="E303" t="s">
        <v>83</v>
      </c>
      <c r="F303">
        <f>'2019_4-1-5_Download'!G24</f>
        <v>1.9928666094218581</v>
      </c>
    </row>
    <row r="304" spans="1:6" x14ac:dyDescent="0.25">
      <c r="A304" t="str">
        <f>'2019_4-1-5_Download'!D25</f>
        <v>20181)</v>
      </c>
      <c r="B304" t="str">
        <f>'2019_4-1-5_Download'!B25</f>
        <v>15 – 65</v>
      </c>
      <c r="C304" t="str">
        <f>'2019_4-1-5_Download'!C25</f>
        <v>Ohne Abschluss2)</v>
      </c>
      <c r="D304" t="s">
        <v>85</v>
      </c>
      <c r="E304" t="s">
        <v>83</v>
      </c>
      <c r="F304">
        <f>'2019_4-1-5_Download'!G25</f>
        <v>1.9130584896634324</v>
      </c>
    </row>
    <row r="305" spans="1:6" x14ac:dyDescent="0.25">
      <c r="A305" t="str">
        <f>'2019_4-1-5_Download'!D26</f>
        <v>20181)</v>
      </c>
      <c r="B305" t="str">
        <f>'2019_4-1-5_Download'!B26</f>
        <v>18 – 25</v>
      </c>
      <c r="C305" t="str">
        <f>'2019_4-1-5_Download'!C26</f>
        <v>Hauptschulabschluss</v>
      </c>
      <c r="D305" t="s">
        <v>85</v>
      </c>
      <c r="E305" t="s">
        <v>83</v>
      </c>
      <c r="F305">
        <f>'2019_4-1-5_Download'!G26</f>
        <v>11.793569434524862</v>
      </c>
    </row>
    <row r="306" spans="1:6" x14ac:dyDescent="0.25">
      <c r="A306" t="str">
        <f>'2019_4-1-5_Download'!D27</f>
        <v>20181)</v>
      </c>
      <c r="B306" t="str">
        <f>'2019_4-1-5_Download'!B27</f>
        <v>25 – 35</v>
      </c>
      <c r="C306" t="str">
        <f>'2019_4-1-5_Download'!C27</f>
        <v>Hauptschulabschluss</v>
      </c>
      <c r="D306" t="s">
        <v>85</v>
      </c>
      <c r="E306" t="s">
        <v>83</v>
      </c>
      <c r="F306">
        <f>'2019_4-1-5_Download'!G27</f>
        <v>13.1807434985902</v>
      </c>
    </row>
    <row r="307" spans="1:6" x14ac:dyDescent="0.25">
      <c r="A307" t="str">
        <f>'2019_4-1-5_Download'!D28</f>
        <v>20181)</v>
      </c>
      <c r="B307" t="str">
        <f>'2019_4-1-5_Download'!B28</f>
        <v>15 – 65</v>
      </c>
      <c r="C307" t="str">
        <f>'2019_4-1-5_Download'!C28</f>
        <v>Hauptschulabschluss</v>
      </c>
      <c r="D307" t="s">
        <v>85</v>
      </c>
      <c r="E307" t="s">
        <v>83</v>
      </c>
      <c r="F307">
        <f>'2019_4-1-5_Download'!G28</f>
        <v>23.368174845770174</v>
      </c>
    </row>
    <row r="308" spans="1:6" x14ac:dyDescent="0.25">
      <c r="A308" t="str">
        <f>'2019_4-1-5_Download'!D29</f>
        <v>20181)</v>
      </c>
      <c r="B308" t="str">
        <f>'2019_4-1-5_Download'!B29</f>
        <v>18 – 25</v>
      </c>
      <c r="C308" t="str">
        <f>'2019_4-1-5_Download'!C29</f>
        <v>Realschulabschluss</v>
      </c>
      <c r="D308" t="s">
        <v>85</v>
      </c>
      <c r="E308" t="s">
        <v>83</v>
      </c>
      <c r="F308">
        <f>'2019_4-1-5_Download'!G29</f>
        <v>36.212795946112124</v>
      </c>
    </row>
    <row r="309" spans="1:6" x14ac:dyDescent="0.25">
      <c r="A309" t="str">
        <f>'2019_4-1-5_Download'!D30</f>
        <v>20181)</v>
      </c>
      <c r="B309" t="str">
        <f>'2019_4-1-5_Download'!B30</f>
        <v>25 – 35</v>
      </c>
      <c r="C309" t="str">
        <f>'2019_4-1-5_Download'!C30</f>
        <v>Realschulabschluss</v>
      </c>
      <c r="D309" t="s">
        <v>85</v>
      </c>
      <c r="E309" t="s">
        <v>83</v>
      </c>
      <c r="F309">
        <f>'2019_4-1-5_Download'!G30</f>
        <v>39.324606196280122</v>
      </c>
    </row>
    <row r="310" spans="1:6" x14ac:dyDescent="0.25">
      <c r="A310" t="str">
        <f>'2019_4-1-5_Download'!D31</f>
        <v>20181)</v>
      </c>
      <c r="B310" t="str">
        <f>'2019_4-1-5_Download'!B31</f>
        <v>15 – 65</v>
      </c>
      <c r="C310" t="str">
        <f>'2019_4-1-5_Download'!C31</f>
        <v>Realschulabschluss</v>
      </c>
      <c r="D310" t="s">
        <v>85</v>
      </c>
      <c r="E310" t="s">
        <v>83</v>
      </c>
      <c r="F310">
        <f>'2019_4-1-5_Download'!G31</f>
        <v>38.73613337230266</v>
      </c>
    </row>
    <row r="311" spans="1:6" x14ac:dyDescent="0.25">
      <c r="A311" t="str">
        <f>'2019_4-1-5_Download'!D32</f>
        <v>20181)</v>
      </c>
      <c r="B311" t="str">
        <f>'2019_4-1-5_Download'!B32</f>
        <v>18 – 25</v>
      </c>
      <c r="C311" t="str">
        <f>'2019_4-1-5_Download'!C32</f>
        <v>(Fach-)Hochschulreife</v>
      </c>
      <c r="D311" t="s">
        <v>85</v>
      </c>
      <c r="E311" t="s">
        <v>83</v>
      </c>
      <c r="F311">
        <f>'2019_4-1-5_Download'!G32</f>
        <v>49.764487875666994</v>
      </c>
    </row>
    <row r="312" spans="1:6" x14ac:dyDescent="0.25">
      <c r="A312" t="str">
        <f>'2019_4-1-5_Download'!D33</f>
        <v>20181)</v>
      </c>
      <c r="B312" t="str">
        <f>'2019_4-1-5_Download'!B33</f>
        <v>25 – 35</v>
      </c>
      <c r="C312" t="str">
        <f>'2019_4-1-5_Download'!C33</f>
        <v>(Fach-)Hochschulreife</v>
      </c>
      <c r="D312" t="s">
        <v>85</v>
      </c>
      <c r="E312" t="s">
        <v>83</v>
      </c>
      <c r="F312">
        <f>'2019_4-1-5_Download'!G33</f>
        <v>45.501782182389192</v>
      </c>
    </row>
    <row r="313" spans="1:6" x14ac:dyDescent="0.25">
      <c r="A313" t="str">
        <f>'2019_4-1-5_Download'!D34</f>
        <v>20181)</v>
      </c>
      <c r="B313" t="str">
        <f>'2019_4-1-5_Download'!B34</f>
        <v>15 – 65</v>
      </c>
      <c r="C313" t="str">
        <f>'2019_4-1-5_Download'!C34</f>
        <v>(Fach-)Hochschulreife</v>
      </c>
      <c r="D313" t="s">
        <v>85</v>
      </c>
      <c r="E313" t="s">
        <v>83</v>
      </c>
      <c r="F313">
        <f>'2019_4-1-5_Download'!G34</f>
        <v>35.982633292263735</v>
      </c>
    </row>
    <row r="314" spans="1:6" x14ac:dyDescent="0.25">
      <c r="A314" t="str">
        <f>'2019_4-1-5_Download'!D35</f>
        <v>20171)</v>
      </c>
      <c r="B314" t="str">
        <f>'2019_4-1-5_Download'!B35</f>
        <v>18 – 25</v>
      </c>
      <c r="C314" t="str">
        <f>'2019_4-1-5_Download'!C35</f>
        <v>Ohne Abschluss2)</v>
      </c>
      <c r="D314" t="s">
        <v>85</v>
      </c>
      <c r="E314" t="s">
        <v>83</v>
      </c>
      <c r="F314">
        <f>'2019_4-1-5_Download'!G35</f>
        <v>2.3349766564321568</v>
      </c>
    </row>
    <row r="315" spans="1:6" x14ac:dyDescent="0.25">
      <c r="A315" t="str">
        <f>'2019_4-1-5_Download'!D36</f>
        <v>20171)</v>
      </c>
      <c r="B315" t="str">
        <f>'2019_4-1-5_Download'!B36</f>
        <v>25 – 35</v>
      </c>
      <c r="C315" t="str">
        <f>'2019_4-1-5_Download'!C36</f>
        <v>Ohne Abschluss2)</v>
      </c>
      <c r="D315" t="s">
        <v>85</v>
      </c>
      <c r="E315" t="s">
        <v>83</v>
      </c>
      <c r="F315">
        <f>'2019_4-1-5_Download'!G36</f>
        <v>2.190582010262685</v>
      </c>
    </row>
    <row r="316" spans="1:6" x14ac:dyDescent="0.25">
      <c r="A316" t="str">
        <f>'2019_4-1-5_Download'!D37</f>
        <v>20171)</v>
      </c>
      <c r="B316" t="str">
        <f>'2019_4-1-5_Download'!B37</f>
        <v>15 – 65</v>
      </c>
      <c r="C316" t="str">
        <f>'2019_4-1-5_Download'!C37</f>
        <v>Ohne Abschluss2)</v>
      </c>
      <c r="D316" t="s">
        <v>85</v>
      </c>
      <c r="E316" t="s">
        <v>83</v>
      </c>
      <c r="F316">
        <f>'2019_4-1-5_Download'!G37</f>
        <v>1.994779674772662</v>
      </c>
    </row>
    <row r="317" spans="1:6" x14ac:dyDescent="0.25">
      <c r="A317" t="str">
        <f>'2019_4-1-5_Download'!D38</f>
        <v>20171)</v>
      </c>
      <c r="B317" t="str">
        <f>'2019_4-1-5_Download'!B38</f>
        <v>18 – 25</v>
      </c>
      <c r="C317" t="str">
        <f>'2019_4-1-5_Download'!C38</f>
        <v>Hauptschulabschluss</v>
      </c>
      <c r="D317" t="s">
        <v>85</v>
      </c>
      <c r="E317" t="s">
        <v>83</v>
      </c>
      <c r="F317">
        <f>'2019_4-1-5_Download'!G38</f>
        <v>11.39255908457678</v>
      </c>
    </row>
    <row r="318" spans="1:6" x14ac:dyDescent="0.25">
      <c r="A318" t="str">
        <f>'2019_4-1-5_Download'!D39</f>
        <v>20171)</v>
      </c>
      <c r="B318" t="str">
        <f>'2019_4-1-5_Download'!B39</f>
        <v>25 – 35</v>
      </c>
      <c r="C318" t="str">
        <f>'2019_4-1-5_Download'!C39</f>
        <v>Hauptschulabschluss</v>
      </c>
      <c r="D318" t="s">
        <v>85</v>
      </c>
      <c r="E318" t="s">
        <v>83</v>
      </c>
      <c r="F318">
        <f>'2019_4-1-5_Download'!G39</f>
        <v>12.738203781254084</v>
      </c>
    </row>
    <row r="319" spans="1:6" x14ac:dyDescent="0.25">
      <c r="A319" t="str">
        <f>'2019_4-1-5_Download'!D40</f>
        <v>20171)</v>
      </c>
      <c r="B319" t="str">
        <f>'2019_4-1-5_Download'!B40</f>
        <v>15 – 65</v>
      </c>
      <c r="C319" t="str">
        <f>'2019_4-1-5_Download'!C40</f>
        <v>Hauptschulabschluss</v>
      </c>
      <c r="D319" t="s">
        <v>85</v>
      </c>
      <c r="E319" t="s">
        <v>83</v>
      </c>
      <c r="F319">
        <f>'2019_4-1-5_Download'!G40</f>
        <v>24.606683498434101</v>
      </c>
    </row>
    <row r="320" spans="1:6" x14ac:dyDescent="0.25">
      <c r="A320" t="str">
        <f>'2019_4-1-5_Download'!D41</f>
        <v>20171)</v>
      </c>
      <c r="B320" t="str">
        <f>'2019_4-1-5_Download'!B41</f>
        <v>18 – 25</v>
      </c>
      <c r="C320" t="str">
        <f>'2019_4-1-5_Download'!C41</f>
        <v>Realschulabschluss</v>
      </c>
      <c r="D320" t="s">
        <v>85</v>
      </c>
      <c r="E320" t="s">
        <v>83</v>
      </c>
      <c r="F320">
        <f>'2019_4-1-5_Download'!G41</f>
        <v>38.380235070800403</v>
      </c>
    </row>
    <row r="321" spans="1:6" x14ac:dyDescent="0.25">
      <c r="A321" t="str">
        <f>'2019_4-1-5_Download'!D42</f>
        <v>20171)</v>
      </c>
      <c r="B321" t="str">
        <f>'2019_4-1-5_Download'!B42</f>
        <v>25 – 35</v>
      </c>
      <c r="C321" t="str">
        <f>'2019_4-1-5_Download'!C42</f>
        <v>Realschulabschluss</v>
      </c>
      <c r="D321" t="s">
        <v>85</v>
      </c>
      <c r="E321" t="s">
        <v>83</v>
      </c>
      <c r="F321">
        <f>'2019_4-1-5_Download'!G42</f>
        <v>39.398621285002122</v>
      </c>
    </row>
    <row r="322" spans="1:6" x14ac:dyDescent="0.25">
      <c r="A322" t="str">
        <f>'2019_4-1-5_Download'!D43</f>
        <v>20171)</v>
      </c>
      <c r="B322" t="str">
        <f>'2019_4-1-5_Download'!B43</f>
        <v>15 – 65</v>
      </c>
      <c r="C322" t="str">
        <f>'2019_4-1-5_Download'!C43</f>
        <v>Realschulabschluss</v>
      </c>
      <c r="D322" t="s">
        <v>85</v>
      </c>
      <c r="E322" t="s">
        <v>83</v>
      </c>
      <c r="F322">
        <f>'2019_4-1-5_Download'!G43</f>
        <v>38.196210903481202</v>
      </c>
    </row>
    <row r="323" spans="1:6" x14ac:dyDescent="0.25">
      <c r="A323" t="str">
        <f>'2019_4-1-5_Download'!D44</f>
        <v>20171)</v>
      </c>
      <c r="B323" t="str">
        <f>'2019_4-1-5_Download'!B44</f>
        <v>18 – 25</v>
      </c>
      <c r="C323" t="str">
        <f>'2019_4-1-5_Download'!C44</f>
        <v>(Fach-)Hochschulreife</v>
      </c>
      <c r="D323" t="s">
        <v>85</v>
      </c>
      <c r="E323" t="s">
        <v>83</v>
      </c>
      <c r="F323">
        <f>'2019_4-1-5_Download'!G44</f>
        <v>47.892229188190669</v>
      </c>
    </row>
    <row r="324" spans="1:6" x14ac:dyDescent="0.25">
      <c r="A324" t="str">
        <f>'2019_4-1-5_Download'!D45</f>
        <v>20171)</v>
      </c>
      <c r="B324" t="str">
        <f>'2019_4-1-5_Download'!B45</f>
        <v>25 – 35</v>
      </c>
      <c r="C324" t="str">
        <f>'2019_4-1-5_Download'!C45</f>
        <v>(Fach-)Hochschulreife</v>
      </c>
      <c r="D324" t="s">
        <v>85</v>
      </c>
      <c r="E324" t="s">
        <v>83</v>
      </c>
      <c r="F324">
        <f>'2019_4-1-5_Download'!G45</f>
        <v>45.672594439875638</v>
      </c>
    </row>
    <row r="325" spans="1:6" x14ac:dyDescent="0.25">
      <c r="A325" t="str">
        <f>'2019_4-1-5_Download'!D46</f>
        <v>20171)</v>
      </c>
      <c r="B325" t="str">
        <f>'2019_4-1-5_Download'!B46</f>
        <v>15 – 65</v>
      </c>
      <c r="C325" t="str">
        <f>'2019_4-1-5_Download'!C46</f>
        <v>(Fach-)Hochschulreife</v>
      </c>
      <c r="D325" t="s">
        <v>85</v>
      </c>
      <c r="E325" t="s">
        <v>83</v>
      </c>
      <c r="F325">
        <f>'2019_4-1-5_Download'!G46</f>
        <v>35.202325923312038</v>
      </c>
    </row>
    <row r="326" spans="1:6" x14ac:dyDescent="0.25">
      <c r="A326" t="str">
        <f>'2019_4-1-5_Download'!D47</f>
        <v>20161)</v>
      </c>
      <c r="B326" t="str">
        <f>'2019_4-1-5_Download'!B47</f>
        <v>18 – 25</v>
      </c>
      <c r="C326" t="str">
        <f>'2019_4-1-5_Download'!C47</f>
        <v>Ohne Abschluss2)</v>
      </c>
      <c r="D326" t="s">
        <v>85</v>
      </c>
      <c r="E326" t="s">
        <v>83</v>
      </c>
      <c r="F326">
        <f>'2019_4-1-5_Download'!G47</f>
        <v>2.8693745396851096</v>
      </c>
    </row>
    <row r="327" spans="1:6" x14ac:dyDescent="0.25">
      <c r="A327" t="str">
        <f>'2019_4-1-5_Download'!D48</f>
        <v>20161)</v>
      </c>
      <c r="B327" t="str">
        <f>'2019_4-1-5_Download'!B48</f>
        <v>25 – 35</v>
      </c>
      <c r="C327" t="str">
        <f>'2019_4-1-5_Download'!C48</f>
        <v>Ohne Abschluss2)</v>
      </c>
      <c r="D327" t="s">
        <v>85</v>
      </c>
      <c r="E327" t="s">
        <v>83</v>
      </c>
      <c r="F327">
        <f>'2019_4-1-5_Download'!G48</f>
        <v>2.2480152377796392</v>
      </c>
    </row>
    <row r="328" spans="1:6" x14ac:dyDescent="0.25">
      <c r="A328" t="str">
        <f>'2019_4-1-5_Download'!D49</f>
        <v>20161)</v>
      </c>
      <c r="B328" t="str">
        <f>'2019_4-1-5_Download'!B49</f>
        <v>15 – 65</v>
      </c>
      <c r="C328" t="str">
        <f>'2019_4-1-5_Download'!C49</f>
        <v>Ohne Abschluss2)</v>
      </c>
      <c r="D328" t="s">
        <v>85</v>
      </c>
      <c r="E328" t="s">
        <v>83</v>
      </c>
      <c r="F328">
        <f>'2019_4-1-5_Download'!G49</f>
        <v>2.1814518113725949</v>
      </c>
    </row>
    <row r="329" spans="1:6" x14ac:dyDescent="0.25">
      <c r="A329" t="str">
        <f>'2019_4-1-5_Download'!D50</f>
        <v>20161)</v>
      </c>
      <c r="B329" t="str">
        <f>'2019_4-1-5_Download'!B50</f>
        <v>18 – 25</v>
      </c>
      <c r="C329" t="str">
        <f>'2019_4-1-5_Download'!C50</f>
        <v>Hauptschulabschluss</v>
      </c>
      <c r="D329" t="s">
        <v>85</v>
      </c>
      <c r="E329" t="s">
        <v>83</v>
      </c>
      <c r="F329">
        <f>'2019_4-1-5_Download'!G50</f>
        <v>12.183810954144603</v>
      </c>
    </row>
    <row r="330" spans="1:6" x14ac:dyDescent="0.25">
      <c r="A330" t="str">
        <f>'2019_4-1-5_Download'!D51</f>
        <v>20161)</v>
      </c>
      <c r="B330" t="str">
        <f>'2019_4-1-5_Download'!B51</f>
        <v>25 – 35</v>
      </c>
      <c r="C330" t="str">
        <f>'2019_4-1-5_Download'!C51</f>
        <v>Hauptschulabschluss</v>
      </c>
      <c r="D330" t="s">
        <v>85</v>
      </c>
      <c r="E330" t="s">
        <v>83</v>
      </c>
      <c r="F330">
        <f>'2019_4-1-5_Download'!G51</f>
        <v>13.709942976140971</v>
      </c>
    </row>
    <row r="331" spans="1:6" x14ac:dyDescent="0.25">
      <c r="A331" t="str">
        <f>'2019_4-1-5_Download'!D52</f>
        <v>20161)</v>
      </c>
      <c r="B331" t="str">
        <f>'2019_4-1-5_Download'!B52</f>
        <v>15 – 65</v>
      </c>
      <c r="C331" t="str">
        <f>'2019_4-1-5_Download'!C52</f>
        <v>Hauptschulabschluss</v>
      </c>
      <c r="D331" t="s">
        <v>85</v>
      </c>
      <c r="E331" t="s">
        <v>83</v>
      </c>
      <c r="F331">
        <f>'2019_4-1-5_Download'!G52</f>
        <v>25.751162968500303</v>
      </c>
    </row>
    <row r="332" spans="1:6" x14ac:dyDescent="0.25">
      <c r="A332" t="str">
        <f>'2019_4-1-5_Download'!D53</f>
        <v>20161)</v>
      </c>
      <c r="B332" t="str">
        <f>'2019_4-1-5_Download'!B53</f>
        <v>18 – 25</v>
      </c>
      <c r="C332" t="str">
        <f>'2019_4-1-5_Download'!C53</f>
        <v>Realschulabschluss</v>
      </c>
      <c r="D332" t="s">
        <v>85</v>
      </c>
      <c r="E332" t="s">
        <v>83</v>
      </c>
      <c r="F332">
        <f>'2019_4-1-5_Download'!G53</f>
        <v>39.106860255633862</v>
      </c>
    </row>
    <row r="333" spans="1:6" x14ac:dyDescent="0.25">
      <c r="A333" t="str">
        <f>'2019_4-1-5_Download'!D54</f>
        <v>20161)</v>
      </c>
      <c r="B333" t="str">
        <f>'2019_4-1-5_Download'!B54</f>
        <v>25 – 35</v>
      </c>
      <c r="C333" t="str">
        <f>'2019_4-1-5_Download'!C54</f>
        <v>Realschulabschluss</v>
      </c>
      <c r="D333" t="s">
        <v>85</v>
      </c>
      <c r="E333" t="s">
        <v>83</v>
      </c>
      <c r="F333">
        <f>'2019_4-1-5_Download'!G54</f>
        <v>38.879705125856184</v>
      </c>
    </row>
    <row r="334" spans="1:6" x14ac:dyDescent="0.25">
      <c r="A334" t="str">
        <f>'2019_4-1-5_Download'!D55</f>
        <v>20161)</v>
      </c>
      <c r="B334" t="str">
        <f>'2019_4-1-5_Download'!B55</f>
        <v>15 – 65</v>
      </c>
      <c r="C334" t="str">
        <f>'2019_4-1-5_Download'!C55</f>
        <v>Realschulabschluss</v>
      </c>
      <c r="D334" t="s">
        <v>85</v>
      </c>
      <c r="E334" t="s">
        <v>83</v>
      </c>
      <c r="F334">
        <f>'2019_4-1-5_Download'!G55</f>
        <v>37.880958310287554</v>
      </c>
    </row>
    <row r="335" spans="1:6" x14ac:dyDescent="0.25">
      <c r="A335" t="str">
        <f>'2019_4-1-5_Download'!D56</f>
        <v>20161)</v>
      </c>
      <c r="B335" t="str">
        <f>'2019_4-1-5_Download'!B56</f>
        <v>18 – 25</v>
      </c>
      <c r="C335" t="str">
        <f>'2019_4-1-5_Download'!C56</f>
        <v>(Fach-)Hochschulreife</v>
      </c>
      <c r="D335" t="s">
        <v>85</v>
      </c>
      <c r="E335" t="s">
        <v>83</v>
      </c>
      <c r="F335">
        <f>'2019_4-1-5_Download'!G56</f>
        <v>45.839954250536422</v>
      </c>
    </row>
    <row r="336" spans="1:6" x14ac:dyDescent="0.25">
      <c r="A336" t="str">
        <f>'2019_4-1-5_Download'!D57</f>
        <v>20161)</v>
      </c>
      <c r="B336" t="str">
        <f>'2019_4-1-5_Download'!B57</f>
        <v>25 – 35</v>
      </c>
      <c r="C336" t="str">
        <f>'2019_4-1-5_Download'!C57</f>
        <v>(Fach-)Hochschulreife</v>
      </c>
      <c r="D336" t="s">
        <v>85</v>
      </c>
      <c r="E336" t="s">
        <v>83</v>
      </c>
      <c r="F336">
        <f>'2019_4-1-5_Download'!G57</f>
        <v>45.162338100499696</v>
      </c>
    </row>
    <row r="337" spans="1:6" x14ac:dyDescent="0.25">
      <c r="A337" t="str">
        <f>'2019_4-1-5_Download'!D58</f>
        <v>20161)</v>
      </c>
      <c r="B337" t="str">
        <f>'2019_4-1-5_Download'!B58</f>
        <v>15 – 65</v>
      </c>
      <c r="C337" t="str">
        <f>'2019_4-1-5_Download'!C58</f>
        <v>(Fach-)Hochschulreife</v>
      </c>
      <c r="D337" t="s">
        <v>85</v>
      </c>
      <c r="E337" t="s">
        <v>83</v>
      </c>
      <c r="F337">
        <f>'2019_4-1-5_Download'!G58</f>
        <v>34.186427165516669</v>
      </c>
    </row>
    <row r="338" spans="1:6" x14ac:dyDescent="0.25">
      <c r="A338" t="str">
        <f>'2019_4-1-5_Download'!D59</f>
        <v>20151)</v>
      </c>
      <c r="B338" t="str">
        <f>'2019_4-1-5_Download'!B59</f>
        <v>18 – 25</v>
      </c>
      <c r="C338" t="str">
        <f>'2019_4-1-5_Download'!C59</f>
        <v>Ohne Abschluss2)</v>
      </c>
      <c r="D338" t="s">
        <v>85</v>
      </c>
      <c r="E338" t="s">
        <v>83</v>
      </c>
      <c r="F338">
        <f>'2019_4-1-5_Download'!G59</f>
        <v>2.8827232317372364</v>
      </c>
    </row>
    <row r="339" spans="1:6" x14ac:dyDescent="0.25">
      <c r="A339" t="str">
        <f>'2019_4-1-5_Download'!D60</f>
        <v>20151)</v>
      </c>
      <c r="B339" t="str">
        <f>'2019_4-1-5_Download'!B60</f>
        <v>25 – 35</v>
      </c>
      <c r="C339" t="str">
        <f>'2019_4-1-5_Download'!C60</f>
        <v>Ohne Abschluss2)</v>
      </c>
      <c r="D339" t="s">
        <v>85</v>
      </c>
      <c r="E339" t="s">
        <v>83</v>
      </c>
      <c r="F339">
        <f>'2019_4-1-5_Download'!G60</f>
        <v>2.6404567264316414</v>
      </c>
    </row>
    <row r="340" spans="1:6" x14ac:dyDescent="0.25">
      <c r="A340" t="str">
        <f>'2019_4-1-5_Download'!D61</f>
        <v>20151)</v>
      </c>
      <c r="B340" t="str">
        <f>'2019_4-1-5_Download'!B61</f>
        <v>15 – 65</v>
      </c>
      <c r="C340" t="str">
        <f>'2019_4-1-5_Download'!C61</f>
        <v>Ohne Abschluss2)</v>
      </c>
      <c r="D340" t="s">
        <v>85</v>
      </c>
      <c r="E340" t="s">
        <v>83</v>
      </c>
      <c r="F340">
        <f>'2019_4-1-5_Download'!G61</f>
        <v>2.121669380202122</v>
      </c>
    </row>
    <row r="341" spans="1:6" x14ac:dyDescent="0.25">
      <c r="A341" t="str">
        <f>'2019_4-1-5_Download'!D62</f>
        <v>20151)</v>
      </c>
      <c r="B341" t="str">
        <f>'2019_4-1-5_Download'!B62</f>
        <v>18 – 25</v>
      </c>
      <c r="C341" t="str">
        <f>'2019_4-1-5_Download'!C62</f>
        <v>Hauptschulabschluss</v>
      </c>
      <c r="D341" t="s">
        <v>85</v>
      </c>
      <c r="E341" t="s">
        <v>83</v>
      </c>
      <c r="F341">
        <f>'2019_4-1-5_Download'!G62</f>
        <v>12.036645441407863</v>
      </c>
    </row>
    <row r="342" spans="1:6" x14ac:dyDescent="0.25">
      <c r="A342" t="str">
        <f>'2019_4-1-5_Download'!D63</f>
        <v>20151)</v>
      </c>
      <c r="B342" t="str">
        <f>'2019_4-1-5_Download'!B63</f>
        <v>25 – 35</v>
      </c>
      <c r="C342" t="str">
        <f>'2019_4-1-5_Download'!C63</f>
        <v>Hauptschulabschluss</v>
      </c>
      <c r="D342" t="s">
        <v>85</v>
      </c>
      <c r="E342" t="s">
        <v>83</v>
      </c>
      <c r="F342">
        <f>'2019_4-1-5_Download'!G63</f>
        <v>13.054177914658844</v>
      </c>
    </row>
    <row r="343" spans="1:6" x14ac:dyDescent="0.25">
      <c r="A343" t="str">
        <f>'2019_4-1-5_Download'!D64</f>
        <v>20151)</v>
      </c>
      <c r="B343" t="str">
        <f>'2019_4-1-5_Download'!B64</f>
        <v>15 – 65</v>
      </c>
      <c r="C343" t="str">
        <f>'2019_4-1-5_Download'!C64</f>
        <v>Hauptschulabschluss</v>
      </c>
      <c r="D343" t="s">
        <v>85</v>
      </c>
      <c r="E343" t="s">
        <v>83</v>
      </c>
      <c r="F343">
        <f>'2019_4-1-5_Download'!G64</f>
        <v>25.976715362649799</v>
      </c>
    </row>
    <row r="344" spans="1:6" x14ac:dyDescent="0.25">
      <c r="A344" t="str">
        <f>'2019_4-1-5_Download'!D65</f>
        <v>20151)</v>
      </c>
      <c r="B344" t="str">
        <f>'2019_4-1-5_Download'!B65</f>
        <v>18 – 25</v>
      </c>
      <c r="C344" t="str">
        <f>'2019_4-1-5_Download'!C65</f>
        <v>Realschulabschluss</v>
      </c>
      <c r="D344" t="s">
        <v>85</v>
      </c>
      <c r="E344" t="s">
        <v>83</v>
      </c>
      <c r="F344">
        <f>'2019_4-1-5_Download'!G65</f>
        <v>40.266189611854642</v>
      </c>
    </row>
    <row r="345" spans="1:6" x14ac:dyDescent="0.25">
      <c r="A345" t="str">
        <f>'2019_4-1-5_Download'!D66</f>
        <v>20151)</v>
      </c>
      <c r="B345" t="str">
        <f>'2019_4-1-5_Download'!B66</f>
        <v>25 – 35</v>
      </c>
      <c r="C345" t="str">
        <f>'2019_4-1-5_Download'!C66</f>
        <v>Realschulabschluss</v>
      </c>
      <c r="D345" t="s">
        <v>85</v>
      </c>
      <c r="E345" t="s">
        <v>83</v>
      </c>
      <c r="F345">
        <f>'2019_4-1-5_Download'!G66</f>
        <v>38.809618861549488</v>
      </c>
    </row>
    <row r="346" spans="1:6" x14ac:dyDescent="0.25">
      <c r="A346" t="str">
        <f>'2019_4-1-5_Download'!D67</f>
        <v>20151)</v>
      </c>
      <c r="B346" t="str">
        <f>'2019_4-1-5_Download'!B67</f>
        <v>15 – 65</v>
      </c>
      <c r="C346" t="str">
        <f>'2019_4-1-5_Download'!C67</f>
        <v>Realschulabschluss</v>
      </c>
      <c r="D346" t="s">
        <v>85</v>
      </c>
      <c r="E346" t="s">
        <v>83</v>
      </c>
      <c r="F346">
        <f>'2019_4-1-5_Download'!G67</f>
        <v>38.055255437344449</v>
      </c>
    </row>
    <row r="347" spans="1:6" x14ac:dyDescent="0.25">
      <c r="A347" t="str">
        <f>'2019_4-1-5_Download'!D68</f>
        <v>20151)</v>
      </c>
      <c r="B347" t="str">
        <f>'2019_4-1-5_Download'!B68</f>
        <v>18 – 25</v>
      </c>
      <c r="C347" t="str">
        <f>'2019_4-1-5_Download'!C68</f>
        <v>(Fach-)Hochschulreife</v>
      </c>
      <c r="D347" t="s">
        <v>85</v>
      </c>
      <c r="E347" t="s">
        <v>83</v>
      </c>
      <c r="F347">
        <f>'2019_4-1-5_Download'!G68</f>
        <v>44.81443929372999</v>
      </c>
    </row>
    <row r="348" spans="1:6" x14ac:dyDescent="0.25">
      <c r="A348" t="str">
        <f>'2019_4-1-5_Download'!D69</f>
        <v>20151)</v>
      </c>
      <c r="B348" t="str">
        <f>'2019_4-1-5_Download'!B69</f>
        <v>25 – 35</v>
      </c>
      <c r="C348" t="str">
        <f>'2019_4-1-5_Download'!C69</f>
        <v>(Fach-)Hochschulreife</v>
      </c>
      <c r="D348" t="s">
        <v>85</v>
      </c>
      <c r="E348" t="s">
        <v>83</v>
      </c>
      <c r="F348">
        <f>'2019_4-1-5_Download'!G69</f>
        <v>45.495746497360031</v>
      </c>
    </row>
    <row r="349" spans="1:6" x14ac:dyDescent="0.25">
      <c r="A349" t="str">
        <f>'2019_4-1-5_Download'!D70</f>
        <v>20151)</v>
      </c>
      <c r="B349" t="str">
        <f>'2019_4-1-5_Download'!B70</f>
        <v>15 – 65</v>
      </c>
      <c r="C349" t="str">
        <f>'2019_4-1-5_Download'!C70</f>
        <v>(Fach-)Hochschulreife</v>
      </c>
      <c r="D349" t="s">
        <v>85</v>
      </c>
      <c r="E349" t="s">
        <v>83</v>
      </c>
      <c r="F349">
        <f>'2019_4-1-5_Download'!G70</f>
        <v>33.846359819803624</v>
      </c>
    </row>
    <row r="350" spans="1:6" x14ac:dyDescent="0.25">
      <c r="A350" t="str">
        <f>'2019_4-1-5_Download'!D71</f>
        <v>20141)</v>
      </c>
      <c r="B350" t="str">
        <f>'2019_4-1-5_Download'!B71</f>
        <v>18 – 25</v>
      </c>
      <c r="C350" t="str">
        <f>'2019_4-1-5_Download'!C71</f>
        <v>Ohne Abschluss2)</v>
      </c>
      <c r="D350" t="s">
        <v>85</v>
      </c>
      <c r="E350" t="s">
        <v>83</v>
      </c>
      <c r="F350">
        <f>'2019_4-1-5_Download'!G71</f>
        <v>3.4942196150433125</v>
      </c>
    </row>
    <row r="351" spans="1:6" x14ac:dyDescent="0.25">
      <c r="A351" t="str">
        <f>'2019_4-1-5_Download'!D72</f>
        <v>20141)</v>
      </c>
      <c r="B351" t="str">
        <f>'2019_4-1-5_Download'!B72</f>
        <v>25 – 35</v>
      </c>
      <c r="C351" t="str">
        <f>'2019_4-1-5_Download'!C72</f>
        <v>Ohne Abschluss2)</v>
      </c>
      <c r="D351" t="s">
        <v>85</v>
      </c>
      <c r="E351" t="s">
        <v>83</v>
      </c>
      <c r="F351">
        <f>'2019_4-1-5_Download'!G72</f>
        <v>2.4151845086418589</v>
      </c>
    </row>
    <row r="352" spans="1:6" x14ac:dyDescent="0.25">
      <c r="A352" t="str">
        <f>'2019_4-1-5_Download'!D73</f>
        <v>20141)</v>
      </c>
      <c r="B352" t="str">
        <f>'2019_4-1-5_Download'!B73</f>
        <v>15 – 65</v>
      </c>
      <c r="C352" t="str">
        <f>'2019_4-1-5_Download'!C73</f>
        <v>Ohne Abschluss2)</v>
      </c>
      <c r="D352" t="s">
        <v>85</v>
      </c>
      <c r="E352" t="s">
        <v>83</v>
      </c>
      <c r="F352">
        <f>'2019_4-1-5_Download'!G73</f>
        <v>2.2894831864733827</v>
      </c>
    </row>
    <row r="353" spans="1:6" x14ac:dyDescent="0.25">
      <c r="A353" t="str">
        <f>'2019_4-1-5_Download'!D74</f>
        <v>20141)</v>
      </c>
      <c r="B353" t="str">
        <f>'2019_4-1-5_Download'!B74</f>
        <v>18 – 25</v>
      </c>
      <c r="C353" t="str">
        <f>'2019_4-1-5_Download'!C74</f>
        <v>Hauptschulabschluss</v>
      </c>
      <c r="D353" t="s">
        <v>85</v>
      </c>
      <c r="E353" t="s">
        <v>83</v>
      </c>
      <c r="F353">
        <f>'2019_4-1-5_Download'!G74</f>
        <v>13.065419033503062</v>
      </c>
    </row>
    <row r="354" spans="1:6" x14ac:dyDescent="0.25">
      <c r="A354" t="str">
        <f>'2019_4-1-5_Download'!D75</f>
        <v>20141)</v>
      </c>
      <c r="B354" t="str">
        <f>'2019_4-1-5_Download'!B75</f>
        <v>25 – 35</v>
      </c>
      <c r="C354" t="str">
        <f>'2019_4-1-5_Download'!C75</f>
        <v>Hauptschulabschluss</v>
      </c>
      <c r="D354" t="s">
        <v>85</v>
      </c>
      <c r="E354" t="s">
        <v>83</v>
      </c>
      <c r="F354">
        <f>'2019_4-1-5_Download'!G75</f>
        <v>14.129317506186712</v>
      </c>
    </row>
    <row r="355" spans="1:6" x14ac:dyDescent="0.25">
      <c r="A355" t="str">
        <f>'2019_4-1-5_Download'!D76</f>
        <v>20141)</v>
      </c>
      <c r="B355" t="str">
        <f>'2019_4-1-5_Download'!B76</f>
        <v>15 – 65</v>
      </c>
      <c r="C355" t="str">
        <f>'2019_4-1-5_Download'!C76</f>
        <v>Hauptschulabschluss</v>
      </c>
      <c r="D355" t="s">
        <v>85</v>
      </c>
      <c r="E355" t="s">
        <v>83</v>
      </c>
      <c r="F355">
        <f>'2019_4-1-5_Download'!G76</f>
        <v>27.428846216198711</v>
      </c>
    </row>
    <row r="356" spans="1:6" x14ac:dyDescent="0.25">
      <c r="A356" t="str">
        <f>'2019_4-1-5_Download'!D77</f>
        <v>20141)</v>
      </c>
      <c r="B356" t="str">
        <f>'2019_4-1-5_Download'!B77</f>
        <v>18 – 25</v>
      </c>
      <c r="C356" t="str">
        <f>'2019_4-1-5_Download'!C77</f>
        <v>Realschulabschluss</v>
      </c>
      <c r="D356" t="s">
        <v>85</v>
      </c>
      <c r="E356" t="s">
        <v>83</v>
      </c>
      <c r="F356">
        <f>'2019_4-1-5_Download'!G77</f>
        <v>40.942167361311874</v>
      </c>
    </row>
    <row r="357" spans="1:6" x14ac:dyDescent="0.25">
      <c r="A357" t="str">
        <f>'2019_4-1-5_Download'!D78</f>
        <v>20141)</v>
      </c>
      <c r="B357" t="str">
        <f>'2019_4-1-5_Download'!B78</f>
        <v>25 – 35</v>
      </c>
      <c r="C357" t="str">
        <f>'2019_4-1-5_Download'!C78</f>
        <v>Realschulabschluss</v>
      </c>
      <c r="D357" t="s">
        <v>85</v>
      </c>
      <c r="E357" t="s">
        <v>83</v>
      </c>
      <c r="F357">
        <f>'2019_4-1-5_Download'!G78</f>
        <v>40.470856654677874</v>
      </c>
    </row>
    <row r="358" spans="1:6" x14ac:dyDescent="0.25">
      <c r="A358" t="str">
        <f>'2019_4-1-5_Download'!D79</f>
        <v>20141)</v>
      </c>
      <c r="B358" t="str">
        <f>'2019_4-1-5_Download'!B79</f>
        <v>15 – 65</v>
      </c>
      <c r="C358" t="str">
        <f>'2019_4-1-5_Download'!C79</f>
        <v>Realschulabschluss</v>
      </c>
      <c r="D358" t="s">
        <v>85</v>
      </c>
      <c r="E358" t="s">
        <v>83</v>
      </c>
      <c r="F358">
        <f>'2019_4-1-5_Download'!G79</f>
        <v>37.718834126586046</v>
      </c>
    </row>
    <row r="359" spans="1:6" x14ac:dyDescent="0.25">
      <c r="A359" t="str">
        <f>'2019_4-1-5_Download'!D80</f>
        <v>20141)</v>
      </c>
      <c r="B359" t="str">
        <f>'2019_4-1-5_Download'!B80</f>
        <v>18 – 25</v>
      </c>
      <c r="C359" t="str">
        <f>'2019_4-1-5_Download'!C80</f>
        <v>(Fach-)Hochschulreife</v>
      </c>
      <c r="D359" t="s">
        <v>85</v>
      </c>
      <c r="E359" t="s">
        <v>83</v>
      </c>
      <c r="F359">
        <f>'2019_4-1-5_Download'!G80</f>
        <v>42.49819399014175</v>
      </c>
    </row>
    <row r="360" spans="1:6" x14ac:dyDescent="0.25">
      <c r="A360" t="str">
        <f>'2019_4-1-5_Download'!D81</f>
        <v>20141)</v>
      </c>
      <c r="B360" t="str">
        <f>'2019_4-1-5_Download'!B81</f>
        <v>25 – 35</v>
      </c>
      <c r="C360" t="str">
        <f>'2019_4-1-5_Download'!C81</f>
        <v>(Fach-)Hochschulreife</v>
      </c>
      <c r="D360" t="s">
        <v>85</v>
      </c>
      <c r="E360" t="s">
        <v>83</v>
      </c>
      <c r="F360">
        <f>'2019_4-1-5_Download'!G81</f>
        <v>42.98464133049356</v>
      </c>
    </row>
    <row r="361" spans="1:6" x14ac:dyDescent="0.25">
      <c r="A361" t="str">
        <f>'2019_4-1-5_Download'!D82</f>
        <v>20141)</v>
      </c>
      <c r="B361" t="str">
        <f>'2019_4-1-5_Download'!B82</f>
        <v>15 – 65</v>
      </c>
      <c r="C361" t="str">
        <f>'2019_4-1-5_Download'!C82</f>
        <v>(Fach-)Hochschulreife</v>
      </c>
      <c r="D361" t="s">
        <v>85</v>
      </c>
      <c r="E361" t="s">
        <v>83</v>
      </c>
      <c r="F361">
        <f>'2019_4-1-5_Download'!G82</f>
        <v>32.562836726184457</v>
      </c>
    </row>
    <row r="362" spans="1:6" x14ac:dyDescent="0.25">
      <c r="A362" t="str">
        <f>'2019_4-1-5_Download'!D83</f>
        <v>20131)</v>
      </c>
      <c r="B362" t="str">
        <f>'2019_4-1-5_Download'!B83</f>
        <v>18 – 25</v>
      </c>
      <c r="C362" t="str">
        <f>'2019_4-1-5_Download'!C83</f>
        <v>Ohne Abschluss2)</v>
      </c>
      <c r="D362" t="s">
        <v>85</v>
      </c>
      <c r="E362" t="s">
        <v>83</v>
      </c>
      <c r="F362">
        <f>'2019_4-1-5_Download'!G83</f>
        <v>3.8581134596894184</v>
      </c>
    </row>
    <row r="363" spans="1:6" x14ac:dyDescent="0.25">
      <c r="A363" t="str">
        <f>'2019_4-1-5_Download'!D84</f>
        <v>20131)</v>
      </c>
      <c r="B363" t="str">
        <f>'2019_4-1-5_Download'!B84</f>
        <v>25 – 35</v>
      </c>
      <c r="C363" t="str">
        <f>'2019_4-1-5_Download'!C84</f>
        <v>Ohne Abschluss2)</v>
      </c>
      <c r="D363" t="s">
        <v>85</v>
      </c>
      <c r="E363" t="s">
        <v>83</v>
      </c>
      <c r="F363">
        <f>'2019_4-1-5_Download'!G84</f>
        <v>2.636205797609152</v>
      </c>
    </row>
    <row r="364" spans="1:6" x14ac:dyDescent="0.25">
      <c r="A364" t="str">
        <f>'2019_4-1-5_Download'!D85</f>
        <v>20131)</v>
      </c>
      <c r="B364" t="str">
        <f>'2019_4-1-5_Download'!B85</f>
        <v>15 – 65</v>
      </c>
      <c r="C364" t="str">
        <f>'2019_4-1-5_Download'!C85</f>
        <v>Ohne Abschluss2)</v>
      </c>
      <c r="D364" t="s">
        <v>85</v>
      </c>
      <c r="E364" t="s">
        <v>83</v>
      </c>
      <c r="F364">
        <f>'2019_4-1-5_Download'!G85</f>
        <v>2.2326660215626659</v>
      </c>
    </row>
    <row r="365" spans="1:6" x14ac:dyDescent="0.25">
      <c r="A365" t="str">
        <f>'2019_4-1-5_Download'!D86</f>
        <v>20131)</v>
      </c>
      <c r="B365" t="str">
        <f>'2019_4-1-5_Download'!B86</f>
        <v>18 – 25</v>
      </c>
      <c r="C365" t="str">
        <f>'2019_4-1-5_Download'!C86</f>
        <v>Hauptschulabschluss</v>
      </c>
      <c r="D365" t="s">
        <v>85</v>
      </c>
      <c r="E365" t="s">
        <v>83</v>
      </c>
      <c r="F365">
        <f>'2019_4-1-5_Download'!G86</f>
        <v>13.882857065915472</v>
      </c>
    </row>
    <row r="366" spans="1:6" x14ac:dyDescent="0.25">
      <c r="A366" t="str">
        <f>'2019_4-1-5_Download'!D87</f>
        <v>20131)</v>
      </c>
      <c r="B366" t="str">
        <f>'2019_4-1-5_Download'!B87</f>
        <v>25 – 35</v>
      </c>
      <c r="C366" t="str">
        <f>'2019_4-1-5_Download'!C87</f>
        <v>Hauptschulabschluss</v>
      </c>
      <c r="D366" t="s">
        <v>85</v>
      </c>
      <c r="E366" t="s">
        <v>83</v>
      </c>
      <c r="F366">
        <f>'2019_4-1-5_Download'!G87</f>
        <v>14.452252044901693</v>
      </c>
    </row>
    <row r="367" spans="1:6" x14ac:dyDescent="0.25">
      <c r="A367" t="str">
        <f>'2019_4-1-5_Download'!D88</f>
        <v>20131)</v>
      </c>
      <c r="B367" t="str">
        <f>'2019_4-1-5_Download'!B88</f>
        <v>15 – 65</v>
      </c>
      <c r="C367" t="str">
        <f>'2019_4-1-5_Download'!C88</f>
        <v>Hauptschulabschluss</v>
      </c>
      <c r="D367" t="s">
        <v>85</v>
      </c>
      <c r="E367" t="s">
        <v>83</v>
      </c>
      <c r="F367">
        <f>'2019_4-1-5_Download'!G88</f>
        <v>28.642493790953527</v>
      </c>
    </row>
    <row r="368" spans="1:6" x14ac:dyDescent="0.25">
      <c r="A368" t="str">
        <f>'2019_4-1-5_Download'!D89</f>
        <v>20131)</v>
      </c>
      <c r="B368" t="str">
        <f>'2019_4-1-5_Download'!B89</f>
        <v>18 – 25</v>
      </c>
      <c r="C368" t="str">
        <f>'2019_4-1-5_Download'!C89</f>
        <v>Realschulabschluss</v>
      </c>
      <c r="D368" t="s">
        <v>85</v>
      </c>
      <c r="E368" t="s">
        <v>83</v>
      </c>
      <c r="F368">
        <f>'2019_4-1-5_Download'!G89</f>
        <v>40.41508687096691</v>
      </c>
    </row>
    <row r="369" spans="1:6" x14ac:dyDescent="0.25">
      <c r="A369" t="str">
        <f>'2019_4-1-5_Download'!D90</f>
        <v>20131)</v>
      </c>
      <c r="B369" t="str">
        <f>'2019_4-1-5_Download'!B90</f>
        <v>25 – 35</v>
      </c>
      <c r="C369" t="str">
        <f>'2019_4-1-5_Download'!C90</f>
        <v>Realschulabschluss</v>
      </c>
      <c r="D369" t="s">
        <v>85</v>
      </c>
      <c r="E369" t="s">
        <v>83</v>
      </c>
      <c r="F369">
        <f>'2019_4-1-5_Download'!G90</f>
        <v>40.693864658911529</v>
      </c>
    </row>
    <row r="370" spans="1:6" x14ac:dyDescent="0.25">
      <c r="A370" t="str">
        <f>'2019_4-1-5_Download'!D91</f>
        <v>20131)</v>
      </c>
      <c r="B370" t="str">
        <f>'2019_4-1-5_Download'!B91</f>
        <v>15 – 65</v>
      </c>
      <c r="C370" t="str">
        <f>'2019_4-1-5_Download'!C91</f>
        <v>Realschulabschluss</v>
      </c>
      <c r="D370" t="s">
        <v>85</v>
      </c>
      <c r="E370" t="s">
        <v>83</v>
      </c>
      <c r="F370">
        <f>'2019_4-1-5_Download'!G91</f>
        <v>36.87476979632379</v>
      </c>
    </row>
    <row r="371" spans="1:6" x14ac:dyDescent="0.25">
      <c r="A371" t="str">
        <f>'2019_4-1-5_Download'!D92</f>
        <v>20131)</v>
      </c>
      <c r="B371" t="str">
        <f>'2019_4-1-5_Download'!B92</f>
        <v>18 – 25</v>
      </c>
      <c r="C371" t="str">
        <f>'2019_4-1-5_Download'!C92</f>
        <v>(Fach-)Hochschulreife</v>
      </c>
      <c r="D371" t="s">
        <v>85</v>
      </c>
      <c r="E371" t="s">
        <v>83</v>
      </c>
      <c r="F371">
        <f>'2019_4-1-5_Download'!G92</f>
        <v>41.843944980267125</v>
      </c>
    </row>
    <row r="372" spans="1:6" x14ac:dyDescent="0.25">
      <c r="A372" t="str">
        <f>'2019_4-1-5_Download'!D93</f>
        <v>20131)</v>
      </c>
      <c r="B372" t="str">
        <f>'2019_4-1-5_Download'!B93</f>
        <v>25 – 35</v>
      </c>
      <c r="C372" t="str">
        <f>'2019_4-1-5_Download'!C93</f>
        <v>(Fach-)Hochschulreife</v>
      </c>
      <c r="D372" t="s">
        <v>85</v>
      </c>
      <c r="E372" t="s">
        <v>83</v>
      </c>
      <c r="F372">
        <f>'2019_4-1-5_Download'!G93</f>
        <v>42.217676005589034</v>
      </c>
    </row>
    <row r="373" spans="1:6" x14ac:dyDescent="0.25">
      <c r="A373" t="str">
        <f>'2019_4-1-5_Download'!D94</f>
        <v>20131)</v>
      </c>
      <c r="B373" t="str">
        <f>'2019_4-1-5_Download'!B94</f>
        <v>15 – 65</v>
      </c>
      <c r="C373" t="str">
        <f>'2019_4-1-5_Download'!C94</f>
        <v>(Fach-)Hochschulreife</v>
      </c>
      <c r="D373" t="s">
        <v>85</v>
      </c>
      <c r="E373" t="s">
        <v>83</v>
      </c>
      <c r="F373">
        <f>'2019_4-1-5_Download'!G94</f>
        <v>32.250070647032501</v>
      </c>
    </row>
    <row r="374" spans="1:6" x14ac:dyDescent="0.25">
      <c r="A374" t="str">
        <f>'2019_4-1-5_Download'!D95</f>
        <v>20121)</v>
      </c>
      <c r="B374" t="str">
        <f>'2019_4-1-5_Download'!B95</f>
        <v>18 – 25</v>
      </c>
      <c r="C374" t="str">
        <f>'2019_4-1-5_Download'!C95</f>
        <v>Ohne Abschluss2)</v>
      </c>
      <c r="D374" t="s">
        <v>85</v>
      </c>
      <c r="E374" t="s">
        <v>83</v>
      </c>
      <c r="F374">
        <f>'2019_4-1-5_Download'!G95</f>
        <v>4.4659382405956984</v>
      </c>
    </row>
    <row r="375" spans="1:6" x14ac:dyDescent="0.25">
      <c r="A375" t="str">
        <f>'2019_4-1-5_Download'!D96</f>
        <v>20121)</v>
      </c>
      <c r="B375" t="str">
        <f>'2019_4-1-5_Download'!B96</f>
        <v>25 – 35</v>
      </c>
      <c r="C375" t="str">
        <f>'2019_4-1-5_Download'!C96</f>
        <v>Ohne Abschluss2)</v>
      </c>
      <c r="D375" t="s">
        <v>85</v>
      </c>
      <c r="E375" t="s">
        <v>83</v>
      </c>
      <c r="F375">
        <f>'2019_4-1-5_Download'!G96</f>
        <v>2.1520811428850282</v>
      </c>
    </row>
    <row r="376" spans="1:6" x14ac:dyDescent="0.25">
      <c r="A376" t="str">
        <f>'2019_4-1-5_Download'!D97</f>
        <v>20121)</v>
      </c>
      <c r="B376" t="str">
        <f>'2019_4-1-5_Download'!B97</f>
        <v>15 – 65</v>
      </c>
      <c r="C376" t="str">
        <f>'2019_4-1-5_Download'!C97</f>
        <v>Ohne Abschluss2)</v>
      </c>
      <c r="D376" t="s">
        <v>85</v>
      </c>
      <c r="E376" t="s">
        <v>83</v>
      </c>
      <c r="F376">
        <f>'2019_4-1-5_Download'!G97</f>
        <v>2.2395724823015377</v>
      </c>
    </row>
    <row r="377" spans="1:6" x14ac:dyDescent="0.25">
      <c r="A377" t="str">
        <f>'2019_4-1-5_Download'!D98</f>
        <v>20121)</v>
      </c>
      <c r="B377" t="str">
        <f>'2019_4-1-5_Download'!B98</f>
        <v>18 – 25</v>
      </c>
      <c r="C377" t="str">
        <f>'2019_4-1-5_Download'!C98</f>
        <v>Hauptschulabschluss</v>
      </c>
      <c r="D377" t="s">
        <v>85</v>
      </c>
      <c r="E377" t="s">
        <v>83</v>
      </c>
      <c r="F377">
        <f>'2019_4-1-5_Download'!G98</f>
        <v>14.832580244311355</v>
      </c>
    </row>
    <row r="378" spans="1:6" x14ac:dyDescent="0.25">
      <c r="A378" t="str">
        <f>'2019_4-1-5_Download'!D99</f>
        <v>20121)</v>
      </c>
      <c r="B378" t="str">
        <f>'2019_4-1-5_Download'!B99</f>
        <v>25 – 35</v>
      </c>
      <c r="C378" t="str">
        <f>'2019_4-1-5_Download'!C99</f>
        <v>Hauptschulabschluss</v>
      </c>
      <c r="D378" t="s">
        <v>85</v>
      </c>
      <c r="E378" t="s">
        <v>83</v>
      </c>
      <c r="F378">
        <f>'2019_4-1-5_Download'!G99</f>
        <v>14.987098073326122</v>
      </c>
    </row>
    <row r="379" spans="1:6" x14ac:dyDescent="0.25">
      <c r="A379" t="str">
        <f>'2019_4-1-5_Download'!D100</f>
        <v>20121)</v>
      </c>
      <c r="B379" t="str">
        <f>'2019_4-1-5_Download'!B100</f>
        <v>15 – 65</v>
      </c>
      <c r="C379" t="str">
        <f>'2019_4-1-5_Download'!C100</f>
        <v>Hauptschulabschluss</v>
      </c>
      <c r="D379" t="s">
        <v>85</v>
      </c>
      <c r="E379" t="s">
        <v>83</v>
      </c>
      <c r="F379">
        <f>'2019_4-1-5_Download'!G100</f>
        <v>29.932105574049857</v>
      </c>
    </row>
    <row r="380" spans="1:6" x14ac:dyDescent="0.25">
      <c r="A380" t="str">
        <f>'2019_4-1-5_Download'!D101</f>
        <v>20121)</v>
      </c>
      <c r="B380" t="str">
        <f>'2019_4-1-5_Download'!B101</f>
        <v>18 – 25</v>
      </c>
      <c r="C380" t="str">
        <f>'2019_4-1-5_Download'!C101</f>
        <v>Realschulabschluss</v>
      </c>
      <c r="D380" t="s">
        <v>85</v>
      </c>
      <c r="E380" t="s">
        <v>83</v>
      </c>
      <c r="F380">
        <f>'2019_4-1-5_Download'!G101</f>
        <v>42.516320881828612</v>
      </c>
    </row>
    <row r="381" spans="1:6" x14ac:dyDescent="0.25">
      <c r="A381" t="str">
        <f>'2019_4-1-5_Download'!D102</f>
        <v>20121)</v>
      </c>
      <c r="B381" t="str">
        <f>'2019_4-1-5_Download'!B102</f>
        <v>25 – 35</v>
      </c>
      <c r="C381" t="str">
        <f>'2019_4-1-5_Download'!C102</f>
        <v>Realschulabschluss</v>
      </c>
      <c r="D381" t="s">
        <v>85</v>
      </c>
      <c r="E381" t="s">
        <v>83</v>
      </c>
      <c r="F381">
        <f>'2019_4-1-5_Download'!G102</f>
        <v>41.552107480163023</v>
      </c>
    </row>
    <row r="382" spans="1:6" x14ac:dyDescent="0.25">
      <c r="A382" t="str">
        <f>'2019_4-1-5_Download'!D103</f>
        <v>20121)</v>
      </c>
      <c r="B382" t="str">
        <f>'2019_4-1-5_Download'!B103</f>
        <v>15 – 65</v>
      </c>
      <c r="C382" t="str">
        <f>'2019_4-1-5_Download'!C103</f>
        <v>Realschulabschluss</v>
      </c>
      <c r="D382" t="s">
        <v>85</v>
      </c>
      <c r="E382" t="s">
        <v>83</v>
      </c>
      <c r="F382">
        <f>'2019_4-1-5_Download'!G103</f>
        <v>36.875260155014551</v>
      </c>
    </row>
    <row r="383" spans="1:6" x14ac:dyDescent="0.25">
      <c r="A383" t="str">
        <f>'2019_4-1-5_Download'!D104</f>
        <v>20121)</v>
      </c>
      <c r="B383" t="str">
        <f>'2019_4-1-5_Download'!B104</f>
        <v>18 – 25</v>
      </c>
      <c r="C383" t="str">
        <f>'2019_4-1-5_Download'!C104</f>
        <v>(Fach-)Hochschulreife</v>
      </c>
      <c r="D383" t="s">
        <v>85</v>
      </c>
      <c r="E383" t="s">
        <v>83</v>
      </c>
      <c r="F383">
        <f>'2019_4-1-5_Download'!G104</f>
        <v>38.185158300335011</v>
      </c>
    </row>
    <row r="384" spans="1:6" x14ac:dyDescent="0.25">
      <c r="A384" t="str">
        <f>'2019_4-1-5_Download'!D105</f>
        <v>20121)</v>
      </c>
      <c r="B384" t="str">
        <f>'2019_4-1-5_Download'!B105</f>
        <v>25 – 35</v>
      </c>
      <c r="C384" t="str">
        <f>'2019_4-1-5_Download'!C105</f>
        <v>(Fach-)Hochschulreife</v>
      </c>
      <c r="D384" t="s">
        <v>85</v>
      </c>
      <c r="E384" t="s">
        <v>83</v>
      </c>
      <c r="F384">
        <f>'2019_4-1-5_Download'!G105</f>
        <v>41.308714807925448</v>
      </c>
    </row>
    <row r="385" spans="1:6" x14ac:dyDescent="0.25">
      <c r="A385" t="str">
        <f>'2019_4-1-5_Download'!D106</f>
        <v>20121)</v>
      </c>
      <c r="B385" t="str">
        <f>'2019_4-1-5_Download'!B106</f>
        <v>15 – 65</v>
      </c>
      <c r="C385" t="str">
        <f>'2019_4-1-5_Download'!C106</f>
        <v>(Fach-)Hochschulreife</v>
      </c>
      <c r="D385" t="s">
        <v>85</v>
      </c>
      <c r="E385" t="s">
        <v>83</v>
      </c>
      <c r="F385">
        <f>'2019_4-1-5_Download'!G106</f>
        <v>30.953061788634063</v>
      </c>
    </row>
    <row r="386" spans="1:6" x14ac:dyDescent="0.25">
      <c r="A386" t="str">
        <f>'2019_4-1-5_Download'!D107</f>
        <v>20111)</v>
      </c>
      <c r="B386" t="str">
        <f>'2019_4-1-5_Download'!B107</f>
        <v>18 – 25</v>
      </c>
      <c r="C386" t="str">
        <f>'2019_4-1-5_Download'!C107</f>
        <v>Ohne Abschluss2)</v>
      </c>
      <c r="D386" t="s">
        <v>85</v>
      </c>
      <c r="E386" t="s">
        <v>83</v>
      </c>
      <c r="F386">
        <f>'2019_4-1-5_Download'!G107</f>
        <v>4.212473377535928</v>
      </c>
    </row>
    <row r="387" spans="1:6" x14ac:dyDescent="0.25">
      <c r="A387" t="str">
        <f>'2019_4-1-5_Download'!D108</f>
        <v>20111)</v>
      </c>
      <c r="B387" t="str">
        <f>'2019_4-1-5_Download'!B108</f>
        <v>25 – 35</v>
      </c>
      <c r="C387" t="str">
        <f>'2019_4-1-5_Download'!C108</f>
        <v>Ohne Abschluss2)</v>
      </c>
      <c r="D387" t="s">
        <v>85</v>
      </c>
      <c r="E387" t="s">
        <v>83</v>
      </c>
      <c r="F387">
        <f>'2019_4-1-5_Download'!G108</f>
        <v>2.0962607986382698</v>
      </c>
    </row>
    <row r="388" spans="1:6" x14ac:dyDescent="0.25">
      <c r="A388" t="str">
        <f>'2019_4-1-5_Download'!D109</f>
        <v>20111)</v>
      </c>
      <c r="B388" t="str">
        <f>'2019_4-1-5_Download'!B109</f>
        <v>15 – 65</v>
      </c>
      <c r="C388" t="str">
        <f>'2019_4-1-5_Download'!C109</f>
        <v>Ohne Abschluss2)</v>
      </c>
      <c r="D388" t="s">
        <v>85</v>
      </c>
      <c r="E388" t="s">
        <v>83</v>
      </c>
      <c r="F388">
        <f>'2019_4-1-5_Download'!G109</f>
        <v>2.256034883631453</v>
      </c>
    </row>
    <row r="389" spans="1:6" x14ac:dyDescent="0.25">
      <c r="A389" t="str">
        <f>'2019_4-1-5_Download'!D110</f>
        <v>20111)</v>
      </c>
      <c r="B389" t="str">
        <f>'2019_4-1-5_Download'!B110</f>
        <v>18 – 25</v>
      </c>
      <c r="C389" t="str">
        <f>'2019_4-1-5_Download'!C110</f>
        <v>Hauptschulabschluss</v>
      </c>
      <c r="D389" t="s">
        <v>85</v>
      </c>
      <c r="E389" t="s">
        <v>83</v>
      </c>
      <c r="F389">
        <f>'2019_4-1-5_Download'!G110</f>
        <v>15.807439824541817</v>
      </c>
    </row>
    <row r="390" spans="1:6" x14ac:dyDescent="0.25">
      <c r="A390" t="str">
        <f>'2019_4-1-5_Download'!D111</f>
        <v>20111)</v>
      </c>
      <c r="B390" t="str">
        <f>'2019_4-1-5_Download'!B111</f>
        <v>25 – 35</v>
      </c>
      <c r="C390" t="str">
        <f>'2019_4-1-5_Download'!C111</f>
        <v>Hauptschulabschluss</v>
      </c>
      <c r="D390" t="s">
        <v>85</v>
      </c>
      <c r="E390" t="s">
        <v>83</v>
      </c>
      <c r="F390">
        <f>'2019_4-1-5_Download'!G111</f>
        <v>16.354891769290095</v>
      </c>
    </row>
    <row r="391" spans="1:6" x14ac:dyDescent="0.25">
      <c r="A391" t="str">
        <f>'2019_4-1-5_Download'!D112</f>
        <v>20111)</v>
      </c>
      <c r="B391" t="str">
        <f>'2019_4-1-5_Download'!B112</f>
        <v>15 – 65</v>
      </c>
      <c r="C391" t="str">
        <f>'2019_4-1-5_Download'!C112</f>
        <v>Hauptschulabschluss</v>
      </c>
      <c r="D391" t="s">
        <v>85</v>
      </c>
      <c r="E391" t="s">
        <v>83</v>
      </c>
      <c r="F391">
        <f>'2019_4-1-5_Download'!G112</f>
        <v>31.29188612194876</v>
      </c>
    </row>
    <row r="392" spans="1:6" x14ac:dyDescent="0.25">
      <c r="A392" t="str">
        <f>'2019_4-1-5_Download'!D113</f>
        <v>20111)</v>
      </c>
      <c r="B392" t="str">
        <f>'2019_4-1-5_Download'!B113</f>
        <v>18 – 25</v>
      </c>
      <c r="C392" t="str">
        <f>'2019_4-1-5_Download'!C113</f>
        <v>Realschulabschluss</v>
      </c>
      <c r="D392" t="s">
        <v>85</v>
      </c>
      <c r="E392" t="s">
        <v>83</v>
      </c>
      <c r="F392">
        <f>'2019_4-1-5_Download'!G113</f>
        <v>42.935690378887422</v>
      </c>
    </row>
    <row r="393" spans="1:6" x14ac:dyDescent="0.25">
      <c r="A393" t="str">
        <f>'2019_4-1-5_Download'!D114</f>
        <v>20111)</v>
      </c>
      <c r="B393" t="str">
        <f>'2019_4-1-5_Download'!B114</f>
        <v>25 – 35</v>
      </c>
      <c r="C393" t="str">
        <f>'2019_4-1-5_Download'!C114</f>
        <v>Realschulabschluss</v>
      </c>
      <c r="D393" t="s">
        <v>85</v>
      </c>
      <c r="E393" t="s">
        <v>83</v>
      </c>
      <c r="F393">
        <f>'2019_4-1-5_Download'!G114</f>
        <v>41.623986072728655</v>
      </c>
    </row>
    <row r="394" spans="1:6" x14ac:dyDescent="0.25">
      <c r="A394" t="str">
        <f>'2019_4-1-5_Download'!D115</f>
        <v>20111)</v>
      </c>
      <c r="B394" t="str">
        <f>'2019_4-1-5_Download'!B115</f>
        <v>15 – 65</v>
      </c>
      <c r="C394" t="str">
        <f>'2019_4-1-5_Download'!C115</f>
        <v>Realschulabschluss</v>
      </c>
      <c r="D394" t="s">
        <v>85</v>
      </c>
      <c r="E394" t="s">
        <v>83</v>
      </c>
      <c r="F394">
        <f>'2019_4-1-5_Download'!G115</f>
        <v>36.24574287597239</v>
      </c>
    </row>
    <row r="395" spans="1:6" x14ac:dyDescent="0.25">
      <c r="A395" t="str">
        <f>'2019_4-1-5_Download'!D116</f>
        <v>20111)</v>
      </c>
      <c r="B395" t="str">
        <f>'2019_4-1-5_Download'!B116</f>
        <v>18 – 25</v>
      </c>
      <c r="C395" t="str">
        <f>'2019_4-1-5_Download'!C116</f>
        <v>(Fach-)Hochschulreife</v>
      </c>
      <c r="D395" t="s">
        <v>85</v>
      </c>
      <c r="E395" t="s">
        <v>83</v>
      </c>
      <c r="F395">
        <f>'2019_4-1-5_Download'!G116</f>
        <v>37.04439641903484</v>
      </c>
    </row>
    <row r="396" spans="1:6" x14ac:dyDescent="0.25">
      <c r="A396" t="str">
        <f>'2019_4-1-5_Download'!D117</f>
        <v>20111)</v>
      </c>
      <c r="B396" t="str">
        <f>'2019_4-1-5_Download'!B117</f>
        <v>25 – 35</v>
      </c>
      <c r="C396" t="str">
        <f>'2019_4-1-5_Download'!C117</f>
        <v>(Fach-)Hochschulreife</v>
      </c>
      <c r="D396" t="s">
        <v>85</v>
      </c>
      <c r="E396" t="s">
        <v>83</v>
      </c>
      <c r="F396">
        <f>'2019_4-1-5_Download'!G117</f>
        <v>39.92486135934297</v>
      </c>
    </row>
    <row r="397" spans="1:6" x14ac:dyDescent="0.25">
      <c r="A397" t="str">
        <f>'2019_4-1-5_Download'!D118</f>
        <v>20111)</v>
      </c>
      <c r="B397" t="str">
        <f>'2019_4-1-5_Download'!B118</f>
        <v>15 – 65</v>
      </c>
      <c r="C397" t="str">
        <f>'2019_4-1-5_Download'!C118</f>
        <v>(Fach-)Hochschulreife</v>
      </c>
      <c r="D397" t="s">
        <v>85</v>
      </c>
      <c r="E397" t="s">
        <v>83</v>
      </c>
      <c r="F397">
        <f>'2019_4-1-5_Download'!G118</f>
        <v>30.206336118447407</v>
      </c>
    </row>
    <row r="398" spans="1:6" x14ac:dyDescent="0.25">
      <c r="A398">
        <f>'2019_4-1-5_Download'!D119</f>
        <v>2010</v>
      </c>
      <c r="B398" t="str">
        <f>'2019_4-1-5_Download'!B119</f>
        <v>18 – 25</v>
      </c>
      <c r="C398" t="str">
        <f>'2019_4-1-5_Download'!C119</f>
        <v>Ohne Abschluss2)</v>
      </c>
      <c r="D398" t="s">
        <v>85</v>
      </c>
      <c r="E398" t="s">
        <v>83</v>
      </c>
      <c r="F398">
        <f>'2019_4-1-5_Download'!G119</f>
        <v>4.0130045470776761</v>
      </c>
    </row>
    <row r="399" spans="1:6" x14ac:dyDescent="0.25">
      <c r="A399">
        <f>'2019_4-1-5_Download'!D120</f>
        <v>2010</v>
      </c>
      <c r="B399" t="str">
        <f>'2019_4-1-5_Download'!B120</f>
        <v>25 – 35</v>
      </c>
      <c r="C399" t="str">
        <f>'2019_4-1-5_Download'!C120</f>
        <v>Ohne Abschluss2)</v>
      </c>
      <c r="D399" t="s">
        <v>85</v>
      </c>
      <c r="E399" t="s">
        <v>83</v>
      </c>
      <c r="F399">
        <f>'2019_4-1-5_Download'!G120</f>
        <v>2.0295387562309761</v>
      </c>
    </row>
    <row r="400" spans="1:6" x14ac:dyDescent="0.25">
      <c r="A400">
        <f>'2019_4-1-5_Download'!D121</f>
        <v>2010</v>
      </c>
      <c r="B400" t="str">
        <f>'2019_4-1-5_Download'!B121</f>
        <v>15 – 65</v>
      </c>
      <c r="C400" t="str">
        <f>'2019_4-1-5_Download'!C121</f>
        <v>Ohne Abschluss2)</v>
      </c>
      <c r="D400" t="s">
        <v>85</v>
      </c>
      <c r="E400" t="s">
        <v>83</v>
      </c>
      <c r="F400">
        <f>'2019_4-1-5_Download'!G121</f>
        <v>2.4340313526480446</v>
      </c>
    </row>
    <row r="401" spans="1:6" x14ac:dyDescent="0.25">
      <c r="A401">
        <f>'2019_4-1-5_Download'!D122</f>
        <v>2010</v>
      </c>
      <c r="B401" t="str">
        <f>'2019_4-1-5_Download'!B122</f>
        <v>18 – 25</v>
      </c>
      <c r="C401" t="str">
        <f>'2019_4-1-5_Download'!C122</f>
        <v>Hauptschulabschluss</v>
      </c>
      <c r="D401" t="s">
        <v>85</v>
      </c>
      <c r="E401" t="s">
        <v>83</v>
      </c>
      <c r="F401">
        <f>'2019_4-1-5_Download'!G122</f>
        <v>16.566739202865495</v>
      </c>
    </row>
    <row r="402" spans="1:6" x14ac:dyDescent="0.25">
      <c r="A402">
        <f>'2019_4-1-5_Download'!D123</f>
        <v>2010</v>
      </c>
      <c r="B402" t="str">
        <f>'2019_4-1-5_Download'!B123</f>
        <v>25 – 35</v>
      </c>
      <c r="C402" t="str">
        <f>'2019_4-1-5_Download'!C123</f>
        <v>Hauptschulabschluss</v>
      </c>
      <c r="D402" t="s">
        <v>85</v>
      </c>
      <c r="E402" t="s">
        <v>83</v>
      </c>
      <c r="F402">
        <f>'2019_4-1-5_Download'!G123</f>
        <v>17.441975232910607</v>
      </c>
    </row>
    <row r="403" spans="1:6" x14ac:dyDescent="0.25">
      <c r="A403">
        <f>'2019_4-1-5_Download'!D124</f>
        <v>2010</v>
      </c>
      <c r="B403" t="str">
        <f>'2019_4-1-5_Download'!B124</f>
        <v>15 – 65</v>
      </c>
      <c r="C403" t="str">
        <f>'2019_4-1-5_Download'!C124</f>
        <v>Hauptschulabschluss</v>
      </c>
      <c r="D403" t="s">
        <v>85</v>
      </c>
      <c r="E403" t="s">
        <v>83</v>
      </c>
      <c r="F403">
        <f>'2019_4-1-5_Download'!G124</f>
        <v>32.395993772894002</v>
      </c>
    </row>
    <row r="404" spans="1:6" x14ac:dyDescent="0.25">
      <c r="A404">
        <f>'2019_4-1-5_Download'!D125</f>
        <v>2010</v>
      </c>
      <c r="B404" t="str">
        <f>'2019_4-1-5_Download'!B125</f>
        <v>18 – 25</v>
      </c>
      <c r="C404" t="str">
        <f>'2019_4-1-5_Download'!C125</f>
        <v>Realschulabschluss</v>
      </c>
      <c r="D404" t="s">
        <v>85</v>
      </c>
      <c r="E404" t="s">
        <v>83</v>
      </c>
      <c r="F404">
        <f>'2019_4-1-5_Download'!G125</f>
        <v>45.442191661809403</v>
      </c>
    </row>
    <row r="405" spans="1:6" x14ac:dyDescent="0.25">
      <c r="A405">
        <f>'2019_4-1-5_Download'!D126</f>
        <v>2010</v>
      </c>
      <c r="B405" t="str">
        <f>'2019_4-1-5_Download'!B126</f>
        <v>25 – 35</v>
      </c>
      <c r="C405" t="str">
        <f>'2019_4-1-5_Download'!C126</f>
        <v>Realschulabschluss</v>
      </c>
      <c r="D405" t="s">
        <v>85</v>
      </c>
      <c r="E405" t="s">
        <v>83</v>
      </c>
      <c r="F405">
        <f>'2019_4-1-5_Download'!G126</f>
        <v>40.655984644352053</v>
      </c>
    </row>
    <row r="406" spans="1:6" x14ac:dyDescent="0.25">
      <c r="A406">
        <f>'2019_4-1-5_Download'!D127</f>
        <v>2010</v>
      </c>
      <c r="B406" t="str">
        <f>'2019_4-1-5_Download'!B127</f>
        <v>15 – 65</v>
      </c>
      <c r="C406" t="str">
        <f>'2019_4-1-5_Download'!C127</f>
        <v>Realschulabschluss</v>
      </c>
      <c r="D406" t="s">
        <v>85</v>
      </c>
      <c r="E406" t="s">
        <v>83</v>
      </c>
      <c r="F406">
        <f>'2019_4-1-5_Download'!G127</f>
        <v>36.153080816467799</v>
      </c>
    </row>
    <row r="407" spans="1:6" x14ac:dyDescent="0.25">
      <c r="A407">
        <f>'2019_4-1-5_Download'!D128</f>
        <v>2010</v>
      </c>
      <c r="B407" t="str">
        <f>'2019_4-1-5_Download'!B128</f>
        <v>18 – 25</v>
      </c>
      <c r="C407" t="str">
        <f>'2019_4-1-5_Download'!C128</f>
        <v>(Fach-)Hochschulreife</v>
      </c>
      <c r="D407" t="s">
        <v>85</v>
      </c>
      <c r="E407" t="s">
        <v>83</v>
      </c>
      <c r="F407">
        <f>'2019_4-1-5_Download'!G128</f>
        <v>33.978064588247413</v>
      </c>
    </row>
    <row r="408" spans="1:6" x14ac:dyDescent="0.25">
      <c r="A408">
        <f>'2019_4-1-5_Download'!D129</f>
        <v>2010</v>
      </c>
      <c r="B408" t="str">
        <f>'2019_4-1-5_Download'!B129</f>
        <v>25 – 35</v>
      </c>
      <c r="C408" t="str">
        <f>'2019_4-1-5_Download'!C129</f>
        <v>(Fach-)Hochschulreife</v>
      </c>
      <c r="D408" t="s">
        <v>85</v>
      </c>
      <c r="E408" t="s">
        <v>83</v>
      </c>
      <c r="F408">
        <f>'2019_4-1-5_Download'!G129</f>
        <v>39.872501366506377</v>
      </c>
    </row>
    <row r="409" spans="1:6" x14ac:dyDescent="0.25">
      <c r="A409">
        <f>'2019_4-1-5_Download'!D130</f>
        <v>2010</v>
      </c>
      <c r="B409" t="str">
        <f>'2019_4-1-5_Download'!B130</f>
        <v>15 – 65</v>
      </c>
      <c r="C409" t="str">
        <f>'2019_4-1-5_Download'!C130</f>
        <v>(Fach-)Hochschulreife</v>
      </c>
      <c r="D409" t="s">
        <v>85</v>
      </c>
      <c r="E409" t="s">
        <v>83</v>
      </c>
      <c r="F409">
        <f>'2019_4-1-5_Download'!G130</f>
        <v>29.01689405799015</v>
      </c>
    </row>
    <row r="410" spans="1:6" x14ac:dyDescent="0.25">
      <c r="A410">
        <f>'2019_4-1-5_Download'!D131</f>
        <v>2006</v>
      </c>
      <c r="B410" t="str">
        <f>'2019_4-1-5_Download'!B131</f>
        <v>18 – 25</v>
      </c>
      <c r="C410" t="str">
        <f>'2019_4-1-5_Download'!C131</f>
        <v>Ohne Abschluss2)</v>
      </c>
      <c r="D410" t="s">
        <v>85</v>
      </c>
      <c r="E410" t="s">
        <v>83</v>
      </c>
      <c r="F410">
        <f>'2019_4-1-5_Download'!G131</f>
        <v>3.2074704928078637</v>
      </c>
    </row>
    <row r="411" spans="1:6" x14ac:dyDescent="0.25">
      <c r="A411">
        <f>'2019_4-1-5_Download'!D132</f>
        <v>2006</v>
      </c>
      <c r="B411" t="str">
        <f>'2019_4-1-5_Download'!B132</f>
        <v>25 – 35</v>
      </c>
      <c r="C411" t="str">
        <f>'2019_4-1-5_Download'!C132</f>
        <v>Ohne Abschluss2)</v>
      </c>
      <c r="D411" t="s">
        <v>85</v>
      </c>
      <c r="E411" t="s">
        <v>83</v>
      </c>
      <c r="F411">
        <f>'2019_4-1-5_Download'!G132</f>
        <v>2.0578261360582344</v>
      </c>
    </row>
    <row r="412" spans="1:6" x14ac:dyDescent="0.25">
      <c r="A412">
        <f>'2019_4-1-5_Download'!D133</f>
        <v>2006</v>
      </c>
      <c r="B412" t="str">
        <f>'2019_4-1-5_Download'!B133</f>
        <v>15 – 65</v>
      </c>
      <c r="C412" t="str">
        <f>'2019_4-1-5_Download'!C133</f>
        <v>Ohne Abschluss2)</v>
      </c>
      <c r="D412" t="s">
        <v>85</v>
      </c>
      <c r="E412" t="s">
        <v>83</v>
      </c>
      <c r="F412">
        <f>'2019_4-1-5_Download'!G133</f>
        <v>2.0289028621700744</v>
      </c>
    </row>
    <row r="413" spans="1:6" x14ac:dyDescent="0.25">
      <c r="A413">
        <f>'2019_4-1-5_Download'!D134</f>
        <v>2006</v>
      </c>
      <c r="B413" t="str">
        <f>'2019_4-1-5_Download'!B134</f>
        <v>18 – 25</v>
      </c>
      <c r="C413" t="str">
        <f>'2019_4-1-5_Download'!C134</f>
        <v>Hauptschulabschluss</v>
      </c>
      <c r="D413" t="s">
        <v>85</v>
      </c>
      <c r="E413" t="s">
        <v>83</v>
      </c>
      <c r="F413">
        <f>'2019_4-1-5_Download'!G134</f>
        <v>18.598400098603769</v>
      </c>
    </row>
    <row r="414" spans="1:6" x14ac:dyDescent="0.25">
      <c r="A414">
        <f>'2019_4-1-5_Download'!D135</f>
        <v>2006</v>
      </c>
      <c r="B414" t="str">
        <f>'2019_4-1-5_Download'!B135</f>
        <v>25 – 35</v>
      </c>
      <c r="C414" t="str">
        <f>'2019_4-1-5_Download'!C135</f>
        <v>Hauptschulabschluss</v>
      </c>
      <c r="D414" t="s">
        <v>85</v>
      </c>
      <c r="E414" t="s">
        <v>83</v>
      </c>
      <c r="F414">
        <f>'2019_4-1-5_Download'!G135</f>
        <v>20.521164844139275</v>
      </c>
    </row>
    <row r="415" spans="1:6" x14ac:dyDescent="0.25">
      <c r="A415">
        <f>'2019_4-1-5_Download'!D136</f>
        <v>2006</v>
      </c>
      <c r="B415" t="str">
        <f>'2019_4-1-5_Download'!B136</f>
        <v>15 – 65</v>
      </c>
      <c r="C415" t="str">
        <f>'2019_4-1-5_Download'!C136</f>
        <v>Hauptschulabschluss</v>
      </c>
      <c r="D415" t="s">
        <v>85</v>
      </c>
      <c r="E415" t="s">
        <v>83</v>
      </c>
      <c r="F415">
        <f>'2019_4-1-5_Download'!G136</f>
        <v>37.032460972720457</v>
      </c>
    </row>
    <row r="416" spans="1:6" x14ac:dyDescent="0.25">
      <c r="A416">
        <f>'2019_4-1-5_Download'!D137</f>
        <v>2006</v>
      </c>
      <c r="B416" t="str">
        <f>'2019_4-1-5_Download'!B137</f>
        <v>18 – 25</v>
      </c>
      <c r="C416" t="str">
        <f>'2019_4-1-5_Download'!C137</f>
        <v>Realschulabschluss</v>
      </c>
      <c r="D416" t="s">
        <v>85</v>
      </c>
      <c r="E416" t="s">
        <v>83</v>
      </c>
      <c r="F416">
        <f>'2019_4-1-5_Download'!G137</f>
        <v>46.887747105335961</v>
      </c>
    </row>
    <row r="417" spans="1:6" x14ac:dyDescent="0.25">
      <c r="A417">
        <f>'2019_4-1-5_Download'!D138</f>
        <v>2006</v>
      </c>
      <c r="B417" t="str">
        <f>'2019_4-1-5_Download'!B138</f>
        <v>25 – 35</v>
      </c>
      <c r="C417" t="str">
        <f>'2019_4-1-5_Download'!C138</f>
        <v>Realschulabschluss</v>
      </c>
      <c r="D417" t="s">
        <v>85</v>
      </c>
      <c r="E417" t="s">
        <v>83</v>
      </c>
      <c r="F417">
        <f>'2019_4-1-5_Download'!G138</f>
        <v>42.110964765907347</v>
      </c>
    </row>
    <row r="418" spans="1:6" x14ac:dyDescent="0.25">
      <c r="A418">
        <f>'2019_4-1-5_Download'!D139</f>
        <v>2006</v>
      </c>
      <c r="B418" t="str">
        <f>'2019_4-1-5_Download'!B139</f>
        <v>15 – 65</v>
      </c>
      <c r="C418" t="str">
        <f>'2019_4-1-5_Download'!C139</f>
        <v>Realschulabschluss</v>
      </c>
      <c r="D418" t="s">
        <v>85</v>
      </c>
      <c r="E418" t="s">
        <v>83</v>
      </c>
      <c r="F418">
        <f>'2019_4-1-5_Download'!G139</f>
        <v>35.067059111920329</v>
      </c>
    </row>
    <row r="419" spans="1:6" x14ac:dyDescent="0.25">
      <c r="A419">
        <f>'2019_4-1-5_Download'!D140</f>
        <v>2006</v>
      </c>
      <c r="B419" t="str">
        <f>'2019_4-1-5_Download'!B140</f>
        <v>18 – 25</v>
      </c>
      <c r="C419" t="str">
        <f>'2019_4-1-5_Download'!C140</f>
        <v>(Fach-)Hochschulreife</v>
      </c>
      <c r="D419" t="s">
        <v>85</v>
      </c>
      <c r="E419" t="s">
        <v>83</v>
      </c>
      <c r="F419">
        <f>'2019_4-1-5_Download'!G140</f>
        <v>31.306382303252398</v>
      </c>
    </row>
    <row r="420" spans="1:6" x14ac:dyDescent="0.25">
      <c r="A420">
        <f>'2019_4-1-5_Download'!D141</f>
        <v>2006</v>
      </c>
      <c r="B420" t="str">
        <f>'2019_4-1-5_Download'!B141</f>
        <v>25 – 35</v>
      </c>
      <c r="C420" t="str">
        <f>'2019_4-1-5_Download'!C141</f>
        <v>(Fach-)Hochschulreife</v>
      </c>
      <c r="D420" t="s">
        <v>85</v>
      </c>
      <c r="E420" t="s">
        <v>83</v>
      </c>
      <c r="F420">
        <f>'2019_4-1-5_Download'!G141</f>
        <v>35.310044253895157</v>
      </c>
    </row>
    <row r="421" spans="1:6" x14ac:dyDescent="0.25">
      <c r="A421">
        <f>'2019_4-1-5_Download'!D142</f>
        <v>2006</v>
      </c>
      <c r="B421" t="str">
        <f>'2019_4-1-5_Download'!B142</f>
        <v>15 – 65</v>
      </c>
      <c r="C421" t="str">
        <f>'2019_4-1-5_Download'!C142</f>
        <v>(Fach-)Hochschulreife</v>
      </c>
      <c r="D421" t="s">
        <v>85</v>
      </c>
      <c r="E421" t="s">
        <v>83</v>
      </c>
      <c r="F421">
        <f>'2019_4-1-5_Download'!G142</f>
        <v>25.871577053189139</v>
      </c>
    </row>
    <row r="422" spans="1:6" x14ac:dyDescent="0.25">
      <c r="A422">
        <f>'2019_4-1-5_Download'!D143</f>
        <v>2005</v>
      </c>
      <c r="B422" t="str">
        <f>'2019_4-1-5_Download'!B143</f>
        <v>18 – 25</v>
      </c>
      <c r="C422" t="str">
        <f>'2019_4-1-5_Download'!C143</f>
        <v>Ohne Abschluss2)</v>
      </c>
      <c r="D422" t="s">
        <v>85</v>
      </c>
      <c r="E422" t="s">
        <v>83</v>
      </c>
      <c r="F422">
        <f>'2019_4-1-5_Download'!G143</f>
        <v>3.2871763022626288</v>
      </c>
    </row>
    <row r="423" spans="1:6" x14ac:dyDescent="0.25">
      <c r="A423">
        <f>'2019_4-1-5_Download'!D144</f>
        <v>2005</v>
      </c>
      <c r="B423" t="str">
        <f>'2019_4-1-5_Download'!B144</f>
        <v>25 – 35</v>
      </c>
      <c r="C423" t="str">
        <f>'2019_4-1-5_Download'!C144</f>
        <v>Ohne Abschluss2)</v>
      </c>
      <c r="D423" t="s">
        <v>85</v>
      </c>
      <c r="E423" t="s">
        <v>83</v>
      </c>
      <c r="F423">
        <f>'2019_4-1-5_Download'!G144</f>
        <v>2.0206492308206041</v>
      </c>
    </row>
    <row r="424" spans="1:6" x14ac:dyDescent="0.25">
      <c r="A424">
        <f>'2019_4-1-5_Download'!D145</f>
        <v>2005</v>
      </c>
      <c r="B424" t="str">
        <f>'2019_4-1-5_Download'!B145</f>
        <v>15 – 65</v>
      </c>
      <c r="C424" t="str">
        <f>'2019_4-1-5_Download'!C145</f>
        <v>Ohne Abschluss2)</v>
      </c>
      <c r="D424" t="s">
        <v>85</v>
      </c>
      <c r="E424" t="s">
        <v>83</v>
      </c>
      <c r="F424">
        <f>'2019_4-1-5_Download'!G145</f>
        <v>1.8955267408437952</v>
      </c>
    </row>
    <row r="425" spans="1:6" x14ac:dyDescent="0.25">
      <c r="A425">
        <f>'2019_4-1-5_Download'!D146</f>
        <v>2005</v>
      </c>
      <c r="B425" t="str">
        <f>'2019_4-1-5_Download'!B146</f>
        <v>18 – 25</v>
      </c>
      <c r="C425" t="str">
        <f>'2019_4-1-5_Download'!C146</f>
        <v>Hauptschulabschluss</v>
      </c>
      <c r="D425" t="s">
        <v>85</v>
      </c>
      <c r="E425" t="s">
        <v>83</v>
      </c>
      <c r="F425">
        <f>'2019_4-1-5_Download'!G146</f>
        <v>19.922748939855431</v>
      </c>
    </row>
    <row r="426" spans="1:6" x14ac:dyDescent="0.25">
      <c r="A426">
        <f>'2019_4-1-5_Download'!D147</f>
        <v>2005</v>
      </c>
      <c r="B426" t="str">
        <f>'2019_4-1-5_Download'!B147</f>
        <v>25 – 35</v>
      </c>
      <c r="C426" t="str">
        <f>'2019_4-1-5_Download'!C147</f>
        <v>Hauptschulabschluss</v>
      </c>
      <c r="D426" t="s">
        <v>85</v>
      </c>
      <c r="E426" t="s">
        <v>83</v>
      </c>
      <c r="F426">
        <f>'2019_4-1-5_Download'!G147</f>
        <v>20.900404328738102</v>
      </c>
    </row>
    <row r="427" spans="1:6" x14ac:dyDescent="0.25">
      <c r="A427">
        <f>'2019_4-1-5_Download'!D148</f>
        <v>2005</v>
      </c>
      <c r="B427" t="str">
        <f>'2019_4-1-5_Download'!B148</f>
        <v>15 – 65</v>
      </c>
      <c r="C427" t="str">
        <f>'2019_4-1-5_Download'!C148</f>
        <v>Hauptschulabschluss</v>
      </c>
      <c r="D427" t="s">
        <v>85</v>
      </c>
      <c r="E427" t="s">
        <v>83</v>
      </c>
      <c r="F427">
        <f>'2019_4-1-5_Download'!G148</f>
        <v>37.913580679775841</v>
      </c>
    </row>
    <row r="428" spans="1:6" x14ac:dyDescent="0.25">
      <c r="A428">
        <f>'2019_4-1-5_Download'!D149</f>
        <v>2005</v>
      </c>
      <c r="B428" t="str">
        <f>'2019_4-1-5_Download'!B149</f>
        <v>18 – 25</v>
      </c>
      <c r="C428" t="str">
        <f>'2019_4-1-5_Download'!C149</f>
        <v>Realschulabschluss</v>
      </c>
      <c r="D428" t="s">
        <v>85</v>
      </c>
      <c r="E428" t="s">
        <v>83</v>
      </c>
      <c r="F428">
        <f>'2019_4-1-5_Download'!G149</f>
        <v>44.455143881036122</v>
      </c>
    </row>
    <row r="429" spans="1:6" x14ac:dyDescent="0.25">
      <c r="A429">
        <f>'2019_4-1-5_Download'!D150</f>
        <v>2005</v>
      </c>
      <c r="B429" t="str">
        <f>'2019_4-1-5_Download'!B150</f>
        <v>25 – 35</v>
      </c>
      <c r="C429" t="str">
        <f>'2019_4-1-5_Download'!C150</f>
        <v>Realschulabschluss</v>
      </c>
      <c r="D429" t="s">
        <v>85</v>
      </c>
      <c r="E429" t="s">
        <v>83</v>
      </c>
      <c r="F429">
        <f>'2019_4-1-5_Download'!G150</f>
        <v>40.484810767756208</v>
      </c>
    </row>
    <row r="430" spans="1:6" x14ac:dyDescent="0.25">
      <c r="A430">
        <f>'2019_4-1-5_Download'!D151</f>
        <v>2005</v>
      </c>
      <c r="B430" t="str">
        <f>'2019_4-1-5_Download'!B151</f>
        <v>15 – 65</v>
      </c>
      <c r="C430" t="str">
        <f>'2019_4-1-5_Download'!C151</f>
        <v>Realschulabschluss</v>
      </c>
      <c r="D430" t="s">
        <v>85</v>
      </c>
      <c r="E430" t="s">
        <v>83</v>
      </c>
      <c r="F430">
        <f>'2019_4-1-5_Download'!G151</f>
        <v>34.248790746127099</v>
      </c>
    </row>
    <row r="431" spans="1:6" x14ac:dyDescent="0.25">
      <c r="A431">
        <f>'2019_4-1-5_Download'!D152</f>
        <v>2005</v>
      </c>
      <c r="B431" t="str">
        <f>'2019_4-1-5_Download'!B152</f>
        <v>18 – 25</v>
      </c>
      <c r="C431" t="str">
        <f>'2019_4-1-5_Download'!C152</f>
        <v>(Fach-)Hochschulreife</v>
      </c>
      <c r="D431" t="s">
        <v>85</v>
      </c>
      <c r="E431" t="s">
        <v>83</v>
      </c>
      <c r="F431">
        <f>'2019_4-1-5_Download'!G152</f>
        <v>32.334930876845824</v>
      </c>
    </row>
    <row r="432" spans="1:6" x14ac:dyDescent="0.25">
      <c r="A432">
        <f>'2019_4-1-5_Download'!D153</f>
        <v>2005</v>
      </c>
      <c r="B432" t="str">
        <f>'2019_4-1-5_Download'!B153</f>
        <v>25 – 35</v>
      </c>
      <c r="C432" t="str">
        <f>'2019_4-1-5_Download'!C153</f>
        <v>(Fach-)Hochschulreife</v>
      </c>
      <c r="D432" t="s">
        <v>85</v>
      </c>
      <c r="E432" t="s">
        <v>83</v>
      </c>
      <c r="F432">
        <f>'2019_4-1-5_Download'!G153</f>
        <v>36.594135672685091</v>
      </c>
    </row>
    <row r="433" spans="1:6" x14ac:dyDescent="0.25">
      <c r="A433">
        <f>'2019_4-1-5_Download'!D154</f>
        <v>2005</v>
      </c>
      <c r="B433" t="str">
        <f>'2019_4-1-5_Download'!B154</f>
        <v>15 – 65</v>
      </c>
      <c r="C433" t="str">
        <f>'2019_4-1-5_Download'!C154</f>
        <v>(Fach-)Hochschulreife</v>
      </c>
      <c r="D433" t="s">
        <v>85</v>
      </c>
      <c r="E433" t="s">
        <v>83</v>
      </c>
      <c r="F433">
        <f>'2019_4-1-5_Download'!G154</f>
        <v>25.942101833253261</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C39FA-BDB4-4E07-8C17-33C20CD3A469}">
  <sheetPr codeName="Tabelle15"/>
  <dimension ref="A1:F435"/>
  <sheetViews>
    <sheetView workbookViewId="0">
      <selection sqref="A1:F433"/>
    </sheetView>
  </sheetViews>
  <sheetFormatPr baseColWidth="10" defaultRowHeight="15" x14ac:dyDescent="0.25"/>
  <cols>
    <col min="3" max="3" width="33.85546875" customWidth="1"/>
  </cols>
  <sheetData>
    <row r="1" spans="1:6" x14ac:dyDescent="0.25">
      <c r="A1" t="s">
        <v>78</v>
      </c>
      <c r="B1" t="s">
        <v>79</v>
      </c>
      <c r="C1" t="s">
        <v>1</v>
      </c>
      <c r="D1" t="s">
        <v>80</v>
      </c>
      <c r="E1" t="s">
        <v>81</v>
      </c>
      <c r="F1" t="s">
        <v>82</v>
      </c>
    </row>
    <row r="2" spans="1:6" x14ac:dyDescent="0.25">
      <c r="A2">
        <v>2019</v>
      </c>
      <c r="B2" t="s">
        <v>4</v>
      </c>
      <c r="C2" t="s">
        <v>501</v>
      </c>
      <c r="D2" t="s">
        <v>12</v>
      </c>
      <c r="E2" t="s">
        <v>83</v>
      </c>
      <c r="F2" s="75" t="s">
        <v>86</v>
      </c>
    </row>
    <row r="3" spans="1:6" x14ac:dyDescent="0.25">
      <c r="A3">
        <v>2019</v>
      </c>
      <c r="B3" t="s">
        <v>6</v>
      </c>
      <c r="C3" t="s">
        <v>501</v>
      </c>
      <c r="D3" t="s">
        <v>12</v>
      </c>
      <c r="E3" t="s">
        <v>83</v>
      </c>
      <c r="F3" s="75" t="s">
        <v>87</v>
      </c>
    </row>
    <row r="4" spans="1:6" x14ac:dyDescent="0.25">
      <c r="A4">
        <v>2019</v>
      </c>
      <c r="B4" t="s">
        <v>7</v>
      </c>
      <c r="C4" t="s">
        <v>501</v>
      </c>
      <c r="D4" t="s">
        <v>12</v>
      </c>
      <c r="E4" t="s">
        <v>83</v>
      </c>
      <c r="F4" s="75" t="s">
        <v>88</v>
      </c>
    </row>
    <row r="5" spans="1:6" x14ac:dyDescent="0.25">
      <c r="A5">
        <v>2019</v>
      </c>
      <c r="B5" t="s">
        <v>4</v>
      </c>
      <c r="C5" t="s">
        <v>8</v>
      </c>
      <c r="D5" t="s">
        <v>12</v>
      </c>
      <c r="E5" t="s">
        <v>83</v>
      </c>
      <c r="F5" s="75" t="s">
        <v>89</v>
      </c>
    </row>
    <row r="6" spans="1:6" x14ac:dyDescent="0.25">
      <c r="A6">
        <v>2019</v>
      </c>
      <c r="B6" t="s">
        <v>6</v>
      </c>
      <c r="C6" t="s">
        <v>8</v>
      </c>
      <c r="D6" t="s">
        <v>12</v>
      </c>
      <c r="E6" t="s">
        <v>83</v>
      </c>
      <c r="F6" s="75" t="s">
        <v>90</v>
      </c>
    </row>
    <row r="7" spans="1:6" x14ac:dyDescent="0.25">
      <c r="A7">
        <v>2019</v>
      </c>
      <c r="B7" t="s">
        <v>7</v>
      </c>
      <c r="C7" t="s">
        <v>8</v>
      </c>
      <c r="D7" t="s">
        <v>12</v>
      </c>
      <c r="E7" t="s">
        <v>83</v>
      </c>
      <c r="F7" s="75" t="s">
        <v>91</v>
      </c>
    </row>
    <row r="8" spans="1:6" x14ac:dyDescent="0.25">
      <c r="A8">
        <v>2019</v>
      </c>
      <c r="B8" t="s">
        <v>4</v>
      </c>
      <c r="C8" t="s">
        <v>9</v>
      </c>
      <c r="D8" t="s">
        <v>12</v>
      </c>
      <c r="E8" t="s">
        <v>83</v>
      </c>
      <c r="F8" s="75" t="s">
        <v>92</v>
      </c>
    </row>
    <row r="9" spans="1:6" x14ac:dyDescent="0.25">
      <c r="A9">
        <v>2019</v>
      </c>
      <c r="B9" t="s">
        <v>6</v>
      </c>
      <c r="C9" t="s">
        <v>9</v>
      </c>
      <c r="D9" t="s">
        <v>12</v>
      </c>
      <c r="E9" t="s">
        <v>83</v>
      </c>
      <c r="F9" s="75" t="s">
        <v>93</v>
      </c>
    </row>
    <row r="10" spans="1:6" x14ac:dyDescent="0.25">
      <c r="A10">
        <v>2019</v>
      </c>
      <c r="B10" t="s">
        <v>7</v>
      </c>
      <c r="C10" t="s">
        <v>9</v>
      </c>
      <c r="D10" t="s">
        <v>12</v>
      </c>
      <c r="E10" t="s">
        <v>83</v>
      </c>
      <c r="F10" s="75" t="s">
        <v>94</v>
      </c>
    </row>
    <row r="11" spans="1:6" x14ac:dyDescent="0.25">
      <c r="A11">
        <v>2019</v>
      </c>
      <c r="B11" t="s">
        <v>4</v>
      </c>
      <c r="C11" t="s">
        <v>10</v>
      </c>
      <c r="D11" t="s">
        <v>12</v>
      </c>
      <c r="E11" t="s">
        <v>83</v>
      </c>
      <c r="F11" s="75" t="s">
        <v>95</v>
      </c>
    </row>
    <row r="12" spans="1:6" x14ac:dyDescent="0.25">
      <c r="A12">
        <v>2019</v>
      </c>
      <c r="B12" t="s">
        <v>6</v>
      </c>
      <c r="C12" t="s">
        <v>10</v>
      </c>
      <c r="D12" t="s">
        <v>12</v>
      </c>
      <c r="E12" t="s">
        <v>83</v>
      </c>
      <c r="F12" s="75" t="s">
        <v>96</v>
      </c>
    </row>
    <row r="13" spans="1:6" x14ac:dyDescent="0.25">
      <c r="A13">
        <v>2019</v>
      </c>
      <c r="B13" t="s">
        <v>7</v>
      </c>
      <c r="C13" t="s">
        <v>10</v>
      </c>
      <c r="D13" t="s">
        <v>12</v>
      </c>
      <c r="E13" t="s">
        <v>83</v>
      </c>
      <c r="F13" s="75" t="s">
        <v>97</v>
      </c>
    </row>
    <row r="14" spans="1:6" x14ac:dyDescent="0.25">
      <c r="A14">
        <v>2018</v>
      </c>
      <c r="B14" t="s">
        <v>4</v>
      </c>
      <c r="C14" t="s">
        <v>501</v>
      </c>
      <c r="D14" t="s">
        <v>12</v>
      </c>
      <c r="E14" t="s">
        <v>83</v>
      </c>
      <c r="F14" s="75" t="s">
        <v>98</v>
      </c>
    </row>
    <row r="15" spans="1:6" x14ac:dyDescent="0.25">
      <c r="A15">
        <v>2018</v>
      </c>
      <c r="B15" t="s">
        <v>6</v>
      </c>
      <c r="C15" t="s">
        <v>501</v>
      </c>
      <c r="D15" t="s">
        <v>12</v>
      </c>
      <c r="E15" t="s">
        <v>83</v>
      </c>
      <c r="F15" s="75" t="s">
        <v>99</v>
      </c>
    </row>
    <row r="16" spans="1:6" x14ac:dyDescent="0.25">
      <c r="A16">
        <v>2018</v>
      </c>
      <c r="B16" t="s">
        <v>7</v>
      </c>
      <c r="C16" t="s">
        <v>501</v>
      </c>
      <c r="D16" t="s">
        <v>12</v>
      </c>
      <c r="E16" t="s">
        <v>83</v>
      </c>
      <c r="F16" s="75" t="s">
        <v>100</v>
      </c>
    </row>
    <row r="17" spans="1:6" x14ac:dyDescent="0.25">
      <c r="A17">
        <v>2018</v>
      </c>
      <c r="B17" t="s">
        <v>4</v>
      </c>
      <c r="C17" t="s">
        <v>8</v>
      </c>
      <c r="D17" t="s">
        <v>12</v>
      </c>
      <c r="E17" t="s">
        <v>83</v>
      </c>
      <c r="F17" s="75" t="s">
        <v>101</v>
      </c>
    </row>
    <row r="18" spans="1:6" x14ac:dyDescent="0.25">
      <c r="A18">
        <v>2018</v>
      </c>
      <c r="B18" t="s">
        <v>6</v>
      </c>
      <c r="C18" t="s">
        <v>8</v>
      </c>
      <c r="D18" t="s">
        <v>12</v>
      </c>
      <c r="E18" t="s">
        <v>83</v>
      </c>
      <c r="F18" s="75" t="s">
        <v>102</v>
      </c>
    </row>
    <row r="19" spans="1:6" x14ac:dyDescent="0.25">
      <c r="A19">
        <v>2018</v>
      </c>
      <c r="B19" t="s">
        <v>7</v>
      </c>
      <c r="C19" t="s">
        <v>8</v>
      </c>
      <c r="D19" t="s">
        <v>12</v>
      </c>
      <c r="E19" t="s">
        <v>83</v>
      </c>
      <c r="F19" s="75" t="s">
        <v>103</v>
      </c>
    </row>
    <row r="20" spans="1:6" x14ac:dyDescent="0.25">
      <c r="A20">
        <v>2018</v>
      </c>
      <c r="B20" t="s">
        <v>4</v>
      </c>
      <c r="C20" t="s">
        <v>9</v>
      </c>
      <c r="D20" t="s">
        <v>12</v>
      </c>
      <c r="E20" t="s">
        <v>83</v>
      </c>
      <c r="F20" s="75" t="s">
        <v>104</v>
      </c>
    </row>
    <row r="21" spans="1:6" x14ac:dyDescent="0.25">
      <c r="A21">
        <v>2018</v>
      </c>
      <c r="B21" t="s">
        <v>6</v>
      </c>
      <c r="C21" t="s">
        <v>9</v>
      </c>
      <c r="D21" t="s">
        <v>12</v>
      </c>
      <c r="E21" t="s">
        <v>83</v>
      </c>
      <c r="F21" s="75" t="s">
        <v>105</v>
      </c>
    </row>
    <row r="22" spans="1:6" x14ac:dyDescent="0.25">
      <c r="A22">
        <v>2018</v>
      </c>
      <c r="B22" t="s">
        <v>7</v>
      </c>
      <c r="C22" t="s">
        <v>9</v>
      </c>
      <c r="D22" t="s">
        <v>12</v>
      </c>
      <c r="E22" t="s">
        <v>83</v>
      </c>
      <c r="F22" s="75" t="s">
        <v>106</v>
      </c>
    </row>
    <row r="23" spans="1:6" x14ac:dyDescent="0.25">
      <c r="A23">
        <v>2018</v>
      </c>
      <c r="B23" t="s">
        <v>4</v>
      </c>
      <c r="C23" t="s">
        <v>10</v>
      </c>
      <c r="D23" t="s">
        <v>12</v>
      </c>
      <c r="E23" t="s">
        <v>83</v>
      </c>
      <c r="F23" s="75" t="s">
        <v>107</v>
      </c>
    </row>
    <row r="24" spans="1:6" x14ac:dyDescent="0.25">
      <c r="A24">
        <v>2018</v>
      </c>
      <c r="B24" t="s">
        <v>6</v>
      </c>
      <c r="C24" t="s">
        <v>10</v>
      </c>
      <c r="D24" t="s">
        <v>12</v>
      </c>
      <c r="E24" t="s">
        <v>83</v>
      </c>
      <c r="F24" s="75" t="s">
        <v>108</v>
      </c>
    </row>
    <row r="25" spans="1:6" x14ac:dyDescent="0.25">
      <c r="A25">
        <v>2018</v>
      </c>
      <c r="B25" t="s">
        <v>7</v>
      </c>
      <c r="C25" t="s">
        <v>10</v>
      </c>
      <c r="D25" t="s">
        <v>12</v>
      </c>
      <c r="E25" t="s">
        <v>83</v>
      </c>
      <c r="F25" s="75" t="s">
        <v>109</v>
      </c>
    </row>
    <row r="26" spans="1:6" x14ac:dyDescent="0.25">
      <c r="A26">
        <v>2017</v>
      </c>
      <c r="B26" t="s">
        <v>4</v>
      </c>
      <c r="C26" t="s">
        <v>501</v>
      </c>
      <c r="D26" t="s">
        <v>12</v>
      </c>
      <c r="E26" t="s">
        <v>83</v>
      </c>
      <c r="F26" s="75" t="s">
        <v>110</v>
      </c>
    </row>
    <row r="27" spans="1:6" x14ac:dyDescent="0.25">
      <c r="A27">
        <v>2017</v>
      </c>
      <c r="B27" t="s">
        <v>6</v>
      </c>
      <c r="C27" t="s">
        <v>501</v>
      </c>
      <c r="D27" t="s">
        <v>12</v>
      </c>
      <c r="E27" t="s">
        <v>83</v>
      </c>
      <c r="F27" s="75" t="s">
        <v>111</v>
      </c>
    </row>
    <row r="28" spans="1:6" x14ac:dyDescent="0.25">
      <c r="A28">
        <v>2017</v>
      </c>
      <c r="B28" t="s">
        <v>7</v>
      </c>
      <c r="C28" t="s">
        <v>501</v>
      </c>
      <c r="D28" t="s">
        <v>12</v>
      </c>
      <c r="E28" t="s">
        <v>83</v>
      </c>
      <c r="F28" s="75" t="s">
        <v>112</v>
      </c>
    </row>
    <row r="29" spans="1:6" x14ac:dyDescent="0.25">
      <c r="A29">
        <v>2017</v>
      </c>
      <c r="B29" t="s">
        <v>4</v>
      </c>
      <c r="C29" t="s">
        <v>8</v>
      </c>
      <c r="D29" t="s">
        <v>12</v>
      </c>
      <c r="E29" t="s">
        <v>83</v>
      </c>
      <c r="F29" s="75" t="s">
        <v>113</v>
      </c>
    </row>
    <row r="30" spans="1:6" x14ac:dyDescent="0.25">
      <c r="A30">
        <v>2017</v>
      </c>
      <c r="B30" t="s">
        <v>6</v>
      </c>
      <c r="C30" t="s">
        <v>8</v>
      </c>
      <c r="D30" t="s">
        <v>12</v>
      </c>
      <c r="E30" t="s">
        <v>83</v>
      </c>
      <c r="F30" s="75" t="s">
        <v>114</v>
      </c>
    </row>
    <row r="31" spans="1:6" x14ac:dyDescent="0.25">
      <c r="A31">
        <v>2017</v>
      </c>
      <c r="B31" t="s">
        <v>7</v>
      </c>
      <c r="C31" t="s">
        <v>8</v>
      </c>
      <c r="D31" t="s">
        <v>12</v>
      </c>
      <c r="E31" t="s">
        <v>83</v>
      </c>
      <c r="F31" s="75" t="s">
        <v>115</v>
      </c>
    </row>
    <row r="32" spans="1:6" x14ac:dyDescent="0.25">
      <c r="A32">
        <v>2017</v>
      </c>
      <c r="B32" t="s">
        <v>4</v>
      </c>
      <c r="C32" t="s">
        <v>9</v>
      </c>
      <c r="D32" t="s">
        <v>12</v>
      </c>
      <c r="E32" t="s">
        <v>83</v>
      </c>
      <c r="F32" s="75" t="s">
        <v>116</v>
      </c>
    </row>
    <row r="33" spans="1:6" x14ac:dyDescent="0.25">
      <c r="A33">
        <v>2017</v>
      </c>
      <c r="B33" t="s">
        <v>6</v>
      </c>
      <c r="C33" t="s">
        <v>9</v>
      </c>
      <c r="D33" t="s">
        <v>12</v>
      </c>
      <c r="E33" t="s">
        <v>83</v>
      </c>
      <c r="F33" s="75" t="s">
        <v>117</v>
      </c>
    </row>
    <row r="34" spans="1:6" x14ac:dyDescent="0.25">
      <c r="A34">
        <v>2017</v>
      </c>
      <c r="B34" t="s">
        <v>7</v>
      </c>
      <c r="C34" t="s">
        <v>9</v>
      </c>
      <c r="D34" t="s">
        <v>12</v>
      </c>
      <c r="E34" t="s">
        <v>83</v>
      </c>
      <c r="F34" s="75" t="s">
        <v>118</v>
      </c>
    </row>
    <row r="35" spans="1:6" x14ac:dyDescent="0.25">
      <c r="A35">
        <v>2017</v>
      </c>
      <c r="B35" t="s">
        <v>4</v>
      </c>
      <c r="C35" t="s">
        <v>10</v>
      </c>
      <c r="D35" t="s">
        <v>12</v>
      </c>
      <c r="E35" t="s">
        <v>83</v>
      </c>
      <c r="F35" s="75" t="s">
        <v>119</v>
      </c>
    </row>
    <row r="36" spans="1:6" x14ac:dyDescent="0.25">
      <c r="A36">
        <v>2017</v>
      </c>
      <c r="B36" t="s">
        <v>6</v>
      </c>
      <c r="C36" t="s">
        <v>10</v>
      </c>
      <c r="D36" t="s">
        <v>12</v>
      </c>
      <c r="E36" t="s">
        <v>83</v>
      </c>
      <c r="F36" s="75" t="s">
        <v>120</v>
      </c>
    </row>
    <row r="37" spans="1:6" x14ac:dyDescent="0.25">
      <c r="A37">
        <v>2017</v>
      </c>
      <c r="B37" t="s">
        <v>7</v>
      </c>
      <c r="C37" t="s">
        <v>10</v>
      </c>
      <c r="D37" t="s">
        <v>12</v>
      </c>
      <c r="E37" t="s">
        <v>83</v>
      </c>
      <c r="F37" s="75" t="s">
        <v>121</v>
      </c>
    </row>
    <row r="38" spans="1:6" x14ac:dyDescent="0.25">
      <c r="A38">
        <v>2016</v>
      </c>
      <c r="B38" t="s">
        <v>4</v>
      </c>
      <c r="C38" t="s">
        <v>501</v>
      </c>
      <c r="D38" t="s">
        <v>12</v>
      </c>
      <c r="E38" t="s">
        <v>83</v>
      </c>
      <c r="F38" s="75" t="s">
        <v>122</v>
      </c>
    </row>
    <row r="39" spans="1:6" x14ac:dyDescent="0.25">
      <c r="A39">
        <v>2016</v>
      </c>
      <c r="B39" t="s">
        <v>6</v>
      </c>
      <c r="C39" t="s">
        <v>501</v>
      </c>
      <c r="D39" t="s">
        <v>12</v>
      </c>
      <c r="E39" t="s">
        <v>83</v>
      </c>
      <c r="F39" s="75" t="s">
        <v>123</v>
      </c>
    </row>
    <row r="40" spans="1:6" x14ac:dyDescent="0.25">
      <c r="A40">
        <v>2016</v>
      </c>
      <c r="B40" t="s">
        <v>7</v>
      </c>
      <c r="C40" t="s">
        <v>501</v>
      </c>
      <c r="D40" t="s">
        <v>12</v>
      </c>
      <c r="E40" t="s">
        <v>83</v>
      </c>
      <c r="F40" s="75" t="s">
        <v>124</v>
      </c>
    </row>
    <row r="41" spans="1:6" x14ac:dyDescent="0.25">
      <c r="A41">
        <v>2016</v>
      </c>
      <c r="B41" t="s">
        <v>4</v>
      </c>
      <c r="C41" t="s">
        <v>8</v>
      </c>
      <c r="D41" t="s">
        <v>12</v>
      </c>
      <c r="E41" t="s">
        <v>83</v>
      </c>
      <c r="F41" s="75" t="s">
        <v>125</v>
      </c>
    </row>
    <row r="42" spans="1:6" x14ac:dyDescent="0.25">
      <c r="A42">
        <v>2016</v>
      </c>
      <c r="B42" t="s">
        <v>6</v>
      </c>
      <c r="C42" t="s">
        <v>8</v>
      </c>
      <c r="D42" t="s">
        <v>12</v>
      </c>
      <c r="E42" t="s">
        <v>83</v>
      </c>
      <c r="F42" s="75" t="s">
        <v>126</v>
      </c>
    </row>
    <row r="43" spans="1:6" x14ac:dyDescent="0.25">
      <c r="A43">
        <v>2016</v>
      </c>
      <c r="B43" t="s">
        <v>7</v>
      </c>
      <c r="C43" t="s">
        <v>8</v>
      </c>
      <c r="D43" t="s">
        <v>12</v>
      </c>
      <c r="E43" t="s">
        <v>83</v>
      </c>
      <c r="F43" s="75" t="s">
        <v>127</v>
      </c>
    </row>
    <row r="44" spans="1:6" x14ac:dyDescent="0.25">
      <c r="A44">
        <v>2016</v>
      </c>
      <c r="B44" t="s">
        <v>4</v>
      </c>
      <c r="C44" t="s">
        <v>9</v>
      </c>
      <c r="D44" t="s">
        <v>12</v>
      </c>
      <c r="E44" t="s">
        <v>83</v>
      </c>
      <c r="F44" s="75" t="s">
        <v>128</v>
      </c>
    </row>
    <row r="45" spans="1:6" x14ac:dyDescent="0.25">
      <c r="A45">
        <v>2016</v>
      </c>
      <c r="B45" t="s">
        <v>6</v>
      </c>
      <c r="C45" t="s">
        <v>9</v>
      </c>
      <c r="D45" t="s">
        <v>12</v>
      </c>
      <c r="E45" t="s">
        <v>83</v>
      </c>
      <c r="F45" s="75" t="s">
        <v>129</v>
      </c>
    </row>
    <row r="46" spans="1:6" x14ac:dyDescent="0.25">
      <c r="A46">
        <v>2016</v>
      </c>
      <c r="B46" t="s">
        <v>7</v>
      </c>
      <c r="C46" t="s">
        <v>9</v>
      </c>
      <c r="D46" t="s">
        <v>12</v>
      </c>
      <c r="E46" t="s">
        <v>83</v>
      </c>
      <c r="F46" s="75" t="s">
        <v>130</v>
      </c>
    </row>
    <row r="47" spans="1:6" x14ac:dyDescent="0.25">
      <c r="A47">
        <v>2016</v>
      </c>
      <c r="B47" t="s">
        <v>4</v>
      </c>
      <c r="C47" t="s">
        <v>10</v>
      </c>
      <c r="D47" t="s">
        <v>12</v>
      </c>
      <c r="E47" t="s">
        <v>83</v>
      </c>
      <c r="F47" s="75" t="s">
        <v>131</v>
      </c>
    </row>
    <row r="48" spans="1:6" x14ac:dyDescent="0.25">
      <c r="A48">
        <v>2016</v>
      </c>
      <c r="B48" t="s">
        <v>6</v>
      </c>
      <c r="C48" t="s">
        <v>10</v>
      </c>
      <c r="D48" t="s">
        <v>12</v>
      </c>
      <c r="E48" t="s">
        <v>83</v>
      </c>
      <c r="F48" s="75" t="s">
        <v>132</v>
      </c>
    </row>
    <row r="49" spans="1:6" x14ac:dyDescent="0.25">
      <c r="A49">
        <v>2016</v>
      </c>
      <c r="B49" t="s">
        <v>7</v>
      </c>
      <c r="C49" t="s">
        <v>10</v>
      </c>
      <c r="D49" t="s">
        <v>12</v>
      </c>
      <c r="E49" t="s">
        <v>83</v>
      </c>
      <c r="F49" s="75" t="s">
        <v>133</v>
      </c>
    </row>
    <row r="50" spans="1:6" x14ac:dyDescent="0.25">
      <c r="A50">
        <v>2015</v>
      </c>
      <c r="B50" t="s">
        <v>4</v>
      </c>
      <c r="C50" t="s">
        <v>501</v>
      </c>
      <c r="D50" t="s">
        <v>12</v>
      </c>
      <c r="E50" t="s">
        <v>83</v>
      </c>
      <c r="F50" s="75" t="s">
        <v>134</v>
      </c>
    </row>
    <row r="51" spans="1:6" x14ac:dyDescent="0.25">
      <c r="A51">
        <v>2015</v>
      </c>
      <c r="B51" t="s">
        <v>6</v>
      </c>
      <c r="C51" t="s">
        <v>501</v>
      </c>
      <c r="D51" t="s">
        <v>12</v>
      </c>
      <c r="E51" t="s">
        <v>83</v>
      </c>
      <c r="F51" s="75" t="s">
        <v>135</v>
      </c>
    </row>
    <row r="52" spans="1:6" x14ac:dyDescent="0.25">
      <c r="A52">
        <v>2015</v>
      </c>
      <c r="B52" t="s">
        <v>7</v>
      </c>
      <c r="C52" t="s">
        <v>501</v>
      </c>
      <c r="D52" t="s">
        <v>12</v>
      </c>
      <c r="E52" t="s">
        <v>83</v>
      </c>
      <c r="F52" s="75" t="s">
        <v>136</v>
      </c>
    </row>
    <row r="53" spans="1:6" x14ac:dyDescent="0.25">
      <c r="A53">
        <v>2015</v>
      </c>
      <c r="B53" t="s">
        <v>4</v>
      </c>
      <c r="C53" t="s">
        <v>8</v>
      </c>
      <c r="D53" t="s">
        <v>12</v>
      </c>
      <c r="E53" t="s">
        <v>83</v>
      </c>
      <c r="F53" s="75" t="s">
        <v>137</v>
      </c>
    </row>
    <row r="54" spans="1:6" x14ac:dyDescent="0.25">
      <c r="A54">
        <v>2015</v>
      </c>
      <c r="B54" t="s">
        <v>6</v>
      </c>
      <c r="C54" t="s">
        <v>8</v>
      </c>
      <c r="D54" t="s">
        <v>12</v>
      </c>
      <c r="E54" t="s">
        <v>83</v>
      </c>
      <c r="F54" s="75" t="s">
        <v>138</v>
      </c>
    </row>
    <row r="55" spans="1:6" x14ac:dyDescent="0.25">
      <c r="A55">
        <v>2015</v>
      </c>
      <c r="B55" t="s">
        <v>7</v>
      </c>
      <c r="C55" t="s">
        <v>8</v>
      </c>
      <c r="D55" t="s">
        <v>12</v>
      </c>
      <c r="E55" t="s">
        <v>83</v>
      </c>
      <c r="F55" s="75" t="s">
        <v>139</v>
      </c>
    </row>
    <row r="56" spans="1:6" x14ac:dyDescent="0.25">
      <c r="A56">
        <v>2015</v>
      </c>
      <c r="B56" t="s">
        <v>4</v>
      </c>
      <c r="C56" t="s">
        <v>9</v>
      </c>
      <c r="D56" t="s">
        <v>12</v>
      </c>
      <c r="E56" t="s">
        <v>83</v>
      </c>
      <c r="F56" s="75" t="s">
        <v>140</v>
      </c>
    </row>
    <row r="57" spans="1:6" x14ac:dyDescent="0.25">
      <c r="A57">
        <v>2015</v>
      </c>
      <c r="B57" t="s">
        <v>6</v>
      </c>
      <c r="C57" t="s">
        <v>9</v>
      </c>
      <c r="D57" t="s">
        <v>12</v>
      </c>
      <c r="E57" t="s">
        <v>83</v>
      </c>
      <c r="F57" s="75" t="s">
        <v>141</v>
      </c>
    </row>
    <row r="58" spans="1:6" x14ac:dyDescent="0.25">
      <c r="A58">
        <v>2015</v>
      </c>
      <c r="B58" t="s">
        <v>7</v>
      </c>
      <c r="C58" t="s">
        <v>9</v>
      </c>
      <c r="D58" t="s">
        <v>12</v>
      </c>
      <c r="E58" t="s">
        <v>83</v>
      </c>
      <c r="F58" s="75" t="s">
        <v>142</v>
      </c>
    </row>
    <row r="59" spans="1:6" x14ac:dyDescent="0.25">
      <c r="A59">
        <v>2015</v>
      </c>
      <c r="B59" t="s">
        <v>4</v>
      </c>
      <c r="C59" t="s">
        <v>10</v>
      </c>
      <c r="D59" t="s">
        <v>12</v>
      </c>
      <c r="E59" t="s">
        <v>83</v>
      </c>
      <c r="F59" s="75" t="s">
        <v>143</v>
      </c>
    </row>
    <row r="60" spans="1:6" x14ac:dyDescent="0.25">
      <c r="A60">
        <v>2015</v>
      </c>
      <c r="B60" t="s">
        <v>6</v>
      </c>
      <c r="C60" t="s">
        <v>10</v>
      </c>
      <c r="D60" t="s">
        <v>12</v>
      </c>
      <c r="E60" t="s">
        <v>83</v>
      </c>
      <c r="F60" s="75" t="s">
        <v>144</v>
      </c>
    </row>
    <row r="61" spans="1:6" x14ac:dyDescent="0.25">
      <c r="A61">
        <v>2015</v>
      </c>
      <c r="B61" t="s">
        <v>7</v>
      </c>
      <c r="C61" t="s">
        <v>10</v>
      </c>
      <c r="D61" t="s">
        <v>12</v>
      </c>
      <c r="E61" t="s">
        <v>83</v>
      </c>
      <c r="F61" s="75" t="s">
        <v>145</v>
      </c>
    </row>
    <row r="62" spans="1:6" x14ac:dyDescent="0.25">
      <c r="A62">
        <v>2014</v>
      </c>
      <c r="B62" t="s">
        <v>4</v>
      </c>
      <c r="C62" t="s">
        <v>501</v>
      </c>
      <c r="D62" t="s">
        <v>12</v>
      </c>
      <c r="E62" t="s">
        <v>83</v>
      </c>
      <c r="F62" s="75" t="s">
        <v>146</v>
      </c>
    </row>
    <row r="63" spans="1:6" x14ac:dyDescent="0.25">
      <c r="A63">
        <v>2014</v>
      </c>
      <c r="B63" t="s">
        <v>6</v>
      </c>
      <c r="C63" t="s">
        <v>501</v>
      </c>
      <c r="D63" t="s">
        <v>12</v>
      </c>
      <c r="E63" t="s">
        <v>83</v>
      </c>
      <c r="F63" s="75" t="s">
        <v>147</v>
      </c>
    </row>
    <row r="64" spans="1:6" x14ac:dyDescent="0.25">
      <c r="A64">
        <v>2014</v>
      </c>
      <c r="B64" t="s">
        <v>7</v>
      </c>
      <c r="C64" t="s">
        <v>501</v>
      </c>
      <c r="D64" t="s">
        <v>12</v>
      </c>
      <c r="E64" t="s">
        <v>83</v>
      </c>
      <c r="F64" s="75" t="s">
        <v>148</v>
      </c>
    </row>
    <row r="65" spans="1:6" x14ac:dyDescent="0.25">
      <c r="A65">
        <v>2014</v>
      </c>
      <c r="B65" t="s">
        <v>4</v>
      </c>
      <c r="C65" t="s">
        <v>8</v>
      </c>
      <c r="D65" t="s">
        <v>12</v>
      </c>
      <c r="E65" t="s">
        <v>83</v>
      </c>
      <c r="F65" s="75" t="s">
        <v>149</v>
      </c>
    </row>
    <row r="66" spans="1:6" x14ac:dyDescent="0.25">
      <c r="A66">
        <v>2014</v>
      </c>
      <c r="B66" t="s">
        <v>6</v>
      </c>
      <c r="C66" t="s">
        <v>8</v>
      </c>
      <c r="D66" t="s">
        <v>12</v>
      </c>
      <c r="E66" t="s">
        <v>83</v>
      </c>
      <c r="F66" s="75" t="s">
        <v>150</v>
      </c>
    </row>
    <row r="67" spans="1:6" x14ac:dyDescent="0.25">
      <c r="A67">
        <v>2014</v>
      </c>
      <c r="B67" t="s">
        <v>7</v>
      </c>
      <c r="C67" t="s">
        <v>8</v>
      </c>
      <c r="D67" t="s">
        <v>12</v>
      </c>
      <c r="E67" t="s">
        <v>83</v>
      </c>
      <c r="F67" s="75" t="s">
        <v>151</v>
      </c>
    </row>
    <row r="68" spans="1:6" x14ac:dyDescent="0.25">
      <c r="A68">
        <v>2014</v>
      </c>
      <c r="B68" t="s">
        <v>4</v>
      </c>
      <c r="C68" t="s">
        <v>9</v>
      </c>
      <c r="D68" t="s">
        <v>12</v>
      </c>
      <c r="E68" t="s">
        <v>83</v>
      </c>
      <c r="F68" s="75" t="s">
        <v>152</v>
      </c>
    </row>
    <row r="69" spans="1:6" x14ac:dyDescent="0.25">
      <c r="A69">
        <v>2014</v>
      </c>
      <c r="B69" t="s">
        <v>6</v>
      </c>
      <c r="C69" t="s">
        <v>9</v>
      </c>
      <c r="D69" t="s">
        <v>12</v>
      </c>
      <c r="E69" t="s">
        <v>83</v>
      </c>
      <c r="F69" s="75" t="s">
        <v>153</v>
      </c>
    </row>
    <row r="70" spans="1:6" x14ac:dyDescent="0.25">
      <c r="A70">
        <v>2014</v>
      </c>
      <c r="B70" t="s">
        <v>7</v>
      </c>
      <c r="C70" t="s">
        <v>9</v>
      </c>
      <c r="D70" t="s">
        <v>12</v>
      </c>
      <c r="E70" t="s">
        <v>83</v>
      </c>
      <c r="F70" s="75" t="s">
        <v>154</v>
      </c>
    </row>
    <row r="71" spans="1:6" x14ac:dyDescent="0.25">
      <c r="A71">
        <v>2014</v>
      </c>
      <c r="B71" t="s">
        <v>4</v>
      </c>
      <c r="C71" t="s">
        <v>10</v>
      </c>
      <c r="D71" t="s">
        <v>12</v>
      </c>
      <c r="E71" t="s">
        <v>83</v>
      </c>
      <c r="F71" s="75" t="s">
        <v>155</v>
      </c>
    </row>
    <row r="72" spans="1:6" x14ac:dyDescent="0.25">
      <c r="A72">
        <v>2014</v>
      </c>
      <c r="B72" t="s">
        <v>6</v>
      </c>
      <c r="C72" t="s">
        <v>10</v>
      </c>
      <c r="D72" t="s">
        <v>12</v>
      </c>
      <c r="E72" t="s">
        <v>83</v>
      </c>
      <c r="F72" s="75" t="s">
        <v>156</v>
      </c>
    </row>
    <row r="73" spans="1:6" x14ac:dyDescent="0.25">
      <c r="A73">
        <v>2014</v>
      </c>
      <c r="B73" t="s">
        <v>7</v>
      </c>
      <c r="C73" t="s">
        <v>10</v>
      </c>
      <c r="D73" t="s">
        <v>12</v>
      </c>
      <c r="E73" t="s">
        <v>83</v>
      </c>
      <c r="F73" s="75" t="s">
        <v>157</v>
      </c>
    </row>
    <row r="74" spans="1:6" x14ac:dyDescent="0.25">
      <c r="A74">
        <v>2013</v>
      </c>
      <c r="B74" t="s">
        <v>4</v>
      </c>
      <c r="C74" t="s">
        <v>501</v>
      </c>
      <c r="D74" t="s">
        <v>12</v>
      </c>
      <c r="E74" t="s">
        <v>83</v>
      </c>
      <c r="F74" s="75" t="s">
        <v>158</v>
      </c>
    </row>
    <row r="75" spans="1:6" x14ac:dyDescent="0.25">
      <c r="A75">
        <v>2013</v>
      </c>
      <c r="B75" t="s">
        <v>6</v>
      </c>
      <c r="C75" t="s">
        <v>501</v>
      </c>
      <c r="D75" t="s">
        <v>12</v>
      </c>
      <c r="E75" t="s">
        <v>83</v>
      </c>
      <c r="F75" s="75" t="s">
        <v>159</v>
      </c>
    </row>
    <row r="76" spans="1:6" x14ac:dyDescent="0.25">
      <c r="A76">
        <v>2013</v>
      </c>
      <c r="B76" t="s">
        <v>7</v>
      </c>
      <c r="C76" t="s">
        <v>501</v>
      </c>
      <c r="D76" t="s">
        <v>12</v>
      </c>
      <c r="E76" t="s">
        <v>83</v>
      </c>
      <c r="F76" s="75" t="s">
        <v>160</v>
      </c>
    </row>
    <row r="77" spans="1:6" x14ac:dyDescent="0.25">
      <c r="A77">
        <v>2013</v>
      </c>
      <c r="B77" t="s">
        <v>4</v>
      </c>
      <c r="C77" t="s">
        <v>8</v>
      </c>
      <c r="D77" t="s">
        <v>12</v>
      </c>
      <c r="E77" t="s">
        <v>83</v>
      </c>
      <c r="F77" s="75" t="s">
        <v>161</v>
      </c>
    </row>
    <row r="78" spans="1:6" x14ac:dyDescent="0.25">
      <c r="A78">
        <v>2013</v>
      </c>
      <c r="B78" t="s">
        <v>6</v>
      </c>
      <c r="C78" t="s">
        <v>8</v>
      </c>
      <c r="D78" t="s">
        <v>12</v>
      </c>
      <c r="E78" t="s">
        <v>83</v>
      </c>
      <c r="F78" s="75" t="s">
        <v>162</v>
      </c>
    </row>
    <row r="79" spans="1:6" x14ac:dyDescent="0.25">
      <c r="A79">
        <v>2013</v>
      </c>
      <c r="B79" t="s">
        <v>7</v>
      </c>
      <c r="C79" t="s">
        <v>8</v>
      </c>
      <c r="D79" t="s">
        <v>12</v>
      </c>
      <c r="E79" t="s">
        <v>83</v>
      </c>
      <c r="F79" s="75" t="s">
        <v>163</v>
      </c>
    </row>
    <row r="80" spans="1:6" x14ac:dyDescent="0.25">
      <c r="A80">
        <v>2013</v>
      </c>
      <c r="B80" t="s">
        <v>4</v>
      </c>
      <c r="C80" t="s">
        <v>9</v>
      </c>
      <c r="D80" t="s">
        <v>12</v>
      </c>
      <c r="E80" t="s">
        <v>83</v>
      </c>
      <c r="F80" s="75" t="s">
        <v>164</v>
      </c>
    </row>
    <row r="81" spans="1:6" x14ac:dyDescent="0.25">
      <c r="A81">
        <v>2013</v>
      </c>
      <c r="B81" t="s">
        <v>6</v>
      </c>
      <c r="C81" t="s">
        <v>9</v>
      </c>
      <c r="D81" t="s">
        <v>12</v>
      </c>
      <c r="E81" t="s">
        <v>83</v>
      </c>
      <c r="F81" s="75" t="s">
        <v>165</v>
      </c>
    </row>
    <row r="82" spans="1:6" x14ac:dyDescent="0.25">
      <c r="A82">
        <v>2013</v>
      </c>
      <c r="B82" t="s">
        <v>7</v>
      </c>
      <c r="C82" t="s">
        <v>9</v>
      </c>
      <c r="D82" t="s">
        <v>12</v>
      </c>
      <c r="E82" t="s">
        <v>83</v>
      </c>
      <c r="F82" s="75" t="s">
        <v>166</v>
      </c>
    </row>
    <row r="83" spans="1:6" x14ac:dyDescent="0.25">
      <c r="A83">
        <v>2013</v>
      </c>
      <c r="B83" t="s">
        <v>4</v>
      </c>
      <c r="C83" t="s">
        <v>10</v>
      </c>
      <c r="D83" t="s">
        <v>12</v>
      </c>
      <c r="E83" t="s">
        <v>83</v>
      </c>
      <c r="F83" s="75" t="s">
        <v>167</v>
      </c>
    </row>
    <row r="84" spans="1:6" x14ac:dyDescent="0.25">
      <c r="A84">
        <v>2013</v>
      </c>
      <c r="B84" t="s">
        <v>6</v>
      </c>
      <c r="C84" t="s">
        <v>10</v>
      </c>
      <c r="D84" t="s">
        <v>12</v>
      </c>
      <c r="E84" t="s">
        <v>83</v>
      </c>
      <c r="F84" s="75" t="s">
        <v>168</v>
      </c>
    </row>
    <row r="85" spans="1:6" x14ac:dyDescent="0.25">
      <c r="A85">
        <v>2013</v>
      </c>
      <c r="B85" t="s">
        <v>7</v>
      </c>
      <c r="C85" t="s">
        <v>10</v>
      </c>
      <c r="D85" t="s">
        <v>12</v>
      </c>
      <c r="E85" t="s">
        <v>83</v>
      </c>
      <c r="F85" s="75" t="s">
        <v>169</v>
      </c>
    </row>
    <row r="86" spans="1:6" x14ac:dyDescent="0.25">
      <c r="A86">
        <v>2012</v>
      </c>
      <c r="B86" t="s">
        <v>4</v>
      </c>
      <c r="C86" t="s">
        <v>501</v>
      </c>
      <c r="D86" t="s">
        <v>12</v>
      </c>
      <c r="E86" t="s">
        <v>83</v>
      </c>
      <c r="F86" s="75" t="s">
        <v>170</v>
      </c>
    </row>
    <row r="87" spans="1:6" x14ac:dyDescent="0.25">
      <c r="A87">
        <v>2012</v>
      </c>
      <c r="B87" t="s">
        <v>6</v>
      </c>
      <c r="C87" t="s">
        <v>501</v>
      </c>
      <c r="D87" t="s">
        <v>12</v>
      </c>
      <c r="E87" t="s">
        <v>83</v>
      </c>
      <c r="F87" s="75" t="s">
        <v>171</v>
      </c>
    </row>
    <row r="88" spans="1:6" x14ac:dyDescent="0.25">
      <c r="A88">
        <v>2012</v>
      </c>
      <c r="B88" t="s">
        <v>7</v>
      </c>
      <c r="C88" t="s">
        <v>501</v>
      </c>
      <c r="D88" t="s">
        <v>12</v>
      </c>
      <c r="E88" t="s">
        <v>83</v>
      </c>
      <c r="F88" s="75" t="s">
        <v>172</v>
      </c>
    </row>
    <row r="89" spans="1:6" x14ac:dyDescent="0.25">
      <c r="A89">
        <v>2012</v>
      </c>
      <c r="B89" t="s">
        <v>4</v>
      </c>
      <c r="C89" t="s">
        <v>8</v>
      </c>
      <c r="D89" t="s">
        <v>12</v>
      </c>
      <c r="E89" t="s">
        <v>83</v>
      </c>
      <c r="F89" s="75" t="s">
        <v>173</v>
      </c>
    </row>
    <row r="90" spans="1:6" x14ac:dyDescent="0.25">
      <c r="A90">
        <v>2012</v>
      </c>
      <c r="B90" t="s">
        <v>6</v>
      </c>
      <c r="C90" t="s">
        <v>8</v>
      </c>
      <c r="D90" t="s">
        <v>12</v>
      </c>
      <c r="E90" t="s">
        <v>83</v>
      </c>
      <c r="F90" s="75" t="s">
        <v>174</v>
      </c>
    </row>
    <row r="91" spans="1:6" x14ac:dyDescent="0.25">
      <c r="A91">
        <v>2012</v>
      </c>
      <c r="B91" t="s">
        <v>7</v>
      </c>
      <c r="C91" t="s">
        <v>8</v>
      </c>
      <c r="D91" t="s">
        <v>12</v>
      </c>
      <c r="E91" t="s">
        <v>83</v>
      </c>
      <c r="F91" s="75" t="s">
        <v>175</v>
      </c>
    </row>
    <row r="92" spans="1:6" x14ac:dyDescent="0.25">
      <c r="A92">
        <v>2012</v>
      </c>
      <c r="B92" t="s">
        <v>4</v>
      </c>
      <c r="C92" t="s">
        <v>9</v>
      </c>
      <c r="D92" t="s">
        <v>12</v>
      </c>
      <c r="E92" t="s">
        <v>83</v>
      </c>
      <c r="F92" s="75" t="s">
        <v>176</v>
      </c>
    </row>
    <row r="93" spans="1:6" x14ac:dyDescent="0.25">
      <c r="A93">
        <v>2012</v>
      </c>
      <c r="B93" t="s">
        <v>6</v>
      </c>
      <c r="C93" t="s">
        <v>9</v>
      </c>
      <c r="D93" t="s">
        <v>12</v>
      </c>
      <c r="E93" t="s">
        <v>83</v>
      </c>
      <c r="F93" s="75" t="s">
        <v>177</v>
      </c>
    </row>
    <row r="94" spans="1:6" x14ac:dyDescent="0.25">
      <c r="A94">
        <v>2012</v>
      </c>
      <c r="B94" t="s">
        <v>7</v>
      </c>
      <c r="C94" t="s">
        <v>9</v>
      </c>
      <c r="D94" t="s">
        <v>12</v>
      </c>
      <c r="E94" t="s">
        <v>83</v>
      </c>
      <c r="F94" s="75" t="s">
        <v>178</v>
      </c>
    </row>
    <row r="95" spans="1:6" x14ac:dyDescent="0.25">
      <c r="A95">
        <v>2012</v>
      </c>
      <c r="B95" t="s">
        <v>4</v>
      </c>
      <c r="C95" t="s">
        <v>10</v>
      </c>
      <c r="D95" t="s">
        <v>12</v>
      </c>
      <c r="E95" t="s">
        <v>83</v>
      </c>
      <c r="F95" s="75" t="s">
        <v>179</v>
      </c>
    </row>
    <row r="96" spans="1:6" x14ac:dyDescent="0.25">
      <c r="A96">
        <v>2012</v>
      </c>
      <c r="B96" t="s">
        <v>6</v>
      </c>
      <c r="C96" t="s">
        <v>10</v>
      </c>
      <c r="D96" t="s">
        <v>12</v>
      </c>
      <c r="E96" t="s">
        <v>83</v>
      </c>
      <c r="F96" s="75" t="s">
        <v>180</v>
      </c>
    </row>
    <row r="97" spans="1:6" x14ac:dyDescent="0.25">
      <c r="A97">
        <v>2012</v>
      </c>
      <c r="B97" t="s">
        <v>7</v>
      </c>
      <c r="C97" t="s">
        <v>10</v>
      </c>
      <c r="D97" t="s">
        <v>12</v>
      </c>
      <c r="E97" t="s">
        <v>83</v>
      </c>
      <c r="F97" s="75" t="s">
        <v>181</v>
      </c>
    </row>
    <row r="98" spans="1:6" x14ac:dyDescent="0.25">
      <c r="A98">
        <v>2011</v>
      </c>
      <c r="B98" t="s">
        <v>4</v>
      </c>
      <c r="C98" t="s">
        <v>501</v>
      </c>
      <c r="D98" t="s">
        <v>12</v>
      </c>
      <c r="E98" t="s">
        <v>83</v>
      </c>
      <c r="F98" s="75" t="s">
        <v>182</v>
      </c>
    </row>
    <row r="99" spans="1:6" x14ac:dyDescent="0.25">
      <c r="A99">
        <v>2011</v>
      </c>
      <c r="B99" t="s">
        <v>6</v>
      </c>
      <c r="C99" t="s">
        <v>501</v>
      </c>
      <c r="D99" t="s">
        <v>12</v>
      </c>
      <c r="E99" t="s">
        <v>83</v>
      </c>
      <c r="F99" s="75" t="s">
        <v>183</v>
      </c>
    </row>
    <row r="100" spans="1:6" x14ac:dyDescent="0.25">
      <c r="A100">
        <v>2011</v>
      </c>
      <c r="B100" t="s">
        <v>7</v>
      </c>
      <c r="C100" t="s">
        <v>501</v>
      </c>
      <c r="D100" t="s">
        <v>12</v>
      </c>
      <c r="E100" t="s">
        <v>83</v>
      </c>
      <c r="F100" s="75" t="s">
        <v>184</v>
      </c>
    </row>
    <row r="101" spans="1:6" x14ac:dyDescent="0.25">
      <c r="A101">
        <v>2011</v>
      </c>
      <c r="B101" t="s">
        <v>4</v>
      </c>
      <c r="C101" t="s">
        <v>8</v>
      </c>
      <c r="D101" t="s">
        <v>12</v>
      </c>
      <c r="E101" t="s">
        <v>83</v>
      </c>
      <c r="F101" s="75" t="s">
        <v>185</v>
      </c>
    </row>
    <row r="102" spans="1:6" x14ac:dyDescent="0.25">
      <c r="A102">
        <v>2011</v>
      </c>
      <c r="B102" t="s">
        <v>6</v>
      </c>
      <c r="C102" t="s">
        <v>8</v>
      </c>
      <c r="D102" t="s">
        <v>12</v>
      </c>
      <c r="E102" t="s">
        <v>83</v>
      </c>
      <c r="F102" s="75" t="s">
        <v>186</v>
      </c>
    </row>
    <row r="103" spans="1:6" x14ac:dyDescent="0.25">
      <c r="A103">
        <v>2011</v>
      </c>
      <c r="B103" t="s">
        <v>7</v>
      </c>
      <c r="C103" t="s">
        <v>8</v>
      </c>
      <c r="D103" t="s">
        <v>12</v>
      </c>
      <c r="E103" t="s">
        <v>83</v>
      </c>
      <c r="F103" s="75" t="s">
        <v>187</v>
      </c>
    </row>
    <row r="104" spans="1:6" x14ac:dyDescent="0.25">
      <c r="A104">
        <v>2011</v>
      </c>
      <c r="B104" t="s">
        <v>4</v>
      </c>
      <c r="C104" t="s">
        <v>9</v>
      </c>
      <c r="D104" t="s">
        <v>12</v>
      </c>
      <c r="E104" t="s">
        <v>83</v>
      </c>
      <c r="F104" s="75" t="s">
        <v>188</v>
      </c>
    </row>
    <row r="105" spans="1:6" x14ac:dyDescent="0.25">
      <c r="A105">
        <v>2011</v>
      </c>
      <c r="B105" t="s">
        <v>6</v>
      </c>
      <c r="C105" t="s">
        <v>9</v>
      </c>
      <c r="D105" t="s">
        <v>12</v>
      </c>
      <c r="E105" t="s">
        <v>83</v>
      </c>
      <c r="F105" s="75" t="s">
        <v>189</v>
      </c>
    </row>
    <row r="106" spans="1:6" x14ac:dyDescent="0.25">
      <c r="A106">
        <v>2011</v>
      </c>
      <c r="B106" t="s">
        <v>7</v>
      </c>
      <c r="C106" t="s">
        <v>9</v>
      </c>
      <c r="D106" t="s">
        <v>12</v>
      </c>
      <c r="E106" t="s">
        <v>83</v>
      </c>
      <c r="F106" s="75" t="s">
        <v>190</v>
      </c>
    </row>
    <row r="107" spans="1:6" x14ac:dyDescent="0.25">
      <c r="A107">
        <v>2011</v>
      </c>
      <c r="B107" t="s">
        <v>4</v>
      </c>
      <c r="C107" t="s">
        <v>10</v>
      </c>
      <c r="D107" t="s">
        <v>12</v>
      </c>
      <c r="E107" t="s">
        <v>83</v>
      </c>
      <c r="F107" s="75" t="s">
        <v>191</v>
      </c>
    </row>
    <row r="108" spans="1:6" x14ac:dyDescent="0.25">
      <c r="A108">
        <v>2011</v>
      </c>
      <c r="B108" t="s">
        <v>6</v>
      </c>
      <c r="C108" t="s">
        <v>10</v>
      </c>
      <c r="D108" t="s">
        <v>12</v>
      </c>
      <c r="E108" t="s">
        <v>83</v>
      </c>
      <c r="F108" s="75" t="s">
        <v>192</v>
      </c>
    </row>
    <row r="109" spans="1:6" x14ac:dyDescent="0.25">
      <c r="A109">
        <v>2011</v>
      </c>
      <c r="B109" t="s">
        <v>7</v>
      </c>
      <c r="C109" t="s">
        <v>10</v>
      </c>
      <c r="D109" t="s">
        <v>12</v>
      </c>
      <c r="E109" t="s">
        <v>83</v>
      </c>
      <c r="F109" s="75" t="s">
        <v>193</v>
      </c>
    </row>
    <row r="110" spans="1:6" x14ac:dyDescent="0.25">
      <c r="A110">
        <v>2010</v>
      </c>
      <c r="B110" t="s">
        <v>4</v>
      </c>
      <c r="C110" t="s">
        <v>501</v>
      </c>
      <c r="D110" t="s">
        <v>12</v>
      </c>
      <c r="E110" t="s">
        <v>83</v>
      </c>
      <c r="F110" s="75" t="s">
        <v>194</v>
      </c>
    </row>
    <row r="111" spans="1:6" x14ac:dyDescent="0.25">
      <c r="A111">
        <v>2010</v>
      </c>
      <c r="B111" t="s">
        <v>6</v>
      </c>
      <c r="C111" t="s">
        <v>501</v>
      </c>
      <c r="D111" t="s">
        <v>12</v>
      </c>
      <c r="E111" t="s">
        <v>83</v>
      </c>
      <c r="F111" s="75" t="s">
        <v>195</v>
      </c>
    </row>
    <row r="112" spans="1:6" x14ac:dyDescent="0.25">
      <c r="A112">
        <v>2010</v>
      </c>
      <c r="B112" t="s">
        <v>7</v>
      </c>
      <c r="C112" t="s">
        <v>501</v>
      </c>
      <c r="D112" t="s">
        <v>12</v>
      </c>
      <c r="E112" t="s">
        <v>83</v>
      </c>
      <c r="F112" s="75" t="s">
        <v>196</v>
      </c>
    </row>
    <row r="113" spans="1:6" x14ac:dyDescent="0.25">
      <c r="A113">
        <v>2010</v>
      </c>
      <c r="B113" t="s">
        <v>4</v>
      </c>
      <c r="C113" t="s">
        <v>8</v>
      </c>
      <c r="D113" t="s">
        <v>12</v>
      </c>
      <c r="E113" t="s">
        <v>83</v>
      </c>
      <c r="F113" s="75" t="s">
        <v>197</v>
      </c>
    </row>
    <row r="114" spans="1:6" x14ac:dyDescent="0.25">
      <c r="A114">
        <v>2010</v>
      </c>
      <c r="B114" t="s">
        <v>6</v>
      </c>
      <c r="C114" t="s">
        <v>8</v>
      </c>
      <c r="D114" t="s">
        <v>12</v>
      </c>
      <c r="E114" t="s">
        <v>83</v>
      </c>
      <c r="F114" s="75" t="s">
        <v>198</v>
      </c>
    </row>
    <row r="115" spans="1:6" x14ac:dyDescent="0.25">
      <c r="A115">
        <v>2010</v>
      </c>
      <c r="B115" t="s">
        <v>7</v>
      </c>
      <c r="C115" t="s">
        <v>8</v>
      </c>
      <c r="D115" t="s">
        <v>12</v>
      </c>
      <c r="E115" t="s">
        <v>83</v>
      </c>
      <c r="F115" s="75" t="s">
        <v>199</v>
      </c>
    </row>
    <row r="116" spans="1:6" x14ac:dyDescent="0.25">
      <c r="A116">
        <v>2010</v>
      </c>
      <c r="B116" t="s">
        <v>4</v>
      </c>
      <c r="C116" t="s">
        <v>9</v>
      </c>
      <c r="D116" t="s">
        <v>12</v>
      </c>
      <c r="E116" t="s">
        <v>83</v>
      </c>
      <c r="F116" s="75" t="s">
        <v>200</v>
      </c>
    </row>
    <row r="117" spans="1:6" x14ac:dyDescent="0.25">
      <c r="A117">
        <v>2010</v>
      </c>
      <c r="B117" t="s">
        <v>6</v>
      </c>
      <c r="C117" t="s">
        <v>9</v>
      </c>
      <c r="D117" t="s">
        <v>12</v>
      </c>
      <c r="E117" t="s">
        <v>83</v>
      </c>
      <c r="F117" s="75" t="s">
        <v>201</v>
      </c>
    </row>
    <row r="118" spans="1:6" x14ac:dyDescent="0.25">
      <c r="A118">
        <v>2010</v>
      </c>
      <c r="B118" t="s">
        <v>7</v>
      </c>
      <c r="C118" t="s">
        <v>9</v>
      </c>
      <c r="D118" t="s">
        <v>12</v>
      </c>
      <c r="E118" t="s">
        <v>83</v>
      </c>
      <c r="F118" s="75" t="s">
        <v>202</v>
      </c>
    </row>
    <row r="119" spans="1:6" x14ac:dyDescent="0.25">
      <c r="A119">
        <v>2010</v>
      </c>
      <c r="B119" t="s">
        <v>4</v>
      </c>
      <c r="C119" t="s">
        <v>10</v>
      </c>
      <c r="D119" t="s">
        <v>12</v>
      </c>
      <c r="E119" t="s">
        <v>83</v>
      </c>
      <c r="F119" s="75" t="s">
        <v>203</v>
      </c>
    </row>
    <row r="120" spans="1:6" x14ac:dyDescent="0.25">
      <c r="A120">
        <v>2010</v>
      </c>
      <c r="B120" t="s">
        <v>6</v>
      </c>
      <c r="C120" t="s">
        <v>10</v>
      </c>
      <c r="D120" t="s">
        <v>12</v>
      </c>
      <c r="E120" t="s">
        <v>83</v>
      </c>
      <c r="F120" s="75" t="s">
        <v>204</v>
      </c>
    </row>
    <row r="121" spans="1:6" x14ac:dyDescent="0.25">
      <c r="A121">
        <v>2010</v>
      </c>
      <c r="B121" t="s">
        <v>7</v>
      </c>
      <c r="C121" t="s">
        <v>10</v>
      </c>
      <c r="D121" t="s">
        <v>12</v>
      </c>
      <c r="E121" t="s">
        <v>83</v>
      </c>
      <c r="F121" s="75" t="s">
        <v>205</v>
      </c>
    </row>
    <row r="122" spans="1:6" x14ac:dyDescent="0.25">
      <c r="A122">
        <v>2006</v>
      </c>
      <c r="B122" t="s">
        <v>4</v>
      </c>
      <c r="C122" t="s">
        <v>501</v>
      </c>
      <c r="D122" t="s">
        <v>12</v>
      </c>
      <c r="E122" t="s">
        <v>83</v>
      </c>
      <c r="F122" s="75" t="s">
        <v>206</v>
      </c>
    </row>
    <row r="123" spans="1:6" x14ac:dyDescent="0.25">
      <c r="A123">
        <v>2006</v>
      </c>
      <c r="B123" t="s">
        <v>6</v>
      </c>
      <c r="C123" t="s">
        <v>501</v>
      </c>
      <c r="D123" t="s">
        <v>12</v>
      </c>
      <c r="E123" t="s">
        <v>83</v>
      </c>
      <c r="F123" s="75" t="s">
        <v>207</v>
      </c>
    </row>
    <row r="124" spans="1:6" x14ac:dyDescent="0.25">
      <c r="A124">
        <v>2006</v>
      </c>
      <c r="B124" t="s">
        <v>7</v>
      </c>
      <c r="C124" t="s">
        <v>501</v>
      </c>
      <c r="D124" t="s">
        <v>12</v>
      </c>
      <c r="E124" t="s">
        <v>83</v>
      </c>
      <c r="F124" s="75" t="s">
        <v>208</v>
      </c>
    </row>
    <row r="125" spans="1:6" x14ac:dyDescent="0.25">
      <c r="A125">
        <v>2006</v>
      </c>
      <c r="B125" t="s">
        <v>4</v>
      </c>
      <c r="C125" t="s">
        <v>8</v>
      </c>
      <c r="D125" t="s">
        <v>12</v>
      </c>
      <c r="E125" t="s">
        <v>83</v>
      </c>
      <c r="F125" s="75" t="s">
        <v>209</v>
      </c>
    </row>
    <row r="126" spans="1:6" x14ac:dyDescent="0.25">
      <c r="A126">
        <v>2006</v>
      </c>
      <c r="B126" t="s">
        <v>6</v>
      </c>
      <c r="C126" t="s">
        <v>8</v>
      </c>
      <c r="D126" t="s">
        <v>12</v>
      </c>
      <c r="E126" t="s">
        <v>83</v>
      </c>
      <c r="F126" s="75" t="s">
        <v>210</v>
      </c>
    </row>
    <row r="127" spans="1:6" x14ac:dyDescent="0.25">
      <c r="A127">
        <v>2006</v>
      </c>
      <c r="B127" t="s">
        <v>7</v>
      </c>
      <c r="C127" t="s">
        <v>8</v>
      </c>
      <c r="D127" t="s">
        <v>12</v>
      </c>
      <c r="E127" t="s">
        <v>83</v>
      </c>
      <c r="F127" s="75" t="s">
        <v>211</v>
      </c>
    </row>
    <row r="128" spans="1:6" x14ac:dyDescent="0.25">
      <c r="A128">
        <v>2006</v>
      </c>
      <c r="B128" t="s">
        <v>4</v>
      </c>
      <c r="C128" t="s">
        <v>9</v>
      </c>
      <c r="D128" t="s">
        <v>12</v>
      </c>
      <c r="E128" t="s">
        <v>83</v>
      </c>
      <c r="F128" s="75" t="s">
        <v>212</v>
      </c>
    </row>
    <row r="129" spans="1:6" x14ac:dyDescent="0.25">
      <c r="A129">
        <v>2006</v>
      </c>
      <c r="B129" t="s">
        <v>6</v>
      </c>
      <c r="C129" t="s">
        <v>9</v>
      </c>
      <c r="D129" t="s">
        <v>12</v>
      </c>
      <c r="E129" t="s">
        <v>83</v>
      </c>
      <c r="F129" s="75" t="s">
        <v>213</v>
      </c>
    </row>
    <row r="130" spans="1:6" x14ac:dyDescent="0.25">
      <c r="A130">
        <v>2006</v>
      </c>
      <c r="B130" t="s">
        <v>7</v>
      </c>
      <c r="C130" t="s">
        <v>9</v>
      </c>
      <c r="D130" t="s">
        <v>12</v>
      </c>
      <c r="E130" t="s">
        <v>83</v>
      </c>
      <c r="F130" s="75" t="s">
        <v>214</v>
      </c>
    </row>
    <row r="131" spans="1:6" x14ac:dyDescent="0.25">
      <c r="A131">
        <v>2006</v>
      </c>
      <c r="B131" t="s">
        <v>4</v>
      </c>
      <c r="C131" t="s">
        <v>10</v>
      </c>
      <c r="D131" t="s">
        <v>12</v>
      </c>
      <c r="E131" t="s">
        <v>83</v>
      </c>
      <c r="F131" s="75" t="s">
        <v>215</v>
      </c>
    </row>
    <row r="132" spans="1:6" x14ac:dyDescent="0.25">
      <c r="A132">
        <v>2006</v>
      </c>
      <c r="B132" t="s">
        <v>6</v>
      </c>
      <c r="C132" t="s">
        <v>10</v>
      </c>
      <c r="D132" t="s">
        <v>12</v>
      </c>
      <c r="E132" t="s">
        <v>83</v>
      </c>
      <c r="F132" s="75" t="s">
        <v>216</v>
      </c>
    </row>
    <row r="133" spans="1:6" x14ac:dyDescent="0.25">
      <c r="A133">
        <v>2006</v>
      </c>
      <c r="B133" t="s">
        <v>7</v>
      </c>
      <c r="C133" t="s">
        <v>10</v>
      </c>
      <c r="D133" t="s">
        <v>12</v>
      </c>
      <c r="E133" t="s">
        <v>83</v>
      </c>
      <c r="F133" s="75" t="s">
        <v>217</v>
      </c>
    </row>
    <row r="134" spans="1:6" x14ac:dyDescent="0.25">
      <c r="A134">
        <v>2005</v>
      </c>
      <c r="B134" t="s">
        <v>4</v>
      </c>
      <c r="C134" t="s">
        <v>501</v>
      </c>
      <c r="D134" t="s">
        <v>12</v>
      </c>
      <c r="E134" t="s">
        <v>83</v>
      </c>
      <c r="F134" s="75" t="s">
        <v>218</v>
      </c>
    </row>
    <row r="135" spans="1:6" x14ac:dyDescent="0.25">
      <c r="A135">
        <v>2005</v>
      </c>
      <c r="B135" t="s">
        <v>6</v>
      </c>
      <c r="C135" t="s">
        <v>501</v>
      </c>
      <c r="D135" t="s">
        <v>12</v>
      </c>
      <c r="E135" t="s">
        <v>83</v>
      </c>
      <c r="F135" s="75" t="s">
        <v>219</v>
      </c>
    </row>
    <row r="136" spans="1:6" x14ac:dyDescent="0.25">
      <c r="A136">
        <v>2005</v>
      </c>
      <c r="B136" t="s">
        <v>7</v>
      </c>
      <c r="C136" t="s">
        <v>501</v>
      </c>
      <c r="D136" t="s">
        <v>12</v>
      </c>
      <c r="E136" t="s">
        <v>83</v>
      </c>
      <c r="F136" s="75" t="s">
        <v>220</v>
      </c>
    </row>
    <row r="137" spans="1:6" x14ac:dyDescent="0.25">
      <c r="A137">
        <v>2005</v>
      </c>
      <c r="B137" t="s">
        <v>4</v>
      </c>
      <c r="C137" t="s">
        <v>8</v>
      </c>
      <c r="D137" t="s">
        <v>12</v>
      </c>
      <c r="E137" t="s">
        <v>83</v>
      </c>
      <c r="F137" s="75" t="s">
        <v>221</v>
      </c>
    </row>
    <row r="138" spans="1:6" x14ac:dyDescent="0.25">
      <c r="A138">
        <v>2005</v>
      </c>
      <c r="B138" t="s">
        <v>6</v>
      </c>
      <c r="C138" t="s">
        <v>8</v>
      </c>
      <c r="D138" t="s">
        <v>12</v>
      </c>
      <c r="E138" t="s">
        <v>83</v>
      </c>
      <c r="F138" s="75" t="s">
        <v>222</v>
      </c>
    </row>
    <row r="139" spans="1:6" x14ac:dyDescent="0.25">
      <c r="A139">
        <v>2005</v>
      </c>
      <c r="B139" t="s">
        <v>7</v>
      </c>
      <c r="C139" t="s">
        <v>8</v>
      </c>
      <c r="D139" t="s">
        <v>12</v>
      </c>
      <c r="E139" t="s">
        <v>83</v>
      </c>
      <c r="F139" s="75" t="s">
        <v>223</v>
      </c>
    </row>
    <row r="140" spans="1:6" x14ac:dyDescent="0.25">
      <c r="A140">
        <v>2005</v>
      </c>
      <c r="B140" t="s">
        <v>4</v>
      </c>
      <c r="C140" t="s">
        <v>9</v>
      </c>
      <c r="D140" t="s">
        <v>12</v>
      </c>
      <c r="E140" t="s">
        <v>83</v>
      </c>
      <c r="F140" s="75" t="s">
        <v>224</v>
      </c>
    </row>
    <row r="141" spans="1:6" x14ac:dyDescent="0.25">
      <c r="A141">
        <v>2005</v>
      </c>
      <c r="B141" t="s">
        <v>6</v>
      </c>
      <c r="C141" t="s">
        <v>9</v>
      </c>
      <c r="D141" t="s">
        <v>12</v>
      </c>
      <c r="E141" t="s">
        <v>83</v>
      </c>
      <c r="F141" s="75" t="s">
        <v>225</v>
      </c>
    </row>
    <row r="142" spans="1:6" x14ac:dyDescent="0.25">
      <c r="A142">
        <v>2005</v>
      </c>
      <c r="B142" t="s">
        <v>7</v>
      </c>
      <c r="C142" t="s">
        <v>9</v>
      </c>
      <c r="D142" t="s">
        <v>12</v>
      </c>
      <c r="E142" t="s">
        <v>83</v>
      </c>
      <c r="F142" s="75" t="s">
        <v>226</v>
      </c>
    </row>
    <row r="143" spans="1:6" x14ac:dyDescent="0.25">
      <c r="A143">
        <v>2005</v>
      </c>
      <c r="B143" t="s">
        <v>4</v>
      </c>
      <c r="C143" t="s">
        <v>10</v>
      </c>
      <c r="D143" t="s">
        <v>12</v>
      </c>
      <c r="E143" t="s">
        <v>83</v>
      </c>
      <c r="F143" s="75" t="s">
        <v>227</v>
      </c>
    </row>
    <row r="144" spans="1:6" x14ac:dyDescent="0.25">
      <c r="A144">
        <v>2005</v>
      </c>
      <c r="B144" t="s">
        <v>6</v>
      </c>
      <c r="C144" t="s">
        <v>10</v>
      </c>
      <c r="D144" t="s">
        <v>12</v>
      </c>
      <c r="E144" t="s">
        <v>83</v>
      </c>
      <c r="F144" s="75" t="s">
        <v>228</v>
      </c>
    </row>
    <row r="145" spans="1:6" x14ac:dyDescent="0.25">
      <c r="A145">
        <v>2005</v>
      </c>
      <c r="B145" t="s">
        <v>7</v>
      </c>
      <c r="C145" t="s">
        <v>10</v>
      </c>
      <c r="D145" t="s">
        <v>12</v>
      </c>
      <c r="E145" t="s">
        <v>83</v>
      </c>
      <c r="F145" s="75" t="s">
        <v>229</v>
      </c>
    </row>
    <row r="146" spans="1:6" x14ac:dyDescent="0.25">
      <c r="A146">
        <v>2019</v>
      </c>
      <c r="B146" t="s">
        <v>4</v>
      </c>
      <c r="C146" t="s">
        <v>501</v>
      </c>
      <c r="D146" t="s">
        <v>84</v>
      </c>
      <c r="E146" t="s">
        <v>83</v>
      </c>
      <c r="F146" s="75" t="s">
        <v>362</v>
      </c>
    </row>
    <row r="147" spans="1:6" x14ac:dyDescent="0.25">
      <c r="A147">
        <v>2019</v>
      </c>
      <c r="B147" t="s">
        <v>6</v>
      </c>
      <c r="C147" t="s">
        <v>501</v>
      </c>
      <c r="D147" t="s">
        <v>84</v>
      </c>
      <c r="E147" t="s">
        <v>83</v>
      </c>
      <c r="F147" s="75" t="s">
        <v>363</v>
      </c>
    </row>
    <row r="148" spans="1:6" x14ac:dyDescent="0.25">
      <c r="A148">
        <v>2019</v>
      </c>
      <c r="B148" t="s">
        <v>7</v>
      </c>
      <c r="C148" t="s">
        <v>501</v>
      </c>
      <c r="D148" t="s">
        <v>84</v>
      </c>
      <c r="E148" t="s">
        <v>83</v>
      </c>
      <c r="F148" s="75" t="s">
        <v>364</v>
      </c>
    </row>
    <row r="149" spans="1:6" x14ac:dyDescent="0.25">
      <c r="A149">
        <v>2019</v>
      </c>
      <c r="B149" t="s">
        <v>4</v>
      </c>
      <c r="C149" t="s">
        <v>8</v>
      </c>
      <c r="D149" t="s">
        <v>84</v>
      </c>
      <c r="E149" t="s">
        <v>83</v>
      </c>
      <c r="F149" s="75" t="s">
        <v>365</v>
      </c>
    </row>
    <row r="150" spans="1:6" x14ac:dyDescent="0.25">
      <c r="A150">
        <v>2019</v>
      </c>
      <c r="B150" t="s">
        <v>6</v>
      </c>
      <c r="C150" t="s">
        <v>8</v>
      </c>
      <c r="D150" t="s">
        <v>84</v>
      </c>
      <c r="E150" t="s">
        <v>83</v>
      </c>
      <c r="F150" s="75" t="s">
        <v>366</v>
      </c>
    </row>
    <row r="151" spans="1:6" x14ac:dyDescent="0.25">
      <c r="A151">
        <v>2019</v>
      </c>
      <c r="B151" t="s">
        <v>7</v>
      </c>
      <c r="C151" t="s">
        <v>8</v>
      </c>
      <c r="D151" t="s">
        <v>84</v>
      </c>
      <c r="E151" t="s">
        <v>83</v>
      </c>
      <c r="F151" s="75" t="s">
        <v>367</v>
      </c>
    </row>
    <row r="152" spans="1:6" x14ac:dyDescent="0.25">
      <c r="A152">
        <v>2019</v>
      </c>
      <c r="B152" t="s">
        <v>4</v>
      </c>
      <c r="C152" t="s">
        <v>9</v>
      </c>
      <c r="D152" t="s">
        <v>84</v>
      </c>
      <c r="E152" t="s">
        <v>83</v>
      </c>
      <c r="F152" s="75" t="s">
        <v>368</v>
      </c>
    </row>
    <row r="153" spans="1:6" x14ac:dyDescent="0.25">
      <c r="A153">
        <v>2019</v>
      </c>
      <c r="B153" t="s">
        <v>6</v>
      </c>
      <c r="C153" t="s">
        <v>9</v>
      </c>
      <c r="D153" t="s">
        <v>84</v>
      </c>
      <c r="E153" t="s">
        <v>83</v>
      </c>
      <c r="F153" s="75" t="s">
        <v>369</v>
      </c>
    </row>
    <row r="154" spans="1:6" x14ac:dyDescent="0.25">
      <c r="A154">
        <v>2019</v>
      </c>
      <c r="B154" t="s">
        <v>7</v>
      </c>
      <c r="C154" t="s">
        <v>9</v>
      </c>
      <c r="D154" t="s">
        <v>84</v>
      </c>
      <c r="E154" t="s">
        <v>83</v>
      </c>
      <c r="F154" s="75" t="s">
        <v>370</v>
      </c>
    </row>
    <row r="155" spans="1:6" x14ac:dyDescent="0.25">
      <c r="A155">
        <v>2019</v>
      </c>
      <c r="B155" t="s">
        <v>4</v>
      </c>
      <c r="C155" t="s">
        <v>10</v>
      </c>
      <c r="D155" t="s">
        <v>84</v>
      </c>
      <c r="E155" t="s">
        <v>83</v>
      </c>
      <c r="F155" s="75" t="s">
        <v>371</v>
      </c>
    </row>
    <row r="156" spans="1:6" x14ac:dyDescent="0.25">
      <c r="A156">
        <v>2019</v>
      </c>
      <c r="B156" t="s">
        <v>6</v>
      </c>
      <c r="C156" t="s">
        <v>10</v>
      </c>
      <c r="D156" t="s">
        <v>84</v>
      </c>
      <c r="E156" t="s">
        <v>83</v>
      </c>
      <c r="F156" s="75" t="s">
        <v>372</v>
      </c>
    </row>
    <row r="157" spans="1:6" x14ac:dyDescent="0.25">
      <c r="A157">
        <v>2019</v>
      </c>
      <c r="B157" t="s">
        <v>7</v>
      </c>
      <c r="C157" t="s">
        <v>10</v>
      </c>
      <c r="D157" t="s">
        <v>84</v>
      </c>
      <c r="E157" t="s">
        <v>83</v>
      </c>
      <c r="F157" s="75" t="s">
        <v>373</v>
      </c>
    </row>
    <row r="158" spans="1:6" x14ac:dyDescent="0.25">
      <c r="A158">
        <v>2018</v>
      </c>
      <c r="B158" t="s">
        <v>4</v>
      </c>
      <c r="C158" t="s">
        <v>501</v>
      </c>
      <c r="D158" t="s">
        <v>84</v>
      </c>
      <c r="E158" t="s">
        <v>83</v>
      </c>
      <c r="F158" s="75" t="s">
        <v>374</v>
      </c>
    </row>
    <row r="159" spans="1:6" x14ac:dyDescent="0.25">
      <c r="A159">
        <v>2018</v>
      </c>
      <c r="B159" t="s">
        <v>6</v>
      </c>
      <c r="C159" t="s">
        <v>501</v>
      </c>
      <c r="D159" t="s">
        <v>84</v>
      </c>
      <c r="E159" t="s">
        <v>83</v>
      </c>
      <c r="F159" s="75" t="s">
        <v>375</v>
      </c>
    </row>
    <row r="160" spans="1:6" x14ac:dyDescent="0.25">
      <c r="A160">
        <v>2018</v>
      </c>
      <c r="B160" t="s">
        <v>7</v>
      </c>
      <c r="C160" t="s">
        <v>501</v>
      </c>
      <c r="D160" t="s">
        <v>84</v>
      </c>
      <c r="E160" t="s">
        <v>83</v>
      </c>
      <c r="F160" s="75" t="s">
        <v>376</v>
      </c>
    </row>
    <row r="161" spans="1:6" x14ac:dyDescent="0.25">
      <c r="A161">
        <v>2018</v>
      </c>
      <c r="B161" t="s">
        <v>4</v>
      </c>
      <c r="C161" t="s">
        <v>8</v>
      </c>
      <c r="D161" t="s">
        <v>84</v>
      </c>
      <c r="E161" t="s">
        <v>83</v>
      </c>
      <c r="F161" s="75" t="s">
        <v>377</v>
      </c>
    </row>
    <row r="162" spans="1:6" x14ac:dyDescent="0.25">
      <c r="A162">
        <v>2018</v>
      </c>
      <c r="B162" t="s">
        <v>6</v>
      </c>
      <c r="C162" t="s">
        <v>8</v>
      </c>
      <c r="D162" t="s">
        <v>84</v>
      </c>
      <c r="E162" t="s">
        <v>83</v>
      </c>
      <c r="F162" s="75" t="s">
        <v>378</v>
      </c>
    </row>
    <row r="163" spans="1:6" x14ac:dyDescent="0.25">
      <c r="A163">
        <v>2018</v>
      </c>
      <c r="B163" t="s">
        <v>7</v>
      </c>
      <c r="C163" t="s">
        <v>8</v>
      </c>
      <c r="D163" t="s">
        <v>84</v>
      </c>
      <c r="E163" t="s">
        <v>83</v>
      </c>
      <c r="F163" s="75" t="s">
        <v>379</v>
      </c>
    </row>
    <row r="164" spans="1:6" x14ac:dyDescent="0.25">
      <c r="A164">
        <v>2018</v>
      </c>
      <c r="B164" t="s">
        <v>4</v>
      </c>
      <c r="C164" t="s">
        <v>9</v>
      </c>
      <c r="D164" t="s">
        <v>84</v>
      </c>
      <c r="E164" t="s">
        <v>83</v>
      </c>
      <c r="F164" s="75" t="s">
        <v>380</v>
      </c>
    </row>
    <row r="165" spans="1:6" x14ac:dyDescent="0.25">
      <c r="A165">
        <v>2018</v>
      </c>
      <c r="B165" t="s">
        <v>6</v>
      </c>
      <c r="C165" t="s">
        <v>9</v>
      </c>
      <c r="D165" t="s">
        <v>84</v>
      </c>
      <c r="E165" t="s">
        <v>83</v>
      </c>
      <c r="F165" s="75" t="s">
        <v>381</v>
      </c>
    </row>
    <row r="166" spans="1:6" x14ac:dyDescent="0.25">
      <c r="A166">
        <v>2018</v>
      </c>
      <c r="B166" t="s">
        <v>7</v>
      </c>
      <c r="C166" t="s">
        <v>9</v>
      </c>
      <c r="D166" t="s">
        <v>84</v>
      </c>
      <c r="E166" t="s">
        <v>83</v>
      </c>
      <c r="F166" s="75" t="s">
        <v>382</v>
      </c>
    </row>
    <row r="167" spans="1:6" x14ac:dyDescent="0.25">
      <c r="A167">
        <v>2018</v>
      </c>
      <c r="B167" t="s">
        <v>4</v>
      </c>
      <c r="C167" t="s">
        <v>10</v>
      </c>
      <c r="D167" t="s">
        <v>84</v>
      </c>
      <c r="E167" t="s">
        <v>83</v>
      </c>
      <c r="F167" s="75" t="s">
        <v>383</v>
      </c>
    </row>
    <row r="168" spans="1:6" x14ac:dyDescent="0.25">
      <c r="A168">
        <v>2018</v>
      </c>
      <c r="B168" t="s">
        <v>6</v>
      </c>
      <c r="C168" t="s">
        <v>10</v>
      </c>
      <c r="D168" t="s">
        <v>84</v>
      </c>
      <c r="E168" t="s">
        <v>83</v>
      </c>
      <c r="F168" s="75" t="s">
        <v>384</v>
      </c>
    </row>
    <row r="169" spans="1:6" x14ac:dyDescent="0.25">
      <c r="A169">
        <v>2018</v>
      </c>
      <c r="B169" t="s">
        <v>7</v>
      </c>
      <c r="C169" t="s">
        <v>10</v>
      </c>
      <c r="D169" t="s">
        <v>84</v>
      </c>
      <c r="E169" t="s">
        <v>83</v>
      </c>
      <c r="F169" s="75" t="s">
        <v>385</v>
      </c>
    </row>
    <row r="170" spans="1:6" x14ac:dyDescent="0.25">
      <c r="A170">
        <v>2017</v>
      </c>
      <c r="B170" t="s">
        <v>4</v>
      </c>
      <c r="C170" t="s">
        <v>501</v>
      </c>
      <c r="D170" t="s">
        <v>84</v>
      </c>
      <c r="E170" t="s">
        <v>83</v>
      </c>
      <c r="F170" s="75" t="s">
        <v>386</v>
      </c>
    </row>
    <row r="171" spans="1:6" x14ac:dyDescent="0.25">
      <c r="A171">
        <v>2017</v>
      </c>
      <c r="B171" t="s">
        <v>6</v>
      </c>
      <c r="C171" t="s">
        <v>501</v>
      </c>
      <c r="D171" t="s">
        <v>84</v>
      </c>
      <c r="E171" t="s">
        <v>83</v>
      </c>
      <c r="F171" s="75" t="s">
        <v>387</v>
      </c>
    </row>
    <row r="172" spans="1:6" x14ac:dyDescent="0.25">
      <c r="A172">
        <v>2017</v>
      </c>
      <c r="B172" t="s">
        <v>7</v>
      </c>
      <c r="C172" t="s">
        <v>501</v>
      </c>
      <c r="D172" t="s">
        <v>84</v>
      </c>
      <c r="E172" t="s">
        <v>83</v>
      </c>
      <c r="F172" s="75" t="s">
        <v>388</v>
      </c>
    </row>
    <row r="173" spans="1:6" x14ac:dyDescent="0.25">
      <c r="A173">
        <v>2017</v>
      </c>
      <c r="B173" t="s">
        <v>4</v>
      </c>
      <c r="C173" t="s">
        <v>8</v>
      </c>
      <c r="D173" t="s">
        <v>84</v>
      </c>
      <c r="E173" t="s">
        <v>83</v>
      </c>
      <c r="F173" s="75" t="s">
        <v>389</v>
      </c>
    </row>
    <row r="174" spans="1:6" x14ac:dyDescent="0.25">
      <c r="A174">
        <v>2017</v>
      </c>
      <c r="B174" t="s">
        <v>6</v>
      </c>
      <c r="C174" t="s">
        <v>8</v>
      </c>
      <c r="D174" t="s">
        <v>84</v>
      </c>
      <c r="E174" t="s">
        <v>83</v>
      </c>
      <c r="F174" s="75" t="s">
        <v>390</v>
      </c>
    </row>
    <row r="175" spans="1:6" x14ac:dyDescent="0.25">
      <c r="A175">
        <v>2017</v>
      </c>
      <c r="B175" t="s">
        <v>7</v>
      </c>
      <c r="C175" t="s">
        <v>8</v>
      </c>
      <c r="D175" t="s">
        <v>84</v>
      </c>
      <c r="E175" t="s">
        <v>83</v>
      </c>
      <c r="F175" s="75" t="s">
        <v>391</v>
      </c>
    </row>
    <row r="176" spans="1:6" x14ac:dyDescent="0.25">
      <c r="A176">
        <v>2017</v>
      </c>
      <c r="B176" t="s">
        <v>4</v>
      </c>
      <c r="C176" t="s">
        <v>9</v>
      </c>
      <c r="D176" t="s">
        <v>84</v>
      </c>
      <c r="E176" t="s">
        <v>83</v>
      </c>
      <c r="F176" s="75" t="s">
        <v>392</v>
      </c>
    </row>
    <row r="177" spans="1:6" x14ac:dyDescent="0.25">
      <c r="A177">
        <v>2017</v>
      </c>
      <c r="B177" t="s">
        <v>6</v>
      </c>
      <c r="C177" t="s">
        <v>9</v>
      </c>
      <c r="D177" t="s">
        <v>84</v>
      </c>
      <c r="E177" t="s">
        <v>83</v>
      </c>
      <c r="F177" s="75" t="s">
        <v>393</v>
      </c>
    </row>
    <row r="178" spans="1:6" x14ac:dyDescent="0.25">
      <c r="A178">
        <v>2017</v>
      </c>
      <c r="B178" t="s">
        <v>7</v>
      </c>
      <c r="C178" t="s">
        <v>9</v>
      </c>
      <c r="D178" t="s">
        <v>84</v>
      </c>
      <c r="E178" t="s">
        <v>83</v>
      </c>
      <c r="F178" s="75" t="s">
        <v>394</v>
      </c>
    </row>
    <row r="179" spans="1:6" x14ac:dyDescent="0.25">
      <c r="A179">
        <v>2017</v>
      </c>
      <c r="B179" t="s">
        <v>4</v>
      </c>
      <c r="C179" t="s">
        <v>10</v>
      </c>
      <c r="D179" t="s">
        <v>84</v>
      </c>
      <c r="E179" t="s">
        <v>83</v>
      </c>
      <c r="F179" s="75" t="s">
        <v>395</v>
      </c>
    </row>
    <row r="180" spans="1:6" x14ac:dyDescent="0.25">
      <c r="A180">
        <v>2017</v>
      </c>
      <c r="B180" t="s">
        <v>6</v>
      </c>
      <c r="C180" t="s">
        <v>10</v>
      </c>
      <c r="D180" t="s">
        <v>84</v>
      </c>
      <c r="E180" t="s">
        <v>83</v>
      </c>
      <c r="F180" s="75" t="s">
        <v>396</v>
      </c>
    </row>
    <row r="181" spans="1:6" x14ac:dyDescent="0.25">
      <c r="A181">
        <v>2017</v>
      </c>
      <c r="B181" t="s">
        <v>7</v>
      </c>
      <c r="C181" t="s">
        <v>10</v>
      </c>
      <c r="D181" t="s">
        <v>84</v>
      </c>
      <c r="E181" t="s">
        <v>83</v>
      </c>
      <c r="F181" s="75" t="s">
        <v>397</v>
      </c>
    </row>
    <row r="182" spans="1:6" x14ac:dyDescent="0.25">
      <c r="A182">
        <v>2016</v>
      </c>
      <c r="B182" t="s">
        <v>4</v>
      </c>
      <c r="C182" t="s">
        <v>501</v>
      </c>
      <c r="D182" t="s">
        <v>84</v>
      </c>
      <c r="E182" t="s">
        <v>83</v>
      </c>
      <c r="F182" s="75" t="s">
        <v>398</v>
      </c>
    </row>
    <row r="183" spans="1:6" x14ac:dyDescent="0.25">
      <c r="A183">
        <v>2016</v>
      </c>
      <c r="B183" t="s">
        <v>6</v>
      </c>
      <c r="C183" t="s">
        <v>501</v>
      </c>
      <c r="D183" t="s">
        <v>84</v>
      </c>
      <c r="E183" t="s">
        <v>83</v>
      </c>
      <c r="F183" s="75" t="s">
        <v>399</v>
      </c>
    </row>
    <row r="184" spans="1:6" x14ac:dyDescent="0.25">
      <c r="A184">
        <v>2016</v>
      </c>
      <c r="B184" t="s">
        <v>7</v>
      </c>
      <c r="C184" t="s">
        <v>501</v>
      </c>
      <c r="D184" t="s">
        <v>84</v>
      </c>
      <c r="E184" t="s">
        <v>83</v>
      </c>
      <c r="F184" s="75" t="s">
        <v>400</v>
      </c>
    </row>
    <row r="185" spans="1:6" x14ac:dyDescent="0.25">
      <c r="A185">
        <v>2016</v>
      </c>
      <c r="B185" t="s">
        <v>4</v>
      </c>
      <c r="C185" t="s">
        <v>8</v>
      </c>
      <c r="D185" t="s">
        <v>84</v>
      </c>
      <c r="E185" t="s">
        <v>83</v>
      </c>
      <c r="F185" s="75" t="s">
        <v>401</v>
      </c>
    </row>
    <row r="186" spans="1:6" x14ac:dyDescent="0.25">
      <c r="A186">
        <v>2016</v>
      </c>
      <c r="B186" t="s">
        <v>6</v>
      </c>
      <c r="C186" t="s">
        <v>8</v>
      </c>
      <c r="D186" t="s">
        <v>84</v>
      </c>
      <c r="E186" t="s">
        <v>83</v>
      </c>
      <c r="F186" s="75" t="s">
        <v>402</v>
      </c>
    </row>
    <row r="187" spans="1:6" x14ac:dyDescent="0.25">
      <c r="A187">
        <v>2016</v>
      </c>
      <c r="B187" t="s">
        <v>7</v>
      </c>
      <c r="C187" t="s">
        <v>8</v>
      </c>
      <c r="D187" t="s">
        <v>84</v>
      </c>
      <c r="E187" t="s">
        <v>83</v>
      </c>
      <c r="F187" s="75" t="s">
        <v>403</v>
      </c>
    </row>
    <row r="188" spans="1:6" x14ac:dyDescent="0.25">
      <c r="A188">
        <v>2016</v>
      </c>
      <c r="B188" t="s">
        <v>4</v>
      </c>
      <c r="C188" t="s">
        <v>9</v>
      </c>
      <c r="D188" t="s">
        <v>84</v>
      </c>
      <c r="E188" t="s">
        <v>83</v>
      </c>
      <c r="F188" s="75" t="s">
        <v>404</v>
      </c>
    </row>
    <row r="189" spans="1:6" x14ac:dyDescent="0.25">
      <c r="A189">
        <v>2016</v>
      </c>
      <c r="B189" t="s">
        <v>6</v>
      </c>
      <c r="C189" t="s">
        <v>9</v>
      </c>
      <c r="D189" t="s">
        <v>84</v>
      </c>
      <c r="E189" t="s">
        <v>83</v>
      </c>
      <c r="F189" s="75" t="s">
        <v>405</v>
      </c>
    </row>
    <row r="190" spans="1:6" x14ac:dyDescent="0.25">
      <c r="A190">
        <v>2016</v>
      </c>
      <c r="B190" t="s">
        <v>7</v>
      </c>
      <c r="C190" t="s">
        <v>9</v>
      </c>
      <c r="D190" t="s">
        <v>84</v>
      </c>
      <c r="E190" t="s">
        <v>83</v>
      </c>
      <c r="F190" s="75" t="s">
        <v>406</v>
      </c>
    </row>
    <row r="191" spans="1:6" x14ac:dyDescent="0.25">
      <c r="A191">
        <v>2016</v>
      </c>
      <c r="B191" t="s">
        <v>4</v>
      </c>
      <c r="C191" t="s">
        <v>10</v>
      </c>
      <c r="D191" t="s">
        <v>84</v>
      </c>
      <c r="E191" t="s">
        <v>83</v>
      </c>
      <c r="F191" s="75" t="s">
        <v>407</v>
      </c>
    </row>
    <row r="192" spans="1:6" x14ac:dyDescent="0.25">
      <c r="A192">
        <v>2016</v>
      </c>
      <c r="B192" t="s">
        <v>6</v>
      </c>
      <c r="C192" t="s">
        <v>10</v>
      </c>
      <c r="D192" t="s">
        <v>84</v>
      </c>
      <c r="E192" t="s">
        <v>83</v>
      </c>
      <c r="F192" s="75" t="s">
        <v>408</v>
      </c>
    </row>
    <row r="193" spans="1:6" x14ac:dyDescent="0.25">
      <c r="A193">
        <v>2016</v>
      </c>
      <c r="B193" t="s">
        <v>7</v>
      </c>
      <c r="C193" t="s">
        <v>10</v>
      </c>
      <c r="D193" t="s">
        <v>84</v>
      </c>
      <c r="E193" t="s">
        <v>83</v>
      </c>
      <c r="F193" s="75" t="s">
        <v>409</v>
      </c>
    </row>
    <row r="194" spans="1:6" x14ac:dyDescent="0.25">
      <c r="A194">
        <v>2015</v>
      </c>
      <c r="B194" t="s">
        <v>4</v>
      </c>
      <c r="C194" t="s">
        <v>501</v>
      </c>
      <c r="D194" t="s">
        <v>84</v>
      </c>
      <c r="E194" t="s">
        <v>83</v>
      </c>
      <c r="F194" s="75" t="s">
        <v>410</v>
      </c>
    </row>
    <row r="195" spans="1:6" x14ac:dyDescent="0.25">
      <c r="A195">
        <v>2015</v>
      </c>
      <c r="B195" t="s">
        <v>6</v>
      </c>
      <c r="C195" t="s">
        <v>501</v>
      </c>
      <c r="D195" t="s">
        <v>84</v>
      </c>
      <c r="E195" t="s">
        <v>83</v>
      </c>
      <c r="F195" s="75" t="s">
        <v>411</v>
      </c>
    </row>
    <row r="196" spans="1:6" x14ac:dyDescent="0.25">
      <c r="A196">
        <v>2015</v>
      </c>
      <c r="B196" t="s">
        <v>7</v>
      </c>
      <c r="C196" t="s">
        <v>501</v>
      </c>
      <c r="D196" t="s">
        <v>84</v>
      </c>
      <c r="E196" t="s">
        <v>83</v>
      </c>
      <c r="F196" s="75" t="s">
        <v>412</v>
      </c>
    </row>
    <row r="197" spans="1:6" x14ac:dyDescent="0.25">
      <c r="A197">
        <v>2015</v>
      </c>
      <c r="B197" t="s">
        <v>4</v>
      </c>
      <c r="C197" t="s">
        <v>8</v>
      </c>
      <c r="D197" t="s">
        <v>84</v>
      </c>
      <c r="E197" t="s">
        <v>83</v>
      </c>
      <c r="F197" s="75" t="s">
        <v>413</v>
      </c>
    </row>
    <row r="198" spans="1:6" x14ac:dyDescent="0.25">
      <c r="A198">
        <v>2015</v>
      </c>
      <c r="B198" t="s">
        <v>6</v>
      </c>
      <c r="C198" t="s">
        <v>8</v>
      </c>
      <c r="D198" t="s">
        <v>84</v>
      </c>
      <c r="E198" t="s">
        <v>83</v>
      </c>
      <c r="F198" s="75" t="s">
        <v>414</v>
      </c>
    </row>
    <row r="199" spans="1:6" x14ac:dyDescent="0.25">
      <c r="A199">
        <v>2015</v>
      </c>
      <c r="B199" t="s">
        <v>7</v>
      </c>
      <c r="C199" t="s">
        <v>8</v>
      </c>
      <c r="D199" t="s">
        <v>84</v>
      </c>
      <c r="E199" t="s">
        <v>83</v>
      </c>
      <c r="F199" s="75" t="s">
        <v>415</v>
      </c>
    </row>
    <row r="200" spans="1:6" x14ac:dyDescent="0.25">
      <c r="A200">
        <v>2015</v>
      </c>
      <c r="B200" t="s">
        <v>4</v>
      </c>
      <c r="C200" t="s">
        <v>9</v>
      </c>
      <c r="D200" t="s">
        <v>84</v>
      </c>
      <c r="E200" t="s">
        <v>83</v>
      </c>
      <c r="F200" s="75" t="s">
        <v>416</v>
      </c>
    </row>
    <row r="201" spans="1:6" x14ac:dyDescent="0.25">
      <c r="A201">
        <v>2015</v>
      </c>
      <c r="B201" t="s">
        <v>6</v>
      </c>
      <c r="C201" t="s">
        <v>9</v>
      </c>
      <c r="D201" t="s">
        <v>84</v>
      </c>
      <c r="E201" t="s">
        <v>83</v>
      </c>
      <c r="F201" s="75" t="s">
        <v>417</v>
      </c>
    </row>
    <row r="202" spans="1:6" x14ac:dyDescent="0.25">
      <c r="A202">
        <v>2015</v>
      </c>
      <c r="B202" t="s">
        <v>7</v>
      </c>
      <c r="C202" t="s">
        <v>9</v>
      </c>
      <c r="D202" t="s">
        <v>84</v>
      </c>
      <c r="E202" t="s">
        <v>83</v>
      </c>
      <c r="F202" s="75" t="s">
        <v>418</v>
      </c>
    </row>
    <row r="203" spans="1:6" x14ac:dyDescent="0.25">
      <c r="A203">
        <v>2015</v>
      </c>
      <c r="B203" t="s">
        <v>4</v>
      </c>
      <c r="C203" t="s">
        <v>10</v>
      </c>
      <c r="D203" t="s">
        <v>84</v>
      </c>
      <c r="E203" t="s">
        <v>83</v>
      </c>
      <c r="F203" s="75" t="s">
        <v>419</v>
      </c>
    </row>
    <row r="204" spans="1:6" x14ac:dyDescent="0.25">
      <c r="A204">
        <v>2015</v>
      </c>
      <c r="B204" t="s">
        <v>6</v>
      </c>
      <c r="C204" t="s">
        <v>10</v>
      </c>
      <c r="D204" t="s">
        <v>84</v>
      </c>
      <c r="E204" t="s">
        <v>83</v>
      </c>
      <c r="F204" s="75" t="s">
        <v>420</v>
      </c>
    </row>
    <row r="205" spans="1:6" x14ac:dyDescent="0.25">
      <c r="A205">
        <v>2015</v>
      </c>
      <c r="B205" t="s">
        <v>7</v>
      </c>
      <c r="C205" t="s">
        <v>10</v>
      </c>
      <c r="D205" t="s">
        <v>84</v>
      </c>
      <c r="E205" t="s">
        <v>83</v>
      </c>
      <c r="F205" s="75" t="s">
        <v>421</v>
      </c>
    </row>
    <row r="206" spans="1:6" x14ac:dyDescent="0.25">
      <c r="A206">
        <v>2014</v>
      </c>
      <c r="B206" t="s">
        <v>4</v>
      </c>
      <c r="C206" t="s">
        <v>501</v>
      </c>
      <c r="D206" t="s">
        <v>84</v>
      </c>
      <c r="E206" t="s">
        <v>83</v>
      </c>
      <c r="F206" s="75" t="s">
        <v>422</v>
      </c>
    </row>
    <row r="207" spans="1:6" x14ac:dyDescent="0.25">
      <c r="A207">
        <v>2014</v>
      </c>
      <c r="B207" t="s">
        <v>6</v>
      </c>
      <c r="C207" t="s">
        <v>501</v>
      </c>
      <c r="D207" t="s">
        <v>84</v>
      </c>
      <c r="E207" t="s">
        <v>83</v>
      </c>
      <c r="F207" s="75" t="s">
        <v>423</v>
      </c>
    </row>
    <row r="208" spans="1:6" x14ac:dyDescent="0.25">
      <c r="A208">
        <v>2014</v>
      </c>
      <c r="B208" t="s">
        <v>7</v>
      </c>
      <c r="C208" t="s">
        <v>501</v>
      </c>
      <c r="D208" t="s">
        <v>84</v>
      </c>
      <c r="E208" t="s">
        <v>83</v>
      </c>
      <c r="F208" s="75" t="s">
        <v>424</v>
      </c>
    </row>
    <row r="209" spans="1:6" x14ac:dyDescent="0.25">
      <c r="A209">
        <v>2014</v>
      </c>
      <c r="B209" t="s">
        <v>4</v>
      </c>
      <c r="C209" t="s">
        <v>8</v>
      </c>
      <c r="D209" t="s">
        <v>84</v>
      </c>
      <c r="E209" t="s">
        <v>83</v>
      </c>
      <c r="F209" s="75" t="s">
        <v>425</v>
      </c>
    </row>
    <row r="210" spans="1:6" x14ac:dyDescent="0.25">
      <c r="A210">
        <v>2014</v>
      </c>
      <c r="B210" t="s">
        <v>6</v>
      </c>
      <c r="C210" t="s">
        <v>8</v>
      </c>
      <c r="D210" t="s">
        <v>84</v>
      </c>
      <c r="E210" t="s">
        <v>83</v>
      </c>
      <c r="F210" s="75" t="s">
        <v>426</v>
      </c>
    </row>
    <row r="211" spans="1:6" x14ac:dyDescent="0.25">
      <c r="A211">
        <v>2014</v>
      </c>
      <c r="B211" t="s">
        <v>7</v>
      </c>
      <c r="C211" t="s">
        <v>8</v>
      </c>
      <c r="D211" t="s">
        <v>84</v>
      </c>
      <c r="E211" t="s">
        <v>83</v>
      </c>
      <c r="F211" s="75" t="s">
        <v>427</v>
      </c>
    </row>
    <row r="212" spans="1:6" x14ac:dyDescent="0.25">
      <c r="A212">
        <v>2014</v>
      </c>
      <c r="B212" t="s">
        <v>4</v>
      </c>
      <c r="C212" t="s">
        <v>9</v>
      </c>
      <c r="D212" t="s">
        <v>84</v>
      </c>
      <c r="E212" t="s">
        <v>83</v>
      </c>
      <c r="F212" s="75" t="s">
        <v>428</v>
      </c>
    </row>
    <row r="213" spans="1:6" x14ac:dyDescent="0.25">
      <c r="A213">
        <v>2014</v>
      </c>
      <c r="B213" t="s">
        <v>6</v>
      </c>
      <c r="C213" t="s">
        <v>9</v>
      </c>
      <c r="D213" t="s">
        <v>84</v>
      </c>
      <c r="E213" t="s">
        <v>83</v>
      </c>
      <c r="F213" s="75" t="s">
        <v>429</v>
      </c>
    </row>
    <row r="214" spans="1:6" x14ac:dyDescent="0.25">
      <c r="A214">
        <v>2014</v>
      </c>
      <c r="B214" t="s">
        <v>7</v>
      </c>
      <c r="C214" t="s">
        <v>9</v>
      </c>
      <c r="D214" t="s">
        <v>84</v>
      </c>
      <c r="E214" t="s">
        <v>83</v>
      </c>
      <c r="F214" s="75" t="s">
        <v>430</v>
      </c>
    </row>
    <row r="215" spans="1:6" x14ac:dyDescent="0.25">
      <c r="A215">
        <v>2014</v>
      </c>
      <c r="B215" t="s">
        <v>4</v>
      </c>
      <c r="C215" t="s">
        <v>10</v>
      </c>
      <c r="D215" t="s">
        <v>84</v>
      </c>
      <c r="E215" t="s">
        <v>83</v>
      </c>
      <c r="F215" s="75" t="s">
        <v>431</v>
      </c>
    </row>
    <row r="216" spans="1:6" x14ac:dyDescent="0.25">
      <c r="A216">
        <v>2014</v>
      </c>
      <c r="B216" t="s">
        <v>6</v>
      </c>
      <c r="C216" t="s">
        <v>10</v>
      </c>
      <c r="D216" t="s">
        <v>84</v>
      </c>
      <c r="E216" t="s">
        <v>83</v>
      </c>
      <c r="F216" s="75" t="s">
        <v>432</v>
      </c>
    </row>
    <row r="217" spans="1:6" x14ac:dyDescent="0.25">
      <c r="A217">
        <v>2014</v>
      </c>
      <c r="B217" t="s">
        <v>7</v>
      </c>
      <c r="C217" t="s">
        <v>10</v>
      </c>
      <c r="D217" t="s">
        <v>84</v>
      </c>
      <c r="E217" t="s">
        <v>83</v>
      </c>
      <c r="F217" s="75" t="s">
        <v>433</v>
      </c>
    </row>
    <row r="218" spans="1:6" x14ac:dyDescent="0.25">
      <c r="A218">
        <v>2013</v>
      </c>
      <c r="B218" t="s">
        <v>4</v>
      </c>
      <c r="C218" t="s">
        <v>501</v>
      </c>
      <c r="D218" t="s">
        <v>84</v>
      </c>
      <c r="E218" t="s">
        <v>83</v>
      </c>
      <c r="F218" s="75" t="s">
        <v>502</v>
      </c>
    </row>
    <row r="219" spans="1:6" x14ac:dyDescent="0.25">
      <c r="A219">
        <v>2013</v>
      </c>
      <c r="B219" t="s">
        <v>6</v>
      </c>
      <c r="C219" t="s">
        <v>501</v>
      </c>
      <c r="D219" t="s">
        <v>84</v>
      </c>
      <c r="E219" t="s">
        <v>83</v>
      </c>
      <c r="F219" s="75" t="s">
        <v>503</v>
      </c>
    </row>
    <row r="220" spans="1:6" x14ac:dyDescent="0.25">
      <c r="A220">
        <v>2013</v>
      </c>
      <c r="B220" t="s">
        <v>7</v>
      </c>
      <c r="C220" t="s">
        <v>501</v>
      </c>
      <c r="D220" t="s">
        <v>84</v>
      </c>
      <c r="E220" t="s">
        <v>83</v>
      </c>
      <c r="F220" s="75" t="s">
        <v>504</v>
      </c>
    </row>
    <row r="221" spans="1:6" x14ac:dyDescent="0.25">
      <c r="A221">
        <v>2013</v>
      </c>
      <c r="B221" t="s">
        <v>4</v>
      </c>
      <c r="C221" t="s">
        <v>8</v>
      </c>
      <c r="D221" t="s">
        <v>84</v>
      </c>
      <c r="E221" t="s">
        <v>83</v>
      </c>
      <c r="F221" s="75" t="s">
        <v>505</v>
      </c>
    </row>
    <row r="222" spans="1:6" x14ac:dyDescent="0.25">
      <c r="A222">
        <v>2013</v>
      </c>
      <c r="B222" t="s">
        <v>6</v>
      </c>
      <c r="C222" t="s">
        <v>8</v>
      </c>
      <c r="D222" t="s">
        <v>84</v>
      </c>
      <c r="E222" t="s">
        <v>83</v>
      </c>
      <c r="F222" s="75" t="s">
        <v>506</v>
      </c>
    </row>
    <row r="223" spans="1:6" x14ac:dyDescent="0.25">
      <c r="A223">
        <v>2013</v>
      </c>
      <c r="B223" t="s">
        <v>7</v>
      </c>
      <c r="C223" t="s">
        <v>8</v>
      </c>
      <c r="D223" t="s">
        <v>84</v>
      </c>
      <c r="E223" t="s">
        <v>83</v>
      </c>
      <c r="F223" s="75" t="s">
        <v>507</v>
      </c>
    </row>
    <row r="224" spans="1:6" x14ac:dyDescent="0.25">
      <c r="A224">
        <v>2013</v>
      </c>
      <c r="B224" t="s">
        <v>4</v>
      </c>
      <c r="C224" t="s">
        <v>9</v>
      </c>
      <c r="D224" t="s">
        <v>84</v>
      </c>
      <c r="E224" t="s">
        <v>83</v>
      </c>
      <c r="F224" s="75" t="s">
        <v>508</v>
      </c>
    </row>
    <row r="225" spans="1:6" x14ac:dyDescent="0.25">
      <c r="A225">
        <v>2013</v>
      </c>
      <c r="B225" t="s">
        <v>6</v>
      </c>
      <c r="C225" t="s">
        <v>9</v>
      </c>
      <c r="D225" t="s">
        <v>84</v>
      </c>
      <c r="E225" t="s">
        <v>83</v>
      </c>
      <c r="F225" s="75" t="s">
        <v>509</v>
      </c>
    </row>
    <row r="226" spans="1:6" x14ac:dyDescent="0.25">
      <c r="A226">
        <v>2013</v>
      </c>
      <c r="B226" t="s">
        <v>7</v>
      </c>
      <c r="C226" t="s">
        <v>9</v>
      </c>
      <c r="D226" t="s">
        <v>84</v>
      </c>
      <c r="E226" t="s">
        <v>83</v>
      </c>
      <c r="F226" s="75" t="s">
        <v>510</v>
      </c>
    </row>
    <row r="227" spans="1:6" x14ac:dyDescent="0.25">
      <c r="A227">
        <v>2013</v>
      </c>
      <c r="B227" t="s">
        <v>4</v>
      </c>
      <c r="C227" t="s">
        <v>10</v>
      </c>
      <c r="D227" t="s">
        <v>84</v>
      </c>
      <c r="E227" t="s">
        <v>83</v>
      </c>
      <c r="F227" s="75" t="s">
        <v>511</v>
      </c>
    </row>
    <row r="228" spans="1:6" x14ac:dyDescent="0.25">
      <c r="A228">
        <v>2013</v>
      </c>
      <c r="B228" t="s">
        <v>6</v>
      </c>
      <c r="C228" t="s">
        <v>10</v>
      </c>
      <c r="D228" t="s">
        <v>84</v>
      </c>
      <c r="E228" t="s">
        <v>83</v>
      </c>
      <c r="F228" s="75" t="s">
        <v>512</v>
      </c>
    </row>
    <row r="229" spans="1:6" x14ac:dyDescent="0.25">
      <c r="A229">
        <v>2013</v>
      </c>
      <c r="B229" t="s">
        <v>7</v>
      </c>
      <c r="C229" t="s">
        <v>10</v>
      </c>
      <c r="D229" t="s">
        <v>84</v>
      </c>
      <c r="E229" t="s">
        <v>83</v>
      </c>
      <c r="F229" s="75" t="s">
        <v>513</v>
      </c>
    </row>
    <row r="230" spans="1:6" x14ac:dyDescent="0.25">
      <c r="A230">
        <v>2012</v>
      </c>
      <c r="B230" t="s">
        <v>4</v>
      </c>
      <c r="C230" t="s">
        <v>501</v>
      </c>
      <c r="D230" t="s">
        <v>84</v>
      </c>
      <c r="E230" t="s">
        <v>83</v>
      </c>
      <c r="F230" s="75" t="s">
        <v>434</v>
      </c>
    </row>
    <row r="231" spans="1:6" x14ac:dyDescent="0.25">
      <c r="A231">
        <v>2012</v>
      </c>
      <c r="B231" t="s">
        <v>6</v>
      </c>
      <c r="C231" t="s">
        <v>501</v>
      </c>
      <c r="D231" t="s">
        <v>84</v>
      </c>
      <c r="E231" t="s">
        <v>83</v>
      </c>
      <c r="F231" s="75" t="s">
        <v>435</v>
      </c>
    </row>
    <row r="232" spans="1:6" x14ac:dyDescent="0.25">
      <c r="A232">
        <v>2012</v>
      </c>
      <c r="B232" t="s">
        <v>7</v>
      </c>
      <c r="C232" t="s">
        <v>501</v>
      </c>
      <c r="D232" t="s">
        <v>84</v>
      </c>
      <c r="E232" t="s">
        <v>83</v>
      </c>
      <c r="F232" s="75" t="s">
        <v>436</v>
      </c>
    </row>
    <row r="233" spans="1:6" x14ac:dyDescent="0.25">
      <c r="A233">
        <v>2012</v>
      </c>
      <c r="B233" t="s">
        <v>4</v>
      </c>
      <c r="C233" t="s">
        <v>8</v>
      </c>
      <c r="D233" t="s">
        <v>84</v>
      </c>
      <c r="E233" t="s">
        <v>83</v>
      </c>
      <c r="F233" s="75" t="s">
        <v>437</v>
      </c>
    </row>
    <row r="234" spans="1:6" x14ac:dyDescent="0.25">
      <c r="A234">
        <v>2012</v>
      </c>
      <c r="B234" t="s">
        <v>6</v>
      </c>
      <c r="C234" t="s">
        <v>8</v>
      </c>
      <c r="D234" t="s">
        <v>84</v>
      </c>
      <c r="E234" t="s">
        <v>83</v>
      </c>
      <c r="F234" s="75" t="s">
        <v>438</v>
      </c>
    </row>
    <row r="235" spans="1:6" x14ac:dyDescent="0.25">
      <c r="A235">
        <v>2012</v>
      </c>
      <c r="B235" t="s">
        <v>7</v>
      </c>
      <c r="C235" t="s">
        <v>8</v>
      </c>
      <c r="D235" t="s">
        <v>84</v>
      </c>
      <c r="E235" t="s">
        <v>83</v>
      </c>
      <c r="F235" s="75" t="s">
        <v>439</v>
      </c>
    </row>
    <row r="236" spans="1:6" x14ac:dyDescent="0.25">
      <c r="A236">
        <v>2012</v>
      </c>
      <c r="B236" t="s">
        <v>4</v>
      </c>
      <c r="C236" t="s">
        <v>9</v>
      </c>
      <c r="D236" t="s">
        <v>84</v>
      </c>
      <c r="E236" t="s">
        <v>83</v>
      </c>
      <c r="F236" s="75" t="s">
        <v>440</v>
      </c>
    </row>
    <row r="237" spans="1:6" x14ac:dyDescent="0.25">
      <c r="A237">
        <v>2012</v>
      </c>
      <c r="B237" t="s">
        <v>6</v>
      </c>
      <c r="C237" t="s">
        <v>9</v>
      </c>
      <c r="D237" t="s">
        <v>84</v>
      </c>
      <c r="E237" t="s">
        <v>83</v>
      </c>
      <c r="F237" s="75" t="s">
        <v>441</v>
      </c>
    </row>
    <row r="238" spans="1:6" x14ac:dyDescent="0.25">
      <c r="A238">
        <v>2012</v>
      </c>
      <c r="B238" t="s">
        <v>7</v>
      </c>
      <c r="C238" t="s">
        <v>9</v>
      </c>
      <c r="D238" t="s">
        <v>84</v>
      </c>
      <c r="E238" t="s">
        <v>83</v>
      </c>
      <c r="F238" s="75" t="s">
        <v>442</v>
      </c>
    </row>
    <row r="239" spans="1:6" x14ac:dyDescent="0.25">
      <c r="A239">
        <v>2012</v>
      </c>
      <c r="B239" t="s">
        <v>4</v>
      </c>
      <c r="C239" t="s">
        <v>10</v>
      </c>
      <c r="D239" t="s">
        <v>84</v>
      </c>
      <c r="E239" t="s">
        <v>83</v>
      </c>
      <c r="F239" s="75" t="s">
        <v>443</v>
      </c>
    </row>
    <row r="240" spans="1:6" x14ac:dyDescent="0.25">
      <c r="A240">
        <v>2012</v>
      </c>
      <c r="B240" t="s">
        <v>6</v>
      </c>
      <c r="C240" t="s">
        <v>10</v>
      </c>
      <c r="D240" t="s">
        <v>84</v>
      </c>
      <c r="E240" t="s">
        <v>83</v>
      </c>
      <c r="F240" s="75" t="s">
        <v>444</v>
      </c>
    </row>
    <row r="241" spans="1:6" x14ac:dyDescent="0.25">
      <c r="A241">
        <v>2012</v>
      </c>
      <c r="B241" t="s">
        <v>7</v>
      </c>
      <c r="C241" t="s">
        <v>10</v>
      </c>
      <c r="D241" t="s">
        <v>84</v>
      </c>
      <c r="E241" t="s">
        <v>83</v>
      </c>
      <c r="F241" s="75" t="s">
        <v>445</v>
      </c>
    </row>
    <row r="242" spans="1:6" x14ac:dyDescent="0.25">
      <c r="A242">
        <v>2011</v>
      </c>
      <c r="B242" t="s">
        <v>4</v>
      </c>
      <c r="C242" t="s">
        <v>501</v>
      </c>
      <c r="D242" t="s">
        <v>84</v>
      </c>
      <c r="E242" t="s">
        <v>83</v>
      </c>
      <c r="F242" s="75" t="s">
        <v>446</v>
      </c>
    </row>
    <row r="243" spans="1:6" x14ac:dyDescent="0.25">
      <c r="A243">
        <v>2011</v>
      </c>
      <c r="B243" t="s">
        <v>6</v>
      </c>
      <c r="C243" t="s">
        <v>501</v>
      </c>
      <c r="D243" t="s">
        <v>84</v>
      </c>
      <c r="E243" t="s">
        <v>83</v>
      </c>
      <c r="F243" s="75" t="s">
        <v>447</v>
      </c>
    </row>
    <row r="244" spans="1:6" x14ac:dyDescent="0.25">
      <c r="A244">
        <v>2011</v>
      </c>
      <c r="B244" t="s">
        <v>7</v>
      </c>
      <c r="C244" t="s">
        <v>501</v>
      </c>
      <c r="D244" t="s">
        <v>84</v>
      </c>
      <c r="E244" t="s">
        <v>83</v>
      </c>
      <c r="F244" s="75" t="s">
        <v>448</v>
      </c>
    </row>
    <row r="245" spans="1:6" x14ac:dyDescent="0.25">
      <c r="A245">
        <v>2011</v>
      </c>
      <c r="B245" t="s">
        <v>4</v>
      </c>
      <c r="C245" t="s">
        <v>8</v>
      </c>
      <c r="D245" t="s">
        <v>84</v>
      </c>
      <c r="E245" t="s">
        <v>83</v>
      </c>
      <c r="F245" s="75" t="s">
        <v>449</v>
      </c>
    </row>
    <row r="246" spans="1:6" x14ac:dyDescent="0.25">
      <c r="A246">
        <v>2011</v>
      </c>
      <c r="B246" t="s">
        <v>6</v>
      </c>
      <c r="C246" t="s">
        <v>8</v>
      </c>
      <c r="D246" t="s">
        <v>84</v>
      </c>
      <c r="E246" t="s">
        <v>83</v>
      </c>
      <c r="F246" s="75" t="s">
        <v>450</v>
      </c>
    </row>
    <row r="247" spans="1:6" x14ac:dyDescent="0.25">
      <c r="A247">
        <v>2011</v>
      </c>
      <c r="B247" t="s">
        <v>7</v>
      </c>
      <c r="C247" t="s">
        <v>8</v>
      </c>
      <c r="D247" t="s">
        <v>84</v>
      </c>
      <c r="E247" t="s">
        <v>83</v>
      </c>
      <c r="F247" s="75" t="s">
        <v>451</v>
      </c>
    </row>
    <row r="248" spans="1:6" x14ac:dyDescent="0.25">
      <c r="A248">
        <v>2011</v>
      </c>
      <c r="B248" t="s">
        <v>4</v>
      </c>
      <c r="C248" t="s">
        <v>9</v>
      </c>
      <c r="D248" t="s">
        <v>84</v>
      </c>
      <c r="E248" t="s">
        <v>83</v>
      </c>
      <c r="F248" s="75" t="s">
        <v>452</v>
      </c>
    </row>
    <row r="249" spans="1:6" x14ac:dyDescent="0.25">
      <c r="A249">
        <v>2011</v>
      </c>
      <c r="B249" t="s">
        <v>6</v>
      </c>
      <c r="C249" t="s">
        <v>9</v>
      </c>
      <c r="D249" t="s">
        <v>84</v>
      </c>
      <c r="E249" t="s">
        <v>83</v>
      </c>
      <c r="F249" s="75" t="s">
        <v>453</v>
      </c>
    </row>
    <row r="250" spans="1:6" x14ac:dyDescent="0.25">
      <c r="A250">
        <v>2011</v>
      </c>
      <c r="B250" t="s">
        <v>7</v>
      </c>
      <c r="C250" t="s">
        <v>9</v>
      </c>
      <c r="D250" t="s">
        <v>84</v>
      </c>
      <c r="E250" t="s">
        <v>83</v>
      </c>
      <c r="F250" s="75" t="s">
        <v>454</v>
      </c>
    </row>
    <row r="251" spans="1:6" x14ac:dyDescent="0.25">
      <c r="A251">
        <v>2011</v>
      </c>
      <c r="B251" t="s">
        <v>4</v>
      </c>
      <c r="C251" t="s">
        <v>10</v>
      </c>
      <c r="D251" t="s">
        <v>84</v>
      </c>
      <c r="E251" t="s">
        <v>83</v>
      </c>
      <c r="F251" s="75" t="s">
        <v>455</v>
      </c>
    </row>
    <row r="252" spans="1:6" x14ac:dyDescent="0.25">
      <c r="A252">
        <v>2011</v>
      </c>
      <c r="B252" t="s">
        <v>6</v>
      </c>
      <c r="C252" t="s">
        <v>10</v>
      </c>
      <c r="D252" t="s">
        <v>84</v>
      </c>
      <c r="E252" t="s">
        <v>83</v>
      </c>
      <c r="F252" s="75" t="s">
        <v>456</v>
      </c>
    </row>
    <row r="253" spans="1:6" x14ac:dyDescent="0.25">
      <c r="A253">
        <v>2011</v>
      </c>
      <c r="B253" t="s">
        <v>7</v>
      </c>
      <c r="C253" t="s">
        <v>10</v>
      </c>
      <c r="D253" t="s">
        <v>84</v>
      </c>
      <c r="E253" t="s">
        <v>83</v>
      </c>
      <c r="F253" s="75" t="s">
        <v>457</v>
      </c>
    </row>
    <row r="254" spans="1:6" x14ac:dyDescent="0.25">
      <c r="A254">
        <v>2010</v>
      </c>
      <c r="B254" t="s">
        <v>4</v>
      </c>
      <c r="C254" t="s">
        <v>501</v>
      </c>
      <c r="D254" t="s">
        <v>84</v>
      </c>
      <c r="E254" t="s">
        <v>83</v>
      </c>
      <c r="F254" s="75" t="s">
        <v>326</v>
      </c>
    </row>
    <row r="255" spans="1:6" x14ac:dyDescent="0.25">
      <c r="A255">
        <v>2010</v>
      </c>
      <c r="B255" t="s">
        <v>6</v>
      </c>
      <c r="C255" t="s">
        <v>501</v>
      </c>
      <c r="D255" t="s">
        <v>84</v>
      </c>
      <c r="E255" t="s">
        <v>83</v>
      </c>
      <c r="F255" s="75" t="s">
        <v>327</v>
      </c>
    </row>
    <row r="256" spans="1:6" x14ac:dyDescent="0.25">
      <c r="A256">
        <v>2010</v>
      </c>
      <c r="B256" t="s">
        <v>7</v>
      </c>
      <c r="C256" t="s">
        <v>501</v>
      </c>
      <c r="D256" t="s">
        <v>84</v>
      </c>
      <c r="E256" t="s">
        <v>83</v>
      </c>
      <c r="F256" s="75" t="s">
        <v>328</v>
      </c>
    </row>
    <row r="257" spans="1:6" x14ac:dyDescent="0.25">
      <c r="A257">
        <v>2010</v>
      </c>
      <c r="B257" t="s">
        <v>4</v>
      </c>
      <c r="C257" t="s">
        <v>8</v>
      </c>
      <c r="D257" t="s">
        <v>84</v>
      </c>
      <c r="E257" t="s">
        <v>83</v>
      </c>
      <c r="F257" s="75" t="s">
        <v>329</v>
      </c>
    </row>
    <row r="258" spans="1:6" x14ac:dyDescent="0.25">
      <c r="A258">
        <v>2010</v>
      </c>
      <c r="B258" t="s">
        <v>6</v>
      </c>
      <c r="C258" t="s">
        <v>8</v>
      </c>
      <c r="D258" t="s">
        <v>84</v>
      </c>
      <c r="E258" t="s">
        <v>83</v>
      </c>
      <c r="F258" s="75" t="s">
        <v>330</v>
      </c>
    </row>
    <row r="259" spans="1:6" x14ac:dyDescent="0.25">
      <c r="A259">
        <v>2010</v>
      </c>
      <c r="B259" t="s">
        <v>7</v>
      </c>
      <c r="C259" t="s">
        <v>8</v>
      </c>
      <c r="D259" t="s">
        <v>84</v>
      </c>
      <c r="E259" t="s">
        <v>83</v>
      </c>
      <c r="F259" s="75" t="s">
        <v>331</v>
      </c>
    </row>
    <row r="260" spans="1:6" x14ac:dyDescent="0.25">
      <c r="A260">
        <v>2010</v>
      </c>
      <c r="B260" t="s">
        <v>4</v>
      </c>
      <c r="C260" t="s">
        <v>9</v>
      </c>
      <c r="D260" t="s">
        <v>84</v>
      </c>
      <c r="E260" t="s">
        <v>83</v>
      </c>
      <c r="F260" s="75" t="s">
        <v>332</v>
      </c>
    </row>
    <row r="261" spans="1:6" x14ac:dyDescent="0.25">
      <c r="A261">
        <v>2010</v>
      </c>
      <c r="B261" t="s">
        <v>6</v>
      </c>
      <c r="C261" t="s">
        <v>9</v>
      </c>
      <c r="D261" t="s">
        <v>84</v>
      </c>
      <c r="E261" t="s">
        <v>83</v>
      </c>
      <c r="F261" s="75" t="s">
        <v>333</v>
      </c>
    </row>
    <row r="262" spans="1:6" x14ac:dyDescent="0.25">
      <c r="A262">
        <v>2010</v>
      </c>
      <c r="B262" t="s">
        <v>7</v>
      </c>
      <c r="C262" t="s">
        <v>9</v>
      </c>
      <c r="D262" t="s">
        <v>84</v>
      </c>
      <c r="E262" t="s">
        <v>83</v>
      </c>
      <c r="F262" s="75" t="s">
        <v>334</v>
      </c>
    </row>
    <row r="263" spans="1:6" x14ac:dyDescent="0.25">
      <c r="A263">
        <v>2010</v>
      </c>
      <c r="B263" t="s">
        <v>4</v>
      </c>
      <c r="C263" t="s">
        <v>10</v>
      </c>
      <c r="D263" t="s">
        <v>84</v>
      </c>
      <c r="E263" t="s">
        <v>83</v>
      </c>
      <c r="F263" s="75" t="s">
        <v>335</v>
      </c>
    </row>
    <row r="264" spans="1:6" x14ac:dyDescent="0.25">
      <c r="A264">
        <v>2010</v>
      </c>
      <c r="B264" t="s">
        <v>6</v>
      </c>
      <c r="C264" t="s">
        <v>10</v>
      </c>
      <c r="D264" t="s">
        <v>84</v>
      </c>
      <c r="E264" t="s">
        <v>83</v>
      </c>
      <c r="F264" s="75" t="s">
        <v>336</v>
      </c>
    </row>
    <row r="265" spans="1:6" x14ac:dyDescent="0.25">
      <c r="A265">
        <v>2010</v>
      </c>
      <c r="B265" t="s">
        <v>7</v>
      </c>
      <c r="C265" t="s">
        <v>10</v>
      </c>
      <c r="D265" t="s">
        <v>84</v>
      </c>
      <c r="E265" t="s">
        <v>83</v>
      </c>
      <c r="F265" s="75" t="s">
        <v>337</v>
      </c>
    </row>
    <row r="266" spans="1:6" x14ac:dyDescent="0.25">
      <c r="A266">
        <v>2006</v>
      </c>
      <c r="B266" t="s">
        <v>4</v>
      </c>
      <c r="C266" t="s">
        <v>501</v>
      </c>
      <c r="D266" t="s">
        <v>84</v>
      </c>
      <c r="E266" t="s">
        <v>83</v>
      </c>
      <c r="F266" s="75" t="s">
        <v>338</v>
      </c>
    </row>
    <row r="267" spans="1:6" x14ac:dyDescent="0.25">
      <c r="A267">
        <v>2006</v>
      </c>
      <c r="B267" t="s">
        <v>6</v>
      </c>
      <c r="C267" t="s">
        <v>501</v>
      </c>
      <c r="D267" t="s">
        <v>84</v>
      </c>
      <c r="E267" t="s">
        <v>83</v>
      </c>
      <c r="F267" s="75" t="s">
        <v>339</v>
      </c>
    </row>
    <row r="268" spans="1:6" x14ac:dyDescent="0.25">
      <c r="A268">
        <v>2006</v>
      </c>
      <c r="B268" t="s">
        <v>7</v>
      </c>
      <c r="C268" t="s">
        <v>501</v>
      </c>
      <c r="D268" t="s">
        <v>84</v>
      </c>
      <c r="E268" t="s">
        <v>83</v>
      </c>
      <c r="F268" s="75" t="s">
        <v>340</v>
      </c>
    </row>
    <row r="269" spans="1:6" x14ac:dyDescent="0.25">
      <c r="A269">
        <v>2006</v>
      </c>
      <c r="B269" t="s">
        <v>4</v>
      </c>
      <c r="C269" t="s">
        <v>8</v>
      </c>
      <c r="D269" t="s">
        <v>84</v>
      </c>
      <c r="E269" t="s">
        <v>83</v>
      </c>
      <c r="F269" s="75" t="s">
        <v>341</v>
      </c>
    </row>
    <row r="270" spans="1:6" x14ac:dyDescent="0.25">
      <c r="A270">
        <v>2006</v>
      </c>
      <c r="B270" t="s">
        <v>6</v>
      </c>
      <c r="C270" t="s">
        <v>8</v>
      </c>
      <c r="D270" t="s">
        <v>84</v>
      </c>
      <c r="E270" t="s">
        <v>83</v>
      </c>
      <c r="F270" s="75" t="s">
        <v>342</v>
      </c>
    </row>
    <row r="271" spans="1:6" x14ac:dyDescent="0.25">
      <c r="A271">
        <v>2006</v>
      </c>
      <c r="B271" t="s">
        <v>7</v>
      </c>
      <c r="C271" t="s">
        <v>8</v>
      </c>
      <c r="D271" t="s">
        <v>84</v>
      </c>
      <c r="E271" t="s">
        <v>83</v>
      </c>
      <c r="F271" s="75" t="s">
        <v>343</v>
      </c>
    </row>
    <row r="272" spans="1:6" x14ac:dyDescent="0.25">
      <c r="A272">
        <v>2006</v>
      </c>
      <c r="B272" t="s">
        <v>4</v>
      </c>
      <c r="C272" t="s">
        <v>9</v>
      </c>
      <c r="D272" t="s">
        <v>84</v>
      </c>
      <c r="E272" t="s">
        <v>83</v>
      </c>
      <c r="F272" s="75" t="s">
        <v>344</v>
      </c>
    </row>
    <row r="273" spans="1:6" x14ac:dyDescent="0.25">
      <c r="A273">
        <v>2006</v>
      </c>
      <c r="B273" t="s">
        <v>6</v>
      </c>
      <c r="C273" t="s">
        <v>9</v>
      </c>
      <c r="D273" t="s">
        <v>84</v>
      </c>
      <c r="E273" t="s">
        <v>83</v>
      </c>
      <c r="F273" s="75" t="s">
        <v>345</v>
      </c>
    </row>
    <row r="274" spans="1:6" x14ac:dyDescent="0.25">
      <c r="A274">
        <v>2006</v>
      </c>
      <c r="B274" t="s">
        <v>7</v>
      </c>
      <c r="C274" t="s">
        <v>9</v>
      </c>
      <c r="D274" t="s">
        <v>84</v>
      </c>
      <c r="E274" t="s">
        <v>83</v>
      </c>
      <c r="F274" s="75" t="s">
        <v>346</v>
      </c>
    </row>
    <row r="275" spans="1:6" x14ac:dyDescent="0.25">
      <c r="A275">
        <v>2006</v>
      </c>
      <c r="B275" t="s">
        <v>4</v>
      </c>
      <c r="C275" t="s">
        <v>10</v>
      </c>
      <c r="D275" t="s">
        <v>84</v>
      </c>
      <c r="E275" t="s">
        <v>83</v>
      </c>
      <c r="F275" s="75" t="s">
        <v>347</v>
      </c>
    </row>
    <row r="276" spans="1:6" x14ac:dyDescent="0.25">
      <c r="A276">
        <v>2006</v>
      </c>
      <c r="B276" t="s">
        <v>6</v>
      </c>
      <c r="C276" t="s">
        <v>10</v>
      </c>
      <c r="D276" t="s">
        <v>84</v>
      </c>
      <c r="E276" t="s">
        <v>83</v>
      </c>
      <c r="F276" s="75" t="s">
        <v>348</v>
      </c>
    </row>
    <row r="277" spans="1:6" x14ac:dyDescent="0.25">
      <c r="A277">
        <v>2006</v>
      </c>
      <c r="B277" t="s">
        <v>7</v>
      </c>
      <c r="C277" t="s">
        <v>10</v>
      </c>
      <c r="D277" t="s">
        <v>84</v>
      </c>
      <c r="E277" t="s">
        <v>83</v>
      </c>
      <c r="F277" s="75" t="s">
        <v>349</v>
      </c>
    </row>
    <row r="278" spans="1:6" x14ac:dyDescent="0.25">
      <c r="A278">
        <v>2005</v>
      </c>
      <c r="B278" t="s">
        <v>4</v>
      </c>
      <c r="C278" t="s">
        <v>501</v>
      </c>
      <c r="D278" t="s">
        <v>84</v>
      </c>
      <c r="E278" t="s">
        <v>83</v>
      </c>
      <c r="F278" s="75" t="s">
        <v>350</v>
      </c>
    </row>
    <row r="279" spans="1:6" x14ac:dyDescent="0.25">
      <c r="A279">
        <v>2005</v>
      </c>
      <c r="B279" t="s">
        <v>6</v>
      </c>
      <c r="C279" t="s">
        <v>501</v>
      </c>
      <c r="D279" t="s">
        <v>84</v>
      </c>
      <c r="E279" t="s">
        <v>83</v>
      </c>
      <c r="F279" s="75" t="s">
        <v>351</v>
      </c>
    </row>
    <row r="280" spans="1:6" x14ac:dyDescent="0.25">
      <c r="A280">
        <v>2005</v>
      </c>
      <c r="B280" t="s">
        <v>7</v>
      </c>
      <c r="C280" t="s">
        <v>501</v>
      </c>
      <c r="D280" t="s">
        <v>84</v>
      </c>
      <c r="E280" t="s">
        <v>83</v>
      </c>
      <c r="F280" s="75" t="s">
        <v>352</v>
      </c>
    </row>
    <row r="281" spans="1:6" x14ac:dyDescent="0.25">
      <c r="A281">
        <v>2005</v>
      </c>
      <c r="B281" t="s">
        <v>4</v>
      </c>
      <c r="C281" t="s">
        <v>8</v>
      </c>
      <c r="D281" t="s">
        <v>84</v>
      </c>
      <c r="E281" t="s">
        <v>83</v>
      </c>
      <c r="F281" s="75" t="s">
        <v>353</v>
      </c>
    </row>
    <row r="282" spans="1:6" x14ac:dyDescent="0.25">
      <c r="A282">
        <v>2005</v>
      </c>
      <c r="B282" t="s">
        <v>6</v>
      </c>
      <c r="C282" t="s">
        <v>8</v>
      </c>
      <c r="D282" t="s">
        <v>84</v>
      </c>
      <c r="E282" t="s">
        <v>83</v>
      </c>
      <c r="F282" s="75" t="s">
        <v>354</v>
      </c>
    </row>
    <row r="283" spans="1:6" x14ac:dyDescent="0.25">
      <c r="A283">
        <v>2005</v>
      </c>
      <c r="B283" t="s">
        <v>7</v>
      </c>
      <c r="C283" t="s">
        <v>8</v>
      </c>
      <c r="D283" t="s">
        <v>84</v>
      </c>
      <c r="E283" t="s">
        <v>83</v>
      </c>
      <c r="F283" s="75" t="s">
        <v>355</v>
      </c>
    </row>
    <row r="284" spans="1:6" x14ac:dyDescent="0.25">
      <c r="A284">
        <v>2005</v>
      </c>
      <c r="B284" t="s">
        <v>4</v>
      </c>
      <c r="C284" t="s">
        <v>9</v>
      </c>
      <c r="D284" t="s">
        <v>84</v>
      </c>
      <c r="E284" t="s">
        <v>83</v>
      </c>
      <c r="F284" s="75" t="s">
        <v>356</v>
      </c>
    </row>
    <row r="285" spans="1:6" x14ac:dyDescent="0.25">
      <c r="A285">
        <v>2005</v>
      </c>
      <c r="B285" t="s">
        <v>6</v>
      </c>
      <c r="C285" t="s">
        <v>9</v>
      </c>
      <c r="D285" t="s">
        <v>84</v>
      </c>
      <c r="E285" t="s">
        <v>83</v>
      </c>
      <c r="F285" s="75" t="s">
        <v>357</v>
      </c>
    </row>
    <row r="286" spans="1:6" x14ac:dyDescent="0.25">
      <c r="A286">
        <v>2005</v>
      </c>
      <c r="B286" t="s">
        <v>7</v>
      </c>
      <c r="C286" t="s">
        <v>9</v>
      </c>
      <c r="D286" t="s">
        <v>84</v>
      </c>
      <c r="E286" t="s">
        <v>83</v>
      </c>
      <c r="F286" s="75" t="s">
        <v>358</v>
      </c>
    </row>
    <row r="287" spans="1:6" x14ac:dyDescent="0.25">
      <c r="A287">
        <v>2005</v>
      </c>
      <c r="B287" t="s">
        <v>4</v>
      </c>
      <c r="C287" t="s">
        <v>10</v>
      </c>
      <c r="D287" t="s">
        <v>84</v>
      </c>
      <c r="E287" t="s">
        <v>83</v>
      </c>
      <c r="F287" s="75" t="s">
        <v>359</v>
      </c>
    </row>
    <row r="288" spans="1:6" x14ac:dyDescent="0.25">
      <c r="A288">
        <v>2005</v>
      </c>
      <c r="B288" t="s">
        <v>6</v>
      </c>
      <c r="C288" t="s">
        <v>10</v>
      </c>
      <c r="D288" t="s">
        <v>84</v>
      </c>
      <c r="E288" t="s">
        <v>83</v>
      </c>
      <c r="F288" s="75" t="s">
        <v>360</v>
      </c>
    </row>
    <row r="289" spans="1:6" x14ac:dyDescent="0.25">
      <c r="A289">
        <v>2005</v>
      </c>
      <c r="B289" t="s">
        <v>7</v>
      </c>
      <c r="C289" t="s">
        <v>10</v>
      </c>
      <c r="D289" t="s">
        <v>84</v>
      </c>
      <c r="E289" t="s">
        <v>83</v>
      </c>
      <c r="F289" s="75" t="s">
        <v>361</v>
      </c>
    </row>
    <row r="290" spans="1:6" x14ac:dyDescent="0.25">
      <c r="A290">
        <v>2019</v>
      </c>
      <c r="B290" t="s">
        <v>4</v>
      </c>
      <c r="C290" t="s">
        <v>501</v>
      </c>
      <c r="D290" t="s">
        <v>85</v>
      </c>
      <c r="E290" t="s">
        <v>83</v>
      </c>
      <c r="F290" s="75" t="s">
        <v>230</v>
      </c>
    </row>
    <row r="291" spans="1:6" x14ac:dyDescent="0.25">
      <c r="A291">
        <v>2019</v>
      </c>
      <c r="B291" t="s">
        <v>6</v>
      </c>
      <c r="C291" t="s">
        <v>501</v>
      </c>
      <c r="D291" t="s">
        <v>85</v>
      </c>
      <c r="E291" t="s">
        <v>83</v>
      </c>
      <c r="F291" s="75" t="s">
        <v>231</v>
      </c>
    </row>
    <row r="292" spans="1:6" x14ac:dyDescent="0.25">
      <c r="A292">
        <v>2019</v>
      </c>
      <c r="B292" t="s">
        <v>7</v>
      </c>
      <c r="C292" t="s">
        <v>501</v>
      </c>
      <c r="D292" t="s">
        <v>85</v>
      </c>
      <c r="E292" t="s">
        <v>83</v>
      </c>
      <c r="F292" s="75" t="s">
        <v>232</v>
      </c>
    </row>
    <row r="293" spans="1:6" x14ac:dyDescent="0.25">
      <c r="A293">
        <v>2019</v>
      </c>
      <c r="B293" t="s">
        <v>4</v>
      </c>
      <c r="C293" t="s">
        <v>8</v>
      </c>
      <c r="D293" t="s">
        <v>85</v>
      </c>
      <c r="E293" t="s">
        <v>83</v>
      </c>
      <c r="F293" s="75" t="s">
        <v>233</v>
      </c>
    </row>
    <row r="294" spans="1:6" x14ac:dyDescent="0.25">
      <c r="A294">
        <v>2019</v>
      </c>
      <c r="B294" t="s">
        <v>6</v>
      </c>
      <c r="C294" t="s">
        <v>8</v>
      </c>
      <c r="D294" t="s">
        <v>85</v>
      </c>
      <c r="E294" t="s">
        <v>83</v>
      </c>
      <c r="F294" s="75" t="s">
        <v>234</v>
      </c>
    </row>
    <row r="295" spans="1:6" x14ac:dyDescent="0.25">
      <c r="A295">
        <v>2019</v>
      </c>
      <c r="B295" t="s">
        <v>7</v>
      </c>
      <c r="C295" t="s">
        <v>8</v>
      </c>
      <c r="D295" t="s">
        <v>85</v>
      </c>
      <c r="E295" t="s">
        <v>83</v>
      </c>
      <c r="F295" s="75" t="s">
        <v>235</v>
      </c>
    </row>
    <row r="296" spans="1:6" x14ac:dyDescent="0.25">
      <c r="A296">
        <v>2019</v>
      </c>
      <c r="B296" t="s">
        <v>4</v>
      </c>
      <c r="C296" t="s">
        <v>9</v>
      </c>
      <c r="D296" t="s">
        <v>85</v>
      </c>
      <c r="E296" t="s">
        <v>83</v>
      </c>
      <c r="F296" s="75" t="s">
        <v>236</v>
      </c>
    </row>
    <row r="297" spans="1:6" x14ac:dyDescent="0.25">
      <c r="A297">
        <v>2019</v>
      </c>
      <c r="B297" t="s">
        <v>6</v>
      </c>
      <c r="C297" t="s">
        <v>9</v>
      </c>
      <c r="D297" t="s">
        <v>85</v>
      </c>
      <c r="E297" t="s">
        <v>83</v>
      </c>
      <c r="F297" s="75" t="s">
        <v>237</v>
      </c>
    </row>
    <row r="298" spans="1:6" x14ac:dyDescent="0.25">
      <c r="A298">
        <v>2019</v>
      </c>
      <c r="B298" t="s">
        <v>7</v>
      </c>
      <c r="C298" t="s">
        <v>9</v>
      </c>
      <c r="D298" t="s">
        <v>85</v>
      </c>
      <c r="E298" t="s">
        <v>83</v>
      </c>
      <c r="F298" s="75" t="s">
        <v>238</v>
      </c>
    </row>
    <row r="299" spans="1:6" x14ac:dyDescent="0.25">
      <c r="A299">
        <v>2019</v>
      </c>
      <c r="B299" t="s">
        <v>4</v>
      </c>
      <c r="C299" t="s">
        <v>10</v>
      </c>
      <c r="D299" t="s">
        <v>85</v>
      </c>
      <c r="E299" t="s">
        <v>83</v>
      </c>
      <c r="F299" s="75" t="s">
        <v>239</v>
      </c>
    </row>
    <row r="300" spans="1:6" x14ac:dyDescent="0.25">
      <c r="A300">
        <v>2019</v>
      </c>
      <c r="B300" t="s">
        <v>6</v>
      </c>
      <c r="C300" t="s">
        <v>10</v>
      </c>
      <c r="D300" t="s">
        <v>85</v>
      </c>
      <c r="E300" t="s">
        <v>83</v>
      </c>
      <c r="F300" s="75" t="s">
        <v>240</v>
      </c>
    </row>
    <row r="301" spans="1:6" x14ac:dyDescent="0.25">
      <c r="A301">
        <v>2019</v>
      </c>
      <c r="B301" t="s">
        <v>7</v>
      </c>
      <c r="C301" t="s">
        <v>10</v>
      </c>
      <c r="D301" t="s">
        <v>85</v>
      </c>
      <c r="E301" t="s">
        <v>83</v>
      </c>
      <c r="F301" s="75" t="s">
        <v>241</v>
      </c>
    </row>
    <row r="302" spans="1:6" x14ac:dyDescent="0.25">
      <c r="A302">
        <v>2018</v>
      </c>
      <c r="B302" t="s">
        <v>4</v>
      </c>
      <c r="C302" t="s">
        <v>501</v>
      </c>
      <c r="D302" t="s">
        <v>85</v>
      </c>
      <c r="E302" t="s">
        <v>83</v>
      </c>
      <c r="F302" s="75" t="s">
        <v>242</v>
      </c>
    </row>
    <row r="303" spans="1:6" x14ac:dyDescent="0.25">
      <c r="A303">
        <v>2018</v>
      </c>
      <c r="B303" t="s">
        <v>6</v>
      </c>
      <c r="C303" t="s">
        <v>501</v>
      </c>
      <c r="D303" t="s">
        <v>85</v>
      </c>
      <c r="E303" t="s">
        <v>83</v>
      </c>
      <c r="F303" s="75" t="s">
        <v>243</v>
      </c>
    </row>
    <row r="304" spans="1:6" x14ac:dyDescent="0.25">
      <c r="A304">
        <v>2018</v>
      </c>
      <c r="B304" t="s">
        <v>7</v>
      </c>
      <c r="C304" t="s">
        <v>501</v>
      </c>
      <c r="D304" t="s">
        <v>85</v>
      </c>
      <c r="E304" t="s">
        <v>83</v>
      </c>
      <c r="F304" s="75" t="s">
        <v>244</v>
      </c>
    </row>
    <row r="305" spans="1:6" x14ac:dyDescent="0.25">
      <c r="A305">
        <v>2018</v>
      </c>
      <c r="B305" t="s">
        <v>4</v>
      </c>
      <c r="C305" t="s">
        <v>8</v>
      </c>
      <c r="D305" t="s">
        <v>85</v>
      </c>
      <c r="E305" t="s">
        <v>83</v>
      </c>
      <c r="F305" s="75" t="s">
        <v>245</v>
      </c>
    </row>
    <row r="306" spans="1:6" x14ac:dyDescent="0.25">
      <c r="A306">
        <v>2018</v>
      </c>
      <c r="B306" t="s">
        <v>6</v>
      </c>
      <c r="C306" t="s">
        <v>8</v>
      </c>
      <c r="D306" t="s">
        <v>85</v>
      </c>
      <c r="E306" t="s">
        <v>83</v>
      </c>
      <c r="F306" s="75" t="s">
        <v>246</v>
      </c>
    </row>
    <row r="307" spans="1:6" x14ac:dyDescent="0.25">
      <c r="A307">
        <v>2018</v>
      </c>
      <c r="B307" t="s">
        <v>7</v>
      </c>
      <c r="C307" t="s">
        <v>8</v>
      </c>
      <c r="D307" t="s">
        <v>85</v>
      </c>
      <c r="E307" t="s">
        <v>83</v>
      </c>
      <c r="F307" s="75" t="s">
        <v>247</v>
      </c>
    </row>
    <row r="308" spans="1:6" x14ac:dyDescent="0.25">
      <c r="A308">
        <v>2018</v>
      </c>
      <c r="B308" t="s">
        <v>4</v>
      </c>
      <c r="C308" t="s">
        <v>9</v>
      </c>
      <c r="D308" t="s">
        <v>85</v>
      </c>
      <c r="E308" t="s">
        <v>83</v>
      </c>
      <c r="F308" s="75" t="s">
        <v>248</v>
      </c>
    </row>
    <row r="309" spans="1:6" x14ac:dyDescent="0.25">
      <c r="A309">
        <v>2018</v>
      </c>
      <c r="B309" t="s">
        <v>6</v>
      </c>
      <c r="C309" t="s">
        <v>9</v>
      </c>
      <c r="D309" t="s">
        <v>85</v>
      </c>
      <c r="E309" t="s">
        <v>83</v>
      </c>
      <c r="F309" s="75" t="s">
        <v>249</v>
      </c>
    </row>
    <row r="310" spans="1:6" x14ac:dyDescent="0.25">
      <c r="A310">
        <v>2018</v>
      </c>
      <c r="B310" t="s">
        <v>7</v>
      </c>
      <c r="C310" t="s">
        <v>9</v>
      </c>
      <c r="D310" t="s">
        <v>85</v>
      </c>
      <c r="E310" t="s">
        <v>83</v>
      </c>
      <c r="F310" s="75" t="s">
        <v>250</v>
      </c>
    </row>
    <row r="311" spans="1:6" x14ac:dyDescent="0.25">
      <c r="A311">
        <v>2018</v>
      </c>
      <c r="B311" t="s">
        <v>4</v>
      </c>
      <c r="C311" t="s">
        <v>10</v>
      </c>
      <c r="D311" t="s">
        <v>85</v>
      </c>
      <c r="E311" t="s">
        <v>83</v>
      </c>
      <c r="F311" s="75" t="s">
        <v>251</v>
      </c>
    </row>
    <row r="312" spans="1:6" x14ac:dyDescent="0.25">
      <c r="A312">
        <v>2018</v>
      </c>
      <c r="B312" t="s">
        <v>6</v>
      </c>
      <c r="C312" t="s">
        <v>10</v>
      </c>
      <c r="D312" t="s">
        <v>85</v>
      </c>
      <c r="E312" t="s">
        <v>83</v>
      </c>
      <c r="F312" s="75" t="s">
        <v>252</v>
      </c>
    </row>
    <row r="313" spans="1:6" x14ac:dyDescent="0.25">
      <c r="A313">
        <v>2018</v>
      </c>
      <c r="B313" t="s">
        <v>7</v>
      </c>
      <c r="C313" t="s">
        <v>10</v>
      </c>
      <c r="D313" t="s">
        <v>85</v>
      </c>
      <c r="E313" t="s">
        <v>83</v>
      </c>
      <c r="F313" s="75" t="s">
        <v>253</v>
      </c>
    </row>
    <row r="314" spans="1:6" x14ac:dyDescent="0.25">
      <c r="A314">
        <v>2017</v>
      </c>
      <c r="B314" t="s">
        <v>4</v>
      </c>
      <c r="C314" t="s">
        <v>501</v>
      </c>
      <c r="D314" t="s">
        <v>85</v>
      </c>
      <c r="E314" t="s">
        <v>83</v>
      </c>
      <c r="F314" s="75" t="s">
        <v>254</v>
      </c>
    </row>
    <row r="315" spans="1:6" x14ac:dyDescent="0.25">
      <c r="A315">
        <v>2017</v>
      </c>
      <c r="B315" t="s">
        <v>6</v>
      </c>
      <c r="C315" t="s">
        <v>501</v>
      </c>
      <c r="D315" t="s">
        <v>85</v>
      </c>
      <c r="E315" t="s">
        <v>83</v>
      </c>
      <c r="F315" s="75" t="s">
        <v>255</v>
      </c>
    </row>
    <row r="316" spans="1:6" x14ac:dyDescent="0.25">
      <c r="A316">
        <v>2017</v>
      </c>
      <c r="B316" t="s">
        <v>7</v>
      </c>
      <c r="C316" t="s">
        <v>501</v>
      </c>
      <c r="D316" t="s">
        <v>85</v>
      </c>
      <c r="E316" t="s">
        <v>83</v>
      </c>
      <c r="F316" s="75" t="s">
        <v>256</v>
      </c>
    </row>
    <row r="317" spans="1:6" x14ac:dyDescent="0.25">
      <c r="A317">
        <v>2017</v>
      </c>
      <c r="B317" t="s">
        <v>4</v>
      </c>
      <c r="C317" t="s">
        <v>8</v>
      </c>
      <c r="D317" t="s">
        <v>85</v>
      </c>
      <c r="E317" t="s">
        <v>83</v>
      </c>
      <c r="F317" s="75" t="s">
        <v>257</v>
      </c>
    </row>
    <row r="318" spans="1:6" x14ac:dyDescent="0.25">
      <c r="A318">
        <v>2017</v>
      </c>
      <c r="B318" t="s">
        <v>6</v>
      </c>
      <c r="C318" t="s">
        <v>8</v>
      </c>
      <c r="D318" t="s">
        <v>85</v>
      </c>
      <c r="E318" t="s">
        <v>83</v>
      </c>
      <c r="F318" s="75" t="s">
        <v>258</v>
      </c>
    </row>
    <row r="319" spans="1:6" x14ac:dyDescent="0.25">
      <c r="A319">
        <v>2017</v>
      </c>
      <c r="B319" t="s">
        <v>7</v>
      </c>
      <c r="C319" t="s">
        <v>8</v>
      </c>
      <c r="D319" t="s">
        <v>85</v>
      </c>
      <c r="E319" t="s">
        <v>83</v>
      </c>
      <c r="F319" s="75" t="s">
        <v>259</v>
      </c>
    </row>
    <row r="320" spans="1:6" x14ac:dyDescent="0.25">
      <c r="A320">
        <v>2017</v>
      </c>
      <c r="B320" t="s">
        <v>4</v>
      </c>
      <c r="C320" t="s">
        <v>9</v>
      </c>
      <c r="D320" t="s">
        <v>85</v>
      </c>
      <c r="E320" t="s">
        <v>83</v>
      </c>
      <c r="F320" s="75" t="s">
        <v>260</v>
      </c>
    </row>
    <row r="321" spans="1:6" x14ac:dyDescent="0.25">
      <c r="A321">
        <v>2017</v>
      </c>
      <c r="B321" t="s">
        <v>6</v>
      </c>
      <c r="C321" t="s">
        <v>9</v>
      </c>
      <c r="D321" t="s">
        <v>85</v>
      </c>
      <c r="E321" t="s">
        <v>83</v>
      </c>
      <c r="F321" s="75" t="s">
        <v>261</v>
      </c>
    </row>
    <row r="322" spans="1:6" x14ac:dyDescent="0.25">
      <c r="A322">
        <v>2017</v>
      </c>
      <c r="B322" t="s">
        <v>7</v>
      </c>
      <c r="C322" t="s">
        <v>9</v>
      </c>
      <c r="D322" t="s">
        <v>85</v>
      </c>
      <c r="E322" t="s">
        <v>83</v>
      </c>
      <c r="F322" s="75" t="s">
        <v>262</v>
      </c>
    </row>
    <row r="323" spans="1:6" x14ac:dyDescent="0.25">
      <c r="A323">
        <v>2017</v>
      </c>
      <c r="B323" t="s">
        <v>4</v>
      </c>
      <c r="C323" t="s">
        <v>10</v>
      </c>
      <c r="D323" t="s">
        <v>85</v>
      </c>
      <c r="E323" t="s">
        <v>83</v>
      </c>
      <c r="F323" s="75" t="s">
        <v>263</v>
      </c>
    </row>
    <row r="324" spans="1:6" x14ac:dyDescent="0.25">
      <c r="A324">
        <v>2017</v>
      </c>
      <c r="B324" t="s">
        <v>6</v>
      </c>
      <c r="C324" t="s">
        <v>10</v>
      </c>
      <c r="D324" t="s">
        <v>85</v>
      </c>
      <c r="E324" t="s">
        <v>83</v>
      </c>
      <c r="F324" s="75" t="s">
        <v>264</v>
      </c>
    </row>
    <row r="325" spans="1:6" x14ac:dyDescent="0.25">
      <c r="A325">
        <v>2017</v>
      </c>
      <c r="B325" t="s">
        <v>7</v>
      </c>
      <c r="C325" t="s">
        <v>10</v>
      </c>
      <c r="D325" t="s">
        <v>85</v>
      </c>
      <c r="E325" t="s">
        <v>83</v>
      </c>
      <c r="F325" s="75" t="s">
        <v>265</v>
      </c>
    </row>
    <row r="326" spans="1:6" x14ac:dyDescent="0.25">
      <c r="A326">
        <v>2016</v>
      </c>
      <c r="B326" t="s">
        <v>4</v>
      </c>
      <c r="C326" t="s">
        <v>501</v>
      </c>
      <c r="D326" t="s">
        <v>85</v>
      </c>
      <c r="E326" t="s">
        <v>83</v>
      </c>
      <c r="F326" s="75" t="s">
        <v>266</v>
      </c>
    </row>
    <row r="327" spans="1:6" x14ac:dyDescent="0.25">
      <c r="A327">
        <v>2016</v>
      </c>
      <c r="B327" t="s">
        <v>6</v>
      </c>
      <c r="C327" t="s">
        <v>501</v>
      </c>
      <c r="D327" t="s">
        <v>85</v>
      </c>
      <c r="E327" t="s">
        <v>83</v>
      </c>
      <c r="F327" s="75" t="s">
        <v>267</v>
      </c>
    </row>
    <row r="328" spans="1:6" x14ac:dyDescent="0.25">
      <c r="A328">
        <v>2016</v>
      </c>
      <c r="B328" t="s">
        <v>7</v>
      </c>
      <c r="C328" t="s">
        <v>501</v>
      </c>
      <c r="D328" t="s">
        <v>85</v>
      </c>
      <c r="E328" t="s">
        <v>83</v>
      </c>
      <c r="F328" s="75" t="s">
        <v>268</v>
      </c>
    </row>
    <row r="329" spans="1:6" x14ac:dyDescent="0.25">
      <c r="A329">
        <v>2016</v>
      </c>
      <c r="B329" t="s">
        <v>4</v>
      </c>
      <c r="C329" t="s">
        <v>8</v>
      </c>
      <c r="D329" t="s">
        <v>85</v>
      </c>
      <c r="E329" t="s">
        <v>83</v>
      </c>
      <c r="F329" s="75" t="s">
        <v>269</v>
      </c>
    </row>
    <row r="330" spans="1:6" x14ac:dyDescent="0.25">
      <c r="A330">
        <v>2016</v>
      </c>
      <c r="B330" t="s">
        <v>6</v>
      </c>
      <c r="C330" t="s">
        <v>8</v>
      </c>
      <c r="D330" t="s">
        <v>85</v>
      </c>
      <c r="E330" t="s">
        <v>83</v>
      </c>
      <c r="F330" s="75" t="s">
        <v>270</v>
      </c>
    </row>
    <row r="331" spans="1:6" x14ac:dyDescent="0.25">
      <c r="A331">
        <v>2016</v>
      </c>
      <c r="B331" t="s">
        <v>7</v>
      </c>
      <c r="C331" t="s">
        <v>8</v>
      </c>
      <c r="D331" t="s">
        <v>85</v>
      </c>
      <c r="E331" t="s">
        <v>83</v>
      </c>
      <c r="F331" s="75" t="s">
        <v>271</v>
      </c>
    </row>
    <row r="332" spans="1:6" x14ac:dyDescent="0.25">
      <c r="A332">
        <v>2016</v>
      </c>
      <c r="B332" t="s">
        <v>4</v>
      </c>
      <c r="C332" t="s">
        <v>9</v>
      </c>
      <c r="D332" t="s">
        <v>85</v>
      </c>
      <c r="E332" t="s">
        <v>83</v>
      </c>
      <c r="F332" s="75" t="s">
        <v>272</v>
      </c>
    </row>
    <row r="333" spans="1:6" x14ac:dyDescent="0.25">
      <c r="A333">
        <v>2016</v>
      </c>
      <c r="B333" t="s">
        <v>6</v>
      </c>
      <c r="C333" t="s">
        <v>9</v>
      </c>
      <c r="D333" t="s">
        <v>85</v>
      </c>
      <c r="E333" t="s">
        <v>83</v>
      </c>
      <c r="F333" s="75" t="s">
        <v>273</v>
      </c>
    </row>
    <row r="334" spans="1:6" x14ac:dyDescent="0.25">
      <c r="A334">
        <v>2016</v>
      </c>
      <c r="B334" t="s">
        <v>7</v>
      </c>
      <c r="C334" t="s">
        <v>9</v>
      </c>
      <c r="D334" t="s">
        <v>85</v>
      </c>
      <c r="E334" t="s">
        <v>83</v>
      </c>
      <c r="F334" s="75" t="s">
        <v>274</v>
      </c>
    </row>
    <row r="335" spans="1:6" x14ac:dyDescent="0.25">
      <c r="A335">
        <v>2016</v>
      </c>
      <c r="B335" t="s">
        <v>4</v>
      </c>
      <c r="C335" t="s">
        <v>10</v>
      </c>
      <c r="D335" t="s">
        <v>85</v>
      </c>
      <c r="E335" t="s">
        <v>83</v>
      </c>
      <c r="F335" s="75" t="s">
        <v>275</v>
      </c>
    </row>
    <row r="336" spans="1:6" x14ac:dyDescent="0.25">
      <c r="A336">
        <v>2016</v>
      </c>
      <c r="B336" t="s">
        <v>6</v>
      </c>
      <c r="C336" t="s">
        <v>10</v>
      </c>
      <c r="D336" t="s">
        <v>85</v>
      </c>
      <c r="E336" t="s">
        <v>83</v>
      </c>
      <c r="F336" s="75" t="s">
        <v>276</v>
      </c>
    </row>
    <row r="337" spans="1:6" x14ac:dyDescent="0.25">
      <c r="A337">
        <v>2016</v>
      </c>
      <c r="B337" t="s">
        <v>7</v>
      </c>
      <c r="C337" t="s">
        <v>10</v>
      </c>
      <c r="D337" t="s">
        <v>85</v>
      </c>
      <c r="E337" t="s">
        <v>83</v>
      </c>
      <c r="F337" s="75" t="s">
        <v>277</v>
      </c>
    </row>
    <row r="338" spans="1:6" x14ac:dyDescent="0.25">
      <c r="A338">
        <v>2015</v>
      </c>
      <c r="B338" t="s">
        <v>4</v>
      </c>
      <c r="C338" t="s">
        <v>501</v>
      </c>
      <c r="D338" t="s">
        <v>85</v>
      </c>
      <c r="E338" t="s">
        <v>83</v>
      </c>
      <c r="F338" s="75" t="s">
        <v>278</v>
      </c>
    </row>
    <row r="339" spans="1:6" x14ac:dyDescent="0.25">
      <c r="A339">
        <v>2015</v>
      </c>
      <c r="B339" t="s">
        <v>6</v>
      </c>
      <c r="C339" t="s">
        <v>501</v>
      </c>
      <c r="D339" t="s">
        <v>85</v>
      </c>
      <c r="E339" t="s">
        <v>83</v>
      </c>
      <c r="F339" s="75" t="s">
        <v>279</v>
      </c>
    </row>
    <row r="340" spans="1:6" x14ac:dyDescent="0.25">
      <c r="A340">
        <v>2015</v>
      </c>
      <c r="B340" t="s">
        <v>7</v>
      </c>
      <c r="C340" t="s">
        <v>501</v>
      </c>
      <c r="D340" t="s">
        <v>85</v>
      </c>
      <c r="E340" t="s">
        <v>83</v>
      </c>
      <c r="F340" s="75" t="s">
        <v>280</v>
      </c>
    </row>
    <row r="341" spans="1:6" x14ac:dyDescent="0.25">
      <c r="A341">
        <v>2015</v>
      </c>
      <c r="B341" t="s">
        <v>4</v>
      </c>
      <c r="C341" t="s">
        <v>8</v>
      </c>
      <c r="D341" t="s">
        <v>85</v>
      </c>
      <c r="E341" t="s">
        <v>83</v>
      </c>
      <c r="F341" s="75" t="s">
        <v>281</v>
      </c>
    </row>
    <row r="342" spans="1:6" x14ac:dyDescent="0.25">
      <c r="A342">
        <v>2015</v>
      </c>
      <c r="B342" t="s">
        <v>6</v>
      </c>
      <c r="C342" t="s">
        <v>8</v>
      </c>
      <c r="D342" t="s">
        <v>85</v>
      </c>
      <c r="E342" t="s">
        <v>83</v>
      </c>
      <c r="F342" s="75" t="s">
        <v>282</v>
      </c>
    </row>
    <row r="343" spans="1:6" x14ac:dyDescent="0.25">
      <c r="A343">
        <v>2015</v>
      </c>
      <c r="B343" t="s">
        <v>7</v>
      </c>
      <c r="C343" t="s">
        <v>8</v>
      </c>
      <c r="D343" t="s">
        <v>85</v>
      </c>
      <c r="E343" t="s">
        <v>83</v>
      </c>
      <c r="F343" s="75" t="s">
        <v>283</v>
      </c>
    </row>
    <row r="344" spans="1:6" x14ac:dyDescent="0.25">
      <c r="A344">
        <v>2015</v>
      </c>
      <c r="B344" t="s">
        <v>4</v>
      </c>
      <c r="C344" t="s">
        <v>9</v>
      </c>
      <c r="D344" t="s">
        <v>85</v>
      </c>
      <c r="E344" t="s">
        <v>83</v>
      </c>
      <c r="F344" s="75" t="s">
        <v>284</v>
      </c>
    </row>
    <row r="345" spans="1:6" x14ac:dyDescent="0.25">
      <c r="A345">
        <v>2015</v>
      </c>
      <c r="B345" t="s">
        <v>6</v>
      </c>
      <c r="C345" t="s">
        <v>9</v>
      </c>
      <c r="D345" t="s">
        <v>85</v>
      </c>
      <c r="E345" t="s">
        <v>83</v>
      </c>
      <c r="F345" s="75" t="s">
        <v>285</v>
      </c>
    </row>
    <row r="346" spans="1:6" x14ac:dyDescent="0.25">
      <c r="A346">
        <v>2015</v>
      </c>
      <c r="B346" t="s">
        <v>7</v>
      </c>
      <c r="C346" t="s">
        <v>9</v>
      </c>
      <c r="D346" t="s">
        <v>85</v>
      </c>
      <c r="E346" t="s">
        <v>83</v>
      </c>
      <c r="F346" s="75" t="s">
        <v>286</v>
      </c>
    </row>
    <row r="347" spans="1:6" x14ac:dyDescent="0.25">
      <c r="A347">
        <v>2015</v>
      </c>
      <c r="B347" t="s">
        <v>4</v>
      </c>
      <c r="C347" t="s">
        <v>10</v>
      </c>
      <c r="D347" t="s">
        <v>85</v>
      </c>
      <c r="E347" t="s">
        <v>83</v>
      </c>
      <c r="F347" s="75" t="s">
        <v>287</v>
      </c>
    </row>
    <row r="348" spans="1:6" x14ac:dyDescent="0.25">
      <c r="A348">
        <v>2015</v>
      </c>
      <c r="B348" t="s">
        <v>6</v>
      </c>
      <c r="C348" t="s">
        <v>10</v>
      </c>
      <c r="D348" t="s">
        <v>85</v>
      </c>
      <c r="E348" t="s">
        <v>83</v>
      </c>
      <c r="F348" s="75" t="s">
        <v>288</v>
      </c>
    </row>
    <row r="349" spans="1:6" x14ac:dyDescent="0.25">
      <c r="A349">
        <v>2015</v>
      </c>
      <c r="B349" t="s">
        <v>7</v>
      </c>
      <c r="C349" t="s">
        <v>10</v>
      </c>
      <c r="D349" t="s">
        <v>85</v>
      </c>
      <c r="E349" t="s">
        <v>83</v>
      </c>
      <c r="F349" s="75" t="s">
        <v>289</v>
      </c>
    </row>
    <row r="350" spans="1:6" x14ac:dyDescent="0.25">
      <c r="A350">
        <v>2014</v>
      </c>
      <c r="B350" t="s">
        <v>4</v>
      </c>
      <c r="C350" t="s">
        <v>501</v>
      </c>
      <c r="D350" t="s">
        <v>85</v>
      </c>
      <c r="E350" t="s">
        <v>83</v>
      </c>
      <c r="F350" s="75" t="s">
        <v>290</v>
      </c>
    </row>
    <row r="351" spans="1:6" x14ac:dyDescent="0.25">
      <c r="A351">
        <v>2014</v>
      </c>
      <c r="B351" t="s">
        <v>6</v>
      </c>
      <c r="C351" t="s">
        <v>501</v>
      </c>
      <c r="D351" t="s">
        <v>85</v>
      </c>
      <c r="E351" t="s">
        <v>83</v>
      </c>
      <c r="F351" s="75" t="s">
        <v>291</v>
      </c>
    </row>
    <row r="352" spans="1:6" x14ac:dyDescent="0.25">
      <c r="A352">
        <v>2014</v>
      </c>
      <c r="B352" t="s">
        <v>7</v>
      </c>
      <c r="C352" t="s">
        <v>501</v>
      </c>
      <c r="D352" t="s">
        <v>85</v>
      </c>
      <c r="E352" t="s">
        <v>83</v>
      </c>
      <c r="F352" s="75" t="s">
        <v>292</v>
      </c>
    </row>
    <row r="353" spans="1:6" x14ac:dyDescent="0.25">
      <c r="A353">
        <v>2014</v>
      </c>
      <c r="B353" t="s">
        <v>4</v>
      </c>
      <c r="C353" t="s">
        <v>8</v>
      </c>
      <c r="D353" t="s">
        <v>85</v>
      </c>
      <c r="E353" t="s">
        <v>83</v>
      </c>
      <c r="F353" s="75" t="s">
        <v>293</v>
      </c>
    </row>
    <row r="354" spans="1:6" x14ac:dyDescent="0.25">
      <c r="A354">
        <v>2014</v>
      </c>
      <c r="B354" t="s">
        <v>6</v>
      </c>
      <c r="C354" t="s">
        <v>8</v>
      </c>
      <c r="D354" t="s">
        <v>85</v>
      </c>
      <c r="E354" t="s">
        <v>83</v>
      </c>
      <c r="F354" s="75" t="s">
        <v>294</v>
      </c>
    </row>
    <row r="355" spans="1:6" x14ac:dyDescent="0.25">
      <c r="A355">
        <v>2014</v>
      </c>
      <c r="B355" t="s">
        <v>7</v>
      </c>
      <c r="C355" t="s">
        <v>8</v>
      </c>
      <c r="D355" t="s">
        <v>85</v>
      </c>
      <c r="E355" t="s">
        <v>83</v>
      </c>
      <c r="F355" s="75" t="s">
        <v>295</v>
      </c>
    </row>
    <row r="356" spans="1:6" x14ac:dyDescent="0.25">
      <c r="A356">
        <v>2014</v>
      </c>
      <c r="B356" t="s">
        <v>4</v>
      </c>
      <c r="C356" t="s">
        <v>9</v>
      </c>
      <c r="D356" t="s">
        <v>85</v>
      </c>
      <c r="E356" t="s">
        <v>83</v>
      </c>
      <c r="F356" s="75" t="s">
        <v>296</v>
      </c>
    </row>
    <row r="357" spans="1:6" x14ac:dyDescent="0.25">
      <c r="A357">
        <v>2014</v>
      </c>
      <c r="B357" t="s">
        <v>6</v>
      </c>
      <c r="C357" t="s">
        <v>9</v>
      </c>
      <c r="D357" t="s">
        <v>85</v>
      </c>
      <c r="E357" t="s">
        <v>83</v>
      </c>
      <c r="F357" s="75" t="s">
        <v>297</v>
      </c>
    </row>
    <row r="358" spans="1:6" x14ac:dyDescent="0.25">
      <c r="A358">
        <v>2014</v>
      </c>
      <c r="B358" t="s">
        <v>7</v>
      </c>
      <c r="C358" t="s">
        <v>9</v>
      </c>
      <c r="D358" t="s">
        <v>85</v>
      </c>
      <c r="E358" t="s">
        <v>83</v>
      </c>
      <c r="F358" s="75" t="s">
        <v>298</v>
      </c>
    </row>
    <row r="359" spans="1:6" x14ac:dyDescent="0.25">
      <c r="A359">
        <v>2014</v>
      </c>
      <c r="B359" t="s">
        <v>4</v>
      </c>
      <c r="C359" t="s">
        <v>10</v>
      </c>
      <c r="D359" t="s">
        <v>85</v>
      </c>
      <c r="E359" t="s">
        <v>83</v>
      </c>
      <c r="F359" s="75" t="s">
        <v>299</v>
      </c>
    </row>
    <row r="360" spans="1:6" x14ac:dyDescent="0.25">
      <c r="A360">
        <v>2014</v>
      </c>
      <c r="B360" t="s">
        <v>6</v>
      </c>
      <c r="C360" t="s">
        <v>10</v>
      </c>
      <c r="D360" t="s">
        <v>85</v>
      </c>
      <c r="E360" t="s">
        <v>83</v>
      </c>
      <c r="F360" s="75" t="s">
        <v>300</v>
      </c>
    </row>
    <row r="361" spans="1:6" x14ac:dyDescent="0.25">
      <c r="A361">
        <v>2014</v>
      </c>
      <c r="B361" t="s">
        <v>7</v>
      </c>
      <c r="C361" t="s">
        <v>10</v>
      </c>
      <c r="D361" t="s">
        <v>85</v>
      </c>
      <c r="E361" t="s">
        <v>83</v>
      </c>
      <c r="F361" s="75" t="s">
        <v>301</v>
      </c>
    </row>
    <row r="362" spans="1:6" x14ac:dyDescent="0.25">
      <c r="A362">
        <v>2013</v>
      </c>
      <c r="B362" t="s">
        <v>4</v>
      </c>
      <c r="C362" t="s">
        <v>501</v>
      </c>
      <c r="D362" t="s">
        <v>85</v>
      </c>
      <c r="E362" t="s">
        <v>83</v>
      </c>
      <c r="F362" s="75" t="s">
        <v>514</v>
      </c>
    </row>
    <row r="363" spans="1:6" x14ac:dyDescent="0.25">
      <c r="A363">
        <v>2013</v>
      </c>
      <c r="B363" t="s">
        <v>6</v>
      </c>
      <c r="C363" t="s">
        <v>501</v>
      </c>
      <c r="D363" t="s">
        <v>85</v>
      </c>
      <c r="E363" t="s">
        <v>83</v>
      </c>
      <c r="F363" s="75" t="s">
        <v>515</v>
      </c>
    </row>
    <row r="364" spans="1:6" x14ac:dyDescent="0.25">
      <c r="A364">
        <v>2013</v>
      </c>
      <c r="B364" t="s">
        <v>7</v>
      </c>
      <c r="C364" t="s">
        <v>501</v>
      </c>
      <c r="D364" t="s">
        <v>85</v>
      </c>
      <c r="E364" t="s">
        <v>83</v>
      </c>
      <c r="F364" s="75" t="s">
        <v>516</v>
      </c>
    </row>
    <row r="365" spans="1:6" x14ac:dyDescent="0.25">
      <c r="A365">
        <v>2013</v>
      </c>
      <c r="B365" t="s">
        <v>4</v>
      </c>
      <c r="C365" t="s">
        <v>8</v>
      </c>
      <c r="D365" t="s">
        <v>85</v>
      </c>
      <c r="E365" t="s">
        <v>83</v>
      </c>
      <c r="F365" s="75" t="s">
        <v>517</v>
      </c>
    </row>
    <row r="366" spans="1:6" x14ac:dyDescent="0.25">
      <c r="A366">
        <v>2013</v>
      </c>
      <c r="B366" t="s">
        <v>6</v>
      </c>
      <c r="C366" t="s">
        <v>8</v>
      </c>
      <c r="D366" t="s">
        <v>85</v>
      </c>
      <c r="E366" t="s">
        <v>83</v>
      </c>
      <c r="F366" s="75" t="s">
        <v>518</v>
      </c>
    </row>
    <row r="367" spans="1:6" x14ac:dyDescent="0.25">
      <c r="A367">
        <v>2013</v>
      </c>
      <c r="B367" t="s">
        <v>7</v>
      </c>
      <c r="C367" t="s">
        <v>8</v>
      </c>
      <c r="D367" t="s">
        <v>85</v>
      </c>
      <c r="E367" t="s">
        <v>83</v>
      </c>
      <c r="F367" s="75" t="s">
        <v>519</v>
      </c>
    </row>
    <row r="368" spans="1:6" x14ac:dyDescent="0.25">
      <c r="A368">
        <v>2013</v>
      </c>
      <c r="B368" t="s">
        <v>4</v>
      </c>
      <c r="C368" t="s">
        <v>9</v>
      </c>
      <c r="D368" t="s">
        <v>85</v>
      </c>
      <c r="E368" t="s">
        <v>83</v>
      </c>
      <c r="F368" s="75" t="s">
        <v>520</v>
      </c>
    </row>
    <row r="369" spans="1:6" x14ac:dyDescent="0.25">
      <c r="A369">
        <v>2013</v>
      </c>
      <c r="B369" t="s">
        <v>6</v>
      </c>
      <c r="C369" t="s">
        <v>9</v>
      </c>
      <c r="D369" t="s">
        <v>85</v>
      </c>
      <c r="E369" t="s">
        <v>83</v>
      </c>
      <c r="F369" s="75" t="s">
        <v>521</v>
      </c>
    </row>
    <row r="370" spans="1:6" x14ac:dyDescent="0.25">
      <c r="A370">
        <v>2013</v>
      </c>
      <c r="B370" t="s">
        <v>7</v>
      </c>
      <c r="C370" t="s">
        <v>9</v>
      </c>
      <c r="D370" t="s">
        <v>85</v>
      </c>
      <c r="E370" t="s">
        <v>83</v>
      </c>
      <c r="F370" s="75" t="s">
        <v>522</v>
      </c>
    </row>
    <row r="371" spans="1:6" x14ac:dyDescent="0.25">
      <c r="A371">
        <v>2013</v>
      </c>
      <c r="B371" t="s">
        <v>4</v>
      </c>
      <c r="C371" t="s">
        <v>10</v>
      </c>
      <c r="D371" t="s">
        <v>85</v>
      </c>
      <c r="E371" t="s">
        <v>83</v>
      </c>
      <c r="F371" s="75" t="s">
        <v>523</v>
      </c>
    </row>
    <row r="372" spans="1:6" x14ac:dyDescent="0.25">
      <c r="A372">
        <v>2013</v>
      </c>
      <c r="B372" t="s">
        <v>6</v>
      </c>
      <c r="C372" t="s">
        <v>10</v>
      </c>
      <c r="D372" t="s">
        <v>85</v>
      </c>
      <c r="E372" t="s">
        <v>83</v>
      </c>
      <c r="F372" s="75" t="s">
        <v>524</v>
      </c>
    </row>
    <row r="373" spans="1:6" x14ac:dyDescent="0.25">
      <c r="A373">
        <v>2013</v>
      </c>
      <c r="B373" t="s">
        <v>7</v>
      </c>
      <c r="C373" t="s">
        <v>10</v>
      </c>
      <c r="D373" t="s">
        <v>85</v>
      </c>
      <c r="E373" t="s">
        <v>83</v>
      </c>
      <c r="F373" s="75" t="s">
        <v>525</v>
      </c>
    </row>
    <row r="374" spans="1:6" x14ac:dyDescent="0.25">
      <c r="A374">
        <v>2012</v>
      </c>
      <c r="B374" t="s">
        <v>4</v>
      </c>
      <c r="C374" t="s">
        <v>501</v>
      </c>
      <c r="D374" t="s">
        <v>85</v>
      </c>
      <c r="E374" t="s">
        <v>83</v>
      </c>
      <c r="F374" s="75" t="s">
        <v>302</v>
      </c>
    </row>
    <row r="375" spans="1:6" x14ac:dyDescent="0.25">
      <c r="A375">
        <v>2012</v>
      </c>
      <c r="B375" t="s">
        <v>6</v>
      </c>
      <c r="C375" t="s">
        <v>501</v>
      </c>
      <c r="D375" t="s">
        <v>85</v>
      </c>
      <c r="E375" t="s">
        <v>83</v>
      </c>
      <c r="F375" s="75" t="s">
        <v>303</v>
      </c>
    </row>
    <row r="376" spans="1:6" x14ac:dyDescent="0.25">
      <c r="A376">
        <v>2012</v>
      </c>
      <c r="B376" t="s">
        <v>7</v>
      </c>
      <c r="C376" t="s">
        <v>501</v>
      </c>
      <c r="D376" t="s">
        <v>85</v>
      </c>
      <c r="E376" t="s">
        <v>83</v>
      </c>
      <c r="F376" s="75" t="s">
        <v>304</v>
      </c>
    </row>
    <row r="377" spans="1:6" x14ac:dyDescent="0.25">
      <c r="A377">
        <v>2012</v>
      </c>
      <c r="B377" t="s">
        <v>4</v>
      </c>
      <c r="C377" t="s">
        <v>8</v>
      </c>
      <c r="D377" t="s">
        <v>85</v>
      </c>
      <c r="E377" t="s">
        <v>83</v>
      </c>
      <c r="F377" s="75" t="s">
        <v>305</v>
      </c>
    </row>
    <row r="378" spans="1:6" x14ac:dyDescent="0.25">
      <c r="A378">
        <v>2012</v>
      </c>
      <c r="B378" t="s">
        <v>6</v>
      </c>
      <c r="C378" t="s">
        <v>8</v>
      </c>
      <c r="D378" t="s">
        <v>85</v>
      </c>
      <c r="E378" t="s">
        <v>83</v>
      </c>
      <c r="F378" s="75" t="s">
        <v>306</v>
      </c>
    </row>
    <row r="379" spans="1:6" x14ac:dyDescent="0.25">
      <c r="A379">
        <v>2012</v>
      </c>
      <c r="B379" t="s">
        <v>7</v>
      </c>
      <c r="C379" t="s">
        <v>8</v>
      </c>
      <c r="D379" t="s">
        <v>85</v>
      </c>
      <c r="E379" t="s">
        <v>83</v>
      </c>
      <c r="F379" s="75" t="s">
        <v>307</v>
      </c>
    </row>
    <row r="380" spans="1:6" x14ac:dyDescent="0.25">
      <c r="A380">
        <v>2012</v>
      </c>
      <c r="B380" t="s">
        <v>4</v>
      </c>
      <c r="C380" t="s">
        <v>9</v>
      </c>
      <c r="D380" t="s">
        <v>85</v>
      </c>
      <c r="E380" t="s">
        <v>83</v>
      </c>
      <c r="F380" s="75" t="s">
        <v>308</v>
      </c>
    </row>
    <row r="381" spans="1:6" x14ac:dyDescent="0.25">
      <c r="A381">
        <v>2012</v>
      </c>
      <c r="B381" t="s">
        <v>6</v>
      </c>
      <c r="C381" t="s">
        <v>9</v>
      </c>
      <c r="D381" t="s">
        <v>85</v>
      </c>
      <c r="E381" t="s">
        <v>83</v>
      </c>
      <c r="F381" s="75" t="s">
        <v>309</v>
      </c>
    </row>
    <row r="382" spans="1:6" x14ac:dyDescent="0.25">
      <c r="A382">
        <v>2012</v>
      </c>
      <c r="B382" t="s">
        <v>7</v>
      </c>
      <c r="C382" t="s">
        <v>9</v>
      </c>
      <c r="D382" t="s">
        <v>85</v>
      </c>
      <c r="E382" t="s">
        <v>83</v>
      </c>
      <c r="F382" s="75" t="s">
        <v>310</v>
      </c>
    </row>
    <row r="383" spans="1:6" x14ac:dyDescent="0.25">
      <c r="A383">
        <v>2012</v>
      </c>
      <c r="B383" t="s">
        <v>4</v>
      </c>
      <c r="C383" t="s">
        <v>10</v>
      </c>
      <c r="D383" t="s">
        <v>85</v>
      </c>
      <c r="E383" t="s">
        <v>83</v>
      </c>
      <c r="F383" s="75" t="s">
        <v>311</v>
      </c>
    </row>
    <row r="384" spans="1:6" x14ac:dyDescent="0.25">
      <c r="A384">
        <v>2012</v>
      </c>
      <c r="B384" t="s">
        <v>6</v>
      </c>
      <c r="C384" t="s">
        <v>10</v>
      </c>
      <c r="D384" t="s">
        <v>85</v>
      </c>
      <c r="E384" t="s">
        <v>83</v>
      </c>
      <c r="F384" s="75" t="s">
        <v>312</v>
      </c>
    </row>
    <row r="385" spans="1:6" x14ac:dyDescent="0.25">
      <c r="A385">
        <v>2012</v>
      </c>
      <c r="B385" t="s">
        <v>7</v>
      </c>
      <c r="C385" t="s">
        <v>10</v>
      </c>
      <c r="D385" t="s">
        <v>85</v>
      </c>
      <c r="E385" t="s">
        <v>83</v>
      </c>
      <c r="F385" s="75" t="s">
        <v>313</v>
      </c>
    </row>
    <row r="386" spans="1:6" x14ac:dyDescent="0.25">
      <c r="A386">
        <v>2011</v>
      </c>
      <c r="B386" t="s">
        <v>4</v>
      </c>
      <c r="C386" t="s">
        <v>501</v>
      </c>
      <c r="D386" t="s">
        <v>85</v>
      </c>
      <c r="E386" t="s">
        <v>83</v>
      </c>
      <c r="F386" s="75" t="s">
        <v>314</v>
      </c>
    </row>
    <row r="387" spans="1:6" x14ac:dyDescent="0.25">
      <c r="A387">
        <v>2011</v>
      </c>
      <c r="B387" t="s">
        <v>6</v>
      </c>
      <c r="C387" t="s">
        <v>501</v>
      </c>
      <c r="D387" t="s">
        <v>85</v>
      </c>
      <c r="E387" t="s">
        <v>83</v>
      </c>
      <c r="F387" s="75" t="s">
        <v>315</v>
      </c>
    </row>
    <row r="388" spans="1:6" x14ac:dyDescent="0.25">
      <c r="A388">
        <v>2011</v>
      </c>
      <c r="B388" t="s">
        <v>7</v>
      </c>
      <c r="C388" t="s">
        <v>501</v>
      </c>
      <c r="D388" t="s">
        <v>85</v>
      </c>
      <c r="E388" t="s">
        <v>83</v>
      </c>
      <c r="F388" s="75" t="s">
        <v>316</v>
      </c>
    </row>
    <row r="389" spans="1:6" x14ac:dyDescent="0.25">
      <c r="A389">
        <v>2011</v>
      </c>
      <c r="B389" t="s">
        <v>4</v>
      </c>
      <c r="C389" t="s">
        <v>8</v>
      </c>
      <c r="D389" t="s">
        <v>85</v>
      </c>
      <c r="E389" t="s">
        <v>83</v>
      </c>
      <c r="F389" s="75" t="s">
        <v>317</v>
      </c>
    </row>
    <row r="390" spans="1:6" x14ac:dyDescent="0.25">
      <c r="A390">
        <v>2011</v>
      </c>
      <c r="B390" t="s">
        <v>6</v>
      </c>
      <c r="C390" t="s">
        <v>8</v>
      </c>
      <c r="D390" t="s">
        <v>85</v>
      </c>
      <c r="E390" t="s">
        <v>83</v>
      </c>
      <c r="F390" s="75" t="s">
        <v>318</v>
      </c>
    </row>
    <row r="391" spans="1:6" x14ac:dyDescent="0.25">
      <c r="A391">
        <v>2011</v>
      </c>
      <c r="B391" t="s">
        <v>7</v>
      </c>
      <c r="C391" t="s">
        <v>8</v>
      </c>
      <c r="D391" t="s">
        <v>85</v>
      </c>
      <c r="E391" t="s">
        <v>83</v>
      </c>
      <c r="F391" s="75" t="s">
        <v>319</v>
      </c>
    </row>
    <row r="392" spans="1:6" x14ac:dyDescent="0.25">
      <c r="A392">
        <v>2011</v>
      </c>
      <c r="B392" t="s">
        <v>4</v>
      </c>
      <c r="C392" t="s">
        <v>9</v>
      </c>
      <c r="D392" t="s">
        <v>85</v>
      </c>
      <c r="E392" t="s">
        <v>83</v>
      </c>
      <c r="F392" s="75" t="s">
        <v>320</v>
      </c>
    </row>
    <row r="393" spans="1:6" x14ac:dyDescent="0.25">
      <c r="A393">
        <v>2011</v>
      </c>
      <c r="B393" t="s">
        <v>6</v>
      </c>
      <c r="C393" t="s">
        <v>9</v>
      </c>
      <c r="D393" t="s">
        <v>85</v>
      </c>
      <c r="E393" t="s">
        <v>83</v>
      </c>
      <c r="F393" s="75" t="s">
        <v>321</v>
      </c>
    </row>
    <row r="394" spans="1:6" x14ac:dyDescent="0.25">
      <c r="A394">
        <v>2011</v>
      </c>
      <c r="B394" t="s">
        <v>7</v>
      </c>
      <c r="C394" t="s">
        <v>9</v>
      </c>
      <c r="D394" t="s">
        <v>85</v>
      </c>
      <c r="E394" t="s">
        <v>83</v>
      </c>
      <c r="F394" s="75" t="s">
        <v>322</v>
      </c>
    </row>
    <row r="395" spans="1:6" x14ac:dyDescent="0.25">
      <c r="A395">
        <v>2011</v>
      </c>
      <c r="B395" t="s">
        <v>4</v>
      </c>
      <c r="C395" t="s">
        <v>10</v>
      </c>
      <c r="D395" t="s">
        <v>85</v>
      </c>
      <c r="E395" t="s">
        <v>83</v>
      </c>
      <c r="F395" s="75" t="s">
        <v>323</v>
      </c>
    </row>
    <row r="396" spans="1:6" x14ac:dyDescent="0.25">
      <c r="A396">
        <v>2011</v>
      </c>
      <c r="B396" t="s">
        <v>6</v>
      </c>
      <c r="C396" t="s">
        <v>10</v>
      </c>
      <c r="D396" t="s">
        <v>85</v>
      </c>
      <c r="E396" t="s">
        <v>83</v>
      </c>
      <c r="F396" s="75" t="s">
        <v>324</v>
      </c>
    </row>
    <row r="397" spans="1:6" x14ac:dyDescent="0.25">
      <c r="A397">
        <v>2011</v>
      </c>
      <c r="B397" t="s">
        <v>7</v>
      </c>
      <c r="C397" t="s">
        <v>10</v>
      </c>
      <c r="D397" t="s">
        <v>85</v>
      </c>
      <c r="E397" t="s">
        <v>83</v>
      </c>
      <c r="F397" s="75" t="s">
        <v>325</v>
      </c>
    </row>
    <row r="398" spans="1:6" x14ac:dyDescent="0.25">
      <c r="A398">
        <v>2010</v>
      </c>
      <c r="B398" t="s">
        <v>4</v>
      </c>
      <c r="C398" t="s">
        <v>501</v>
      </c>
      <c r="D398" t="s">
        <v>85</v>
      </c>
      <c r="E398" t="s">
        <v>83</v>
      </c>
      <c r="F398" s="75" t="s">
        <v>458</v>
      </c>
    </row>
    <row r="399" spans="1:6" x14ac:dyDescent="0.25">
      <c r="A399">
        <v>2010</v>
      </c>
      <c r="B399" t="s">
        <v>6</v>
      </c>
      <c r="C399" t="s">
        <v>501</v>
      </c>
      <c r="D399" t="s">
        <v>85</v>
      </c>
      <c r="E399" t="s">
        <v>83</v>
      </c>
      <c r="F399" s="75" t="s">
        <v>459</v>
      </c>
    </row>
    <row r="400" spans="1:6" x14ac:dyDescent="0.25">
      <c r="A400">
        <v>2010</v>
      </c>
      <c r="B400" t="s">
        <v>7</v>
      </c>
      <c r="C400" t="s">
        <v>501</v>
      </c>
      <c r="D400" t="s">
        <v>85</v>
      </c>
      <c r="E400" t="s">
        <v>83</v>
      </c>
      <c r="F400" s="75" t="s">
        <v>460</v>
      </c>
    </row>
    <row r="401" spans="1:6" x14ac:dyDescent="0.25">
      <c r="A401">
        <v>2010</v>
      </c>
      <c r="B401" t="s">
        <v>4</v>
      </c>
      <c r="C401" t="s">
        <v>8</v>
      </c>
      <c r="D401" t="s">
        <v>85</v>
      </c>
      <c r="E401" t="s">
        <v>83</v>
      </c>
      <c r="F401" s="75" t="s">
        <v>461</v>
      </c>
    </row>
    <row r="402" spans="1:6" x14ac:dyDescent="0.25">
      <c r="A402">
        <v>2010</v>
      </c>
      <c r="B402" t="s">
        <v>6</v>
      </c>
      <c r="C402" t="s">
        <v>8</v>
      </c>
      <c r="D402" t="s">
        <v>85</v>
      </c>
      <c r="E402" t="s">
        <v>83</v>
      </c>
      <c r="F402" s="75" t="s">
        <v>462</v>
      </c>
    </row>
    <row r="403" spans="1:6" x14ac:dyDescent="0.25">
      <c r="A403">
        <v>2010</v>
      </c>
      <c r="B403" t="s">
        <v>7</v>
      </c>
      <c r="C403" t="s">
        <v>8</v>
      </c>
      <c r="D403" t="s">
        <v>85</v>
      </c>
      <c r="E403" t="s">
        <v>83</v>
      </c>
      <c r="F403" s="75" t="s">
        <v>463</v>
      </c>
    </row>
    <row r="404" spans="1:6" x14ac:dyDescent="0.25">
      <c r="A404">
        <v>2010</v>
      </c>
      <c r="B404" t="s">
        <v>4</v>
      </c>
      <c r="C404" t="s">
        <v>9</v>
      </c>
      <c r="D404" t="s">
        <v>85</v>
      </c>
      <c r="E404" t="s">
        <v>83</v>
      </c>
      <c r="F404" s="75" t="s">
        <v>464</v>
      </c>
    </row>
    <row r="405" spans="1:6" x14ac:dyDescent="0.25">
      <c r="A405">
        <v>2010</v>
      </c>
      <c r="B405" t="s">
        <v>6</v>
      </c>
      <c r="C405" t="s">
        <v>9</v>
      </c>
      <c r="D405" t="s">
        <v>85</v>
      </c>
      <c r="E405" t="s">
        <v>83</v>
      </c>
      <c r="F405" s="75" t="s">
        <v>465</v>
      </c>
    </row>
    <row r="406" spans="1:6" x14ac:dyDescent="0.25">
      <c r="A406">
        <v>2010</v>
      </c>
      <c r="B406" t="s">
        <v>7</v>
      </c>
      <c r="C406" t="s">
        <v>9</v>
      </c>
      <c r="D406" t="s">
        <v>85</v>
      </c>
      <c r="E406" t="s">
        <v>83</v>
      </c>
      <c r="F406" s="75" t="s">
        <v>466</v>
      </c>
    </row>
    <row r="407" spans="1:6" x14ac:dyDescent="0.25">
      <c r="A407">
        <v>2010</v>
      </c>
      <c r="B407" t="s">
        <v>4</v>
      </c>
      <c r="C407" t="s">
        <v>10</v>
      </c>
      <c r="D407" t="s">
        <v>85</v>
      </c>
      <c r="E407" t="s">
        <v>83</v>
      </c>
      <c r="F407" s="75" t="s">
        <v>467</v>
      </c>
    </row>
    <row r="408" spans="1:6" x14ac:dyDescent="0.25">
      <c r="A408">
        <v>2010</v>
      </c>
      <c r="B408" t="s">
        <v>6</v>
      </c>
      <c r="C408" t="s">
        <v>10</v>
      </c>
      <c r="D408" t="s">
        <v>85</v>
      </c>
      <c r="E408" t="s">
        <v>83</v>
      </c>
      <c r="F408" s="75" t="s">
        <v>468</v>
      </c>
    </row>
    <row r="409" spans="1:6" x14ac:dyDescent="0.25">
      <c r="A409">
        <v>2010</v>
      </c>
      <c r="B409" t="s">
        <v>7</v>
      </c>
      <c r="C409" t="s">
        <v>10</v>
      </c>
      <c r="D409" t="s">
        <v>85</v>
      </c>
      <c r="E409" t="s">
        <v>83</v>
      </c>
      <c r="F409" s="75" t="s">
        <v>469</v>
      </c>
    </row>
    <row r="410" spans="1:6" x14ac:dyDescent="0.25">
      <c r="A410">
        <v>2006</v>
      </c>
      <c r="B410" t="s">
        <v>4</v>
      </c>
      <c r="C410" t="s">
        <v>501</v>
      </c>
      <c r="D410" t="s">
        <v>85</v>
      </c>
      <c r="E410" t="s">
        <v>83</v>
      </c>
      <c r="F410" s="75" t="s">
        <v>470</v>
      </c>
    </row>
    <row r="411" spans="1:6" x14ac:dyDescent="0.25">
      <c r="A411">
        <v>2006</v>
      </c>
      <c r="B411" t="s">
        <v>6</v>
      </c>
      <c r="C411" t="s">
        <v>501</v>
      </c>
      <c r="D411" t="s">
        <v>85</v>
      </c>
      <c r="E411" t="s">
        <v>83</v>
      </c>
      <c r="F411" s="75" t="s">
        <v>471</v>
      </c>
    </row>
    <row r="412" spans="1:6" x14ac:dyDescent="0.25">
      <c r="A412">
        <v>2006</v>
      </c>
      <c r="B412" t="s">
        <v>7</v>
      </c>
      <c r="C412" t="s">
        <v>501</v>
      </c>
      <c r="D412" t="s">
        <v>85</v>
      </c>
      <c r="E412" t="s">
        <v>83</v>
      </c>
      <c r="F412" s="75" t="s">
        <v>472</v>
      </c>
    </row>
    <row r="413" spans="1:6" x14ac:dyDescent="0.25">
      <c r="A413">
        <v>2006</v>
      </c>
      <c r="B413" t="s">
        <v>4</v>
      </c>
      <c r="C413" t="s">
        <v>8</v>
      </c>
      <c r="D413" t="s">
        <v>85</v>
      </c>
      <c r="E413" t="s">
        <v>83</v>
      </c>
      <c r="F413" s="75" t="s">
        <v>473</v>
      </c>
    </row>
    <row r="414" spans="1:6" x14ac:dyDescent="0.25">
      <c r="A414">
        <v>2006</v>
      </c>
      <c r="B414" t="s">
        <v>6</v>
      </c>
      <c r="C414" t="s">
        <v>8</v>
      </c>
      <c r="D414" t="s">
        <v>85</v>
      </c>
      <c r="E414" t="s">
        <v>83</v>
      </c>
      <c r="F414" s="75" t="s">
        <v>474</v>
      </c>
    </row>
    <row r="415" spans="1:6" x14ac:dyDescent="0.25">
      <c r="A415">
        <v>2006</v>
      </c>
      <c r="B415" t="s">
        <v>7</v>
      </c>
      <c r="C415" t="s">
        <v>8</v>
      </c>
      <c r="D415" t="s">
        <v>85</v>
      </c>
      <c r="E415" t="s">
        <v>83</v>
      </c>
      <c r="F415" s="75" t="s">
        <v>475</v>
      </c>
    </row>
    <row r="416" spans="1:6" x14ac:dyDescent="0.25">
      <c r="A416">
        <v>2006</v>
      </c>
      <c r="B416" t="s">
        <v>4</v>
      </c>
      <c r="C416" t="s">
        <v>9</v>
      </c>
      <c r="D416" t="s">
        <v>85</v>
      </c>
      <c r="E416" t="s">
        <v>83</v>
      </c>
      <c r="F416" s="75" t="s">
        <v>476</v>
      </c>
    </row>
    <row r="417" spans="1:6" x14ac:dyDescent="0.25">
      <c r="A417">
        <v>2006</v>
      </c>
      <c r="B417" t="s">
        <v>6</v>
      </c>
      <c r="C417" t="s">
        <v>9</v>
      </c>
      <c r="D417" t="s">
        <v>85</v>
      </c>
      <c r="E417" t="s">
        <v>83</v>
      </c>
      <c r="F417" s="75" t="s">
        <v>477</v>
      </c>
    </row>
    <row r="418" spans="1:6" x14ac:dyDescent="0.25">
      <c r="A418">
        <v>2006</v>
      </c>
      <c r="B418" t="s">
        <v>7</v>
      </c>
      <c r="C418" t="s">
        <v>9</v>
      </c>
      <c r="D418" t="s">
        <v>85</v>
      </c>
      <c r="E418" t="s">
        <v>83</v>
      </c>
      <c r="F418" s="75" t="s">
        <v>478</v>
      </c>
    </row>
    <row r="419" spans="1:6" x14ac:dyDescent="0.25">
      <c r="A419">
        <v>2006</v>
      </c>
      <c r="B419" t="s">
        <v>4</v>
      </c>
      <c r="C419" t="s">
        <v>10</v>
      </c>
      <c r="D419" t="s">
        <v>85</v>
      </c>
      <c r="E419" t="s">
        <v>83</v>
      </c>
      <c r="F419" s="75" t="s">
        <v>479</v>
      </c>
    </row>
    <row r="420" spans="1:6" x14ac:dyDescent="0.25">
      <c r="A420">
        <v>2006</v>
      </c>
      <c r="B420" t="s">
        <v>6</v>
      </c>
      <c r="C420" t="s">
        <v>10</v>
      </c>
      <c r="D420" t="s">
        <v>85</v>
      </c>
      <c r="E420" t="s">
        <v>83</v>
      </c>
      <c r="F420" s="75" t="s">
        <v>480</v>
      </c>
    </row>
    <row r="421" spans="1:6" x14ac:dyDescent="0.25">
      <c r="A421">
        <v>2006</v>
      </c>
      <c r="B421" t="s">
        <v>7</v>
      </c>
      <c r="C421" t="s">
        <v>10</v>
      </c>
      <c r="D421" t="s">
        <v>85</v>
      </c>
      <c r="E421" t="s">
        <v>83</v>
      </c>
      <c r="F421" s="75" t="s">
        <v>481</v>
      </c>
    </row>
    <row r="422" spans="1:6" x14ac:dyDescent="0.25">
      <c r="A422">
        <v>2005</v>
      </c>
      <c r="B422" t="s">
        <v>4</v>
      </c>
      <c r="C422" t="s">
        <v>501</v>
      </c>
      <c r="D422" t="s">
        <v>85</v>
      </c>
      <c r="E422" t="s">
        <v>83</v>
      </c>
      <c r="F422" s="75" t="s">
        <v>482</v>
      </c>
    </row>
    <row r="423" spans="1:6" x14ac:dyDescent="0.25">
      <c r="A423">
        <v>2005</v>
      </c>
      <c r="B423" t="s">
        <v>6</v>
      </c>
      <c r="C423" t="s">
        <v>501</v>
      </c>
      <c r="D423" t="s">
        <v>85</v>
      </c>
      <c r="E423" t="s">
        <v>83</v>
      </c>
      <c r="F423" s="75" t="s">
        <v>483</v>
      </c>
    </row>
    <row r="424" spans="1:6" x14ac:dyDescent="0.25">
      <c r="A424">
        <v>2005</v>
      </c>
      <c r="B424" t="s">
        <v>7</v>
      </c>
      <c r="C424" t="s">
        <v>501</v>
      </c>
      <c r="D424" t="s">
        <v>85</v>
      </c>
      <c r="E424" t="s">
        <v>83</v>
      </c>
      <c r="F424" s="75" t="s">
        <v>484</v>
      </c>
    </row>
    <row r="425" spans="1:6" x14ac:dyDescent="0.25">
      <c r="A425">
        <v>2005</v>
      </c>
      <c r="B425" t="s">
        <v>4</v>
      </c>
      <c r="C425" t="s">
        <v>8</v>
      </c>
      <c r="D425" t="s">
        <v>85</v>
      </c>
      <c r="E425" t="s">
        <v>83</v>
      </c>
      <c r="F425" s="75" t="s">
        <v>485</v>
      </c>
    </row>
    <row r="426" spans="1:6" x14ac:dyDescent="0.25">
      <c r="A426">
        <v>2005</v>
      </c>
      <c r="B426" t="s">
        <v>6</v>
      </c>
      <c r="C426" t="s">
        <v>8</v>
      </c>
      <c r="D426" t="s">
        <v>85</v>
      </c>
      <c r="E426" t="s">
        <v>83</v>
      </c>
      <c r="F426" s="75" t="s">
        <v>486</v>
      </c>
    </row>
    <row r="427" spans="1:6" x14ac:dyDescent="0.25">
      <c r="A427">
        <v>2005</v>
      </c>
      <c r="B427" t="s">
        <v>7</v>
      </c>
      <c r="C427" t="s">
        <v>8</v>
      </c>
      <c r="D427" t="s">
        <v>85</v>
      </c>
      <c r="E427" t="s">
        <v>83</v>
      </c>
      <c r="F427" s="75" t="s">
        <v>487</v>
      </c>
    </row>
    <row r="428" spans="1:6" x14ac:dyDescent="0.25">
      <c r="A428">
        <v>2005</v>
      </c>
      <c r="B428" t="s">
        <v>4</v>
      </c>
      <c r="C428" t="s">
        <v>9</v>
      </c>
      <c r="D428" t="s">
        <v>85</v>
      </c>
      <c r="E428" t="s">
        <v>83</v>
      </c>
      <c r="F428" s="75" t="s">
        <v>488</v>
      </c>
    </row>
    <row r="429" spans="1:6" x14ac:dyDescent="0.25">
      <c r="A429">
        <v>2005</v>
      </c>
      <c r="B429" t="s">
        <v>6</v>
      </c>
      <c r="C429" t="s">
        <v>9</v>
      </c>
      <c r="D429" t="s">
        <v>85</v>
      </c>
      <c r="E429" t="s">
        <v>83</v>
      </c>
      <c r="F429" s="75" t="s">
        <v>489</v>
      </c>
    </row>
    <row r="430" spans="1:6" x14ac:dyDescent="0.25">
      <c r="A430">
        <v>2005</v>
      </c>
      <c r="B430" t="s">
        <v>7</v>
      </c>
      <c r="C430" t="s">
        <v>9</v>
      </c>
      <c r="D430" t="s">
        <v>85</v>
      </c>
      <c r="E430" t="s">
        <v>83</v>
      </c>
      <c r="F430" s="75" t="s">
        <v>490</v>
      </c>
    </row>
    <row r="431" spans="1:6" x14ac:dyDescent="0.25">
      <c r="A431">
        <v>2005</v>
      </c>
      <c r="B431" t="s">
        <v>4</v>
      </c>
      <c r="C431" t="s">
        <v>10</v>
      </c>
      <c r="D431" t="s">
        <v>85</v>
      </c>
      <c r="E431" t="s">
        <v>83</v>
      </c>
      <c r="F431" s="75" t="s">
        <v>491</v>
      </c>
    </row>
    <row r="432" spans="1:6" x14ac:dyDescent="0.25">
      <c r="A432">
        <v>2005</v>
      </c>
      <c r="B432" t="s">
        <v>6</v>
      </c>
      <c r="C432" t="s">
        <v>10</v>
      </c>
      <c r="D432" t="s">
        <v>85</v>
      </c>
      <c r="E432" t="s">
        <v>83</v>
      </c>
      <c r="F432" s="75" t="s">
        <v>492</v>
      </c>
    </row>
    <row r="433" spans="1:6" x14ac:dyDescent="0.25">
      <c r="A433">
        <v>2005</v>
      </c>
      <c r="B433" t="s">
        <v>7</v>
      </c>
      <c r="C433" t="s">
        <v>10</v>
      </c>
      <c r="D433" t="s">
        <v>85</v>
      </c>
      <c r="E433" t="s">
        <v>83</v>
      </c>
      <c r="F433" s="75" t="s">
        <v>493</v>
      </c>
    </row>
    <row r="434" spans="1:6" x14ac:dyDescent="0.25">
      <c r="F434" s="75" t="s">
        <v>17</v>
      </c>
    </row>
    <row r="435" spans="1:6" x14ac:dyDescent="0.25">
      <c r="F435" s="75" t="s">
        <v>17</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K26"/>
  <sheetViews>
    <sheetView workbookViewId="0">
      <selection sqref="A1:H1"/>
    </sheetView>
  </sheetViews>
  <sheetFormatPr baseColWidth="10" defaultRowHeight="15" x14ac:dyDescent="0.25"/>
  <cols>
    <col min="4" max="4" width="13.7109375" customWidth="1"/>
    <col min="5" max="5" width="14.42578125" customWidth="1"/>
    <col min="7" max="7" width="14.7109375" customWidth="1"/>
    <col min="8" max="8" width="16.5703125" customWidth="1"/>
  </cols>
  <sheetData>
    <row r="1" spans="1:11" ht="30" customHeight="1" x14ac:dyDescent="0.25">
      <c r="A1" s="99" t="s">
        <v>29</v>
      </c>
      <c r="B1" s="99"/>
      <c r="C1" s="99"/>
      <c r="D1" s="99"/>
      <c r="E1" s="99"/>
      <c r="F1" s="99"/>
      <c r="G1" s="99"/>
      <c r="H1" s="99"/>
    </row>
    <row r="2" spans="1:11" ht="30" customHeight="1" x14ac:dyDescent="0.25">
      <c r="A2" s="9" t="s">
        <v>77</v>
      </c>
      <c r="B2" s="10"/>
      <c r="C2" s="10"/>
      <c r="D2" s="10"/>
      <c r="E2" s="10"/>
      <c r="F2" s="10"/>
      <c r="G2" s="10"/>
      <c r="H2" s="10"/>
    </row>
    <row r="3" spans="1:11" x14ac:dyDescent="0.25">
      <c r="A3" s="9"/>
      <c r="B3" s="10"/>
      <c r="C3" s="10"/>
      <c r="D3" s="10"/>
      <c r="E3" s="10"/>
      <c r="F3" s="10"/>
      <c r="G3" s="10"/>
      <c r="H3" s="10"/>
    </row>
    <row r="4" spans="1:11" ht="8.25" customHeight="1" x14ac:dyDescent="0.25">
      <c r="A4" s="87" t="s">
        <v>0</v>
      </c>
      <c r="B4" s="80" t="s">
        <v>1</v>
      </c>
      <c r="C4" s="100" t="s">
        <v>30</v>
      </c>
      <c r="D4" s="100"/>
      <c r="E4" s="100"/>
      <c r="F4" s="100"/>
      <c r="G4" s="100"/>
      <c r="H4" s="100"/>
    </row>
    <row r="5" spans="1:11" ht="8.25" customHeight="1" x14ac:dyDescent="0.25">
      <c r="A5" s="88"/>
      <c r="B5" s="90"/>
      <c r="C5" s="101">
        <v>2005</v>
      </c>
      <c r="D5" s="91"/>
      <c r="E5" s="91"/>
      <c r="F5" s="91" t="s">
        <v>76</v>
      </c>
      <c r="G5" s="91"/>
      <c r="H5" s="92"/>
    </row>
    <row r="6" spans="1:11" ht="8.25" customHeight="1" x14ac:dyDescent="0.25">
      <c r="A6" s="88"/>
      <c r="B6" s="90"/>
      <c r="C6" s="11" t="s">
        <v>12</v>
      </c>
      <c r="D6" s="3" t="s">
        <v>41</v>
      </c>
      <c r="E6" s="3" t="s">
        <v>31</v>
      </c>
      <c r="F6" s="3" t="s">
        <v>12</v>
      </c>
      <c r="G6" s="3" t="s">
        <v>41</v>
      </c>
      <c r="H6" s="4" t="s">
        <v>31</v>
      </c>
    </row>
    <row r="7" spans="1:11" ht="8.25" customHeight="1" x14ac:dyDescent="0.25">
      <c r="A7" s="89"/>
      <c r="B7" s="81"/>
      <c r="C7" s="101" t="s">
        <v>16</v>
      </c>
      <c r="D7" s="91"/>
      <c r="E7" s="91"/>
      <c r="F7" s="91"/>
      <c r="G7" s="91"/>
      <c r="H7" s="92"/>
    </row>
    <row r="8" spans="1:11" ht="8.25" customHeight="1" x14ac:dyDescent="0.25">
      <c r="A8" s="13" t="s">
        <v>2</v>
      </c>
      <c r="B8" s="13" t="s">
        <v>3</v>
      </c>
      <c r="C8" s="13" t="s">
        <v>32</v>
      </c>
      <c r="D8" s="13" t="s">
        <v>33</v>
      </c>
      <c r="E8" s="13" t="s">
        <v>34</v>
      </c>
      <c r="F8" s="13" t="s">
        <v>35</v>
      </c>
      <c r="G8" s="13" t="s">
        <v>36</v>
      </c>
      <c r="H8" s="13" t="s">
        <v>37</v>
      </c>
      <c r="I8" s="56"/>
      <c r="J8" s="56"/>
      <c r="K8" s="56"/>
    </row>
    <row r="9" spans="1:11" ht="8.25" customHeight="1" x14ac:dyDescent="0.25">
      <c r="A9" s="12" t="s">
        <v>4</v>
      </c>
      <c r="B9" s="12" t="s">
        <v>5</v>
      </c>
      <c r="C9" s="14">
        <v>4.7988791523357115</v>
      </c>
      <c r="D9" s="14">
        <v>9.8395271631659735</v>
      </c>
      <c r="E9" s="14">
        <v>3.2871763022626288</v>
      </c>
      <c r="F9" s="57">
        <v>4.6982988886806689</v>
      </c>
      <c r="G9" s="57">
        <v>2.2291467436960244</v>
      </c>
      <c r="H9" s="57">
        <v>11.588400684422339</v>
      </c>
      <c r="I9" s="55"/>
      <c r="J9" s="55"/>
      <c r="K9" s="55"/>
    </row>
    <row r="10" spans="1:11" ht="8.25" customHeight="1" x14ac:dyDescent="0.25">
      <c r="A10" s="12" t="s">
        <v>6</v>
      </c>
      <c r="B10" s="12" t="s">
        <v>5</v>
      </c>
      <c r="C10" s="14">
        <v>4.3755488185340248</v>
      </c>
      <c r="D10" s="14">
        <v>12.61624825735595</v>
      </c>
      <c r="E10" s="14">
        <v>2.0206492308206041</v>
      </c>
      <c r="F10" s="57">
        <v>4.6485415868115689</v>
      </c>
      <c r="G10" s="57">
        <v>1.9928666094218581</v>
      </c>
      <c r="H10" s="57">
        <v>10.931888033752587</v>
      </c>
      <c r="I10" s="55"/>
      <c r="J10" s="55"/>
      <c r="K10" s="55"/>
    </row>
    <row r="11" spans="1:11" ht="8.25" customHeight="1" x14ac:dyDescent="0.25">
      <c r="A11" s="12" t="s">
        <v>7</v>
      </c>
      <c r="B11" s="12" t="s">
        <v>5</v>
      </c>
      <c r="C11" s="14">
        <v>3.622969814818068</v>
      </c>
      <c r="D11" s="14">
        <v>12.767188287469155</v>
      </c>
      <c r="E11" s="14">
        <v>1.8955267408437952</v>
      </c>
      <c r="F11" s="57">
        <v>4.2069623894442829</v>
      </c>
      <c r="G11" s="57">
        <v>1.9130584896634324</v>
      </c>
      <c r="H11" s="57">
        <v>11.927085726257943</v>
      </c>
      <c r="I11" s="55"/>
      <c r="J11" s="55"/>
      <c r="K11" s="55"/>
    </row>
    <row r="12" spans="1:11" ht="8.25" customHeight="1" x14ac:dyDescent="0.25">
      <c r="A12" s="12" t="s">
        <v>4</v>
      </c>
      <c r="B12" s="15" t="s">
        <v>8</v>
      </c>
      <c r="C12" s="14">
        <v>22.120709603673063</v>
      </c>
      <c r="D12" s="14">
        <v>29.449625043279116</v>
      </c>
      <c r="E12" s="14">
        <v>19.922748939855431</v>
      </c>
      <c r="F12" s="57">
        <v>12.901467185689915</v>
      </c>
      <c r="G12" s="57">
        <v>11.793569434524862</v>
      </c>
      <c r="H12" s="57">
        <v>15.993024935607295</v>
      </c>
      <c r="I12" s="55"/>
      <c r="J12" s="55"/>
      <c r="K12" s="55"/>
    </row>
    <row r="13" spans="1:11" ht="8.25" customHeight="1" x14ac:dyDescent="0.25">
      <c r="A13" s="12" t="s">
        <v>6</v>
      </c>
      <c r="B13" s="15" t="s">
        <v>8</v>
      </c>
      <c r="C13" s="14">
        <v>22.888799820098448</v>
      </c>
      <c r="D13" s="14">
        <v>29.846957422116866</v>
      </c>
      <c r="E13" s="14">
        <v>20.900404328738102</v>
      </c>
      <c r="F13" s="57">
        <v>14.804143160272476</v>
      </c>
      <c r="G13" s="57">
        <v>13.1807434985902</v>
      </c>
      <c r="H13" s="57">
        <v>18.645115069236038</v>
      </c>
      <c r="I13" s="55"/>
      <c r="J13" s="55"/>
      <c r="K13" s="55"/>
    </row>
    <row r="14" spans="1:11" ht="8.25" customHeight="1" x14ac:dyDescent="0.25">
      <c r="A14" s="12" t="s">
        <v>7</v>
      </c>
      <c r="B14" s="15" t="s">
        <v>8</v>
      </c>
      <c r="C14" s="14">
        <v>37.524341462050145</v>
      </c>
      <c r="D14" s="14">
        <v>35.463904279568304</v>
      </c>
      <c r="E14" s="14">
        <v>37.913580679775841</v>
      </c>
      <c r="F14" s="57">
        <v>23.580572938868478</v>
      </c>
      <c r="G14" s="57">
        <v>23.368174845770174</v>
      </c>
      <c r="H14" s="57">
        <v>24.295397982816738</v>
      </c>
      <c r="I14" s="55"/>
      <c r="J14" s="55"/>
      <c r="K14" s="55"/>
    </row>
    <row r="15" spans="1:11" ht="8.25" customHeight="1" x14ac:dyDescent="0.25">
      <c r="A15" s="12" t="s">
        <v>4</v>
      </c>
      <c r="B15" s="15" t="s">
        <v>9</v>
      </c>
      <c r="C15" s="14">
        <v>42.899124175064578</v>
      </c>
      <c r="D15" s="14">
        <v>37.710705625285698</v>
      </c>
      <c r="E15" s="14">
        <v>44.455143881036122</v>
      </c>
      <c r="F15" s="57">
        <v>35.555640135686318</v>
      </c>
      <c r="G15" s="57">
        <v>36.212795946112124</v>
      </c>
      <c r="H15" s="57">
        <v>33.721869100749835</v>
      </c>
      <c r="I15" s="55"/>
      <c r="J15" s="55"/>
      <c r="K15" s="55"/>
    </row>
    <row r="16" spans="1:11" ht="8.25" customHeight="1" x14ac:dyDescent="0.25">
      <c r="A16" s="12" t="s">
        <v>6</v>
      </c>
      <c r="B16" s="15" t="s">
        <v>9</v>
      </c>
      <c r="C16" s="14">
        <v>38.480961097514978</v>
      </c>
      <c r="D16" s="14">
        <v>31.468724501456013</v>
      </c>
      <c r="E16" s="14">
        <v>40.484810767756208</v>
      </c>
      <c r="F16" s="57">
        <v>36.077299684801908</v>
      </c>
      <c r="G16" s="57">
        <v>39.324606196280122</v>
      </c>
      <c r="H16" s="57">
        <v>28.394148695037224</v>
      </c>
      <c r="I16" s="55"/>
      <c r="J16" s="55"/>
      <c r="K16" s="55"/>
    </row>
    <row r="17" spans="1:11" ht="8.25" customHeight="1" x14ac:dyDescent="0.25">
      <c r="A17" s="12" t="s">
        <v>7</v>
      </c>
      <c r="B17" s="15" t="s">
        <v>9</v>
      </c>
      <c r="C17" s="14">
        <v>33.36893491811621</v>
      </c>
      <c r="D17" s="14">
        <v>28.71141948621921</v>
      </c>
      <c r="E17" s="14">
        <v>34.248790746127099</v>
      </c>
      <c r="F17" s="57">
        <v>36.964359350671153</v>
      </c>
      <c r="G17" s="57">
        <v>38.73613337230266</v>
      </c>
      <c r="H17" s="57">
        <v>31.001462151868665</v>
      </c>
      <c r="I17" s="55"/>
      <c r="J17" s="55"/>
      <c r="K17" s="55"/>
    </row>
    <row r="18" spans="1:11" ht="8.25" customHeight="1" x14ac:dyDescent="0.25">
      <c r="A18" s="12" t="s">
        <v>4</v>
      </c>
      <c r="B18" s="15" t="s">
        <v>10</v>
      </c>
      <c r="C18" s="14">
        <v>30.181287068926643</v>
      </c>
      <c r="D18" s="14">
        <v>23.0001421682692</v>
      </c>
      <c r="E18" s="14">
        <v>32.334930876845824</v>
      </c>
      <c r="F18" s="57">
        <v>46.844593789943104</v>
      </c>
      <c r="G18" s="57">
        <v>49.764487875666994</v>
      </c>
      <c r="H18" s="57">
        <v>38.696712165588501</v>
      </c>
      <c r="I18" s="55"/>
      <c r="J18" s="55"/>
      <c r="K18" s="55"/>
    </row>
    <row r="19" spans="1:11" ht="8.25" customHeight="1" x14ac:dyDescent="0.25">
      <c r="A19" s="12" t="s">
        <v>6</v>
      </c>
      <c r="B19" s="15" t="s">
        <v>10</v>
      </c>
      <c r="C19" s="14">
        <v>34.254690263852538</v>
      </c>
      <c r="D19" s="14">
        <v>26.068069819071184</v>
      </c>
      <c r="E19" s="14">
        <v>36.594135672685091</v>
      </c>
      <c r="F19" s="57">
        <v>44.470015568114043</v>
      </c>
      <c r="G19" s="57">
        <v>45.501782182389192</v>
      </c>
      <c r="H19" s="57">
        <v>42.028844621451178</v>
      </c>
      <c r="I19" s="55"/>
      <c r="J19" s="55"/>
      <c r="K19" s="55"/>
    </row>
    <row r="20" spans="1:11" ht="8.25" customHeight="1" x14ac:dyDescent="0.25">
      <c r="A20" s="12" t="s">
        <v>7</v>
      </c>
      <c r="B20" s="15" t="s">
        <v>10</v>
      </c>
      <c r="C20" s="14">
        <v>25.483753805015574</v>
      </c>
      <c r="D20" s="14">
        <v>23.057487946743326</v>
      </c>
      <c r="E20" s="14">
        <v>25.942101833253261</v>
      </c>
      <c r="F20" s="57">
        <v>35.248105114006158</v>
      </c>
      <c r="G20" s="57">
        <v>35.982633292263735</v>
      </c>
      <c r="H20" s="57">
        <v>32.77605413905664</v>
      </c>
      <c r="I20" s="55"/>
      <c r="J20" s="55"/>
      <c r="K20" s="55"/>
    </row>
    <row r="21" spans="1:11" ht="8.25" customHeight="1" x14ac:dyDescent="0.25">
      <c r="A21" s="16"/>
      <c r="B21" s="15"/>
      <c r="C21" s="14"/>
      <c r="D21" s="14"/>
      <c r="E21" s="14"/>
      <c r="F21" s="14"/>
      <c r="G21" s="14"/>
      <c r="H21" s="14"/>
    </row>
    <row r="22" spans="1:11" ht="8.25" customHeight="1" x14ac:dyDescent="0.25">
      <c r="A22" s="98" t="s">
        <v>38</v>
      </c>
      <c r="B22" s="98"/>
      <c r="C22" s="98"/>
      <c r="D22" s="98"/>
      <c r="E22" s="98"/>
      <c r="F22" s="98"/>
      <c r="G22" s="98"/>
      <c r="H22" s="98"/>
    </row>
    <row r="23" spans="1:11" ht="8.25" customHeight="1" x14ac:dyDescent="0.25">
      <c r="A23" s="17" t="s">
        <v>39</v>
      </c>
      <c r="B23" s="18"/>
      <c r="C23" s="19"/>
      <c r="D23" s="19"/>
      <c r="E23" s="19"/>
      <c r="F23" s="19"/>
      <c r="G23" s="19"/>
      <c r="H23" s="19"/>
    </row>
    <row r="24" spans="1:11" ht="8.25" customHeight="1" x14ac:dyDescent="0.25">
      <c r="A24" s="98" t="s">
        <v>54</v>
      </c>
      <c r="B24" s="98"/>
      <c r="C24" s="98"/>
      <c r="D24" s="98"/>
      <c r="E24" s="98"/>
      <c r="F24" s="98"/>
      <c r="G24" s="98"/>
      <c r="H24" s="98"/>
    </row>
    <row r="25" spans="1:11" ht="8.25" customHeight="1" x14ac:dyDescent="0.25">
      <c r="A25" s="20"/>
      <c r="B25" s="20"/>
      <c r="C25" s="21"/>
      <c r="D25" s="21"/>
      <c r="E25" s="21"/>
      <c r="F25" s="21"/>
      <c r="G25" s="21"/>
      <c r="H25" s="21"/>
    </row>
    <row r="26" spans="1:11" ht="8.25" customHeight="1" x14ac:dyDescent="0.25">
      <c r="A26" s="19" t="s">
        <v>40</v>
      </c>
      <c r="B26" s="19"/>
      <c r="C26" s="21"/>
      <c r="D26" s="21"/>
      <c r="E26" s="21"/>
      <c r="F26" s="21"/>
      <c r="G26" s="21"/>
      <c r="H26" s="21"/>
    </row>
  </sheetData>
  <mergeCells count="9">
    <mergeCell ref="A22:H22"/>
    <mergeCell ref="A24:H24"/>
    <mergeCell ref="A1:H1"/>
    <mergeCell ref="A4:A7"/>
    <mergeCell ref="B4:B7"/>
    <mergeCell ref="C4:H4"/>
    <mergeCell ref="C5:E5"/>
    <mergeCell ref="F5:H5"/>
    <mergeCell ref="C7:H7"/>
  </mergeCells>
  <pageMargins left="0.7" right="0.7" top="0.78740157499999996" bottom="0.78740157499999996"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U161"/>
  <sheetViews>
    <sheetView zoomScale="235" zoomScaleNormal="235" workbookViewId="0">
      <selection activeCell="F9" sqref="F9"/>
    </sheetView>
  </sheetViews>
  <sheetFormatPr baseColWidth="10" defaultColWidth="11.42578125" defaultRowHeight="15" x14ac:dyDescent="0.25"/>
  <cols>
    <col min="1" max="2" width="11.42578125" style="5"/>
    <col min="3" max="3" width="11.42578125" style="31"/>
    <col min="4" max="16384" width="11.42578125" style="5"/>
  </cols>
  <sheetData>
    <row r="1" spans="1:11" ht="30" customHeight="1" x14ac:dyDescent="0.25">
      <c r="A1" s="23" t="s">
        <v>43</v>
      </c>
      <c r="B1" s="23"/>
      <c r="C1" s="32"/>
      <c r="D1" s="24"/>
      <c r="E1" s="24"/>
      <c r="F1" s="24"/>
      <c r="G1" s="24"/>
      <c r="H1" s="24"/>
      <c r="I1" s="24"/>
      <c r="J1" s="24"/>
      <c r="K1" s="25"/>
    </row>
    <row r="2" spans="1:11" ht="30" customHeight="1" x14ac:dyDescent="0.25">
      <c r="A2" s="26" t="s">
        <v>44</v>
      </c>
      <c r="B2" s="26"/>
      <c r="C2" s="33"/>
      <c r="D2" s="26"/>
      <c r="E2" s="26"/>
      <c r="F2" s="26"/>
      <c r="G2" s="26"/>
      <c r="H2" s="9"/>
      <c r="I2" s="9"/>
      <c r="J2" s="9"/>
      <c r="K2" s="9"/>
    </row>
    <row r="4" spans="1:11" ht="8.25" customHeight="1" x14ac:dyDescent="0.25">
      <c r="A4" s="87" t="s">
        <v>0</v>
      </c>
      <c r="B4" s="80" t="s">
        <v>1</v>
      </c>
      <c r="C4" s="93" t="s">
        <v>11</v>
      </c>
      <c r="D4" s="84" t="s">
        <v>12</v>
      </c>
      <c r="E4" s="80" t="s">
        <v>13</v>
      </c>
      <c r="F4" s="82" t="s">
        <v>14</v>
      </c>
    </row>
    <row r="5" spans="1:11" ht="8.25" customHeight="1" x14ac:dyDescent="0.25">
      <c r="A5" s="88"/>
      <c r="B5" s="90"/>
      <c r="C5" s="94"/>
      <c r="D5" s="85"/>
      <c r="E5" s="81"/>
      <c r="F5" s="83"/>
    </row>
    <row r="6" spans="1:11" ht="8.25" customHeight="1" x14ac:dyDescent="0.25">
      <c r="A6" s="88"/>
      <c r="B6" s="90"/>
      <c r="C6" s="94"/>
      <c r="D6" s="86"/>
      <c r="E6" s="91" t="s">
        <v>45</v>
      </c>
      <c r="F6" s="92"/>
    </row>
    <row r="7" spans="1:11" ht="8.25" customHeight="1" x14ac:dyDescent="0.25">
      <c r="A7" s="89"/>
      <c r="B7" s="81"/>
      <c r="C7" s="95"/>
      <c r="D7" s="96" t="s">
        <v>16</v>
      </c>
      <c r="E7" s="97"/>
      <c r="F7" s="97"/>
    </row>
    <row r="8" spans="1:11" ht="8.25" customHeight="1" x14ac:dyDescent="0.25">
      <c r="A8" s="54" t="s">
        <v>2</v>
      </c>
      <c r="B8" s="54" t="s">
        <v>3</v>
      </c>
      <c r="C8" s="53">
        <v>3</v>
      </c>
      <c r="D8" s="53">
        <v>4</v>
      </c>
      <c r="E8" s="53">
        <v>5</v>
      </c>
      <c r="F8" s="53">
        <v>6</v>
      </c>
    </row>
    <row r="9" spans="1:11" ht="8.25" customHeight="1" x14ac:dyDescent="0.25">
      <c r="A9" s="37" t="s">
        <v>4</v>
      </c>
      <c r="B9" s="37" t="s">
        <v>5</v>
      </c>
      <c r="C9" s="38" t="s">
        <v>75</v>
      </c>
      <c r="D9" s="65">
        <f>'2019'!G7</f>
        <v>4.6753504681455125</v>
      </c>
      <c r="E9" s="65">
        <f>'2019'!I7</f>
        <v>11.065251276790905</v>
      </c>
      <c r="F9" s="65">
        <f>'2019'!H7</f>
        <v>2.3615485127004585</v>
      </c>
    </row>
    <row r="10" spans="1:11" ht="8.25" customHeight="1" x14ac:dyDescent="0.25">
      <c r="A10" s="37" t="s">
        <v>6</v>
      </c>
      <c r="B10" s="37" t="s">
        <v>5</v>
      </c>
      <c r="C10" s="38" t="s">
        <v>75</v>
      </c>
      <c r="D10" s="65">
        <f>'2019'!G8</f>
        <v>4.7491300663414506</v>
      </c>
      <c r="E10" s="65">
        <f>'2019'!I8</f>
        <v>11.732429157162567</v>
      </c>
      <c r="F10" s="65">
        <f>'2019'!H8</f>
        <v>1.8385398544695397</v>
      </c>
    </row>
    <row r="11" spans="1:11" ht="8.25" customHeight="1" x14ac:dyDescent="0.25">
      <c r="A11" s="37" t="s">
        <v>7</v>
      </c>
      <c r="B11" s="37" t="s">
        <v>5</v>
      </c>
      <c r="C11" s="38" t="s">
        <v>75</v>
      </c>
      <c r="D11" s="65">
        <f>'2019'!G9</f>
        <v>4.1453676331601041</v>
      </c>
      <c r="E11" s="65">
        <f>'2019'!I9</f>
        <v>11.564406055663891</v>
      </c>
      <c r="F11" s="65">
        <f>'2019'!H9</f>
        <v>1.9346383338033166</v>
      </c>
    </row>
    <row r="12" spans="1:11" ht="8.25" customHeight="1" x14ac:dyDescent="0.25">
      <c r="A12" s="37" t="s">
        <v>4</v>
      </c>
      <c r="B12" s="41" t="s">
        <v>8</v>
      </c>
      <c r="C12" s="38" t="s">
        <v>75</v>
      </c>
      <c r="D12" s="65">
        <f>'2019'!G11</f>
        <v>12.239844321392724</v>
      </c>
      <c r="E12" s="65">
        <f>'2019'!I11</f>
        <v>17.640449721065899</v>
      </c>
      <c r="F12" s="65">
        <f>'2019'!H11</f>
        <v>10.284271441944323</v>
      </c>
    </row>
    <row r="13" spans="1:11" ht="8.25" customHeight="1" x14ac:dyDescent="0.25">
      <c r="A13" s="37" t="s">
        <v>6</v>
      </c>
      <c r="B13" s="41" t="s">
        <v>8</v>
      </c>
      <c r="C13" s="38" t="s">
        <v>75</v>
      </c>
      <c r="D13" s="65">
        <f>'2019'!G12</f>
        <v>13.776773099118131</v>
      </c>
      <c r="E13" s="65">
        <f>'2019'!I12</f>
        <v>17.930100349646338</v>
      </c>
      <c r="F13" s="65">
        <f>'2019'!H12</f>
        <v>12.04569535421993</v>
      </c>
    </row>
    <row r="14" spans="1:11" ht="8.25" customHeight="1" x14ac:dyDescent="0.25">
      <c r="A14" s="37" t="s">
        <v>7</v>
      </c>
      <c r="B14" s="41" t="s">
        <v>8</v>
      </c>
      <c r="C14" s="38" t="s">
        <v>75</v>
      </c>
      <c r="D14" s="65">
        <f>'2019'!G13</f>
        <v>22.440954867361455</v>
      </c>
      <c r="E14" s="65">
        <f>'2019'!I13</f>
        <v>24.277499474042926</v>
      </c>
      <c r="F14" s="65">
        <f>'2019'!H13</f>
        <v>21.893700258293645</v>
      </c>
    </row>
    <row r="15" spans="1:11" ht="8.25" customHeight="1" x14ac:dyDescent="0.25">
      <c r="A15" s="37" t="s">
        <v>4</v>
      </c>
      <c r="B15" s="41" t="s">
        <v>9</v>
      </c>
      <c r="C15" s="38" t="s">
        <v>75</v>
      </c>
      <c r="D15" s="65">
        <f>'2019'!G15</f>
        <v>35.286522128373356</v>
      </c>
      <c r="E15" s="65">
        <f>'2019'!I15</f>
        <v>33.653187930570994</v>
      </c>
      <c r="F15" s="65">
        <f>'2019'!H15</f>
        <v>35.877957534518096</v>
      </c>
    </row>
    <row r="16" spans="1:11" ht="8.25" customHeight="1" x14ac:dyDescent="0.25">
      <c r="A16" s="37" t="s">
        <v>6</v>
      </c>
      <c r="B16" s="41" t="s">
        <v>9</v>
      </c>
      <c r="C16" s="38" t="s">
        <v>75</v>
      </c>
      <c r="D16" s="65">
        <f>'2019'!G16</f>
        <v>35.471306016720987</v>
      </c>
      <c r="E16" s="65">
        <f>'2019'!I16</f>
        <v>27.863966188416445</v>
      </c>
      <c r="F16" s="65">
        <f>'2019'!H16</f>
        <v>38.641993555511853</v>
      </c>
    </row>
    <row r="17" spans="1:21" ht="8.25" customHeight="1" x14ac:dyDescent="0.25">
      <c r="A17" s="37" t="s">
        <v>7</v>
      </c>
      <c r="B17" s="41" t="s">
        <v>9</v>
      </c>
      <c r="C17" s="38" t="s">
        <v>75</v>
      </c>
      <c r="D17" s="65">
        <f>'2019'!G17</f>
        <v>36.856788663031125</v>
      </c>
      <c r="E17" s="65">
        <f>'2019'!I17</f>
        <v>30.426187195895714</v>
      </c>
      <c r="F17" s="65">
        <f>'2019'!H17</f>
        <v>38.772982954836024</v>
      </c>
    </row>
    <row r="18" spans="1:21" ht="8.25" customHeight="1" x14ac:dyDescent="0.25">
      <c r="A18" s="37" t="s">
        <v>4</v>
      </c>
      <c r="B18" s="41" t="s">
        <v>10</v>
      </c>
      <c r="C18" s="38" t="s">
        <v>75</v>
      </c>
      <c r="D18" s="65">
        <f>'2019'!G19</f>
        <v>47.798283082088417</v>
      </c>
      <c r="E18" s="65">
        <f>'2019'!I19</f>
        <v>37.641111071572212</v>
      </c>
      <c r="F18" s="65">
        <f>'2019'!H19</f>
        <v>51.476222510837118</v>
      </c>
    </row>
    <row r="19" spans="1:21" ht="8.25" customHeight="1" x14ac:dyDescent="0.25">
      <c r="A19" s="37" t="s">
        <v>6</v>
      </c>
      <c r="B19" s="41" t="s">
        <v>10</v>
      </c>
      <c r="C19" s="38" t="s">
        <v>75</v>
      </c>
      <c r="D19" s="65">
        <f>'2019'!G20</f>
        <v>46.002790817819431</v>
      </c>
      <c r="E19" s="65">
        <f>'2019'!I20</f>
        <v>42.47350430477465</v>
      </c>
      <c r="F19" s="65">
        <f>'2019'!H20</f>
        <v>47.473771235798679</v>
      </c>
    </row>
    <row r="20" spans="1:21" ht="8.25" customHeight="1" x14ac:dyDescent="0.25">
      <c r="A20" s="37" t="s">
        <v>7</v>
      </c>
      <c r="B20" s="41" t="s">
        <v>10</v>
      </c>
      <c r="C20" s="38" t="s">
        <v>75</v>
      </c>
      <c r="D20" s="65">
        <f>'2019'!G21</f>
        <v>36.556889042567576</v>
      </c>
      <c r="E20" s="65">
        <f>'2019'!I21</f>
        <v>33.731907274397457</v>
      </c>
      <c r="F20" s="65">
        <f>'2019'!H21</f>
        <v>37.398678453067021</v>
      </c>
    </row>
    <row r="21" spans="1:21" ht="8.25" customHeight="1" x14ac:dyDescent="0.25">
      <c r="A21" s="37" t="s">
        <v>4</v>
      </c>
      <c r="B21" s="37" t="s">
        <v>5</v>
      </c>
      <c r="C21" s="38" t="s">
        <v>46</v>
      </c>
      <c r="D21" s="39">
        <f>'2018'!G7</f>
        <v>4.6982988886806689</v>
      </c>
      <c r="E21" s="39">
        <f>'2018'!I7</f>
        <v>11.588400684422339</v>
      </c>
      <c r="F21" s="39">
        <f>'2018'!H7</f>
        <v>2.2291467436960244</v>
      </c>
      <c r="H21" s="40"/>
      <c r="I21" s="40"/>
      <c r="J21" s="40"/>
    </row>
    <row r="22" spans="1:21" ht="8.25" customHeight="1" x14ac:dyDescent="0.25">
      <c r="A22" s="37" t="s">
        <v>6</v>
      </c>
      <c r="B22" s="37" t="s">
        <v>5</v>
      </c>
      <c r="C22" s="38" t="s">
        <v>46</v>
      </c>
      <c r="D22" s="39">
        <f>'2018'!G8</f>
        <v>4.6485415868115689</v>
      </c>
      <c r="E22" s="39">
        <f>'2018'!I8</f>
        <v>10.931888033752587</v>
      </c>
      <c r="F22" s="39">
        <f>'2018'!H8</f>
        <v>1.9928666094218581</v>
      </c>
      <c r="H22" s="40"/>
      <c r="I22" s="40"/>
      <c r="J22" s="40"/>
      <c r="U22"/>
    </row>
    <row r="23" spans="1:21" ht="8.25" customHeight="1" x14ac:dyDescent="0.25">
      <c r="A23" s="37" t="s">
        <v>7</v>
      </c>
      <c r="B23" s="37" t="s">
        <v>5</v>
      </c>
      <c r="C23" s="38" t="s">
        <v>46</v>
      </c>
      <c r="D23" s="39">
        <f>'2018'!G9</f>
        <v>4.2069623894442829</v>
      </c>
      <c r="E23" s="39">
        <f>'2018'!I9</f>
        <v>11.927085726257943</v>
      </c>
      <c r="F23" s="39">
        <f>'2018'!H9</f>
        <v>1.9130584896634324</v>
      </c>
      <c r="H23" s="40"/>
      <c r="I23" s="40"/>
      <c r="J23" s="40"/>
      <c r="U23"/>
    </row>
    <row r="24" spans="1:21" ht="8.25" customHeight="1" x14ac:dyDescent="0.25">
      <c r="A24" s="37" t="s">
        <v>4</v>
      </c>
      <c r="B24" s="41" t="s">
        <v>8</v>
      </c>
      <c r="C24" s="38" t="s">
        <v>46</v>
      </c>
      <c r="D24" s="39">
        <f>'2018'!G11</f>
        <v>12.901467185689915</v>
      </c>
      <c r="E24" s="39">
        <f>'2018'!I11</f>
        <v>15.993024935607295</v>
      </c>
      <c r="F24" s="39">
        <f>'2018'!H11</f>
        <v>11.793569434524862</v>
      </c>
      <c r="H24" s="40"/>
      <c r="I24" s="40"/>
      <c r="J24" s="40"/>
    </row>
    <row r="25" spans="1:21" ht="8.25" customHeight="1" x14ac:dyDescent="0.25">
      <c r="A25" s="37" t="s">
        <v>6</v>
      </c>
      <c r="B25" s="41" t="s">
        <v>8</v>
      </c>
      <c r="C25" s="38" t="s">
        <v>46</v>
      </c>
      <c r="D25" s="39">
        <f>'2018'!G12</f>
        <v>14.804143160272476</v>
      </c>
      <c r="E25" s="39">
        <f>'2018'!I12</f>
        <v>18.645115069236038</v>
      </c>
      <c r="F25" s="39">
        <f>'2018'!H12</f>
        <v>13.1807434985902</v>
      </c>
      <c r="H25" s="40"/>
      <c r="I25" s="40"/>
      <c r="J25" s="40"/>
    </row>
    <row r="26" spans="1:21" ht="8.25" customHeight="1" x14ac:dyDescent="0.25">
      <c r="A26" s="37" t="s">
        <v>7</v>
      </c>
      <c r="B26" s="41" t="s">
        <v>8</v>
      </c>
      <c r="C26" s="38" t="s">
        <v>46</v>
      </c>
      <c r="D26" s="39">
        <f>'2018'!G13</f>
        <v>23.580572938868478</v>
      </c>
      <c r="E26" s="39">
        <f>'2018'!I13</f>
        <v>24.295397982816738</v>
      </c>
      <c r="F26" s="39">
        <f>'2018'!H13</f>
        <v>23.368174845770174</v>
      </c>
      <c r="H26" s="40"/>
      <c r="I26" s="40"/>
      <c r="J26" s="40"/>
    </row>
    <row r="27" spans="1:21" ht="8.25" customHeight="1" x14ac:dyDescent="0.25">
      <c r="A27" s="37" t="s">
        <v>4</v>
      </c>
      <c r="B27" s="41" t="s">
        <v>9</v>
      </c>
      <c r="C27" s="38" t="s">
        <v>46</v>
      </c>
      <c r="D27" s="39">
        <f>'2018'!G15</f>
        <v>35.555640135686318</v>
      </c>
      <c r="E27" s="39">
        <f>'2018'!I15</f>
        <v>33.721869100749835</v>
      </c>
      <c r="F27" s="39">
        <f>'2018'!H15</f>
        <v>36.212795946112124</v>
      </c>
      <c r="H27" s="40"/>
      <c r="I27" s="40"/>
      <c r="J27" s="40"/>
    </row>
    <row r="28" spans="1:21" ht="8.25" customHeight="1" x14ac:dyDescent="0.25">
      <c r="A28" s="37" t="s">
        <v>6</v>
      </c>
      <c r="B28" s="41" t="s">
        <v>9</v>
      </c>
      <c r="C28" s="38" t="s">
        <v>46</v>
      </c>
      <c r="D28" s="39">
        <f>'2018'!G16</f>
        <v>36.077299684801908</v>
      </c>
      <c r="E28" s="39">
        <f>'2018'!I16</f>
        <v>28.394148695037224</v>
      </c>
      <c r="F28" s="39">
        <f>'2018'!H16</f>
        <v>39.324606196280122</v>
      </c>
      <c r="H28" s="40"/>
      <c r="I28" s="40"/>
      <c r="J28" s="40"/>
    </row>
    <row r="29" spans="1:21" ht="8.25" customHeight="1" x14ac:dyDescent="0.25">
      <c r="A29" s="37" t="s">
        <v>7</v>
      </c>
      <c r="B29" s="41" t="s">
        <v>9</v>
      </c>
      <c r="C29" s="38" t="s">
        <v>46</v>
      </c>
      <c r="D29" s="39">
        <f>'2018'!G17</f>
        <v>36.964359350671153</v>
      </c>
      <c r="E29" s="39">
        <f>'2018'!I17</f>
        <v>31.001462151868665</v>
      </c>
      <c r="F29" s="39">
        <f>'2018'!H17</f>
        <v>38.73613337230266</v>
      </c>
      <c r="H29" s="40"/>
      <c r="I29" s="40"/>
      <c r="J29" s="40"/>
    </row>
    <row r="30" spans="1:21" ht="8.25" customHeight="1" x14ac:dyDescent="0.25">
      <c r="A30" s="37" t="s">
        <v>4</v>
      </c>
      <c r="B30" s="41" t="s">
        <v>10</v>
      </c>
      <c r="C30" s="38" t="s">
        <v>46</v>
      </c>
      <c r="D30" s="39">
        <f>'2018'!G19</f>
        <v>46.844593789943104</v>
      </c>
      <c r="E30" s="39">
        <f>'2018'!I19</f>
        <v>38.696712165588501</v>
      </c>
      <c r="F30" s="39">
        <f>'2018'!H19</f>
        <v>49.764487875666994</v>
      </c>
      <c r="H30" s="40"/>
      <c r="I30" s="40"/>
      <c r="J30" s="40"/>
    </row>
    <row r="31" spans="1:21" ht="8.25" customHeight="1" x14ac:dyDescent="0.25">
      <c r="A31" s="37" t="s">
        <v>6</v>
      </c>
      <c r="B31" s="41" t="s">
        <v>10</v>
      </c>
      <c r="C31" s="38" t="s">
        <v>46</v>
      </c>
      <c r="D31" s="39">
        <f>'2018'!G20</f>
        <v>44.470015568114043</v>
      </c>
      <c r="E31" s="39">
        <f>'2018'!I20</f>
        <v>42.028844621451178</v>
      </c>
      <c r="F31" s="39">
        <f>'2018'!H20</f>
        <v>45.501782182389192</v>
      </c>
      <c r="H31" s="40"/>
      <c r="I31" s="40"/>
      <c r="J31" s="40"/>
    </row>
    <row r="32" spans="1:21" ht="8.25" customHeight="1" x14ac:dyDescent="0.25">
      <c r="A32" s="37" t="s">
        <v>7</v>
      </c>
      <c r="B32" s="41" t="s">
        <v>10</v>
      </c>
      <c r="C32" s="38" t="s">
        <v>46</v>
      </c>
      <c r="D32" s="39">
        <f>'2018'!G21</f>
        <v>35.248105114006158</v>
      </c>
      <c r="E32" s="39">
        <f>'2018'!I21</f>
        <v>32.77605413905664</v>
      </c>
      <c r="F32" s="39">
        <f>'2018'!H21</f>
        <v>35.982633292263735</v>
      </c>
      <c r="H32" s="40"/>
      <c r="I32" s="40"/>
      <c r="J32" s="40"/>
    </row>
    <row r="33" spans="1:10" ht="8.25" customHeight="1" x14ac:dyDescent="0.25">
      <c r="A33" s="37" t="s">
        <v>4</v>
      </c>
      <c r="B33" s="37" t="s">
        <v>5</v>
      </c>
      <c r="C33" s="38" t="s">
        <v>47</v>
      </c>
      <c r="D33" s="39">
        <f>'2017'!G7</f>
        <v>4.9194793575994309</v>
      </c>
      <c r="E33" s="39">
        <f>'2017'!I7</f>
        <v>12.042580112442936</v>
      </c>
      <c r="F33" s="39">
        <f>'2017'!H7</f>
        <v>2.3349766564321568</v>
      </c>
      <c r="J33" s="40"/>
    </row>
    <row r="34" spans="1:10" ht="8.25" customHeight="1" x14ac:dyDescent="0.25">
      <c r="A34" s="37" t="s">
        <v>6</v>
      </c>
      <c r="B34" s="37" t="s">
        <v>5</v>
      </c>
      <c r="C34" s="38" t="s">
        <v>47</v>
      </c>
      <c r="D34" s="39">
        <f>'2017'!G8</f>
        <v>4.6497542305345041</v>
      </c>
      <c r="E34" s="39">
        <f>'2017'!I8</f>
        <v>10.305310008719477</v>
      </c>
      <c r="F34" s="39">
        <f>'2017'!H8</f>
        <v>2.190582010262685</v>
      </c>
      <c r="J34" s="40"/>
    </row>
    <row r="35" spans="1:10" ht="8.25" customHeight="1" x14ac:dyDescent="0.25">
      <c r="A35" s="37" t="s">
        <v>7</v>
      </c>
      <c r="B35" s="37" t="s">
        <v>5</v>
      </c>
      <c r="C35" s="38" t="s">
        <v>47</v>
      </c>
      <c r="D35" s="39">
        <f>'2017'!G9</f>
        <v>4.2201512220133068</v>
      </c>
      <c r="E35" s="39">
        <f>'2017'!I9</f>
        <v>11.767440727347701</v>
      </c>
      <c r="F35" s="39">
        <f>'2017'!H9</f>
        <v>1.994779674772662</v>
      </c>
      <c r="J35" s="40"/>
    </row>
    <row r="36" spans="1:10" ht="8.25" customHeight="1" x14ac:dyDescent="0.25">
      <c r="A36" s="37" t="s">
        <v>4</v>
      </c>
      <c r="B36" s="41" t="s">
        <v>8</v>
      </c>
      <c r="C36" s="38" t="s">
        <v>47</v>
      </c>
      <c r="D36" s="39">
        <f>'2017'!G11</f>
        <v>13.041924457911779</v>
      </c>
      <c r="E36" s="39">
        <f>'2017'!I11</f>
        <v>17.587709626698761</v>
      </c>
      <c r="F36" s="39">
        <f>'2017'!H11</f>
        <v>11.39255908457678</v>
      </c>
      <c r="J36" s="40"/>
    </row>
    <row r="37" spans="1:10" ht="8.25" customHeight="1" x14ac:dyDescent="0.25">
      <c r="A37" s="37" t="s">
        <v>6</v>
      </c>
      <c r="B37" s="41" t="s">
        <v>8</v>
      </c>
      <c r="C37" s="38" t="s">
        <v>47</v>
      </c>
      <c r="D37" s="39">
        <f>'2017'!G12</f>
        <v>15.161176107752899</v>
      </c>
      <c r="E37" s="39">
        <f>'2017'!I12</f>
        <v>20.733476648050956</v>
      </c>
      <c r="F37" s="39">
        <f>'2017'!H12</f>
        <v>12.738203781254084</v>
      </c>
      <c r="J37" s="40"/>
    </row>
    <row r="38" spans="1:10" ht="8.25" customHeight="1" x14ac:dyDescent="0.25">
      <c r="A38" s="37" t="s">
        <v>7</v>
      </c>
      <c r="B38" s="41" t="s">
        <v>8</v>
      </c>
      <c r="C38" s="38" t="s">
        <v>47</v>
      </c>
      <c r="D38" s="39">
        <f>'2017'!G13</f>
        <v>24.857437515128886</v>
      </c>
      <c r="E38" s="39">
        <f>'2017'!I13</f>
        <v>25.707863216386546</v>
      </c>
      <c r="F38" s="39">
        <f>'2017'!H13</f>
        <v>24.606683498434101</v>
      </c>
      <c r="J38" s="40"/>
    </row>
    <row r="39" spans="1:10" ht="8.25" customHeight="1" x14ac:dyDescent="0.25">
      <c r="A39" s="37" t="s">
        <v>4</v>
      </c>
      <c r="B39" s="41" t="s">
        <v>9</v>
      </c>
      <c r="C39" s="38" t="s">
        <v>47</v>
      </c>
      <c r="D39" s="14">
        <f>'2017'!G15</f>
        <v>37.025788824263287</v>
      </c>
      <c r="E39" s="14">
        <f>'2017'!I15</f>
        <v>33.292821616146412</v>
      </c>
      <c r="F39" s="14">
        <f>'2017'!H15</f>
        <v>38.380235070800403</v>
      </c>
      <c r="J39" s="40"/>
    </row>
    <row r="40" spans="1:10" ht="8.25" customHeight="1" x14ac:dyDescent="0.25">
      <c r="A40" s="37" t="s">
        <v>6</v>
      </c>
      <c r="B40" s="41" t="s">
        <v>9</v>
      </c>
      <c r="C40" s="38" t="s">
        <v>47</v>
      </c>
      <c r="D40" s="14">
        <f>'2017'!G16</f>
        <v>36.989414778270813</v>
      </c>
      <c r="E40" s="14">
        <f>'2017'!I16</f>
        <v>31.448776066667673</v>
      </c>
      <c r="F40" s="14">
        <f>'2017'!H16</f>
        <v>39.398621285002122</v>
      </c>
      <c r="J40" s="40"/>
    </row>
    <row r="41" spans="1:10" ht="8.25" customHeight="1" x14ac:dyDescent="0.25">
      <c r="A41" s="37" t="s">
        <v>7</v>
      </c>
      <c r="B41" s="41" t="s">
        <v>9</v>
      </c>
      <c r="C41" s="38" t="s">
        <v>47</v>
      </c>
      <c r="D41" s="14">
        <f>'2017'!G17</f>
        <v>36.642055491221164</v>
      </c>
      <c r="E41" s="14">
        <f>'2017'!I17</f>
        <v>31.371177984427728</v>
      </c>
      <c r="F41" s="14">
        <f>'2017'!H17</f>
        <v>38.196210903481202</v>
      </c>
      <c r="J41" s="40"/>
    </row>
    <row r="42" spans="1:10" ht="8.25" customHeight="1" x14ac:dyDescent="0.25">
      <c r="A42" s="37" t="s">
        <v>4</v>
      </c>
      <c r="B42" s="41" t="s">
        <v>10</v>
      </c>
      <c r="C42" s="38" t="s">
        <v>47</v>
      </c>
      <c r="D42" s="14">
        <f>'2017'!G19</f>
        <v>45.012807360225494</v>
      </c>
      <c r="E42" s="14">
        <f>'2017'!I19</f>
        <v>37.076888644711886</v>
      </c>
      <c r="F42" s="14">
        <f>'2017'!H19</f>
        <v>47.892229188190669</v>
      </c>
      <c r="J42" s="40"/>
    </row>
    <row r="43" spans="1:10" ht="8.25" customHeight="1" x14ac:dyDescent="0.25">
      <c r="A43" s="37" t="s">
        <v>6</v>
      </c>
      <c r="B43" s="41" t="s">
        <v>10</v>
      </c>
      <c r="C43" s="38" t="s">
        <v>47</v>
      </c>
      <c r="D43" s="14">
        <f>'2017'!G20</f>
        <v>43.19965382659155</v>
      </c>
      <c r="E43" s="14">
        <f>'2017'!I20</f>
        <v>37.512437276561897</v>
      </c>
      <c r="F43" s="14">
        <f>'2017'!H20</f>
        <v>45.672594439875638</v>
      </c>
      <c r="J43" s="40"/>
    </row>
    <row r="44" spans="1:10" ht="8.25" customHeight="1" x14ac:dyDescent="0.25">
      <c r="A44" s="37" t="s">
        <v>7</v>
      </c>
      <c r="B44" s="41" t="s">
        <v>10</v>
      </c>
      <c r="C44" s="38" t="s">
        <v>47</v>
      </c>
      <c r="D44" s="14">
        <f>'2017'!G21</f>
        <v>34.280355771636643</v>
      </c>
      <c r="E44" s="14">
        <f>'2017'!I21</f>
        <v>31.153517170875585</v>
      </c>
      <c r="F44" s="14">
        <f>'2017'!H21</f>
        <v>35.202325923312038</v>
      </c>
      <c r="J44" s="40"/>
    </row>
    <row r="45" spans="1:10" ht="8.25" customHeight="1" x14ac:dyDescent="0.25">
      <c r="A45" s="37" t="s">
        <v>4</v>
      </c>
      <c r="B45" s="37" t="s">
        <v>5</v>
      </c>
      <c r="C45" s="38" t="s">
        <v>48</v>
      </c>
      <c r="D45" s="39">
        <f>'2016'!G7</f>
        <v>4.9161793714797044</v>
      </c>
      <c r="E45" s="39">
        <f>'2016'!I7</f>
        <v>11.503349933337789</v>
      </c>
      <c r="F45" s="39">
        <f>'2016'!H7</f>
        <v>2.8693745396851096</v>
      </c>
      <c r="H45" s="40"/>
      <c r="I45" s="40"/>
      <c r="J45" s="40"/>
    </row>
    <row r="46" spans="1:10" ht="8.25" customHeight="1" x14ac:dyDescent="0.25">
      <c r="A46" s="37" t="s">
        <v>6</v>
      </c>
      <c r="B46" s="37" t="s">
        <v>5</v>
      </c>
      <c r="C46" s="38" t="s">
        <v>48</v>
      </c>
      <c r="D46" s="39">
        <f>'2016'!G8</f>
        <v>4.7669176494593097</v>
      </c>
      <c r="E46" s="39">
        <f>'2016'!I8</f>
        <v>11.762322892636114</v>
      </c>
      <c r="F46" s="39">
        <f>'2016'!H8</f>
        <v>2.2480152377796392</v>
      </c>
      <c r="H46" s="40"/>
      <c r="I46" s="40"/>
      <c r="J46" s="40"/>
    </row>
    <row r="47" spans="1:10" ht="8.25" customHeight="1" x14ac:dyDescent="0.25">
      <c r="A47" s="37" t="s">
        <v>7</v>
      </c>
      <c r="B47" s="37" t="s">
        <v>5</v>
      </c>
      <c r="C47" s="38" t="s">
        <v>48</v>
      </c>
      <c r="D47" s="39">
        <f>'2016'!G9</f>
        <v>4.1379483478909744</v>
      </c>
      <c r="E47" s="39">
        <f>'2016'!I9</f>
        <v>11.962367125153166</v>
      </c>
      <c r="F47" s="39">
        <f>'2016'!H9</f>
        <v>2.1814518113725949</v>
      </c>
      <c r="H47" s="40"/>
      <c r="I47" s="40"/>
      <c r="J47" s="40"/>
    </row>
    <row r="48" spans="1:10" ht="8.25" customHeight="1" x14ac:dyDescent="0.25">
      <c r="A48" s="37" t="s">
        <v>4</v>
      </c>
      <c r="B48" s="41" t="s">
        <v>8</v>
      </c>
      <c r="C48" s="38" t="s">
        <v>48</v>
      </c>
      <c r="D48" s="14">
        <f>'2016'!G11</f>
        <v>13.862605167744283</v>
      </c>
      <c r="E48" s="14">
        <f>'2016'!I11</f>
        <v>19.265424417086439</v>
      </c>
      <c r="F48" s="14">
        <f>'2016'!H11</f>
        <v>12.183810954144603</v>
      </c>
      <c r="H48" s="40"/>
      <c r="I48" s="40"/>
      <c r="J48" s="40"/>
    </row>
    <row r="49" spans="1:10" ht="8.25" customHeight="1" x14ac:dyDescent="0.25">
      <c r="A49" s="37" t="s">
        <v>6</v>
      </c>
      <c r="B49" s="41" t="s">
        <v>8</v>
      </c>
      <c r="C49" s="38" t="s">
        <v>48</v>
      </c>
      <c r="D49" s="14">
        <f>'2016'!G12</f>
        <v>15.520749309986433</v>
      </c>
      <c r="E49" s="14">
        <f>'2016'!I12</f>
        <v>20.549656059974257</v>
      </c>
      <c r="F49" s="14">
        <f>'2016'!H12</f>
        <v>13.709942976140971</v>
      </c>
      <c r="H49" s="40"/>
      <c r="I49" s="40"/>
      <c r="J49" s="40"/>
    </row>
    <row r="50" spans="1:10" ht="8.25" customHeight="1" x14ac:dyDescent="0.25">
      <c r="A50" s="37" t="s">
        <v>7</v>
      </c>
      <c r="B50" s="41" t="s">
        <v>8</v>
      </c>
      <c r="C50" s="38" t="s">
        <v>48</v>
      </c>
      <c r="D50" s="14">
        <f>'2016'!G13</f>
        <v>26.046419111220899</v>
      </c>
      <c r="E50" s="14">
        <f>'2016'!I13</f>
        <v>27.227208017671156</v>
      </c>
      <c r="F50" s="14">
        <f>'2016'!H13</f>
        <v>25.751162968500303</v>
      </c>
      <c r="H50" s="40"/>
      <c r="I50" s="40"/>
      <c r="J50" s="40"/>
    </row>
    <row r="51" spans="1:10" ht="8.25" customHeight="1" x14ac:dyDescent="0.25">
      <c r="A51" s="37" t="s">
        <v>4</v>
      </c>
      <c r="B51" s="41" t="s">
        <v>9</v>
      </c>
      <c r="C51" s="38" t="s">
        <v>48</v>
      </c>
      <c r="D51" s="43">
        <f>'2016'!G15</f>
        <v>37.66057100147269</v>
      </c>
      <c r="E51" s="43">
        <f>'2016'!I15</f>
        <v>33.006016345995434</v>
      </c>
      <c r="F51" s="43">
        <f>'2016'!H15</f>
        <v>39.106860255633862</v>
      </c>
      <c r="H51" s="40"/>
      <c r="I51" s="40"/>
      <c r="J51" s="40"/>
    </row>
    <row r="52" spans="1:10" ht="8.25" customHeight="1" x14ac:dyDescent="0.25">
      <c r="A52" s="37" t="s">
        <v>6</v>
      </c>
      <c r="B52" s="41" t="s">
        <v>9</v>
      </c>
      <c r="C52" s="38" t="s">
        <v>48</v>
      </c>
      <c r="D52" s="43">
        <f>'2016'!G16</f>
        <v>36.793473862136686</v>
      </c>
      <c r="E52" s="43">
        <f>'2016'!I16</f>
        <v>30.999665009714722</v>
      </c>
      <c r="F52" s="43">
        <f>'2016'!H16</f>
        <v>38.879705125856184</v>
      </c>
      <c r="H52" s="40"/>
      <c r="I52" s="40"/>
      <c r="J52" s="40"/>
    </row>
    <row r="53" spans="1:10" ht="8.25" customHeight="1" x14ac:dyDescent="0.25">
      <c r="A53" s="37" t="s">
        <v>7</v>
      </c>
      <c r="B53" s="41" t="s">
        <v>9</v>
      </c>
      <c r="C53" s="38" t="s">
        <v>48</v>
      </c>
      <c r="D53" s="43">
        <f>'2016'!G17</f>
        <v>36.519866080217575</v>
      </c>
      <c r="E53" s="43">
        <f>'2016'!I17</f>
        <v>31.076589278281414</v>
      </c>
      <c r="F53" s="43">
        <f>'2016'!H17</f>
        <v>37.880958310287554</v>
      </c>
      <c r="H53" s="40"/>
      <c r="I53" s="40"/>
      <c r="J53" s="40"/>
    </row>
    <row r="54" spans="1:10" ht="8.25" customHeight="1" x14ac:dyDescent="0.25">
      <c r="A54" s="37" t="s">
        <v>4</v>
      </c>
      <c r="B54" s="41" t="s">
        <v>10</v>
      </c>
      <c r="C54" s="38" t="s">
        <v>48</v>
      </c>
      <c r="D54" s="43">
        <f>'2016'!G19</f>
        <v>43.560642662873036</v>
      </c>
      <c r="E54" s="43">
        <f>'2016'!I19</f>
        <v>36.225201725745734</v>
      </c>
      <c r="F54" s="43">
        <f>'2016'!H19</f>
        <v>45.839954250536422</v>
      </c>
      <c r="H54" s="40"/>
      <c r="I54" s="40"/>
      <c r="J54" s="40"/>
    </row>
    <row r="55" spans="1:10" ht="8.25" customHeight="1" x14ac:dyDescent="0.25">
      <c r="A55" s="37" t="s">
        <v>6</v>
      </c>
      <c r="B55" s="41" t="s">
        <v>10</v>
      </c>
      <c r="C55" s="38" t="s">
        <v>48</v>
      </c>
      <c r="D55" s="43">
        <f>'2016'!G20</f>
        <v>42.91885917841757</v>
      </c>
      <c r="E55" s="43">
        <f>'2016'!I20</f>
        <v>36.688352037790899</v>
      </c>
      <c r="F55" s="43">
        <f>'2016'!H20</f>
        <v>45.162338100499696</v>
      </c>
      <c r="H55" s="40"/>
      <c r="I55" s="40"/>
      <c r="J55" s="40"/>
    </row>
    <row r="56" spans="1:10" ht="8.25" customHeight="1" x14ac:dyDescent="0.25">
      <c r="A56" s="37" t="s">
        <v>7</v>
      </c>
      <c r="B56" s="41" t="s">
        <v>10</v>
      </c>
      <c r="C56" s="38" t="s">
        <v>48</v>
      </c>
      <c r="D56" s="43">
        <f>'2016'!G21</f>
        <v>33.295766256137043</v>
      </c>
      <c r="E56" s="43">
        <f>'2016'!I21</f>
        <v>29.733836601397812</v>
      </c>
      <c r="F56" s="43">
        <f>'2016'!H21</f>
        <v>34.186427165516669</v>
      </c>
      <c r="H56" s="40"/>
      <c r="I56" s="40"/>
      <c r="J56" s="40"/>
    </row>
    <row r="57" spans="1:10" ht="8.25" customHeight="1" x14ac:dyDescent="0.25">
      <c r="A57" s="37" t="s">
        <v>4</v>
      </c>
      <c r="B57" s="37" t="s">
        <v>5</v>
      </c>
      <c r="C57" s="38" t="s">
        <v>49</v>
      </c>
      <c r="D57" s="42">
        <f>'2015'!G7</f>
        <v>3.986510946628572</v>
      </c>
      <c r="E57" s="42">
        <f>'2015'!I7</f>
        <v>8.2194037272040585</v>
      </c>
      <c r="F57" s="42">
        <f>'2015'!H7</f>
        <v>2.8827232317372364</v>
      </c>
      <c r="H57" s="40"/>
      <c r="I57" s="40"/>
      <c r="J57" s="40"/>
    </row>
    <row r="58" spans="1:10" ht="8.25" customHeight="1" x14ac:dyDescent="0.25">
      <c r="A58" s="37" t="s">
        <v>6</v>
      </c>
      <c r="B58" s="37" t="s">
        <v>5</v>
      </c>
      <c r="C58" s="38" t="s">
        <v>49</v>
      </c>
      <c r="D58" s="42">
        <f>'2015'!G8</f>
        <v>4.173177766872592</v>
      </c>
      <c r="E58" s="42">
        <f>'2015'!I8</f>
        <v>9.336206576844468</v>
      </c>
      <c r="F58" s="42">
        <f>'2015'!H8</f>
        <v>2.6404567264316414</v>
      </c>
      <c r="H58" s="40"/>
      <c r="I58" s="40"/>
      <c r="J58" s="40"/>
    </row>
    <row r="59" spans="1:10" ht="8.25" customHeight="1" x14ac:dyDescent="0.25">
      <c r="A59" s="37" t="s">
        <v>7</v>
      </c>
      <c r="B59" s="37" t="s">
        <v>5</v>
      </c>
      <c r="C59" s="38" t="s">
        <v>49</v>
      </c>
      <c r="D59" s="42">
        <f>'2015'!G9</f>
        <v>3.7499136553976844</v>
      </c>
      <c r="E59" s="42">
        <f>'2015'!I9</f>
        <v>11.068321497719857</v>
      </c>
      <c r="F59" s="42">
        <f>'2015'!H9</f>
        <v>2.121669380202122</v>
      </c>
      <c r="H59" s="40"/>
      <c r="I59" s="40"/>
      <c r="J59" s="40"/>
    </row>
    <row r="60" spans="1:10" ht="8.25" customHeight="1" x14ac:dyDescent="0.25">
      <c r="A60" s="37" t="s">
        <v>4</v>
      </c>
      <c r="B60" s="41" t="s">
        <v>8</v>
      </c>
      <c r="C60" s="38" t="s">
        <v>49</v>
      </c>
      <c r="D60" s="42">
        <f>'2015'!G11</f>
        <v>13.751826614637078</v>
      </c>
      <c r="E60" s="42">
        <f>'2015'!I11</f>
        <v>20.329339579850387</v>
      </c>
      <c r="F60" s="42">
        <f>'2015'!H11</f>
        <v>12.036645441407863</v>
      </c>
      <c r="H60" s="40"/>
      <c r="I60" s="40"/>
      <c r="J60" s="40"/>
    </row>
    <row r="61" spans="1:10" ht="8.25" customHeight="1" x14ac:dyDescent="0.25">
      <c r="A61" s="37" t="s">
        <v>6</v>
      </c>
      <c r="B61" s="41" t="s">
        <v>8</v>
      </c>
      <c r="C61" s="38" t="s">
        <v>49</v>
      </c>
      <c r="D61" s="42">
        <f>'2015'!G12</f>
        <v>14.713407163780346</v>
      </c>
      <c r="E61" s="42">
        <f>'2015'!I12</f>
        <v>20.302583164475035</v>
      </c>
      <c r="F61" s="42">
        <f>'2015'!H12</f>
        <v>13.054177914658844</v>
      </c>
      <c r="H61" s="40"/>
      <c r="I61" s="40"/>
      <c r="J61" s="40"/>
    </row>
    <row r="62" spans="1:10" ht="8.25" customHeight="1" x14ac:dyDescent="0.25">
      <c r="A62" s="37" t="s">
        <v>7</v>
      </c>
      <c r="B62" s="41" t="s">
        <v>8</v>
      </c>
      <c r="C62" s="38" t="s">
        <v>49</v>
      </c>
      <c r="D62" s="42">
        <f>'2015'!G13</f>
        <v>25.96905957391607</v>
      </c>
      <c r="E62" s="42">
        <f>'2015'!I13</f>
        <v>25.934649390406367</v>
      </c>
      <c r="F62" s="42">
        <f>'2015'!H13</f>
        <v>25.976715362649799</v>
      </c>
      <c r="H62" s="40"/>
      <c r="I62" s="40"/>
      <c r="J62" s="40"/>
    </row>
    <row r="63" spans="1:10" ht="8.25" customHeight="1" x14ac:dyDescent="0.25">
      <c r="A63" s="37" t="s">
        <v>4</v>
      </c>
      <c r="B63" s="41" t="s">
        <v>9</v>
      </c>
      <c r="C63" s="38" t="s">
        <v>49</v>
      </c>
      <c r="D63" s="42">
        <f>'2015'!G15</f>
        <v>39.637359980349665</v>
      </c>
      <c r="E63" s="42">
        <f>'2015'!I15</f>
        <v>37.225864888968943</v>
      </c>
      <c r="F63" s="42">
        <f>'2015'!H15</f>
        <v>40.266189611854642</v>
      </c>
      <c r="H63" s="40"/>
      <c r="I63" s="40"/>
      <c r="J63" s="40"/>
    </row>
    <row r="64" spans="1:10" ht="8.25" customHeight="1" x14ac:dyDescent="0.25">
      <c r="A64" s="37" t="s">
        <v>6</v>
      </c>
      <c r="B64" s="41" t="s">
        <v>9</v>
      </c>
      <c r="C64" s="38" t="s">
        <v>49</v>
      </c>
      <c r="D64" s="42">
        <f>'2015'!G16</f>
        <v>37.647811592965461</v>
      </c>
      <c r="E64" s="42">
        <f>'2015'!I16</f>
        <v>33.734217869495488</v>
      </c>
      <c r="F64" s="42">
        <f>'2015'!H16</f>
        <v>38.809618861549488</v>
      </c>
      <c r="H64" s="40"/>
      <c r="I64" s="40"/>
      <c r="J64" s="40"/>
    </row>
    <row r="65" spans="1:10" ht="8.25" customHeight="1" x14ac:dyDescent="0.25">
      <c r="A65" s="37" t="s">
        <v>7</v>
      </c>
      <c r="B65" s="41" t="s">
        <v>9</v>
      </c>
      <c r="C65" s="38" t="s">
        <v>49</v>
      </c>
      <c r="D65" s="42">
        <f>'2015'!G17</f>
        <v>37.134010687532005</v>
      </c>
      <c r="E65" s="42">
        <f>'2015'!I17</f>
        <v>32.993325675833574</v>
      </c>
      <c r="F65" s="42">
        <f>'2015'!H17</f>
        <v>38.055255437344449</v>
      </c>
      <c r="H65" s="40"/>
      <c r="I65" s="40"/>
      <c r="J65" s="40"/>
    </row>
    <row r="66" spans="1:10" ht="8.25" customHeight="1" x14ac:dyDescent="0.25">
      <c r="A66" s="37" t="s">
        <v>4</v>
      </c>
      <c r="B66" s="41" t="s">
        <v>10</v>
      </c>
      <c r="C66" s="38" t="s">
        <v>49</v>
      </c>
      <c r="D66" s="42">
        <f>'2015'!G19</f>
        <v>42.624302458384683</v>
      </c>
      <c r="E66" s="42">
        <f>'2015'!I19</f>
        <v>34.225391803976599</v>
      </c>
      <c r="F66" s="42">
        <f>'2015'!H19</f>
        <v>44.81443929372999</v>
      </c>
      <c r="H66" s="40"/>
      <c r="I66" s="40"/>
      <c r="J66" s="40"/>
    </row>
    <row r="67" spans="1:10" ht="8.25" customHeight="1" x14ac:dyDescent="0.25">
      <c r="A67" s="37" t="s">
        <v>6</v>
      </c>
      <c r="B67" s="41" t="s">
        <v>10</v>
      </c>
      <c r="C67" s="38" t="s">
        <v>49</v>
      </c>
      <c r="D67" s="42">
        <f>'2015'!G20</f>
        <v>43.465603476381609</v>
      </c>
      <c r="E67" s="42">
        <f>'2015'!I20</f>
        <v>36.626992389185006</v>
      </c>
      <c r="F67" s="42">
        <f>'2015'!H20</f>
        <v>45.495746497360031</v>
      </c>
      <c r="H67" s="40"/>
      <c r="I67" s="40"/>
      <c r="J67" s="40"/>
    </row>
    <row r="68" spans="1:10" ht="8.25" customHeight="1" x14ac:dyDescent="0.25">
      <c r="A68" s="37" t="s">
        <v>7</v>
      </c>
      <c r="B68" s="41" t="s">
        <v>10</v>
      </c>
      <c r="C68" s="38" t="s">
        <v>49</v>
      </c>
      <c r="D68" s="42">
        <f>'2015'!G21</f>
        <v>33.147016083154249</v>
      </c>
      <c r="E68" s="42">
        <f>'2015'!I21</f>
        <v>30.0037022912731</v>
      </c>
      <c r="F68" s="42">
        <f>'2015'!H21</f>
        <v>33.846359819803624</v>
      </c>
      <c r="H68" s="40"/>
      <c r="I68" s="40"/>
      <c r="J68" s="40"/>
    </row>
    <row r="69" spans="1:10" ht="8.25" customHeight="1" x14ac:dyDescent="0.25">
      <c r="A69" s="37" t="s">
        <v>4</v>
      </c>
      <c r="B69" s="37" t="s">
        <v>5</v>
      </c>
      <c r="C69" s="38" t="s">
        <v>50</v>
      </c>
      <c r="D69" s="42">
        <f>'2014'!G7</f>
        <v>4.7072389175185236</v>
      </c>
      <c r="E69" s="42">
        <f>'2014'!I7</f>
        <v>9.559354170113469</v>
      </c>
      <c r="F69" s="42">
        <f>'2014'!H7</f>
        <v>3.4942196150433125</v>
      </c>
      <c r="H69" s="40"/>
      <c r="I69" s="40"/>
      <c r="J69" s="40"/>
    </row>
    <row r="70" spans="1:10" ht="8.25" customHeight="1" x14ac:dyDescent="0.25">
      <c r="A70" s="37" t="s">
        <v>6</v>
      </c>
      <c r="B70" s="37" t="s">
        <v>5</v>
      </c>
      <c r="C70" s="38" t="s">
        <v>50</v>
      </c>
      <c r="D70" s="42">
        <f>'2014'!G8</f>
        <v>3.5305614538994701</v>
      </c>
      <c r="E70" s="42">
        <f>'2014'!I8</f>
        <v>7.3042348379107986</v>
      </c>
      <c r="F70" s="42">
        <f>'2014'!H8</f>
        <v>2.4151845086418589</v>
      </c>
      <c r="H70" s="40"/>
      <c r="I70" s="40"/>
      <c r="J70" s="40"/>
    </row>
    <row r="71" spans="1:10" ht="8.25" customHeight="1" x14ac:dyDescent="0.25">
      <c r="A71" s="37" t="s">
        <v>7</v>
      </c>
      <c r="B71" s="37" t="s">
        <v>5</v>
      </c>
      <c r="C71" s="38" t="s">
        <v>50</v>
      </c>
      <c r="D71" s="42">
        <f>'2014'!G9</f>
        <v>3.627766630117423</v>
      </c>
      <c r="E71" s="42">
        <f>'2014'!I9</f>
        <v>9.8462751302561919</v>
      </c>
      <c r="F71" s="42">
        <f>'2014'!H9</f>
        <v>2.2894831864733827</v>
      </c>
      <c r="H71" s="40"/>
      <c r="I71" s="40"/>
      <c r="J71" s="40"/>
    </row>
    <row r="72" spans="1:10" ht="8.25" customHeight="1" x14ac:dyDescent="0.25">
      <c r="A72" s="37" t="s">
        <v>4</v>
      </c>
      <c r="B72" s="41" t="s">
        <v>8</v>
      </c>
      <c r="C72" s="38" t="s">
        <v>50</v>
      </c>
      <c r="D72" s="42">
        <f>'2014'!G11</f>
        <v>14.162073256910157</v>
      </c>
      <c r="E72" s="42">
        <f>'2014'!I11</f>
        <v>18.548725457891294</v>
      </c>
      <c r="F72" s="42">
        <f>'2014'!H11</f>
        <v>13.065419033503062</v>
      </c>
      <c r="H72" s="40"/>
      <c r="I72" s="40"/>
      <c r="J72" s="40"/>
    </row>
    <row r="73" spans="1:10" ht="8.25" customHeight="1" x14ac:dyDescent="0.25">
      <c r="A73" s="37" t="s">
        <v>6</v>
      </c>
      <c r="B73" s="41" t="s">
        <v>8</v>
      </c>
      <c r="C73" s="38" t="s">
        <v>50</v>
      </c>
      <c r="D73" s="42">
        <f>'2014'!G12</f>
        <v>15.811034028448406</v>
      </c>
      <c r="E73" s="42">
        <f>'2014'!I12</f>
        <v>21.50081352989336</v>
      </c>
      <c r="F73" s="42">
        <f>'2014'!H12</f>
        <v>14.129317506186712</v>
      </c>
      <c r="H73" s="40"/>
      <c r="I73" s="40"/>
      <c r="J73" s="40"/>
    </row>
    <row r="74" spans="1:10" ht="8.25" customHeight="1" x14ac:dyDescent="0.25">
      <c r="A74" s="37" t="s">
        <v>7</v>
      </c>
      <c r="B74" s="41" t="s">
        <v>8</v>
      </c>
      <c r="C74" s="38" t="s">
        <v>50</v>
      </c>
      <c r="D74" s="42">
        <f>'2014'!G13</f>
        <v>27.412139927408134</v>
      </c>
      <c r="E74" s="42">
        <f>'2014'!I13</f>
        <v>27.334512304358739</v>
      </c>
      <c r="F74" s="42">
        <f>'2014'!H13</f>
        <v>27.428846216198711</v>
      </c>
      <c r="H74" s="40"/>
      <c r="I74" s="40"/>
      <c r="J74" s="40"/>
    </row>
    <row r="75" spans="1:10" ht="8.25" customHeight="1" x14ac:dyDescent="0.25">
      <c r="A75" s="37" t="s">
        <v>4</v>
      </c>
      <c r="B75" s="41" t="s">
        <v>9</v>
      </c>
      <c r="C75" s="38" t="s">
        <v>50</v>
      </c>
      <c r="D75" s="42">
        <f>'2014'!G15</f>
        <v>40.471998735048359</v>
      </c>
      <c r="E75" s="42">
        <f>'2014'!I15</f>
        <v>38.59132261477744</v>
      </c>
      <c r="F75" s="42">
        <f>'2014'!H15</f>
        <v>40.942167361311874</v>
      </c>
      <c r="H75" s="40"/>
      <c r="I75" s="40"/>
      <c r="J75" s="40"/>
    </row>
    <row r="76" spans="1:10" ht="8.25" customHeight="1" x14ac:dyDescent="0.25">
      <c r="A76" s="37" t="s">
        <v>6</v>
      </c>
      <c r="B76" s="41" t="s">
        <v>9</v>
      </c>
      <c r="C76" s="38" t="s">
        <v>50</v>
      </c>
      <c r="D76" s="42">
        <f>'2014'!G16</f>
        <v>39.24648066622327</v>
      </c>
      <c r="E76" s="42">
        <f>'2014'!I16</f>
        <v>35.104029005106554</v>
      </c>
      <c r="F76" s="42">
        <f>'2014'!H16</f>
        <v>40.470856654677874</v>
      </c>
      <c r="H76" s="40"/>
      <c r="I76" s="40"/>
      <c r="J76" s="40"/>
    </row>
    <row r="77" spans="1:10" ht="8.25" customHeight="1" x14ac:dyDescent="0.25">
      <c r="A77" s="37" t="s">
        <v>7</v>
      </c>
      <c r="B77" s="41" t="s">
        <v>9</v>
      </c>
      <c r="C77" s="38" t="s">
        <v>50</v>
      </c>
      <c r="D77" s="42">
        <f>'2014'!G17</f>
        <v>36.90524770746309</v>
      </c>
      <c r="E77" s="42">
        <f>'2014'!I17</f>
        <v>33.124812803572162</v>
      </c>
      <c r="F77" s="42">
        <f>'2014'!H17</f>
        <v>37.718834126586046</v>
      </c>
      <c r="H77" s="40"/>
      <c r="I77" s="40"/>
      <c r="J77" s="40"/>
    </row>
    <row r="78" spans="1:10" ht="8.25" customHeight="1" x14ac:dyDescent="0.25">
      <c r="A78" s="37" t="s">
        <v>4</v>
      </c>
      <c r="B78" s="41" t="s">
        <v>10</v>
      </c>
      <c r="C78" s="38" t="s">
        <v>50</v>
      </c>
      <c r="D78" s="42">
        <f>'2014'!G19</f>
        <v>40.658687245063632</v>
      </c>
      <c r="E78" s="42">
        <f>'2014'!I19</f>
        <v>33.300616211925743</v>
      </c>
      <c r="F78" s="42">
        <f>'2014'!H19</f>
        <v>42.49819399014175</v>
      </c>
      <c r="H78" s="40"/>
      <c r="I78" s="40"/>
      <c r="J78" s="40"/>
    </row>
    <row r="79" spans="1:10" ht="8.25" customHeight="1" x14ac:dyDescent="0.25">
      <c r="A79" s="37" t="s">
        <v>6</v>
      </c>
      <c r="B79" s="41" t="s">
        <v>10</v>
      </c>
      <c r="C79" s="38" t="s">
        <v>50</v>
      </c>
      <c r="D79" s="42">
        <f>'2014'!G20</f>
        <v>41.411923851428853</v>
      </c>
      <c r="E79" s="42">
        <f>'2014'!I20</f>
        <v>36.090922627089292</v>
      </c>
      <c r="F79" s="42">
        <f>'2014'!H20</f>
        <v>42.98464133049356</v>
      </c>
      <c r="H79" s="40"/>
      <c r="I79" s="40"/>
      <c r="J79" s="40"/>
    </row>
    <row r="80" spans="1:10" ht="8.25" customHeight="1" x14ac:dyDescent="0.25">
      <c r="A80" s="37" t="s">
        <v>7</v>
      </c>
      <c r="B80" s="41" t="s">
        <v>10</v>
      </c>
      <c r="C80" s="38" t="s">
        <v>50</v>
      </c>
      <c r="D80" s="42">
        <f>'2014'!G21</f>
        <v>32.054845735011348</v>
      </c>
      <c r="E80" s="42">
        <f>'2014'!I21</f>
        <v>29.69439976181291</v>
      </c>
      <c r="F80" s="42">
        <f>'2014'!H21</f>
        <v>32.562836726184457</v>
      </c>
      <c r="H80" s="40"/>
      <c r="I80" s="40"/>
      <c r="J80" s="40"/>
    </row>
    <row r="81" spans="1:10" ht="8.25" customHeight="1" x14ac:dyDescent="0.25">
      <c r="A81" s="37" t="s">
        <v>4</v>
      </c>
      <c r="B81" s="37" t="s">
        <v>5</v>
      </c>
      <c r="C81" s="38" t="s">
        <v>51</v>
      </c>
      <c r="D81" s="42">
        <f>'2013'!G7</f>
        <v>4.5516071754321441</v>
      </c>
      <c r="E81" s="42">
        <f>'2013'!I7</f>
        <v>7.1529042726009893</v>
      </c>
      <c r="F81" s="42">
        <f>'2013'!H7</f>
        <v>3.8581134596894184</v>
      </c>
      <c r="H81" s="40"/>
      <c r="I81" s="40"/>
      <c r="J81" s="40"/>
    </row>
    <row r="82" spans="1:10" ht="8.25" customHeight="1" x14ac:dyDescent="0.25">
      <c r="A82" s="37" t="s">
        <v>6</v>
      </c>
      <c r="B82" s="37" t="s">
        <v>5</v>
      </c>
      <c r="C82" s="38" t="s">
        <v>51</v>
      </c>
      <c r="D82" s="42">
        <f>'2013'!G8</f>
        <v>3.7133488382964872</v>
      </c>
      <c r="E82" s="42">
        <f>'2013'!I8</f>
        <v>7.2757819495800566</v>
      </c>
      <c r="F82" s="42">
        <f>'2013'!H8</f>
        <v>2.636205797609152</v>
      </c>
      <c r="H82" s="40"/>
      <c r="I82" s="40"/>
      <c r="J82" s="40"/>
    </row>
    <row r="83" spans="1:10" ht="8.25" customHeight="1" x14ac:dyDescent="0.25">
      <c r="A83" s="37" t="s">
        <v>7</v>
      </c>
      <c r="B83" s="37" t="s">
        <v>5</v>
      </c>
      <c r="C83" s="38" t="s">
        <v>51</v>
      </c>
      <c r="D83" s="42">
        <f>'2013'!G9</f>
        <v>3.6458445915334661</v>
      </c>
      <c r="E83" s="42">
        <f>'2013'!I9</f>
        <v>10.179727753164585</v>
      </c>
      <c r="F83" s="42">
        <f>'2013'!H9</f>
        <v>2.2326660215626659</v>
      </c>
      <c r="H83" s="40"/>
      <c r="I83" s="40"/>
      <c r="J83" s="40"/>
    </row>
    <row r="84" spans="1:10" ht="8.25" customHeight="1" x14ac:dyDescent="0.25">
      <c r="A84" s="37" t="s">
        <v>4</v>
      </c>
      <c r="B84" s="41" t="s">
        <v>8</v>
      </c>
      <c r="C84" s="38" t="s">
        <v>51</v>
      </c>
      <c r="D84" s="42">
        <f>'2013'!G11</f>
        <v>15.152677251455742</v>
      </c>
      <c r="E84" s="42">
        <f>'2013'!I11</f>
        <v>19.91576102292148</v>
      </c>
      <c r="F84" s="42">
        <f>'2013'!H11</f>
        <v>13.882857065915472</v>
      </c>
      <c r="H84" s="40"/>
      <c r="I84" s="40"/>
      <c r="J84" s="40"/>
    </row>
    <row r="85" spans="1:10" ht="8.25" customHeight="1" x14ac:dyDescent="0.25">
      <c r="A85" s="37" t="s">
        <v>6</v>
      </c>
      <c r="B85" s="41" t="s">
        <v>8</v>
      </c>
      <c r="C85" s="38" t="s">
        <v>51</v>
      </c>
      <c r="D85" s="42">
        <f>'2013'!G12</f>
        <v>16.299628531334761</v>
      </c>
      <c r="E85" s="42">
        <f>'2013'!I12</f>
        <v>22.409458177310459</v>
      </c>
      <c r="F85" s="42">
        <f>'2013'!H12</f>
        <v>14.452252044901693</v>
      </c>
      <c r="H85" s="40"/>
      <c r="I85" s="40"/>
      <c r="J85" s="40"/>
    </row>
    <row r="86" spans="1:10" ht="8.25" customHeight="1" x14ac:dyDescent="0.25">
      <c r="A86" s="37" t="s">
        <v>7</v>
      </c>
      <c r="B86" s="41" t="s">
        <v>8</v>
      </c>
      <c r="C86" s="38" t="s">
        <v>51</v>
      </c>
      <c r="D86" s="42">
        <f>'2013'!G13</f>
        <v>28.473284737732225</v>
      </c>
      <c r="E86" s="42">
        <f>'2013'!I13</f>
        <v>27.690940448672496</v>
      </c>
      <c r="F86" s="42">
        <f>'2013'!H13</f>
        <v>28.642493790953527</v>
      </c>
      <c r="H86" s="40"/>
      <c r="I86" s="40"/>
      <c r="J86" s="40"/>
    </row>
    <row r="87" spans="1:10" ht="8.25" customHeight="1" x14ac:dyDescent="0.25">
      <c r="A87" s="37" t="s">
        <v>4</v>
      </c>
      <c r="B87" s="41" t="s">
        <v>9</v>
      </c>
      <c r="C87" s="38" t="s">
        <v>51</v>
      </c>
      <c r="D87" s="42">
        <f>'2013'!G15</f>
        <v>40.417005643047794</v>
      </c>
      <c r="E87" s="42">
        <f>'2013'!I15</f>
        <v>40.424206540712667</v>
      </c>
      <c r="F87" s="42">
        <f>'2013'!H15</f>
        <v>40.41508687096691</v>
      </c>
      <c r="H87" s="40"/>
      <c r="I87" s="40"/>
      <c r="J87" s="40"/>
    </row>
    <row r="88" spans="1:10" ht="8.25" customHeight="1" x14ac:dyDescent="0.25">
      <c r="A88" s="37" t="s">
        <v>6</v>
      </c>
      <c r="B88" s="41" t="s">
        <v>9</v>
      </c>
      <c r="C88" s="38" t="s">
        <v>51</v>
      </c>
      <c r="D88" s="42">
        <f>'2013'!G16</f>
        <v>39.44756853898312</v>
      </c>
      <c r="E88" s="42">
        <f>'2013'!I16</f>
        <v>35.325695773352948</v>
      </c>
      <c r="F88" s="42">
        <f>'2013'!H16</f>
        <v>40.693864658911529</v>
      </c>
      <c r="H88" s="40"/>
      <c r="I88" s="40"/>
      <c r="J88" s="40"/>
    </row>
    <row r="89" spans="1:10" ht="8.25" customHeight="1" x14ac:dyDescent="0.25">
      <c r="A89" s="37" t="s">
        <v>7</v>
      </c>
      <c r="B89" s="41" t="s">
        <v>9</v>
      </c>
      <c r="C89" s="38" t="s">
        <v>51</v>
      </c>
      <c r="D89" s="42">
        <f>'2013'!G17</f>
        <v>36.169812933436305</v>
      </c>
      <c r="E89" s="42">
        <f>'2013'!I17</f>
        <v>32.910418916307925</v>
      </c>
      <c r="F89" s="42">
        <f>'2013'!H17</f>
        <v>36.87476979632379</v>
      </c>
      <c r="H89" s="40"/>
      <c r="I89" s="40"/>
      <c r="J89" s="40"/>
    </row>
    <row r="90" spans="1:10" ht="8.25" customHeight="1" x14ac:dyDescent="0.25">
      <c r="A90" s="37" t="s">
        <v>4</v>
      </c>
      <c r="B90" s="41" t="s">
        <v>10</v>
      </c>
      <c r="C90" s="38" t="s">
        <v>51</v>
      </c>
      <c r="D90" s="42">
        <f>'2013'!G19</f>
        <v>39.878709930064325</v>
      </c>
      <c r="E90" s="42">
        <f>'2013'!I19</f>
        <v>32.507137079263146</v>
      </c>
      <c r="F90" s="42">
        <f>'2013'!H19</f>
        <v>41.843944980267125</v>
      </c>
      <c r="H90" s="40"/>
      <c r="I90" s="40"/>
      <c r="J90" s="40"/>
    </row>
    <row r="91" spans="1:10" ht="8.25" customHeight="1" x14ac:dyDescent="0.25">
      <c r="A91" s="37" t="s">
        <v>6</v>
      </c>
      <c r="B91" s="41" t="s">
        <v>10</v>
      </c>
      <c r="C91" s="38" t="s">
        <v>51</v>
      </c>
      <c r="D91" s="42">
        <f>'2013'!G20</f>
        <v>40.539452945015391</v>
      </c>
      <c r="E91" s="42">
        <f>'2013'!I20</f>
        <v>34.989069037514867</v>
      </c>
      <c r="F91" s="42">
        <f>'2013'!H20</f>
        <v>42.217676005589034</v>
      </c>
      <c r="H91" s="40"/>
      <c r="I91" s="40"/>
      <c r="J91" s="40"/>
    </row>
    <row r="92" spans="1:10" ht="8.25" customHeight="1" x14ac:dyDescent="0.25">
      <c r="A92" s="37" t="s">
        <v>7</v>
      </c>
      <c r="B92" s="41" t="s">
        <v>10</v>
      </c>
      <c r="C92" s="38" t="s">
        <v>51</v>
      </c>
      <c r="D92" s="42">
        <f>'2013'!G21</f>
        <v>31.711057737298017</v>
      </c>
      <c r="E92" s="42">
        <f>'2013'!I21</f>
        <v>29.218912881854987</v>
      </c>
      <c r="F92" s="42">
        <f>'2013'!H21</f>
        <v>32.250070647032501</v>
      </c>
      <c r="H92" s="40"/>
      <c r="I92" s="40"/>
      <c r="J92" s="40"/>
    </row>
    <row r="93" spans="1:10" ht="8.25" customHeight="1" x14ac:dyDescent="0.25">
      <c r="A93" s="37" t="s">
        <v>4</v>
      </c>
      <c r="B93" s="37" t="s">
        <v>5</v>
      </c>
      <c r="C93" s="38" t="s">
        <v>52</v>
      </c>
      <c r="D93" s="42">
        <f>'2012'!G7</f>
        <v>5.2065034980518829</v>
      </c>
      <c r="E93" s="42">
        <f>'2012'!I7</f>
        <v>8.1002219604773789</v>
      </c>
      <c r="F93" s="42">
        <f>'2012'!H7</f>
        <v>4.4659382405956984</v>
      </c>
      <c r="H93" s="40"/>
      <c r="I93" s="40"/>
      <c r="J93" s="40"/>
    </row>
    <row r="94" spans="1:10" ht="8.25" customHeight="1" x14ac:dyDescent="0.25">
      <c r="A94" s="37" t="s">
        <v>6</v>
      </c>
      <c r="B94" s="37" t="s">
        <v>5</v>
      </c>
      <c r="C94" s="38" t="s">
        <v>52</v>
      </c>
      <c r="D94" s="42">
        <f>'2012'!G8</f>
        <v>3.5877623608345308</v>
      </c>
      <c r="E94" s="42">
        <f>'2012'!I8</f>
        <v>8.4287684106985772</v>
      </c>
      <c r="F94" s="42">
        <f>'2012'!H8</f>
        <v>2.1520811428850282</v>
      </c>
      <c r="H94" s="40"/>
      <c r="I94" s="40"/>
      <c r="J94" s="40"/>
    </row>
    <row r="95" spans="1:10" ht="8.25" customHeight="1" x14ac:dyDescent="0.25">
      <c r="A95" s="37" t="s">
        <v>7</v>
      </c>
      <c r="B95" s="37" t="s">
        <v>5</v>
      </c>
      <c r="C95" s="38" t="s">
        <v>52</v>
      </c>
      <c r="D95" s="42">
        <f>'2012'!G9</f>
        <v>3.5978628053990644</v>
      </c>
      <c r="E95" s="42">
        <f>'2012'!I9</f>
        <v>10.216130628791072</v>
      </c>
      <c r="F95" s="42">
        <f>'2012'!H9</f>
        <v>2.2395724823015377</v>
      </c>
      <c r="H95" s="40"/>
      <c r="I95" s="40"/>
      <c r="J95" s="40"/>
    </row>
    <row r="96" spans="1:10" ht="8.25" customHeight="1" x14ac:dyDescent="0.25">
      <c r="A96" s="37" t="s">
        <v>4</v>
      </c>
      <c r="B96" s="41" t="s">
        <v>8</v>
      </c>
      <c r="C96" s="38" t="s">
        <v>52</v>
      </c>
      <c r="D96" s="42">
        <f>'2012'!G11</f>
        <v>16.190244492866064</v>
      </c>
      <c r="E96" s="42">
        <f>'2012'!I11</f>
        <v>21.495243697544868</v>
      </c>
      <c r="F96" s="42">
        <f>'2012'!H11</f>
        <v>14.832580244311355</v>
      </c>
      <c r="H96" s="40"/>
      <c r="I96" s="40"/>
      <c r="J96" s="40"/>
    </row>
    <row r="97" spans="1:10" ht="8.25" customHeight="1" x14ac:dyDescent="0.25">
      <c r="A97" s="37" t="s">
        <v>6</v>
      </c>
      <c r="B97" s="41" t="s">
        <v>8</v>
      </c>
      <c r="C97" s="38" t="s">
        <v>52</v>
      </c>
      <c r="D97" s="42">
        <f>'2012'!G12</f>
        <v>17.120141511254189</v>
      </c>
      <c r="E97" s="42">
        <f>'2012'!I12</f>
        <v>24.312591505676192</v>
      </c>
      <c r="F97" s="42">
        <f>'2012'!H12</f>
        <v>14.987098073326122</v>
      </c>
      <c r="H97" s="40"/>
      <c r="I97" s="40"/>
      <c r="J97" s="40"/>
    </row>
    <row r="98" spans="1:10" ht="8.25" customHeight="1" x14ac:dyDescent="0.25">
      <c r="A98" s="37" t="s">
        <v>7</v>
      </c>
      <c r="B98" s="41" t="s">
        <v>8</v>
      </c>
      <c r="C98" s="38" t="s">
        <v>52</v>
      </c>
      <c r="D98" s="42">
        <f>'2012'!G13</f>
        <v>29.807258020777628</v>
      </c>
      <c r="E98" s="42">
        <f>'2012'!I13</f>
        <v>29.198939717725743</v>
      </c>
      <c r="F98" s="42">
        <f>'2012'!H13</f>
        <v>29.932105574049857</v>
      </c>
      <c r="H98" s="40"/>
      <c r="I98" s="40"/>
      <c r="J98" s="40"/>
    </row>
    <row r="99" spans="1:10" ht="8.25" customHeight="1" x14ac:dyDescent="0.25">
      <c r="A99" s="37" t="s">
        <v>4</v>
      </c>
      <c r="B99" s="41" t="s">
        <v>9</v>
      </c>
      <c r="C99" s="38" t="s">
        <v>52</v>
      </c>
      <c r="D99" s="42">
        <f>'2012'!G15</f>
        <v>42.080561444794476</v>
      </c>
      <c r="E99" s="42">
        <f>'2012'!I15</f>
        <v>40.377855146563284</v>
      </c>
      <c r="F99" s="42">
        <f>'2012'!H15</f>
        <v>42.516320881828612</v>
      </c>
      <c r="H99" s="40"/>
      <c r="I99" s="40"/>
      <c r="J99" s="40"/>
    </row>
    <row r="100" spans="1:10" ht="8.25" customHeight="1" x14ac:dyDescent="0.25">
      <c r="A100" s="37" t="s">
        <v>6</v>
      </c>
      <c r="B100" s="41" t="s">
        <v>9</v>
      </c>
      <c r="C100" s="38" t="s">
        <v>52</v>
      </c>
      <c r="D100" s="42">
        <f>'2012'!G16</f>
        <v>40.191422183138876</v>
      </c>
      <c r="E100" s="42">
        <f>'2012'!I16</f>
        <v>35.603301386828385</v>
      </c>
      <c r="F100" s="42">
        <f>'2012'!H16</f>
        <v>41.552107480163023</v>
      </c>
      <c r="H100" s="40"/>
      <c r="I100" s="40"/>
      <c r="J100" s="40"/>
    </row>
    <row r="101" spans="1:10" ht="8.25" customHeight="1" x14ac:dyDescent="0.25">
      <c r="A101" s="37" t="s">
        <v>7</v>
      </c>
      <c r="B101" s="41" t="s">
        <v>9</v>
      </c>
      <c r="C101" s="38" t="s">
        <v>52</v>
      </c>
      <c r="D101" s="42">
        <f>'2012'!G17</f>
        <v>36.096206100057415</v>
      </c>
      <c r="E101" s="42">
        <f>'2012'!I17</f>
        <v>32.300267472890042</v>
      </c>
      <c r="F101" s="42">
        <f>'2012'!H17</f>
        <v>36.875260155014551</v>
      </c>
      <c r="H101" s="40"/>
      <c r="I101" s="40"/>
      <c r="J101" s="40"/>
    </row>
    <row r="102" spans="1:10" ht="8.25" customHeight="1" x14ac:dyDescent="0.25">
      <c r="A102" s="37" t="s">
        <v>4</v>
      </c>
      <c r="B102" s="41" t="s">
        <v>10</v>
      </c>
      <c r="C102" s="38" t="s">
        <v>52</v>
      </c>
      <c r="D102" s="42">
        <f>'2012'!G19</f>
        <v>36.522690564287579</v>
      </c>
      <c r="E102" s="42">
        <f>'2012'!I19</f>
        <v>30.026688311208844</v>
      </c>
      <c r="F102" s="42">
        <f>'2012'!H19</f>
        <v>38.185158300335011</v>
      </c>
      <c r="H102" s="40"/>
      <c r="I102" s="40"/>
      <c r="J102" s="40"/>
    </row>
    <row r="103" spans="1:10" ht="8.25" customHeight="1" x14ac:dyDescent="0.25">
      <c r="A103" s="37" t="s">
        <v>6</v>
      </c>
      <c r="B103" s="41" t="s">
        <v>10</v>
      </c>
      <c r="C103" s="38" t="s">
        <v>52</v>
      </c>
      <c r="D103" s="42">
        <f>'2012'!G20</f>
        <v>39.100673944772396</v>
      </c>
      <c r="E103" s="42">
        <f>'2012'!I20</f>
        <v>31.655338696796854</v>
      </c>
      <c r="F103" s="42">
        <f>'2012'!H20</f>
        <v>41.308714807925448</v>
      </c>
      <c r="H103" s="40"/>
      <c r="I103" s="40"/>
      <c r="J103" s="40"/>
    </row>
    <row r="104" spans="1:10" ht="8.25" customHeight="1" x14ac:dyDescent="0.25">
      <c r="A104" s="37" t="s">
        <v>7</v>
      </c>
      <c r="B104" s="41" t="s">
        <v>10</v>
      </c>
      <c r="C104" s="38" t="s">
        <v>52</v>
      </c>
      <c r="D104" s="42">
        <f>'2012'!G21</f>
        <v>30.498672863117111</v>
      </c>
      <c r="E104" s="42">
        <f>'2012'!I21</f>
        <v>28.284663417627893</v>
      </c>
      <c r="F104" s="42">
        <f>'2012'!H21</f>
        <v>30.953061788634063</v>
      </c>
      <c r="H104" s="40"/>
      <c r="I104" s="40"/>
      <c r="J104" s="40"/>
    </row>
    <row r="105" spans="1:10" ht="8.25" customHeight="1" x14ac:dyDescent="0.25">
      <c r="A105" s="37" t="s">
        <v>4</v>
      </c>
      <c r="B105" s="37" t="s">
        <v>5</v>
      </c>
      <c r="C105" s="38" t="s">
        <v>53</v>
      </c>
      <c r="D105" s="42">
        <f>'2011'!G7</f>
        <v>4.680199803458887</v>
      </c>
      <c r="E105" s="42">
        <f>'2011'!I7</f>
        <v>6.4307154189557831</v>
      </c>
      <c r="F105" s="42">
        <f>'2011'!H7</f>
        <v>4.212473377535928</v>
      </c>
      <c r="H105" s="40"/>
      <c r="I105" s="40"/>
      <c r="J105" s="40"/>
    </row>
    <row r="106" spans="1:10" ht="8.25" customHeight="1" x14ac:dyDescent="0.25">
      <c r="A106" s="37" t="s">
        <v>6</v>
      </c>
      <c r="B106" s="37" t="s">
        <v>5</v>
      </c>
      <c r="C106" s="38" t="s">
        <v>53</v>
      </c>
      <c r="D106" s="42">
        <f>'2011'!G8</f>
        <v>3.4533060936328104</v>
      </c>
      <c r="E106" s="42">
        <f>'2011'!I8</f>
        <v>8.1456388805452651</v>
      </c>
      <c r="F106" s="42">
        <f>'2011'!H8</f>
        <v>2.0962607986382698</v>
      </c>
      <c r="H106" s="40"/>
      <c r="I106" s="40"/>
      <c r="J106" s="40"/>
    </row>
    <row r="107" spans="1:10" ht="8.25" customHeight="1" x14ac:dyDescent="0.25">
      <c r="A107" s="37" t="s">
        <v>7</v>
      </c>
      <c r="B107" s="37" t="s">
        <v>5</v>
      </c>
      <c r="C107" s="38" t="s">
        <v>53</v>
      </c>
      <c r="D107" s="42">
        <f>'2011'!G9</f>
        <v>3.6688820899064702</v>
      </c>
      <c r="E107" s="42">
        <f>'2011'!I9</f>
        <v>10.688288835368448</v>
      </c>
      <c r="F107" s="42">
        <f>'2011'!H9</f>
        <v>2.256034883631453</v>
      </c>
      <c r="H107" s="40"/>
      <c r="I107" s="40"/>
      <c r="J107" s="40"/>
    </row>
    <row r="108" spans="1:10" ht="8.25" customHeight="1" x14ac:dyDescent="0.25">
      <c r="A108" s="37" t="s">
        <v>4</v>
      </c>
      <c r="B108" s="41" t="s">
        <v>8</v>
      </c>
      <c r="C108" s="38" t="s">
        <v>53</v>
      </c>
      <c r="D108" s="42">
        <f>'2011'!G11</f>
        <v>17.513989203262025</v>
      </c>
      <c r="E108" s="42">
        <f>'2011'!I11</f>
        <v>23.900930736812033</v>
      </c>
      <c r="F108" s="42">
        <f>'2011'!H11</f>
        <v>15.807439824541817</v>
      </c>
      <c r="H108" s="40"/>
      <c r="I108" s="40"/>
      <c r="J108" s="40"/>
    </row>
    <row r="109" spans="1:10" ht="8.25" customHeight="1" x14ac:dyDescent="0.25">
      <c r="A109" s="37" t="s">
        <v>6</v>
      </c>
      <c r="B109" s="41" t="s">
        <v>8</v>
      </c>
      <c r="C109" s="38" t="s">
        <v>53</v>
      </c>
      <c r="D109" s="42">
        <f>'2011'!G12</f>
        <v>18.39174153733941</v>
      </c>
      <c r="E109" s="42">
        <f>'2011'!I12</f>
        <v>25.434681609964461</v>
      </c>
      <c r="F109" s="42">
        <f>'2011'!H12</f>
        <v>16.354891769290095</v>
      </c>
      <c r="H109" s="40"/>
      <c r="I109" s="40"/>
      <c r="J109" s="40"/>
    </row>
    <row r="110" spans="1:10" ht="8.25" customHeight="1" x14ac:dyDescent="0.25">
      <c r="A110" s="37" t="s">
        <v>7</v>
      </c>
      <c r="B110" s="41" t="s">
        <v>8</v>
      </c>
      <c r="C110" s="38" t="s">
        <v>53</v>
      </c>
      <c r="D110" s="42">
        <f>'2011'!G13</f>
        <v>31.149509620007436</v>
      </c>
      <c r="E110" s="42">
        <f>'2011'!I13</f>
        <v>30.442144680838183</v>
      </c>
      <c r="F110" s="42">
        <f>'2011'!H13</f>
        <v>31.29188612194876</v>
      </c>
      <c r="H110" s="40"/>
      <c r="I110" s="40"/>
      <c r="J110" s="40"/>
    </row>
    <row r="111" spans="1:10" ht="8.25" customHeight="1" x14ac:dyDescent="0.25">
      <c r="A111" s="37" t="s">
        <v>4</v>
      </c>
      <c r="B111" s="41" t="s">
        <v>9</v>
      </c>
      <c r="C111" s="38" t="s">
        <v>53</v>
      </c>
      <c r="D111" s="42">
        <f>'2011'!G15</f>
        <v>42.493870549586831</v>
      </c>
      <c r="E111" s="42">
        <f>'2011'!I15</f>
        <v>40.840313111816087</v>
      </c>
      <c r="F111" s="42">
        <f>'2011'!H15</f>
        <v>42.935690378887422</v>
      </c>
      <c r="H111" s="40"/>
      <c r="I111" s="40"/>
      <c r="J111" s="40"/>
    </row>
    <row r="112" spans="1:10" ht="8.25" customHeight="1" x14ac:dyDescent="0.25">
      <c r="A112" s="37" t="s">
        <v>6</v>
      </c>
      <c r="B112" s="41" t="s">
        <v>9</v>
      </c>
      <c r="C112" s="38" t="s">
        <v>53</v>
      </c>
      <c r="D112" s="42">
        <f>'2011'!G16</f>
        <v>40.125448128344885</v>
      </c>
      <c r="E112" s="42">
        <f>'2011'!I16</f>
        <v>34.943864628809393</v>
      </c>
      <c r="F112" s="42">
        <f>'2011'!H16</f>
        <v>41.623986072728655</v>
      </c>
      <c r="H112" s="40"/>
      <c r="I112" s="40"/>
      <c r="J112" s="40"/>
    </row>
    <row r="113" spans="1:10" ht="8.25" customHeight="1" x14ac:dyDescent="0.25">
      <c r="A113" s="37" t="s">
        <v>7</v>
      </c>
      <c r="B113" s="41" t="s">
        <v>9</v>
      </c>
      <c r="C113" s="38" t="s">
        <v>53</v>
      </c>
      <c r="D113" s="42">
        <f>'2011'!G17</f>
        <v>35.548730586857872</v>
      </c>
      <c r="E113" s="42">
        <f>'2011'!I17</f>
        <v>32.085785165618979</v>
      </c>
      <c r="F113" s="42">
        <f>'2011'!H17</f>
        <v>36.24574287597239</v>
      </c>
      <c r="H113" s="40"/>
      <c r="I113" s="40"/>
      <c r="J113" s="40"/>
    </row>
    <row r="114" spans="1:10" ht="8.25" customHeight="1" x14ac:dyDescent="0.25">
      <c r="A114" s="37" t="s">
        <v>4</v>
      </c>
      <c r="B114" s="41" t="s">
        <v>10</v>
      </c>
      <c r="C114" s="38" t="s">
        <v>53</v>
      </c>
      <c r="D114" s="42">
        <f>'2011'!G19</f>
        <v>35.311942262574242</v>
      </c>
      <c r="E114" s="42">
        <f>'2011'!I19</f>
        <v>28.828040732416099</v>
      </c>
      <c r="F114" s="42">
        <f>'2011'!H19</f>
        <v>37.04439641903484</v>
      </c>
      <c r="H114" s="40"/>
      <c r="I114" s="40"/>
      <c r="J114" s="40"/>
    </row>
    <row r="115" spans="1:10" ht="8.25" customHeight="1" x14ac:dyDescent="0.25">
      <c r="A115" s="37" t="s">
        <v>6</v>
      </c>
      <c r="B115" s="41" t="s">
        <v>10</v>
      </c>
      <c r="C115" s="38" t="s">
        <v>53</v>
      </c>
      <c r="D115" s="42">
        <f>'2011'!G20</f>
        <v>38.029503052297244</v>
      </c>
      <c r="E115" s="42">
        <f>'2011'!I20</f>
        <v>31.475814880680879</v>
      </c>
      <c r="F115" s="42">
        <f>'2011'!H20</f>
        <v>39.92486135934297</v>
      </c>
      <c r="H115" s="40"/>
      <c r="I115" s="40"/>
      <c r="J115" s="40"/>
    </row>
    <row r="116" spans="1:10" ht="8.25" customHeight="1" x14ac:dyDescent="0.25">
      <c r="A116" s="37" t="s">
        <v>7</v>
      </c>
      <c r="B116" s="41" t="s">
        <v>10</v>
      </c>
      <c r="C116" s="38" t="s">
        <v>53</v>
      </c>
      <c r="D116" s="42">
        <f>'2011'!G21</f>
        <v>29.632877703228218</v>
      </c>
      <c r="E116" s="42">
        <f>'2011'!I21</f>
        <v>26.783781318174388</v>
      </c>
      <c r="F116" s="42">
        <f>'2011'!H21</f>
        <v>30.206336118447407</v>
      </c>
      <c r="H116" s="40"/>
      <c r="I116" s="40"/>
      <c r="J116" s="40"/>
    </row>
    <row r="117" spans="1:10" ht="8.25" customHeight="1" x14ac:dyDescent="0.25">
      <c r="A117" s="37" t="s">
        <v>4</v>
      </c>
      <c r="B117" s="37" t="s">
        <v>5</v>
      </c>
      <c r="C117" s="38">
        <v>2010</v>
      </c>
      <c r="D117" s="42">
        <v>4.9874117949920072</v>
      </c>
      <c r="E117" s="42">
        <v>8.4267422506858765</v>
      </c>
      <c r="F117" s="42">
        <v>4.0130045470776761</v>
      </c>
      <c r="H117" s="40"/>
      <c r="I117" s="40"/>
      <c r="J117" s="40"/>
    </row>
    <row r="118" spans="1:10" ht="8.25" customHeight="1" x14ac:dyDescent="0.25">
      <c r="A118" s="37" t="s">
        <v>6</v>
      </c>
      <c r="B118" s="37" t="s">
        <v>5</v>
      </c>
      <c r="C118" s="38">
        <v>2010</v>
      </c>
      <c r="D118" s="42">
        <v>3.8616844005459012</v>
      </c>
      <c r="E118" s="42">
        <v>9.8210343130896494</v>
      </c>
      <c r="F118" s="42">
        <v>2.0295387562309761</v>
      </c>
      <c r="H118" s="40"/>
      <c r="I118" s="40"/>
      <c r="J118" s="40"/>
    </row>
    <row r="119" spans="1:10" ht="8.25" customHeight="1" x14ac:dyDescent="0.25">
      <c r="A119" s="37" t="s">
        <v>7</v>
      </c>
      <c r="B119" s="37" t="s">
        <v>5</v>
      </c>
      <c r="C119" s="38">
        <v>2010</v>
      </c>
      <c r="D119" s="42">
        <v>4.1433035191685352</v>
      </c>
      <c r="E119" s="42">
        <v>12.162165016191862</v>
      </c>
      <c r="F119" s="42">
        <v>2.4340313526480446</v>
      </c>
      <c r="H119" s="40"/>
      <c r="I119" s="40"/>
      <c r="J119" s="40"/>
    </row>
    <row r="120" spans="1:10" ht="8.25" customHeight="1" x14ac:dyDescent="0.25">
      <c r="A120" s="37" t="s">
        <v>4</v>
      </c>
      <c r="B120" s="41" t="s">
        <v>8</v>
      </c>
      <c r="C120" s="38">
        <v>2010</v>
      </c>
      <c r="D120" s="42">
        <v>17.791278195878107</v>
      </c>
      <c r="E120" s="42">
        <v>22.113489737169161</v>
      </c>
      <c r="F120" s="42">
        <v>16.566739202865495</v>
      </c>
      <c r="H120" s="40"/>
      <c r="I120" s="40"/>
      <c r="J120" s="40"/>
    </row>
    <row r="121" spans="1:10" ht="8.25" customHeight="1" x14ac:dyDescent="0.25">
      <c r="A121" s="37" t="s">
        <v>6</v>
      </c>
      <c r="B121" s="41" t="s">
        <v>8</v>
      </c>
      <c r="C121" s="38">
        <v>2010</v>
      </c>
      <c r="D121" s="42">
        <v>19.262535014414681</v>
      </c>
      <c r="E121" s="42">
        <v>25.18419588279059</v>
      </c>
      <c r="F121" s="42">
        <v>17.441975232910607</v>
      </c>
      <c r="H121" s="40"/>
      <c r="I121" s="40"/>
      <c r="J121" s="40"/>
    </row>
    <row r="122" spans="1:10" ht="8.25" customHeight="1" x14ac:dyDescent="0.25">
      <c r="A122" s="37" t="s">
        <v>7</v>
      </c>
      <c r="B122" s="41" t="s">
        <v>8</v>
      </c>
      <c r="C122" s="38">
        <v>2010</v>
      </c>
      <c r="D122" s="42">
        <v>32.035128689761962</v>
      </c>
      <c r="E122" s="42">
        <v>30.342171586802458</v>
      </c>
      <c r="F122" s="42">
        <v>32.395993772894002</v>
      </c>
      <c r="H122" s="40"/>
      <c r="I122" s="40"/>
      <c r="J122" s="40"/>
    </row>
    <row r="123" spans="1:10" ht="8.25" customHeight="1" x14ac:dyDescent="0.25">
      <c r="A123" s="37" t="s">
        <v>4</v>
      </c>
      <c r="B123" s="41" t="s">
        <v>9</v>
      </c>
      <c r="C123" s="38">
        <v>2010</v>
      </c>
      <c r="D123" s="42">
        <v>45.129754320330797</v>
      </c>
      <c r="E123" s="42">
        <v>44.026955396838098</v>
      </c>
      <c r="F123" s="42">
        <v>45.442191661809403</v>
      </c>
      <c r="H123" s="40"/>
      <c r="I123" s="40"/>
      <c r="J123" s="40"/>
    </row>
    <row r="124" spans="1:10" ht="8.25" customHeight="1" x14ac:dyDescent="0.25">
      <c r="A124" s="37" t="s">
        <v>6</v>
      </c>
      <c r="B124" s="41" t="s">
        <v>9</v>
      </c>
      <c r="C124" s="38">
        <v>2010</v>
      </c>
      <c r="D124" s="42">
        <v>39.009639719431668</v>
      </c>
      <c r="E124" s="42">
        <v>33.654638770848486</v>
      </c>
      <c r="F124" s="42">
        <v>40.655984644352053</v>
      </c>
      <c r="H124" s="40"/>
      <c r="I124" s="40"/>
      <c r="J124" s="40"/>
    </row>
    <row r="125" spans="1:10" ht="8.25" customHeight="1" x14ac:dyDescent="0.25">
      <c r="A125" s="37" t="s">
        <v>7</v>
      </c>
      <c r="B125" s="41" t="s">
        <v>9</v>
      </c>
      <c r="C125" s="38">
        <v>2010</v>
      </c>
      <c r="D125" s="42">
        <v>35.465020872438728</v>
      </c>
      <c r="E125" s="42">
        <v>32.23706293706293</v>
      </c>
      <c r="F125" s="42">
        <v>36.153080816467799</v>
      </c>
      <c r="H125" s="40"/>
      <c r="I125" s="40"/>
      <c r="J125" s="40"/>
    </row>
    <row r="126" spans="1:10" ht="8.25" customHeight="1" x14ac:dyDescent="0.25">
      <c r="A126" s="37" t="s">
        <v>4</v>
      </c>
      <c r="B126" s="41" t="s">
        <v>10</v>
      </c>
      <c r="C126" s="38">
        <v>2010</v>
      </c>
      <c r="D126" s="42">
        <v>32.09155568879909</v>
      </c>
      <c r="E126" s="42">
        <v>25.432812615306872</v>
      </c>
      <c r="F126" s="42">
        <v>33.978064588247413</v>
      </c>
      <c r="H126" s="40"/>
      <c r="I126" s="40"/>
      <c r="J126" s="40"/>
    </row>
    <row r="127" spans="1:10" ht="8.25" customHeight="1" x14ac:dyDescent="0.25">
      <c r="A127" s="37" t="s">
        <v>6</v>
      </c>
      <c r="B127" s="41" t="s">
        <v>10</v>
      </c>
      <c r="C127" s="38">
        <v>2010</v>
      </c>
      <c r="D127" s="42">
        <v>37.866140865607754</v>
      </c>
      <c r="E127" s="42">
        <v>31.340131033271273</v>
      </c>
      <c r="F127" s="42">
        <v>39.872501366506377</v>
      </c>
      <c r="H127" s="40"/>
      <c r="I127" s="40"/>
      <c r="J127" s="40"/>
    </row>
    <row r="128" spans="1:10" ht="8.25" customHeight="1" x14ac:dyDescent="0.25">
      <c r="A128" s="37" t="s">
        <v>7</v>
      </c>
      <c r="B128" s="41" t="s">
        <v>10</v>
      </c>
      <c r="C128" s="38">
        <v>2010</v>
      </c>
      <c r="D128" s="42">
        <v>28.35654691863078</v>
      </c>
      <c r="E128" s="42">
        <v>25.258600459942741</v>
      </c>
      <c r="F128" s="42">
        <v>29.01689405799015</v>
      </c>
      <c r="H128" s="40"/>
      <c r="I128" s="40"/>
      <c r="J128" s="40"/>
    </row>
    <row r="129" spans="1:10" ht="8.25" customHeight="1" x14ac:dyDescent="0.25">
      <c r="A129" s="37" t="s">
        <v>4</v>
      </c>
      <c r="B129" s="37" t="s">
        <v>5</v>
      </c>
      <c r="C129" s="38">
        <v>2006</v>
      </c>
      <c r="D129" s="42">
        <v>4.2515483686383551</v>
      </c>
      <c r="E129" s="45">
        <v>8.0469137773102641</v>
      </c>
      <c r="F129" s="42">
        <v>3.2074704928078637</v>
      </c>
      <c r="H129" s="40"/>
      <c r="I129" s="40"/>
      <c r="J129" s="40"/>
    </row>
    <row r="130" spans="1:10" ht="8.25" customHeight="1" x14ac:dyDescent="0.25">
      <c r="A130" s="37" t="s">
        <v>6</v>
      </c>
      <c r="B130" s="37" t="s">
        <v>5</v>
      </c>
      <c r="C130" s="38">
        <v>2006</v>
      </c>
      <c r="D130" s="42">
        <v>4.2461545108542014</v>
      </c>
      <c r="E130" s="42">
        <v>11.60080724627948</v>
      </c>
      <c r="F130" s="42">
        <v>2.0578261360582344</v>
      </c>
      <c r="H130" s="40"/>
      <c r="I130" s="40"/>
      <c r="J130" s="40"/>
    </row>
    <row r="131" spans="1:10" ht="8.25" customHeight="1" x14ac:dyDescent="0.25">
      <c r="A131" s="37" t="s">
        <v>7</v>
      </c>
      <c r="B131" s="37" t="s">
        <v>5</v>
      </c>
      <c r="C131" s="38">
        <v>2006</v>
      </c>
      <c r="D131" s="42">
        <v>3.6585443550533352</v>
      </c>
      <c r="E131" s="42">
        <v>12.242387215955501</v>
      </c>
      <c r="F131" s="42">
        <v>2.0289028621700744</v>
      </c>
      <c r="H131" s="40"/>
      <c r="I131" s="40"/>
      <c r="J131" s="40"/>
    </row>
    <row r="132" spans="1:10" ht="8.25" customHeight="1" x14ac:dyDescent="0.25">
      <c r="A132" s="37" t="s">
        <v>4</v>
      </c>
      <c r="B132" s="41" t="s">
        <v>8</v>
      </c>
      <c r="C132" s="38">
        <v>2006</v>
      </c>
      <c r="D132" s="42">
        <v>21.24245611492627</v>
      </c>
      <c r="E132" s="42">
        <v>30.853960175348</v>
      </c>
      <c r="F132" s="42">
        <v>18.598400098603769</v>
      </c>
      <c r="H132" s="40"/>
      <c r="I132" s="40"/>
      <c r="J132" s="40"/>
    </row>
    <row r="133" spans="1:10" ht="8.25" customHeight="1" x14ac:dyDescent="0.25">
      <c r="A133" s="37" t="s">
        <v>6</v>
      </c>
      <c r="B133" s="41" t="s">
        <v>8</v>
      </c>
      <c r="C133" s="38">
        <v>2006</v>
      </c>
      <c r="D133" s="42">
        <v>22.49725860077508</v>
      </c>
      <c r="E133" s="42">
        <v>29.13862471630944</v>
      </c>
      <c r="F133" s="42">
        <v>20.521164844139275</v>
      </c>
      <c r="H133" s="40"/>
      <c r="I133" s="40"/>
      <c r="J133" s="40"/>
    </row>
    <row r="134" spans="1:10" ht="8.25" customHeight="1" x14ac:dyDescent="0.25">
      <c r="A134" s="37" t="s">
        <v>7</v>
      </c>
      <c r="B134" s="41" t="s">
        <v>8</v>
      </c>
      <c r="C134" s="38">
        <v>2006</v>
      </c>
      <c r="D134" s="42">
        <v>36.725558738920071</v>
      </c>
      <c r="E134" s="42">
        <v>35.109006773471037</v>
      </c>
      <c r="F134" s="42">
        <v>37.032460972720457</v>
      </c>
      <c r="H134" s="40"/>
      <c r="I134" s="40"/>
      <c r="J134" s="40"/>
    </row>
    <row r="135" spans="1:10" ht="8.25" customHeight="1" x14ac:dyDescent="0.25">
      <c r="A135" s="37" t="s">
        <v>4</v>
      </c>
      <c r="B135" s="41" t="s">
        <v>9</v>
      </c>
      <c r="C135" s="38">
        <v>2006</v>
      </c>
      <c r="D135" s="42">
        <v>45.161113630200795</v>
      </c>
      <c r="E135" s="42">
        <v>38.884565571206252</v>
      </c>
      <c r="F135" s="42">
        <v>46.887747105335961</v>
      </c>
      <c r="H135" s="40"/>
      <c r="I135" s="40"/>
      <c r="J135" s="40"/>
    </row>
    <row r="136" spans="1:10" ht="8.25" customHeight="1" x14ac:dyDescent="0.25">
      <c r="A136" s="37" t="s">
        <v>6</v>
      </c>
      <c r="B136" s="41" t="s">
        <v>9</v>
      </c>
      <c r="C136" s="38">
        <v>2006</v>
      </c>
      <c r="D136" s="42">
        <v>39.596256021879555</v>
      </c>
      <c r="E136" s="42">
        <v>31.14468696181607</v>
      </c>
      <c r="F136" s="42">
        <v>42.110964765907347</v>
      </c>
      <c r="H136" s="40"/>
      <c r="I136" s="40"/>
      <c r="J136" s="40"/>
    </row>
    <row r="137" spans="1:10" ht="8.25" customHeight="1" x14ac:dyDescent="0.25">
      <c r="A137" s="37" t="s">
        <v>7</v>
      </c>
      <c r="B137" s="41" t="s">
        <v>9</v>
      </c>
      <c r="C137" s="38">
        <v>2006</v>
      </c>
      <c r="D137" s="42">
        <v>34.009697900806025</v>
      </c>
      <c r="E137" s="42">
        <v>28.440237917324406</v>
      </c>
      <c r="F137" s="42">
        <v>35.067059111920329</v>
      </c>
      <c r="H137" s="40"/>
      <c r="I137" s="40"/>
      <c r="J137" s="40"/>
    </row>
    <row r="138" spans="1:10" ht="8.25" customHeight="1" x14ac:dyDescent="0.25">
      <c r="A138" s="37" t="s">
        <v>4</v>
      </c>
      <c r="B138" s="41" t="s">
        <v>10</v>
      </c>
      <c r="C138" s="38">
        <v>2006</v>
      </c>
      <c r="D138" s="42">
        <v>29.344881886234596</v>
      </c>
      <c r="E138" s="42">
        <v>22.214560476135489</v>
      </c>
      <c r="F138" s="42">
        <v>31.306382303252398</v>
      </c>
      <c r="H138" s="40"/>
      <c r="I138" s="40"/>
      <c r="J138" s="40"/>
    </row>
    <row r="139" spans="1:10" ht="8.25" customHeight="1" x14ac:dyDescent="0.25">
      <c r="A139" s="37" t="s">
        <v>6</v>
      </c>
      <c r="B139" s="41" t="s">
        <v>10</v>
      </c>
      <c r="C139" s="38">
        <v>2006</v>
      </c>
      <c r="D139" s="42">
        <v>33.660330866491151</v>
      </c>
      <c r="E139" s="42">
        <v>28.115881075595023</v>
      </c>
      <c r="F139" s="42">
        <v>35.310044253895157</v>
      </c>
      <c r="H139" s="40"/>
      <c r="I139" s="40"/>
      <c r="J139" s="40"/>
    </row>
    <row r="140" spans="1:10" ht="8.25" customHeight="1" x14ac:dyDescent="0.25">
      <c r="A140" s="37" t="s">
        <v>7</v>
      </c>
      <c r="B140" s="41" t="s">
        <v>10</v>
      </c>
      <c r="C140" s="38">
        <v>2006</v>
      </c>
      <c r="D140" s="42">
        <v>25.606199005220553</v>
      </c>
      <c r="E140" s="42">
        <v>24.208368093249053</v>
      </c>
      <c r="F140" s="42">
        <v>25.871577053189139</v>
      </c>
      <c r="H140" s="40"/>
      <c r="I140" s="40"/>
      <c r="J140" s="40"/>
    </row>
    <row r="141" spans="1:10" ht="8.25" customHeight="1" x14ac:dyDescent="0.25">
      <c r="A141" s="37" t="s">
        <v>4</v>
      </c>
      <c r="B141" s="37" t="s">
        <v>5</v>
      </c>
      <c r="C141" s="38">
        <v>2005</v>
      </c>
      <c r="D141" s="42">
        <v>4.7988791523357115</v>
      </c>
      <c r="E141" s="42">
        <v>9.8395271631659735</v>
      </c>
      <c r="F141" s="42">
        <v>3.2871763022626288</v>
      </c>
      <c r="H141" s="40"/>
      <c r="I141" s="40"/>
      <c r="J141" s="40"/>
    </row>
    <row r="142" spans="1:10" ht="8.25" customHeight="1" x14ac:dyDescent="0.25">
      <c r="A142" s="37" t="s">
        <v>6</v>
      </c>
      <c r="B142" s="37" t="s">
        <v>5</v>
      </c>
      <c r="C142" s="38">
        <v>2005</v>
      </c>
      <c r="D142" s="42">
        <v>4.3755488185340248</v>
      </c>
      <c r="E142" s="42">
        <v>12.61624825735595</v>
      </c>
      <c r="F142" s="42">
        <v>2.0206492308206041</v>
      </c>
      <c r="H142" s="40"/>
      <c r="I142" s="40"/>
      <c r="J142" s="40"/>
    </row>
    <row r="143" spans="1:10" ht="8.25" customHeight="1" x14ac:dyDescent="0.25">
      <c r="A143" s="37" t="s">
        <v>7</v>
      </c>
      <c r="B143" s="37" t="s">
        <v>5</v>
      </c>
      <c r="C143" s="38">
        <v>2005</v>
      </c>
      <c r="D143" s="42">
        <v>3.622969814818068</v>
      </c>
      <c r="E143" s="42">
        <v>12.767188287469155</v>
      </c>
      <c r="F143" s="42">
        <v>1.8955267408437952</v>
      </c>
      <c r="H143" s="40"/>
      <c r="I143" s="40"/>
      <c r="J143" s="40"/>
    </row>
    <row r="144" spans="1:10" ht="8.25" customHeight="1" x14ac:dyDescent="0.25">
      <c r="A144" s="37" t="s">
        <v>4</v>
      </c>
      <c r="B144" s="41" t="s">
        <v>8</v>
      </c>
      <c r="C144" s="38">
        <v>2005</v>
      </c>
      <c r="D144" s="42">
        <v>22.120709603673063</v>
      </c>
      <c r="E144" s="42">
        <v>29.449625043279116</v>
      </c>
      <c r="F144" s="42">
        <v>19.922748939855431</v>
      </c>
      <c r="H144" s="40"/>
      <c r="I144" s="40"/>
      <c r="J144" s="40"/>
    </row>
    <row r="145" spans="1:10" ht="8.25" customHeight="1" x14ac:dyDescent="0.25">
      <c r="A145" s="37" t="s">
        <v>6</v>
      </c>
      <c r="B145" s="41" t="s">
        <v>8</v>
      </c>
      <c r="C145" s="38">
        <v>2005</v>
      </c>
      <c r="D145" s="42">
        <v>22.888799820098448</v>
      </c>
      <c r="E145" s="42">
        <v>29.846957422116866</v>
      </c>
      <c r="F145" s="42">
        <v>20.900404328738102</v>
      </c>
      <c r="H145" s="40"/>
      <c r="I145" s="40"/>
      <c r="J145" s="40"/>
    </row>
    <row r="146" spans="1:10" ht="8.25" customHeight="1" x14ac:dyDescent="0.25">
      <c r="A146" s="37" t="s">
        <v>7</v>
      </c>
      <c r="B146" s="41" t="s">
        <v>8</v>
      </c>
      <c r="C146" s="38">
        <v>2005</v>
      </c>
      <c r="D146" s="42">
        <v>37.524341462050145</v>
      </c>
      <c r="E146" s="42">
        <v>35.463904279568304</v>
      </c>
      <c r="F146" s="42">
        <v>37.913580679775841</v>
      </c>
      <c r="H146" s="40"/>
      <c r="I146" s="40"/>
      <c r="J146" s="40"/>
    </row>
    <row r="147" spans="1:10" ht="8.25" customHeight="1" x14ac:dyDescent="0.25">
      <c r="A147" s="37" t="s">
        <v>4</v>
      </c>
      <c r="B147" s="41" t="s">
        <v>9</v>
      </c>
      <c r="C147" s="38">
        <v>2005</v>
      </c>
      <c r="D147" s="42">
        <v>42.899124175064578</v>
      </c>
      <c r="E147" s="42">
        <v>37.710705625285698</v>
      </c>
      <c r="F147" s="42">
        <v>44.455143881036122</v>
      </c>
      <c r="H147" s="40"/>
      <c r="I147" s="40"/>
      <c r="J147" s="40"/>
    </row>
    <row r="148" spans="1:10" ht="8.25" customHeight="1" x14ac:dyDescent="0.25">
      <c r="A148" s="37" t="s">
        <v>6</v>
      </c>
      <c r="B148" s="41" t="s">
        <v>9</v>
      </c>
      <c r="C148" s="38">
        <v>2005</v>
      </c>
      <c r="D148" s="42">
        <v>38.480961097514978</v>
      </c>
      <c r="E148" s="42">
        <v>31.468724501456013</v>
      </c>
      <c r="F148" s="42">
        <v>40.484810767756208</v>
      </c>
      <c r="H148" s="40"/>
      <c r="I148" s="40"/>
      <c r="J148" s="40"/>
    </row>
    <row r="149" spans="1:10" ht="8.25" customHeight="1" x14ac:dyDescent="0.25">
      <c r="A149" s="37" t="s">
        <v>7</v>
      </c>
      <c r="B149" s="41" t="s">
        <v>9</v>
      </c>
      <c r="C149" s="38">
        <v>2005</v>
      </c>
      <c r="D149" s="42">
        <v>33.36893491811621</v>
      </c>
      <c r="E149" s="42">
        <v>28.71141948621921</v>
      </c>
      <c r="F149" s="42">
        <v>34.248790746127099</v>
      </c>
      <c r="H149" s="40"/>
      <c r="I149" s="40"/>
      <c r="J149" s="40"/>
    </row>
    <row r="150" spans="1:10" ht="8.25" customHeight="1" x14ac:dyDescent="0.25">
      <c r="A150" s="37" t="s">
        <v>4</v>
      </c>
      <c r="B150" s="41" t="s">
        <v>10</v>
      </c>
      <c r="C150" s="38">
        <v>2005</v>
      </c>
      <c r="D150" s="42">
        <v>30.181287068926643</v>
      </c>
      <c r="E150" s="42">
        <v>23.0001421682692</v>
      </c>
      <c r="F150" s="42">
        <v>32.334930876845824</v>
      </c>
      <c r="H150" s="40"/>
      <c r="I150" s="40"/>
      <c r="J150" s="40"/>
    </row>
    <row r="151" spans="1:10" ht="8.25" customHeight="1" x14ac:dyDescent="0.25">
      <c r="A151" s="37" t="s">
        <v>6</v>
      </c>
      <c r="B151" s="41" t="s">
        <v>10</v>
      </c>
      <c r="C151" s="38">
        <v>2005</v>
      </c>
      <c r="D151" s="42">
        <v>34.254690263852538</v>
      </c>
      <c r="E151" s="42">
        <v>26.068069819071184</v>
      </c>
      <c r="F151" s="42">
        <v>36.594135672685091</v>
      </c>
      <c r="H151" s="40"/>
      <c r="I151" s="40"/>
      <c r="J151" s="40"/>
    </row>
    <row r="152" spans="1:10" ht="8.25" customHeight="1" x14ac:dyDescent="0.25">
      <c r="A152" s="37" t="s">
        <v>7</v>
      </c>
      <c r="B152" s="41" t="s">
        <v>10</v>
      </c>
      <c r="C152" s="38">
        <v>2005</v>
      </c>
      <c r="D152" s="42">
        <v>25.483753805015574</v>
      </c>
      <c r="E152" s="42">
        <v>23.057487946743326</v>
      </c>
      <c r="F152" s="42">
        <v>25.942101833253261</v>
      </c>
      <c r="H152" s="40"/>
      <c r="I152" s="40"/>
      <c r="J152" s="40"/>
    </row>
    <row r="153" spans="1:10" x14ac:dyDescent="0.25">
      <c r="C153" s="31" t="s">
        <v>15</v>
      </c>
    </row>
    <row r="154" spans="1:10" ht="8.25" customHeight="1" x14ac:dyDescent="0.25"/>
    <row r="155" spans="1:10" ht="8.25" customHeight="1" x14ac:dyDescent="0.25">
      <c r="A155" s="78" t="s">
        <v>38</v>
      </c>
      <c r="B155" s="78"/>
      <c r="C155" s="78"/>
      <c r="D155" s="78"/>
      <c r="E155" s="78"/>
      <c r="F155" s="78"/>
      <c r="G155" s="78"/>
      <c r="H155" s="78"/>
      <c r="I155" s="78"/>
      <c r="J155" s="78"/>
    </row>
    <row r="156" spans="1:10" ht="8.25" customHeight="1" x14ac:dyDescent="0.25">
      <c r="A156" s="17" t="s">
        <v>39</v>
      </c>
      <c r="B156" s="27"/>
      <c r="C156" s="34"/>
      <c r="D156" s="27"/>
      <c r="E156" s="27"/>
      <c r="F156" s="27"/>
      <c r="G156" s="27"/>
      <c r="H156" s="46"/>
      <c r="I156" s="46"/>
      <c r="J156" s="46"/>
    </row>
    <row r="157" spans="1:10" ht="8.25" customHeight="1" x14ac:dyDescent="0.25">
      <c r="A157" s="79" t="s">
        <v>54</v>
      </c>
      <c r="B157" s="79"/>
      <c r="C157" s="79"/>
      <c r="D157" s="79"/>
      <c r="E157" s="79"/>
      <c r="F157" s="79"/>
      <c r="G157" s="27"/>
      <c r="H157" s="46"/>
      <c r="I157" s="46"/>
      <c r="J157" s="46"/>
    </row>
    <row r="158" spans="1:10" ht="8.25" customHeight="1" x14ac:dyDescent="0.25">
      <c r="A158" s="79"/>
      <c r="B158" s="79"/>
      <c r="C158" s="79"/>
      <c r="D158" s="79"/>
      <c r="E158" s="79"/>
      <c r="F158" s="79"/>
      <c r="G158" s="27"/>
      <c r="H158" s="46"/>
      <c r="I158" s="46"/>
      <c r="J158" s="46"/>
    </row>
    <row r="159" spans="1:10" ht="8.25" customHeight="1" x14ac:dyDescent="0.25">
      <c r="A159" s="30"/>
      <c r="B159" s="30"/>
      <c r="C159" s="35"/>
      <c r="D159" s="30"/>
      <c r="E159" s="30"/>
      <c r="F159" s="30"/>
      <c r="G159" s="29"/>
      <c r="H159" s="29"/>
      <c r="I159" s="29"/>
      <c r="J159" s="29"/>
    </row>
    <row r="160" spans="1:10" ht="8.25" customHeight="1" x14ac:dyDescent="0.25">
      <c r="A160" s="8"/>
      <c r="B160" s="8"/>
      <c r="C160" s="35"/>
      <c r="D160" s="8"/>
      <c r="E160" s="8"/>
      <c r="F160" s="8"/>
      <c r="G160" s="29"/>
      <c r="H160" s="29"/>
      <c r="I160" s="29"/>
      <c r="J160" s="29"/>
    </row>
    <row r="161" spans="1:10" ht="8.25" customHeight="1" x14ac:dyDescent="0.25">
      <c r="A161" s="17" t="s">
        <v>40</v>
      </c>
      <c r="B161" s="28"/>
      <c r="C161" s="36"/>
      <c r="D161" s="29"/>
      <c r="E161" s="29"/>
      <c r="F161" s="29"/>
      <c r="G161" s="29"/>
      <c r="H161" s="29"/>
      <c r="I161" s="29"/>
      <c r="J161" s="29"/>
    </row>
  </sheetData>
  <mergeCells count="10">
    <mergeCell ref="A155:J155"/>
    <mergeCell ref="A157:F158"/>
    <mergeCell ref="A4:A7"/>
    <mergeCell ref="B4:B7"/>
    <mergeCell ref="C4:C7"/>
    <mergeCell ref="D4:D6"/>
    <mergeCell ref="E4:E5"/>
    <mergeCell ref="F4:F5"/>
    <mergeCell ref="E6:F6"/>
    <mergeCell ref="D7:F7"/>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I58"/>
  <sheetViews>
    <sheetView workbookViewId="0">
      <selection sqref="A1:F1"/>
    </sheetView>
  </sheetViews>
  <sheetFormatPr baseColWidth="10" defaultColWidth="11.42578125" defaultRowHeight="15" x14ac:dyDescent="0.25"/>
  <cols>
    <col min="1" max="1" width="56.7109375" style="22" bestFit="1" customWidth="1"/>
    <col min="2" max="2" width="12.7109375" style="22" bestFit="1" customWidth="1"/>
    <col min="3" max="3" width="5.7109375" style="22" bestFit="1" customWidth="1"/>
    <col min="4" max="4" width="16.7109375" style="22" bestFit="1" customWidth="1"/>
    <col min="5" max="6" width="24.7109375" style="22" bestFit="1" customWidth="1"/>
    <col min="7" max="16384" width="11.42578125" style="22"/>
  </cols>
  <sheetData>
    <row r="1" spans="1:9" ht="15.95" customHeight="1" x14ac:dyDescent="0.25">
      <c r="A1" s="105" t="s">
        <v>55</v>
      </c>
      <c r="B1" s="104"/>
      <c r="C1" s="104"/>
      <c r="D1" s="104"/>
      <c r="E1" s="104"/>
      <c r="F1" s="104"/>
    </row>
    <row r="2" spans="1:9" ht="12" customHeight="1" x14ac:dyDescent="0.25"/>
    <row r="3" spans="1:9" ht="14.1" customHeight="1" x14ac:dyDescent="0.25">
      <c r="A3" s="106" t="s">
        <v>17</v>
      </c>
      <c r="B3" s="106"/>
      <c r="C3" s="106"/>
      <c r="D3" s="107" t="s">
        <v>18</v>
      </c>
      <c r="E3" s="107"/>
      <c r="F3" s="107"/>
    </row>
    <row r="4" spans="1:9" ht="42.95" customHeight="1" x14ac:dyDescent="0.25">
      <c r="A4" s="106"/>
      <c r="B4" s="106"/>
      <c r="C4" s="106"/>
      <c r="D4" s="48" t="s">
        <v>12</v>
      </c>
      <c r="E4" s="49" t="s">
        <v>19</v>
      </c>
      <c r="F4" s="49" t="s">
        <v>72</v>
      </c>
      <c r="G4" s="48" t="str">
        <f>D4</f>
        <v>Insgesamt</v>
      </c>
      <c r="H4" s="49" t="str">
        <f t="shared" ref="H4:I4" si="0">E4</f>
        <v>Bevölkerung ohne
Migrationshintergrund</v>
      </c>
      <c r="I4" s="49" t="str">
        <f t="shared" si="0"/>
        <v>Bevölkerung mit
Migrationshintergrund
(i.e.S.)</v>
      </c>
    </row>
    <row r="5" spans="1:9" ht="42.95" customHeight="1" x14ac:dyDescent="0.25">
      <c r="A5" s="106"/>
      <c r="B5" s="106"/>
      <c r="C5" s="106"/>
      <c r="D5" s="49" t="s">
        <v>21</v>
      </c>
      <c r="E5" s="49" t="s">
        <v>22</v>
      </c>
      <c r="F5" s="49" t="s">
        <v>22</v>
      </c>
      <c r="G5" s="22" t="s">
        <v>16</v>
      </c>
      <c r="H5" s="22" t="s">
        <v>16</v>
      </c>
      <c r="I5" s="22" t="s">
        <v>16</v>
      </c>
    </row>
    <row r="6" spans="1:9" ht="14.1" customHeight="1" x14ac:dyDescent="0.25">
      <c r="A6" s="50" t="s">
        <v>24</v>
      </c>
      <c r="B6" s="50" t="s">
        <v>71</v>
      </c>
      <c r="C6" s="50" t="s">
        <v>15</v>
      </c>
      <c r="D6" s="1" t="s">
        <v>17</v>
      </c>
      <c r="E6" s="1" t="s">
        <v>17</v>
      </c>
      <c r="F6" s="1" t="s">
        <v>17</v>
      </c>
    </row>
    <row r="7" spans="1:9" ht="29.1" customHeight="1" x14ac:dyDescent="0.25">
      <c r="A7" s="108" t="s">
        <v>56</v>
      </c>
      <c r="B7" s="50" t="s">
        <v>25</v>
      </c>
      <c r="C7" s="50" t="s">
        <v>23</v>
      </c>
      <c r="D7" s="2">
        <v>25731.19</v>
      </c>
      <c r="E7" s="2">
        <v>18276.36</v>
      </c>
      <c r="F7" s="2">
        <v>7454.83</v>
      </c>
      <c r="G7" s="52">
        <f>D7/D24*100</f>
        <v>4.680199803458887</v>
      </c>
      <c r="H7" s="52">
        <f t="shared" ref="H7:I9" si="1">E7/E24*100</f>
        <v>4.212473377535928</v>
      </c>
      <c r="I7" s="52">
        <f t="shared" si="1"/>
        <v>6.4307154189557831</v>
      </c>
    </row>
    <row r="8" spans="1:9" ht="14.1" customHeight="1" x14ac:dyDescent="0.25">
      <c r="A8" s="102"/>
      <c r="B8" s="50" t="s">
        <v>26</v>
      </c>
      <c r="C8" s="50" t="s">
        <v>23</v>
      </c>
      <c r="D8" s="2">
        <v>29058.799999999999</v>
      </c>
      <c r="E8" s="2">
        <v>13682.52</v>
      </c>
      <c r="F8" s="2">
        <v>15376.27</v>
      </c>
      <c r="G8" s="52">
        <f t="shared" ref="G8:G9" si="2">D8/D25*100</f>
        <v>3.4533060936328104</v>
      </c>
      <c r="H8" s="52">
        <f t="shared" si="1"/>
        <v>2.0962607986382698</v>
      </c>
      <c r="I8" s="52">
        <f t="shared" si="1"/>
        <v>8.1456388805452651</v>
      </c>
    </row>
    <row r="9" spans="1:9" ht="14.1" customHeight="1" x14ac:dyDescent="0.25">
      <c r="A9" s="102"/>
      <c r="B9" s="50" t="s">
        <v>27</v>
      </c>
      <c r="C9" s="50" t="s">
        <v>23</v>
      </c>
      <c r="D9" s="2">
        <v>173657.99</v>
      </c>
      <c r="E9" s="2">
        <v>88892.18</v>
      </c>
      <c r="F9" s="2">
        <v>84765.81</v>
      </c>
      <c r="G9" s="52">
        <f t="shared" si="2"/>
        <v>3.6688820899064702</v>
      </c>
      <c r="H9" s="52">
        <f t="shared" si="1"/>
        <v>2.256034883631453</v>
      </c>
      <c r="I9" s="52">
        <f t="shared" si="1"/>
        <v>10.688288835368448</v>
      </c>
    </row>
    <row r="10" spans="1:9" ht="14.1" customHeight="1" x14ac:dyDescent="0.25">
      <c r="A10" s="102"/>
      <c r="B10" s="50" t="s">
        <v>12</v>
      </c>
      <c r="C10" s="50" t="s">
        <v>23</v>
      </c>
      <c r="D10" s="2">
        <v>227573.07</v>
      </c>
      <c r="E10" s="2">
        <v>113047.08</v>
      </c>
      <c r="F10" s="2">
        <v>114525.99</v>
      </c>
    </row>
    <row r="11" spans="1:9" ht="14.1" customHeight="1" x14ac:dyDescent="0.25">
      <c r="A11" s="109" t="s">
        <v>8</v>
      </c>
      <c r="B11" s="50" t="s">
        <v>25</v>
      </c>
      <c r="C11" s="50" t="s">
        <v>23</v>
      </c>
      <c r="D11" s="2">
        <v>96289.86</v>
      </c>
      <c r="E11" s="2">
        <v>68582.62</v>
      </c>
      <c r="F11" s="2">
        <v>27707.24</v>
      </c>
      <c r="G11" s="52">
        <f>D11/D24*100</f>
        <v>17.513989203262025</v>
      </c>
      <c r="H11" s="52">
        <f t="shared" ref="H11:I13" si="3">E11/E24*100</f>
        <v>15.807439824541817</v>
      </c>
      <c r="I11" s="52">
        <f t="shared" si="3"/>
        <v>23.900930736812033</v>
      </c>
    </row>
    <row r="12" spans="1:9" ht="14.1" customHeight="1" x14ac:dyDescent="0.25">
      <c r="A12" s="102"/>
      <c r="B12" s="50" t="s">
        <v>26</v>
      </c>
      <c r="C12" s="50" t="s">
        <v>23</v>
      </c>
      <c r="D12" s="2">
        <v>154762.4</v>
      </c>
      <c r="E12" s="2">
        <v>106750.14</v>
      </c>
      <c r="F12" s="2">
        <v>48012.26</v>
      </c>
      <c r="G12" s="52">
        <f t="shared" ref="G12:G13" si="4">D12/D25*100</f>
        <v>18.39174153733941</v>
      </c>
      <c r="H12" s="52">
        <f t="shared" si="3"/>
        <v>16.354891769290095</v>
      </c>
      <c r="I12" s="52">
        <f t="shared" si="3"/>
        <v>25.434681609964461</v>
      </c>
    </row>
    <row r="13" spans="1:9" ht="14.1" customHeight="1" x14ac:dyDescent="0.25">
      <c r="A13" s="102"/>
      <c r="B13" s="50" t="s">
        <v>27</v>
      </c>
      <c r="C13" s="50" t="s">
        <v>23</v>
      </c>
      <c r="D13" s="2">
        <v>1474389.5</v>
      </c>
      <c r="E13" s="2">
        <v>1232961.42</v>
      </c>
      <c r="F13" s="2">
        <v>241428.08</v>
      </c>
      <c r="G13" s="52">
        <f t="shared" si="4"/>
        <v>31.149509620007436</v>
      </c>
      <c r="H13" s="52">
        <f t="shared" si="3"/>
        <v>31.29188612194876</v>
      </c>
      <c r="I13" s="52">
        <f t="shared" si="3"/>
        <v>30.442144680838183</v>
      </c>
    </row>
    <row r="14" spans="1:9" ht="14.1" customHeight="1" x14ac:dyDescent="0.25">
      <c r="A14" s="102"/>
      <c r="B14" s="50" t="s">
        <v>12</v>
      </c>
      <c r="C14" s="50" t="s">
        <v>23</v>
      </c>
      <c r="D14" s="2">
        <v>2586232.2599999998</v>
      </c>
      <c r="E14" s="2">
        <v>2294930.0099999998</v>
      </c>
      <c r="F14" s="2">
        <v>291302.25</v>
      </c>
    </row>
    <row r="15" spans="1:9" ht="14.1" customHeight="1" x14ac:dyDescent="0.25">
      <c r="A15" s="109" t="s">
        <v>9</v>
      </c>
      <c r="B15" s="50" t="s">
        <v>25</v>
      </c>
      <c r="C15" s="50" t="s">
        <v>23</v>
      </c>
      <c r="D15" s="2">
        <v>233626.32</v>
      </c>
      <c r="E15" s="2">
        <v>186282.04</v>
      </c>
      <c r="F15" s="2">
        <v>47344.28</v>
      </c>
      <c r="G15" s="52">
        <f>D15/D24*100</f>
        <v>42.493870549586831</v>
      </c>
      <c r="H15" s="52">
        <f t="shared" ref="H15:I17" si="5">E15/E24*100</f>
        <v>42.935690378887422</v>
      </c>
      <c r="I15" s="52">
        <f t="shared" si="5"/>
        <v>40.840313111816087</v>
      </c>
    </row>
    <row r="16" spans="1:9" ht="14.1" customHeight="1" x14ac:dyDescent="0.25">
      <c r="A16" s="102"/>
      <c r="B16" s="50" t="s">
        <v>26</v>
      </c>
      <c r="C16" s="50" t="s">
        <v>23</v>
      </c>
      <c r="D16" s="2">
        <v>337646.69</v>
      </c>
      <c r="E16" s="2">
        <v>271684.24</v>
      </c>
      <c r="F16" s="2">
        <v>65962.45</v>
      </c>
      <c r="G16" s="52">
        <f t="shared" ref="G16:G17" si="6">D16/D25*100</f>
        <v>40.125448128344885</v>
      </c>
      <c r="H16" s="52">
        <f t="shared" si="5"/>
        <v>41.623986072728655</v>
      </c>
      <c r="I16" s="52">
        <f t="shared" si="5"/>
        <v>34.943864628809393</v>
      </c>
    </row>
    <row r="17" spans="1:9" ht="14.1" customHeight="1" x14ac:dyDescent="0.25">
      <c r="A17" s="102"/>
      <c r="B17" s="50" t="s">
        <v>27</v>
      </c>
      <c r="C17" s="50" t="s">
        <v>23</v>
      </c>
      <c r="D17" s="2">
        <v>1682616.38</v>
      </c>
      <c r="E17" s="2">
        <v>1428153.05</v>
      </c>
      <c r="F17" s="2">
        <v>254463.33</v>
      </c>
      <c r="G17" s="52">
        <f t="shared" si="6"/>
        <v>35.548730586857872</v>
      </c>
      <c r="H17" s="52">
        <f t="shared" si="5"/>
        <v>36.24574287597239</v>
      </c>
      <c r="I17" s="52">
        <f t="shared" si="5"/>
        <v>32.085785165618979</v>
      </c>
    </row>
    <row r="18" spans="1:9" ht="14.1" customHeight="1" x14ac:dyDescent="0.25">
      <c r="A18" s="102"/>
      <c r="B18" s="50" t="s">
        <v>12</v>
      </c>
      <c r="C18" s="50" t="s">
        <v>23</v>
      </c>
      <c r="D18" s="2">
        <v>1940446.02</v>
      </c>
      <c r="E18" s="2">
        <v>1673633.94</v>
      </c>
      <c r="F18" s="2">
        <v>266812.08</v>
      </c>
    </row>
    <row r="19" spans="1:9" ht="14.1" customHeight="1" x14ac:dyDescent="0.25">
      <c r="A19" s="109" t="s">
        <v>28</v>
      </c>
      <c r="B19" s="50" t="s">
        <v>25</v>
      </c>
      <c r="C19" s="50" t="s">
        <v>23</v>
      </c>
      <c r="D19" s="2">
        <v>194140.92</v>
      </c>
      <c r="E19" s="2">
        <v>160721.9</v>
      </c>
      <c r="F19" s="2">
        <v>33419.01</v>
      </c>
      <c r="G19" s="52">
        <f>D19/D24*100</f>
        <v>35.311942262574242</v>
      </c>
      <c r="H19" s="52">
        <f t="shared" ref="H19:I21" si="7">E19/E24*100</f>
        <v>37.04439641903484</v>
      </c>
      <c r="I19" s="52">
        <f t="shared" si="7"/>
        <v>28.828040732416099</v>
      </c>
    </row>
    <row r="20" spans="1:9" ht="14.1" customHeight="1" x14ac:dyDescent="0.25">
      <c r="A20" s="102"/>
      <c r="B20" s="50" t="s">
        <v>26</v>
      </c>
      <c r="C20" s="50" t="s">
        <v>23</v>
      </c>
      <c r="D20" s="2">
        <v>320009.78000000003</v>
      </c>
      <c r="E20" s="2">
        <v>260593.87</v>
      </c>
      <c r="F20" s="2">
        <v>59415.92</v>
      </c>
      <c r="G20" s="52">
        <f t="shared" ref="G20:G21" si="8">D20/D25*100</f>
        <v>38.029503052297244</v>
      </c>
      <c r="H20" s="52">
        <f t="shared" si="7"/>
        <v>39.92486135934297</v>
      </c>
      <c r="I20" s="52">
        <f t="shared" si="7"/>
        <v>31.475814880680879</v>
      </c>
    </row>
    <row r="21" spans="1:9" ht="14.1" customHeight="1" x14ac:dyDescent="0.25">
      <c r="A21" s="102"/>
      <c r="B21" s="50" t="s">
        <v>27</v>
      </c>
      <c r="C21" s="50" t="s">
        <v>23</v>
      </c>
      <c r="D21" s="2">
        <v>1402603.26</v>
      </c>
      <c r="E21" s="2">
        <v>1190188.6299999999</v>
      </c>
      <c r="F21" s="2">
        <v>212414.63</v>
      </c>
      <c r="G21" s="52">
        <f t="shared" si="8"/>
        <v>29.632877703228218</v>
      </c>
      <c r="H21" s="52">
        <f t="shared" si="7"/>
        <v>30.206336118447407</v>
      </c>
      <c r="I21" s="52">
        <f t="shared" si="7"/>
        <v>26.783781318174388</v>
      </c>
    </row>
    <row r="22" spans="1:9" ht="14.1" customHeight="1" x14ac:dyDescent="0.25">
      <c r="A22" s="102"/>
      <c r="B22" s="50" t="s">
        <v>12</v>
      </c>
      <c r="C22" s="50" t="s">
        <v>23</v>
      </c>
      <c r="D22" s="2">
        <v>1593686.98</v>
      </c>
      <c r="E22" s="2">
        <v>1359596.24</v>
      </c>
      <c r="F22" s="2">
        <v>234090.74</v>
      </c>
    </row>
    <row r="23" spans="1:9" ht="14.1" customHeight="1" x14ac:dyDescent="0.25">
      <c r="A23" s="102" t="s">
        <v>71</v>
      </c>
      <c r="B23" s="102"/>
      <c r="C23" s="50" t="s">
        <v>15</v>
      </c>
      <c r="D23" s="1" t="s">
        <v>17</v>
      </c>
      <c r="E23" s="1" t="s">
        <v>17</v>
      </c>
      <c r="F23" s="1" t="s">
        <v>17</v>
      </c>
    </row>
    <row r="24" spans="1:9" ht="14.1" customHeight="1" x14ac:dyDescent="0.25">
      <c r="A24" s="102" t="s">
        <v>25</v>
      </c>
      <c r="B24" s="102"/>
      <c r="C24" s="50" t="s">
        <v>23</v>
      </c>
      <c r="D24" s="2">
        <v>549788.28</v>
      </c>
      <c r="E24" s="2">
        <v>433862.92</v>
      </c>
      <c r="F24" s="2">
        <v>115925.36</v>
      </c>
    </row>
    <row r="25" spans="1:9" ht="14.1" customHeight="1" x14ac:dyDescent="0.25">
      <c r="A25" s="102" t="s">
        <v>26</v>
      </c>
      <c r="B25" s="102"/>
      <c r="C25" s="50" t="s">
        <v>23</v>
      </c>
      <c r="D25" s="2">
        <v>841477.68</v>
      </c>
      <c r="E25" s="2">
        <v>652710.77</v>
      </c>
      <c r="F25" s="2">
        <v>188766.9</v>
      </c>
    </row>
    <row r="26" spans="1:9" ht="14.1" customHeight="1" x14ac:dyDescent="0.25">
      <c r="A26" s="102" t="s">
        <v>27</v>
      </c>
      <c r="B26" s="102"/>
      <c r="C26" s="50" t="s">
        <v>23</v>
      </c>
      <c r="D26" s="2">
        <v>4733267.13</v>
      </c>
      <c r="E26" s="2">
        <v>3940195.28</v>
      </c>
      <c r="F26" s="2">
        <v>793071.85</v>
      </c>
    </row>
    <row r="27" spans="1:9" ht="14.1" customHeight="1" x14ac:dyDescent="0.25">
      <c r="A27" s="102" t="s">
        <v>12</v>
      </c>
      <c r="B27" s="102"/>
      <c r="C27" s="50" t="s">
        <v>23</v>
      </c>
      <c r="D27" s="2">
        <v>6347938.3300000001</v>
      </c>
      <c r="E27" s="2">
        <v>5441207.2599999998</v>
      </c>
      <c r="F27" s="2">
        <v>906731.06</v>
      </c>
    </row>
    <row r="28" spans="1:9" ht="12" customHeight="1" x14ac:dyDescent="0.25"/>
    <row r="29" spans="1:9" ht="14.1" customHeight="1" x14ac:dyDescent="0.25">
      <c r="A29" s="103" t="s">
        <v>57</v>
      </c>
      <c r="B29" s="104"/>
      <c r="C29" s="104"/>
      <c r="D29" s="104"/>
      <c r="E29" s="104"/>
      <c r="F29" s="104"/>
    </row>
    <row r="30" spans="1:9" ht="12" customHeight="1" x14ac:dyDescent="0.25"/>
    <row r="31" spans="1:9" ht="12" customHeight="1" x14ac:dyDescent="0.25"/>
    <row r="32" spans="1:9"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sheetData>
  <mergeCells count="13">
    <mergeCell ref="A25:B25"/>
    <mergeCell ref="A26:B26"/>
    <mergeCell ref="A27:B27"/>
    <mergeCell ref="A29:F29"/>
    <mergeCell ref="A1:F1"/>
    <mergeCell ref="A3:C5"/>
    <mergeCell ref="D3:F3"/>
    <mergeCell ref="A7:A10"/>
    <mergeCell ref="A11:A14"/>
    <mergeCell ref="A15:A18"/>
    <mergeCell ref="A19:A22"/>
    <mergeCell ref="A23:B23"/>
    <mergeCell ref="A24:B24"/>
  </mergeCell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I58"/>
  <sheetViews>
    <sheetView workbookViewId="0">
      <selection sqref="A1:F1"/>
    </sheetView>
  </sheetViews>
  <sheetFormatPr baseColWidth="10" defaultColWidth="11.42578125" defaultRowHeight="15" x14ac:dyDescent="0.25"/>
  <cols>
    <col min="1" max="1" width="56.7109375" style="22" bestFit="1" customWidth="1"/>
    <col min="2" max="2" width="12.7109375" style="22" bestFit="1" customWidth="1"/>
    <col min="3" max="3" width="5.7109375" style="22" bestFit="1" customWidth="1"/>
    <col min="4" max="4" width="16.7109375" style="22" bestFit="1" customWidth="1"/>
    <col min="5" max="6" width="24.7109375" style="22" bestFit="1" customWidth="1"/>
    <col min="7" max="16384" width="11.42578125" style="22"/>
  </cols>
  <sheetData>
    <row r="1" spans="1:9" ht="15.95" customHeight="1" x14ac:dyDescent="0.25">
      <c r="A1" s="105" t="s">
        <v>58</v>
      </c>
      <c r="B1" s="104"/>
      <c r="C1" s="104"/>
      <c r="D1" s="104"/>
      <c r="E1" s="104"/>
      <c r="F1" s="104"/>
    </row>
    <row r="2" spans="1:9" ht="12" customHeight="1" x14ac:dyDescent="0.25"/>
    <row r="3" spans="1:9" ht="14.1" customHeight="1" x14ac:dyDescent="0.25">
      <c r="A3" s="106" t="s">
        <v>17</v>
      </c>
      <c r="B3" s="106"/>
      <c r="C3" s="106"/>
      <c r="D3" s="107" t="s">
        <v>18</v>
      </c>
      <c r="E3" s="107"/>
      <c r="F3" s="107"/>
    </row>
    <row r="4" spans="1:9" ht="42.95" customHeight="1" x14ac:dyDescent="0.25">
      <c r="A4" s="106"/>
      <c r="B4" s="106"/>
      <c r="C4" s="106"/>
      <c r="D4" s="48" t="s">
        <v>12</v>
      </c>
      <c r="E4" s="49" t="s">
        <v>19</v>
      </c>
      <c r="F4" s="49" t="s">
        <v>72</v>
      </c>
      <c r="G4" s="48" t="str">
        <f>D4</f>
        <v>Insgesamt</v>
      </c>
      <c r="H4" s="49" t="str">
        <f t="shared" ref="H4:I4" si="0">E4</f>
        <v>Bevölkerung ohne
Migrationshintergrund</v>
      </c>
      <c r="I4" s="49" t="str">
        <f t="shared" si="0"/>
        <v>Bevölkerung mit
Migrationshintergrund
(i.e.S.)</v>
      </c>
    </row>
    <row r="5" spans="1:9" ht="42.95" customHeight="1" x14ac:dyDescent="0.25">
      <c r="A5" s="106"/>
      <c r="B5" s="106"/>
      <c r="C5" s="106"/>
      <c r="D5" s="49" t="s">
        <v>21</v>
      </c>
      <c r="E5" s="49" t="s">
        <v>22</v>
      </c>
      <c r="F5" s="49" t="s">
        <v>22</v>
      </c>
      <c r="G5" s="22" t="s">
        <v>16</v>
      </c>
      <c r="H5" s="22" t="s">
        <v>16</v>
      </c>
      <c r="I5" s="22" t="s">
        <v>16</v>
      </c>
    </row>
    <row r="6" spans="1:9" ht="14.1" customHeight="1" x14ac:dyDescent="0.25">
      <c r="A6" s="50" t="s">
        <v>24</v>
      </c>
      <c r="B6" s="50" t="s">
        <v>71</v>
      </c>
      <c r="C6" s="50" t="s">
        <v>15</v>
      </c>
      <c r="D6" s="1" t="s">
        <v>17</v>
      </c>
      <c r="E6" s="1" t="s">
        <v>17</v>
      </c>
      <c r="F6" s="1" t="s">
        <v>17</v>
      </c>
    </row>
    <row r="7" spans="1:9" ht="29.1" customHeight="1" x14ac:dyDescent="0.25">
      <c r="A7" s="108" t="s">
        <v>56</v>
      </c>
      <c r="B7" s="50" t="s">
        <v>25</v>
      </c>
      <c r="C7" s="50" t="s">
        <v>23</v>
      </c>
      <c r="D7" s="2">
        <v>28028.97</v>
      </c>
      <c r="E7" s="2">
        <v>19143.05</v>
      </c>
      <c r="F7" s="2">
        <v>8885.92</v>
      </c>
      <c r="G7" s="52">
        <f>D7/D24*100</f>
        <v>5.2065034980518829</v>
      </c>
      <c r="H7" s="52">
        <f t="shared" ref="H7:I9" si="1">E7/E24*100</f>
        <v>4.4659382405956984</v>
      </c>
      <c r="I7" s="52">
        <f t="shared" si="1"/>
        <v>8.1002219604773789</v>
      </c>
    </row>
    <row r="8" spans="1:9" ht="14.1" customHeight="1" x14ac:dyDescent="0.25">
      <c r="A8" s="102"/>
      <c r="B8" s="50" t="s">
        <v>26</v>
      </c>
      <c r="C8" s="50" t="s">
        <v>23</v>
      </c>
      <c r="D8" s="2">
        <v>30923.19</v>
      </c>
      <c r="E8" s="2">
        <v>14306.2</v>
      </c>
      <c r="F8" s="2">
        <v>16617</v>
      </c>
      <c r="G8" s="52">
        <f t="shared" ref="G8:G9" si="2">D8/D25*100</f>
        <v>3.5877623608345308</v>
      </c>
      <c r="H8" s="52">
        <f t="shared" si="1"/>
        <v>2.1520811428850282</v>
      </c>
      <c r="I8" s="52">
        <f t="shared" si="1"/>
        <v>8.4287684106985772</v>
      </c>
    </row>
    <row r="9" spans="1:9" ht="14.1" customHeight="1" x14ac:dyDescent="0.25">
      <c r="A9" s="102"/>
      <c r="B9" s="50" t="s">
        <v>27</v>
      </c>
      <c r="C9" s="50" t="s">
        <v>23</v>
      </c>
      <c r="D9" s="2">
        <v>170799.12</v>
      </c>
      <c r="E9" s="2">
        <v>88213.48</v>
      </c>
      <c r="F9" s="2">
        <v>82585.64</v>
      </c>
      <c r="G9" s="52">
        <f t="shared" si="2"/>
        <v>3.5978628053990644</v>
      </c>
      <c r="H9" s="52">
        <f t="shared" si="1"/>
        <v>2.2395724823015377</v>
      </c>
      <c r="I9" s="52">
        <f t="shared" si="1"/>
        <v>10.216130628791072</v>
      </c>
    </row>
    <row r="10" spans="1:9" ht="14.1" customHeight="1" x14ac:dyDescent="0.25">
      <c r="A10" s="102"/>
      <c r="B10" s="50" t="s">
        <v>12</v>
      </c>
      <c r="C10" s="50" t="s">
        <v>23</v>
      </c>
      <c r="D10" s="2">
        <v>231183.25</v>
      </c>
      <c r="E10" s="2">
        <v>116137.17</v>
      </c>
      <c r="F10" s="2">
        <v>115046.08</v>
      </c>
    </row>
    <row r="11" spans="1:9" ht="14.1" customHeight="1" x14ac:dyDescent="0.25">
      <c r="A11" s="109" t="s">
        <v>8</v>
      </c>
      <c r="B11" s="50" t="s">
        <v>25</v>
      </c>
      <c r="C11" s="50" t="s">
        <v>23</v>
      </c>
      <c r="D11" s="2">
        <v>87159.43</v>
      </c>
      <c r="E11" s="2">
        <v>63579.21</v>
      </c>
      <c r="F11" s="2">
        <v>23580.22</v>
      </c>
      <c r="G11" s="52">
        <f>D11/D24*100</f>
        <v>16.190244492866064</v>
      </c>
      <c r="H11" s="52">
        <f t="shared" ref="H11:I13" si="3">E11/E24*100</f>
        <v>14.832580244311355</v>
      </c>
      <c r="I11" s="52">
        <f t="shared" si="3"/>
        <v>21.495243697544868</v>
      </c>
    </row>
    <row r="12" spans="1:9" ht="14.1" customHeight="1" x14ac:dyDescent="0.25">
      <c r="A12" s="102"/>
      <c r="B12" s="50" t="s">
        <v>26</v>
      </c>
      <c r="C12" s="50" t="s">
        <v>23</v>
      </c>
      <c r="D12" s="2">
        <v>147559.76999999999</v>
      </c>
      <c r="E12" s="2">
        <v>99628.41</v>
      </c>
      <c r="F12" s="2">
        <v>47931.360000000001</v>
      </c>
      <c r="G12" s="52">
        <f t="shared" ref="G12:G13" si="4">D12/D25*100</f>
        <v>17.120141511254189</v>
      </c>
      <c r="H12" s="52">
        <f t="shared" si="3"/>
        <v>14.987098073326122</v>
      </c>
      <c r="I12" s="52">
        <f t="shared" si="3"/>
        <v>24.312591505676192</v>
      </c>
    </row>
    <row r="13" spans="1:9" ht="14.1" customHeight="1" x14ac:dyDescent="0.25">
      <c r="A13" s="102"/>
      <c r="B13" s="50" t="s">
        <v>27</v>
      </c>
      <c r="C13" s="50" t="s">
        <v>23</v>
      </c>
      <c r="D13" s="2">
        <v>1415021.56</v>
      </c>
      <c r="E13" s="2">
        <v>1178981.8</v>
      </c>
      <c r="F13" s="2">
        <v>236039.77</v>
      </c>
      <c r="G13" s="52">
        <f t="shared" si="4"/>
        <v>29.807258020777628</v>
      </c>
      <c r="H13" s="52">
        <f t="shared" si="3"/>
        <v>29.932105574049857</v>
      </c>
      <c r="I13" s="52">
        <f t="shared" si="3"/>
        <v>29.198939717725743</v>
      </c>
    </row>
    <row r="14" spans="1:9" ht="14.1" customHeight="1" x14ac:dyDescent="0.25">
      <c r="A14" s="102"/>
      <c r="B14" s="50" t="s">
        <v>12</v>
      </c>
      <c r="C14" s="50" t="s">
        <v>23</v>
      </c>
      <c r="D14" s="2">
        <v>2515406.66</v>
      </c>
      <c r="E14" s="2">
        <v>2226628.0299999998</v>
      </c>
      <c r="F14" s="2">
        <v>288778.62</v>
      </c>
    </row>
    <row r="15" spans="1:9" ht="14.1" customHeight="1" x14ac:dyDescent="0.25">
      <c r="A15" s="109" t="s">
        <v>9</v>
      </c>
      <c r="B15" s="50" t="s">
        <v>25</v>
      </c>
      <c r="C15" s="50" t="s">
        <v>23</v>
      </c>
      <c r="D15" s="2">
        <v>226538.75</v>
      </c>
      <c r="E15" s="2">
        <v>182244.36</v>
      </c>
      <c r="F15" s="2">
        <v>44294.39</v>
      </c>
      <c r="G15" s="52">
        <f>D15/D24*100</f>
        <v>42.080561444794476</v>
      </c>
      <c r="H15" s="52">
        <f t="shared" ref="H15:I17" si="5">E15/E24*100</f>
        <v>42.516320881828612</v>
      </c>
      <c r="I15" s="52">
        <f t="shared" si="5"/>
        <v>40.377855146563284</v>
      </c>
    </row>
    <row r="16" spans="1:9" ht="14.1" customHeight="1" x14ac:dyDescent="0.25">
      <c r="A16" s="102"/>
      <c r="B16" s="50" t="s">
        <v>26</v>
      </c>
      <c r="C16" s="50" t="s">
        <v>23</v>
      </c>
      <c r="D16" s="2">
        <v>346412.85</v>
      </c>
      <c r="E16" s="2">
        <v>276222.28000000003</v>
      </c>
      <c r="F16" s="2">
        <v>70190.570000000007</v>
      </c>
      <c r="G16" s="52">
        <f t="shared" ref="G16:G17" si="6">D16/D25*100</f>
        <v>40.191422183138876</v>
      </c>
      <c r="H16" s="52">
        <f t="shared" si="5"/>
        <v>41.552107480163023</v>
      </c>
      <c r="I16" s="52">
        <f t="shared" si="5"/>
        <v>35.603301386828385</v>
      </c>
    </row>
    <row r="17" spans="1:9" ht="14.1" customHeight="1" x14ac:dyDescent="0.25">
      <c r="A17" s="102"/>
      <c r="B17" s="50" t="s">
        <v>27</v>
      </c>
      <c r="C17" s="50" t="s">
        <v>23</v>
      </c>
      <c r="D17" s="2">
        <v>1713572.91</v>
      </c>
      <c r="E17" s="2">
        <v>1452462.49</v>
      </c>
      <c r="F17" s="2">
        <v>261110.43</v>
      </c>
      <c r="G17" s="52">
        <f t="shared" si="6"/>
        <v>36.096206100057415</v>
      </c>
      <c r="H17" s="52">
        <f t="shared" si="5"/>
        <v>36.875260155014551</v>
      </c>
      <c r="I17" s="52">
        <f t="shared" si="5"/>
        <v>32.300267472890042</v>
      </c>
    </row>
    <row r="18" spans="1:9" ht="14.1" customHeight="1" x14ac:dyDescent="0.25">
      <c r="A18" s="102"/>
      <c r="B18" s="50" t="s">
        <v>12</v>
      </c>
      <c r="C18" s="50" t="s">
        <v>23</v>
      </c>
      <c r="D18" s="2">
        <v>1986110.64</v>
      </c>
      <c r="E18" s="2">
        <v>1710476.55</v>
      </c>
      <c r="F18" s="2">
        <v>275634.09000000003</v>
      </c>
    </row>
    <row r="19" spans="1:9" ht="14.1" customHeight="1" x14ac:dyDescent="0.25">
      <c r="A19" s="109" t="s">
        <v>28</v>
      </c>
      <c r="B19" s="50" t="s">
        <v>25</v>
      </c>
      <c r="C19" s="50" t="s">
        <v>23</v>
      </c>
      <c r="D19" s="2">
        <v>196618.21</v>
      </c>
      <c r="E19" s="2">
        <v>163679.01999999999</v>
      </c>
      <c r="F19" s="2">
        <v>32939.19</v>
      </c>
      <c r="G19" s="52">
        <f>D19/D24*100</f>
        <v>36.522690564287579</v>
      </c>
      <c r="H19" s="52">
        <f t="shared" ref="H19:I21" si="7">E19/E24*100</f>
        <v>38.185158300335011</v>
      </c>
      <c r="I19" s="52">
        <f t="shared" si="7"/>
        <v>30.026688311208844</v>
      </c>
    </row>
    <row r="20" spans="1:9" ht="14.1" customHeight="1" x14ac:dyDescent="0.25">
      <c r="A20" s="102"/>
      <c r="B20" s="50" t="s">
        <v>26</v>
      </c>
      <c r="C20" s="50" t="s">
        <v>23</v>
      </c>
      <c r="D20" s="2">
        <v>337011.61</v>
      </c>
      <c r="E20" s="2">
        <v>274604.3</v>
      </c>
      <c r="F20" s="2">
        <v>62407.31</v>
      </c>
      <c r="G20" s="52">
        <f t="shared" ref="G20:G21" si="8">D20/D25*100</f>
        <v>39.100673944772396</v>
      </c>
      <c r="H20" s="52">
        <f t="shared" si="7"/>
        <v>41.308714807925448</v>
      </c>
      <c r="I20" s="52">
        <f t="shared" si="7"/>
        <v>31.655338696796854</v>
      </c>
    </row>
    <row r="21" spans="1:9" ht="14.1" customHeight="1" x14ac:dyDescent="0.25">
      <c r="A21" s="102"/>
      <c r="B21" s="50" t="s">
        <v>27</v>
      </c>
      <c r="C21" s="50" t="s">
        <v>23</v>
      </c>
      <c r="D21" s="2">
        <v>1447844.67</v>
      </c>
      <c r="E21" s="2">
        <v>1219195.77</v>
      </c>
      <c r="F21" s="2">
        <v>228648.9</v>
      </c>
      <c r="G21" s="52">
        <f t="shared" si="8"/>
        <v>30.498672863117111</v>
      </c>
      <c r="H21" s="52">
        <f t="shared" si="7"/>
        <v>30.953061788634063</v>
      </c>
      <c r="I21" s="52">
        <f t="shared" si="7"/>
        <v>28.284663417627893</v>
      </c>
    </row>
    <row r="22" spans="1:9" ht="14.1" customHeight="1" x14ac:dyDescent="0.25">
      <c r="A22" s="102"/>
      <c r="B22" s="50" t="s">
        <v>12</v>
      </c>
      <c r="C22" s="50" t="s">
        <v>23</v>
      </c>
      <c r="D22" s="2">
        <v>1645327.27</v>
      </c>
      <c r="E22" s="2">
        <v>1393103.32</v>
      </c>
      <c r="F22" s="2">
        <v>252223.95</v>
      </c>
    </row>
    <row r="23" spans="1:9" ht="14.1" customHeight="1" x14ac:dyDescent="0.25">
      <c r="A23" s="102" t="s">
        <v>71</v>
      </c>
      <c r="B23" s="102"/>
      <c r="C23" s="50" t="s">
        <v>15</v>
      </c>
      <c r="D23" s="1" t="s">
        <v>17</v>
      </c>
      <c r="E23" s="1" t="s">
        <v>17</v>
      </c>
      <c r="F23" s="1" t="s">
        <v>17</v>
      </c>
    </row>
    <row r="24" spans="1:9" ht="14.1" customHeight="1" x14ac:dyDescent="0.25">
      <c r="A24" s="102" t="s">
        <v>25</v>
      </c>
      <c r="B24" s="102"/>
      <c r="C24" s="50" t="s">
        <v>23</v>
      </c>
      <c r="D24" s="2">
        <v>538345.36</v>
      </c>
      <c r="E24" s="2">
        <v>428645.65</v>
      </c>
      <c r="F24" s="2">
        <v>109699.71</v>
      </c>
    </row>
    <row r="25" spans="1:9" ht="14.1" customHeight="1" x14ac:dyDescent="0.25">
      <c r="A25" s="102" t="s">
        <v>26</v>
      </c>
      <c r="B25" s="102"/>
      <c r="C25" s="50" t="s">
        <v>23</v>
      </c>
      <c r="D25" s="2">
        <v>861907.42</v>
      </c>
      <c r="E25" s="2">
        <v>664761.18000000005</v>
      </c>
      <c r="F25" s="2">
        <v>197146.23999999999</v>
      </c>
    </row>
    <row r="26" spans="1:9" ht="14.1" customHeight="1" x14ac:dyDescent="0.25">
      <c r="A26" s="102" t="s">
        <v>27</v>
      </c>
      <c r="B26" s="102"/>
      <c r="C26" s="50" t="s">
        <v>23</v>
      </c>
      <c r="D26" s="2">
        <v>4747238.2699999996</v>
      </c>
      <c r="E26" s="2">
        <v>3938853.54</v>
      </c>
      <c r="F26" s="2">
        <v>808384.73</v>
      </c>
    </row>
    <row r="27" spans="1:9" ht="14.1" customHeight="1" x14ac:dyDescent="0.25">
      <c r="A27" s="102" t="s">
        <v>12</v>
      </c>
      <c r="B27" s="102"/>
      <c r="C27" s="50" t="s">
        <v>23</v>
      </c>
      <c r="D27" s="2">
        <v>6378027.8200000003</v>
      </c>
      <c r="E27" s="2">
        <v>5446345.0800000001</v>
      </c>
      <c r="F27" s="2">
        <v>931682.74</v>
      </c>
    </row>
    <row r="28" spans="1:9" ht="12" customHeight="1" x14ac:dyDescent="0.25"/>
    <row r="29" spans="1:9" ht="14.1" customHeight="1" x14ac:dyDescent="0.25">
      <c r="A29" s="103" t="s">
        <v>59</v>
      </c>
      <c r="B29" s="104"/>
      <c r="C29" s="104"/>
      <c r="D29" s="104"/>
      <c r="E29" s="104"/>
      <c r="F29" s="104"/>
    </row>
    <row r="30" spans="1:9" ht="12" customHeight="1" x14ac:dyDescent="0.25"/>
    <row r="31" spans="1:9" ht="12" customHeight="1" x14ac:dyDescent="0.25"/>
    <row r="32" spans="1:9"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sheetData>
  <mergeCells count="13">
    <mergeCell ref="A25:B25"/>
    <mergeCell ref="A26:B26"/>
    <mergeCell ref="A27:B27"/>
    <mergeCell ref="A29:F29"/>
    <mergeCell ref="A1:F1"/>
    <mergeCell ref="A3:C5"/>
    <mergeCell ref="D3:F3"/>
    <mergeCell ref="A7:A10"/>
    <mergeCell ref="A11:A14"/>
    <mergeCell ref="A15:A18"/>
    <mergeCell ref="A19:A22"/>
    <mergeCell ref="A23:B23"/>
    <mergeCell ref="A24:B24"/>
  </mergeCell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A1:I58"/>
  <sheetViews>
    <sheetView workbookViewId="0">
      <selection sqref="A1:F1"/>
    </sheetView>
  </sheetViews>
  <sheetFormatPr baseColWidth="10" defaultColWidth="11.42578125" defaultRowHeight="15" x14ac:dyDescent="0.25"/>
  <cols>
    <col min="1" max="1" width="56.7109375" style="22" bestFit="1" customWidth="1"/>
    <col min="2" max="2" width="12.7109375" style="22" bestFit="1" customWidth="1"/>
    <col min="3" max="3" width="5.7109375" style="22" bestFit="1" customWidth="1"/>
    <col min="4" max="4" width="16.7109375" style="22" bestFit="1" customWidth="1"/>
    <col min="5" max="6" width="24.7109375" style="22" bestFit="1" customWidth="1"/>
    <col min="7" max="16384" width="11.42578125" style="22"/>
  </cols>
  <sheetData>
    <row r="1" spans="1:9" ht="15.95" customHeight="1" x14ac:dyDescent="0.25">
      <c r="A1" s="105" t="s">
        <v>60</v>
      </c>
      <c r="B1" s="104"/>
      <c r="C1" s="104"/>
      <c r="D1" s="104"/>
      <c r="E1" s="104"/>
      <c r="F1" s="104"/>
    </row>
    <row r="2" spans="1:9" ht="12" customHeight="1" x14ac:dyDescent="0.25">
      <c r="A2" s="47"/>
      <c r="B2" s="47"/>
      <c r="C2" s="47"/>
      <c r="D2" s="47"/>
      <c r="E2" s="47"/>
      <c r="F2" s="47"/>
    </row>
    <row r="3" spans="1:9" ht="14.1" customHeight="1" x14ac:dyDescent="0.25">
      <c r="A3" s="106" t="s">
        <v>17</v>
      </c>
      <c r="B3" s="106"/>
      <c r="C3" s="106"/>
      <c r="D3" s="107" t="s">
        <v>18</v>
      </c>
      <c r="E3" s="107"/>
      <c r="F3" s="107"/>
    </row>
    <row r="4" spans="1:9" ht="42.95" customHeight="1" x14ac:dyDescent="0.25">
      <c r="A4" s="106"/>
      <c r="B4" s="106"/>
      <c r="C4" s="106"/>
      <c r="D4" s="48" t="s">
        <v>12</v>
      </c>
      <c r="E4" s="49" t="s">
        <v>19</v>
      </c>
      <c r="F4" s="49" t="s">
        <v>72</v>
      </c>
      <c r="G4" s="48" t="str">
        <f>D4</f>
        <v>Insgesamt</v>
      </c>
      <c r="H4" s="49" t="str">
        <f t="shared" ref="H4:I4" si="0">E4</f>
        <v>Bevölkerung ohne
Migrationshintergrund</v>
      </c>
      <c r="I4" s="49" t="str">
        <f t="shared" si="0"/>
        <v>Bevölkerung mit
Migrationshintergrund
(i.e.S.)</v>
      </c>
    </row>
    <row r="5" spans="1:9" ht="42.95" customHeight="1" x14ac:dyDescent="0.25">
      <c r="A5" s="106"/>
      <c r="B5" s="106"/>
      <c r="C5" s="106"/>
      <c r="D5" s="49" t="s">
        <v>21</v>
      </c>
      <c r="E5" s="49" t="s">
        <v>22</v>
      </c>
      <c r="F5" s="49" t="s">
        <v>22</v>
      </c>
      <c r="G5" s="22" t="s">
        <v>16</v>
      </c>
      <c r="H5" s="22" t="s">
        <v>16</v>
      </c>
      <c r="I5" s="22" t="s">
        <v>16</v>
      </c>
    </row>
    <row r="6" spans="1:9" ht="14.1" customHeight="1" x14ac:dyDescent="0.25">
      <c r="A6" s="51" t="s">
        <v>24</v>
      </c>
      <c r="B6" s="51" t="s">
        <v>71</v>
      </c>
      <c r="C6" s="51" t="s">
        <v>15</v>
      </c>
      <c r="D6" s="1" t="s">
        <v>17</v>
      </c>
      <c r="E6" s="1" t="s">
        <v>17</v>
      </c>
      <c r="F6" s="1" t="s">
        <v>17</v>
      </c>
    </row>
    <row r="7" spans="1:9" ht="29.1" customHeight="1" x14ac:dyDescent="0.25">
      <c r="A7" s="108" t="s">
        <v>56</v>
      </c>
      <c r="B7" s="51" t="s">
        <v>25</v>
      </c>
      <c r="C7" s="51" t="s">
        <v>23</v>
      </c>
      <c r="D7" s="2">
        <v>24255.11</v>
      </c>
      <c r="E7" s="2">
        <v>16232.12</v>
      </c>
      <c r="F7" s="2">
        <v>8023</v>
      </c>
      <c r="G7" s="52">
        <f>D7/D24*100</f>
        <v>4.5516071754321441</v>
      </c>
      <c r="H7" s="52">
        <f t="shared" ref="H7:I9" si="1">E7/E24*100</f>
        <v>3.8581134596894184</v>
      </c>
      <c r="I7" s="52">
        <f t="shared" si="1"/>
        <v>7.1529042726009893</v>
      </c>
    </row>
    <row r="8" spans="1:9" ht="14.1" customHeight="1" x14ac:dyDescent="0.25">
      <c r="A8" s="102"/>
      <c r="B8" s="51" t="s">
        <v>26</v>
      </c>
      <c r="C8" s="51" t="s">
        <v>23</v>
      </c>
      <c r="D8" s="2">
        <v>32392.23</v>
      </c>
      <c r="E8" s="2">
        <v>17657.240000000002</v>
      </c>
      <c r="F8" s="2">
        <v>14734.99</v>
      </c>
      <c r="G8" s="52">
        <f t="shared" ref="G8:G9" si="2">D8/D25*100</f>
        <v>3.7133488382964872</v>
      </c>
      <c r="H8" s="52">
        <f t="shared" si="1"/>
        <v>2.636205797609152</v>
      </c>
      <c r="I8" s="52">
        <f t="shared" si="1"/>
        <v>7.2757819495800566</v>
      </c>
    </row>
    <row r="9" spans="1:9" ht="14.1" customHeight="1" x14ac:dyDescent="0.25">
      <c r="A9" s="102"/>
      <c r="B9" s="51" t="s">
        <v>27</v>
      </c>
      <c r="C9" s="51" t="s">
        <v>23</v>
      </c>
      <c r="D9" s="2">
        <v>173304.48</v>
      </c>
      <c r="E9" s="2">
        <v>87256.98</v>
      </c>
      <c r="F9" s="2">
        <v>86047.5</v>
      </c>
      <c r="G9" s="52">
        <f t="shared" si="2"/>
        <v>3.6458445915334661</v>
      </c>
      <c r="H9" s="52">
        <f t="shared" si="1"/>
        <v>2.2326660215626659</v>
      </c>
      <c r="I9" s="52">
        <f t="shared" si="1"/>
        <v>10.179727753164585</v>
      </c>
    </row>
    <row r="10" spans="1:9" ht="14.1" customHeight="1" x14ac:dyDescent="0.25">
      <c r="A10" s="102"/>
      <c r="B10" s="51" t="s">
        <v>12</v>
      </c>
      <c r="C10" s="51" t="s">
        <v>23</v>
      </c>
      <c r="D10" s="2">
        <v>232593.61</v>
      </c>
      <c r="E10" s="2">
        <v>113773.68</v>
      </c>
      <c r="F10" s="2">
        <v>118819.93</v>
      </c>
    </row>
    <row r="11" spans="1:9" ht="14.1" customHeight="1" x14ac:dyDescent="0.25">
      <c r="A11" s="109" t="s">
        <v>8</v>
      </c>
      <c r="B11" s="51" t="s">
        <v>25</v>
      </c>
      <c r="C11" s="51" t="s">
        <v>23</v>
      </c>
      <c r="D11" s="2">
        <v>80747.27</v>
      </c>
      <c r="E11" s="2">
        <v>58408.91</v>
      </c>
      <c r="F11" s="2">
        <v>22338.36</v>
      </c>
      <c r="G11" s="52">
        <f>D11/D24*100</f>
        <v>15.152677251455742</v>
      </c>
      <c r="H11" s="52">
        <f t="shared" ref="H11:I13" si="3">E11/E24*100</f>
        <v>13.882857065915472</v>
      </c>
      <c r="I11" s="52">
        <f t="shared" si="3"/>
        <v>19.91576102292148</v>
      </c>
    </row>
    <row r="12" spans="1:9" ht="14.1" customHeight="1" x14ac:dyDescent="0.25">
      <c r="A12" s="102"/>
      <c r="B12" s="51" t="s">
        <v>26</v>
      </c>
      <c r="C12" s="51" t="s">
        <v>23</v>
      </c>
      <c r="D12" s="2">
        <v>142184.68</v>
      </c>
      <c r="E12" s="2">
        <v>96800.82</v>
      </c>
      <c r="F12" s="2">
        <v>45383.87</v>
      </c>
      <c r="G12" s="52">
        <f t="shared" ref="G12:G13" si="4">D12/D25*100</f>
        <v>16.299628531334761</v>
      </c>
      <c r="H12" s="52">
        <f t="shared" si="3"/>
        <v>14.452252044901693</v>
      </c>
      <c r="I12" s="52">
        <f t="shared" si="3"/>
        <v>22.409458177310459</v>
      </c>
    </row>
    <row r="13" spans="1:9" ht="14.1" customHeight="1" x14ac:dyDescent="0.25">
      <c r="A13" s="102"/>
      <c r="B13" s="51" t="s">
        <v>27</v>
      </c>
      <c r="C13" s="51" t="s">
        <v>23</v>
      </c>
      <c r="D13" s="2">
        <v>1353471.79</v>
      </c>
      <c r="E13" s="2">
        <v>1119405</v>
      </c>
      <c r="F13" s="2">
        <v>234066.79</v>
      </c>
      <c r="G13" s="52">
        <f t="shared" si="4"/>
        <v>28.473284737732225</v>
      </c>
      <c r="H13" s="52">
        <f t="shared" si="3"/>
        <v>28.642493790953527</v>
      </c>
      <c r="I13" s="52">
        <f t="shared" si="3"/>
        <v>27.690940448672496</v>
      </c>
    </row>
    <row r="14" spans="1:9" ht="14.1" customHeight="1" x14ac:dyDescent="0.25">
      <c r="A14" s="102"/>
      <c r="B14" s="51" t="s">
        <v>12</v>
      </c>
      <c r="C14" s="51" t="s">
        <v>23</v>
      </c>
      <c r="D14" s="2">
        <v>2443120.0699999998</v>
      </c>
      <c r="E14" s="2">
        <v>2156927.91</v>
      </c>
      <c r="F14" s="2">
        <v>286192.15999999997</v>
      </c>
    </row>
    <row r="15" spans="1:9" ht="14.1" customHeight="1" x14ac:dyDescent="0.25">
      <c r="A15" s="109" t="s">
        <v>9</v>
      </c>
      <c r="B15" s="51" t="s">
        <v>25</v>
      </c>
      <c r="C15" s="51" t="s">
        <v>23</v>
      </c>
      <c r="D15" s="2">
        <v>215378.63</v>
      </c>
      <c r="E15" s="2">
        <v>170037.13</v>
      </c>
      <c r="F15" s="2">
        <v>45341.5</v>
      </c>
      <c r="G15" s="52">
        <f>D15/D24*100</f>
        <v>40.417005643047794</v>
      </c>
      <c r="H15" s="52">
        <f t="shared" ref="H15:I17" si="5">E15/E24*100</f>
        <v>40.41508687096691</v>
      </c>
      <c r="I15" s="52">
        <f t="shared" si="5"/>
        <v>40.424206540712667</v>
      </c>
    </row>
    <row r="16" spans="1:9" ht="14.1" customHeight="1" x14ac:dyDescent="0.25">
      <c r="A16" s="102"/>
      <c r="B16" s="51" t="s">
        <v>26</v>
      </c>
      <c r="C16" s="51" t="s">
        <v>23</v>
      </c>
      <c r="D16" s="2">
        <v>344108.45</v>
      </c>
      <c r="E16" s="2">
        <v>272566.48</v>
      </c>
      <c r="F16" s="2">
        <v>71541.97</v>
      </c>
      <c r="G16" s="52">
        <f t="shared" ref="G16:G17" si="6">D16/D25*100</f>
        <v>39.44756853898312</v>
      </c>
      <c r="H16" s="52">
        <f t="shared" si="5"/>
        <v>40.693864658911529</v>
      </c>
      <c r="I16" s="52">
        <f t="shared" si="5"/>
        <v>35.325695773352948</v>
      </c>
    </row>
    <row r="17" spans="1:9" ht="14.1" customHeight="1" x14ac:dyDescent="0.25">
      <c r="A17" s="102"/>
      <c r="B17" s="51" t="s">
        <v>27</v>
      </c>
      <c r="C17" s="51" t="s">
        <v>23</v>
      </c>
      <c r="D17" s="2">
        <v>1719324.69</v>
      </c>
      <c r="E17" s="2">
        <v>1441138.54</v>
      </c>
      <c r="F17" s="2">
        <v>278186.15000000002</v>
      </c>
      <c r="G17" s="52">
        <f t="shared" si="6"/>
        <v>36.169812933436305</v>
      </c>
      <c r="H17" s="52">
        <f t="shared" si="5"/>
        <v>36.87476979632379</v>
      </c>
      <c r="I17" s="52">
        <f t="shared" si="5"/>
        <v>32.910418916307925</v>
      </c>
    </row>
    <row r="18" spans="1:9" ht="14.1" customHeight="1" x14ac:dyDescent="0.25">
      <c r="A18" s="102"/>
      <c r="B18" s="51" t="s">
        <v>12</v>
      </c>
      <c r="C18" s="51" t="s">
        <v>23</v>
      </c>
      <c r="D18" s="2">
        <v>2003135.01</v>
      </c>
      <c r="E18" s="2">
        <v>1708733.37</v>
      </c>
      <c r="F18" s="2">
        <v>294401.65000000002</v>
      </c>
    </row>
    <row r="19" spans="1:9" ht="14.1" customHeight="1" x14ac:dyDescent="0.25">
      <c r="A19" s="109" t="s">
        <v>28</v>
      </c>
      <c r="B19" s="51" t="s">
        <v>25</v>
      </c>
      <c r="C19" s="51" t="s">
        <v>23</v>
      </c>
      <c r="D19" s="2">
        <v>212510.1</v>
      </c>
      <c r="E19" s="2">
        <v>176048.72</v>
      </c>
      <c r="F19" s="2">
        <v>36461.379999999997</v>
      </c>
      <c r="G19" s="52">
        <f>D19/D24*100</f>
        <v>39.878709930064325</v>
      </c>
      <c r="H19" s="52">
        <f t="shared" ref="H19:I21" si="7">E19/E24*100</f>
        <v>41.843944980267125</v>
      </c>
      <c r="I19" s="52">
        <f t="shared" si="7"/>
        <v>32.507137079263146</v>
      </c>
    </row>
    <row r="20" spans="1:9" ht="14.1" customHeight="1" x14ac:dyDescent="0.25">
      <c r="A20" s="102"/>
      <c r="B20" s="51" t="s">
        <v>26</v>
      </c>
      <c r="C20" s="51" t="s">
        <v>23</v>
      </c>
      <c r="D20" s="2">
        <v>353633.16</v>
      </c>
      <c r="E20" s="2">
        <v>282772.93</v>
      </c>
      <c r="F20" s="2">
        <v>70860.23</v>
      </c>
      <c r="G20" s="52">
        <f t="shared" ref="G20:G21" si="8">D20/D25*100</f>
        <v>40.539452945015391</v>
      </c>
      <c r="H20" s="52">
        <f t="shared" si="7"/>
        <v>42.217676005589034</v>
      </c>
      <c r="I20" s="52">
        <f t="shared" si="7"/>
        <v>34.989069037514867</v>
      </c>
    </row>
    <row r="21" spans="1:9" ht="14.1" customHeight="1" x14ac:dyDescent="0.25">
      <c r="A21" s="102"/>
      <c r="B21" s="51" t="s">
        <v>27</v>
      </c>
      <c r="C21" s="51" t="s">
        <v>23</v>
      </c>
      <c r="D21" s="2">
        <v>1507378.67</v>
      </c>
      <c r="E21" s="2">
        <v>1260396.2</v>
      </c>
      <c r="F21" s="2">
        <v>246982.48</v>
      </c>
      <c r="G21" s="52">
        <f t="shared" si="8"/>
        <v>31.711057737298017</v>
      </c>
      <c r="H21" s="52">
        <f t="shared" si="7"/>
        <v>32.250070647032501</v>
      </c>
      <c r="I21" s="52">
        <f t="shared" si="7"/>
        <v>29.218912881854987</v>
      </c>
    </row>
    <row r="22" spans="1:9" ht="14.1" customHeight="1" x14ac:dyDescent="0.25">
      <c r="A22" s="102"/>
      <c r="B22" s="51" t="s">
        <v>12</v>
      </c>
      <c r="C22" s="51" t="s">
        <v>23</v>
      </c>
      <c r="D22" s="2">
        <v>1727643.43</v>
      </c>
      <c r="E22" s="2">
        <v>1454778.73</v>
      </c>
      <c r="F22" s="2">
        <v>272864.7</v>
      </c>
    </row>
    <row r="23" spans="1:9" ht="14.1" customHeight="1" x14ac:dyDescent="0.25">
      <c r="A23" s="102" t="s">
        <v>71</v>
      </c>
      <c r="B23" s="102"/>
      <c r="C23" s="51" t="s">
        <v>15</v>
      </c>
      <c r="D23" s="1" t="s">
        <v>17</v>
      </c>
      <c r="E23" s="1" t="s">
        <v>17</v>
      </c>
      <c r="F23" s="1" t="s">
        <v>17</v>
      </c>
    </row>
    <row r="24" spans="1:9" ht="14.1" customHeight="1" x14ac:dyDescent="0.25">
      <c r="A24" s="102" t="s">
        <v>25</v>
      </c>
      <c r="B24" s="102"/>
      <c r="C24" s="51" t="s">
        <v>23</v>
      </c>
      <c r="D24" s="2">
        <v>532891.11</v>
      </c>
      <c r="E24" s="2">
        <v>420726.87</v>
      </c>
      <c r="F24" s="2">
        <v>112164.23</v>
      </c>
    </row>
    <row r="25" spans="1:9" ht="14.1" customHeight="1" x14ac:dyDescent="0.25">
      <c r="A25" s="102" t="s">
        <v>26</v>
      </c>
      <c r="B25" s="102"/>
      <c r="C25" s="51" t="s">
        <v>23</v>
      </c>
      <c r="D25" s="2">
        <v>872318.53</v>
      </c>
      <c r="E25" s="2">
        <v>669797.48</v>
      </c>
      <c r="F25" s="2">
        <v>202521.05</v>
      </c>
    </row>
    <row r="26" spans="1:9" ht="14.1" customHeight="1" x14ac:dyDescent="0.25">
      <c r="A26" s="102" t="s">
        <v>27</v>
      </c>
      <c r="B26" s="102"/>
      <c r="C26" s="51" t="s">
        <v>23</v>
      </c>
      <c r="D26" s="2">
        <v>4753479.63</v>
      </c>
      <c r="E26" s="2">
        <v>3908196.71</v>
      </c>
      <c r="F26" s="2">
        <v>845282.92</v>
      </c>
    </row>
    <row r="27" spans="1:9" ht="14.1" customHeight="1" x14ac:dyDescent="0.25">
      <c r="A27" s="102" t="s">
        <v>12</v>
      </c>
      <c r="B27" s="102"/>
      <c r="C27" s="51" t="s">
        <v>23</v>
      </c>
      <c r="D27" s="2">
        <v>6406492.1200000001</v>
      </c>
      <c r="E27" s="2">
        <v>5434213.6900000004</v>
      </c>
      <c r="F27" s="2">
        <v>972278.43</v>
      </c>
    </row>
    <row r="28" spans="1:9" ht="12" customHeight="1" x14ac:dyDescent="0.25">
      <c r="A28" s="47"/>
      <c r="B28" s="47"/>
      <c r="C28" s="47"/>
      <c r="D28" s="47"/>
      <c r="E28" s="47"/>
      <c r="F28" s="47"/>
    </row>
    <row r="29" spans="1:9" ht="14.1" customHeight="1" x14ac:dyDescent="0.25">
      <c r="A29" s="103" t="s">
        <v>61</v>
      </c>
      <c r="B29" s="104"/>
      <c r="C29" s="104"/>
      <c r="D29" s="104"/>
      <c r="E29" s="104"/>
      <c r="F29" s="104"/>
    </row>
    <row r="30" spans="1:9" ht="12" customHeight="1" x14ac:dyDescent="0.25"/>
    <row r="31" spans="1:9" ht="12" customHeight="1" x14ac:dyDescent="0.25"/>
    <row r="32" spans="1:9"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sheetData>
  <mergeCells count="13">
    <mergeCell ref="A25:B25"/>
    <mergeCell ref="A26:B26"/>
    <mergeCell ref="A27:B27"/>
    <mergeCell ref="A29:F29"/>
    <mergeCell ref="A1:F1"/>
    <mergeCell ref="A3:C5"/>
    <mergeCell ref="D3:F3"/>
    <mergeCell ref="A7:A10"/>
    <mergeCell ref="A11:A14"/>
    <mergeCell ref="A15:A18"/>
    <mergeCell ref="A19:A22"/>
    <mergeCell ref="A23:B23"/>
    <mergeCell ref="A24:B24"/>
  </mergeCell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I58"/>
  <sheetViews>
    <sheetView workbookViewId="0">
      <selection sqref="A1:F1"/>
    </sheetView>
  </sheetViews>
  <sheetFormatPr baseColWidth="10" defaultColWidth="11.42578125" defaultRowHeight="15" x14ac:dyDescent="0.25"/>
  <cols>
    <col min="1" max="1" width="56.7109375" style="22" bestFit="1" customWidth="1"/>
    <col min="2" max="2" width="12.7109375" style="22" bestFit="1" customWidth="1"/>
    <col min="3" max="3" width="5.7109375" style="22" bestFit="1" customWidth="1"/>
    <col min="4" max="4" width="16.7109375" style="22" bestFit="1" customWidth="1"/>
    <col min="5" max="6" width="24.7109375" style="22" bestFit="1" customWidth="1"/>
    <col min="7" max="16384" width="11.42578125" style="22"/>
  </cols>
  <sheetData>
    <row r="1" spans="1:9" ht="15.95" customHeight="1" x14ac:dyDescent="0.25">
      <c r="A1" s="105" t="s">
        <v>62</v>
      </c>
      <c r="B1" s="104"/>
      <c r="C1" s="104"/>
      <c r="D1" s="104"/>
      <c r="E1" s="104"/>
      <c r="F1" s="104"/>
    </row>
    <row r="2" spans="1:9" ht="12" customHeight="1" x14ac:dyDescent="0.25"/>
    <row r="3" spans="1:9" ht="14.1" customHeight="1" x14ac:dyDescent="0.25">
      <c r="A3" s="106" t="s">
        <v>17</v>
      </c>
      <c r="B3" s="106"/>
      <c r="C3" s="106"/>
      <c r="D3" s="107" t="s">
        <v>18</v>
      </c>
      <c r="E3" s="107"/>
      <c r="F3" s="107"/>
    </row>
    <row r="4" spans="1:9" ht="42.95" customHeight="1" x14ac:dyDescent="0.25">
      <c r="A4" s="106"/>
      <c r="B4" s="106"/>
      <c r="C4" s="106"/>
      <c r="D4" s="48" t="s">
        <v>12</v>
      </c>
      <c r="E4" s="49" t="s">
        <v>19</v>
      </c>
      <c r="F4" s="49" t="s">
        <v>72</v>
      </c>
      <c r="G4" s="48" t="str">
        <f>D4</f>
        <v>Insgesamt</v>
      </c>
      <c r="H4" s="49" t="str">
        <f t="shared" ref="H4:I4" si="0">E4</f>
        <v>Bevölkerung ohne
Migrationshintergrund</v>
      </c>
      <c r="I4" s="49" t="str">
        <f t="shared" si="0"/>
        <v>Bevölkerung mit
Migrationshintergrund
(i.e.S.)</v>
      </c>
    </row>
    <row r="5" spans="1:9" ht="42.95" customHeight="1" x14ac:dyDescent="0.25">
      <c r="A5" s="106"/>
      <c r="B5" s="106"/>
      <c r="C5" s="106"/>
      <c r="D5" s="49" t="s">
        <v>21</v>
      </c>
      <c r="E5" s="49" t="s">
        <v>22</v>
      </c>
      <c r="F5" s="49" t="s">
        <v>22</v>
      </c>
      <c r="G5" s="22" t="s">
        <v>16</v>
      </c>
      <c r="H5" s="22" t="s">
        <v>16</v>
      </c>
      <c r="I5" s="22" t="s">
        <v>16</v>
      </c>
    </row>
    <row r="6" spans="1:9" ht="14.1" customHeight="1" x14ac:dyDescent="0.25">
      <c r="A6" s="50" t="s">
        <v>24</v>
      </c>
      <c r="B6" s="50" t="s">
        <v>71</v>
      </c>
      <c r="C6" s="50" t="s">
        <v>15</v>
      </c>
      <c r="D6" s="1" t="s">
        <v>17</v>
      </c>
      <c r="E6" s="1" t="s">
        <v>17</v>
      </c>
      <c r="F6" s="1" t="s">
        <v>17</v>
      </c>
    </row>
    <row r="7" spans="1:9" ht="29.1" customHeight="1" x14ac:dyDescent="0.25">
      <c r="A7" s="108" t="s">
        <v>56</v>
      </c>
      <c r="B7" s="50" t="s">
        <v>25</v>
      </c>
      <c r="C7" s="50" t="s">
        <v>23</v>
      </c>
      <c r="D7" s="2">
        <v>25507.14</v>
      </c>
      <c r="E7" s="2">
        <v>15147.34</v>
      </c>
      <c r="F7" s="2">
        <v>10359.799999999999</v>
      </c>
      <c r="G7" s="52">
        <f>D7/D24*100</f>
        <v>4.7072389175185236</v>
      </c>
      <c r="H7" s="52">
        <f t="shared" ref="H7:I9" si="1">E7/E24*100</f>
        <v>3.4942196150433125</v>
      </c>
      <c r="I7" s="52">
        <f t="shared" si="1"/>
        <v>9.559354170113469</v>
      </c>
    </row>
    <row r="8" spans="1:9" ht="14.1" customHeight="1" x14ac:dyDescent="0.25">
      <c r="A8" s="102"/>
      <c r="B8" s="50" t="s">
        <v>26</v>
      </c>
      <c r="C8" s="50" t="s">
        <v>23</v>
      </c>
      <c r="D8" s="2">
        <v>30899.59</v>
      </c>
      <c r="E8" s="2">
        <v>16315.45</v>
      </c>
      <c r="F8" s="2">
        <v>14584.14</v>
      </c>
      <c r="G8" s="52">
        <f t="shared" ref="G8:G9" si="2">D8/D25*100</f>
        <v>3.5305614538994701</v>
      </c>
      <c r="H8" s="52">
        <f t="shared" si="1"/>
        <v>2.4151845086418589</v>
      </c>
      <c r="I8" s="52">
        <f t="shared" si="1"/>
        <v>7.3042348379107986</v>
      </c>
    </row>
    <row r="9" spans="1:9" ht="14.1" customHeight="1" x14ac:dyDescent="0.25">
      <c r="A9" s="102"/>
      <c r="B9" s="50" t="s">
        <v>27</v>
      </c>
      <c r="C9" s="50" t="s">
        <v>23</v>
      </c>
      <c r="D9" s="2">
        <v>172582.7</v>
      </c>
      <c r="E9" s="2">
        <v>89628.09</v>
      </c>
      <c r="F9" s="2">
        <v>82954.61</v>
      </c>
      <c r="G9" s="52">
        <f t="shared" si="2"/>
        <v>3.627766630117423</v>
      </c>
      <c r="H9" s="52">
        <f t="shared" si="1"/>
        <v>2.2894831864733827</v>
      </c>
      <c r="I9" s="52">
        <f t="shared" si="1"/>
        <v>9.8462751302561919</v>
      </c>
    </row>
    <row r="10" spans="1:9" ht="14.1" customHeight="1" x14ac:dyDescent="0.25">
      <c r="A10" s="102"/>
      <c r="B10" s="50" t="s">
        <v>12</v>
      </c>
      <c r="C10" s="50" t="s">
        <v>23</v>
      </c>
      <c r="D10" s="2">
        <v>241185.12</v>
      </c>
      <c r="E10" s="2">
        <v>116153.34</v>
      </c>
      <c r="F10" s="2">
        <v>125031.78</v>
      </c>
    </row>
    <row r="11" spans="1:9" ht="14.1" customHeight="1" x14ac:dyDescent="0.25">
      <c r="A11" s="109" t="s">
        <v>8</v>
      </c>
      <c r="B11" s="50" t="s">
        <v>25</v>
      </c>
      <c r="C11" s="50" t="s">
        <v>23</v>
      </c>
      <c r="D11" s="2">
        <v>76740.100000000006</v>
      </c>
      <c r="E11" s="2">
        <v>56638.21</v>
      </c>
      <c r="F11" s="2">
        <v>20101.89</v>
      </c>
      <c r="G11" s="52">
        <f>D11/D24*100</f>
        <v>14.162073256910157</v>
      </c>
      <c r="H11" s="52">
        <f t="shared" ref="H11:I13" si="3">E11/E24*100</f>
        <v>13.065419033503062</v>
      </c>
      <c r="I11" s="52">
        <f t="shared" si="3"/>
        <v>18.548725457891294</v>
      </c>
    </row>
    <row r="12" spans="1:9" ht="14.1" customHeight="1" x14ac:dyDescent="0.25">
      <c r="A12" s="102"/>
      <c r="B12" s="50" t="s">
        <v>26</v>
      </c>
      <c r="C12" s="50" t="s">
        <v>23</v>
      </c>
      <c r="D12" s="2">
        <v>138378.69</v>
      </c>
      <c r="E12" s="2">
        <v>95448.68</v>
      </c>
      <c r="F12" s="2">
        <v>42930.01</v>
      </c>
      <c r="G12" s="52">
        <f t="shared" ref="G12:G13" si="4">D12/D25*100</f>
        <v>15.811034028448406</v>
      </c>
      <c r="H12" s="52">
        <f t="shared" si="3"/>
        <v>14.129317506186712</v>
      </c>
      <c r="I12" s="52">
        <f t="shared" si="3"/>
        <v>21.50081352989336</v>
      </c>
    </row>
    <row r="13" spans="1:9" ht="14.1" customHeight="1" x14ac:dyDescent="0.25">
      <c r="A13" s="102"/>
      <c r="B13" s="50" t="s">
        <v>27</v>
      </c>
      <c r="C13" s="50" t="s">
        <v>23</v>
      </c>
      <c r="D13" s="2">
        <v>1304069.8600000001</v>
      </c>
      <c r="E13" s="2">
        <v>1073777.31</v>
      </c>
      <c r="F13" s="2">
        <v>230292.55</v>
      </c>
      <c r="G13" s="52">
        <f t="shared" si="4"/>
        <v>27.412139927408134</v>
      </c>
      <c r="H13" s="52">
        <f t="shared" si="3"/>
        <v>27.428846216198711</v>
      </c>
      <c r="I13" s="52">
        <f t="shared" si="3"/>
        <v>27.334512304358739</v>
      </c>
    </row>
    <row r="14" spans="1:9" ht="14.1" customHeight="1" x14ac:dyDescent="0.25">
      <c r="A14" s="102"/>
      <c r="B14" s="50" t="s">
        <v>12</v>
      </c>
      <c r="C14" s="50" t="s">
        <v>23</v>
      </c>
      <c r="D14" s="2">
        <v>2407751.52</v>
      </c>
      <c r="E14" s="2">
        <v>2128832.09</v>
      </c>
      <c r="F14" s="2">
        <v>278919.43</v>
      </c>
    </row>
    <row r="15" spans="1:9" ht="14.1" customHeight="1" x14ac:dyDescent="0.25">
      <c r="A15" s="109" t="s">
        <v>9</v>
      </c>
      <c r="B15" s="50" t="s">
        <v>25</v>
      </c>
      <c r="C15" s="50" t="s">
        <v>23</v>
      </c>
      <c r="D15" s="2">
        <v>219305.83</v>
      </c>
      <c r="E15" s="2">
        <v>177483.1</v>
      </c>
      <c r="F15" s="2">
        <v>41822.74</v>
      </c>
      <c r="G15" s="52">
        <f>D15/D24*100</f>
        <v>40.471998735048359</v>
      </c>
      <c r="H15" s="52">
        <f t="shared" ref="H15:I17" si="5">E15/E24*100</f>
        <v>40.942167361311874</v>
      </c>
      <c r="I15" s="52">
        <f t="shared" si="5"/>
        <v>38.59132261477744</v>
      </c>
    </row>
    <row r="16" spans="1:9" ht="14.1" customHeight="1" x14ac:dyDescent="0.25">
      <c r="A16" s="102"/>
      <c r="B16" s="50" t="s">
        <v>26</v>
      </c>
      <c r="C16" s="50" t="s">
        <v>23</v>
      </c>
      <c r="D16" s="2">
        <v>343486.49</v>
      </c>
      <c r="E16" s="2">
        <v>273395.36</v>
      </c>
      <c r="F16" s="2">
        <v>70091.13</v>
      </c>
      <c r="G16" s="52">
        <f t="shared" ref="G16:G17" si="6">D16/D25*100</f>
        <v>39.24648066622327</v>
      </c>
      <c r="H16" s="52">
        <f t="shared" si="5"/>
        <v>40.470856654677874</v>
      </c>
      <c r="I16" s="52">
        <f t="shared" si="5"/>
        <v>35.104029005106554</v>
      </c>
    </row>
    <row r="17" spans="1:9" ht="14.1" customHeight="1" x14ac:dyDescent="0.25">
      <c r="A17" s="102"/>
      <c r="B17" s="50" t="s">
        <v>27</v>
      </c>
      <c r="C17" s="50" t="s">
        <v>23</v>
      </c>
      <c r="D17" s="2">
        <v>1755682.75</v>
      </c>
      <c r="E17" s="2">
        <v>1476607.07</v>
      </c>
      <c r="F17" s="2">
        <v>279075.68</v>
      </c>
      <c r="G17" s="52">
        <f t="shared" si="6"/>
        <v>36.90524770746309</v>
      </c>
      <c r="H17" s="52">
        <f t="shared" si="5"/>
        <v>37.718834126586046</v>
      </c>
      <c r="I17" s="52">
        <f t="shared" si="5"/>
        <v>33.124812803572162</v>
      </c>
    </row>
    <row r="18" spans="1:9" ht="14.1" customHeight="1" x14ac:dyDescent="0.25">
      <c r="A18" s="102"/>
      <c r="B18" s="50" t="s">
        <v>12</v>
      </c>
      <c r="C18" s="50" t="s">
        <v>23</v>
      </c>
      <c r="D18" s="2">
        <v>2051550.56</v>
      </c>
      <c r="E18" s="2">
        <v>1755777.63</v>
      </c>
      <c r="F18" s="2">
        <v>295772.93</v>
      </c>
    </row>
    <row r="19" spans="1:9" ht="14.1" customHeight="1" x14ac:dyDescent="0.25">
      <c r="A19" s="109" t="s">
        <v>28</v>
      </c>
      <c r="B19" s="50" t="s">
        <v>25</v>
      </c>
      <c r="C19" s="50" t="s">
        <v>23</v>
      </c>
      <c r="D19" s="2">
        <v>220317.44</v>
      </c>
      <c r="E19" s="2">
        <v>184228.43</v>
      </c>
      <c r="F19" s="2">
        <v>36089.019999999997</v>
      </c>
      <c r="G19" s="52">
        <f>D19/D24*100</f>
        <v>40.658687245063632</v>
      </c>
      <c r="H19" s="52">
        <f t="shared" ref="H19:I21" si="7">E19/E24*100</f>
        <v>42.49819399014175</v>
      </c>
      <c r="I19" s="52">
        <f t="shared" si="7"/>
        <v>33.300616211925743</v>
      </c>
    </row>
    <row r="20" spans="1:9" ht="14.1" customHeight="1" x14ac:dyDescent="0.25">
      <c r="A20" s="102"/>
      <c r="B20" s="50" t="s">
        <v>26</v>
      </c>
      <c r="C20" s="50" t="s">
        <v>23</v>
      </c>
      <c r="D20" s="2">
        <v>362438.52</v>
      </c>
      <c r="E20" s="2">
        <v>290376.89</v>
      </c>
      <c r="F20" s="2">
        <v>72061.63</v>
      </c>
      <c r="G20" s="52">
        <f t="shared" ref="G20:G21" si="8">D20/D25*100</f>
        <v>41.411923851428853</v>
      </c>
      <c r="H20" s="52">
        <f t="shared" si="7"/>
        <v>42.98464133049356</v>
      </c>
      <c r="I20" s="52">
        <f t="shared" si="7"/>
        <v>36.090922627089292</v>
      </c>
    </row>
    <row r="21" spans="1:9" ht="14.1" customHeight="1" x14ac:dyDescent="0.25">
      <c r="A21" s="102"/>
      <c r="B21" s="50" t="s">
        <v>27</v>
      </c>
      <c r="C21" s="50" t="s">
        <v>23</v>
      </c>
      <c r="D21" s="2">
        <v>1524935.97</v>
      </c>
      <c r="E21" s="2">
        <v>1274761.43</v>
      </c>
      <c r="F21" s="2">
        <v>250174.54</v>
      </c>
      <c r="G21" s="52">
        <f t="shared" si="8"/>
        <v>32.054845735011348</v>
      </c>
      <c r="H21" s="52">
        <f t="shared" si="7"/>
        <v>32.562836726184457</v>
      </c>
      <c r="I21" s="52">
        <f t="shared" si="7"/>
        <v>29.69439976181291</v>
      </c>
    </row>
    <row r="22" spans="1:9" ht="14.1" customHeight="1" x14ac:dyDescent="0.25">
      <c r="A22" s="102"/>
      <c r="B22" s="50" t="s">
        <v>12</v>
      </c>
      <c r="C22" s="50" t="s">
        <v>23</v>
      </c>
      <c r="D22" s="2">
        <v>1746724.04</v>
      </c>
      <c r="E22" s="2">
        <v>1469538.8</v>
      </c>
      <c r="F22" s="2">
        <v>277185.24</v>
      </c>
    </row>
    <row r="23" spans="1:9" ht="14.1" customHeight="1" x14ac:dyDescent="0.25">
      <c r="A23" s="102" t="s">
        <v>71</v>
      </c>
      <c r="B23" s="102"/>
      <c r="C23" s="50" t="s">
        <v>15</v>
      </c>
      <c r="D23" s="1" t="s">
        <v>17</v>
      </c>
      <c r="E23" s="1" t="s">
        <v>17</v>
      </c>
      <c r="F23" s="1" t="s">
        <v>17</v>
      </c>
    </row>
    <row r="24" spans="1:9" ht="14.1" customHeight="1" x14ac:dyDescent="0.25">
      <c r="A24" s="102" t="s">
        <v>25</v>
      </c>
      <c r="B24" s="102"/>
      <c r="C24" s="50" t="s">
        <v>23</v>
      </c>
      <c r="D24" s="2">
        <v>541870.52</v>
      </c>
      <c r="E24" s="2">
        <v>433497.08</v>
      </c>
      <c r="F24" s="2">
        <v>108373.43</v>
      </c>
    </row>
    <row r="25" spans="1:9" ht="14.1" customHeight="1" x14ac:dyDescent="0.25">
      <c r="A25" s="102" t="s">
        <v>26</v>
      </c>
      <c r="B25" s="102"/>
      <c r="C25" s="50" t="s">
        <v>23</v>
      </c>
      <c r="D25" s="2">
        <v>875203.29</v>
      </c>
      <c r="E25" s="2">
        <v>675536.38</v>
      </c>
      <c r="F25" s="2">
        <v>199666.91</v>
      </c>
    </row>
    <row r="26" spans="1:9" ht="14.1" customHeight="1" x14ac:dyDescent="0.25">
      <c r="A26" s="102" t="s">
        <v>27</v>
      </c>
      <c r="B26" s="102"/>
      <c r="C26" s="50" t="s">
        <v>23</v>
      </c>
      <c r="D26" s="2">
        <v>4757271.28</v>
      </c>
      <c r="E26" s="2">
        <v>3914773.89</v>
      </c>
      <c r="F26" s="2">
        <v>842497.38</v>
      </c>
    </row>
    <row r="27" spans="1:9" ht="14.1" customHeight="1" x14ac:dyDescent="0.25">
      <c r="A27" s="102" t="s">
        <v>12</v>
      </c>
      <c r="B27" s="102"/>
      <c r="C27" s="50" t="s">
        <v>23</v>
      </c>
      <c r="D27" s="2">
        <v>6447211.2400000002</v>
      </c>
      <c r="E27" s="2">
        <v>5470301.8600000003</v>
      </c>
      <c r="F27" s="2">
        <v>976909.38</v>
      </c>
    </row>
    <row r="28" spans="1:9" ht="12" customHeight="1" x14ac:dyDescent="0.25"/>
    <row r="29" spans="1:9" ht="14.1" customHeight="1" x14ac:dyDescent="0.25">
      <c r="A29" s="103" t="s">
        <v>63</v>
      </c>
      <c r="B29" s="104"/>
      <c r="C29" s="104"/>
      <c r="D29" s="104"/>
      <c r="E29" s="104"/>
      <c r="F29" s="104"/>
    </row>
    <row r="30" spans="1:9" ht="12" customHeight="1" x14ac:dyDescent="0.25"/>
    <row r="31" spans="1:9" ht="12" customHeight="1" x14ac:dyDescent="0.25"/>
    <row r="32" spans="1:9"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sheetData>
  <mergeCells count="13">
    <mergeCell ref="A25:B25"/>
    <mergeCell ref="A26:B26"/>
    <mergeCell ref="A27:B27"/>
    <mergeCell ref="A29:F29"/>
    <mergeCell ref="A1:F1"/>
    <mergeCell ref="A3:C5"/>
    <mergeCell ref="D3:F3"/>
    <mergeCell ref="A7:A10"/>
    <mergeCell ref="A11:A14"/>
    <mergeCell ref="A15:A18"/>
    <mergeCell ref="A19:A22"/>
    <mergeCell ref="A23:B23"/>
    <mergeCell ref="A24:B24"/>
  </mergeCell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I58"/>
  <sheetViews>
    <sheetView workbookViewId="0">
      <selection sqref="A1:F1"/>
    </sheetView>
  </sheetViews>
  <sheetFormatPr baseColWidth="10" defaultColWidth="11.42578125" defaultRowHeight="15" x14ac:dyDescent="0.25"/>
  <cols>
    <col min="1" max="1" width="56.7109375" style="22" bestFit="1" customWidth="1"/>
    <col min="2" max="2" width="12.7109375" style="22" bestFit="1" customWidth="1"/>
    <col min="3" max="3" width="5.7109375" style="22" bestFit="1" customWidth="1"/>
    <col min="4" max="4" width="16.7109375" style="22" bestFit="1" customWidth="1"/>
    <col min="5" max="6" width="24.7109375" style="22" bestFit="1" customWidth="1"/>
    <col min="7" max="16384" width="11.42578125" style="22"/>
  </cols>
  <sheetData>
    <row r="1" spans="1:9" ht="15.95" customHeight="1" x14ac:dyDescent="0.25">
      <c r="A1" s="105" t="s">
        <v>64</v>
      </c>
      <c r="B1" s="104"/>
      <c r="C1" s="104"/>
      <c r="D1" s="104"/>
      <c r="E1" s="104"/>
      <c r="F1" s="104"/>
    </row>
    <row r="2" spans="1:9" ht="12" customHeight="1" x14ac:dyDescent="0.25"/>
    <row r="3" spans="1:9" ht="14.1" customHeight="1" x14ac:dyDescent="0.25">
      <c r="A3" s="106" t="s">
        <v>17</v>
      </c>
      <c r="B3" s="106"/>
      <c r="C3" s="106"/>
      <c r="D3" s="107" t="s">
        <v>18</v>
      </c>
      <c r="E3" s="107"/>
      <c r="F3" s="107"/>
    </row>
    <row r="4" spans="1:9" ht="42.95" customHeight="1" x14ac:dyDescent="0.25">
      <c r="A4" s="106"/>
      <c r="B4" s="106"/>
      <c r="C4" s="106"/>
      <c r="D4" s="48" t="s">
        <v>12</v>
      </c>
      <c r="E4" s="49" t="s">
        <v>19</v>
      </c>
      <c r="F4" s="49" t="s">
        <v>72</v>
      </c>
      <c r="G4" s="48" t="str">
        <f>D4</f>
        <v>Insgesamt</v>
      </c>
      <c r="H4" s="49" t="str">
        <f t="shared" ref="H4:I4" si="0">E4</f>
        <v>Bevölkerung ohne
Migrationshintergrund</v>
      </c>
      <c r="I4" s="49" t="str">
        <f t="shared" si="0"/>
        <v>Bevölkerung mit
Migrationshintergrund
(i.e.S.)</v>
      </c>
    </row>
    <row r="5" spans="1:9" ht="42.95" customHeight="1" x14ac:dyDescent="0.25">
      <c r="A5" s="106"/>
      <c r="B5" s="106"/>
      <c r="C5" s="106"/>
      <c r="D5" s="49" t="s">
        <v>21</v>
      </c>
      <c r="E5" s="49" t="s">
        <v>22</v>
      </c>
      <c r="F5" s="49" t="s">
        <v>22</v>
      </c>
      <c r="G5" s="22" t="s">
        <v>16</v>
      </c>
      <c r="H5" s="22" t="s">
        <v>16</v>
      </c>
      <c r="I5" s="22" t="s">
        <v>16</v>
      </c>
    </row>
    <row r="6" spans="1:9" ht="14.1" customHeight="1" x14ac:dyDescent="0.25">
      <c r="A6" s="50" t="s">
        <v>24</v>
      </c>
      <c r="B6" s="50" t="s">
        <v>71</v>
      </c>
      <c r="C6" s="50" t="s">
        <v>15</v>
      </c>
      <c r="D6" s="1" t="s">
        <v>17</v>
      </c>
      <c r="E6" s="1" t="s">
        <v>17</v>
      </c>
      <c r="F6" s="1" t="s">
        <v>17</v>
      </c>
    </row>
    <row r="7" spans="1:9" ht="29.1" customHeight="1" x14ac:dyDescent="0.25">
      <c r="A7" s="108" t="s">
        <v>56</v>
      </c>
      <c r="B7" s="50" t="s">
        <v>25</v>
      </c>
      <c r="C7" s="50" t="s">
        <v>23</v>
      </c>
      <c r="D7" s="2">
        <v>20757.91</v>
      </c>
      <c r="E7" s="2">
        <v>11905.83</v>
      </c>
      <c r="F7" s="2">
        <v>8852.08</v>
      </c>
      <c r="G7" s="52">
        <f>D7/D24*100</f>
        <v>3.986510946628572</v>
      </c>
      <c r="H7" s="52">
        <f t="shared" ref="H7:I9" si="1">E7/E24*100</f>
        <v>2.8827232317372364</v>
      </c>
      <c r="I7" s="52">
        <f t="shared" si="1"/>
        <v>8.2194037272040585</v>
      </c>
    </row>
    <row r="8" spans="1:9" ht="14.1" customHeight="1" x14ac:dyDescent="0.25">
      <c r="A8" s="102"/>
      <c r="B8" s="50" t="s">
        <v>26</v>
      </c>
      <c r="C8" s="50" t="s">
        <v>23</v>
      </c>
      <c r="D8" s="2">
        <v>37458.25</v>
      </c>
      <c r="E8" s="2">
        <v>18275.32</v>
      </c>
      <c r="F8" s="2">
        <v>19182.93</v>
      </c>
      <c r="G8" s="52">
        <f t="shared" ref="G8:G9" si="2">D8/D25*100</f>
        <v>4.173177766872592</v>
      </c>
      <c r="H8" s="52">
        <f t="shared" si="1"/>
        <v>2.6404567264316414</v>
      </c>
      <c r="I8" s="52">
        <f t="shared" si="1"/>
        <v>9.336206576844468</v>
      </c>
    </row>
    <row r="9" spans="1:9" ht="14.1" customHeight="1" x14ac:dyDescent="0.25">
      <c r="A9" s="102"/>
      <c r="B9" s="50" t="s">
        <v>27</v>
      </c>
      <c r="C9" s="50" t="s">
        <v>23</v>
      </c>
      <c r="D9" s="2">
        <v>179988.65</v>
      </c>
      <c r="E9" s="2">
        <v>83302.42</v>
      </c>
      <c r="F9" s="2">
        <v>96686.23</v>
      </c>
      <c r="G9" s="52">
        <f t="shared" si="2"/>
        <v>3.7499136553976844</v>
      </c>
      <c r="H9" s="52">
        <f t="shared" si="1"/>
        <v>2.121669380202122</v>
      </c>
      <c r="I9" s="52">
        <f t="shared" si="1"/>
        <v>11.068321497719857</v>
      </c>
    </row>
    <row r="10" spans="1:9" ht="14.1" customHeight="1" x14ac:dyDescent="0.25">
      <c r="A10" s="102"/>
      <c r="B10" s="50" t="s">
        <v>12</v>
      </c>
      <c r="C10" s="50" t="s">
        <v>23</v>
      </c>
      <c r="D10" s="2">
        <v>249374.94</v>
      </c>
      <c r="E10" s="2">
        <v>114756.67</v>
      </c>
      <c r="F10" s="2">
        <v>134618.26999999999</v>
      </c>
    </row>
    <row r="11" spans="1:9" ht="14.1" customHeight="1" x14ac:dyDescent="0.25">
      <c r="A11" s="109" t="s">
        <v>8</v>
      </c>
      <c r="B11" s="50" t="s">
        <v>25</v>
      </c>
      <c r="C11" s="50" t="s">
        <v>23</v>
      </c>
      <c r="D11" s="2">
        <v>71606.27</v>
      </c>
      <c r="E11" s="2">
        <v>49712.11</v>
      </c>
      <c r="F11" s="2">
        <v>21894.16</v>
      </c>
      <c r="G11" s="52">
        <f>D11/D24*100</f>
        <v>13.751826614637078</v>
      </c>
      <c r="H11" s="52">
        <f t="shared" ref="H11:I13" si="3">E11/E24*100</f>
        <v>12.036645441407863</v>
      </c>
      <c r="I11" s="52">
        <f t="shared" si="3"/>
        <v>20.329339579850387</v>
      </c>
    </row>
    <row r="12" spans="1:9" ht="14.1" customHeight="1" x14ac:dyDescent="0.25">
      <c r="A12" s="102"/>
      <c r="B12" s="50" t="s">
        <v>26</v>
      </c>
      <c r="C12" s="50" t="s">
        <v>23</v>
      </c>
      <c r="D12" s="2">
        <v>132066.85999999999</v>
      </c>
      <c r="E12" s="2">
        <v>90351.52</v>
      </c>
      <c r="F12" s="2">
        <v>41715.339999999997</v>
      </c>
      <c r="G12" s="52">
        <f t="shared" ref="G12:G13" si="4">D12/D25*100</f>
        <v>14.713407163780346</v>
      </c>
      <c r="H12" s="52">
        <f t="shared" si="3"/>
        <v>13.054177914658844</v>
      </c>
      <c r="I12" s="52">
        <f t="shared" si="3"/>
        <v>20.302583164475035</v>
      </c>
    </row>
    <row r="13" spans="1:9" ht="14.1" customHeight="1" x14ac:dyDescent="0.25">
      <c r="A13" s="102"/>
      <c r="B13" s="50" t="s">
        <v>27</v>
      </c>
      <c r="C13" s="50" t="s">
        <v>23</v>
      </c>
      <c r="D13" s="2">
        <v>1246464.96</v>
      </c>
      <c r="E13" s="2">
        <v>1019915.39</v>
      </c>
      <c r="F13" s="2">
        <v>226549.57</v>
      </c>
      <c r="G13" s="52">
        <f t="shared" si="4"/>
        <v>25.96905957391607</v>
      </c>
      <c r="H13" s="52">
        <f t="shared" si="3"/>
        <v>25.976715362649799</v>
      </c>
      <c r="I13" s="52">
        <f t="shared" si="3"/>
        <v>25.934649390406367</v>
      </c>
    </row>
    <row r="14" spans="1:9" ht="14.1" customHeight="1" x14ac:dyDescent="0.25">
      <c r="A14" s="102"/>
      <c r="B14" s="50" t="s">
        <v>12</v>
      </c>
      <c r="C14" s="50" t="s">
        <v>23</v>
      </c>
      <c r="D14" s="2">
        <v>2342613.0499999998</v>
      </c>
      <c r="E14" s="2">
        <v>2062387.72</v>
      </c>
      <c r="F14" s="2">
        <v>280225.34000000003</v>
      </c>
    </row>
    <row r="15" spans="1:9" ht="14.1" customHeight="1" x14ac:dyDescent="0.25">
      <c r="A15" s="109" t="s">
        <v>9</v>
      </c>
      <c r="B15" s="50" t="s">
        <v>25</v>
      </c>
      <c r="C15" s="50" t="s">
        <v>23</v>
      </c>
      <c r="D15" s="2">
        <v>206393.2</v>
      </c>
      <c r="E15" s="2">
        <v>166301.92000000001</v>
      </c>
      <c r="F15" s="2">
        <v>40091.269999999997</v>
      </c>
      <c r="G15" s="52">
        <f>D15/D24*100</f>
        <v>39.637359980349665</v>
      </c>
      <c r="H15" s="52">
        <f t="shared" ref="H15:I17" si="5">E15/E24*100</f>
        <v>40.266189611854642</v>
      </c>
      <c r="I15" s="52">
        <f t="shared" si="5"/>
        <v>37.225864888968943</v>
      </c>
    </row>
    <row r="16" spans="1:9" ht="14.1" customHeight="1" x14ac:dyDescent="0.25">
      <c r="A16" s="102"/>
      <c r="B16" s="50" t="s">
        <v>26</v>
      </c>
      <c r="C16" s="50" t="s">
        <v>23</v>
      </c>
      <c r="D16" s="2">
        <v>337925.01</v>
      </c>
      <c r="E16" s="2">
        <v>268611.94</v>
      </c>
      <c r="F16" s="2">
        <v>69313.070000000007</v>
      </c>
      <c r="G16" s="52">
        <f t="shared" ref="G16:G17" si="6">D16/D25*100</f>
        <v>37.647811592965461</v>
      </c>
      <c r="H16" s="52">
        <f t="shared" si="5"/>
        <v>38.809618861549488</v>
      </c>
      <c r="I16" s="52">
        <f t="shared" si="5"/>
        <v>33.734217869495488</v>
      </c>
    </row>
    <row r="17" spans="1:9" ht="14.1" customHeight="1" x14ac:dyDescent="0.25">
      <c r="A17" s="102"/>
      <c r="B17" s="50" t="s">
        <v>27</v>
      </c>
      <c r="C17" s="50" t="s">
        <v>23</v>
      </c>
      <c r="D17" s="2">
        <v>1782361.16</v>
      </c>
      <c r="E17" s="2">
        <v>1494151.21</v>
      </c>
      <c r="F17" s="2">
        <v>288209.94</v>
      </c>
      <c r="G17" s="52">
        <f t="shared" si="6"/>
        <v>37.134010687532005</v>
      </c>
      <c r="H17" s="52">
        <f t="shared" si="5"/>
        <v>38.055255437344449</v>
      </c>
      <c r="I17" s="52">
        <f t="shared" si="5"/>
        <v>32.993325675833574</v>
      </c>
    </row>
    <row r="18" spans="1:9" ht="14.1" customHeight="1" x14ac:dyDescent="0.25">
      <c r="A18" s="102"/>
      <c r="B18" s="50" t="s">
        <v>12</v>
      </c>
      <c r="C18" s="50" t="s">
        <v>23</v>
      </c>
      <c r="D18" s="2">
        <v>2076234.2</v>
      </c>
      <c r="E18" s="2">
        <v>1770507.84</v>
      </c>
      <c r="F18" s="2">
        <v>305726.36</v>
      </c>
    </row>
    <row r="19" spans="1:9" ht="14.1" customHeight="1" x14ac:dyDescent="0.25">
      <c r="A19" s="109" t="s">
        <v>28</v>
      </c>
      <c r="B19" s="50" t="s">
        <v>25</v>
      </c>
      <c r="C19" s="50" t="s">
        <v>23</v>
      </c>
      <c r="D19" s="2">
        <v>221946.32</v>
      </c>
      <c r="E19" s="2">
        <v>185086.48</v>
      </c>
      <c r="F19" s="2">
        <v>36859.839999999997</v>
      </c>
      <c r="G19" s="52">
        <f>D19/D24*100</f>
        <v>42.624302458384683</v>
      </c>
      <c r="H19" s="52">
        <f t="shared" ref="H19:I21" si="7">E19/E24*100</f>
        <v>44.81443929372999</v>
      </c>
      <c r="I19" s="52">
        <f t="shared" si="7"/>
        <v>34.225391803976599</v>
      </c>
    </row>
    <row r="20" spans="1:9" ht="14.1" customHeight="1" x14ac:dyDescent="0.25">
      <c r="A20" s="102"/>
      <c r="B20" s="50" t="s">
        <v>26</v>
      </c>
      <c r="C20" s="50" t="s">
        <v>23</v>
      </c>
      <c r="D20" s="2">
        <v>390145.24</v>
      </c>
      <c r="E20" s="2">
        <v>314888.45</v>
      </c>
      <c r="F20" s="2">
        <v>75256.800000000003</v>
      </c>
      <c r="G20" s="52">
        <f t="shared" ref="G20:G21" si="8">D20/D25*100</f>
        <v>43.465603476381609</v>
      </c>
      <c r="H20" s="52">
        <f t="shared" si="7"/>
        <v>45.495746497360031</v>
      </c>
      <c r="I20" s="52">
        <f t="shared" si="7"/>
        <v>36.626992389185006</v>
      </c>
    </row>
    <row r="21" spans="1:9" ht="14.1" customHeight="1" x14ac:dyDescent="0.25">
      <c r="A21" s="102"/>
      <c r="B21" s="50" t="s">
        <v>27</v>
      </c>
      <c r="C21" s="50" t="s">
        <v>23</v>
      </c>
      <c r="D21" s="2">
        <v>1590993.08</v>
      </c>
      <c r="E21" s="2">
        <v>1328898.7</v>
      </c>
      <c r="F21" s="2">
        <v>262094.38</v>
      </c>
      <c r="G21" s="52">
        <f t="shared" si="8"/>
        <v>33.147016083154249</v>
      </c>
      <c r="H21" s="52">
        <f t="shared" si="7"/>
        <v>33.846359819803624</v>
      </c>
      <c r="I21" s="52">
        <f t="shared" si="7"/>
        <v>30.0037022912731</v>
      </c>
    </row>
    <row r="22" spans="1:9" ht="14.1" customHeight="1" x14ac:dyDescent="0.25">
      <c r="A22" s="102"/>
      <c r="B22" s="50" t="s">
        <v>12</v>
      </c>
      <c r="C22" s="50" t="s">
        <v>23</v>
      </c>
      <c r="D22" s="2">
        <v>1819702.8</v>
      </c>
      <c r="E22" s="2">
        <v>1531016.59</v>
      </c>
      <c r="F22" s="2">
        <v>288686.21000000002</v>
      </c>
    </row>
    <row r="23" spans="1:9" ht="14.1" customHeight="1" x14ac:dyDescent="0.25">
      <c r="A23" s="102" t="s">
        <v>71</v>
      </c>
      <c r="B23" s="102"/>
      <c r="C23" s="50" t="s">
        <v>15</v>
      </c>
      <c r="D23" s="1" t="s">
        <v>17</v>
      </c>
      <c r="E23" s="1" t="s">
        <v>17</v>
      </c>
      <c r="F23" s="1" t="s">
        <v>17</v>
      </c>
    </row>
    <row r="24" spans="1:9" ht="14.1" customHeight="1" x14ac:dyDescent="0.25">
      <c r="A24" s="102" t="s">
        <v>25</v>
      </c>
      <c r="B24" s="102"/>
      <c r="C24" s="50" t="s">
        <v>23</v>
      </c>
      <c r="D24" s="2">
        <v>520703.7</v>
      </c>
      <c r="E24" s="2">
        <v>413006.35</v>
      </c>
      <c r="F24" s="2">
        <v>107697.35</v>
      </c>
    </row>
    <row r="25" spans="1:9" ht="14.1" customHeight="1" x14ac:dyDescent="0.25">
      <c r="A25" s="102" t="s">
        <v>26</v>
      </c>
      <c r="B25" s="102"/>
      <c r="C25" s="50" t="s">
        <v>23</v>
      </c>
      <c r="D25" s="2">
        <v>897595.36</v>
      </c>
      <c r="E25" s="2">
        <v>692127.23</v>
      </c>
      <c r="F25" s="2">
        <v>205468.14</v>
      </c>
    </row>
    <row r="26" spans="1:9" ht="14.1" customHeight="1" x14ac:dyDescent="0.25">
      <c r="A26" s="102" t="s">
        <v>27</v>
      </c>
      <c r="B26" s="102"/>
      <c r="C26" s="50" t="s">
        <v>23</v>
      </c>
      <c r="D26" s="2">
        <v>4799807.8499999996</v>
      </c>
      <c r="E26" s="2">
        <v>3926267.72</v>
      </c>
      <c r="F26" s="2">
        <v>873540.13</v>
      </c>
    </row>
    <row r="27" spans="1:9" ht="14.1" customHeight="1" x14ac:dyDescent="0.25">
      <c r="A27" s="102" t="s">
        <v>12</v>
      </c>
      <c r="B27" s="102"/>
      <c r="C27" s="50" t="s">
        <v>23</v>
      </c>
      <c r="D27" s="2">
        <v>6487924.9900000002</v>
      </c>
      <c r="E27" s="2">
        <v>5478668.8200000003</v>
      </c>
      <c r="F27" s="2">
        <v>1009256.18</v>
      </c>
    </row>
    <row r="28" spans="1:9" ht="12" customHeight="1" x14ac:dyDescent="0.25"/>
    <row r="29" spans="1:9" ht="14.1" customHeight="1" x14ac:dyDescent="0.25">
      <c r="A29" s="103" t="s">
        <v>65</v>
      </c>
      <c r="B29" s="104"/>
      <c r="C29" s="104"/>
      <c r="D29" s="104"/>
      <c r="E29" s="104"/>
      <c r="F29" s="104"/>
    </row>
    <row r="30" spans="1:9" ht="12" customHeight="1" x14ac:dyDescent="0.25"/>
    <row r="31" spans="1:9" ht="12" customHeight="1" x14ac:dyDescent="0.25"/>
    <row r="32" spans="1:9"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sheetData>
  <mergeCells count="13">
    <mergeCell ref="A25:B25"/>
    <mergeCell ref="A26:B26"/>
    <mergeCell ref="A27:B27"/>
    <mergeCell ref="A29:F29"/>
    <mergeCell ref="A1:F1"/>
    <mergeCell ref="A3:C5"/>
    <mergeCell ref="D3:F3"/>
    <mergeCell ref="A7:A10"/>
    <mergeCell ref="A11:A14"/>
    <mergeCell ref="A15:A18"/>
    <mergeCell ref="A19:A22"/>
    <mergeCell ref="A23:B23"/>
    <mergeCell ref="A24:B24"/>
  </mergeCells>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dimension ref="A1:I58"/>
  <sheetViews>
    <sheetView workbookViewId="0">
      <selection sqref="A1:F1"/>
    </sheetView>
  </sheetViews>
  <sheetFormatPr baseColWidth="10" defaultColWidth="11.42578125" defaultRowHeight="15" x14ac:dyDescent="0.25"/>
  <cols>
    <col min="1" max="1" width="56.7109375" style="22" bestFit="1" customWidth="1"/>
    <col min="2" max="2" width="12.7109375" style="22" bestFit="1" customWidth="1"/>
    <col min="3" max="3" width="5.7109375" style="22" bestFit="1" customWidth="1"/>
    <col min="4" max="4" width="16.7109375" style="22" bestFit="1" customWidth="1"/>
    <col min="5" max="6" width="24.7109375" style="22" bestFit="1" customWidth="1"/>
    <col min="7" max="16384" width="11.42578125" style="22"/>
  </cols>
  <sheetData>
    <row r="1" spans="1:9" ht="15.95" customHeight="1" x14ac:dyDescent="0.25">
      <c r="A1" s="105" t="s">
        <v>66</v>
      </c>
      <c r="B1" s="104"/>
      <c r="C1" s="104"/>
      <c r="D1" s="104"/>
      <c r="E1" s="104"/>
      <c r="F1" s="104"/>
    </row>
    <row r="2" spans="1:9" ht="12" customHeight="1" x14ac:dyDescent="0.25"/>
    <row r="3" spans="1:9" ht="14.1" customHeight="1" x14ac:dyDescent="0.25">
      <c r="A3" s="106" t="s">
        <v>17</v>
      </c>
      <c r="B3" s="106"/>
      <c r="C3" s="106"/>
      <c r="D3" s="107" t="s">
        <v>18</v>
      </c>
      <c r="E3" s="107"/>
      <c r="F3" s="107"/>
    </row>
    <row r="4" spans="1:9" ht="42.95" customHeight="1" x14ac:dyDescent="0.25">
      <c r="A4" s="106"/>
      <c r="B4" s="106"/>
      <c r="C4" s="106"/>
      <c r="D4" s="48" t="s">
        <v>12</v>
      </c>
      <c r="E4" s="49" t="s">
        <v>19</v>
      </c>
      <c r="F4" s="49" t="s">
        <v>72</v>
      </c>
      <c r="G4" s="48" t="str">
        <f>D4</f>
        <v>Insgesamt</v>
      </c>
      <c r="H4" s="49" t="str">
        <f t="shared" ref="H4:I4" si="0">E4</f>
        <v>Bevölkerung ohne
Migrationshintergrund</v>
      </c>
      <c r="I4" s="49" t="str">
        <f t="shared" si="0"/>
        <v>Bevölkerung mit
Migrationshintergrund
(i.e.S.)</v>
      </c>
    </row>
    <row r="5" spans="1:9" ht="42.95" customHeight="1" x14ac:dyDescent="0.25">
      <c r="A5" s="106"/>
      <c r="B5" s="106"/>
      <c r="C5" s="106"/>
      <c r="D5" s="49" t="s">
        <v>21</v>
      </c>
      <c r="E5" s="49" t="s">
        <v>22</v>
      </c>
      <c r="F5" s="49" t="s">
        <v>22</v>
      </c>
      <c r="G5" s="22" t="s">
        <v>16</v>
      </c>
      <c r="H5" s="22" t="s">
        <v>16</v>
      </c>
      <c r="I5" s="22" t="s">
        <v>16</v>
      </c>
    </row>
    <row r="6" spans="1:9" ht="14.1" customHeight="1" x14ac:dyDescent="0.25">
      <c r="A6" s="50" t="s">
        <v>24</v>
      </c>
      <c r="B6" s="50" t="s">
        <v>71</v>
      </c>
      <c r="C6" s="50" t="s">
        <v>15</v>
      </c>
      <c r="D6" s="1" t="s">
        <v>17</v>
      </c>
      <c r="E6" s="1" t="s">
        <v>17</v>
      </c>
      <c r="F6" s="1" t="s">
        <v>17</v>
      </c>
    </row>
    <row r="7" spans="1:9" ht="29.1" customHeight="1" x14ac:dyDescent="0.25">
      <c r="A7" s="108" t="s">
        <v>56</v>
      </c>
      <c r="B7" s="50" t="s">
        <v>25</v>
      </c>
      <c r="C7" s="50" t="s">
        <v>23</v>
      </c>
      <c r="D7" s="2">
        <v>27366.38</v>
      </c>
      <c r="E7" s="2">
        <v>12186.11</v>
      </c>
      <c r="F7" s="2">
        <v>15180.26</v>
      </c>
      <c r="G7" s="52">
        <f>D7/D24*100</f>
        <v>4.9161793714797044</v>
      </c>
      <c r="H7" s="52">
        <f t="shared" ref="H7:I9" si="1">E7/E24*100</f>
        <v>2.8693745396851096</v>
      </c>
      <c r="I7" s="52">
        <f t="shared" si="1"/>
        <v>11.503349933337789</v>
      </c>
    </row>
    <row r="8" spans="1:9" ht="14.1" customHeight="1" x14ac:dyDescent="0.25">
      <c r="A8" s="102"/>
      <c r="B8" s="50" t="s">
        <v>26</v>
      </c>
      <c r="C8" s="50" t="s">
        <v>23</v>
      </c>
      <c r="D8" s="2">
        <v>45014.879999999997</v>
      </c>
      <c r="E8" s="2">
        <v>15608.22</v>
      </c>
      <c r="F8" s="2">
        <v>29406.66</v>
      </c>
      <c r="G8" s="52">
        <f t="shared" ref="G8:G9" si="2">D8/D25*100</f>
        <v>4.7669176494593097</v>
      </c>
      <c r="H8" s="52">
        <f t="shared" si="1"/>
        <v>2.2480152377796392</v>
      </c>
      <c r="I8" s="52">
        <f t="shared" si="1"/>
        <v>11.762322892636114</v>
      </c>
    </row>
    <row r="9" spans="1:9" ht="14.1" customHeight="1" x14ac:dyDescent="0.25">
      <c r="A9" s="102"/>
      <c r="B9" s="50" t="s">
        <v>27</v>
      </c>
      <c r="C9" s="50" t="s">
        <v>23</v>
      </c>
      <c r="D9" s="2">
        <v>202311.52</v>
      </c>
      <c r="E9" s="2">
        <v>85320.57</v>
      </c>
      <c r="F9" s="2">
        <v>116990.96</v>
      </c>
      <c r="G9" s="52">
        <f t="shared" si="2"/>
        <v>4.1379483478909744</v>
      </c>
      <c r="H9" s="52">
        <f t="shared" si="1"/>
        <v>2.1814518113725949</v>
      </c>
      <c r="I9" s="52">
        <f t="shared" si="1"/>
        <v>11.962367125153166</v>
      </c>
    </row>
    <row r="10" spans="1:9" ht="14.1" customHeight="1" x14ac:dyDescent="0.25">
      <c r="A10" s="102"/>
      <c r="B10" s="50" t="s">
        <v>12</v>
      </c>
      <c r="C10" s="50" t="s">
        <v>23</v>
      </c>
      <c r="D10" s="2">
        <v>268308.74</v>
      </c>
      <c r="E10" s="2">
        <v>115662.68</v>
      </c>
      <c r="F10" s="2">
        <v>152646.06</v>
      </c>
    </row>
    <row r="11" spans="1:9" ht="14.1" customHeight="1" x14ac:dyDescent="0.25">
      <c r="A11" s="109" t="s">
        <v>8</v>
      </c>
      <c r="B11" s="50" t="s">
        <v>25</v>
      </c>
      <c r="C11" s="50" t="s">
        <v>23</v>
      </c>
      <c r="D11" s="2">
        <v>77167.509999999995</v>
      </c>
      <c r="E11" s="2">
        <v>51744.12</v>
      </c>
      <c r="F11" s="2">
        <v>25423.39</v>
      </c>
      <c r="G11" s="52">
        <f>D11/D24*100</f>
        <v>13.862605167744283</v>
      </c>
      <c r="H11" s="52">
        <f t="shared" ref="H11:I13" si="3">E11/E24*100</f>
        <v>12.183810954144603</v>
      </c>
      <c r="I11" s="52">
        <f t="shared" si="3"/>
        <v>19.265424417086439</v>
      </c>
    </row>
    <row r="12" spans="1:9" ht="14.1" customHeight="1" x14ac:dyDescent="0.25">
      <c r="A12" s="102"/>
      <c r="B12" s="50" t="s">
        <v>26</v>
      </c>
      <c r="C12" s="50" t="s">
        <v>23</v>
      </c>
      <c r="D12" s="2">
        <v>146565.29</v>
      </c>
      <c r="E12" s="2">
        <v>95189.66</v>
      </c>
      <c r="F12" s="2">
        <v>51375.63</v>
      </c>
      <c r="G12" s="52">
        <f t="shared" ref="G12:G13" si="4">D12/D25*100</f>
        <v>15.520749309986433</v>
      </c>
      <c r="H12" s="52">
        <f t="shared" si="3"/>
        <v>13.709942976140971</v>
      </c>
      <c r="I12" s="52">
        <f t="shared" si="3"/>
        <v>20.549656059974257</v>
      </c>
    </row>
    <row r="13" spans="1:9" ht="14.1" customHeight="1" x14ac:dyDescent="0.25">
      <c r="A13" s="102"/>
      <c r="B13" s="50" t="s">
        <v>27</v>
      </c>
      <c r="C13" s="50" t="s">
        <v>23</v>
      </c>
      <c r="D13" s="2">
        <v>1273454.9099999999</v>
      </c>
      <c r="E13" s="2">
        <v>1007175.08</v>
      </c>
      <c r="F13" s="2">
        <v>266279.84000000003</v>
      </c>
      <c r="G13" s="52">
        <f t="shared" si="4"/>
        <v>26.046419111220899</v>
      </c>
      <c r="H13" s="52">
        <f t="shared" si="3"/>
        <v>25.751162968500303</v>
      </c>
      <c r="I13" s="52">
        <f t="shared" si="3"/>
        <v>27.227208017671156</v>
      </c>
    </row>
    <row r="14" spans="1:9" ht="14.1" customHeight="1" x14ac:dyDescent="0.25">
      <c r="A14" s="102"/>
      <c r="B14" s="50" t="s">
        <v>12</v>
      </c>
      <c r="C14" s="50" t="s">
        <v>23</v>
      </c>
      <c r="D14" s="2">
        <v>2337010.81</v>
      </c>
      <c r="E14" s="2">
        <v>2012702.62</v>
      </c>
      <c r="F14" s="2">
        <v>324308.19</v>
      </c>
    </row>
    <row r="15" spans="1:9" ht="14.1" customHeight="1" x14ac:dyDescent="0.25">
      <c r="A15" s="109" t="s">
        <v>9</v>
      </c>
      <c r="B15" s="50" t="s">
        <v>25</v>
      </c>
      <c r="C15" s="50" t="s">
        <v>23</v>
      </c>
      <c r="D15" s="2">
        <v>209641.15</v>
      </c>
      <c r="E15" s="2">
        <v>166085.15</v>
      </c>
      <c r="F15" s="2">
        <v>43556</v>
      </c>
      <c r="G15" s="52">
        <f>D15/D24*100</f>
        <v>37.66057100147269</v>
      </c>
      <c r="H15" s="52">
        <f t="shared" ref="H15:I17" si="5">E15/E24*100</f>
        <v>39.106860255633862</v>
      </c>
      <c r="I15" s="52">
        <f t="shared" si="5"/>
        <v>33.006016345995434</v>
      </c>
    </row>
    <row r="16" spans="1:9" ht="14.1" customHeight="1" x14ac:dyDescent="0.25">
      <c r="A16" s="102"/>
      <c r="B16" s="50" t="s">
        <v>26</v>
      </c>
      <c r="C16" s="50" t="s">
        <v>23</v>
      </c>
      <c r="D16" s="2">
        <v>347447.54</v>
      </c>
      <c r="E16" s="2">
        <v>269946.12</v>
      </c>
      <c r="F16" s="2">
        <v>77501.41</v>
      </c>
      <c r="G16" s="52">
        <f t="shared" ref="G16:G17" si="6">D16/D25*100</f>
        <v>36.793473862136686</v>
      </c>
      <c r="H16" s="52">
        <f t="shared" si="5"/>
        <v>38.879705125856184</v>
      </c>
      <c r="I16" s="52">
        <f t="shared" si="5"/>
        <v>30.999665009714722</v>
      </c>
    </row>
    <row r="17" spans="1:9" ht="14.1" customHeight="1" x14ac:dyDescent="0.25">
      <c r="A17" s="102"/>
      <c r="B17" s="50" t="s">
        <v>27</v>
      </c>
      <c r="C17" s="50" t="s">
        <v>23</v>
      </c>
      <c r="D17" s="2">
        <v>1785520.02</v>
      </c>
      <c r="E17" s="2">
        <v>1481593.56</v>
      </c>
      <c r="F17" s="2">
        <v>303926.46999999997</v>
      </c>
      <c r="G17" s="52">
        <f t="shared" si="6"/>
        <v>36.519866080217575</v>
      </c>
      <c r="H17" s="52">
        <f t="shared" si="5"/>
        <v>37.880958310287554</v>
      </c>
      <c r="I17" s="52">
        <f t="shared" si="5"/>
        <v>31.076589278281414</v>
      </c>
    </row>
    <row r="18" spans="1:9" ht="14.1" customHeight="1" x14ac:dyDescent="0.25">
      <c r="A18" s="102"/>
      <c r="B18" s="50" t="s">
        <v>12</v>
      </c>
      <c r="C18" s="50" t="s">
        <v>23</v>
      </c>
      <c r="D18" s="2">
        <v>2082791.13</v>
      </c>
      <c r="E18" s="2">
        <v>1754764.88</v>
      </c>
      <c r="F18" s="2">
        <v>328026.25</v>
      </c>
    </row>
    <row r="19" spans="1:9" ht="14.1" customHeight="1" x14ac:dyDescent="0.25">
      <c r="A19" s="109" t="s">
        <v>28</v>
      </c>
      <c r="B19" s="50" t="s">
        <v>25</v>
      </c>
      <c r="C19" s="50" t="s">
        <v>23</v>
      </c>
      <c r="D19" s="2">
        <v>242484.46</v>
      </c>
      <c r="E19" s="2">
        <v>194680.31</v>
      </c>
      <c r="F19" s="2">
        <v>47804.160000000003</v>
      </c>
      <c r="G19" s="52">
        <f>D19/D24*100</f>
        <v>43.560642662873036</v>
      </c>
      <c r="H19" s="52">
        <f t="shared" ref="H19:I21" si="7">E19/E24*100</f>
        <v>45.839954250536422</v>
      </c>
      <c r="I19" s="52">
        <f t="shared" si="7"/>
        <v>36.225201725745734</v>
      </c>
    </row>
    <row r="20" spans="1:9" ht="14.1" customHeight="1" x14ac:dyDescent="0.25">
      <c r="A20" s="102"/>
      <c r="B20" s="50" t="s">
        <v>26</v>
      </c>
      <c r="C20" s="50" t="s">
        <v>23</v>
      </c>
      <c r="D20" s="2">
        <v>405290.68</v>
      </c>
      <c r="E20" s="2">
        <v>313567.14</v>
      </c>
      <c r="F20" s="2">
        <v>91723.54</v>
      </c>
      <c r="G20" s="52">
        <f t="shared" ref="G20:G21" si="8">D20/D25*100</f>
        <v>42.91885917841757</v>
      </c>
      <c r="H20" s="52">
        <f t="shared" si="7"/>
        <v>45.162338100499696</v>
      </c>
      <c r="I20" s="52">
        <f t="shared" si="7"/>
        <v>36.688352037790899</v>
      </c>
    </row>
    <row r="21" spans="1:9" ht="14.1" customHeight="1" x14ac:dyDescent="0.25">
      <c r="A21" s="102"/>
      <c r="B21" s="50" t="s">
        <v>27</v>
      </c>
      <c r="C21" s="50" t="s">
        <v>23</v>
      </c>
      <c r="D21" s="2">
        <v>1627888.15</v>
      </c>
      <c r="E21" s="2">
        <v>1337093.69</v>
      </c>
      <c r="F21" s="2">
        <v>290794.46000000002</v>
      </c>
      <c r="G21" s="52">
        <f t="shared" si="8"/>
        <v>33.295766256137043</v>
      </c>
      <c r="H21" s="52">
        <f t="shared" si="7"/>
        <v>34.186427165516669</v>
      </c>
      <c r="I21" s="52">
        <f t="shared" si="7"/>
        <v>29.733836601397812</v>
      </c>
    </row>
    <row r="22" spans="1:9" ht="14.1" customHeight="1" x14ac:dyDescent="0.25">
      <c r="A22" s="102"/>
      <c r="B22" s="50" t="s">
        <v>12</v>
      </c>
      <c r="C22" s="50" t="s">
        <v>23</v>
      </c>
      <c r="D22" s="2">
        <v>1872141.79</v>
      </c>
      <c r="E22" s="2">
        <v>1551240.57</v>
      </c>
      <c r="F22" s="2">
        <v>320901.21999999997</v>
      </c>
    </row>
    <row r="23" spans="1:9" ht="14.1" customHeight="1" x14ac:dyDescent="0.25">
      <c r="A23" s="102" t="s">
        <v>71</v>
      </c>
      <c r="B23" s="102"/>
      <c r="C23" s="50" t="s">
        <v>15</v>
      </c>
      <c r="D23" s="1" t="s">
        <v>17</v>
      </c>
      <c r="E23" s="1" t="s">
        <v>17</v>
      </c>
      <c r="F23" s="1" t="s">
        <v>17</v>
      </c>
    </row>
    <row r="24" spans="1:9" ht="14.1" customHeight="1" x14ac:dyDescent="0.25">
      <c r="A24" s="102" t="s">
        <v>25</v>
      </c>
      <c r="B24" s="102"/>
      <c r="C24" s="50" t="s">
        <v>23</v>
      </c>
      <c r="D24" s="2">
        <v>556659.51</v>
      </c>
      <c r="E24" s="2">
        <v>424695.69</v>
      </c>
      <c r="F24" s="2">
        <v>131963.82</v>
      </c>
    </row>
    <row r="25" spans="1:9" ht="14.1" customHeight="1" x14ac:dyDescent="0.25">
      <c r="A25" s="102" t="s">
        <v>26</v>
      </c>
      <c r="B25" s="102"/>
      <c r="C25" s="50" t="s">
        <v>23</v>
      </c>
      <c r="D25" s="2">
        <v>944318.39</v>
      </c>
      <c r="E25" s="2">
        <v>694311.13</v>
      </c>
      <c r="F25" s="2">
        <v>250007.25</v>
      </c>
    </row>
    <row r="26" spans="1:9" ht="14.1" customHeight="1" x14ac:dyDescent="0.25">
      <c r="A26" s="102" t="s">
        <v>27</v>
      </c>
      <c r="B26" s="102"/>
      <c r="C26" s="50" t="s">
        <v>23</v>
      </c>
      <c r="D26" s="2">
        <v>4889174.6100000003</v>
      </c>
      <c r="E26" s="2">
        <v>3911182.89</v>
      </c>
      <c r="F26" s="2">
        <v>977991.72</v>
      </c>
    </row>
    <row r="27" spans="1:9" ht="14.1" customHeight="1" x14ac:dyDescent="0.25">
      <c r="A27" s="102" t="s">
        <v>12</v>
      </c>
      <c r="B27" s="102"/>
      <c r="C27" s="50" t="s">
        <v>23</v>
      </c>
      <c r="D27" s="2">
        <v>6560252.4699999997</v>
      </c>
      <c r="E27" s="2">
        <v>5434370.7400000002</v>
      </c>
      <c r="F27" s="2">
        <v>1125881.72</v>
      </c>
    </row>
    <row r="28" spans="1:9" ht="12" customHeight="1" x14ac:dyDescent="0.25"/>
    <row r="29" spans="1:9" ht="14.1" customHeight="1" x14ac:dyDescent="0.25">
      <c r="A29" s="103" t="s">
        <v>67</v>
      </c>
      <c r="B29" s="104"/>
      <c r="C29" s="104"/>
      <c r="D29" s="104"/>
      <c r="E29" s="104"/>
      <c r="F29" s="104"/>
    </row>
    <row r="30" spans="1:9" ht="12" customHeight="1" x14ac:dyDescent="0.25"/>
    <row r="31" spans="1:9" ht="12" customHeight="1" x14ac:dyDescent="0.25"/>
    <row r="32" spans="1:9"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sheetData>
  <mergeCells count="13">
    <mergeCell ref="A25:B25"/>
    <mergeCell ref="A26:B26"/>
    <mergeCell ref="A27:B27"/>
    <mergeCell ref="A29:F29"/>
    <mergeCell ref="A1:F1"/>
    <mergeCell ref="A3:C5"/>
    <mergeCell ref="D3:F3"/>
    <mergeCell ref="A7:A10"/>
    <mergeCell ref="A11:A14"/>
    <mergeCell ref="A15:A18"/>
    <mergeCell ref="A19:A22"/>
    <mergeCell ref="A23:B23"/>
    <mergeCell ref="A24:B24"/>
  </mergeCell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0"/>
  <dimension ref="A1:I58"/>
  <sheetViews>
    <sheetView workbookViewId="0">
      <selection sqref="A1:F1"/>
    </sheetView>
  </sheetViews>
  <sheetFormatPr baseColWidth="10" defaultColWidth="11.42578125" defaultRowHeight="15" x14ac:dyDescent="0.25"/>
  <cols>
    <col min="1" max="1" width="56.7109375" style="22" bestFit="1" customWidth="1"/>
    <col min="2" max="2" width="12.7109375" style="22" bestFit="1" customWidth="1"/>
    <col min="3" max="3" width="5.7109375" style="22" bestFit="1" customWidth="1"/>
    <col min="4" max="4" width="16.7109375" style="22" bestFit="1" customWidth="1"/>
    <col min="5" max="6" width="24.7109375" style="22" bestFit="1" customWidth="1"/>
    <col min="7" max="16384" width="11.42578125" style="22"/>
  </cols>
  <sheetData>
    <row r="1" spans="1:9" ht="15.95" customHeight="1" x14ac:dyDescent="0.25">
      <c r="A1" s="105" t="s">
        <v>68</v>
      </c>
      <c r="B1" s="104"/>
      <c r="C1" s="104"/>
      <c r="D1" s="104"/>
      <c r="E1" s="104"/>
      <c r="F1" s="104"/>
    </row>
    <row r="2" spans="1:9" ht="12" customHeight="1" x14ac:dyDescent="0.25"/>
    <row r="3" spans="1:9" ht="14.1" customHeight="1" x14ac:dyDescent="0.25">
      <c r="A3" s="106" t="s">
        <v>17</v>
      </c>
      <c r="B3" s="106"/>
      <c r="C3" s="106"/>
      <c r="D3" s="107" t="s">
        <v>18</v>
      </c>
      <c r="E3" s="107"/>
      <c r="F3" s="107"/>
    </row>
    <row r="4" spans="1:9" ht="42.95" customHeight="1" x14ac:dyDescent="0.25">
      <c r="A4" s="106"/>
      <c r="B4" s="106"/>
      <c r="C4" s="106"/>
      <c r="D4" s="48" t="s">
        <v>12</v>
      </c>
      <c r="E4" s="49" t="s">
        <v>19</v>
      </c>
      <c r="F4" s="49" t="s">
        <v>20</v>
      </c>
      <c r="G4" s="48" t="str">
        <f>D4</f>
        <v>Insgesamt</v>
      </c>
      <c r="H4" s="49" t="str">
        <f t="shared" ref="H4:I4" si="0">E4</f>
        <v>Bevölkerung ohne
Migrationshintergrund</v>
      </c>
      <c r="I4" s="49" t="str">
        <f t="shared" si="0"/>
        <v>Bevölkerung mit
Migrationshintergrund
(i.w.S.)</v>
      </c>
    </row>
    <row r="5" spans="1:9" ht="42.95" customHeight="1" x14ac:dyDescent="0.25">
      <c r="A5" s="106"/>
      <c r="B5" s="106"/>
      <c r="C5" s="106"/>
      <c r="D5" s="49" t="s">
        <v>21</v>
      </c>
      <c r="E5" s="49" t="s">
        <v>22</v>
      </c>
      <c r="F5" s="49" t="s">
        <v>22</v>
      </c>
      <c r="G5" s="22" t="s">
        <v>16</v>
      </c>
      <c r="H5" s="22" t="s">
        <v>16</v>
      </c>
      <c r="I5" s="22" t="s">
        <v>16</v>
      </c>
    </row>
    <row r="6" spans="1:9" ht="14.1" customHeight="1" x14ac:dyDescent="0.25">
      <c r="A6" s="50" t="s">
        <v>24</v>
      </c>
      <c r="B6" s="50" t="s">
        <v>71</v>
      </c>
      <c r="C6" s="50" t="s">
        <v>15</v>
      </c>
      <c r="D6" s="1" t="s">
        <v>17</v>
      </c>
      <c r="E6" s="1" t="s">
        <v>17</v>
      </c>
      <c r="F6" s="1" t="s">
        <v>17</v>
      </c>
    </row>
    <row r="7" spans="1:9" ht="29.1" customHeight="1" x14ac:dyDescent="0.25">
      <c r="A7" s="108" t="s">
        <v>56</v>
      </c>
      <c r="B7" s="50" t="s">
        <v>25</v>
      </c>
      <c r="C7" s="50" t="s">
        <v>23</v>
      </c>
      <c r="D7" s="2">
        <v>28013.01</v>
      </c>
      <c r="E7" s="2">
        <v>9756.19</v>
      </c>
      <c r="F7" s="2">
        <v>18256.82</v>
      </c>
      <c r="G7" s="52">
        <f>D7/D24*100</f>
        <v>4.9194793575994309</v>
      </c>
      <c r="H7" s="52">
        <f t="shared" ref="H7:I9" si="1">E7/E24*100</f>
        <v>2.3349766564321568</v>
      </c>
      <c r="I7" s="52">
        <f t="shared" si="1"/>
        <v>12.042580112442936</v>
      </c>
    </row>
    <row r="8" spans="1:9" ht="14.1" customHeight="1" x14ac:dyDescent="0.25">
      <c r="A8" s="102"/>
      <c r="B8" s="50" t="s">
        <v>26</v>
      </c>
      <c r="C8" s="50" t="s">
        <v>23</v>
      </c>
      <c r="D8" s="2">
        <v>43996.34</v>
      </c>
      <c r="E8" s="2">
        <v>14445.99</v>
      </c>
      <c r="F8" s="2">
        <v>29550.36</v>
      </c>
      <c r="G8" s="52">
        <f t="shared" ref="G8:G9" si="2">D8/D25*100</f>
        <v>4.6497542305345041</v>
      </c>
      <c r="H8" s="52">
        <f t="shared" si="1"/>
        <v>2.190582010262685</v>
      </c>
      <c r="I8" s="52">
        <f t="shared" si="1"/>
        <v>10.305310008719477</v>
      </c>
    </row>
    <row r="9" spans="1:9" ht="14.1" customHeight="1" x14ac:dyDescent="0.25">
      <c r="A9" s="102"/>
      <c r="B9" s="50" t="s">
        <v>27</v>
      </c>
      <c r="C9" s="50" t="s">
        <v>23</v>
      </c>
      <c r="D9" s="2">
        <v>205698.74</v>
      </c>
      <c r="E9" s="2">
        <v>75089.070000000007</v>
      </c>
      <c r="F9" s="2">
        <v>130609.67</v>
      </c>
      <c r="G9" s="52">
        <f t="shared" si="2"/>
        <v>4.2201512220133068</v>
      </c>
      <c r="H9" s="52">
        <f t="shared" si="1"/>
        <v>1.994779674772662</v>
      </c>
      <c r="I9" s="52">
        <f t="shared" si="1"/>
        <v>11.767440727347701</v>
      </c>
    </row>
    <row r="10" spans="1:9" ht="14.1" customHeight="1" x14ac:dyDescent="0.25">
      <c r="A10" s="102"/>
      <c r="B10" s="50" t="s">
        <v>12</v>
      </c>
      <c r="C10" s="50" t="s">
        <v>23</v>
      </c>
      <c r="D10" s="2">
        <v>266962.5</v>
      </c>
      <c r="E10" s="2">
        <v>99045.61</v>
      </c>
      <c r="F10" s="2">
        <v>167916.89</v>
      </c>
    </row>
    <row r="11" spans="1:9" ht="14.1" customHeight="1" x14ac:dyDescent="0.25">
      <c r="A11" s="109" t="s">
        <v>8</v>
      </c>
      <c r="B11" s="50" t="s">
        <v>25</v>
      </c>
      <c r="C11" s="50" t="s">
        <v>23</v>
      </c>
      <c r="D11" s="2">
        <v>74264.679999999993</v>
      </c>
      <c r="E11" s="2">
        <v>47601.32</v>
      </c>
      <c r="F11" s="2">
        <v>26663.360000000001</v>
      </c>
      <c r="G11" s="52">
        <f>D11/D24*100</f>
        <v>13.041924457911779</v>
      </c>
      <c r="H11" s="52">
        <f t="shared" ref="H11:I13" si="3">E11/E24*100</f>
        <v>11.39255908457678</v>
      </c>
      <c r="I11" s="52">
        <f t="shared" si="3"/>
        <v>17.587709626698761</v>
      </c>
    </row>
    <row r="12" spans="1:9" ht="14.1" customHeight="1" x14ac:dyDescent="0.25">
      <c r="A12" s="102"/>
      <c r="B12" s="50" t="s">
        <v>26</v>
      </c>
      <c r="C12" s="50" t="s">
        <v>23</v>
      </c>
      <c r="D12" s="2">
        <v>143456.24</v>
      </c>
      <c r="E12" s="2">
        <v>84003.23</v>
      </c>
      <c r="F12" s="2">
        <v>59453.01</v>
      </c>
      <c r="G12" s="52">
        <f t="shared" ref="G12:G13" si="4">D12/D25*100</f>
        <v>15.161176107752899</v>
      </c>
      <c r="H12" s="52">
        <f t="shared" si="3"/>
        <v>12.738203781254084</v>
      </c>
      <c r="I12" s="52">
        <f t="shared" si="3"/>
        <v>20.733476648050956</v>
      </c>
    </row>
    <row r="13" spans="1:9" ht="14.1" customHeight="1" x14ac:dyDescent="0.25">
      <c r="A13" s="102"/>
      <c r="B13" s="50" t="s">
        <v>27</v>
      </c>
      <c r="C13" s="50" t="s">
        <v>23</v>
      </c>
      <c r="D13" s="2">
        <v>1211601.98</v>
      </c>
      <c r="E13" s="2">
        <v>926264.19</v>
      </c>
      <c r="F13" s="2">
        <v>285337.78999999998</v>
      </c>
      <c r="G13" s="52">
        <f t="shared" si="4"/>
        <v>24.857437515128886</v>
      </c>
      <c r="H13" s="52">
        <f t="shared" si="3"/>
        <v>24.606683498434101</v>
      </c>
      <c r="I13" s="52">
        <f t="shared" si="3"/>
        <v>25.707863216386546</v>
      </c>
    </row>
    <row r="14" spans="1:9" ht="14.1" customHeight="1" x14ac:dyDescent="0.25">
      <c r="A14" s="102"/>
      <c r="B14" s="50" t="s">
        <v>12</v>
      </c>
      <c r="C14" s="50" t="s">
        <v>23</v>
      </c>
      <c r="D14" s="2">
        <v>2218175.41</v>
      </c>
      <c r="E14" s="2">
        <v>1875725.71</v>
      </c>
      <c r="F14" s="2">
        <v>342449.7</v>
      </c>
    </row>
    <row r="15" spans="1:9" ht="14.1" customHeight="1" x14ac:dyDescent="0.25">
      <c r="A15" s="109" t="s">
        <v>9</v>
      </c>
      <c r="B15" s="50" t="s">
        <v>25</v>
      </c>
      <c r="C15" s="50" t="s">
        <v>23</v>
      </c>
      <c r="D15" s="2">
        <v>210836.09</v>
      </c>
      <c r="E15" s="2">
        <v>160363.43</v>
      </c>
      <c r="F15" s="2">
        <v>50472.66</v>
      </c>
      <c r="G15" s="52">
        <f>D15/D24*100</f>
        <v>37.025788824263287</v>
      </c>
      <c r="H15" s="52">
        <f t="shared" ref="H15:I17" si="5">E15/E24*100</f>
        <v>38.380235070800403</v>
      </c>
      <c r="I15" s="52">
        <f t="shared" si="5"/>
        <v>33.292821616146412</v>
      </c>
    </row>
    <row r="16" spans="1:9" ht="14.1" customHeight="1" x14ac:dyDescent="0.25">
      <c r="A16" s="102"/>
      <c r="B16" s="50" t="s">
        <v>26</v>
      </c>
      <c r="C16" s="50" t="s">
        <v>23</v>
      </c>
      <c r="D16" s="2">
        <v>349996.75</v>
      </c>
      <c r="E16" s="2">
        <v>259817.75</v>
      </c>
      <c r="F16" s="2">
        <v>90179.01</v>
      </c>
      <c r="G16" s="52">
        <f t="shared" ref="G16:G17" si="6">D16/D25*100</f>
        <v>36.989414778270813</v>
      </c>
      <c r="H16" s="52">
        <f t="shared" si="5"/>
        <v>39.398621285002122</v>
      </c>
      <c r="I16" s="52">
        <f t="shared" si="5"/>
        <v>31.448776066667673</v>
      </c>
    </row>
    <row r="17" spans="1:9" ht="14.1" customHeight="1" x14ac:dyDescent="0.25">
      <c r="A17" s="102"/>
      <c r="B17" s="50" t="s">
        <v>27</v>
      </c>
      <c r="C17" s="50" t="s">
        <v>23</v>
      </c>
      <c r="D17" s="2">
        <v>1786008.19</v>
      </c>
      <c r="E17" s="2">
        <v>1437811.9</v>
      </c>
      <c r="F17" s="2">
        <v>348196.29</v>
      </c>
      <c r="G17" s="52">
        <f t="shared" si="6"/>
        <v>36.642055491221164</v>
      </c>
      <c r="H17" s="52">
        <f t="shared" si="5"/>
        <v>38.196210903481202</v>
      </c>
      <c r="I17" s="52">
        <f t="shared" si="5"/>
        <v>31.371177984427728</v>
      </c>
    </row>
    <row r="18" spans="1:9" ht="14.1" customHeight="1" x14ac:dyDescent="0.25">
      <c r="A18" s="102"/>
      <c r="B18" s="50" t="s">
        <v>12</v>
      </c>
      <c r="C18" s="50" t="s">
        <v>23</v>
      </c>
      <c r="D18" s="2">
        <v>2092348.21</v>
      </c>
      <c r="E18" s="2">
        <v>1719199.7</v>
      </c>
      <c r="F18" s="2">
        <v>373148.51</v>
      </c>
    </row>
    <row r="19" spans="1:9" ht="14.1" customHeight="1" x14ac:dyDescent="0.25">
      <c r="A19" s="109" t="s">
        <v>28</v>
      </c>
      <c r="B19" s="50" t="s">
        <v>25</v>
      </c>
      <c r="C19" s="50" t="s">
        <v>23</v>
      </c>
      <c r="D19" s="2">
        <v>256316.6</v>
      </c>
      <c r="E19" s="2">
        <v>200107.22</v>
      </c>
      <c r="F19" s="2">
        <v>56209.39</v>
      </c>
      <c r="G19" s="52">
        <f>D19/D24*100</f>
        <v>45.012807360225494</v>
      </c>
      <c r="H19" s="52">
        <f t="shared" ref="H19:I21" si="7">E19/E24*100</f>
        <v>47.892229188190669</v>
      </c>
      <c r="I19" s="52">
        <f t="shared" si="7"/>
        <v>37.076888644711886</v>
      </c>
    </row>
    <row r="20" spans="1:9" ht="14.1" customHeight="1" x14ac:dyDescent="0.25">
      <c r="A20" s="102"/>
      <c r="B20" s="50" t="s">
        <v>26</v>
      </c>
      <c r="C20" s="50" t="s">
        <v>23</v>
      </c>
      <c r="D20" s="2">
        <v>408758.52</v>
      </c>
      <c r="E20" s="2">
        <v>301192.03000000003</v>
      </c>
      <c r="F20" s="2">
        <v>107566.49</v>
      </c>
      <c r="G20" s="52">
        <f t="shared" ref="G20:G21" si="8">D20/D25*100</f>
        <v>43.19965382659155</v>
      </c>
      <c r="H20" s="52">
        <f t="shared" si="7"/>
        <v>45.672594439875638</v>
      </c>
      <c r="I20" s="52">
        <f t="shared" si="7"/>
        <v>37.512437276561897</v>
      </c>
    </row>
    <row r="21" spans="1:9" ht="14.1" customHeight="1" x14ac:dyDescent="0.25">
      <c r="A21" s="102"/>
      <c r="B21" s="50" t="s">
        <v>27</v>
      </c>
      <c r="C21" s="50" t="s">
        <v>23</v>
      </c>
      <c r="D21" s="2">
        <v>1670894.15</v>
      </c>
      <c r="E21" s="2">
        <v>1325113.72</v>
      </c>
      <c r="F21" s="2">
        <v>345780.42</v>
      </c>
      <c r="G21" s="52">
        <f t="shared" si="8"/>
        <v>34.280355771636643</v>
      </c>
      <c r="H21" s="52">
        <f t="shared" si="7"/>
        <v>35.202325923312038</v>
      </c>
      <c r="I21" s="52">
        <f t="shared" si="7"/>
        <v>31.153517170875585</v>
      </c>
    </row>
    <row r="22" spans="1:9" ht="14.1" customHeight="1" x14ac:dyDescent="0.25">
      <c r="A22" s="102"/>
      <c r="B22" s="50" t="s">
        <v>12</v>
      </c>
      <c r="C22" s="50" t="s">
        <v>23</v>
      </c>
      <c r="D22" s="2">
        <v>1920222.55</v>
      </c>
      <c r="E22" s="2">
        <v>1541562.48</v>
      </c>
      <c r="F22" s="2">
        <v>378660.07</v>
      </c>
    </row>
    <row r="23" spans="1:9" ht="14.1" customHeight="1" x14ac:dyDescent="0.25">
      <c r="A23" s="102" t="s">
        <v>71</v>
      </c>
      <c r="B23" s="102"/>
      <c r="C23" s="50" t="s">
        <v>15</v>
      </c>
      <c r="D23" s="1" t="s">
        <v>17</v>
      </c>
      <c r="E23" s="1" t="s">
        <v>17</v>
      </c>
      <c r="F23" s="1" t="s">
        <v>17</v>
      </c>
    </row>
    <row r="24" spans="1:9" ht="14.1" customHeight="1" x14ac:dyDescent="0.25">
      <c r="A24" s="102" t="s">
        <v>25</v>
      </c>
      <c r="B24" s="102"/>
      <c r="C24" s="50" t="s">
        <v>23</v>
      </c>
      <c r="D24" s="2">
        <v>569430.38</v>
      </c>
      <c r="E24" s="2">
        <v>417828.16</v>
      </c>
      <c r="F24" s="2">
        <v>151602.23000000001</v>
      </c>
    </row>
    <row r="25" spans="1:9" ht="14.1" customHeight="1" x14ac:dyDescent="0.25">
      <c r="A25" s="102" t="s">
        <v>26</v>
      </c>
      <c r="B25" s="102"/>
      <c r="C25" s="50" t="s">
        <v>23</v>
      </c>
      <c r="D25" s="2">
        <v>946207.86</v>
      </c>
      <c r="E25" s="2">
        <v>659458.99</v>
      </c>
      <c r="F25" s="2">
        <v>286748.87</v>
      </c>
    </row>
    <row r="26" spans="1:9" ht="14.1" customHeight="1" x14ac:dyDescent="0.25">
      <c r="A26" s="102" t="s">
        <v>27</v>
      </c>
      <c r="B26" s="102"/>
      <c r="C26" s="50" t="s">
        <v>23</v>
      </c>
      <c r="D26" s="2">
        <v>4874203.0599999996</v>
      </c>
      <c r="E26" s="2">
        <v>3764278.88</v>
      </c>
      <c r="F26" s="2">
        <v>1109924.18</v>
      </c>
    </row>
    <row r="27" spans="1:9" ht="14.1" customHeight="1" x14ac:dyDescent="0.25">
      <c r="A27" s="102" t="s">
        <v>12</v>
      </c>
      <c r="B27" s="102"/>
      <c r="C27" s="50" t="s">
        <v>23</v>
      </c>
      <c r="D27" s="2">
        <v>6497708.6699999999</v>
      </c>
      <c r="E27" s="2">
        <v>5235533.5</v>
      </c>
      <c r="F27" s="2">
        <v>1262175.17</v>
      </c>
    </row>
    <row r="28" spans="1:9" ht="12" customHeight="1" x14ac:dyDescent="0.25"/>
    <row r="29" spans="1:9" ht="14.1" customHeight="1" x14ac:dyDescent="0.25">
      <c r="A29" s="103" t="s">
        <v>69</v>
      </c>
      <c r="B29" s="104"/>
      <c r="C29" s="104"/>
      <c r="D29" s="104"/>
      <c r="E29" s="104"/>
      <c r="F29" s="104"/>
    </row>
    <row r="30" spans="1:9" ht="12" customHeight="1" x14ac:dyDescent="0.25"/>
    <row r="31" spans="1:9" ht="12" customHeight="1" x14ac:dyDescent="0.25"/>
    <row r="32" spans="1:9"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sheetData>
  <mergeCells count="13">
    <mergeCell ref="A25:B25"/>
    <mergeCell ref="A26:B26"/>
    <mergeCell ref="A27:B27"/>
    <mergeCell ref="A29:F29"/>
    <mergeCell ref="A1:F1"/>
    <mergeCell ref="A3:C5"/>
    <mergeCell ref="D3:F3"/>
    <mergeCell ref="A7:A10"/>
    <mergeCell ref="A11:A14"/>
    <mergeCell ref="A15:A18"/>
    <mergeCell ref="A19:A22"/>
    <mergeCell ref="A23:B23"/>
    <mergeCell ref="A24:B24"/>
  </mergeCell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dimension ref="A1:I58"/>
  <sheetViews>
    <sheetView workbookViewId="0">
      <selection sqref="A1:F1"/>
    </sheetView>
  </sheetViews>
  <sheetFormatPr baseColWidth="10" defaultColWidth="11.42578125" defaultRowHeight="15" x14ac:dyDescent="0.25"/>
  <cols>
    <col min="1" max="1" width="56.7109375" style="22" bestFit="1" customWidth="1"/>
    <col min="2" max="2" width="12.7109375" style="22" bestFit="1" customWidth="1"/>
    <col min="3" max="3" width="5.7109375" style="22" bestFit="1" customWidth="1"/>
    <col min="4" max="4" width="16.7109375" style="22" bestFit="1" customWidth="1"/>
    <col min="5" max="6" width="24.7109375" style="22" bestFit="1" customWidth="1"/>
    <col min="7" max="16384" width="11.42578125" style="22"/>
  </cols>
  <sheetData>
    <row r="1" spans="1:9" ht="15.95" customHeight="1" x14ac:dyDescent="0.25">
      <c r="A1" s="105" t="s">
        <v>42</v>
      </c>
      <c r="B1" s="104"/>
      <c r="C1" s="104"/>
      <c r="D1" s="104"/>
      <c r="E1" s="104"/>
      <c r="F1" s="104"/>
    </row>
    <row r="2" spans="1:9" ht="12" customHeight="1" x14ac:dyDescent="0.25"/>
    <row r="3" spans="1:9" ht="14.1" customHeight="1" x14ac:dyDescent="0.25">
      <c r="A3" s="106" t="s">
        <v>17</v>
      </c>
      <c r="B3" s="106"/>
      <c r="C3" s="106"/>
      <c r="D3" s="107" t="s">
        <v>18</v>
      </c>
      <c r="E3" s="107"/>
      <c r="F3" s="107"/>
    </row>
    <row r="4" spans="1:9" ht="42.95" customHeight="1" x14ac:dyDescent="0.25">
      <c r="A4" s="106"/>
      <c r="B4" s="106"/>
      <c r="C4" s="106"/>
      <c r="D4" s="48" t="s">
        <v>12</v>
      </c>
      <c r="E4" s="49" t="s">
        <v>19</v>
      </c>
      <c r="F4" s="49" t="s">
        <v>20</v>
      </c>
      <c r="G4" s="48" t="str">
        <f>D4</f>
        <v>Insgesamt</v>
      </c>
      <c r="H4" s="49" t="str">
        <f t="shared" ref="H4:I4" si="0">E4</f>
        <v>Bevölkerung ohne
Migrationshintergrund</v>
      </c>
      <c r="I4" s="49" t="str">
        <f t="shared" si="0"/>
        <v>Bevölkerung mit
Migrationshintergrund
(i.w.S.)</v>
      </c>
    </row>
    <row r="5" spans="1:9" ht="42.95" customHeight="1" x14ac:dyDescent="0.25">
      <c r="A5" s="106"/>
      <c r="B5" s="106"/>
      <c r="C5" s="106"/>
      <c r="D5" s="49" t="s">
        <v>21</v>
      </c>
      <c r="E5" s="49" t="s">
        <v>22</v>
      </c>
      <c r="F5" s="49" t="s">
        <v>22</v>
      </c>
      <c r="G5" s="22" t="s">
        <v>16</v>
      </c>
      <c r="H5" s="22" t="s">
        <v>16</v>
      </c>
      <c r="I5" s="22" t="s">
        <v>16</v>
      </c>
    </row>
    <row r="6" spans="1:9" ht="14.1" customHeight="1" x14ac:dyDescent="0.25">
      <c r="A6" s="50" t="s">
        <v>24</v>
      </c>
      <c r="B6" s="50" t="s">
        <v>71</v>
      </c>
      <c r="C6" s="50" t="s">
        <v>15</v>
      </c>
      <c r="D6" s="1" t="s">
        <v>17</v>
      </c>
      <c r="E6" s="1" t="s">
        <v>17</v>
      </c>
      <c r="F6" s="1" t="s">
        <v>17</v>
      </c>
    </row>
    <row r="7" spans="1:9" ht="29.1" customHeight="1" x14ac:dyDescent="0.25">
      <c r="A7" s="108" t="s">
        <v>56</v>
      </c>
      <c r="B7" s="50" t="s">
        <v>25</v>
      </c>
      <c r="C7" s="50" t="s">
        <v>23</v>
      </c>
      <c r="D7" s="2">
        <v>25860.91</v>
      </c>
      <c r="E7" s="2">
        <v>9032.8799999999992</v>
      </c>
      <c r="F7" s="2">
        <v>16828.03</v>
      </c>
      <c r="G7" s="52">
        <f>D7/D24*100</f>
        <v>4.6982988886806689</v>
      </c>
      <c r="H7" s="52">
        <f t="shared" ref="H7:I9" si="1">E7/E24*100</f>
        <v>2.2291467436960244</v>
      </c>
      <c r="I7" s="52">
        <f t="shared" si="1"/>
        <v>11.588400684422339</v>
      </c>
    </row>
    <row r="8" spans="1:9" ht="14.1" customHeight="1" x14ac:dyDescent="0.25">
      <c r="A8" s="102"/>
      <c r="B8" s="50" t="s">
        <v>26</v>
      </c>
      <c r="C8" s="50" t="s">
        <v>23</v>
      </c>
      <c r="D8" s="2">
        <v>43700.39</v>
      </c>
      <c r="E8" s="2">
        <v>13168.85</v>
      </c>
      <c r="F8" s="2">
        <v>30531.54</v>
      </c>
      <c r="G8" s="52">
        <f t="shared" ref="G8:G9" si="2">D8/D25*100</f>
        <v>4.6485415868115689</v>
      </c>
      <c r="H8" s="52">
        <f t="shared" si="1"/>
        <v>1.9928666094218581</v>
      </c>
      <c r="I8" s="52">
        <f t="shared" si="1"/>
        <v>10.931888033752587</v>
      </c>
    </row>
    <row r="9" spans="1:9" ht="14.1" customHeight="1" x14ac:dyDescent="0.25">
      <c r="A9" s="102"/>
      <c r="B9" s="50" t="s">
        <v>27</v>
      </c>
      <c r="C9" s="50" t="s">
        <v>23</v>
      </c>
      <c r="D9" s="2">
        <v>203225.16</v>
      </c>
      <c r="E9" s="2">
        <v>71244.7</v>
      </c>
      <c r="F9" s="2">
        <v>131980.46</v>
      </c>
      <c r="G9" s="52">
        <f t="shared" si="2"/>
        <v>4.2069623894442829</v>
      </c>
      <c r="H9" s="52">
        <f t="shared" si="1"/>
        <v>1.9130584896634324</v>
      </c>
      <c r="I9" s="52">
        <f t="shared" si="1"/>
        <v>11.927085726257943</v>
      </c>
    </row>
    <row r="10" spans="1:9" ht="14.1" customHeight="1" x14ac:dyDescent="0.25">
      <c r="A10" s="102"/>
      <c r="B10" s="50" t="s">
        <v>12</v>
      </c>
      <c r="C10" s="50" t="s">
        <v>23</v>
      </c>
      <c r="D10" s="2">
        <v>267686.21000000002</v>
      </c>
      <c r="E10" s="2">
        <v>95350.81</v>
      </c>
      <c r="F10" s="2">
        <v>172335.41</v>
      </c>
    </row>
    <row r="11" spans="1:9" ht="14.1" customHeight="1" x14ac:dyDescent="0.25">
      <c r="A11" s="109" t="s">
        <v>8</v>
      </c>
      <c r="B11" s="50" t="s">
        <v>25</v>
      </c>
      <c r="C11" s="50" t="s">
        <v>23</v>
      </c>
      <c r="D11" s="2">
        <v>71013.72</v>
      </c>
      <c r="E11" s="2">
        <v>47789.54</v>
      </c>
      <c r="F11" s="2">
        <v>23224.18</v>
      </c>
      <c r="G11" s="52">
        <f>D11/D24*100</f>
        <v>12.901467185689915</v>
      </c>
      <c r="H11" s="52">
        <f t="shared" ref="H11:I11" si="3">E11/E24*100</f>
        <v>11.793569434524862</v>
      </c>
      <c r="I11" s="52">
        <f t="shared" si="3"/>
        <v>15.993024935607295</v>
      </c>
    </row>
    <row r="12" spans="1:9" ht="14.1" customHeight="1" x14ac:dyDescent="0.25">
      <c r="A12" s="102"/>
      <c r="B12" s="50" t="s">
        <v>26</v>
      </c>
      <c r="C12" s="50" t="s">
        <v>23</v>
      </c>
      <c r="D12" s="2">
        <v>139172</v>
      </c>
      <c r="E12" s="2">
        <v>87098.27</v>
      </c>
      <c r="F12" s="2">
        <v>52073.72</v>
      </c>
      <c r="G12" s="52">
        <f t="shared" ref="G12:G13" si="4">D12/D25*100</f>
        <v>14.804143160272476</v>
      </c>
      <c r="H12" s="52">
        <f t="shared" ref="H12:H13" si="5">E12/E25*100</f>
        <v>13.1807434985902</v>
      </c>
      <c r="I12" s="52">
        <f t="shared" ref="I12:I13" si="6">F12/F25*100</f>
        <v>18.645115069236038</v>
      </c>
    </row>
    <row r="13" spans="1:9" ht="14.1" customHeight="1" x14ac:dyDescent="0.25">
      <c r="A13" s="102"/>
      <c r="B13" s="50" t="s">
        <v>27</v>
      </c>
      <c r="C13" s="50" t="s">
        <v>23</v>
      </c>
      <c r="D13" s="2">
        <v>1139103.53</v>
      </c>
      <c r="E13" s="2">
        <v>870260.17</v>
      </c>
      <c r="F13" s="2">
        <v>268843.36</v>
      </c>
      <c r="G13" s="52">
        <f t="shared" si="4"/>
        <v>23.580572938868478</v>
      </c>
      <c r="H13" s="52">
        <f t="shared" si="5"/>
        <v>23.368174845770174</v>
      </c>
      <c r="I13" s="52">
        <f t="shared" si="6"/>
        <v>24.295397982816738</v>
      </c>
    </row>
    <row r="14" spans="1:9" ht="14.1" customHeight="1" x14ac:dyDescent="0.25">
      <c r="A14" s="102"/>
      <c r="B14" s="50" t="s">
        <v>12</v>
      </c>
      <c r="C14" s="50" t="s">
        <v>23</v>
      </c>
      <c r="D14" s="2">
        <v>2148988.0299999998</v>
      </c>
      <c r="E14" s="2">
        <v>1824621.37</v>
      </c>
      <c r="F14" s="2">
        <v>324366.65999999997</v>
      </c>
    </row>
    <row r="15" spans="1:9" ht="14.1" customHeight="1" x14ac:dyDescent="0.25">
      <c r="A15" s="109" t="s">
        <v>9</v>
      </c>
      <c r="B15" s="50" t="s">
        <v>25</v>
      </c>
      <c r="C15" s="50" t="s">
        <v>23</v>
      </c>
      <c r="D15" s="2">
        <v>195709.39</v>
      </c>
      <c r="E15" s="2">
        <v>146740.38</v>
      </c>
      <c r="F15" s="2">
        <v>48969.02</v>
      </c>
      <c r="G15" s="52">
        <f>D15/D24*100</f>
        <v>35.555640135686318</v>
      </c>
      <c r="H15" s="52">
        <f t="shared" ref="H15:I15" si="7">E15/E24*100</f>
        <v>36.212795946112124</v>
      </c>
      <c r="I15" s="52">
        <f t="shared" si="7"/>
        <v>33.721869100749835</v>
      </c>
    </row>
    <row r="16" spans="1:9" ht="14.1" customHeight="1" x14ac:dyDescent="0.25">
      <c r="A16" s="102"/>
      <c r="B16" s="50" t="s">
        <v>26</v>
      </c>
      <c r="C16" s="50" t="s">
        <v>23</v>
      </c>
      <c r="D16" s="2">
        <v>339158.43</v>
      </c>
      <c r="E16" s="2">
        <v>259856.75</v>
      </c>
      <c r="F16" s="2">
        <v>79301.679999999993</v>
      </c>
      <c r="G16" s="52">
        <f t="shared" ref="G16:G17" si="8">D16/D25*100</f>
        <v>36.077299684801908</v>
      </c>
      <c r="H16" s="52">
        <f t="shared" ref="H16:H17" si="9">E16/E25*100</f>
        <v>39.324606196280122</v>
      </c>
      <c r="I16" s="52">
        <f t="shared" ref="I16:I17" si="10">F16/F25*100</f>
        <v>28.394148695037224</v>
      </c>
    </row>
    <row r="17" spans="1:9" ht="14.1" customHeight="1" x14ac:dyDescent="0.25">
      <c r="A17" s="102"/>
      <c r="B17" s="50" t="s">
        <v>27</v>
      </c>
      <c r="C17" s="50" t="s">
        <v>23</v>
      </c>
      <c r="D17" s="2">
        <v>1785632.28</v>
      </c>
      <c r="E17" s="2">
        <v>1442582.24</v>
      </c>
      <c r="F17" s="2">
        <v>343050.04</v>
      </c>
      <c r="G17" s="52">
        <f t="shared" si="8"/>
        <v>36.964359350671153</v>
      </c>
      <c r="H17" s="52">
        <f t="shared" si="9"/>
        <v>38.73613337230266</v>
      </c>
      <c r="I17" s="52">
        <f t="shared" si="10"/>
        <v>31.001462151868665</v>
      </c>
    </row>
    <row r="18" spans="1:9" ht="14.1" customHeight="1" x14ac:dyDescent="0.25">
      <c r="A18" s="102"/>
      <c r="B18" s="50" t="s">
        <v>12</v>
      </c>
      <c r="C18" s="50" t="s">
        <v>23</v>
      </c>
      <c r="D18" s="2">
        <v>2110176.46</v>
      </c>
      <c r="E18" s="2">
        <v>1739121.34</v>
      </c>
      <c r="F18" s="2">
        <v>371055.12</v>
      </c>
    </row>
    <row r="19" spans="1:9" ht="14.1" customHeight="1" x14ac:dyDescent="0.25">
      <c r="A19" s="109" t="s">
        <v>28</v>
      </c>
      <c r="B19" s="50" t="s">
        <v>25</v>
      </c>
      <c r="C19" s="50" t="s">
        <v>23</v>
      </c>
      <c r="D19" s="2">
        <v>257847.33</v>
      </c>
      <c r="E19" s="2">
        <v>201654.13</v>
      </c>
      <c r="F19" s="2">
        <v>56193.21</v>
      </c>
      <c r="G19" s="52">
        <f>D19/D24*100</f>
        <v>46.844593789943104</v>
      </c>
      <c r="H19" s="52">
        <f t="shared" ref="H19:I19" si="11">E19/E24*100</f>
        <v>49.764487875666994</v>
      </c>
      <c r="I19" s="52">
        <f t="shared" si="11"/>
        <v>38.696712165588501</v>
      </c>
    </row>
    <row r="20" spans="1:9" ht="14.1" customHeight="1" x14ac:dyDescent="0.25">
      <c r="A20" s="102"/>
      <c r="B20" s="50" t="s">
        <v>26</v>
      </c>
      <c r="C20" s="50" t="s">
        <v>23</v>
      </c>
      <c r="D20" s="2">
        <v>418057.36</v>
      </c>
      <c r="E20" s="2">
        <v>300675.49</v>
      </c>
      <c r="F20" s="2">
        <v>117381.86</v>
      </c>
      <c r="G20" s="52">
        <f t="shared" ref="G20:G21" si="12">D20/D25*100</f>
        <v>44.470015568114043</v>
      </c>
      <c r="H20" s="52">
        <f t="shared" ref="H20:H21" si="13">E20/E25*100</f>
        <v>45.501782182389192</v>
      </c>
      <c r="I20" s="52">
        <f t="shared" ref="I20:I21" si="14">F20/F25*100</f>
        <v>42.028844621451178</v>
      </c>
    </row>
    <row r="21" spans="1:9" ht="14.1" customHeight="1" x14ac:dyDescent="0.25">
      <c r="A21" s="102"/>
      <c r="B21" s="50" t="s">
        <v>27</v>
      </c>
      <c r="C21" s="50" t="s">
        <v>23</v>
      </c>
      <c r="D21" s="2">
        <v>1702725.42</v>
      </c>
      <c r="E21" s="2">
        <v>1340038.44</v>
      </c>
      <c r="F21" s="2">
        <v>362686.98</v>
      </c>
      <c r="G21" s="52">
        <f t="shared" si="12"/>
        <v>35.248105114006158</v>
      </c>
      <c r="H21" s="52">
        <f t="shared" si="13"/>
        <v>35.982633292263735</v>
      </c>
      <c r="I21" s="52">
        <f t="shared" si="14"/>
        <v>32.77605413905664</v>
      </c>
    </row>
    <row r="22" spans="1:9" ht="14.1" customHeight="1" x14ac:dyDescent="0.25">
      <c r="A22" s="102"/>
      <c r="B22" s="50" t="s">
        <v>12</v>
      </c>
      <c r="C22" s="50" t="s">
        <v>23</v>
      </c>
      <c r="D22" s="2">
        <v>1971657.53</v>
      </c>
      <c r="E22" s="2">
        <v>1571825.12</v>
      </c>
      <c r="F22" s="2">
        <v>399832.42</v>
      </c>
    </row>
    <row r="23" spans="1:9" ht="14.1" customHeight="1" x14ac:dyDescent="0.25">
      <c r="A23" s="102" t="s">
        <v>71</v>
      </c>
      <c r="B23" s="102"/>
      <c r="C23" s="50" t="s">
        <v>15</v>
      </c>
      <c r="D23" s="1" t="s">
        <v>17</v>
      </c>
      <c r="E23" s="1" t="s">
        <v>17</v>
      </c>
      <c r="F23" s="1" t="s">
        <v>17</v>
      </c>
    </row>
    <row r="24" spans="1:9" ht="14.1" customHeight="1" x14ac:dyDescent="0.25">
      <c r="A24" s="102" t="s">
        <v>25</v>
      </c>
      <c r="B24" s="102"/>
      <c r="C24" s="50" t="s">
        <v>23</v>
      </c>
      <c r="D24" s="2">
        <v>550431.35</v>
      </c>
      <c r="E24" s="2">
        <v>405216.93</v>
      </c>
      <c r="F24" s="2">
        <v>145214.43</v>
      </c>
    </row>
    <row r="25" spans="1:9" ht="14.1" customHeight="1" x14ac:dyDescent="0.25">
      <c r="A25" s="102" t="s">
        <v>26</v>
      </c>
      <c r="B25" s="102"/>
      <c r="C25" s="50" t="s">
        <v>23</v>
      </c>
      <c r="D25" s="2">
        <v>940088.18</v>
      </c>
      <c r="E25" s="2">
        <v>660799.37</v>
      </c>
      <c r="F25" s="2">
        <v>279288.81</v>
      </c>
    </row>
    <row r="26" spans="1:9" ht="14.1" customHeight="1" x14ac:dyDescent="0.25">
      <c r="A26" s="102" t="s">
        <v>27</v>
      </c>
      <c r="B26" s="102"/>
      <c r="C26" s="50" t="s">
        <v>23</v>
      </c>
      <c r="D26" s="2">
        <v>4830686.4000000004</v>
      </c>
      <c r="E26" s="2">
        <v>3724125.55</v>
      </c>
      <c r="F26" s="2">
        <v>1106560.8400000001</v>
      </c>
    </row>
    <row r="27" spans="1:9" ht="14.1" customHeight="1" x14ac:dyDescent="0.25">
      <c r="A27" s="102" t="s">
        <v>12</v>
      </c>
      <c r="B27" s="102"/>
      <c r="C27" s="50" t="s">
        <v>23</v>
      </c>
      <c r="D27" s="2">
        <v>6498508.2300000004</v>
      </c>
      <c r="E27" s="2">
        <v>5230918.63</v>
      </c>
      <c r="F27" s="2">
        <v>1267589.6000000001</v>
      </c>
    </row>
    <row r="28" spans="1:9" ht="12" customHeight="1" x14ac:dyDescent="0.25"/>
    <row r="29" spans="1:9" ht="14.1" customHeight="1" x14ac:dyDescent="0.25">
      <c r="A29" s="103" t="s">
        <v>70</v>
      </c>
      <c r="B29" s="104"/>
      <c r="C29" s="104"/>
      <c r="D29" s="104"/>
      <c r="E29" s="104"/>
      <c r="F29" s="104"/>
    </row>
    <row r="30" spans="1:9" ht="12" customHeight="1" x14ac:dyDescent="0.25"/>
    <row r="31" spans="1:9" ht="12" customHeight="1" x14ac:dyDescent="0.25"/>
    <row r="32" spans="1:9"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sheetData>
  <mergeCells count="13">
    <mergeCell ref="A25:B25"/>
    <mergeCell ref="A26:B26"/>
    <mergeCell ref="A27:B27"/>
    <mergeCell ref="A29:F29"/>
    <mergeCell ref="A1:F1"/>
    <mergeCell ref="A3:C5"/>
    <mergeCell ref="D3:F3"/>
    <mergeCell ref="A7:A10"/>
    <mergeCell ref="A11:A14"/>
    <mergeCell ref="A15:A18"/>
    <mergeCell ref="A19:A22"/>
    <mergeCell ref="A23:B23"/>
    <mergeCell ref="A24:B24"/>
  </mergeCells>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9A9D1-17E4-4A65-8BF8-2311FCB7F5EC}">
  <sheetPr codeName="Tabelle13"/>
  <dimension ref="A1:I29"/>
  <sheetViews>
    <sheetView workbookViewId="0">
      <selection sqref="A1:F1"/>
    </sheetView>
  </sheetViews>
  <sheetFormatPr baseColWidth="10" defaultRowHeight="15" x14ac:dyDescent="0.25"/>
  <sheetData>
    <row r="1" spans="1:9" x14ac:dyDescent="0.25">
      <c r="A1" s="111" t="s">
        <v>73</v>
      </c>
      <c r="B1" s="112"/>
      <c r="C1" s="112"/>
      <c r="D1" s="112"/>
      <c r="E1" s="112"/>
      <c r="F1" s="112"/>
    </row>
    <row r="3" spans="1:9" x14ac:dyDescent="0.25">
      <c r="A3" s="115" t="s">
        <v>17</v>
      </c>
      <c r="B3" s="115"/>
      <c r="C3" s="115"/>
      <c r="D3" s="116" t="s">
        <v>18</v>
      </c>
      <c r="E3" s="116"/>
      <c r="F3" s="116"/>
    </row>
    <row r="4" spans="1:9" ht="77.25" x14ac:dyDescent="0.25">
      <c r="A4" s="115"/>
      <c r="B4" s="115"/>
      <c r="C4" s="115"/>
      <c r="D4" s="60" t="s">
        <v>12</v>
      </c>
      <c r="E4" s="61" t="s">
        <v>19</v>
      </c>
      <c r="F4" s="61" t="s">
        <v>20</v>
      </c>
      <c r="G4" s="59" t="str">
        <f>D4</f>
        <v>Insgesamt</v>
      </c>
      <c r="H4" s="49" t="str">
        <f>E4</f>
        <v>Bevölkerung ohne
Migrationshintergrund</v>
      </c>
      <c r="I4" s="49" t="str">
        <f>F4</f>
        <v>Bevölkerung mit
Migrationshintergrund
(i.w.S.)</v>
      </c>
    </row>
    <row r="5" spans="1:9" ht="64.5" x14ac:dyDescent="0.25">
      <c r="A5" s="115"/>
      <c r="B5" s="115"/>
      <c r="C5" s="115"/>
      <c r="D5" s="61" t="s">
        <v>21</v>
      </c>
      <c r="E5" s="61" t="s">
        <v>22</v>
      </c>
      <c r="F5" s="61" t="s">
        <v>22</v>
      </c>
      <c r="G5" s="58" t="s">
        <v>16</v>
      </c>
      <c r="H5" s="58" t="s">
        <v>16</v>
      </c>
      <c r="I5" s="58" t="s">
        <v>16</v>
      </c>
    </row>
    <row r="6" spans="1:9" x14ac:dyDescent="0.25">
      <c r="A6" s="62" t="s">
        <v>24</v>
      </c>
      <c r="B6" s="62" t="s">
        <v>71</v>
      </c>
      <c r="C6" s="62" t="s">
        <v>15</v>
      </c>
      <c r="D6" s="63" t="s">
        <v>17</v>
      </c>
      <c r="E6" s="63" t="s">
        <v>17</v>
      </c>
      <c r="F6" s="63" t="s">
        <v>17</v>
      </c>
      <c r="G6" s="58"/>
      <c r="H6" s="58"/>
      <c r="I6" s="58"/>
    </row>
    <row r="7" spans="1:9" x14ac:dyDescent="0.25">
      <c r="A7" s="117" t="s">
        <v>56</v>
      </c>
      <c r="B7" s="62" t="s">
        <v>25</v>
      </c>
      <c r="C7" s="62" t="s">
        <v>23</v>
      </c>
      <c r="D7" s="64">
        <v>25848</v>
      </c>
      <c r="E7" s="64">
        <v>9585.17</v>
      </c>
      <c r="F7" s="64">
        <v>16262.82</v>
      </c>
      <c r="G7" s="52">
        <f>D7/D24*100</f>
        <v>4.6753504681455125</v>
      </c>
      <c r="H7" s="52">
        <f>E7/E24*100</f>
        <v>2.3615485127004585</v>
      </c>
      <c r="I7" s="52">
        <f>F7/F24*100</f>
        <v>11.065251276790905</v>
      </c>
    </row>
    <row r="8" spans="1:9" x14ac:dyDescent="0.25">
      <c r="A8" s="110"/>
      <c r="B8" s="62" t="s">
        <v>26</v>
      </c>
      <c r="C8" s="62" t="s">
        <v>23</v>
      </c>
      <c r="D8" s="64">
        <v>44477.63</v>
      </c>
      <c r="E8" s="64">
        <v>12153.3</v>
      </c>
      <c r="F8" s="64">
        <v>32324.33</v>
      </c>
      <c r="G8" s="52">
        <f t="shared" ref="G8:G9" si="0">D8/D25*100</f>
        <v>4.7491300663414506</v>
      </c>
      <c r="H8" s="52">
        <f>E8/E25*100</f>
        <v>1.8385398544695397</v>
      </c>
      <c r="I8" s="52">
        <f>F8/F25*100</f>
        <v>11.732429157162567</v>
      </c>
    </row>
    <row r="9" spans="1:9" x14ac:dyDescent="0.25">
      <c r="A9" s="110"/>
      <c r="B9" s="62" t="s">
        <v>27</v>
      </c>
      <c r="C9" s="62" t="s">
        <v>23</v>
      </c>
      <c r="D9" s="64">
        <v>201114.03</v>
      </c>
      <c r="E9" s="64">
        <v>72312.09</v>
      </c>
      <c r="F9" s="64">
        <v>128801.94</v>
      </c>
      <c r="G9" s="52">
        <f t="shared" si="0"/>
        <v>4.1453676331601041</v>
      </c>
      <c r="H9" s="52">
        <f>E9/E26*100</f>
        <v>1.9346383338033166</v>
      </c>
      <c r="I9" s="52">
        <f>F9/F26*100</f>
        <v>11.564406055663891</v>
      </c>
    </row>
    <row r="10" spans="1:9" x14ac:dyDescent="0.25">
      <c r="A10" s="110"/>
      <c r="B10" s="62" t="s">
        <v>12</v>
      </c>
      <c r="C10" s="62" t="s">
        <v>23</v>
      </c>
      <c r="D10" s="64">
        <v>263321.48</v>
      </c>
      <c r="E10" s="64">
        <v>95693.73</v>
      </c>
      <c r="F10" s="64">
        <v>167627.75</v>
      </c>
      <c r="G10" s="58"/>
      <c r="H10" s="58"/>
      <c r="I10" s="58"/>
    </row>
    <row r="11" spans="1:9" x14ac:dyDescent="0.25">
      <c r="A11" s="114" t="s">
        <v>8</v>
      </c>
      <c r="B11" s="62" t="s">
        <v>25</v>
      </c>
      <c r="C11" s="62" t="s">
        <v>23</v>
      </c>
      <c r="D11" s="64">
        <v>67668.83</v>
      </c>
      <c r="E11" s="64">
        <v>41742.31</v>
      </c>
      <c r="F11" s="64">
        <v>25926.52</v>
      </c>
      <c r="G11" s="52">
        <f>D11/D24*100</f>
        <v>12.239844321392724</v>
      </c>
      <c r="H11" s="52">
        <f>E11/E24*100</f>
        <v>10.284271441944323</v>
      </c>
      <c r="I11" s="52">
        <f>F11/F24*100</f>
        <v>17.640449721065899</v>
      </c>
    </row>
    <row r="12" spans="1:9" x14ac:dyDescent="0.25">
      <c r="A12" s="110"/>
      <c r="B12" s="62" t="s">
        <v>26</v>
      </c>
      <c r="C12" s="62" t="s">
        <v>23</v>
      </c>
      <c r="D12" s="64">
        <v>129025.36</v>
      </c>
      <c r="E12" s="64">
        <v>79625.66</v>
      </c>
      <c r="F12" s="64">
        <v>49399.7</v>
      </c>
      <c r="G12" s="52">
        <f t="shared" ref="G12:G13" si="1">D12/D25*100</f>
        <v>13.776773099118131</v>
      </c>
      <c r="H12" s="52">
        <f>E12/E25*100</f>
        <v>12.04569535421993</v>
      </c>
      <c r="I12" s="52">
        <f>F12/F25*100</f>
        <v>17.930100349646338</v>
      </c>
    </row>
    <row r="13" spans="1:9" x14ac:dyDescent="0.25">
      <c r="A13" s="110"/>
      <c r="B13" s="62" t="s">
        <v>27</v>
      </c>
      <c r="C13" s="62" t="s">
        <v>23</v>
      </c>
      <c r="D13" s="64">
        <v>1088731.1499999999</v>
      </c>
      <c r="E13" s="64">
        <v>818333.43</v>
      </c>
      <c r="F13" s="64">
        <v>270397.71999999997</v>
      </c>
      <c r="G13" s="52">
        <f t="shared" si="1"/>
        <v>22.440954867361455</v>
      </c>
      <c r="H13" s="52">
        <f>E13/E26*100</f>
        <v>21.893700258293645</v>
      </c>
      <c r="I13" s="52">
        <f>F13/F26*100</f>
        <v>24.277499474042926</v>
      </c>
    </row>
    <row r="14" spans="1:9" x14ac:dyDescent="0.25">
      <c r="A14" s="110"/>
      <c r="B14" s="62" t="s">
        <v>12</v>
      </c>
      <c r="C14" s="62" t="s">
        <v>23</v>
      </c>
      <c r="D14" s="64">
        <v>2062387.72</v>
      </c>
      <c r="E14" s="64">
        <v>1735559.75</v>
      </c>
      <c r="F14" s="64">
        <v>326827.96000000002</v>
      </c>
      <c r="G14" s="58"/>
      <c r="H14" s="58"/>
      <c r="I14" s="58"/>
    </row>
    <row r="15" spans="1:9" x14ac:dyDescent="0.25">
      <c r="A15" s="114" t="s">
        <v>9</v>
      </c>
      <c r="B15" s="62" t="s">
        <v>25</v>
      </c>
      <c r="C15" s="62" t="s">
        <v>23</v>
      </c>
      <c r="D15" s="64">
        <v>195083.99</v>
      </c>
      <c r="E15" s="64">
        <v>145623.23000000001</v>
      </c>
      <c r="F15" s="64">
        <v>49460.76</v>
      </c>
      <c r="G15" s="52">
        <f>D15/D24*100</f>
        <v>35.286522128373356</v>
      </c>
      <c r="H15" s="52">
        <f>E15/E24*100</f>
        <v>35.877957534518096</v>
      </c>
      <c r="I15" s="52">
        <f>F15/F24*100</f>
        <v>33.653187930570994</v>
      </c>
    </row>
    <row r="16" spans="1:9" x14ac:dyDescent="0.25">
      <c r="A16" s="110"/>
      <c r="B16" s="62" t="s">
        <v>26</v>
      </c>
      <c r="C16" s="62" t="s">
        <v>23</v>
      </c>
      <c r="D16" s="64">
        <v>332203.92</v>
      </c>
      <c r="E16" s="64">
        <v>255435.17</v>
      </c>
      <c r="F16" s="64">
        <v>76768.759999999995</v>
      </c>
      <c r="G16" s="52">
        <f t="shared" ref="G16:G17" si="2">D16/D25*100</f>
        <v>35.471306016720987</v>
      </c>
      <c r="H16" s="52">
        <f>E16/E25*100</f>
        <v>38.641993555511853</v>
      </c>
      <c r="I16" s="52">
        <f>F16/F25*100</f>
        <v>27.863966188416445</v>
      </c>
    </row>
    <row r="17" spans="1:9" x14ac:dyDescent="0.25">
      <c r="A17" s="110"/>
      <c r="B17" s="62" t="s">
        <v>27</v>
      </c>
      <c r="C17" s="62" t="s">
        <v>23</v>
      </c>
      <c r="D17" s="64">
        <v>1788120.61</v>
      </c>
      <c r="E17" s="64">
        <v>1449240.09</v>
      </c>
      <c r="F17" s="64">
        <v>338880.52</v>
      </c>
      <c r="G17" s="52">
        <f t="shared" si="2"/>
        <v>36.856788663031125</v>
      </c>
      <c r="H17" s="52">
        <f>E17/E26*100</f>
        <v>38.772982954836024</v>
      </c>
      <c r="I17" s="52">
        <f>F17/F26*100</f>
        <v>30.426187195895714</v>
      </c>
    </row>
    <row r="18" spans="1:9" x14ac:dyDescent="0.25">
      <c r="A18" s="110"/>
      <c r="B18" s="62" t="s">
        <v>12</v>
      </c>
      <c r="C18" s="62" t="s">
        <v>23</v>
      </c>
      <c r="D18" s="64">
        <v>2115299.7599999998</v>
      </c>
      <c r="E18" s="64">
        <v>1746670.79</v>
      </c>
      <c r="F18" s="64">
        <v>368628.97</v>
      </c>
      <c r="G18" s="58"/>
      <c r="H18" s="58"/>
      <c r="I18" s="58"/>
    </row>
    <row r="19" spans="1:9" x14ac:dyDescent="0.25">
      <c r="A19" s="114" t="s">
        <v>28</v>
      </c>
      <c r="B19" s="62" t="s">
        <v>25</v>
      </c>
      <c r="C19" s="62" t="s">
        <v>23</v>
      </c>
      <c r="D19" s="64">
        <v>264256.13</v>
      </c>
      <c r="E19" s="64">
        <v>208934.24</v>
      </c>
      <c r="F19" s="64">
        <v>55321.89</v>
      </c>
      <c r="G19" s="52">
        <f>D19/D24*100</f>
        <v>47.798283082088417</v>
      </c>
      <c r="H19" s="52">
        <f>E19/E24*100</f>
        <v>51.476222510837118</v>
      </c>
      <c r="I19" s="52">
        <f>F19/F24*100</f>
        <v>37.641111071572212</v>
      </c>
    </row>
    <row r="20" spans="1:9" x14ac:dyDescent="0.25">
      <c r="A20" s="110"/>
      <c r="B20" s="62" t="s">
        <v>26</v>
      </c>
      <c r="C20" s="62" t="s">
        <v>23</v>
      </c>
      <c r="D20" s="64">
        <v>430835.77</v>
      </c>
      <c r="E20" s="64">
        <v>313815.87</v>
      </c>
      <c r="F20" s="64">
        <v>117019.89</v>
      </c>
      <c r="G20" s="52">
        <f t="shared" ref="G20:G21" si="3">D20/D25*100</f>
        <v>46.002790817819431</v>
      </c>
      <c r="H20" s="52">
        <f>E20/E25*100</f>
        <v>47.473771235798679</v>
      </c>
      <c r="I20" s="52">
        <f>F20/F25*100</f>
        <v>42.47350430477465</v>
      </c>
    </row>
    <row r="21" spans="1:9" x14ac:dyDescent="0.25">
      <c r="A21" s="110"/>
      <c r="B21" s="62" t="s">
        <v>27</v>
      </c>
      <c r="C21" s="62" t="s">
        <v>23</v>
      </c>
      <c r="D21" s="64">
        <v>1773570.87</v>
      </c>
      <c r="E21" s="64">
        <v>1397871.92</v>
      </c>
      <c r="F21" s="64">
        <v>375698.94</v>
      </c>
      <c r="G21" s="52">
        <f t="shared" si="3"/>
        <v>36.556889042567576</v>
      </c>
      <c r="H21" s="52">
        <f>E21/E26*100</f>
        <v>37.398678453067021</v>
      </c>
      <c r="I21" s="52">
        <f>F21/F26*100</f>
        <v>33.731907274397457</v>
      </c>
    </row>
    <row r="22" spans="1:9" x14ac:dyDescent="0.25">
      <c r="A22" s="110"/>
      <c r="B22" s="62" t="s">
        <v>12</v>
      </c>
      <c r="C22" s="62" t="s">
        <v>23</v>
      </c>
      <c r="D22" s="64">
        <v>2058607.94</v>
      </c>
      <c r="E22" s="64">
        <v>1644210.04</v>
      </c>
      <c r="F22" s="64">
        <v>414397.9</v>
      </c>
    </row>
    <row r="23" spans="1:9" x14ac:dyDescent="0.25">
      <c r="A23" s="110" t="s">
        <v>71</v>
      </c>
      <c r="B23" s="110"/>
      <c r="C23" s="62" t="s">
        <v>15</v>
      </c>
      <c r="D23" s="63" t="s">
        <v>17</v>
      </c>
      <c r="E23" s="63" t="s">
        <v>17</v>
      </c>
      <c r="F23" s="63" t="s">
        <v>17</v>
      </c>
    </row>
    <row r="24" spans="1:9" x14ac:dyDescent="0.25">
      <c r="A24" s="110" t="s">
        <v>25</v>
      </c>
      <c r="B24" s="110"/>
      <c r="C24" s="62" t="s">
        <v>23</v>
      </c>
      <c r="D24" s="64">
        <v>552856.94999999995</v>
      </c>
      <c r="E24" s="64">
        <v>405884.95</v>
      </c>
      <c r="F24" s="64">
        <v>146971.99</v>
      </c>
    </row>
    <row r="25" spans="1:9" x14ac:dyDescent="0.25">
      <c r="A25" s="110" t="s">
        <v>26</v>
      </c>
      <c r="B25" s="110"/>
      <c r="C25" s="62" t="s">
        <v>23</v>
      </c>
      <c r="D25" s="64">
        <v>936542.68</v>
      </c>
      <c r="E25" s="64">
        <v>661030</v>
      </c>
      <c r="F25" s="64">
        <v>275512.68</v>
      </c>
    </row>
    <row r="26" spans="1:9" x14ac:dyDescent="0.25">
      <c r="A26" s="110" t="s">
        <v>27</v>
      </c>
      <c r="B26" s="110"/>
      <c r="C26" s="62" t="s">
        <v>23</v>
      </c>
      <c r="D26" s="64">
        <v>4851536.6500000004</v>
      </c>
      <c r="E26" s="64">
        <v>3737757.53</v>
      </c>
      <c r="F26" s="64">
        <v>1113779.1200000001</v>
      </c>
    </row>
    <row r="27" spans="1:9" x14ac:dyDescent="0.25">
      <c r="A27" s="110" t="s">
        <v>12</v>
      </c>
      <c r="B27" s="110"/>
      <c r="C27" s="62" t="s">
        <v>23</v>
      </c>
      <c r="D27" s="64">
        <v>6499616.8899999997</v>
      </c>
      <c r="E27" s="64">
        <v>5222134.3</v>
      </c>
      <c r="F27" s="64">
        <v>1277482.58</v>
      </c>
    </row>
    <row r="29" spans="1:9" x14ac:dyDescent="0.25">
      <c r="A29" s="113" t="s">
        <v>74</v>
      </c>
      <c r="B29" s="112"/>
      <c r="C29" s="112"/>
      <c r="D29" s="112"/>
      <c r="E29" s="112"/>
      <c r="F29" s="112"/>
    </row>
  </sheetData>
  <mergeCells count="13">
    <mergeCell ref="A27:B27"/>
    <mergeCell ref="A1:F1"/>
    <mergeCell ref="A29:F29"/>
    <mergeCell ref="A19:A22"/>
    <mergeCell ref="A23:B23"/>
    <mergeCell ref="A24:B24"/>
    <mergeCell ref="A25:B25"/>
    <mergeCell ref="A26:B26"/>
    <mergeCell ref="A3:C5"/>
    <mergeCell ref="D3:F3"/>
    <mergeCell ref="A7:A10"/>
    <mergeCell ref="A11:A14"/>
    <mergeCell ref="A15:A18"/>
  </mergeCell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15</vt:i4>
      </vt:variant>
    </vt:vector>
  </HeadingPairs>
  <TitlesOfParts>
    <vt:vector size="15" baseType="lpstr">
      <vt:lpstr>2018_B7_Zeitreihe</vt:lpstr>
      <vt:lpstr>2019_4-1-5_Download</vt:lpstr>
      <vt:lpstr>2019_4-1-5_CSV_Vorbereitung</vt:lpstr>
      <vt:lpstr>2019_4-1-5_CSV_Export</vt:lpstr>
      <vt:lpstr>2018_B7_Rand</vt:lpstr>
      <vt:lpstr>2019-B7_Berechnung</vt:lpstr>
      <vt:lpstr>2011</vt:lpstr>
      <vt:lpstr>2012</vt:lpstr>
      <vt:lpstr>2013</vt:lpstr>
      <vt:lpstr>2014</vt:lpstr>
      <vt:lpstr>2015</vt:lpstr>
      <vt:lpstr>2016</vt:lpstr>
      <vt:lpstr>2017</vt:lpstr>
      <vt:lpstr>2018</vt:lpstr>
      <vt:lpstr>2019</vt:lpstr>
    </vt:vector>
  </TitlesOfParts>
  <Company>IT.Niedersachsen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Daus, Juliane (LSN)</dc:creator>
  <cp:lastModifiedBy>Biester, Christoph (LSN)</cp:lastModifiedBy>
  <cp:lastPrinted>2019-09-02T08:44:14Z</cp:lastPrinted>
  <dcterms:created xsi:type="dcterms:W3CDTF">2019-08-19T07:29:57Z</dcterms:created>
  <dcterms:modified xsi:type="dcterms:W3CDTF">2021-10-04T13:26:25Z</dcterms:modified>
</cp:coreProperties>
</file>