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3" codeName="{3D1A710C-6663-3D7B-7F91-EC182F24A4BC}"/>
  <workbookPr showInkAnnotation="0" codeName="DieseArbeitsmappe" autoCompressPictures="0"/>
  <mc:AlternateContent xmlns:mc="http://schemas.openxmlformats.org/markup-compatibility/2006">
    <mc:Choice Requires="x15">
      <x15ac:absPath xmlns:x15ac="http://schemas.microsoft.com/office/spreadsheetml/2010/11/ac" url="S:\Hannover\Dez15-Uebergreifende-Analysen\Projekte\Integrationsmonitoring_2021\Daten_2021\"/>
    </mc:Choice>
  </mc:AlternateContent>
  <xr:revisionPtr revIDLastSave="0" documentId="13_ncr:1_{AA49A621-7A1E-47EB-A221-5E49B3027CE8}" xr6:coauthVersionLast="36" xr6:coauthVersionMax="36" xr10:uidLastSave="{00000000-0000-0000-0000-000000000000}"/>
  <bookViews>
    <workbookView xWindow="0" yWindow="0" windowWidth="25200" windowHeight="10860" activeTab="1" xr2:uid="{13B6A011-EE36-4DFF-8E49-A034C156E227}"/>
  </bookViews>
  <sheets>
    <sheet name="2019_Zeitreihe_C1" sheetId="10" r:id="rId1"/>
    <sheet name="2019_Download_5-1-1" sheetId="12" r:id="rId2"/>
    <sheet name="2019_5-1-1_CSV_Vorbereitung_tes" sheetId="13" r:id="rId3"/>
    <sheet name="2019_5-1-1_CSV_Vorbereitung" sheetId="15" r:id="rId4"/>
    <sheet name="2019_5-1-1_CSV_Export" sheetId="14" r:id="rId5"/>
    <sheet name=" 2011" sheetId="1" r:id="rId6"/>
    <sheet name=" 2012" sheetId="2" r:id="rId7"/>
    <sheet name=" 2013" sheetId="3" r:id="rId8"/>
    <sheet name=" 2014" sheetId="4" r:id="rId9"/>
    <sheet name=" 2015" sheetId="5" r:id="rId10"/>
    <sheet name=" 2016" sheetId="6" r:id="rId11"/>
    <sheet name=" 2017" sheetId="7" r:id="rId12"/>
    <sheet name=" 2018" sheetId="8" r:id="rId13"/>
    <sheet name=" 2019" sheetId="11" r:id="rId14"/>
  </sheets>
  <definedNames>
    <definedName name="_xlnm._FilterDatabase" localSheetId="2" hidden="1">'2019_5-1-1_CSV_Vorbereitung_tes'!$A$1:$F$1</definedName>
    <definedName name="_xlnm._FilterDatabase" localSheetId="0" hidden="1">'2019_Zeitreihe_C1'!$A$8:$E$8</definedName>
  </definedNames>
  <calcPr calcId="191029"/>
</workbook>
</file>

<file path=xl/calcChain.xml><?xml version="1.0" encoding="utf-8"?>
<calcChain xmlns="http://schemas.openxmlformats.org/spreadsheetml/2006/main">
  <c r="C364" i="14" l="1"/>
  <c r="A364" i="14"/>
  <c r="C363" i="14"/>
  <c r="A363" i="14"/>
  <c r="C362" i="14"/>
  <c r="A362" i="14"/>
  <c r="C361" i="14"/>
  <c r="A361" i="14"/>
  <c r="C360" i="14"/>
  <c r="A360" i="14"/>
  <c r="C359" i="14"/>
  <c r="A359" i="14"/>
  <c r="C358" i="14"/>
  <c r="A358" i="14"/>
  <c r="C357" i="14"/>
  <c r="A357" i="14"/>
  <c r="C356" i="14"/>
  <c r="A356" i="14"/>
  <c r="C355" i="14"/>
  <c r="A355" i="14"/>
  <c r="C354" i="14"/>
  <c r="A354" i="14"/>
  <c r="C353" i="14"/>
  <c r="A353" i="14"/>
  <c r="C352" i="14"/>
  <c r="A352" i="14"/>
  <c r="C351" i="14"/>
  <c r="A351" i="14"/>
  <c r="C350" i="14"/>
  <c r="A350" i="14"/>
  <c r="C349" i="14"/>
  <c r="A349" i="14"/>
  <c r="C348" i="14"/>
  <c r="A348" i="14"/>
  <c r="C347" i="14"/>
  <c r="A347" i="14"/>
  <c r="C346" i="14"/>
  <c r="A346" i="14"/>
  <c r="C345" i="14"/>
  <c r="A345" i="14"/>
  <c r="C344" i="14"/>
  <c r="A344" i="14"/>
  <c r="C343" i="14"/>
  <c r="A343" i="14"/>
  <c r="C342" i="14"/>
  <c r="A342" i="14"/>
  <c r="C341" i="14"/>
  <c r="A341" i="14"/>
  <c r="C340" i="14"/>
  <c r="A340" i="14"/>
  <c r="C339" i="14"/>
  <c r="A339" i="14"/>
  <c r="C338" i="14"/>
  <c r="A338" i="14"/>
  <c r="C337" i="14"/>
  <c r="A337" i="14"/>
  <c r="C336" i="14"/>
  <c r="A336" i="14"/>
  <c r="C335" i="14"/>
  <c r="A335" i="14"/>
  <c r="C334" i="14"/>
  <c r="A334" i="14"/>
  <c r="C333" i="14"/>
  <c r="A333" i="14"/>
  <c r="C332" i="14"/>
  <c r="A332" i="14"/>
  <c r="C331" i="14"/>
  <c r="A331" i="14"/>
  <c r="C330" i="14"/>
  <c r="A330" i="14"/>
  <c r="C329" i="14"/>
  <c r="A329" i="14"/>
  <c r="C328" i="14"/>
  <c r="A328" i="14"/>
  <c r="C327" i="14"/>
  <c r="A327" i="14"/>
  <c r="C326" i="14"/>
  <c r="A326" i="14"/>
  <c r="C325" i="14"/>
  <c r="A325" i="14"/>
  <c r="C324" i="14"/>
  <c r="A324" i="14"/>
  <c r="C323" i="14"/>
  <c r="A323" i="14"/>
  <c r="C322" i="14"/>
  <c r="A322" i="14"/>
  <c r="C321" i="14"/>
  <c r="A321" i="14"/>
  <c r="C320" i="14"/>
  <c r="A320" i="14"/>
  <c r="C319" i="14"/>
  <c r="A319" i="14"/>
  <c r="C318" i="14"/>
  <c r="A318" i="14"/>
  <c r="C317" i="14"/>
  <c r="A317" i="14"/>
  <c r="C316" i="14"/>
  <c r="A316" i="14"/>
  <c r="C315" i="14"/>
  <c r="A315" i="14"/>
  <c r="C314" i="14"/>
  <c r="A314" i="14"/>
  <c r="C313" i="14"/>
  <c r="A313" i="14"/>
  <c r="C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A256" i="14"/>
  <c r="C255" i="14"/>
  <c r="A255" i="14"/>
  <c r="C254" i="14"/>
  <c r="A254" i="14"/>
  <c r="C253" i="14"/>
  <c r="A253" i="14"/>
  <c r="C252" i="14"/>
  <c r="A252" i="14"/>
  <c r="C251" i="14"/>
  <c r="A251" i="14"/>
  <c r="C250" i="14"/>
  <c r="A250" i="14"/>
  <c r="C249" i="14"/>
  <c r="A249" i="14"/>
  <c r="C248" i="14"/>
  <c r="A248" i="14"/>
  <c r="C247" i="14"/>
  <c r="A247" i="14"/>
  <c r="C246" i="14"/>
  <c r="A246" i="14"/>
  <c r="C245" i="14"/>
  <c r="A245" i="14"/>
  <c r="C244" i="14"/>
  <c r="A244" i="14"/>
  <c r="C243" i="14"/>
  <c r="A243" i="14"/>
  <c r="C242" i="14"/>
  <c r="A242" i="14"/>
  <c r="C241" i="14"/>
  <c r="A241" i="14"/>
  <c r="C240" i="14"/>
  <c r="A240" i="14"/>
  <c r="C239" i="14"/>
  <c r="A239" i="14"/>
  <c r="C238" i="14"/>
  <c r="A238" i="14"/>
  <c r="C237" i="14"/>
  <c r="A237" i="14"/>
  <c r="C236" i="14"/>
  <c r="A236" i="14"/>
  <c r="C235" i="14"/>
  <c r="A235" i="14"/>
  <c r="C234" i="14"/>
  <c r="A234" i="14"/>
  <c r="C233" i="14"/>
  <c r="A233" i="14"/>
  <c r="C232" i="14"/>
  <c r="A232" i="14"/>
  <c r="C231" i="14"/>
  <c r="A231" i="14"/>
  <c r="C230" i="14"/>
  <c r="A230" i="14"/>
  <c r="C229" i="14"/>
  <c r="A229" i="14"/>
  <c r="C228" i="14"/>
  <c r="A228" i="14"/>
  <c r="C227" i="14"/>
  <c r="A227" i="14"/>
  <c r="C226" i="14"/>
  <c r="A226" i="14"/>
  <c r="C225" i="14"/>
  <c r="A225" i="14"/>
  <c r="C224" i="14"/>
  <c r="A224" i="14"/>
  <c r="C223" i="14"/>
  <c r="A223" i="14"/>
  <c r="C222" i="14"/>
  <c r="A222" i="14"/>
  <c r="C221" i="14"/>
  <c r="A221" i="14"/>
  <c r="C220" i="14"/>
  <c r="A220" i="14"/>
  <c r="C219" i="14"/>
  <c r="A219" i="14"/>
  <c r="C218" i="14"/>
  <c r="A218" i="14"/>
  <c r="C217" i="14"/>
  <c r="A217" i="14"/>
  <c r="C216" i="14"/>
  <c r="A216" i="14"/>
  <c r="C215" i="14"/>
  <c r="A215" i="14"/>
  <c r="C214" i="14"/>
  <c r="A214" i="14"/>
  <c r="C213" i="14"/>
  <c r="A213" i="14"/>
  <c r="C212" i="14"/>
  <c r="A212" i="14"/>
  <c r="C211" i="14"/>
  <c r="A211" i="14"/>
  <c r="C210" i="14"/>
  <c r="A210" i="14"/>
  <c r="C209" i="14"/>
  <c r="A209" i="14"/>
  <c r="C208" i="14"/>
  <c r="A208" i="14"/>
  <c r="C207" i="14"/>
  <c r="A207" i="14"/>
  <c r="C206" i="14"/>
  <c r="A206" i="14"/>
  <c r="C205" i="14"/>
  <c r="A205" i="14"/>
  <c r="C204" i="14"/>
  <c r="A204" i="14"/>
  <c r="C203" i="14"/>
  <c r="A203" i="14"/>
  <c r="C202" i="14"/>
  <c r="A202" i="14"/>
  <c r="C201" i="14"/>
  <c r="A201" i="14"/>
  <c r="C200" i="14"/>
  <c r="A200" i="14"/>
  <c r="C199" i="14"/>
  <c r="A199" i="14"/>
  <c r="C198" i="14"/>
  <c r="A198" i="14"/>
  <c r="C197" i="14"/>
  <c r="A197" i="14"/>
  <c r="C196" i="14"/>
  <c r="A196" i="14"/>
  <c r="C195" i="14"/>
  <c r="A195" i="14"/>
  <c r="C194" i="14"/>
  <c r="A194" i="14"/>
  <c r="C193" i="14"/>
  <c r="A193" i="14"/>
  <c r="C192" i="14"/>
  <c r="A192" i="14"/>
  <c r="C191" i="14"/>
  <c r="A191" i="14"/>
  <c r="C190" i="14"/>
  <c r="A190" i="14"/>
  <c r="C189" i="14"/>
  <c r="A189" i="14"/>
  <c r="C188" i="14"/>
  <c r="A188" i="14"/>
  <c r="C187" i="14"/>
  <c r="A187" i="14"/>
  <c r="C186" i="14"/>
  <c r="A186" i="14"/>
  <c r="C185" i="14"/>
  <c r="A185" i="14"/>
  <c r="C184" i="14"/>
  <c r="A184" i="14"/>
  <c r="C183" i="14"/>
  <c r="A183" i="14"/>
  <c r="C182" i="14"/>
  <c r="A182" i="14"/>
  <c r="C181" i="14"/>
  <c r="A181" i="14"/>
  <c r="C180" i="14"/>
  <c r="A180" i="14"/>
  <c r="C179" i="14"/>
  <c r="A179" i="14"/>
  <c r="C178" i="14"/>
  <c r="A178" i="14"/>
  <c r="C177" i="14"/>
  <c r="A177" i="14"/>
  <c r="C176" i="14"/>
  <c r="A176" i="14"/>
  <c r="C175" i="14"/>
  <c r="A175" i="14"/>
  <c r="C174" i="14"/>
  <c r="A174" i="14"/>
  <c r="C173" i="14"/>
  <c r="A173" i="14"/>
  <c r="C172" i="14"/>
  <c r="A172" i="14"/>
  <c r="C171" i="14"/>
  <c r="A171" i="14"/>
  <c r="C170" i="14"/>
  <c r="A170" i="14"/>
  <c r="C169" i="14"/>
  <c r="A169" i="14"/>
  <c r="C168" i="14"/>
  <c r="A168" i="14"/>
  <c r="C167" i="14"/>
  <c r="A167" i="14"/>
  <c r="C166" i="14"/>
  <c r="A166" i="14"/>
  <c r="C165" i="14"/>
  <c r="A165" i="14"/>
  <c r="C164" i="14"/>
  <c r="A164" i="14"/>
  <c r="C163" i="14"/>
  <c r="A163" i="14"/>
  <c r="C162" i="14"/>
  <c r="A162" i="14"/>
  <c r="C161" i="14"/>
  <c r="A161" i="14"/>
  <c r="C160" i="14"/>
  <c r="A160" i="14"/>
  <c r="C159" i="14"/>
  <c r="A159" i="14"/>
  <c r="C158" i="14"/>
  <c r="A158" i="14"/>
  <c r="C157" i="14"/>
  <c r="A157" i="14"/>
  <c r="C156" i="14"/>
  <c r="A156" i="14"/>
  <c r="C155" i="14"/>
  <c r="A155" i="14"/>
  <c r="C154" i="14"/>
  <c r="A154" i="14"/>
  <c r="C153" i="14"/>
  <c r="A153" i="14"/>
  <c r="C152" i="14"/>
  <c r="A152" i="14"/>
  <c r="C151" i="14"/>
  <c r="A151" i="14"/>
  <c r="C150" i="14"/>
  <c r="A150" i="14"/>
  <c r="C149" i="14"/>
  <c r="A149" i="14"/>
  <c r="C148" i="14"/>
  <c r="A148" i="14"/>
  <c r="C147" i="14"/>
  <c r="A147" i="14"/>
  <c r="C146" i="14"/>
  <c r="A146" i="14"/>
  <c r="C145" i="14"/>
  <c r="A145" i="14"/>
  <c r="C144" i="14"/>
  <c r="A144" i="14"/>
  <c r="C143" i="14"/>
  <c r="A143" i="14"/>
  <c r="C142" i="14"/>
  <c r="A142" i="14"/>
  <c r="C141" i="14"/>
  <c r="A141" i="14"/>
  <c r="C140" i="14"/>
  <c r="A140" i="14"/>
  <c r="C139" i="14"/>
  <c r="A139" i="14"/>
  <c r="C138" i="14"/>
  <c r="A138" i="14"/>
  <c r="C137" i="14"/>
  <c r="A137" i="14"/>
  <c r="C136" i="14"/>
  <c r="A136" i="14"/>
  <c r="C135" i="14"/>
  <c r="A135" i="14"/>
  <c r="C134" i="14"/>
  <c r="A134" i="14"/>
  <c r="C133" i="14"/>
  <c r="A133" i="14"/>
  <c r="C132" i="14"/>
  <c r="A132" i="14"/>
  <c r="C131" i="14"/>
  <c r="A131" i="14"/>
  <c r="C130" i="14"/>
  <c r="A130" i="14"/>
  <c r="C129" i="14"/>
  <c r="A129" i="14"/>
  <c r="C128" i="14"/>
  <c r="A128" i="14"/>
  <c r="C127" i="14"/>
  <c r="A127" i="14"/>
  <c r="C126" i="14"/>
  <c r="A126" i="14"/>
  <c r="C125" i="14"/>
  <c r="A125" i="14"/>
  <c r="C124" i="14"/>
  <c r="A124" i="14"/>
  <c r="C123" i="14"/>
  <c r="A123" i="14"/>
  <c r="C122" i="14"/>
  <c r="A122" i="14"/>
  <c r="C121" i="14"/>
  <c r="A121" i="14"/>
  <c r="C120" i="14"/>
  <c r="A120" i="14"/>
  <c r="C119" i="14"/>
  <c r="A119" i="14"/>
  <c r="C118" i="14"/>
  <c r="A118" i="14"/>
  <c r="C117" i="14"/>
  <c r="A117" i="14"/>
  <c r="C116" i="14"/>
  <c r="A116" i="14"/>
  <c r="C115" i="14"/>
  <c r="A115" i="14"/>
  <c r="C114" i="14"/>
  <c r="A114" i="14"/>
  <c r="C113" i="14"/>
  <c r="A113" i="14"/>
  <c r="C112" i="14"/>
  <c r="A112" i="14"/>
  <c r="C111" i="14"/>
  <c r="A111" i="14"/>
  <c r="C110" i="14"/>
  <c r="A110" i="14"/>
  <c r="C109" i="14"/>
  <c r="A109" i="14"/>
  <c r="C108" i="14"/>
  <c r="A108" i="14"/>
  <c r="C107" i="14"/>
  <c r="A107" i="14"/>
  <c r="C106" i="14"/>
  <c r="A106" i="14"/>
  <c r="C105" i="14"/>
  <c r="A105" i="14"/>
  <c r="C104" i="14"/>
  <c r="A104" i="14"/>
  <c r="C103" i="14"/>
  <c r="A103" i="14"/>
  <c r="C102" i="14"/>
  <c r="A102" i="14"/>
  <c r="C101" i="14"/>
  <c r="A101" i="14"/>
  <c r="C100" i="14"/>
  <c r="A100" i="14"/>
  <c r="C99" i="14"/>
  <c r="A99" i="14"/>
  <c r="C98" i="14"/>
  <c r="A98" i="14"/>
  <c r="C97" i="14"/>
  <c r="A97" i="14"/>
  <c r="C96" i="14"/>
  <c r="A96" i="14"/>
  <c r="C95" i="14"/>
  <c r="A95" i="14"/>
  <c r="C94" i="14"/>
  <c r="A94" i="14"/>
  <c r="C93" i="14"/>
  <c r="A93" i="14"/>
  <c r="C92" i="14"/>
  <c r="A92" i="14"/>
  <c r="C91" i="14"/>
  <c r="A91" i="14"/>
  <c r="C90" i="14"/>
  <c r="A90" i="14"/>
  <c r="C89" i="14"/>
  <c r="A89" i="14"/>
  <c r="C88" i="14"/>
  <c r="A88" i="14"/>
  <c r="C87" i="14"/>
  <c r="A87" i="14"/>
  <c r="C86" i="14"/>
  <c r="A86" i="14"/>
  <c r="C85" i="14"/>
  <c r="A85" i="14"/>
  <c r="C84" i="14"/>
  <c r="A84" i="14"/>
  <c r="C83" i="14"/>
  <c r="A83" i="14"/>
  <c r="C82" i="14"/>
  <c r="A82" i="14"/>
  <c r="C81" i="14"/>
  <c r="A81" i="14"/>
  <c r="C80" i="14"/>
  <c r="A80" i="14"/>
  <c r="C79" i="14"/>
  <c r="A79" i="14"/>
  <c r="C78" i="14"/>
  <c r="A78" i="14"/>
  <c r="C77" i="14"/>
  <c r="A77" i="14"/>
  <c r="C76" i="14"/>
  <c r="A76" i="14"/>
  <c r="C75" i="14"/>
  <c r="A75" i="14"/>
  <c r="C74" i="14"/>
  <c r="A74" i="14"/>
  <c r="C73" i="14"/>
  <c r="A73" i="14"/>
  <c r="C72" i="14"/>
  <c r="A72" i="14"/>
  <c r="C71" i="14"/>
  <c r="A71" i="14"/>
  <c r="C70" i="14"/>
  <c r="A70" i="14"/>
  <c r="C69" i="14"/>
  <c r="A69" i="14"/>
  <c r="C68" i="14"/>
  <c r="A68" i="14"/>
  <c r="C67" i="14"/>
  <c r="A67" i="14"/>
  <c r="C66" i="14"/>
  <c r="A66" i="14"/>
  <c r="C65" i="14"/>
  <c r="A65" i="14"/>
  <c r="C64" i="14"/>
  <c r="A64" i="14"/>
  <c r="C63" i="14"/>
  <c r="A63" i="14"/>
  <c r="C62" i="14"/>
  <c r="A62" i="14"/>
  <c r="C61" i="14"/>
  <c r="A61" i="14"/>
  <c r="C60" i="14"/>
  <c r="A60" i="14"/>
  <c r="C59" i="14"/>
  <c r="A59" i="14"/>
  <c r="C58" i="14"/>
  <c r="A58" i="14"/>
  <c r="C57" i="14"/>
  <c r="A57" i="14"/>
  <c r="C56" i="14"/>
  <c r="A56" i="14"/>
  <c r="C55" i="14"/>
  <c r="A55" i="14"/>
  <c r="C54" i="14"/>
  <c r="A54" i="14"/>
  <c r="C53" i="14"/>
  <c r="A53" i="14"/>
  <c r="C52" i="14"/>
  <c r="A52" i="14"/>
  <c r="C51" i="14"/>
  <c r="A51" i="14"/>
  <c r="C50" i="14"/>
  <c r="A50" i="14"/>
  <c r="C49" i="14"/>
  <c r="A49" i="14"/>
  <c r="C48" i="14"/>
  <c r="A48" i="14"/>
  <c r="C47" i="14"/>
  <c r="A47" i="14"/>
  <c r="C46" i="14"/>
  <c r="A46" i="14"/>
  <c r="C45" i="14"/>
  <c r="A45" i="14"/>
  <c r="C44" i="14"/>
  <c r="A44" i="14"/>
  <c r="C43" i="14"/>
  <c r="A43" i="14"/>
  <c r="C42" i="14"/>
  <c r="A42" i="14"/>
  <c r="C41" i="14"/>
  <c r="A41" i="14"/>
  <c r="C40" i="14"/>
  <c r="A40" i="14"/>
  <c r="C39" i="14"/>
  <c r="A39" i="14"/>
  <c r="C38" i="14"/>
  <c r="A38" i="14"/>
  <c r="C37" i="14"/>
  <c r="A37" i="14"/>
  <c r="C36" i="14"/>
  <c r="A36" i="14"/>
  <c r="C35" i="14"/>
  <c r="A35" i="14"/>
  <c r="C34" i="14"/>
  <c r="A34" i="14"/>
  <c r="C33" i="14"/>
  <c r="A33" i="14"/>
  <c r="C32" i="14"/>
  <c r="A32" i="14"/>
  <c r="C31" i="14"/>
  <c r="A31" i="14"/>
  <c r="C30" i="14"/>
  <c r="A30" i="14"/>
  <c r="C29" i="14"/>
  <c r="A29" i="14"/>
  <c r="C28" i="14"/>
  <c r="A28" i="14"/>
  <c r="C27" i="14"/>
  <c r="A27" i="14"/>
  <c r="C26" i="14"/>
  <c r="A26" i="14"/>
  <c r="C25" i="14"/>
  <c r="A25" i="14"/>
  <c r="C24" i="14"/>
  <c r="A24" i="14"/>
  <c r="C23" i="14"/>
  <c r="A23" i="14"/>
  <c r="C22" i="14"/>
  <c r="A22" i="14"/>
  <c r="C21" i="14"/>
  <c r="A21" i="14"/>
  <c r="C20" i="14"/>
  <c r="A20" i="14"/>
  <c r="C19" i="14"/>
  <c r="A19" i="14"/>
  <c r="C18" i="14"/>
  <c r="A18" i="14"/>
  <c r="C17" i="14"/>
  <c r="A17" i="14"/>
  <c r="C16" i="14"/>
  <c r="A16" i="14"/>
  <c r="C15" i="14"/>
  <c r="A15" i="14"/>
  <c r="C14" i="14"/>
  <c r="A14" i="14"/>
  <c r="C13" i="14"/>
  <c r="A13" i="14"/>
  <c r="C12" i="14"/>
  <c r="A12" i="14"/>
  <c r="C11" i="14"/>
  <c r="A11" i="14"/>
  <c r="C10" i="14"/>
  <c r="A10" i="14"/>
  <c r="C9" i="14"/>
  <c r="A9" i="14"/>
  <c r="C8" i="14"/>
  <c r="A8" i="14"/>
  <c r="C7" i="14"/>
  <c r="A7" i="14"/>
  <c r="C6" i="14"/>
  <c r="A6" i="14"/>
  <c r="C5" i="14"/>
  <c r="A5" i="14"/>
  <c r="C4" i="14"/>
  <c r="A4" i="14"/>
  <c r="C3" i="14"/>
  <c r="A3" i="14"/>
  <c r="C2" i="14"/>
  <c r="A2" i="14"/>
  <c r="A363" i="15"/>
  <c r="B363" i="15"/>
  <c r="C363" i="15"/>
  <c r="E363" i="15"/>
  <c r="A364" i="15"/>
  <c r="B364" i="15"/>
  <c r="C364" i="15"/>
  <c r="E364" i="15"/>
  <c r="A349" i="15"/>
  <c r="B349" i="15"/>
  <c r="C349" i="15"/>
  <c r="E349" i="15"/>
  <c r="A350" i="15"/>
  <c r="B350" i="15"/>
  <c r="C350" i="15"/>
  <c r="E350" i="15"/>
  <c r="A351" i="15"/>
  <c r="B351" i="15"/>
  <c r="C351" i="15"/>
  <c r="E351" i="15"/>
  <c r="A352" i="15"/>
  <c r="B352" i="15"/>
  <c r="C352" i="15"/>
  <c r="E352" i="15"/>
  <c r="A353" i="15"/>
  <c r="B353" i="15"/>
  <c r="C353" i="15"/>
  <c r="E353" i="15"/>
  <c r="A354" i="15"/>
  <c r="B354" i="15"/>
  <c r="C354" i="15"/>
  <c r="E354" i="15"/>
  <c r="A355" i="15"/>
  <c r="B355" i="15"/>
  <c r="C355" i="15"/>
  <c r="E355" i="15"/>
  <c r="A356" i="15"/>
  <c r="B356" i="15"/>
  <c r="C356" i="15"/>
  <c r="E356" i="15"/>
  <c r="A357" i="15"/>
  <c r="B357" i="15"/>
  <c r="C357" i="15"/>
  <c r="E357" i="15"/>
  <c r="A358" i="15"/>
  <c r="B358" i="15"/>
  <c r="C358" i="15"/>
  <c r="E358" i="15"/>
  <c r="A359" i="15"/>
  <c r="B359" i="15"/>
  <c r="C359" i="15"/>
  <c r="E359" i="15"/>
  <c r="A360" i="15"/>
  <c r="B360" i="15"/>
  <c r="C360" i="15"/>
  <c r="E360" i="15"/>
  <c r="A361" i="15"/>
  <c r="B361" i="15"/>
  <c r="C361" i="15"/>
  <c r="E361" i="15"/>
  <c r="A362" i="15"/>
  <c r="B362" i="15"/>
  <c r="C362" i="15"/>
  <c r="E362" i="15"/>
  <c r="A330" i="15"/>
  <c r="B330" i="15"/>
  <c r="C330" i="15"/>
  <c r="E330" i="15"/>
  <c r="A331" i="15"/>
  <c r="B331" i="15"/>
  <c r="C331" i="15"/>
  <c r="E331" i="15"/>
  <c r="A332" i="15"/>
  <c r="B332" i="15"/>
  <c r="C332" i="15"/>
  <c r="E332" i="15"/>
  <c r="A333" i="15"/>
  <c r="B333" i="15"/>
  <c r="C333" i="15"/>
  <c r="E333" i="15"/>
  <c r="A334" i="15"/>
  <c r="B334" i="15"/>
  <c r="C334" i="15"/>
  <c r="E334" i="15"/>
  <c r="A335" i="15"/>
  <c r="B335" i="15"/>
  <c r="C335" i="15"/>
  <c r="E335" i="15"/>
  <c r="A336" i="15"/>
  <c r="B336" i="15"/>
  <c r="C336" i="15"/>
  <c r="E336" i="15"/>
  <c r="A337" i="15"/>
  <c r="B337" i="15"/>
  <c r="C337" i="15"/>
  <c r="E337" i="15"/>
  <c r="A338" i="15"/>
  <c r="B338" i="15"/>
  <c r="C338" i="15"/>
  <c r="E338" i="15"/>
  <c r="A339" i="15"/>
  <c r="B339" i="15"/>
  <c r="C339" i="15"/>
  <c r="E339" i="15"/>
  <c r="A340" i="15"/>
  <c r="B340" i="15"/>
  <c r="C340" i="15"/>
  <c r="E340" i="15"/>
  <c r="A341" i="15"/>
  <c r="B341" i="15"/>
  <c r="C341" i="15"/>
  <c r="E341" i="15"/>
  <c r="A342" i="15"/>
  <c r="B342" i="15"/>
  <c r="C342" i="15"/>
  <c r="E342" i="15"/>
  <c r="A343" i="15"/>
  <c r="B343" i="15"/>
  <c r="C343" i="15"/>
  <c r="E343" i="15"/>
  <c r="A344" i="15"/>
  <c r="B344" i="15"/>
  <c r="C344" i="15"/>
  <c r="E344" i="15"/>
  <c r="A345" i="15"/>
  <c r="B345" i="15"/>
  <c r="C345" i="15"/>
  <c r="E345" i="15"/>
  <c r="A346" i="15"/>
  <c r="B346" i="15"/>
  <c r="C346" i="15"/>
  <c r="E346" i="15"/>
  <c r="A347" i="15"/>
  <c r="B347" i="15"/>
  <c r="C347" i="15"/>
  <c r="E347" i="15"/>
  <c r="A348" i="15"/>
  <c r="B348" i="15"/>
  <c r="C348" i="15"/>
  <c r="E348" i="15"/>
  <c r="A312" i="15"/>
  <c r="B312" i="15"/>
  <c r="C312" i="15"/>
  <c r="E312" i="15"/>
  <c r="A313" i="15"/>
  <c r="B313" i="15"/>
  <c r="C313" i="15"/>
  <c r="E313" i="15"/>
  <c r="A314" i="15"/>
  <c r="B314" i="15"/>
  <c r="C314" i="15"/>
  <c r="E314" i="15"/>
  <c r="A315" i="15"/>
  <c r="B315" i="15"/>
  <c r="C315" i="15"/>
  <c r="E315" i="15"/>
  <c r="A316" i="15"/>
  <c r="B316" i="15"/>
  <c r="C316" i="15"/>
  <c r="E316" i="15"/>
  <c r="A317" i="15"/>
  <c r="B317" i="15"/>
  <c r="C317" i="15"/>
  <c r="E317" i="15"/>
  <c r="A318" i="15"/>
  <c r="B318" i="15"/>
  <c r="C318" i="15"/>
  <c r="E318" i="15"/>
  <c r="A319" i="15"/>
  <c r="B319" i="15"/>
  <c r="C319" i="15"/>
  <c r="E319" i="15"/>
  <c r="A320" i="15"/>
  <c r="B320" i="15"/>
  <c r="C320" i="15"/>
  <c r="E320" i="15"/>
  <c r="A321" i="15"/>
  <c r="B321" i="15"/>
  <c r="C321" i="15"/>
  <c r="E321" i="15"/>
  <c r="A322" i="15"/>
  <c r="B322" i="15"/>
  <c r="C322" i="15"/>
  <c r="E322" i="15"/>
  <c r="A323" i="15"/>
  <c r="B323" i="15"/>
  <c r="C323" i="15"/>
  <c r="E323" i="15"/>
  <c r="A324" i="15"/>
  <c r="B324" i="15"/>
  <c r="C324" i="15"/>
  <c r="E324" i="15"/>
  <c r="A325" i="15"/>
  <c r="B325" i="15"/>
  <c r="C325" i="15"/>
  <c r="E325" i="15"/>
  <c r="A326" i="15"/>
  <c r="B326" i="15"/>
  <c r="C326" i="15"/>
  <c r="E326" i="15"/>
  <c r="A327" i="15"/>
  <c r="B327" i="15"/>
  <c r="C327" i="15"/>
  <c r="E327" i="15"/>
  <c r="A328" i="15"/>
  <c r="B328" i="15"/>
  <c r="C328" i="15"/>
  <c r="E328" i="15"/>
  <c r="A329" i="15"/>
  <c r="B329" i="15"/>
  <c r="C329" i="15"/>
  <c r="E329" i="15"/>
  <c r="A245" i="15"/>
  <c r="B245" i="15"/>
  <c r="C245" i="15"/>
  <c r="E245" i="15"/>
  <c r="A246" i="15"/>
  <c r="B246" i="15"/>
  <c r="C246" i="15"/>
  <c r="E246" i="15"/>
  <c r="A247" i="15"/>
  <c r="B247" i="15"/>
  <c r="C247" i="15"/>
  <c r="E247" i="15"/>
  <c r="A248" i="15"/>
  <c r="B248" i="15"/>
  <c r="C248" i="15"/>
  <c r="E248" i="15"/>
  <c r="A249" i="15"/>
  <c r="B249" i="15"/>
  <c r="C249" i="15"/>
  <c r="E249" i="15"/>
  <c r="A250" i="15"/>
  <c r="B250" i="15"/>
  <c r="C250" i="15"/>
  <c r="E250" i="15"/>
  <c r="A251" i="15"/>
  <c r="B251" i="15"/>
  <c r="C251" i="15"/>
  <c r="E251" i="15"/>
  <c r="A252" i="15"/>
  <c r="B252" i="15"/>
  <c r="C252" i="15"/>
  <c r="E252" i="15"/>
  <c r="A253" i="15"/>
  <c r="B253" i="15"/>
  <c r="C253" i="15"/>
  <c r="E253" i="15"/>
  <c r="A254" i="15"/>
  <c r="B254" i="15"/>
  <c r="C254" i="15"/>
  <c r="E254" i="15"/>
  <c r="A255" i="15"/>
  <c r="B255" i="15"/>
  <c r="C255" i="15"/>
  <c r="E255" i="15"/>
  <c r="A256" i="15"/>
  <c r="B256" i="15"/>
  <c r="C256" i="15"/>
  <c r="E256" i="15"/>
  <c r="A257" i="15"/>
  <c r="B257" i="15"/>
  <c r="C257" i="15"/>
  <c r="E257" i="15"/>
  <c r="A258" i="15"/>
  <c r="B258" i="15"/>
  <c r="C258" i="15"/>
  <c r="E258" i="15"/>
  <c r="A259" i="15"/>
  <c r="B259" i="15"/>
  <c r="C259" i="15"/>
  <c r="E259" i="15"/>
  <c r="A260" i="15"/>
  <c r="B260" i="15"/>
  <c r="C260" i="15"/>
  <c r="E260" i="15"/>
  <c r="A261" i="15"/>
  <c r="B261" i="15"/>
  <c r="C261" i="15"/>
  <c r="E261" i="15"/>
  <c r="A262" i="15"/>
  <c r="B262" i="15"/>
  <c r="C262" i="15"/>
  <c r="E262" i="15"/>
  <c r="A263" i="15"/>
  <c r="B263" i="15"/>
  <c r="C263" i="15"/>
  <c r="E263" i="15"/>
  <c r="A264" i="15"/>
  <c r="B264" i="15"/>
  <c r="C264" i="15"/>
  <c r="E264" i="15"/>
  <c r="A265" i="15"/>
  <c r="B265" i="15"/>
  <c r="C265" i="15"/>
  <c r="E265" i="15"/>
  <c r="A266" i="15"/>
  <c r="B266" i="15"/>
  <c r="C266" i="15"/>
  <c r="E266" i="15"/>
  <c r="A267" i="15"/>
  <c r="B267" i="15"/>
  <c r="C267" i="15"/>
  <c r="E267" i="15"/>
  <c r="A268" i="15"/>
  <c r="B268" i="15"/>
  <c r="C268" i="15"/>
  <c r="E268" i="15"/>
  <c r="A269" i="15"/>
  <c r="B269" i="15"/>
  <c r="C269" i="15"/>
  <c r="E269" i="15"/>
  <c r="A270" i="15"/>
  <c r="B270" i="15"/>
  <c r="C270" i="15"/>
  <c r="E270" i="15"/>
  <c r="A271" i="15"/>
  <c r="B271" i="15"/>
  <c r="C271" i="15"/>
  <c r="E271" i="15"/>
  <c r="A272" i="15"/>
  <c r="B272" i="15"/>
  <c r="C272" i="15"/>
  <c r="E272" i="15"/>
  <c r="A273" i="15"/>
  <c r="B273" i="15"/>
  <c r="C273" i="15"/>
  <c r="E273" i="15"/>
  <c r="A274" i="15"/>
  <c r="B274" i="15"/>
  <c r="C274" i="15"/>
  <c r="E274" i="15"/>
  <c r="A275" i="15"/>
  <c r="B275" i="15"/>
  <c r="C275" i="15"/>
  <c r="E275" i="15"/>
  <c r="A276" i="15"/>
  <c r="B276" i="15"/>
  <c r="C276" i="15"/>
  <c r="E276" i="15"/>
  <c r="A277" i="15"/>
  <c r="B277" i="15"/>
  <c r="C277" i="15"/>
  <c r="E277" i="15"/>
  <c r="A278" i="15"/>
  <c r="B278" i="15"/>
  <c r="C278" i="15"/>
  <c r="E278" i="15"/>
  <c r="A279" i="15"/>
  <c r="B279" i="15"/>
  <c r="C279" i="15"/>
  <c r="E279" i="15"/>
  <c r="A280" i="15"/>
  <c r="B280" i="15"/>
  <c r="C280" i="15"/>
  <c r="E280" i="15"/>
  <c r="A281" i="15"/>
  <c r="B281" i="15"/>
  <c r="C281" i="15"/>
  <c r="E281" i="15"/>
  <c r="A282" i="15"/>
  <c r="B282" i="15"/>
  <c r="C282" i="15"/>
  <c r="E282" i="15"/>
  <c r="A283" i="15"/>
  <c r="B283" i="15"/>
  <c r="C283" i="15"/>
  <c r="E283" i="15"/>
  <c r="A284" i="15"/>
  <c r="B284" i="15"/>
  <c r="C284" i="15"/>
  <c r="E284" i="15"/>
  <c r="A285" i="15"/>
  <c r="B285" i="15"/>
  <c r="C285" i="15"/>
  <c r="E285" i="15"/>
  <c r="A286" i="15"/>
  <c r="B286" i="15"/>
  <c r="C286" i="15"/>
  <c r="E286" i="15"/>
  <c r="A287" i="15"/>
  <c r="B287" i="15"/>
  <c r="C287" i="15"/>
  <c r="E287" i="15"/>
  <c r="A288" i="15"/>
  <c r="B288" i="15"/>
  <c r="C288" i="15"/>
  <c r="E288" i="15"/>
  <c r="A289" i="15"/>
  <c r="B289" i="15"/>
  <c r="C289" i="15"/>
  <c r="E289" i="15"/>
  <c r="A290" i="15"/>
  <c r="B290" i="15"/>
  <c r="C290" i="15"/>
  <c r="E290" i="15"/>
  <c r="A291" i="15"/>
  <c r="B291" i="15"/>
  <c r="C291" i="15"/>
  <c r="E291" i="15"/>
  <c r="A292" i="15"/>
  <c r="B292" i="15"/>
  <c r="C292" i="15"/>
  <c r="E292" i="15"/>
  <c r="A293" i="15"/>
  <c r="B293" i="15"/>
  <c r="C293" i="15"/>
  <c r="E293" i="15"/>
  <c r="A294" i="15"/>
  <c r="B294" i="15"/>
  <c r="C294" i="15"/>
  <c r="E294" i="15"/>
  <c r="A295" i="15"/>
  <c r="B295" i="15"/>
  <c r="C295" i="15"/>
  <c r="E295" i="15"/>
  <c r="A296" i="15"/>
  <c r="B296" i="15"/>
  <c r="C296" i="15"/>
  <c r="E296" i="15"/>
  <c r="A297" i="15"/>
  <c r="B297" i="15"/>
  <c r="C297" i="15"/>
  <c r="E297" i="15"/>
  <c r="A298" i="15"/>
  <c r="B298" i="15"/>
  <c r="C298" i="15"/>
  <c r="E298" i="15"/>
  <c r="A299" i="15"/>
  <c r="B299" i="15"/>
  <c r="C299" i="15"/>
  <c r="E299" i="15"/>
  <c r="A300" i="15"/>
  <c r="B300" i="15"/>
  <c r="C300" i="15"/>
  <c r="E300" i="15"/>
  <c r="A301" i="15"/>
  <c r="B301" i="15"/>
  <c r="C301" i="15"/>
  <c r="E301" i="15"/>
  <c r="A302" i="15"/>
  <c r="B302" i="15"/>
  <c r="C302" i="15"/>
  <c r="E302" i="15"/>
  <c r="A303" i="15"/>
  <c r="B303" i="15"/>
  <c r="C303" i="15"/>
  <c r="E303" i="15"/>
  <c r="A304" i="15"/>
  <c r="B304" i="15"/>
  <c r="C304" i="15"/>
  <c r="E304" i="15"/>
  <c r="A305" i="15"/>
  <c r="B305" i="15"/>
  <c r="C305" i="15"/>
  <c r="E305" i="15"/>
  <c r="A306" i="15"/>
  <c r="B306" i="15"/>
  <c r="C306" i="15"/>
  <c r="E306" i="15"/>
  <c r="A307" i="15"/>
  <c r="B307" i="15"/>
  <c r="C307" i="15"/>
  <c r="E307" i="15"/>
  <c r="A308" i="15"/>
  <c r="B308" i="15"/>
  <c r="C308" i="15"/>
  <c r="E308" i="15"/>
  <c r="A309" i="15"/>
  <c r="B309" i="15"/>
  <c r="C309" i="15"/>
  <c r="E309" i="15"/>
  <c r="A310" i="15"/>
  <c r="B310" i="15"/>
  <c r="C310" i="15"/>
  <c r="E310" i="15"/>
  <c r="A311" i="15"/>
  <c r="B311" i="15"/>
  <c r="C311" i="15"/>
  <c r="E311" i="15"/>
  <c r="E244" i="15"/>
  <c r="C244" i="15"/>
  <c r="B244" i="15"/>
  <c r="A244" i="15"/>
  <c r="A124" i="15"/>
  <c r="B124" i="15"/>
  <c r="C124" i="15"/>
  <c r="E124" i="15"/>
  <c r="A125" i="15"/>
  <c r="B125" i="15"/>
  <c r="C125" i="15"/>
  <c r="E125" i="15"/>
  <c r="A126" i="15"/>
  <c r="B126" i="15"/>
  <c r="C126" i="15"/>
  <c r="E126" i="15"/>
  <c r="A127" i="15"/>
  <c r="B127" i="15"/>
  <c r="C127" i="15"/>
  <c r="E127" i="15"/>
  <c r="A128" i="15"/>
  <c r="B128" i="15"/>
  <c r="C128" i="15"/>
  <c r="E128" i="15"/>
  <c r="A129" i="15"/>
  <c r="B129" i="15"/>
  <c r="C129" i="15"/>
  <c r="E129" i="15"/>
  <c r="A130" i="15"/>
  <c r="B130" i="15"/>
  <c r="C130" i="15"/>
  <c r="E130" i="15"/>
  <c r="A131" i="15"/>
  <c r="B131" i="15"/>
  <c r="C131" i="15"/>
  <c r="E131" i="15"/>
  <c r="A132" i="15"/>
  <c r="B132" i="15"/>
  <c r="C132" i="15"/>
  <c r="E132" i="15"/>
  <c r="A133" i="15"/>
  <c r="B133" i="15"/>
  <c r="C133" i="15"/>
  <c r="E133" i="15"/>
  <c r="A134" i="15"/>
  <c r="B134" i="15"/>
  <c r="C134" i="15"/>
  <c r="E134" i="15"/>
  <c r="A135" i="15"/>
  <c r="B135" i="15"/>
  <c r="C135" i="15"/>
  <c r="E135" i="15"/>
  <c r="A136" i="15"/>
  <c r="B136" i="15"/>
  <c r="C136" i="15"/>
  <c r="E136" i="15"/>
  <c r="A137" i="15"/>
  <c r="B137" i="15"/>
  <c r="C137" i="15"/>
  <c r="E137" i="15"/>
  <c r="A138" i="15"/>
  <c r="B138" i="15"/>
  <c r="C138" i="15"/>
  <c r="E138" i="15"/>
  <c r="A139" i="15"/>
  <c r="B139" i="15"/>
  <c r="C139" i="15"/>
  <c r="E139" i="15"/>
  <c r="A140" i="15"/>
  <c r="B140" i="15"/>
  <c r="C140" i="15"/>
  <c r="E140" i="15"/>
  <c r="A141" i="15"/>
  <c r="B141" i="15"/>
  <c r="C141" i="15"/>
  <c r="E141" i="15"/>
  <c r="A142" i="15"/>
  <c r="B142" i="15"/>
  <c r="C142" i="15"/>
  <c r="E142" i="15"/>
  <c r="A143" i="15"/>
  <c r="B143" i="15"/>
  <c r="C143" i="15"/>
  <c r="E143" i="15"/>
  <c r="A144" i="15"/>
  <c r="B144" i="15"/>
  <c r="C144" i="15"/>
  <c r="E144" i="15"/>
  <c r="A145" i="15"/>
  <c r="B145" i="15"/>
  <c r="C145" i="15"/>
  <c r="E145" i="15"/>
  <c r="A146" i="15"/>
  <c r="B146" i="15"/>
  <c r="C146" i="15"/>
  <c r="E146" i="15"/>
  <c r="A147" i="15"/>
  <c r="B147" i="15"/>
  <c r="C147" i="15"/>
  <c r="E147" i="15"/>
  <c r="A148" i="15"/>
  <c r="B148" i="15"/>
  <c r="C148" i="15"/>
  <c r="E148" i="15"/>
  <c r="A149" i="15"/>
  <c r="B149" i="15"/>
  <c r="C149" i="15"/>
  <c r="E149" i="15"/>
  <c r="A150" i="15"/>
  <c r="B150" i="15"/>
  <c r="C150" i="15"/>
  <c r="E150" i="15"/>
  <c r="A151" i="15"/>
  <c r="B151" i="15"/>
  <c r="C151" i="15"/>
  <c r="E151" i="15"/>
  <c r="A152" i="15"/>
  <c r="B152" i="15"/>
  <c r="C152" i="15"/>
  <c r="E152" i="15"/>
  <c r="A153" i="15"/>
  <c r="B153" i="15"/>
  <c r="C153" i="15"/>
  <c r="E153" i="15"/>
  <c r="A154" i="15"/>
  <c r="B154" i="15"/>
  <c r="C154" i="15"/>
  <c r="E154" i="15"/>
  <c r="A155" i="15"/>
  <c r="B155" i="15"/>
  <c r="C155" i="15"/>
  <c r="E155" i="15"/>
  <c r="A156" i="15"/>
  <c r="B156" i="15"/>
  <c r="C156" i="15"/>
  <c r="E156" i="15"/>
  <c r="A157" i="15"/>
  <c r="B157" i="15"/>
  <c r="C157" i="15"/>
  <c r="E157" i="15"/>
  <c r="A158" i="15"/>
  <c r="B158" i="15"/>
  <c r="C158" i="15"/>
  <c r="E158" i="15"/>
  <c r="A159" i="15"/>
  <c r="B159" i="15"/>
  <c r="C159" i="15"/>
  <c r="E159" i="15"/>
  <c r="A160" i="15"/>
  <c r="B160" i="15"/>
  <c r="C160" i="15"/>
  <c r="E160" i="15"/>
  <c r="A161" i="15"/>
  <c r="B161" i="15"/>
  <c r="C161" i="15"/>
  <c r="E161" i="15"/>
  <c r="A162" i="15"/>
  <c r="B162" i="15"/>
  <c r="C162" i="15"/>
  <c r="E162" i="15"/>
  <c r="A163" i="15"/>
  <c r="B163" i="15"/>
  <c r="C163" i="15"/>
  <c r="E163" i="15"/>
  <c r="A164" i="15"/>
  <c r="B164" i="15"/>
  <c r="C164" i="15"/>
  <c r="E164" i="15"/>
  <c r="A165" i="15"/>
  <c r="B165" i="15"/>
  <c r="C165" i="15"/>
  <c r="E165" i="15"/>
  <c r="A166" i="15"/>
  <c r="B166" i="15"/>
  <c r="C166" i="15"/>
  <c r="E166" i="15"/>
  <c r="A167" i="15"/>
  <c r="B167" i="15"/>
  <c r="C167" i="15"/>
  <c r="E167" i="15"/>
  <c r="A168" i="15"/>
  <c r="B168" i="15"/>
  <c r="C168" i="15"/>
  <c r="E168" i="15"/>
  <c r="A169" i="15"/>
  <c r="B169" i="15"/>
  <c r="C169" i="15"/>
  <c r="E169" i="15"/>
  <c r="A170" i="15"/>
  <c r="B170" i="15"/>
  <c r="C170" i="15"/>
  <c r="E170" i="15"/>
  <c r="A171" i="15"/>
  <c r="B171" i="15"/>
  <c r="C171" i="15"/>
  <c r="E171" i="15"/>
  <c r="A172" i="15"/>
  <c r="B172" i="15"/>
  <c r="C172" i="15"/>
  <c r="E172" i="15"/>
  <c r="A173" i="15"/>
  <c r="B173" i="15"/>
  <c r="C173" i="15"/>
  <c r="E173" i="15"/>
  <c r="A174" i="15"/>
  <c r="B174" i="15"/>
  <c r="C174" i="15"/>
  <c r="E174" i="15"/>
  <c r="A175" i="15"/>
  <c r="B175" i="15"/>
  <c r="C175" i="15"/>
  <c r="E175" i="15"/>
  <c r="A176" i="15"/>
  <c r="B176" i="15"/>
  <c r="C176" i="15"/>
  <c r="E176" i="15"/>
  <c r="A177" i="15"/>
  <c r="B177" i="15"/>
  <c r="C177" i="15"/>
  <c r="E177" i="15"/>
  <c r="A178" i="15"/>
  <c r="B178" i="15"/>
  <c r="C178" i="15"/>
  <c r="E178" i="15"/>
  <c r="A179" i="15"/>
  <c r="B179" i="15"/>
  <c r="C179" i="15"/>
  <c r="E179" i="15"/>
  <c r="A180" i="15"/>
  <c r="B180" i="15"/>
  <c r="C180" i="15"/>
  <c r="E180" i="15"/>
  <c r="A181" i="15"/>
  <c r="B181" i="15"/>
  <c r="C181" i="15"/>
  <c r="E181" i="15"/>
  <c r="A182" i="15"/>
  <c r="B182" i="15"/>
  <c r="C182" i="15"/>
  <c r="E182" i="15"/>
  <c r="A183" i="15"/>
  <c r="B183" i="15"/>
  <c r="C183" i="15"/>
  <c r="E183" i="15"/>
  <c r="A184" i="15"/>
  <c r="B184" i="15"/>
  <c r="C184" i="15"/>
  <c r="E184" i="15"/>
  <c r="A185" i="15"/>
  <c r="B185" i="15"/>
  <c r="C185" i="15"/>
  <c r="E185" i="15"/>
  <c r="A186" i="15"/>
  <c r="B186" i="15"/>
  <c r="C186" i="15"/>
  <c r="E186" i="15"/>
  <c r="A187" i="15"/>
  <c r="B187" i="15"/>
  <c r="C187" i="15"/>
  <c r="E187" i="15"/>
  <c r="A188" i="15"/>
  <c r="B188" i="15"/>
  <c r="C188" i="15"/>
  <c r="E188" i="15"/>
  <c r="A189" i="15"/>
  <c r="B189" i="15"/>
  <c r="C189" i="15"/>
  <c r="E189" i="15"/>
  <c r="A190" i="15"/>
  <c r="B190" i="15"/>
  <c r="C190" i="15"/>
  <c r="E190" i="15"/>
  <c r="A191" i="15"/>
  <c r="B191" i="15"/>
  <c r="C191" i="15"/>
  <c r="E191" i="15"/>
  <c r="A192" i="15"/>
  <c r="B192" i="15"/>
  <c r="C192" i="15"/>
  <c r="E192" i="15"/>
  <c r="A193" i="15"/>
  <c r="B193" i="15"/>
  <c r="C193" i="15"/>
  <c r="E193" i="15"/>
  <c r="A194" i="15"/>
  <c r="B194" i="15"/>
  <c r="C194" i="15"/>
  <c r="E194" i="15"/>
  <c r="A195" i="15"/>
  <c r="B195" i="15"/>
  <c r="C195" i="15"/>
  <c r="E195" i="15"/>
  <c r="A196" i="15"/>
  <c r="B196" i="15"/>
  <c r="C196" i="15"/>
  <c r="E196" i="15"/>
  <c r="A197" i="15"/>
  <c r="B197" i="15"/>
  <c r="C197" i="15"/>
  <c r="E197" i="15"/>
  <c r="A198" i="15"/>
  <c r="B198" i="15"/>
  <c r="C198" i="15"/>
  <c r="E198" i="15"/>
  <c r="A199" i="15"/>
  <c r="B199" i="15"/>
  <c r="C199" i="15"/>
  <c r="E199" i="15"/>
  <c r="A200" i="15"/>
  <c r="B200" i="15"/>
  <c r="C200" i="15"/>
  <c r="E200" i="15"/>
  <c r="A201" i="15"/>
  <c r="B201" i="15"/>
  <c r="C201" i="15"/>
  <c r="E201" i="15"/>
  <c r="A202" i="15"/>
  <c r="B202" i="15"/>
  <c r="C202" i="15"/>
  <c r="E202" i="15"/>
  <c r="A203" i="15"/>
  <c r="B203" i="15"/>
  <c r="C203" i="15"/>
  <c r="E203" i="15"/>
  <c r="A204" i="15"/>
  <c r="B204" i="15"/>
  <c r="C204" i="15"/>
  <c r="E204" i="15"/>
  <c r="A205" i="15"/>
  <c r="B205" i="15"/>
  <c r="C205" i="15"/>
  <c r="E205" i="15"/>
  <c r="A206" i="15"/>
  <c r="B206" i="15"/>
  <c r="C206" i="15"/>
  <c r="E206" i="15"/>
  <c r="A207" i="15"/>
  <c r="B207" i="15"/>
  <c r="C207" i="15"/>
  <c r="E207" i="15"/>
  <c r="A208" i="15"/>
  <c r="B208" i="15"/>
  <c r="C208" i="15"/>
  <c r="E208" i="15"/>
  <c r="A209" i="15"/>
  <c r="B209" i="15"/>
  <c r="C209" i="15"/>
  <c r="E209" i="15"/>
  <c r="A210" i="15"/>
  <c r="B210" i="15"/>
  <c r="C210" i="15"/>
  <c r="E210" i="15"/>
  <c r="A211" i="15"/>
  <c r="B211" i="15"/>
  <c r="C211" i="15"/>
  <c r="E211" i="15"/>
  <c r="A212" i="15"/>
  <c r="B212" i="15"/>
  <c r="C212" i="15"/>
  <c r="E212" i="15"/>
  <c r="A213" i="15"/>
  <c r="B213" i="15"/>
  <c r="C213" i="15"/>
  <c r="E213" i="15"/>
  <c r="A214" i="15"/>
  <c r="B214" i="15"/>
  <c r="C214" i="15"/>
  <c r="E214" i="15"/>
  <c r="A215" i="15"/>
  <c r="B215" i="15"/>
  <c r="C215" i="15"/>
  <c r="E215" i="15"/>
  <c r="A216" i="15"/>
  <c r="B216" i="15"/>
  <c r="C216" i="15"/>
  <c r="E216" i="15"/>
  <c r="A217" i="15"/>
  <c r="B217" i="15"/>
  <c r="C217" i="15"/>
  <c r="E217" i="15"/>
  <c r="A218" i="15"/>
  <c r="B218" i="15"/>
  <c r="C218" i="15"/>
  <c r="E218" i="15"/>
  <c r="A219" i="15"/>
  <c r="B219" i="15"/>
  <c r="C219" i="15"/>
  <c r="E219" i="15"/>
  <c r="A220" i="15"/>
  <c r="B220" i="15"/>
  <c r="C220" i="15"/>
  <c r="E220" i="15"/>
  <c r="A221" i="15"/>
  <c r="B221" i="15"/>
  <c r="C221" i="15"/>
  <c r="E221" i="15"/>
  <c r="A222" i="15"/>
  <c r="B222" i="15"/>
  <c r="C222" i="15"/>
  <c r="E222" i="15"/>
  <c r="A223" i="15"/>
  <c r="B223" i="15"/>
  <c r="C223" i="15"/>
  <c r="E223" i="15"/>
  <c r="A224" i="15"/>
  <c r="B224" i="15"/>
  <c r="C224" i="15"/>
  <c r="E224" i="15"/>
  <c r="A225" i="15"/>
  <c r="B225" i="15"/>
  <c r="C225" i="15"/>
  <c r="E225" i="15"/>
  <c r="A226" i="15"/>
  <c r="B226" i="15"/>
  <c r="C226" i="15"/>
  <c r="E226" i="15"/>
  <c r="A227" i="15"/>
  <c r="B227" i="15"/>
  <c r="C227" i="15"/>
  <c r="E227" i="15"/>
  <c r="A228" i="15"/>
  <c r="B228" i="15"/>
  <c r="C228" i="15"/>
  <c r="E228" i="15"/>
  <c r="A229" i="15"/>
  <c r="B229" i="15"/>
  <c r="C229" i="15"/>
  <c r="E229" i="15"/>
  <c r="A230" i="15"/>
  <c r="B230" i="15"/>
  <c r="C230" i="15"/>
  <c r="E230" i="15"/>
  <c r="A231" i="15"/>
  <c r="B231" i="15"/>
  <c r="C231" i="15"/>
  <c r="E231" i="15"/>
  <c r="A232" i="15"/>
  <c r="B232" i="15"/>
  <c r="C232" i="15"/>
  <c r="E232" i="15"/>
  <c r="A233" i="15"/>
  <c r="B233" i="15"/>
  <c r="C233" i="15"/>
  <c r="E233" i="15"/>
  <c r="A234" i="15"/>
  <c r="B234" i="15"/>
  <c r="C234" i="15"/>
  <c r="E234" i="15"/>
  <c r="A235" i="15"/>
  <c r="B235" i="15"/>
  <c r="C235" i="15"/>
  <c r="E235" i="15"/>
  <c r="A236" i="15"/>
  <c r="B236" i="15"/>
  <c r="C236" i="15"/>
  <c r="E236" i="15"/>
  <c r="A237" i="15"/>
  <c r="B237" i="15"/>
  <c r="C237" i="15"/>
  <c r="E237" i="15"/>
  <c r="A238" i="15"/>
  <c r="B238" i="15"/>
  <c r="C238" i="15"/>
  <c r="E238" i="15"/>
  <c r="A239" i="15"/>
  <c r="B239" i="15"/>
  <c r="C239" i="15"/>
  <c r="E239" i="15"/>
  <c r="A240" i="15"/>
  <c r="B240" i="15"/>
  <c r="C240" i="15"/>
  <c r="E240" i="15"/>
  <c r="A241" i="15"/>
  <c r="B241" i="15"/>
  <c r="C241" i="15"/>
  <c r="E241" i="15"/>
  <c r="A242" i="15"/>
  <c r="B242" i="15"/>
  <c r="C242" i="15"/>
  <c r="E242" i="15"/>
  <c r="A243" i="15"/>
  <c r="B243" i="15"/>
  <c r="C243" i="15"/>
  <c r="E243" i="15"/>
  <c r="E123" i="15"/>
  <c r="C123" i="15"/>
  <c r="B123" i="15"/>
  <c r="A123" i="15"/>
  <c r="A3" i="15"/>
  <c r="B3" i="15"/>
  <c r="C3" i="15"/>
  <c r="E3" i="15"/>
  <c r="A4" i="15"/>
  <c r="B4" i="15"/>
  <c r="C4" i="15"/>
  <c r="E4" i="15"/>
  <c r="A5" i="15"/>
  <c r="B5" i="15"/>
  <c r="C5" i="15"/>
  <c r="E5" i="15"/>
  <c r="A6" i="15"/>
  <c r="B6" i="15"/>
  <c r="C6" i="15"/>
  <c r="E6" i="15"/>
  <c r="A7" i="15"/>
  <c r="B7" i="15"/>
  <c r="C7" i="15"/>
  <c r="E7" i="15"/>
  <c r="A8" i="15"/>
  <c r="B8" i="15"/>
  <c r="C8" i="15"/>
  <c r="E8" i="15"/>
  <c r="A9" i="15"/>
  <c r="B9" i="15"/>
  <c r="C9" i="15"/>
  <c r="E9" i="15"/>
  <c r="A10" i="15"/>
  <c r="B10" i="15"/>
  <c r="C10" i="15"/>
  <c r="E10" i="15"/>
  <c r="A11" i="15"/>
  <c r="B11" i="15"/>
  <c r="C11" i="15"/>
  <c r="E11" i="15"/>
  <c r="A12" i="15"/>
  <c r="B12" i="15"/>
  <c r="C12" i="15"/>
  <c r="E12" i="15"/>
  <c r="A13" i="15"/>
  <c r="B13" i="15"/>
  <c r="C13" i="15"/>
  <c r="E13" i="15"/>
  <c r="A14" i="15"/>
  <c r="B14" i="15"/>
  <c r="C14" i="15"/>
  <c r="E14" i="15"/>
  <c r="A15" i="15"/>
  <c r="B15" i="15"/>
  <c r="C15" i="15"/>
  <c r="E15" i="15"/>
  <c r="A16" i="15"/>
  <c r="B16" i="15"/>
  <c r="C16" i="15"/>
  <c r="E16" i="15"/>
  <c r="A17" i="15"/>
  <c r="B17" i="15"/>
  <c r="C17" i="15"/>
  <c r="E17" i="15"/>
  <c r="A18" i="15"/>
  <c r="B18" i="15"/>
  <c r="C18" i="15"/>
  <c r="E18" i="15"/>
  <c r="A19" i="15"/>
  <c r="B19" i="15"/>
  <c r="C19" i="15"/>
  <c r="E19" i="15"/>
  <c r="A20" i="15"/>
  <c r="B20" i="15"/>
  <c r="C20" i="15"/>
  <c r="E20" i="15"/>
  <c r="A21" i="15"/>
  <c r="B21" i="15"/>
  <c r="C21" i="15"/>
  <c r="E21" i="15"/>
  <c r="A22" i="15"/>
  <c r="B22" i="15"/>
  <c r="C22" i="15"/>
  <c r="E22" i="15"/>
  <c r="A23" i="15"/>
  <c r="B23" i="15"/>
  <c r="C23" i="15"/>
  <c r="E23" i="15"/>
  <c r="A24" i="15"/>
  <c r="B24" i="15"/>
  <c r="C24" i="15"/>
  <c r="E24" i="15"/>
  <c r="A25" i="15"/>
  <c r="B25" i="15"/>
  <c r="C25" i="15"/>
  <c r="E25" i="15"/>
  <c r="A26" i="15"/>
  <c r="B26" i="15"/>
  <c r="C26" i="15"/>
  <c r="E26" i="15"/>
  <c r="A27" i="15"/>
  <c r="B27" i="15"/>
  <c r="C27" i="15"/>
  <c r="E27" i="15"/>
  <c r="A28" i="15"/>
  <c r="B28" i="15"/>
  <c r="C28" i="15"/>
  <c r="E28" i="15"/>
  <c r="A29" i="15"/>
  <c r="B29" i="15"/>
  <c r="C29" i="15"/>
  <c r="E29" i="15"/>
  <c r="A30" i="15"/>
  <c r="B30" i="15"/>
  <c r="C30" i="15"/>
  <c r="E30" i="15"/>
  <c r="A31" i="15"/>
  <c r="B31" i="15"/>
  <c r="C31" i="15"/>
  <c r="E31" i="15"/>
  <c r="A32" i="15"/>
  <c r="B32" i="15"/>
  <c r="C32" i="15"/>
  <c r="E32" i="15"/>
  <c r="A33" i="15"/>
  <c r="B33" i="15"/>
  <c r="C33" i="15"/>
  <c r="E33" i="15"/>
  <c r="A34" i="15"/>
  <c r="B34" i="15"/>
  <c r="C34" i="15"/>
  <c r="E34" i="15"/>
  <c r="A35" i="15"/>
  <c r="B35" i="15"/>
  <c r="C35" i="15"/>
  <c r="E35" i="15"/>
  <c r="A36" i="15"/>
  <c r="B36" i="15"/>
  <c r="C36" i="15"/>
  <c r="E36" i="15"/>
  <c r="A37" i="15"/>
  <c r="B37" i="15"/>
  <c r="C37" i="15"/>
  <c r="E37" i="15"/>
  <c r="A38" i="15"/>
  <c r="B38" i="15"/>
  <c r="C38" i="15"/>
  <c r="E38" i="15"/>
  <c r="A39" i="15"/>
  <c r="B39" i="15"/>
  <c r="C39" i="15"/>
  <c r="E39" i="15"/>
  <c r="A40" i="15"/>
  <c r="B40" i="15"/>
  <c r="C40" i="15"/>
  <c r="E40" i="15"/>
  <c r="A41" i="15"/>
  <c r="B41" i="15"/>
  <c r="C41" i="15"/>
  <c r="E41" i="15"/>
  <c r="A42" i="15"/>
  <c r="B42" i="15"/>
  <c r="C42" i="15"/>
  <c r="E42" i="15"/>
  <c r="A43" i="15"/>
  <c r="B43" i="15"/>
  <c r="C43" i="15"/>
  <c r="E43" i="15"/>
  <c r="A44" i="15"/>
  <c r="B44" i="15"/>
  <c r="C44" i="15"/>
  <c r="E44" i="15"/>
  <c r="A45" i="15"/>
  <c r="B45" i="15"/>
  <c r="C45" i="15"/>
  <c r="E45" i="15"/>
  <c r="A46" i="15"/>
  <c r="B46" i="15"/>
  <c r="C46" i="15"/>
  <c r="E46" i="15"/>
  <c r="A47" i="15"/>
  <c r="B47" i="15"/>
  <c r="C47" i="15"/>
  <c r="E47" i="15"/>
  <c r="A48" i="15"/>
  <c r="B48" i="15"/>
  <c r="C48" i="15"/>
  <c r="E48" i="15"/>
  <c r="A49" i="15"/>
  <c r="B49" i="15"/>
  <c r="C49" i="15"/>
  <c r="E49" i="15"/>
  <c r="A50" i="15"/>
  <c r="B50" i="15"/>
  <c r="C50" i="15"/>
  <c r="E50" i="15"/>
  <c r="A51" i="15"/>
  <c r="B51" i="15"/>
  <c r="C51" i="15"/>
  <c r="E51" i="15"/>
  <c r="A52" i="15"/>
  <c r="B52" i="15"/>
  <c r="C52" i="15"/>
  <c r="E52" i="15"/>
  <c r="A53" i="15"/>
  <c r="B53" i="15"/>
  <c r="C53" i="15"/>
  <c r="E53" i="15"/>
  <c r="A54" i="15"/>
  <c r="B54" i="15"/>
  <c r="C54" i="15"/>
  <c r="E54" i="15"/>
  <c r="A55" i="15"/>
  <c r="B55" i="15"/>
  <c r="C55" i="15"/>
  <c r="E55" i="15"/>
  <c r="A56" i="15"/>
  <c r="B56" i="15"/>
  <c r="C56" i="15"/>
  <c r="E56" i="15"/>
  <c r="A57" i="15"/>
  <c r="B57" i="15"/>
  <c r="C57" i="15"/>
  <c r="E57" i="15"/>
  <c r="A58" i="15"/>
  <c r="B58" i="15"/>
  <c r="C58" i="15"/>
  <c r="E58" i="15"/>
  <c r="A59" i="15"/>
  <c r="B59" i="15"/>
  <c r="C59" i="15"/>
  <c r="E59" i="15"/>
  <c r="A60" i="15"/>
  <c r="B60" i="15"/>
  <c r="C60" i="15"/>
  <c r="E60" i="15"/>
  <c r="A61" i="15"/>
  <c r="B61" i="15"/>
  <c r="C61" i="15"/>
  <c r="E61" i="15"/>
  <c r="A62" i="15"/>
  <c r="B62" i="15"/>
  <c r="C62" i="15"/>
  <c r="E62" i="15"/>
  <c r="A63" i="15"/>
  <c r="B63" i="15"/>
  <c r="C63" i="15"/>
  <c r="E63" i="15"/>
  <c r="A64" i="15"/>
  <c r="B64" i="15"/>
  <c r="C64" i="15"/>
  <c r="E64" i="15"/>
  <c r="A65" i="15"/>
  <c r="B65" i="15"/>
  <c r="C65" i="15"/>
  <c r="E65" i="15"/>
  <c r="A66" i="15"/>
  <c r="B66" i="15"/>
  <c r="C66" i="15"/>
  <c r="E66" i="15"/>
  <c r="A67" i="15"/>
  <c r="B67" i="15"/>
  <c r="C67" i="15"/>
  <c r="E67" i="15"/>
  <c r="A68" i="15"/>
  <c r="B68" i="15"/>
  <c r="C68" i="15"/>
  <c r="E68" i="15"/>
  <c r="A69" i="15"/>
  <c r="B69" i="15"/>
  <c r="C69" i="15"/>
  <c r="E69" i="15"/>
  <c r="A70" i="15"/>
  <c r="B70" i="15"/>
  <c r="C70" i="15"/>
  <c r="E70" i="15"/>
  <c r="A71" i="15"/>
  <c r="B71" i="15"/>
  <c r="C71" i="15"/>
  <c r="E71" i="15"/>
  <c r="A72" i="15"/>
  <c r="B72" i="15"/>
  <c r="C72" i="15"/>
  <c r="E72" i="15"/>
  <c r="A73" i="15"/>
  <c r="B73" i="15"/>
  <c r="C73" i="15"/>
  <c r="E73" i="15"/>
  <c r="A74" i="15"/>
  <c r="B74" i="15"/>
  <c r="C74" i="15"/>
  <c r="E74" i="15"/>
  <c r="A75" i="15"/>
  <c r="B75" i="15"/>
  <c r="C75" i="15"/>
  <c r="E75" i="15"/>
  <c r="A76" i="15"/>
  <c r="B76" i="15"/>
  <c r="C76" i="15"/>
  <c r="E76" i="15"/>
  <c r="A77" i="15"/>
  <c r="B77" i="15"/>
  <c r="C77" i="15"/>
  <c r="E77" i="15"/>
  <c r="A78" i="15"/>
  <c r="B78" i="15"/>
  <c r="C78" i="15"/>
  <c r="E78" i="15"/>
  <c r="A79" i="15"/>
  <c r="B79" i="15"/>
  <c r="C79" i="15"/>
  <c r="E79" i="15"/>
  <c r="A80" i="15"/>
  <c r="B80" i="15"/>
  <c r="C80" i="15"/>
  <c r="E80" i="15"/>
  <c r="A81" i="15"/>
  <c r="B81" i="15"/>
  <c r="C81" i="15"/>
  <c r="E81" i="15"/>
  <c r="A82" i="15"/>
  <c r="B82" i="15"/>
  <c r="C82" i="15"/>
  <c r="E82" i="15"/>
  <c r="A83" i="15"/>
  <c r="B83" i="15"/>
  <c r="C83" i="15"/>
  <c r="E83" i="15"/>
  <c r="A84" i="15"/>
  <c r="B84" i="15"/>
  <c r="C84" i="15"/>
  <c r="E84" i="15"/>
  <c r="A85" i="15"/>
  <c r="B85" i="15"/>
  <c r="C85" i="15"/>
  <c r="E85" i="15"/>
  <c r="A86" i="15"/>
  <c r="B86" i="15"/>
  <c r="C86" i="15"/>
  <c r="E86" i="15"/>
  <c r="A87" i="15"/>
  <c r="B87" i="15"/>
  <c r="C87" i="15"/>
  <c r="E87" i="15"/>
  <c r="A88" i="15"/>
  <c r="B88" i="15"/>
  <c r="C88" i="15"/>
  <c r="E88" i="15"/>
  <c r="A89" i="15"/>
  <c r="B89" i="15"/>
  <c r="C89" i="15"/>
  <c r="E89" i="15"/>
  <c r="A90" i="15"/>
  <c r="B90" i="15"/>
  <c r="C90" i="15"/>
  <c r="E90" i="15"/>
  <c r="A91" i="15"/>
  <c r="B91" i="15"/>
  <c r="C91" i="15"/>
  <c r="E91" i="15"/>
  <c r="A92" i="15"/>
  <c r="B92" i="15"/>
  <c r="C92" i="15"/>
  <c r="E92" i="15"/>
  <c r="A93" i="15"/>
  <c r="B93" i="15"/>
  <c r="C93" i="15"/>
  <c r="E93" i="15"/>
  <c r="A94" i="15"/>
  <c r="B94" i="15"/>
  <c r="C94" i="15"/>
  <c r="E94" i="15"/>
  <c r="A95" i="15"/>
  <c r="B95" i="15"/>
  <c r="C95" i="15"/>
  <c r="E95" i="15"/>
  <c r="A96" i="15"/>
  <c r="B96" i="15"/>
  <c r="C96" i="15"/>
  <c r="E96" i="15"/>
  <c r="A97" i="15"/>
  <c r="B97" i="15"/>
  <c r="C97" i="15"/>
  <c r="E97" i="15"/>
  <c r="A98" i="15"/>
  <c r="B98" i="15"/>
  <c r="C98" i="15"/>
  <c r="E98" i="15"/>
  <c r="A99" i="15"/>
  <c r="B99" i="15"/>
  <c r="C99" i="15"/>
  <c r="E99" i="15"/>
  <c r="A100" i="15"/>
  <c r="B100" i="15"/>
  <c r="C100" i="15"/>
  <c r="E100" i="15"/>
  <c r="A101" i="15"/>
  <c r="B101" i="15"/>
  <c r="C101" i="15"/>
  <c r="E101" i="15"/>
  <c r="A102" i="15"/>
  <c r="B102" i="15"/>
  <c r="C102" i="15"/>
  <c r="E102" i="15"/>
  <c r="A103" i="15"/>
  <c r="B103" i="15"/>
  <c r="C103" i="15"/>
  <c r="E103" i="15"/>
  <c r="A104" i="15"/>
  <c r="B104" i="15"/>
  <c r="C104" i="15"/>
  <c r="E104" i="15"/>
  <c r="A105" i="15"/>
  <c r="B105" i="15"/>
  <c r="C105" i="15"/>
  <c r="E105" i="15"/>
  <c r="A106" i="15"/>
  <c r="B106" i="15"/>
  <c r="C106" i="15"/>
  <c r="E106" i="15"/>
  <c r="A107" i="15"/>
  <c r="B107" i="15"/>
  <c r="C107" i="15"/>
  <c r="E107" i="15"/>
  <c r="A108" i="15"/>
  <c r="B108" i="15"/>
  <c r="C108" i="15"/>
  <c r="E108" i="15"/>
  <c r="A109" i="15"/>
  <c r="B109" i="15"/>
  <c r="C109" i="15"/>
  <c r="E109" i="15"/>
  <c r="A110" i="15"/>
  <c r="B110" i="15"/>
  <c r="C110" i="15"/>
  <c r="E110" i="15"/>
  <c r="A111" i="15"/>
  <c r="B111" i="15"/>
  <c r="C111" i="15"/>
  <c r="E111" i="15"/>
  <c r="A112" i="15"/>
  <c r="B112" i="15"/>
  <c r="C112" i="15"/>
  <c r="E112" i="15"/>
  <c r="A113" i="15"/>
  <c r="B113" i="15"/>
  <c r="C113" i="15"/>
  <c r="E113" i="15"/>
  <c r="A114" i="15"/>
  <c r="B114" i="15"/>
  <c r="C114" i="15"/>
  <c r="E114" i="15"/>
  <c r="A115" i="15"/>
  <c r="B115" i="15"/>
  <c r="C115" i="15"/>
  <c r="E115" i="15"/>
  <c r="A116" i="15"/>
  <c r="B116" i="15"/>
  <c r="C116" i="15"/>
  <c r="E116" i="15"/>
  <c r="A117" i="15"/>
  <c r="B117" i="15"/>
  <c r="C117" i="15"/>
  <c r="E117" i="15"/>
  <c r="A118" i="15"/>
  <c r="B118" i="15"/>
  <c r="C118" i="15"/>
  <c r="E118" i="15"/>
  <c r="A119" i="15"/>
  <c r="B119" i="15"/>
  <c r="C119" i="15"/>
  <c r="E119" i="15"/>
  <c r="A120" i="15"/>
  <c r="B120" i="15"/>
  <c r="C120" i="15"/>
  <c r="E120" i="15"/>
  <c r="A121" i="15"/>
  <c r="B121" i="15"/>
  <c r="C121" i="15"/>
  <c r="E121" i="15"/>
  <c r="A122" i="15"/>
  <c r="B122" i="15"/>
  <c r="C122" i="15"/>
  <c r="E122" i="15"/>
  <c r="E2" i="15"/>
  <c r="C2" i="15"/>
  <c r="B2" i="15"/>
  <c r="A2" i="15"/>
  <c r="E21" i="12"/>
  <c r="F21" i="12"/>
  <c r="D21" i="12"/>
  <c r="D19" i="10"/>
  <c r="E19" i="10"/>
  <c r="C19" i="10"/>
  <c r="G4" i="13" l="1"/>
  <c r="F2" i="13" l="1"/>
  <c r="G2" i="13" s="1"/>
  <c r="F3" i="13"/>
  <c r="G3" i="13" s="1"/>
  <c r="F4" i="13"/>
  <c r="F5" i="13"/>
  <c r="G5" i="13" s="1"/>
  <c r="F6" i="13"/>
  <c r="G6" i="13" s="1"/>
  <c r="F7" i="13"/>
  <c r="G7" i="13" s="1"/>
  <c r="F8" i="13"/>
  <c r="G8" i="13" s="1"/>
  <c r="F9" i="13"/>
  <c r="G9" i="13" s="1"/>
  <c r="F10" i="13"/>
  <c r="G10" i="13" s="1"/>
  <c r="F11" i="13"/>
  <c r="G11" i="13" s="1"/>
  <c r="F12" i="13"/>
  <c r="G12" i="13" s="1"/>
  <c r="F13" i="13"/>
  <c r="G13" i="13" s="1"/>
  <c r="F14" i="13"/>
  <c r="G14" i="13" s="1"/>
  <c r="F15" i="13"/>
  <c r="G15" i="13" s="1"/>
  <c r="F16" i="13"/>
  <c r="G16" i="13" s="1"/>
  <c r="F17" i="13"/>
  <c r="G17" i="13" s="1"/>
  <c r="F18" i="13"/>
  <c r="G18" i="13" s="1"/>
  <c r="F19" i="13"/>
  <c r="G19" i="13" s="1"/>
  <c r="F20" i="13"/>
  <c r="G20" i="13" s="1"/>
  <c r="F21" i="13"/>
  <c r="G21" i="13" s="1"/>
  <c r="F22" i="13"/>
  <c r="G22" i="13" s="1"/>
  <c r="F23" i="13"/>
  <c r="G23" i="13" s="1"/>
  <c r="F24" i="13"/>
  <c r="G24" i="13" s="1"/>
  <c r="F25" i="13"/>
  <c r="G25" i="13" s="1"/>
  <c r="F26" i="13"/>
  <c r="G26" i="13" s="1"/>
  <c r="F27" i="13"/>
  <c r="G27" i="13" s="1"/>
  <c r="F28" i="13"/>
  <c r="G28" i="13" s="1"/>
  <c r="F29" i="13"/>
  <c r="G29" i="13" s="1"/>
  <c r="F30" i="13"/>
  <c r="G30" i="13" s="1"/>
  <c r="F31" i="13"/>
  <c r="G31" i="13" s="1"/>
  <c r="F32" i="13"/>
  <c r="G32" i="13" s="1"/>
  <c r="F33" i="13"/>
  <c r="G33" i="13" s="1"/>
  <c r="F34" i="13"/>
  <c r="G34" i="13" s="1"/>
  <c r="F35" i="13"/>
  <c r="G35" i="13" s="1"/>
  <c r="F36" i="13"/>
  <c r="G36" i="13" s="1"/>
  <c r="F37" i="13"/>
  <c r="G37" i="13" s="1"/>
  <c r="F38" i="13"/>
  <c r="G38" i="13" s="1"/>
  <c r="F39" i="13"/>
  <c r="G39" i="13" s="1"/>
  <c r="F40" i="13"/>
  <c r="G40" i="13" s="1"/>
  <c r="F41" i="13"/>
  <c r="G41" i="13" s="1"/>
  <c r="F42" i="13"/>
  <c r="G42" i="13" s="1"/>
  <c r="F43" i="13"/>
  <c r="G43" i="13" s="1"/>
  <c r="F44" i="13"/>
  <c r="G44" i="13" s="1"/>
  <c r="F45" i="13"/>
  <c r="G45" i="13" s="1"/>
  <c r="F46" i="13"/>
  <c r="G46" i="13" s="1"/>
  <c r="F47" i="13"/>
  <c r="G47" i="13" s="1"/>
  <c r="F48" i="13"/>
  <c r="G48" i="13" s="1"/>
  <c r="F49" i="13"/>
  <c r="G49" i="13" s="1"/>
  <c r="F50" i="13"/>
  <c r="G50" i="13" s="1"/>
  <c r="F51" i="13"/>
  <c r="G51" i="13" s="1"/>
  <c r="F52" i="13"/>
  <c r="G52" i="13" s="1"/>
  <c r="F53" i="13"/>
  <c r="G53" i="13" s="1"/>
  <c r="F54" i="13"/>
  <c r="G54" i="13" s="1"/>
  <c r="F55" i="13"/>
  <c r="G55" i="13" s="1"/>
  <c r="F56" i="13"/>
  <c r="G56" i="13" s="1"/>
  <c r="F57" i="13"/>
  <c r="G57" i="13" s="1"/>
  <c r="F58" i="13"/>
  <c r="G58" i="13" s="1"/>
  <c r="F59" i="13"/>
  <c r="G59" i="13" s="1"/>
  <c r="F60" i="13"/>
  <c r="G60" i="13" s="1"/>
  <c r="F61" i="13"/>
  <c r="G61" i="13" s="1"/>
  <c r="F62" i="13"/>
  <c r="G62" i="13" s="1"/>
  <c r="F63" i="13"/>
  <c r="G63" i="13" s="1"/>
  <c r="F64" i="13"/>
  <c r="G64" i="13" s="1"/>
  <c r="F65" i="13"/>
  <c r="G65" i="13" s="1"/>
  <c r="F66" i="13"/>
  <c r="G66" i="13" s="1"/>
  <c r="F67" i="13"/>
  <c r="G67" i="13" s="1"/>
  <c r="F68" i="13"/>
  <c r="G68" i="13" s="1"/>
  <c r="F69" i="13"/>
  <c r="G69" i="13" s="1"/>
  <c r="F70" i="13"/>
  <c r="G70" i="13" s="1"/>
  <c r="F71" i="13"/>
  <c r="G71" i="13" s="1"/>
  <c r="F72" i="13"/>
  <c r="G72" i="13" s="1"/>
  <c r="F73" i="13"/>
  <c r="G73" i="13" s="1"/>
  <c r="F74" i="13"/>
  <c r="G74" i="13" s="1"/>
  <c r="F75" i="13"/>
  <c r="G75" i="13" s="1"/>
  <c r="F76" i="13"/>
  <c r="G76" i="13" s="1"/>
  <c r="F77" i="13"/>
  <c r="G77" i="13" s="1"/>
  <c r="F78" i="13"/>
  <c r="G78" i="13" s="1"/>
  <c r="F79" i="13"/>
  <c r="G79" i="13" s="1"/>
  <c r="F80" i="13"/>
  <c r="G80" i="13" s="1"/>
  <c r="F81" i="13"/>
  <c r="G81" i="13" s="1"/>
  <c r="F82" i="13"/>
  <c r="G82" i="13" s="1"/>
  <c r="F83" i="13"/>
  <c r="G83" i="13" s="1"/>
  <c r="F84" i="13"/>
  <c r="G84" i="13" s="1"/>
  <c r="F85" i="13"/>
  <c r="G85" i="13" s="1"/>
  <c r="F86" i="13"/>
  <c r="G86" i="13" s="1"/>
  <c r="F87" i="13"/>
  <c r="G87" i="13" s="1"/>
  <c r="F88" i="13"/>
  <c r="G88" i="13" s="1"/>
  <c r="F89" i="13"/>
  <c r="G89" i="13" s="1"/>
  <c r="F90" i="13"/>
  <c r="G90" i="13" s="1"/>
  <c r="F91" i="13"/>
  <c r="G91" i="13" s="1"/>
  <c r="F92" i="13"/>
  <c r="G92" i="13" s="1"/>
  <c r="F93" i="13"/>
  <c r="G93" i="13" s="1"/>
  <c r="F94" i="13"/>
  <c r="G94" i="13" s="1"/>
  <c r="F95" i="13"/>
  <c r="G95" i="13" s="1"/>
  <c r="F96" i="13"/>
  <c r="G96" i="13" s="1"/>
  <c r="F97" i="13"/>
  <c r="G97" i="13" s="1"/>
  <c r="F98" i="13"/>
  <c r="G98" i="13" s="1"/>
  <c r="F99" i="13"/>
  <c r="G99" i="13" s="1"/>
  <c r="F100" i="13"/>
  <c r="G100" i="13" s="1"/>
  <c r="F101" i="13"/>
  <c r="G101" i="13" s="1"/>
  <c r="F102" i="13"/>
  <c r="G102" i="13" s="1"/>
  <c r="F103" i="13"/>
  <c r="G103" i="13" s="1"/>
  <c r="F104" i="13"/>
  <c r="G104" i="13" s="1"/>
  <c r="F105" i="13"/>
  <c r="G105" i="13" s="1"/>
  <c r="F106" i="13"/>
  <c r="G106" i="13" s="1"/>
  <c r="F107" i="13"/>
  <c r="G107" i="13" s="1"/>
  <c r="F108" i="13"/>
  <c r="G108" i="13" s="1"/>
  <c r="F109" i="13"/>
  <c r="G109" i="13" s="1"/>
  <c r="F110" i="13"/>
  <c r="G110" i="13" s="1"/>
  <c r="F111" i="13"/>
  <c r="G111" i="13" s="1"/>
  <c r="F112" i="13"/>
  <c r="G112" i="13" s="1"/>
  <c r="F113" i="13"/>
  <c r="G113" i="13" s="1"/>
  <c r="F114" i="13"/>
  <c r="G114" i="13" s="1"/>
  <c r="F115" i="13"/>
  <c r="G115" i="13" s="1"/>
  <c r="F116" i="13"/>
  <c r="G116" i="13" s="1"/>
  <c r="F117" i="13"/>
  <c r="G117" i="13" s="1"/>
  <c r="F118" i="13"/>
  <c r="G118" i="13" s="1"/>
  <c r="F119" i="13"/>
  <c r="G119" i="13" s="1"/>
  <c r="F120" i="13"/>
  <c r="G120" i="13" s="1"/>
  <c r="F121" i="13"/>
  <c r="G121" i="13" s="1"/>
  <c r="F122" i="13"/>
  <c r="G122" i="13" s="1"/>
  <c r="F123" i="13"/>
  <c r="G123" i="13" s="1"/>
  <c r="F124" i="13"/>
  <c r="G124" i="13" s="1"/>
  <c r="F125" i="13"/>
  <c r="G125" i="13" s="1"/>
  <c r="F126" i="13"/>
  <c r="G126" i="13" s="1"/>
  <c r="F127" i="13"/>
  <c r="G127" i="13" s="1"/>
  <c r="F128" i="13"/>
  <c r="G128" i="13" s="1"/>
  <c r="F129" i="13"/>
  <c r="G129" i="13" s="1"/>
  <c r="F130" i="13"/>
  <c r="G130" i="13" s="1"/>
  <c r="F131" i="13"/>
  <c r="G131" i="13" s="1"/>
  <c r="F132" i="13"/>
  <c r="G132" i="13" s="1"/>
  <c r="F133" i="13"/>
  <c r="G133" i="13" s="1"/>
  <c r="F134" i="13"/>
  <c r="G134" i="13" s="1"/>
  <c r="F135" i="13"/>
  <c r="G135" i="13" s="1"/>
  <c r="F136" i="13"/>
  <c r="G136" i="13" s="1"/>
  <c r="F137" i="13"/>
  <c r="G137" i="13" s="1"/>
  <c r="F138" i="13"/>
  <c r="G138" i="13" s="1"/>
  <c r="F139" i="13"/>
  <c r="G139" i="13" s="1"/>
  <c r="F140" i="13"/>
  <c r="G140" i="13" s="1"/>
  <c r="F141" i="13"/>
  <c r="G141" i="13" s="1"/>
  <c r="F142" i="13"/>
  <c r="G142" i="13" s="1"/>
  <c r="F143" i="13"/>
  <c r="G143" i="13" s="1"/>
  <c r="F144" i="13"/>
  <c r="G144" i="13" s="1"/>
  <c r="F145" i="13"/>
  <c r="G145" i="13" s="1"/>
  <c r="F146" i="13"/>
  <c r="G146" i="13" s="1"/>
  <c r="F147" i="13"/>
  <c r="G147" i="13" s="1"/>
  <c r="F148" i="13"/>
  <c r="G148" i="13" s="1"/>
  <c r="F149" i="13"/>
  <c r="G149" i="13" s="1"/>
  <c r="F150" i="13"/>
  <c r="G150" i="13" s="1"/>
  <c r="F151" i="13"/>
  <c r="G151" i="13" s="1"/>
  <c r="F152" i="13"/>
  <c r="G152" i="13" s="1"/>
  <c r="F153" i="13"/>
  <c r="G153" i="13" s="1"/>
  <c r="F154" i="13"/>
  <c r="G154" i="13" s="1"/>
  <c r="F155" i="13"/>
  <c r="G155" i="13" s="1"/>
  <c r="F156" i="13"/>
  <c r="G156" i="13" s="1"/>
  <c r="F157" i="13"/>
  <c r="G157" i="13" s="1"/>
  <c r="F158" i="13"/>
  <c r="G158" i="13" s="1"/>
  <c r="F159" i="13"/>
  <c r="G159" i="13" s="1"/>
  <c r="F160" i="13"/>
  <c r="G160" i="13" s="1"/>
  <c r="F161" i="13"/>
  <c r="G161" i="13" s="1"/>
  <c r="F162" i="13"/>
  <c r="G162" i="13" s="1"/>
  <c r="F163" i="13"/>
  <c r="G163" i="13" s="1"/>
  <c r="F164" i="13"/>
  <c r="G164" i="13" s="1"/>
  <c r="F165" i="13"/>
  <c r="G165" i="13" s="1"/>
  <c r="F166" i="13"/>
  <c r="G166" i="13" s="1"/>
  <c r="F167" i="13"/>
  <c r="G167" i="13" s="1"/>
  <c r="F168" i="13"/>
  <c r="G168" i="13" s="1"/>
  <c r="F169" i="13"/>
  <c r="G169" i="13" s="1"/>
  <c r="F170" i="13"/>
  <c r="G170" i="13" s="1"/>
  <c r="F171" i="13"/>
  <c r="G171" i="13" s="1"/>
  <c r="F172" i="13"/>
  <c r="G172" i="13" s="1"/>
  <c r="F173" i="13"/>
  <c r="G173" i="13" s="1"/>
  <c r="F174" i="13"/>
  <c r="G174" i="13" s="1"/>
  <c r="F175" i="13"/>
  <c r="G175" i="13" s="1"/>
  <c r="F176" i="13"/>
  <c r="G176" i="13" s="1"/>
  <c r="F177" i="13"/>
  <c r="G177" i="13" s="1"/>
  <c r="F178" i="13"/>
  <c r="G178" i="13" s="1"/>
  <c r="F179" i="13"/>
  <c r="G179" i="13" s="1"/>
  <c r="F180" i="13"/>
  <c r="G180" i="13" s="1"/>
  <c r="F181" i="13"/>
  <c r="G181" i="13" s="1"/>
  <c r="F182" i="13"/>
  <c r="G182" i="13" s="1"/>
  <c r="F183" i="13"/>
  <c r="G183" i="13" s="1"/>
  <c r="F184" i="13"/>
  <c r="G184" i="13" s="1"/>
  <c r="F185" i="13"/>
  <c r="G185" i="13" s="1"/>
  <c r="F186" i="13"/>
  <c r="G186" i="13" s="1"/>
  <c r="F187" i="13"/>
  <c r="G187" i="13" s="1"/>
  <c r="F188" i="13"/>
  <c r="G188" i="13" s="1"/>
  <c r="F189" i="13"/>
  <c r="G189" i="13" s="1"/>
  <c r="F190" i="13"/>
  <c r="G190" i="13" s="1"/>
  <c r="F191" i="13"/>
  <c r="G191" i="13" s="1"/>
  <c r="F192" i="13"/>
  <c r="G192" i="13" s="1"/>
  <c r="F193" i="13"/>
  <c r="G193" i="13" s="1"/>
  <c r="F194" i="13"/>
  <c r="G194" i="13" s="1"/>
  <c r="F195" i="13"/>
  <c r="G195" i="13" s="1"/>
  <c r="F196" i="13"/>
  <c r="G196" i="13" s="1"/>
  <c r="F197" i="13"/>
  <c r="G197" i="13" s="1"/>
  <c r="F198" i="13"/>
  <c r="G198" i="13" s="1"/>
  <c r="F199" i="13"/>
  <c r="G199" i="13" s="1"/>
  <c r="F200" i="13"/>
  <c r="G200" i="13" s="1"/>
  <c r="F201" i="13"/>
  <c r="G201" i="13" s="1"/>
  <c r="F202" i="13"/>
  <c r="G202" i="13" s="1"/>
  <c r="F203" i="13"/>
  <c r="G203" i="13" s="1"/>
  <c r="F204" i="13"/>
  <c r="G204" i="13" s="1"/>
  <c r="F205" i="13"/>
  <c r="G205" i="13" s="1"/>
  <c r="F206" i="13"/>
  <c r="G206" i="13" s="1"/>
  <c r="F207" i="13"/>
  <c r="G207" i="13" s="1"/>
  <c r="F208" i="13"/>
  <c r="G208" i="13" s="1"/>
  <c r="F209" i="13"/>
  <c r="G209" i="13" s="1"/>
  <c r="F210" i="13"/>
  <c r="G210" i="13" s="1"/>
  <c r="F211" i="13"/>
  <c r="G211" i="13" s="1"/>
  <c r="F212" i="13"/>
  <c r="G212" i="13" s="1"/>
  <c r="F213" i="13"/>
  <c r="G213" i="13" s="1"/>
  <c r="F214" i="13"/>
  <c r="G214" i="13" s="1"/>
  <c r="F215" i="13"/>
  <c r="G215" i="13" s="1"/>
  <c r="F216" i="13"/>
  <c r="G216" i="13" s="1"/>
  <c r="F217" i="13"/>
  <c r="G217" i="13" s="1"/>
  <c r="F218" i="13"/>
  <c r="G218" i="13" s="1"/>
  <c r="F219" i="13"/>
  <c r="G219" i="13" s="1"/>
  <c r="F220" i="13"/>
  <c r="G220" i="13" s="1"/>
  <c r="F221" i="13"/>
  <c r="G221" i="13" s="1"/>
  <c r="F222" i="13"/>
  <c r="G222" i="13" s="1"/>
  <c r="F223" i="13"/>
  <c r="G223" i="13" s="1"/>
  <c r="F224" i="13"/>
  <c r="G224" i="13" s="1"/>
  <c r="F225" i="13"/>
  <c r="G225" i="13" s="1"/>
  <c r="F226" i="13"/>
  <c r="G226" i="13" s="1"/>
  <c r="F227" i="13"/>
  <c r="G227" i="13" s="1"/>
  <c r="F228" i="13"/>
  <c r="G228" i="13" s="1"/>
  <c r="F229" i="13"/>
  <c r="G229" i="13" s="1"/>
  <c r="F230" i="13"/>
  <c r="G230" i="13" s="1"/>
  <c r="F231" i="13"/>
  <c r="G231" i="13" s="1"/>
  <c r="F232" i="13"/>
  <c r="G232" i="13" s="1"/>
  <c r="F233" i="13"/>
  <c r="G233" i="13" s="1"/>
  <c r="F234" i="13"/>
  <c r="G234" i="13" s="1"/>
  <c r="F235" i="13"/>
  <c r="G235" i="13" s="1"/>
  <c r="F236" i="13"/>
  <c r="G236" i="13" s="1"/>
  <c r="F237" i="13"/>
  <c r="G237" i="13" s="1"/>
  <c r="F238" i="13"/>
  <c r="G238" i="13" s="1"/>
  <c r="F239" i="13"/>
  <c r="G239" i="13" s="1"/>
  <c r="F240" i="13"/>
  <c r="G240" i="13" s="1"/>
  <c r="F241" i="13"/>
  <c r="G241" i="13" s="1"/>
  <c r="F242" i="13"/>
  <c r="G242" i="13" s="1"/>
  <c r="F243" i="13"/>
  <c r="G243" i="13" s="1"/>
  <c r="F244" i="13"/>
  <c r="G244" i="13" s="1"/>
  <c r="F245" i="13"/>
  <c r="G245" i="13" s="1"/>
  <c r="F246" i="13"/>
  <c r="G246" i="13" s="1"/>
  <c r="F247" i="13"/>
  <c r="G247" i="13" s="1"/>
  <c r="F248" i="13"/>
  <c r="G248" i="13" s="1"/>
  <c r="F249" i="13"/>
  <c r="G249" i="13" s="1"/>
  <c r="F250" i="13"/>
  <c r="G250" i="13" s="1"/>
  <c r="F251" i="13"/>
  <c r="G251" i="13" s="1"/>
  <c r="F252" i="13"/>
  <c r="G252" i="13" s="1"/>
  <c r="F253" i="13"/>
  <c r="G253" i="13" s="1"/>
  <c r="F254" i="13"/>
  <c r="G254" i="13" s="1"/>
  <c r="F255" i="13"/>
  <c r="G255" i="13" s="1"/>
  <c r="F256" i="13"/>
  <c r="G256" i="13" s="1"/>
  <c r="F257" i="13"/>
  <c r="G257" i="13" s="1"/>
  <c r="F258" i="13"/>
  <c r="G258" i="13" s="1"/>
  <c r="F259" i="13"/>
  <c r="G259" i="13" s="1"/>
  <c r="F260" i="13"/>
  <c r="G260" i="13" s="1"/>
  <c r="F261" i="13"/>
  <c r="G261" i="13" s="1"/>
  <c r="F262" i="13"/>
  <c r="G262" i="13" s="1"/>
  <c r="F263" i="13"/>
  <c r="G263" i="13" s="1"/>
  <c r="F264" i="13"/>
  <c r="G264" i="13" s="1"/>
  <c r="F265" i="13"/>
  <c r="G265" i="13" s="1"/>
  <c r="F266" i="13"/>
  <c r="G266" i="13" s="1"/>
  <c r="F267" i="13"/>
  <c r="G267" i="13" s="1"/>
  <c r="F268" i="13"/>
  <c r="G268" i="13" s="1"/>
  <c r="F269" i="13"/>
  <c r="G269" i="13" s="1"/>
  <c r="F270" i="13"/>
  <c r="G270" i="13" s="1"/>
  <c r="F271" i="13"/>
  <c r="G271" i="13" s="1"/>
  <c r="F272" i="13"/>
  <c r="G272" i="13" s="1"/>
  <c r="F273" i="13"/>
  <c r="G273" i="13" s="1"/>
  <c r="F274" i="13"/>
  <c r="G274" i="13" s="1"/>
  <c r="F275" i="13"/>
  <c r="G275" i="13" s="1"/>
  <c r="F276" i="13"/>
  <c r="G276" i="13" s="1"/>
  <c r="F277" i="13"/>
  <c r="G277" i="13" s="1"/>
  <c r="F278" i="13"/>
  <c r="G278" i="13" s="1"/>
  <c r="F279" i="13"/>
  <c r="G279" i="13" s="1"/>
  <c r="F280" i="13"/>
  <c r="G280" i="13" s="1"/>
  <c r="F281" i="13"/>
  <c r="G281" i="13" s="1"/>
  <c r="F282" i="13"/>
  <c r="G282" i="13" s="1"/>
  <c r="F283" i="13"/>
  <c r="G283" i="13" s="1"/>
  <c r="F284" i="13"/>
  <c r="G284" i="13" s="1"/>
  <c r="F285" i="13"/>
  <c r="G285" i="13" s="1"/>
  <c r="F286" i="13"/>
  <c r="G286" i="13" s="1"/>
  <c r="F287" i="13"/>
  <c r="G287" i="13" s="1"/>
  <c r="F288" i="13"/>
  <c r="G288" i="13" s="1"/>
  <c r="F289" i="13"/>
  <c r="G289" i="13" s="1"/>
  <c r="F290" i="13"/>
  <c r="G290" i="13" s="1"/>
  <c r="F291" i="13"/>
  <c r="G291" i="13" s="1"/>
  <c r="F292" i="13"/>
  <c r="G292" i="13" s="1"/>
  <c r="F293" i="13"/>
  <c r="G293" i="13" s="1"/>
  <c r="F294" i="13"/>
  <c r="G294" i="13" s="1"/>
  <c r="F295" i="13"/>
  <c r="G295" i="13" s="1"/>
  <c r="F296" i="13"/>
  <c r="G296" i="13" s="1"/>
  <c r="F297" i="13"/>
  <c r="G297" i="13" s="1"/>
  <c r="F298" i="13"/>
  <c r="G298" i="13" s="1"/>
  <c r="F299" i="13"/>
  <c r="G299" i="13" s="1"/>
  <c r="F300" i="13"/>
  <c r="G300" i="13" s="1"/>
  <c r="F301" i="13"/>
  <c r="G301" i="13" s="1"/>
  <c r="F302" i="13"/>
  <c r="G302" i="13" s="1"/>
  <c r="F303" i="13"/>
  <c r="G303" i="13" s="1"/>
  <c r="F304" i="13"/>
  <c r="G304" i="13" s="1"/>
  <c r="F305" i="13"/>
  <c r="G305" i="13" s="1"/>
  <c r="F306" i="13"/>
  <c r="G306" i="13" s="1"/>
  <c r="F307" i="13"/>
  <c r="G307" i="13" s="1"/>
  <c r="F308" i="13"/>
  <c r="G308" i="13" s="1"/>
  <c r="F309" i="13"/>
  <c r="G309" i="13" s="1"/>
  <c r="F310" i="13"/>
  <c r="G310" i="13" s="1"/>
  <c r="F311" i="13"/>
  <c r="G311" i="13" s="1"/>
  <c r="F312" i="13"/>
  <c r="G312" i="13" s="1"/>
  <c r="F313" i="13"/>
  <c r="G313" i="13" s="1"/>
  <c r="F314" i="13"/>
  <c r="G314" i="13" s="1"/>
  <c r="F315" i="13"/>
  <c r="G315" i="13" s="1"/>
  <c r="F316" i="13"/>
  <c r="G316" i="13" s="1"/>
  <c r="F317" i="13"/>
  <c r="G317" i="13" s="1"/>
  <c r="F318" i="13"/>
  <c r="G318" i="13" s="1"/>
  <c r="F319" i="13"/>
  <c r="G319" i="13" s="1"/>
  <c r="F320" i="13"/>
  <c r="G320" i="13" s="1"/>
  <c r="F321" i="13"/>
  <c r="G321" i="13" s="1"/>
  <c r="F322" i="13"/>
  <c r="G322" i="13" s="1"/>
  <c r="F323" i="13"/>
  <c r="G323" i="13" s="1"/>
  <c r="F324" i="13"/>
  <c r="G324" i="13" s="1"/>
  <c r="F325" i="13"/>
  <c r="G325" i="13" s="1"/>
  <c r="F326" i="13"/>
  <c r="G326" i="13" s="1"/>
  <c r="F327" i="13"/>
  <c r="G327" i="13" s="1"/>
  <c r="F328" i="13"/>
  <c r="G328" i="13" s="1"/>
  <c r="F329" i="13"/>
  <c r="G329" i="13" s="1"/>
  <c r="F330" i="13"/>
  <c r="G330" i="13" s="1"/>
  <c r="F331" i="13"/>
  <c r="G331" i="13" s="1"/>
  <c r="F332" i="13"/>
  <c r="G332" i="13" s="1"/>
  <c r="F333" i="13"/>
  <c r="G333" i="13" s="1"/>
  <c r="F334" i="13"/>
  <c r="G334" i="13" s="1"/>
  <c r="F335" i="13"/>
  <c r="G335" i="13" s="1"/>
  <c r="F336" i="13"/>
  <c r="G336" i="13" s="1"/>
  <c r="F337" i="13"/>
  <c r="G337" i="13" s="1"/>
  <c r="F338" i="13"/>
  <c r="G338" i="13" s="1"/>
  <c r="F339" i="13"/>
  <c r="G339" i="13" s="1"/>
  <c r="F340" i="13"/>
  <c r="G340" i="13" s="1"/>
  <c r="F341" i="13"/>
  <c r="G341" i="13" s="1"/>
  <c r="F342" i="13"/>
  <c r="G342" i="13" s="1"/>
  <c r="F343" i="13"/>
  <c r="G343" i="13" s="1"/>
  <c r="F344" i="13"/>
  <c r="G344" i="13" s="1"/>
  <c r="F345" i="13"/>
  <c r="G345" i="13" s="1"/>
  <c r="F346" i="13"/>
  <c r="G346" i="13" s="1"/>
  <c r="F347" i="13"/>
  <c r="G347" i="13" s="1"/>
  <c r="F348" i="13"/>
  <c r="G348" i="13" s="1"/>
  <c r="F349" i="13"/>
  <c r="G349" i="13" s="1"/>
  <c r="F350" i="13"/>
  <c r="G350" i="13" s="1"/>
  <c r="F351" i="13"/>
  <c r="G351" i="13" s="1"/>
  <c r="F352" i="13"/>
  <c r="G352" i="13" s="1"/>
  <c r="F353" i="13"/>
  <c r="G353" i="13" s="1"/>
  <c r="F354" i="13"/>
  <c r="G354" i="13" s="1"/>
  <c r="F355" i="13"/>
  <c r="G355" i="13" s="1"/>
  <c r="F356" i="13"/>
  <c r="G356" i="13" s="1"/>
  <c r="F357" i="13"/>
  <c r="G357" i="13" s="1"/>
  <c r="F358" i="13"/>
  <c r="G358" i="13" s="1"/>
  <c r="F359" i="13"/>
  <c r="G359" i="13" s="1"/>
  <c r="F360" i="13"/>
  <c r="G360" i="13" s="1"/>
  <c r="F361" i="13"/>
  <c r="G361" i="13" s="1"/>
  <c r="F362" i="13"/>
  <c r="G362" i="13" s="1"/>
  <c r="F363" i="13"/>
  <c r="G363" i="13" s="1"/>
  <c r="F364" i="13"/>
  <c r="G364" i="13" s="1"/>
  <c r="A363" i="13"/>
  <c r="B363" i="13"/>
  <c r="C363" i="13"/>
  <c r="A364" i="13"/>
  <c r="B364" i="13"/>
  <c r="C364" i="13"/>
  <c r="A360" i="13"/>
  <c r="B360" i="13"/>
  <c r="C360" i="13"/>
  <c r="A361" i="13"/>
  <c r="B361" i="13"/>
  <c r="C361" i="13"/>
  <c r="A362" i="13"/>
  <c r="B362" i="13"/>
  <c r="C362" i="13"/>
  <c r="A339" i="13"/>
  <c r="B339" i="13"/>
  <c r="C339" i="13"/>
  <c r="A340" i="13"/>
  <c r="B340" i="13"/>
  <c r="C340" i="13"/>
  <c r="A341" i="13"/>
  <c r="B341" i="13"/>
  <c r="C341" i="13"/>
  <c r="A342" i="13"/>
  <c r="B342" i="13"/>
  <c r="C342" i="13"/>
  <c r="A343" i="13"/>
  <c r="B343" i="13"/>
  <c r="C343" i="13"/>
  <c r="A344" i="13"/>
  <c r="B344" i="13"/>
  <c r="C344" i="13"/>
  <c r="A345" i="13"/>
  <c r="B345" i="13"/>
  <c r="C345" i="13"/>
  <c r="A346" i="13"/>
  <c r="B346" i="13"/>
  <c r="C346" i="13"/>
  <c r="A347" i="13"/>
  <c r="B347" i="13"/>
  <c r="C347" i="13"/>
  <c r="A348" i="13"/>
  <c r="B348" i="13"/>
  <c r="C348" i="13"/>
  <c r="A349" i="13"/>
  <c r="B349" i="13"/>
  <c r="C349" i="13"/>
  <c r="A350" i="13"/>
  <c r="B350" i="13"/>
  <c r="C350" i="13"/>
  <c r="A351" i="13"/>
  <c r="B351" i="13"/>
  <c r="C351" i="13"/>
  <c r="A352" i="13"/>
  <c r="B352" i="13"/>
  <c r="C352" i="13"/>
  <c r="A353" i="13"/>
  <c r="B353" i="13"/>
  <c r="C353" i="13"/>
  <c r="A354" i="13"/>
  <c r="B354" i="13"/>
  <c r="C354" i="13"/>
  <c r="A355" i="13"/>
  <c r="B355" i="13"/>
  <c r="C355" i="13"/>
  <c r="A356" i="13"/>
  <c r="B356" i="13"/>
  <c r="C356" i="13"/>
  <c r="A357" i="13"/>
  <c r="B357" i="13"/>
  <c r="C357" i="13"/>
  <c r="A358" i="13"/>
  <c r="B358" i="13"/>
  <c r="C358" i="13"/>
  <c r="A359" i="13"/>
  <c r="B359" i="13"/>
  <c r="C359" i="13"/>
  <c r="A245" i="13"/>
  <c r="B245" i="13"/>
  <c r="C245" i="13"/>
  <c r="A246" i="13"/>
  <c r="B246" i="13"/>
  <c r="C246" i="13"/>
  <c r="A247" i="13"/>
  <c r="B247" i="13"/>
  <c r="C247" i="13"/>
  <c r="A248" i="13"/>
  <c r="B248" i="13"/>
  <c r="C248" i="13"/>
  <c r="A249" i="13"/>
  <c r="B249" i="13"/>
  <c r="C249" i="13"/>
  <c r="A250" i="13"/>
  <c r="B250" i="13"/>
  <c r="C250" i="13"/>
  <c r="A251" i="13"/>
  <c r="B251" i="13"/>
  <c r="C251" i="13"/>
  <c r="A252" i="13"/>
  <c r="B252" i="13"/>
  <c r="C252" i="13"/>
  <c r="A253" i="13"/>
  <c r="B253" i="13"/>
  <c r="C253" i="13"/>
  <c r="A254" i="13"/>
  <c r="B254" i="13"/>
  <c r="C254" i="13"/>
  <c r="A255" i="13"/>
  <c r="B255" i="13"/>
  <c r="C255" i="13"/>
  <c r="A256" i="13"/>
  <c r="B256" i="13"/>
  <c r="C256" i="13"/>
  <c r="A257" i="13"/>
  <c r="B257" i="13"/>
  <c r="C257" i="13"/>
  <c r="A258" i="13"/>
  <c r="B258" i="13"/>
  <c r="C258" i="13"/>
  <c r="A259" i="13"/>
  <c r="B259" i="13"/>
  <c r="C259" i="13"/>
  <c r="A260" i="13"/>
  <c r="B260" i="13"/>
  <c r="C260" i="13"/>
  <c r="A261" i="13"/>
  <c r="B261" i="13"/>
  <c r="C261" i="13"/>
  <c r="A262" i="13"/>
  <c r="B262" i="13"/>
  <c r="C262" i="13"/>
  <c r="A263" i="13"/>
  <c r="B263" i="13"/>
  <c r="C263" i="13"/>
  <c r="A264" i="13"/>
  <c r="B264" i="13"/>
  <c r="C264" i="13"/>
  <c r="A265" i="13"/>
  <c r="B265" i="13"/>
  <c r="C265" i="13"/>
  <c r="A266" i="13"/>
  <c r="B266" i="13"/>
  <c r="C266" i="13"/>
  <c r="A267" i="13"/>
  <c r="B267" i="13"/>
  <c r="C267" i="13"/>
  <c r="A268" i="13"/>
  <c r="B268" i="13"/>
  <c r="C268" i="13"/>
  <c r="A269" i="13"/>
  <c r="B269" i="13"/>
  <c r="C269" i="13"/>
  <c r="A270" i="13"/>
  <c r="B270" i="13"/>
  <c r="C270" i="13"/>
  <c r="A271" i="13"/>
  <c r="B271" i="13"/>
  <c r="C271" i="13"/>
  <c r="A272" i="13"/>
  <c r="B272" i="13"/>
  <c r="C272" i="13"/>
  <c r="A273" i="13"/>
  <c r="B273" i="13"/>
  <c r="C273" i="13"/>
  <c r="A274" i="13"/>
  <c r="B274" i="13"/>
  <c r="C274" i="13"/>
  <c r="A275" i="13"/>
  <c r="B275" i="13"/>
  <c r="C275" i="13"/>
  <c r="A276" i="13"/>
  <c r="B276" i="13"/>
  <c r="C276" i="13"/>
  <c r="A277" i="13"/>
  <c r="B277" i="13"/>
  <c r="C277" i="13"/>
  <c r="A278" i="13"/>
  <c r="B278" i="13"/>
  <c r="C278" i="13"/>
  <c r="A279" i="13"/>
  <c r="B279" i="13"/>
  <c r="C279" i="13"/>
  <c r="A280" i="13"/>
  <c r="B280" i="13"/>
  <c r="C280" i="13"/>
  <c r="A281" i="13"/>
  <c r="B281" i="13"/>
  <c r="C281" i="13"/>
  <c r="A282" i="13"/>
  <c r="B282" i="13"/>
  <c r="C282" i="13"/>
  <c r="A283" i="13"/>
  <c r="B283" i="13"/>
  <c r="C283" i="13"/>
  <c r="A284" i="13"/>
  <c r="B284" i="13"/>
  <c r="C284" i="13"/>
  <c r="A285" i="13"/>
  <c r="B285" i="13"/>
  <c r="C285" i="13"/>
  <c r="A286" i="13"/>
  <c r="B286" i="13"/>
  <c r="C286" i="13"/>
  <c r="A287" i="13"/>
  <c r="B287" i="13"/>
  <c r="C287" i="13"/>
  <c r="A288" i="13"/>
  <c r="B288" i="13"/>
  <c r="C288" i="13"/>
  <c r="A289" i="13"/>
  <c r="B289" i="13"/>
  <c r="C289" i="13"/>
  <c r="A290" i="13"/>
  <c r="B290" i="13"/>
  <c r="C290" i="13"/>
  <c r="A291" i="13"/>
  <c r="B291" i="13"/>
  <c r="C291" i="13"/>
  <c r="A292" i="13"/>
  <c r="B292" i="13"/>
  <c r="C292" i="13"/>
  <c r="A293" i="13"/>
  <c r="B293" i="13"/>
  <c r="C293" i="13"/>
  <c r="A294" i="13"/>
  <c r="B294" i="13"/>
  <c r="C294" i="13"/>
  <c r="A295" i="13"/>
  <c r="B295" i="13"/>
  <c r="C295" i="13"/>
  <c r="A296" i="13"/>
  <c r="B296" i="13"/>
  <c r="C296" i="13"/>
  <c r="A297" i="13"/>
  <c r="B297" i="13"/>
  <c r="C297" i="13"/>
  <c r="A298" i="13"/>
  <c r="B298" i="13"/>
  <c r="C298" i="13"/>
  <c r="A299" i="13"/>
  <c r="B299" i="13"/>
  <c r="C299" i="13"/>
  <c r="A300" i="13"/>
  <c r="B300" i="13"/>
  <c r="C300" i="13"/>
  <c r="A301" i="13"/>
  <c r="B301" i="13"/>
  <c r="C301" i="13"/>
  <c r="A302" i="13"/>
  <c r="B302" i="13"/>
  <c r="C302" i="13"/>
  <c r="A303" i="13"/>
  <c r="B303" i="13"/>
  <c r="C303" i="13"/>
  <c r="A304" i="13"/>
  <c r="B304" i="13"/>
  <c r="C304" i="13"/>
  <c r="A305" i="13"/>
  <c r="B305" i="13"/>
  <c r="C305" i="13"/>
  <c r="A306" i="13"/>
  <c r="B306" i="13"/>
  <c r="C306" i="13"/>
  <c r="A307" i="13"/>
  <c r="B307" i="13"/>
  <c r="C307" i="13"/>
  <c r="A308" i="13"/>
  <c r="B308" i="13"/>
  <c r="C308" i="13"/>
  <c r="A309" i="13"/>
  <c r="B309" i="13"/>
  <c r="C309" i="13"/>
  <c r="A310" i="13"/>
  <c r="B310" i="13"/>
  <c r="C310" i="13"/>
  <c r="A311" i="13"/>
  <c r="B311" i="13"/>
  <c r="C311" i="13"/>
  <c r="A312" i="13"/>
  <c r="B312" i="13"/>
  <c r="C312" i="13"/>
  <c r="A313" i="13"/>
  <c r="B313" i="13"/>
  <c r="C313" i="13"/>
  <c r="A314" i="13"/>
  <c r="B314" i="13"/>
  <c r="C314" i="13"/>
  <c r="A315" i="13"/>
  <c r="B315" i="13"/>
  <c r="C315" i="13"/>
  <c r="A316" i="13"/>
  <c r="B316" i="13"/>
  <c r="C316" i="13"/>
  <c r="A317" i="13"/>
  <c r="B317" i="13"/>
  <c r="C317" i="13"/>
  <c r="A318" i="13"/>
  <c r="B318" i="13"/>
  <c r="C318" i="13"/>
  <c r="A319" i="13"/>
  <c r="B319" i="13"/>
  <c r="C319" i="13"/>
  <c r="A320" i="13"/>
  <c r="B320" i="13"/>
  <c r="C320" i="13"/>
  <c r="A321" i="13"/>
  <c r="B321" i="13"/>
  <c r="C321" i="13"/>
  <c r="A322" i="13"/>
  <c r="B322" i="13"/>
  <c r="C322" i="13"/>
  <c r="A323" i="13"/>
  <c r="B323" i="13"/>
  <c r="C323" i="13"/>
  <c r="A324" i="13"/>
  <c r="B324" i="13"/>
  <c r="C324" i="13"/>
  <c r="A325" i="13"/>
  <c r="B325" i="13"/>
  <c r="C325" i="13"/>
  <c r="A326" i="13"/>
  <c r="B326" i="13"/>
  <c r="C326" i="13"/>
  <c r="A327" i="13"/>
  <c r="B327" i="13"/>
  <c r="C327" i="13"/>
  <c r="A328" i="13"/>
  <c r="B328" i="13"/>
  <c r="C328" i="13"/>
  <c r="A329" i="13"/>
  <c r="B329" i="13"/>
  <c r="C329" i="13"/>
  <c r="A330" i="13"/>
  <c r="B330" i="13"/>
  <c r="C330" i="13"/>
  <c r="A331" i="13"/>
  <c r="B331" i="13"/>
  <c r="C331" i="13"/>
  <c r="A332" i="13"/>
  <c r="B332" i="13"/>
  <c r="C332" i="13"/>
  <c r="A333" i="13"/>
  <c r="B333" i="13"/>
  <c r="C333" i="13"/>
  <c r="A334" i="13"/>
  <c r="B334" i="13"/>
  <c r="C334" i="13"/>
  <c r="A335" i="13"/>
  <c r="B335" i="13"/>
  <c r="C335" i="13"/>
  <c r="A336" i="13"/>
  <c r="B336" i="13"/>
  <c r="C336" i="13"/>
  <c r="A337" i="13"/>
  <c r="B337" i="13"/>
  <c r="C337" i="13"/>
  <c r="A338" i="13"/>
  <c r="B338" i="13"/>
  <c r="C338" i="13"/>
  <c r="C244" i="13"/>
  <c r="B244" i="13"/>
  <c r="A244" i="13"/>
  <c r="A243" i="13"/>
  <c r="B243" i="13"/>
  <c r="C243" i="13"/>
  <c r="A124" i="13"/>
  <c r="B124" i="13"/>
  <c r="C124" i="13"/>
  <c r="A125" i="13"/>
  <c r="B125" i="13"/>
  <c r="C125" i="13"/>
  <c r="A126" i="13"/>
  <c r="B126" i="13"/>
  <c r="C126" i="13"/>
  <c r="A127" i="13"/>
  <c r="B127" i="13"/>
  <c r="C127" i="13"/>
  <c r="A128" i="13"/>
  <c r="B128" i="13"/>
  <c r="C128" i="13"/>
  <c r="A129" i="13"/>
  <c r="B129" i="13"/>
  <c r="C129" i="13"/>
  <c r="A130" i="13"/>
  <c r="B130" i="13"/>
  <c r="C130" i="13"/>
  <c r="A131" i="13"/>
  <c r="B131" i="13"/>
  <c r="C131" i="13"/>
  <c r="A132" i="13"/>
  <c r="B132" i="13"/>
  <c r="C132" i="13"/>
  <c r="A133" i="13"/>
  <c r="B133" i="13"/>
  <c r="C133" i="13"/>
  <c r="A134" i="13"/>
  <c r="B134" i="13"/>
  <c r="C134" i="13"/>
  <c r="A135" i="13"/>
  <c r="B135" i="13"/>
  <c r="C135" i="13"/>
  <c r="A136" i="13"/>
  <c r="B136" i="13"/>
  <c r="C136" i="13"/>
  <c r="A137" i="13"/>
  <c r="B137" i="13"/>
  <c r="C137" i="13"/>
  <c r="A138" i="13"/>
  <c r="B138" i="13"/>
  <c r="C138" i="13"/>
  <c r="A139" i="13"/>
  <c r="B139" i="13"/>
  <c r="C139" i="13"/>
  <c r="A140" i="13"/>
  <c r="B140" i="13"/>
  <c r="C140" i="13"/>
  <c r="A141" i="13"/>
  <c r="B141" i="13"/>
  <c r="C141" i="13"/>
  <c r="A142" i="13"/>
  <c r="B142" i="13"/>
  <c r="C142" i="13"/>
  <c r="A143" i="13"/>
  <c r="B143" i="13"/>
  <c r="C143" i="13"/>
  <c r="A144" i="13"/>
  <c r="B144" i="13"/>
  <c r="C144" i="13"/>
  <c r="A145" i="13"/>
  <c r="B145" i="13"/>
  <c r="C145" i="13"/>
  <c r="A146" i="13"/>
  <c r="B146" i="13"/>
  <c r="C146" i="13"/>
  <c r="A147" i="13"/>
  <c r="B147" i="13"/>
  <c r="C147" i="13"/>
  <c r="A148" i="13"/>
  <c r="B148" i="13"/>
  <c r="C148" i="13"/>
  <c r="A149" i="13"/>
  <c r="B149" i="13"/>
  <c r="C149" i="13"/>
  <c r="A150" i="13"/>
  <c r="B150" i="13"/>
  <c r="C150" i="13"/>
  <c r="A151" i="13"/>
  <c r="B151" i="13"/>
  <c r="C151" i="13"/>
  <c r="A152" i="13"/>
  <c r="B152" i="13"/>
  <c r="C152" i="13"/>
  <c r="A153" i="13"/>
  <c r="B153" i="13"/>
  <c r="C153" i="13"/>
  <c r="A154" i="13"/>
  <c r="B154" i="13"/>
  <c r="C154" i="13"/>
  <c r="A155" i="13"/>
  <c r="B155" i="13"/>
  <c r="C155" i="13"/>
  <c r="A156" i="13"/>
  <c r="B156" i="13"/>
  <c r="C156" i="13"/>
  <c r="A157" i="13"/>
  <c r="B157" i="13"/>
  <c r="C157" i="13"/>
  <c r="A158" i="13"/>
  <c r="B158" i="13"/>
  <c r="C158" i="13"/>
  <c r="A159" i="13"/>
  <c r="B159" i="13"/>
  <c r="C159" i="13"/>
  <c r="A160" i="13"/>
  <c r="B160" i="13"/>
  <c r="C160" i="13"/>
  <c r="A161" i="13"/>
  <c r="B161" i="13"/>
  <c r="C161" i="13"/>
  <c r="A162" i="13"/>
  <c r="B162" i="13"/>
  <c r="C162" i="13"/>
  <c r="A163" i="13"/>
  <c r="B163" i="13"/>
  <c r="C163" i="13"/>
  <c r="A164" i="13"/>
  <c r="B164" i="13"/>
  <c r="C164" i="13"/>
  <c r="A165" i="13"/>
  <c r="B165" i="13"/>
  <c r="C165" i="13"/>
  <c r="A166" i="13"/>
  <c r="B166" i="13"/>
  <c r="C166" i="13"/>
  <c r="A167" i="13"/>
  <c r="B167" i="13"/>
  <c r="C167" i="13"/>
  <c r="A168" i="13"/>
  <c r="B168" i="13"/>
  <c r="C168" i="13"/>
  <c r="A169" i="13"/>
  <c r="B169" i="13"/>
  <c r="C169" i="13"/>
  <c r="A170" i="13"/>
  <c r="B170" i="13"/>
  <c r="C170" i="13"/>
  <c r="A171" i="13"/>
  <c r="B171" i="13"/>
  <c r="C171" i="13"/>
  <c r="A172" i="13"/>
  <c r="B172" i="13"/>
  <c r="C172" i="13"/>
  <c r="A173" i="13"/>
  <c r="B173" i="13"/>
  <c r="C173" i="13"/>
  <c r="A174" i="13"/>
  <c r="B174" i="13"/>
  <c r="C174" i="13"/>
  <c r="A175" i="13"/>
  <c r="B175" i="13"/>
  <c r="C175" i="13"/>
  <c r="A176" i="13"/>
  <c r="B176" i="13"/>
  <c r="C176" i="13"/>
  <c r="A177" i="13"/>
  <c r="B177" i="13"/>
  <c r="C177" i="13"/>
  <c r="A178" i="13"/>
  <c r="B178" i="13"/>
  <c r="C178" i="13"/>
  <c r="A179" i="13"/>
  <c r="B179" i="13"/>
  <c r="C179" i="13"/>
  <c r="A180" i="13"/>
  <c r="B180" i="13"/>
  <c r="C180" i="13"/>
  <c r="A181" i="13"/>
  <c r="B181" i="13"/>
  <c r="C181" i="13"/>
  <c r="A182" i="13"/>
  <c r="B182" i="13"/>
  <c r="C182" i="13"/>
  <c r="A183" i="13"/>
  <c r="B183" i="13"/>
  <c r="C183" i="13"/>
  <c r="A184" i="13"/>
  <c r="B184" i="13"/>
  <c r="C184" i="13"/>
  <c r="A185" i="13"/>
  <c r="B185" i="13"/>
  <c r="C185" i="13"/>
  <c r="A186" i="13"/>
  <c r="B186" i="13"/>
  <c r="C186" i="13"/>
  <c r="A187" i="13"/>
  <c r="B187" i="13"/>
  <c r="C187" i="13"/>
  <c r="A188" i="13"/>
  <c r="B188" i="13"/>
  <c r="C188" i="13"/>
  <c r="A189" i="13"/>
  <c r="B189" i="13"/>
  <c r="C189" i="13"/>
  <c r="A190" i="13"/>
  <c r="B190" i="13"/>
  <c r="C190" i="13"/>
  <c r="A191" i="13"/>
  <c r="B191" i="13"/>
  <c r="C191" i="13"/>
  <c r="A192" i="13"/>
  <c r="B192" i="13"/>
  <c r="C192" i="13"/>
  <c r="A193" i="13"/>
  <c r="B193" i="13"/>
  <c r="C193" i="13"/>
  <c r="A194" i="13"/>
  <c r="B194" i="13"/>
  <c r="C194" i="13"/>
  <c r="A195" i="13"/>
  <c r="B195" i="13"/>
  <c r="C195" i="13"/>
  <c r="A196" i="13"/>
  <c r="B196" i="13"/>
  <c r="C196" i="13"/>
  <c r="A197" i="13"/>
  <c r="B197" i="13"/>
  <c r="C197" i="13"/>
  <c r="A198" i="13"/>
  <c r="B198" i="13"/>
  <c r="C198" i="13"/>
  <c r="A199" i="13"/>
  <c r="B199" i="13"/>
  <c r="C199" i="13"/>
  <c r="A200" i="13"/>
  <c r="B200" i="13"/>
  <c r="C200" i="13"/>
  <c r="A201" i="13"/>
  <c r="B201" i="13"/>
  <c r="C201" i="13"/>
  <c r="A202" i="13"/>
  <c r="B202" i="13"/>
  <c r="C202" i="13"/>
  <c r="A203" i="13"/>
  <c r="B203" i="13"/>
  <c r="C203" i="13"/>
  <c r="A204" i="13"/>
  <c r="B204" i="13"/>
  <c r="C204" i="13"/>
  <c r="A205" i="13"/>
  <c r="B205" i="13"/>
  <c r="C205" i="13"/>
  <c r="A206" i="13"/>
  <c r="B206" i="13"/>
  <c r="C206" i="13"/>
  <c r="A207" i="13"/>
  <c r="B207" i="13"/>
  <c r="C207" i="13"/>
  <c r="A208" i="13"/>
  <c r="B208" i="13"/>
  <c r="C208" i="13"/>
  <c r="A209" i="13"/>
  <c r="B209" i="13"/>
  <c r="C209" i="13"/>
  <c r="A210" i="13"/>
  <c r="B210" i="13"/>
  <c r="C210" i="13"/>
  <c r="A211" i="13"/>
  <c r="B211" i="13"/>
  <c r="C211" i="13"/>
  <c r="A212" i="13"/>
  <c r="B212" i="13"/>
  <c r="C212" i="13"/>
  <c r="A213" i="13"/>
  <c r="B213" i="13"/>
  <c r="C213" i="13"/>
  <c r="A214" i="13"/>
  <c r="B214" i="13"/>
  <c r="C214" i="13"/>
  <c r="A215" i="13"/>
  <c r="B215" i="13"/>
  <c r="C215" i="13"/>
  <c r="A216" i="13"/>
  <c r="B216" i="13"/>
  <c r="C216" i="13"/>
  <c r="A217" i="13"/>
  <c r="B217" i="13"/>
  <c r="C217" i="13"/>
  <c r="A218" i="13"/>
  <c r="B218" i="13"/>
  <c r="C218" i="13"/>
  <c r="A219" i="13"/>
  <c r="B219" i="13"/>
  <c r="C219" i="13"/>
  <c r="A220" i="13"/>
  <c r="B220" i="13"/>
  <c r="C220" i="13"/>
  <c r="A221" i="13"/>
  <c r="B221" i="13"/>
  <c r="C221" i="13"/>
  <c r="A222" i="13"/>
  <c r="B222" i="13"/>
  <c r="C222" i="13"/>
  <c r="A223" i="13"/>
  <c r="B223" i="13"/>
  <c r="C223" i="13"/>
  <c r="A224" i="13"/>
  <c r="B224" i="13"/>
  <c r="C224" i="13"/>
  <c r="A225" i="13"/>
  <c r="B225" i="13"/>
  <c r="C225" i="13"/>
  <c r="A226" i="13"/>
  <c r="B226" i="13"/>
  <c r="C226" i="13"/>
  <c r="A227" i="13"/>
  <c r="B227" i="13"/>
  <c r="C227" i="13"/>
  <c r="A228" i="13"/>
  <c r="B228" i="13"/>
  <c r="C228" i="13"/>
  <c r="A229" i="13"/>
  <c r="B229" i="13"/>
  <c r="C229" i="13"/>
  <c r="A230" i="13"/>
  <c r="B230" i="13"/>
  <c r="C230" i="13"/>
  <c r="A231" i="13"/>
  <c r="B231" i="13"/>
  <c r="C231" i="13"/>
  <c r="A232" i="13"/>
  <c r="B232" i="13"/>
  <c r="C232" i="13"/>
  <c r="A233" i="13"/>
  <c r="B233" i="13"/>
  <c r="C233" i="13"/>
  <c r="A234" i="13"/>
  <c r="B234" i="13"/>
  <c r="C234" i="13"/>
  <c r="A235" i="13"/>
  <c r="B235" i="13"/>
  <c r="C235" i="13"/>
  <c r="A236" i="13"/>
  <c r="B236" i="13"/>
  <c r="C236" i="13"/>
  <c r="A237" i="13"/>
  <c r="B237" i="13"/>
  <c r="C237" i="13"/>
  <c r="A238" i="13"/>
  <c r="B238" i="13"/>
  <c r="C238" i="13"/>
  <c r="A239" i="13"/>
  <c r="B239" i="13"/>
  <c r="C239" i="13"/>
  <c r="A240" i="13"/>
  <c r="B240" i="13"/>
  <c r="C240" i="13"/>
  <c r="A241" i="13"/>
  <c r="B241" i="13"/>
  <c r="C241" i="13"/>
  <c r="A242" i="13"/>
  <c r="B242" i="13"/>
  <c r="C242" i="13"/>
  <c r="C123" i="13"/>
  <c r="B123" i="13"/>
  <c r="A123" i="13"/>
  <c r="A120" i="13"/>
  <c r="B120" i="13"/>
  <c r="C120" i="13"/>
  <c r="A121" i="13"/>
  <c r="B121" i="13"/>
  <c r="C121" i="13"/>
  <c r="A122" i="13"/>
  <c r="B122" i="13"/>
  <c r="C122" i="13"/>
  <c r="A72" i="13"/>
  <c r="B72" i="13"/>
  <c r="C72" i="13"/>
  <c r="A73" i="13"/>
  <c r="B73" i="13"/>
  <c r="C73" i="13"/>
  <c r="A74" i="13"/>
  <c r="B74" i="13"/>
  <c r="C74" i="13"/>
  <c r="A75" i="13"/>
  <c r="B75" i="13"/>
  <c r="C75" i="13"/>
  <c r="A76" i="13"/>
  <c r="B76" i="13"/>
  <c r="C76" i="13"/>
  <c r="A77" i="13"/>
  <c r="B77" i="13"/>
  <c r="C77" i="13"/>
  <c r="A78" i="13"/>
  <c r="B78" i="13"/>
  <c r="C78" i="13"/>
  <c r="A79" i="13"/>
  <c r="B79" i="13"/>
  <c r="C79" i="13"/>
  <c r="A80" i="13"/>
  <c r="B80" i="13"/>
  <c r="C80" i="13"/>
  <c r="A81" i="13"/>
  <c r="B81" i="13"/>
  <c r="C81" i="13"/>
  <c r="A82" i="13"/>
  <c r="B82" i="13"/>
  <c r="C82" i="13"/>
  <c r="A83" i="13"/>
  <c r="B83" i="13"/>
  <c r="C83" i="13"/>
  <c r="A84" i="13"/>
  <c r="B84" i="13"/>
  <c r="C84" i="13"/>
  <c r="A85" i="13"/>
  <c r="B85" i="13"/>
  <c r="C85" i="13"/>
  <c r="A86" i="13"/>
  <c r="B86" i="13"/>
  <c r="C86" i="13"/>
  <c r="A87" i="13"/>
  <c r="B87" i="13"/>
  <c r="C87" i="13"/>
  <c r="A88" i="13"/>
  <c r="B88" i="13"/>
  <c r="C88" i="13"/>
  <c r="A89" i="13"/>
  <c r="B89" i="13"/>
  <c r="C89" i="13"/>
  <c r="A90" i="13"/>
  <c r="B90" i="13"/>
  <c r="C90" i="13"/>
  <c r="A91" i="13"/>
  <c r="B91" i="13"/>
  <c r="C91" i="13"/>
  <c r="A92" i="13"/>
  <c r="B92" i="13"/>
  <c r="C92" i="13"/>
  <c r="A93" i="13"/>
  <c r="B93" i="13"/>
  <c r="C93" i="13"/>
  <c r="A94" i="13"/>
  <c r="B94" i="13"/>
  <c r="C94" i="13"/>
  <c r="A95" i="13"/>
  <c r="B95" i="13"/>
  <c r="C95" i="13"/>
  <c r="A96" i="13"/>
  <c r="B96" i="13"/>
  <c r="C96" i="13"/>
  <c r="A97" i="13"/>
  <c r="B97" i="13"/>
  <c r="C97" i="13"/>
  <c r="A98" i="13"/>
  <c r="B98" i="13"/>
  <c r="C98" i="13"/>
  <c r="A99" i="13"/>
  <c r="B99" i="13"/>
  <c r="C99" i="13"/>
  <c r="A100" i="13"/>
  <c r="B100" i="13"/>
  <c r="C100" i="13"/>
  <c r="A101" i="13"/>
  <c r="B101" i="13"/>
  <c r="C101" i="13"/>
  <c r="A102" i="13"/>
  <c r="B102" i="13"/>
  <c r="C102" i="13"/>
  <c r="A103" i="13"/>
  <c r="B103" i="13"/>
  <c r="C103" i="13"/>
  <c r="A104" i="13"/>
  <c r="B104" i="13"/>
  <c r="C104" i="13"/>
  <c r="A105" i="13"/>
  <c r="B105" i="13"/>
  <c r="C105" i="13"/>
  <c r="A106" i="13"/>
  <c r="B106" i="13"/>
  <c r="C106" i="13"/>
  <c r="A107" i="13"/>
  <c r="B107" i="13"/>
  <c r="C107" i="13"/>
  <c r="A108" i="13"/>
  <c r="B108" i="13"/>
  <c r="C108" i="13"/>
  <c r="A109" i="13"/>
  <c r="B109" i="13"/>
  <c r="C109" i="13"/>
  <c r="A110" i="13"/>
  <c r="B110" i="13"/>
  <c r="C110" i="13"/>
  <c r="A111" i="13"/>
  <c r="B111" i="13"/>
  <c r="C111" i="13"/>
  <c r="A112" i="13"/>
  <c r="B112" i="13"/>
  <c r="C112" i="13"/>
  <c r="A113" i="13"/>
  <c r="B113" i="13"/>
  <c r="C113" i="13"/>
  <c r="A114" i="13"/>
  <c r="B114" i="13"/>
  <c r="C114" i="13"/>
  <c r="A115" i="13"/>
  <c r="B115" i="13"/>
  <c r="C115" i="13"/>
  <c r="A116" i="13"/>
  <c r="B116" i="13"/>
  <c r="C116" i="13"/>
  <c r="A117" i="13"/>
  <c r="B117" i="13"/>
  <c r="C117" i="13"/>
  <c r="A118" i="13"/>
  <c r="B118" i="13"/>
  <c r="C118" i="13"/>
  <c r="A119" i="13"/>
  <c r="B119" i="13"/>
  <c r="C119" i="13"/>
  <c r="A52" i="13"/>
  <c r="B52" i="13"/>
  <c r="C52" i="13"/>
  <c r="A53" i="13"/>
  <c r="B53" i="13"/>
  <c r="C53" i="13"/>
  <c r="A54" i="13"/>
  <c r="B54" i="13"/>
  <c r="C54" i="13"/>
  <c r="A55" i="13"/>
  <c r="B55" i="13"/>
  <c r="C55" i="13"/>
  <c r="A56" i="13"/>
  <c r="B56" i="13"/>
  <c r="C56" i="13"/>
  <c r="A57" i="13"/>
  <c r="B57" i="13"/>
  <c r="C57" i="13"/>
  <c r="A58" i="13"/>
  <c r="B58" i="13"/>
  <c r="C58" i="13"/>
  <c r="A59" i="13"/>
  <c r="B59" i="13"/>
  <c r="C59" i="13"/>
  <c r="A60" i="13"/>
  <c r="B60" i="13"/>
  <c r="C60" i="13"/>
  <c r="A61" i="13"/>
  <c r="B61" i="13"/>
  <c r="C61" i="13"/>
  <c r="A62" i="13"/>
  <c r="B62" i="13"/>
  <c r="C62" i="13"/>
  <c r="A63" i="13"/>
  <c r="B63" i="13"/>
  <c r="C63" i="13"/>
  <c r="A64" i="13"/>
  <c r="B64" i="13"/>
  <c r="C64" i="13"/>
  <c r="A65" i="13"/>
  <c r="B65" i="13"/>
  <c r="C65" i="13"/>
  <c r="A66" i="13"/>
  <c r="B66" i="13"/>
  <c r="C66" i="13"/>
  <c r="A67" i="13"/>
  <c r="B67" i="13"/>
  <c r="C67" i="13"/>
  <c r="A68" i="13"/>
  <c r="B68" i="13"/>
  <c r="C68" i="13"/>
  <c r="A69" i="13"/>
  <c r="B69" i="13"/>
  <c r="C69" i="13"/>
  <c r="A70" i="13"/>
  <c r="B70" i="13"/>
  <c r="C70" i="13"/>
  <c r="A71" i="13"/>
  <c r="B71" i="13"/>
  <c r="C71" i="13"/>
  <c r="A24" i="13"/>
  <c r="B24" i="13"/>
  <c r="C24" i="13"/>
  <c r="A25" i="13"/>
  <c r="B25" i="13"/>
  <c r="C25" i="13"/>
  <c r="A26" i="13"/>
  <c r="B26" i="13"/>
  <c r="C26" i="13"/>
  <c r="A27" i="13"/>
  <c r="B27" i="13"/>
  <c r="C27" i="13"/>
  <c r="A28" i="13"/>
  <c r="B28" i="13"/>
  <c r="C28" i="13"/>
  <c r="A29" i="13"/>
  <c r="B29" i="13"/>
  <c r="C29" i="13"/>
  <c r="A30" i="13"/>
  <c r="B30" i="13"/>
  <c r="C30" i="13"/>
  <c r="A31" i="13"/>
  <c r="B31" i="13"/>
  <c r="C31" i="13"/>
  <c r="A32" i="13"/>
  <c r="B32" i="13"/>
  <c r="C32" i="13"/>
  <c r="A33" i="13"/>
  <c r="B33" i="13"/>
  <c r="C33" i="13"/>
  <c r="A34" i="13"/>
  <c r="B34" i="13"/>
  <c r="C34" i="13"/>
  <c r="A35" i="13"/>
  <c r="B35" i="13"/>
  <c r="C35" i="13"/>
  <c r="A36" i="13"/>
  <c r="B36" i="13"/>
  <c r="C36" i="13"/>
  <c r="A37" i="13"/>
  <c r="B37" i="13"/>
  <c r="C37" i="13"/>
  <c r="A38" i="13"/>
  <c r="B38" i="13"/>
  <c r="C38" i="13"/>
  <c r="A39" i="13"/>
  <c r="B39" i="13"/>
  <c r="C39" i="13"/>
  <c r="A40" i="13"/>
  <c r="B40" i="13"/>
  <c r="C40" i="13"/>
  <c r="A41" i="13"/>
  <c r="B41" i="13"/>
  <c r="C41" i="13"/>
  <c r="A42" i="13"/>
  <c r="B42" i="13"/>
  <c r="C42" i="13"/>
  <c r="A43" i="13"/>
  <c r="B43" i="13"/>
  <c r="C43" i="13"/>
  <c r="A44" i="13"/>
  <c r="B44" i="13"/>
  <c r="C44" i="13"/>
  <c r="A45" i="13"/>
  <c r="B45" i="13"/>
  <c r="C45" i="13"/>
  <c r="A46" i="13"/>
  <c r="B46" i="13"/>
  <c r="C46" i="13"/>
  <c r="A47" i="13"/>
  <c r="B47" i="13"/>
  <c r="C47" i="13"/>
  <c r="A48" i="13"/>
  <c r="B48" i="13"/>
  <c r="C48" i="13"/>
  <c r="A49" i="13"/>
  <c r="B49" i="13"/>
  <c r="C49" i="13"/>
  <c r="A50" i="13"/>
  <c r="B50" i="13"/>
  <c r="C50" i="13"/>
  <c r="A51" i="13"/>
  <c r="B51" i="13"/>
  <c r="C51" i="13"/>
  <c r="A3" i="13"/>
  <c r="B3" i="13"/>
  <c r="C3" i="13"/>
  <c r="A4" i="13"/>
  <c r="B4" i="13"/>
  <c r="C4" i="13"/>
  <c r="A5" i="13"/>
  <c r="B5" i="13"/>
  <c r="C5" i="13"/>
  <c r="A6" i="13"/>
  <c r="B6" i="13"/>
  <c r="C6" i="13"/>
  <c r="A7" i="13"/>
  <c r="B7" i="13"/>
  <c r="C7" i="13"/>
  <c r="A8" i="13"/>
  <c r="B8" i="13"/>
  <c r="C8" i="13"/>
  <c r="A9" i="13"/>
  <c r="B9" i="13"/>
  <c r="C9" i="13"/>
  <c r="A10" i="13"/>
  <c r="B10" i="13"/>
  <c r="C10" i="13"/>
  <c r="A11" i="13"/>
  <c r="B11" i="13"/>
  <c r="C11" i="13"/>
  <c r="A12" i="13"/>
  <c r="B12" i="13"/>
  <c r="C12" i="13"/>
  <c r="A13" i="13"/>
  <c r="B13" i="13"/>
  <c r="C13" i="13"/>
  <c r="A14" i="13"/>
  <c r="B14" i="13"/>
  <c r="C14" i="13"/>
  <c r="A15" i="13"/>
  <c r="B15" i="13"/>
  <c r="C15" i="13"/>
  <c r="A16" i="13"/>
  <c r="B16" i="13"/>
  <c r="C16" i="13"/>
  <c r="A17" i="13"/>
  <c r="B17" i="13"/>
  <c r="C17" i="13"/>
  <c r="A18" i="13"/>
  <c r="B18" i="13"/>
  <c r="C18" i="13"/>
  <c r="A19" i="13"/>
  <c r="B19" i="13"/>
  <c r="C19" i="13"/>
  <c r="A20" i="13"/>
  <c r="B20" i="13"/>
  <c r="C20" i="13"/>
  <c r="A21" i="13"/>
  <c r="B21" i="13"/>
  <c r="C21" i="13"/>
  <c r="A22" i="13"/>
  <c r="B22" i="13"/>
  <c r="C22" i="13"/>
  <c r="A23" i="13"/>
  <c r="B23" i="13"/>
  <c r="C23" i="13"/>
  <c r="C2" i="13"/>
  <c r="B2" i="13"/>
  <c r="A2" i="13"/>
  <c r="F109" i="12"/>
  <c r="E109" i="12"/>
  <c r="D109" i="12"/>
  <c r="F108" i="12"/>
  <c r="E108" i="12"/>
  <c r="D108" i="12"/>
  <c r="F107" i="12"/>
  <c r="E107" i="12"/>
  <c r="D107" i="12"/>
  <c r="F106" i="12"/>
  <c r="E106" i="12"/>
  <c r="D106" i="12"/>
  <c r="F105" i="12"/>
  <c r="E105" i="12"/>
  <c r="D105" i="12"/>
  <c r="F104" i="12"/>
  <c r="E104" i="12"/>
  <c r="D104" i="12"/>
  <c r="F103" i="12"/>
  <c r="E103" i="12"/>
  <c r="D103" i="12"/>
  <c r="F102" i="12"/>
  <c r="E102" i="12"/>
  <c r="D102" i="12"/>
  <c r="F101" i="12"/>
  <c r="E101" i="12"/>
  <c r="D101" i="12"/>
  <c r="F100" i="12"/>
  <c r="E100" i="12"/>
  <c r="D100" i="12"/>
  <c r="F99" i="12"/>
  <c r="E99" i="12"/>
  <c r="D99" i="12"/>
  <c r="F98" i="12"/>
  <c r="E98" i="12"/>
  <c r="D98" i="12"/>
  <c r="F97" i="12"/>
  <c r="E97" i="12"/>
  <c r="D97" i="12"/>
  <c r="F96" i="12"/>
  <c r="E96" i="12"/>
  <c r="D96" i="12"/>
  <c r="F95" i="12"/>
  <c r="E95" i="12"/>
  <c r="D95" i="12"/>
  <c r="F94" i="12"/>
  <c r="E94" i="12"/>
  <c r="D94" i="12"/>
  <c r="F93" i="12"/>
  <c r="E93" i="12"/>
  <c r="D93" i="12"/>
  <c r="F92" i="12"/>
  <c r="E92" i="12"/>
  <c r="D92" i="12"/>
  <c r="F91" i="12"/>
  <c r="E91" i="12"/>
  <c r="D91" i="12"/>
  <c r="F90" i="12"/>
  <c r="E90" i="12"/>
  <c r="D90" i="12"/>
  <c r="F89" i="12"/>
  <c r="E89" i="12"/>
  <c r="D89" i="12"/>
  <c r="F88" i="12"/>
  <c r="E88" i="12"/>
  <c r="D88" i="12"/>
  <c r="F87" i="12"/>
  <c r="E87" i="12"/>
  <c r="D87" i="12"/>
  <c r="F86" i="12"/>
  <c r="E86" i="12"/>
  <c r="D86" i="12"/>
  <c r="F85" i="12"/>
  <c r="E85" i="12"/>
  <c r="D85" i="12"/>
  <c r="F84" i="12"/>
  <c r="E84" i="12"/>
  <c r="D84" i="12"/>
  <c r="F83" i="12"/>
  <c r="E83" i="12"/>
  <c r="D83" i="12"/>
  <c r="F82" i="12"/>
  <c r="E82" i="12"/>
  <c r="D82" i="12"/>
  <c r="F81" i="12"/>
  <c r="E81" i="12"/>
  <c r="D81" i="12"/>
  <c r="F80" i="12"/>
  <c r="E80" i="12"/>
  <c r="D80" i="12"/>
  <c r="F79" i="12"/>
  <c r="E79" i="12"/>
  <c r="D79" i="12"/>
  <c r="F78" i="12"/>
  <c r="E78" i="12"/>
  <c r="D78" i="12"/>
  <c r="F77" i="12"/>
  <c r="E77" i="12"/>
  <c r="D77" i="12"/>
  <c r="F76" i="12"/>
  <c r="E76" i="12"/>
  <c r="D76" i="12"/>
  <c r="F75" i="12"/>
  <c r="E75" i="12"/>
  <c r="D75" i="12"/>
  <c r="F74" i="12"/>
  <c r="E74" i="12"/>
  <c r="D74" i="12"/>
  <c r="F73" i="12"/>
  <c r="E73" i="12"/>
  <c r="D73" i="12"/>
  <c r="F72" i="12"/>
  <c r="E72" i="12"/>
  <c r="D72" i="12"/>
  <c r="F71" i="12"/>
  <c r="E71" i="12"/>
  <c r="D71" i="12"/>
  <c r="F70" i="12"/>
  <c r="E70" i="12"/>
  <c r="D70" i="12"/>
  <c r="F69" i="12"/>
  <c r="E69" i="12"/>
  <c r="D69" i="12"/>
  <c r="F68" i="12"/>
  <c r="E68" i="12"/>
  <c r="D68" i="12"/>
  <c r="F67" i="12"/>
  <c r="E67" i="12"/>
  <c r="D67" i="12"/>
  <c r="F66" i="12"/>
  <c r="E66" i="12"/>
  <c r="D66" i="12"/>
  <c r="F65" i="12"/>
  <c r="E65" i="12"/>
  <c r="D65" i="12"/>
  <c r="F64" i="12"/>
  <c r="E64" i="12"/>
  <c r="D64" i="12"/>
  <c r="F63" i="12"/>
  <c r="E63" i="12"/>
  <c r="D63" i="12"/>
  <c r="F62" i="12"/>
  <c r="E62" i="12"/>
  <c r="D62" i="12"/>
  <c r="F61" i="12"/>
  <c r="E61" i="12"/>
  <c r="D61" i="12"/>
  <c r="F60" i="12"/>
  <c r="E60" i="12"/>
  <c r="D60" i="12"/>
  <c r="F59" i="12"/>
  <c r="E59" i="12"/>
  <c r="D59" i="12"/>
  <c r="F58" i="12"/>
  <c r="E58" i="12"/>
  <c r="D58" i="12"/>
  <c r="F57" i="12"/>
  <c r="E57" i="12"/>
  <c r="D57" i="12"/>
  <c r="F56" i="12"/>
  <c r="E56" i="12"/>
  <c r="D56" i="12"/>
  <c r="F55" i="12"/>
  <c r="E55" i="12"/>
  <c r="D55" i="12"/>
  <c r="F54" i="12"/>
  <c r="E54" i="12"/>
  <c r="D54" i="12"/>
  <c r="F53" i="12"/>
  <c r="E53" i="12"/>
  <c r="D53" i="12"/>
  <c r="F52" i="12"/>
  <c r="E52" i="12"/>
  <c r="D52" i="12"/>
  <c r="F51" i="12"/>
  <c r="E51" i="12"/>
  <c r="D51" i="12"/>
  <c r="F50" i="12"/>
  <c r="E50" i="12"/>
  <c r="D50" i="12"/>
  <c r="F49" i="12"/>
  <c r="E49" i="12"/>
  <c r="D49" i="12"/>
  <c r="F48" i="12"/>
  <c r="E48" i="12"/>
  <c r="D48" i="12"/>
  <c r="F47" i="12"/>
  <c r="E47" i="12"/>
  <c r="D47" i="12"/>
  <c r="F46" i="12"/>
  <c r="E46" i="12"/>
  <c r="D46" i="12"/>
  <c r="F45" i="12"/>
  <c r="E45" i="12"/>
  <c r="D45" i="12"/>
  <c r="F44" i="12"/>
  <c r="E44" i="12"/>
  <c r="D44" i="12"/>
  <c r="F43" i="12"/>
  <c r="E43" i="12"/>
  <c r="D43" i="12"/>
  <c r="F42" i="12"/>
  <c r="E42" i="12"/>
  <c r="D42" i="12"/>
  <c r="F41" i="12"/>
  <c r="E41" i="12"/>
  <c r="D41" i="12"/>
  <c r="F40" i="12"/>
  <c r="E40" i="12"/>
  <c r="D40" i="12"/>
  <c r="F39" i="12"/>
  <c r="E39" i="12"/>
  <c r="D39" i="12"/>
  <c r="F38" i="12"/>
  <c r="E38" i="12"/>
  <c r="D38" i="12"/>
  <c r="F37" i="12"/>
  <c r="E37" i="12"/>
  <c r="D37" i="12"/>
  <c r="F36" i="12"/>
  <c r="E36" i="12"/>
  <c r="D36" i="12"/>
  <c r="F35" i="12"/>
  <c r="E35" i="12"/>
  <c r="D35" i="12"/>
  <c r="F34" i="12"/>
  <c r="E34" i="12"/>
  <c r="D34" i="12"/>
  <c r="F33" i="12"/>
  <c r="E33" i="12"/>
  <c r="D33" i="12"/>
  <c r="F32" i="12"/>
  <c r="E32" i="12"/>
  <c r="D32" i="12"/>
  <c r="F31" i="12"/>
  <c r="E31" i="12"/>
  <c r="D31" i="12"/>
  <c r="F30" i="12"/>
  <c r="E30" i="12"/>
  <c r="D30" i="12"/>
  <c r="F29" i="12"/>
  <c r="E29" i="12"/>
  <c r="D29" i="12"/>
  <c r="F28" i="12"/>
  <c r="E28" i="12"/>
  <c r="D28" i="12"/>
  <c r="F27" i="12"/>
  <c r="E27" i="12"/>
  <c r="D27" i="12"/>
  <c r="F26" i="12"/>
  <c r="E26" i="12"/>
  <c r="D26" i="12"/>
  <c r="F25" i="12"/>
  <c r="E25" i="12"/>
  <c r="D25" i="12"/>
  <c r="F24" i="12"/>
  <c r="E24" i="12"/>
  <c r="D24" i="12"/>
  <c r="F23" i="12"/>
  <c r="E23" i="12"/>
  <c r="D23" i="12"/>
  <c r="F22" i="12"/>
  <c r="E22" i="12"/>
  <c r="D22" i="12"/>
  <c r="F20" i="12"/>
  <c r="E20" i="12"/>
  <c r="D20" i="12"/>
  <c r="F19" i="12"/>
  <c r="E19" i="12"/>
  <c r="D19" i="12"/>
  <c r="F18" i="12"/>
  <c r="E18" i="12"/>
  <c r="D18" i="12"/>
  <c r="F17" i="12"/>
  <c r="E17" i="12"/>
  <c r="D17" i="12"/>
  <c r="F16" i="12"/>
  <c r="E16" i="12"/>
  <c r="D16" i="12"/>
  <c r="F15" i="12"/>
  <c r="E15" i="12"/>
  <c r="D15" i="12"/>
  <c r="F14" i="12"/>
  <c r="E14" i="12"/>
  <c r="D14" i="12"/>
  <c r="F13" i="12"/>
  <c r="E13" i="12"/>
  <c r="D13" i="12"/>
  <c r="F12" i="12"/>
  <c r="E12" i="12"/>
  <c r="D12" i="12"/>
  <c r="F11" i="12"/>
  <c r="E11" i="12"/>
  <c r="D11" i="12"/>
  <c r="C10" i="10" l="1"/>
  <c r="D10" i="10"/>
  <c r="E10" i="10"/>
  <c r="C11" i="10"/>
  <c r="D11" i="10"/>
  <c r="E11" i="10"/>
  <c r="C12" i="10"/>
  <c r="D12" i="10"/>
  <c r="E12" i="10"/>
  <c r="C13" i="10"/>
  <c r="D13" i="10"/>
  <c r="E13" i="10"/>
  <c r="C14" i="10"/>
  <c r="D14" i="10"/>
  <c r="E14" i="10"/>
  <c r="C15" i="10"/>
  <c r="D15" i="10"/>
  <c r="E15" i="10"/>
  <c r="C16" i="10"/>
  <c r="D16" i="10"/>
  <c r="E16" i="10"/>
  <c r="C17" i="10"/>
  <c r="D17" i="10"/>
  <c r="E17" i="10"/>
  <c r="C18" i="10"/>
  <c r="D18" i="10"/>
  <c r="E18" i="10"/>
  <c r="D9" i="10"/>
  <c r="E9" i="10"/>
  <c r="C9" i="10"/>
  <c r="D107" i="10" l="1"/>
  <c r="E107" i="10"/>
  <c r="C107" i="10"/>
  <c r="C98" i="10"/>
  <c r="D98" i="10"/>
  <c r="E98" i="10"/>
  <c r="C99" i="10"/>
  <c r="D99" i="10"/>
  <c r="E99" i="10"/>
  <c r="C100" i="10"/>
  <c r="D100" i="10"/>
  <c r="E100" i="10"/>
  <c r="C101" i="10"/>
  <c r="D101" i="10"/>
  <c r="E101" i="10"/>
  <c r="C102" i="10"/>
  <c r="D102" i="10"/>
  <c r="E102" i="10"/>
  <c r="C103" i="10"/>
  <c r="D103" i="10"/>
  <c r="E103" i="10"/>
  <c r="C104" i="10"/>
  <c r="D104" i="10"/>
  <c r="E104" i="10"/>
  <c r="C105" i="10"/>
  <c r="D105" i="10"/>
  <c r="E105" i="10"/>
  <c r="C106" i="10"/>
  <c r="D106" i="10"/>
  <c r="E106" i="10"/>
  <c r="D97" i="10"/>
  <c r="E97" i="10"/>
  <c r="D96" i="10"/>
  <c r="E96" i="10"/>
  <c r="C96" i="10"/>
  <c r="C87" i="10"/>
  <c r="D87" i="10"/>
  <c r="E87" i="10"/>
  <c r="C88" i="10"/>
  <c r="D88" i="10"/>
  <c r="E88" i="10"/>
  <c r="C89" i="10"/>
  <c r="D89" i="10"/>
  <c r="E89" i="10"/>
  <c r="C90" i="10"/>
  <c r="D90" i="10"/>
  <c r="E90" i="10"/>
  <c r="C91" i="10"/>
  <c r="D91" i="10"/>
  <c r="E91" i="10"/>
  <c r="C92" i="10"/>
  <c r="D92" i="10"/>
  <c r="E92" i="10"/>
  <c r="C93" i="10"/>
  <c r="D93" i="10"/>
  <c r="E93" i="10"/>
  <c r="C94" i="10"/>
  <c r="D94" i="10"/>
  <c r="E94" i="10"/>
  <c r="C95" i="10"/>
  <c r="D95" i="10"/>
  <c r="E95" i="10"/>
  <c r="D86" i="10"/>
  <c r="E86" i="10"/>
  <c r="D85" i="10"/>
  <c r="E85" i="10"/>
  <c r="C85" i="10"/>
  <c r="C76" i="10"/>
  <c r="D76" i="10"/>
  <c r="E76" i="10"/>
  <c r="C77" i="10"/>
  <c r="D77" i="10"/>
  <c r="E77" i="10"/>
  <c r="C78" i="10"/>
  <c r="D78" i="10"/>
  <c r="E78" i="10"/>
  <c r="C79" i="10"/>
  <c r="D79" i="10"/>
  <c r="E79" i="10"/>
  <c r="C80" i="10"/>
  <c r="D80" i="10"/>
  <c r="E80" i="10"/>
  <c r="C81" i="10"/>
  <c r="D81" i="10"/>
  <c r="E81" i="10"/>
  <c r="C82" i="10"/>
  <c r="D82" i="10"/>
  <c r="E82" i="10"/>
  <c r="C83" i="10"/>
  <c r="D83" i="10"/>
  <c r="E83" i="10"/>
  <c r="C84" i="10"/>
  <c r="D84" i="10"/>
  <c r="E84" i="10"/>
  <c r="D75" i="10"/>
  <c r="E75" i="10"/>
  <c r="D74" i="10"/>
  <c r="E74" i="10"/>
  <c r="C74" i="10"/>
  <c r="C65" i="10"/>
  <c r="D65" i="10"/>
  <c r="E65" i="10"/>
  <c r="C66" i="10"/>
  <c r="D66" i="10"/>
  <c r="E66" i="10"/>
  <c r="C67" i="10"/>
  <c r="D67" i="10"/>
  <c r="E67" i="10"/>
  <c r="C68" i="10"/>
  <c r="D68" i="10"/>
  <c r="E68" i="10"/>
  <c r="C69" i="10"/>
  <c r="D69" i="10"/>
  <c r="E69" i="10"/>
  <c r="C70" i="10"/>
  <c r="D70" i="10"/>
  <c r="E70" i="10"/>
  <c r="C71" i="10"/>
  <c r="D71" i="10"/>
  <c r="E71" i="10"/>
  <c r="C72" i="10"/>
  <c r="D72" i="10"/>
  <c r="E72" i="10"/>
  <c r="C73" i="10"/>
  <c r="D73" i="10"/>
  <c r="E73" i="10"/>
  <c r="D64" i="10"/>
  <c r="E64" i="10"/>
  <c r="D63" i="10"/>
  <c r="E63" i="10"/>
  <c r="C63" i="10"/>
  <c r="D52" i="10"/>
  <c r="E52" i="10"/>
  <c r="C52" i="10"/>
  <c r="D30" i="10"/>
  <c r="E30" i="10"/>
  <c r="C30" i="10"/>
  <c r="D41" i="10"/>
  <c r="E41" i="10"/>
  <c r="C41" i="10"/>
  <c r="C54" i="10"/>
  <c r="D54" i="10"/>
  <c r="E54" i="10"/>
  <c r="C55" i="10"/>
  <c r="D55" i="10"/>
  <c r="E55" i="10"/>
  <c r="C56" i="10"/>
  <c r="D56" i="10"/>
  <c r="E56" i="10"/>
  <c r="C57" i="10"/>
  <c r="D57" i="10"/>
  <c r="E57" i="10"/>
  <c r="C58" i="10"/>
  <c r="D58" i="10"/>
  <c r="E58" i="10"/>
  <c r="C59" i="10"/>
  <c r="D59" i="10"/>
  <c r="E59" i="10"/>
  <c r="C60" i="10"/>
  <c r="D60" i="10"/>
  <c r="E60" i="10"/>
  <c r="C61" i="10"/>
  <c r="D61" i="10"/>
  <c r="E61" i="10"/>
  <c r="C62" i="10"/>
  <c r="D62" i="10"/>
  <c r="E62" i="10"/>
  <c r="D53" i="10"/>
  <c r="E53" i="10"/>
  <c r="C43" i="10"/>
  <c r="D43" i="10"/>
  <c r="E43" i="10"/>
  <c r="C44" i="10"/>
  <c r="D44" i="10"/>
  <c r="E44" i="10"/>
  <c r="C45" i="10"/>
  <c r="D45" i="10"/>
  <c r="E45" i="10"/>
  <c r="C46" i="10"/>
  <c r="D46" i="10"/>
  <c r="E46" i="10"/>
  <c r="C47" i="10"/>
  <c r="D47" i="10"/>
  <c r="E47" i="10"/>
  <c r="C48" i="10"/>
  <c r="D48" i="10"/>
  <c r="E48" i="10"/>
  <c r="C49" i="10"/>
  <c r="D49" i="10"/>
  <c r="E49" i="10"/>
  <c r="C50" i="10"/>
  <c r="D50" i="10"/>
  <c r="E50" i="10"/>
  <c r="C51" i="10"/>
  <c r="D51" i="10"/>
  <c r="E51" i="10"/>
  <c r="D42" i="10"/>
  <c r="E42" i="10"/>
  <c r="C32" i="10"/>
  <c r="D32" i="10"/>
  <c r="E32" i="10"/>
  <c r="C33" i="10"/>
  <c r="D33" i="10"/>
  <c r="E33" i="10"/>
  <c r="C34" i="10"/>
  <c r="D34" i="10"/>
  <c r="E34" i="10"/>
  <c r="C35" i="10"/>
  <c r="D35" i="10"/>
  <c r="E35" i="10"/>
  <c r="C36" i="10"/>
  <c r="D36" i="10"/>
  <c r="E36" i="10"/>
  <c r="C37" i="10"/>
  <c r="D37" i="10"/>
  <c r="E37" i="10"/>
  <c r="C38" i="10"/>
  <c r="D38" i="10"/>
  <c r="E38" i="10"/>
  <c r="C39" i="10"/>
  <c r="D39" i="10"/>
  <c r="E39" i="10"/>
  <c r="C40" i="10"/>
  <c r="D40" i="10"/>
  <c r="E40" i="10"/>
  <c r="D31" i="10"/>
  <c r="E31" i="10"/>
  <c r="C97" i="10"/>
  <c r="C75" i="10"/>
  <c r="C64" i="10"/>
  <c r="C86" i="10"/>
  <c r="C53" i="10"/>
  <c r="C42" i="10"/>
  <c r="C31" i="10"/>
  <c r="C21" i="10"/>
  <c r="D21" i="10"/>
  <c r="E21" i="10"/>
  <c r="C22" i="10"/>
  <c r="D22" i="10"/>
  <c r="E22" i="10"/>
  <c r="C23" i="10"/>
  <c r="D23" i="10"/>
  <c r="E23" i="10"/>
  <c r="C24" i="10"/>
  <c r="D24" i="10"/>
  <c r="E24" i="10"/>
  <c r="C25" i="10"/>
  <c r="D25" i="10"/>
  <c r="E25" i="10"/>
  <c r="C26" i="10"/>
  <c r="D26" i="10"/>
  <c r="E26" i="10"/>
  <c r="C27" i="10"/>
  <c r="D27" i="10"/>
  <c r="E27" i="10"/>
  <c r="C28" i="10"/>
  <c r="D28" i="10"/>
  <c r="E28" i="10"/>
  <c r="C29" i="10"/>
  <c r="D29" i="10"/>
  <c r="E29" i="10"/>
  <c r="D20" i="10"/>
  <c r="E20" i="10"/>
  <c r="C20" i="10"/>
</calcChain>
</file>

<file path=xl/sharedStrings.xml><?xml version="1.0" encoding="utf-8"?>
<sst xmlns="http://schemas.openxmlformats.org/spreadsheetml/2006/main" count="2790" uniqueCount="848">
  <si>
    <t>C1 Erwerbstätige Menschen mit Migrationshintergrund 2011 nach Wirtschaftsabschnitten und Geschlecht</t>
  </si>
  <si>
    <t/>
  </si>
  <si>
    <t>Migrationshintergrund</t>
  </si>
  <si>
    <t>Insgesamt</t>
  </si>
  <si>
    <t>Bevölkerung ohne Migrationshintergrund</t>
  </si>
  <si>
    <t>Bevölkerung mit Migrationshintergrund
(i.e.S.)</t>
  </si>
  <si>
    <t>Geschlecht</t>
  </si>
  <si>
    <t>männlich</t>
  </si>
  <si>
    <t>weiblich</t>
  </si>
  <si>
    <t>Variable für
die
Hochrechnung</t>
  </si>
  <si>
    <t>WZ2008zf</t>
  </si>
  <si>
    <t xml:space="preserve"> </t>
  </si>
  <si>
    <t>Land- und Forstwirtschaft, Fischerei (A)</t>
  </si>
  <si>
    <t>Sum</t>
  </si>
  <si>
    <t>Bergbau und Gewinnung von Steinen und Erden; Verarbeitendes Gewerbe
(B+C)</t>
  </si>
  <si>
    <t>Energieversorgung; Wasserversorgung, Entsorg., Beseitig. v.
Umweltverschmutzungen (D+E)</t>
  </si>
  <si>
    <t>Baugewerbe (F)</t>
  </si>
  <si>
    <t>Handel, Instandhaltung und Reparatur von Kfz (G)</t>
  </si>
  <si>
    <t>Verkehr und Lagerei; Information und Kommunikation (H+J)</t>
  </si>
  <si>
    <t>Gastgewerbe (I)</t>
  </si>
  <si>
    <t>Erbringung von Finanz- und Versicherungsleistungen; Grundstücks- und
Wohnungswesen; Freiberufliche, wiss. u. techn. Dienstleistungen; sonst.
wirt. Dienstleistungen (K-N)</t>
  </si>
  <si>
    <t>Öff.Verwaltung, Verteidigung, Sozialversicherung; Erziehung und Unterricht;
Gesundheits- und Sozialwesen (O-Q)</t>
  </si>
  <si>
    <t>Kunst, Unterhaltung und Erholung; Erbringung von sonstigen
Dienstleistungen (R+S)</t>
  </si>
  <si>
    <t>Private Haushalte mit Hauspersonal und Exterritoriale Organisationen und
Körperschaften (T+U)</t>
  </si>
  <si>
    <t>Insgesamt (mit Abschnitten T und U)</t>
  </si>
  <si>
    <t>Ergebnisse des Mikrozensus 2011 - Landesamt für Statistik Niedersachsen</t>
  </si>
  <si>
    <t>C1 Erwerbstätige Menschen mit Migrationshintergrund 2012 nach Wirtschaftsabschnitten und Geschlecht</t>
  </si>
  <si>
    <t>Ergebnisse des Mikrozensus 2012 - Landesamt für Statistik Niedersachsen</t>
  </si>
  <si>
    <t>C1 Erwerbstätige Menschen mit Migrationshintergrund 2013 nach Wirtschaftsabschnitten und Geschlecht</t>
  </si>
  <si>
    <t>Bevölkerung mit Migrationshintergrund
(i.w.S.)</t>
  </si>
  <si>
    <t>Ergebnisse des Mikrozensus 2013 - Landesamt für Statistik Niedersachsen</t>
  </si>
  <si>
    <t>C1 Erwerbstätige Menschen mit Migrationshintergrund 2014 nach Wirtschaftsabschnitten und Geschlecht</t>
  </si>
  <si>
    <t>Ergebnisse des Mikrozensus 2014 - Landesamt für Statistik Niedersachsen</t>
  </si>
  <si>
    <t>C1 Erwerbstätige Menschen mit Migrationshintergrund 2015 nach Wirtschaftsabschnitten und Geschlecht</t>
  </si>
  <si>
    <t>Ergebnisse des Mikrozensus 2015 - Landesamt für Statistik Niedersachsen</t>
  </si>
  <si>
    <t>C1 Erwerbstätige Menschen mit Migrationshintergrund 2016 nach Wirtschaftsabschnitten und Geschlecht</t>
  </si>
  <si>
    <t>Ergebnisse des Mikrozensus 2016 - Landesamt für Statistik Niedersachsen</t>
  </si>
  <si>
    <t>C1 Erwerbstätige Menschen mit Migrationshintergrund 2017 nach Wirtschaftsabschnitten und Geschlecht</t>
  </si>
  <si>
    <t>Ergebnisse des Mikrozensus 2017 - Landesamt für Statistik Niedersachsen</t>
  </si>
  <si>
    <t>C1 Erwerbstätige Menschen mit Migrationshintergrund 2018 nach Wirtschaftsabschnitten und Geschlecht</t>
  </si>
  <si>
    <t>Ergebnisse des Mikrozensus 2018 - Landesamt für Statistik Niedersachsen</t>
  </si>
  <si>
    <t>Indikator C1: Erwerbstätige Menschen mit Zuwanderungsgeschichte in Niedersachsen nach Wirtschaftsabschnitten und Geschlecht</t>
  </si>
  <si>
    <r>
      <t>Tabelle C1-3: Erwerbstätige Menschen mit Zuwanderungsgeschichte nach Wirtschaftsabschnitten</t>
    </r>
    <r>
      <rPr>
        <vertAlign val="superscript"/>
        <sz val="9"/>
        <rFont val="NDSFrutiger 55 Roman"/>
      </rPr>
      <t>1)</t>
    </r>
  </si>
  <si>
    <t>Wirtschaftsabschnitte (WZ 2008)
Zusammenfassungen</t>
  </si>
  <si>
    <r>
      <t>Jahr</t>
    </r>
    <r>
      <rPr>
        <vertAlign val="superscript"/>
        <sz val="6"/>
        <rFont val="NDSFrutiger 45 Light"/>
      </rPr>
      <t>2)</t>
    </r>
  </si>
  <si>
    <r>
      <t>Erwerbstätige mit Migrationshintergrund</t>
    </r>
    <r>
      <rPr>
        <vertAlign val="superscript"/>
        <sz val="6"/>
        <rFont val="NDSFrutiger 45 Light"/>
      </rPr>
      <t xml:space="preserve"> 3)</t>
    </r>
  </si>
  <si>
    <t>Männer</t>
  </si>
  <si>
    <t>Frauen</t>
  </si>
  <si>
    <t>1</t>
  </si>
  <si>
    <t>2</t>
  </si>
  <si>
    <t>3</t>
  </si>
  <si>
    <t>4</t>
  </si>
  <si>
    <t>5</t>
  </si>
  <si>
    <t>Land- und Forstwirtschaft, Fischerei</t>
  </si>
  <si>
    <t>Bergbau und Gewinnung von Steinen und Erden; Verarbeitendes Gewerbe</t>
  </si>
  <si>
    <t>Energieversorgung; Wasserversorgung, Entsorg., Beseitig. v. Umweltverschmutzungen</t>
  </si>
  <si>
    <t>Baugewerbe</t>
  </si>
  <si>
    <t>Handel, Instandhaltung und Reparatur von Kfz</t>
  </si>
  <si>
    <t>Verkehr und Lagerei; Information und Kommunikation</t>
  </si>
  <si>
    <t>Gastgewerbe</t>
  </si>
  <si>
    <t>Erbringung von Finanz- und Versicherungsleistungen; Grundstücks- und Wohnungswesen; Freiberufliche, wiss. u. techn. Dienstleistungen; sonst. wirt. Dienstleistungen</t>
  </si>
  <si>
    <t>ÖffentlicheVerwaltung, Verteidigung, Sozialversicherung; Erziehung und Unterricht; Gesundheits- und Sozialwesen</t>
  </si>
  <si>
    <t>Kunst, Unterhaltung und Erholung; Erbringung von sonstigen Dienstleistungen</t>
  </si>
  <si>
    <t>Insgesamt (inkl. sonstiger Abschnitte)</t>
  </si>
  <si>
    <t>/</t>
  </si>
  <si>
    <t>Öff.Verwaltung, Verteidigung, Sozialversicherung; Erziehung und Unterricht; Gesundheits- und Sozialwesen</t>
  </si>
  <si>
    <t>Land- und Forstwirtschaft; Fischerei und Fischzucht</t>
  </si>
  <si>
    <t>Energie- und Wasserversorgung</t>
  </si>
  <si>
    <t>Handel; Instandhaltung und Reparatur von Kraftfahrzeugen und Gebrauchsgütern</t>
  </si>
  <si>
    <t>Verkehr und Nachrichtenübermittlung</t>
  </si>
  <si>
    <t>Kredit- und Versicherungsgewerbe; Grundstücks- und Wohnungswesen, Vermietung beweglicher Sachen, Erbringung von wirt.Dienstleistungen, anderweitig nicht genannt</t>
  </si>
  <si>
    <t>Öffentliche Verwaltung, Verteidigung, Sozialversicherung; Erziehung und Unterricht; Gesundheits-, Veterinär- und Sozialwesen</t>
  </si>
  <si>
    <t>Erbringung von sonstigen öffentlichen und persönlichen Dienstleistungen</t>
  </si>
  <si>
    <t>1) Die Angabe des Wirtschaftszweiges erfolgte ab Erhebungsjahr 2009 nach der Klassifikation der Wirtschaftszweige, Ausgabe 2008 (WZ 2008). Im Jahr 2005 wurde hingegen die zu diesem Zeitpunkt gültige Klassifikation der Wirtschaftszweige, Ausgabe 2003 (WZ 2003), zugrunde gelegt. Aufgrund von größeren Verschiebungen bzw. Änderungen in den fachlichen Zuordnungen sind die dargestellten Werte des Erhebungsjahres 2005 und ab den Jahren 2009 nur sehr eingeschränkt vergleichbar.</t>
  </si>
  <si>
    <t xml:space="preserve">2) Hochrechnung anhand der Bevölkerungsfortschreibung auf Basis des Zensus 2011. Die Hochrechnung für die Jahre vor 2011 sowie für bislang veröffentlichte Ergebnisse des Mikrozensus 2011-2013 basiert auf den fortgeschriebenen Ergebnissen der Volkszählung 1987. In 2016 erfolgte die Umstellung auf eine neue Mikrozensus-Stichprobe. Ab 2017 wird nur noch die Bevölkerung in Privathaushalten (ohne Gemeinschaftsunterkünfte) ausgewiesen. Dadurch ergibt sich jeweils eine eingeschränkte Vergleichbarkeit mit den Vorjahren. </t>
  </si>
  <si>
    <t xml:space="preserve"> 3) Seit dem Jahr 2018 wird im Mikrozensus der Migrationshintergrund im weiteren Sinne jährlich berichtet. Die in der Tabelle ab dem Jahr 2018 abgebildeten Daten zum Migrationshintergrund entsprechen dem Migrationshintergrund im weiteren Sinne, bis 2017 wird der Migrationshintergrund im engeren Sinne abgebildet. Die Vergleichbarkeit ist dadurch eingeschränkt.</t>
  </si>
  <si>
    <t>Quelle: Mikrozensus</t>
  </si>
  <si>
    <t xml:space="preserve"> 63 725,4</t>
  </si>
  <si>
    <t>C1 Erwerbstätige Menschen mit Migrationshintergrund 2019 nach Wirtschaftsabschnitten und Geschlecht</t>
  </si>
  <si>
    <t>Ergebnisse des Mikrozensus 2019 - Landesamt für Statistik Niedersachsen</t>
  </si>
  <si>
    <t>Migration und Teilhabe in Niedersachsen - Integrationsmonitoring 2021</t>
  </si>
  <si>
    <t>Indikator 5.1.1: Erwerbstätige Menschen mit Zuwanderungsgeschichte in Niedersachsen nach Wirtschaftsabschnitten und Geschlecht</t>
  </si>
  <si>
    <r>
      <t>Tabelle 5.1.1: Erwerbstätige Menschen mit Zuwanderungsgeschichte nach Wirtschaftsabschnitten</t>
    </r>
    <r>
      <rPr>
        <vertAlign val="superscript"/>
        <sz val="9"/>
        <rFont val="NDSFrutiger 55 Roman"/>
      </rPr>
      <t>1)</t>
    </r>
  </si>
  <si>
    <t>Year</t>
  </si>
  <si>
    <t>Wirtschaftsabschnitte (WZ 2008) Zusammenfassungen</t>
  </si>
  <si>
    <t>Units</t>
  </si>
  <si>
    <t>Value</t>
  </si>
  <si>
    <t>in 1000</t>
  </si>
  <si>
    <t>in 1001</t>
  </si>
  <si>
    <t>in 1002</t>
  </si>
  <si>
    <t>in 1003</t>
  </si>
  <si>
    <t>in 1004</t>
  </si>
  <si>
    <t>in 1005</t>
  </si>
  <si>
    <t>in 1006</t>
  </si>
  <si>
    <t>in 1007</t>
  </si>
  <si>
    <t>in 1008</t>
  </si>
  <si>
    <t>in 1009</t>
  </si>
  <si>
    <t>in 1010</t>
  </si>
  <si>
    <t>in 1011</t>
  </si>
  <si>
    <t>in 1012</t>
  </si>
  <si>
    <t>in 1013</t>
  </si>
  <si>
    <t>in 1014</t>
  </si>
  <si>
    <t>in 1015</t>
  </si>
  <si>
    <t>in 1016</t>
  </si>
  <si>
    <t>in 1017</t>
  </si>
  <si>
    <t>in 1018</t>
  </si>
  <si>
    <t>in 1019</t>
  </si>
  <si>
    <t>in 1020</t>
  </si>
  <si>
    <t>in 1021</t>
  </si>
  <si>
    <t>in 1022</t>
  </si>
  <si>
    <t>in 1023</t>
  </si>
  <si>
    <t>in 1024</t>
  </si>
  <si>
    <t>in 1025</t>
  </si>
  <si>
    <t>in 1026</t>
  </si>
  <si>
    <t>in 1027</t>
  </si>
  <si>
    <t>in 1028</t>
  </si>
  <si>
    <t>in 1029</t>
  </si>
  <si>
    <t>in 1030</t>
  </si>
  <si>
    <t>in 1031</t>
  </si>
  <si>
    <t>in 1032</t>
  </si>
  <si>
    <t>in 1033</t>
  </si>
  <si>
    <t>in 1034</t>
  </si>
  <si>
    <t>in 1035</t>
  </si>
  <si>
    <t>in 1036</t>
  </si>
  <si>
    <t>in 1037</t>
  </si>
  <si>
    <t>in 1038</t>
  </si>
  <si>
    <t>in 1039</t>
  </si>
  <si>
    <t>in 1040</t>
  </si>
  <si>
    <t>in 1041</t>
  </si>
  <si>
    <t>in 1042</t>
  </si>
  <si>
    <t>in 1043</t>
  </si>
  <si>
    <t>in 1044</t>
  </si>
  <si>
    <t>in 1045</t>
  </si>
  <si>
    <t>in 1046</t>
  </si>
  <si>
    <t>in 1047</t>
  </si>
  <si>
    <t>in 1048</t>
  </si>
  <si>
    <t>in 1049</t>
  </si>
  <si>
    <t>in 1050</t>
  </si>
  <si>
    <t>in 1051</t>
  </si>
  <si>
    <t>in 1052</t>
  </si>
  <si>
    <t>in 1053</t>
  </si>
  <si>
    <t>in 1054</t>
  </si>
  <si>
    <t>in 1055</t>
  </si>
  <si>
    <t>in 1056</t>
  </si>
  <si>
    <t>in 1057</t>
  </si>
  <si>
    <t>in 1058</t>
  </si>
  <si>
    <t>in 1059</t>
  </si>
  <si>
    <t>in 1060</t>
  </si>
  <si>
    <t>in 1061</t>
  </si>
  <si>
    <t>in 1062</t>
  </si>
  <si>
    <t>in 1063</t>
  </si>
  <si>
    <t>in 1064</t>
  </si>
  <si>
    <t>in 1065</t>
  </si>
  <si>
    <t>in 1066</t>
  </si>
  <si>
    <t>in 1067</t>
  </si>
  <si>
    <t>in 1068</t>
  </si>
  <si>
    <t>in 1069</t>
  </si>
  <si>
    <t>in 1070</t>
  </si>
  <si>
    <t>in 1071</t>
  </si>
  <si>
    <t>in 1072</t>
  </si>
  <si>
    <t>in 1073</t>
  </si>
  <si>
    <t>in 1074</t>
  </si>
  <si>
    <t>in 1075</t>
  </si>
  <si>
    <t>in 1076</t>
  </si>
  <si>
    <t>in 1077</t>
  </si>
  <si>
    <t>in 1078</t>
  </si>
  <si>
    <t>in 1079</t>
  </si>
  <si>
    <t>in 1080</t>
  </si>
  <si>
    <t>in 1081</t>
  </si>
  <si>
    <t>in 1082</t>
  </si>
  <si>
    <t>in 1083</t>
  </si>
  <si>
    <t>in 1084</t>
  </si>
  <si>
    <t>in 1085</t>
  </si>
  <si>
    <t>in 1086</t>
  </si>
  <si>
    <t>in 1087</t>
  </si>
  <si>
    <t>in 1088</t>
  </si>
  <si>
    <t>in 1089</t>
  </si>
  <si>
    <t>in 1090</t>
  </si>
  <si>
    <t>in 1091</t>
  </si>
  <si>
    <t>in 1092</t>
  </si>
  <si>
    <t>in 1093</t>
  </si>
  <si>
    <t>in 1094</t>
  </si>
  <si>
    <t>in 1095</t>
  </si>
  <si>
    <t>in 1096</t>
  </si>
  <si>
    <t>in 1097</t>
  </si>
  <si>
    <t>in 1098</t>
  </si>
  <si>
    <t>in 1099</t>
  </si>
  <si>
    <t>in 1100</t>
  </si>
  <si>
    <t>in 1101</t>
  </si>
  <si>
    <t>in 1102</t>
  </si>
  <si>
    <t>in 1103</t>
  </si>
  <si>
    <t>in 1104</t>
  </si>
  <si>
    <t>in 1105</t>
  </si>
  <si>
    <t>in 1106</t>
  </si>
  <si>
    <t>in 1107</t>
  </si>
  <si>
    <t>in 1108</t>
  </si>
  <si>
    <t>in 1109</t>
  </si>
  <si>
    <t>in 1110</t>
  </si>
  <si>
    <t>in 1111</t>
  </si>
  <si>
    <t>in 1112</t>
  </si>
  <si>
    <t>in 1113</t>
  </si>
  <si>
    <t>in 1114</t>
  </si>
  <si>
    <t>in 1115</t>
  </si>
  <si>
    <t>in 1116</t>
  </si>
  <si>
    <t>in 1117</t>
  </si>
  <si>
    <t>in 1118</t>
  </si>
  <si>
    <t>in 1119</t>
  </si>
  <si>
    <t>in 1120</t>
  </si>
  <si>
    <t>in 1121</t>
  </si>
  <si>
    <t>in 1122</t>
  </si>
  <si>
    <t>in 1123</t>
  </si>
  <si>
    <t>in 1124</t>
  </si>
  <si>
    <t>in 1125</t>
  </si>
  <si>
    <t>in 1126</t>
  </si>
  <si>
    <t>in 1127</t>
  </si>
  <si>
    <t>in 1128</t>
  </si>
  <si>
    <t>in 1129</t>
  </si>
  <si>
    <t>in 1130</t>
  </si>
  <si>
    <t>in 1131</t>
  </si>
  <si>
    <t>in 1132</t>
  </si>
  <si>
    <t>in 1133</t>
  </si>
  <si>
    <t>in 1134</t>
  </si>
  <si>
    <t>in 1135</t>
  </si>
  <si>
    <t>in 1136</t>
  </si>
  <si>
    <t>in 1137</t>
  </si>
  <si>
    <t>in 1138</t>
  </si>
  <si>
    <t>in 1139</t>
  </si>
  <si>
    <t>in 1140</t>
  </si>
  <si>
    <t>in 1141</t>
  </si>
  <si>
    <t>in 1142</t>
  </si>
  <si>
    <t>in 1143</t>
  </si>
  <si>
    <t>in 1144</t>
  </si>
  <si>
    <t>in 1145</t>
  </si>
  <si>
    <t>in 1146</t>
  </si>
  <si>
    <t>in 1147</t>
  </si>
  <si>
    <t>in 1148</t>
  </si>
  <si>
    <t>in 1149</t>
  </si>
  <si>
    <t>in 1150</t>
  </si>
  <si>
    <t>in 1151</t>
  </si>
  <si>
    <t>in 1152</t>
  </si>
  <si>
    <t>in 1153</t>
  </si>
  <si>
    <t>in 1154</t>
  </si>
  <si>
    <t>in 1155</t>
  </si>
  <si>
    <t>in 1156</t>
  </si>
  <si>
    <t>in 1157</t>
  </si>
  <si>
    <t>in 1158</t>
  </si>
  <si>
    <t>in 1159</t>
  </si>
  <si>
    <t>in 1160</t>
  </si>
  <si>
    <t>in 1161</t>
  </si>
  <si>
    <t>in 1162</t>
  </si>
  <si>
    <t>in 1163</t>
  </si>
  <si>
    <t>in 1164</t>
  </si>
  <si>
    <t>in 1165</t>
  </si>
  <si>
    <t>in 1166</t>
  </si>
  <si>
    <t>in 1167</t>
  </si>
  <si>
    <t>in 1168</t>
  </si>
  <si>
    <t>in 1169</t>
  </si>
  <si>
    <t>in 1170</t>
  </si>
  <si>
    <t>in 1171</t>
  </si>
  <si>
    <t>in 1172</t>
  </si>
  <si>
    <t>in 1173</t>
  </si>
  <si>
    <t>in 1174</t>
  </si>
  <si>
    <t>in 1175</t>
  </si>
  <si>
    <t>in 1176</t>
  </si>
  <si>
    <t>in 1177</t>
  </si>
  <si>
    <t>in 1178</t>
  </si>
  <si>
    <t>in 1179</t>
  </si>
  <si>
    <t>in 1180</t>
  </si>
  <si>
    <t>in 1181</t>
  </si>
  <si>
    <t>in 1182</t>
  </si>
  <si>
    <t>in 1183</t>
  </si>
  <si>
    <t>in 1184</t>
  </si>
  <si>
    <t>in 1185</t>
  </si>
  <si>
    <t>in 1186</t>
  </si>
  <si>
    <t>in 1187</t>
  </si>
  <si>
    <t>in 1188</t>
  </si>
  <si>
    <t>in 1189</t>
  </si>
  <si>
    <t>in 1190</t>
  </si>
  <si>
    <t>in 1191</t>
  </si>
  <si>
    <t>in 1192</t>
  </si>
  <si>
    <t>in 1193</t>
  </si>
  <si>
    <t>in 1194</t>
  </si>
  <si>
    <t>in 1195</t>
  </si>
  <si>
    <t>in 1196</t>
  </si>
  <si>
    <t>in 1197</t>
  </si>
  <si>
    <t>in 1198</t>
  </si>
  <si>
    <t>in 1199</t>
  </si>
  <si>
    <t>in 1200</t>
  </si>
  <si>
    <t>in 1201</t>
  </si>
  <si>
    <t>in 1202</t>
  </si>
  <si>
    <t>in 1203</t>
  </si>
  <si>
    <t>in 1204</t>
  </si>
  <si>
    <t>in 1205</t>
  </si>
  <si>
    <t>in 1206</t>
  </si>
  <si>
    <t>in 1207</t>
  </si>
  <si>
    <t>in 1208</t>
  </si>
  <si>
    <t>in 1209</t>
  </si>
  <si>
    <t>in 1210</t>
  </si>
  <si>
    <t>in 1211</t>
  </si>
  <si>
    <t>in 1212</t>
  </si>
  <si>
    <t>in 1213</t>
  </si>
  <si>
    <t>in 1214</t>
  </si>
  <si>
    <t>in 1215</t>
  </si>
  <si>
    <t>in 1216</t>
  </si>
  <si>
    <t>in 1217</t>
  </si>
  <si>
    <t>in 1218</t>
  </si>
  <si>
    <t>in 1219</t>
  </si>
  <si>
    <t>in 1220</t>
  </si>
  <si>
    <t>in 1221</t>
  </si>
  <si>
    <t>in 1222</t>
  </si>
  <si>
    <t>in 1223</t>
  </si>
  <si>
    <t>in 1224</t>
  </si>
  <si>
    <t>in 1225</t>
  </si>
  <si>
    <t>in 1226</t>
  </si>
  <si>
    <t>in 1227</t>
  </si>
  <si>
    <t>in 1228</t>
  </si>
  <si>
    <t>in 1229</t>
  </si>
  <si>
    <t>in 1230</t>
  </si>
  <si>
    <t>in 1231</t>
  </si>
  <si>
    <t>in 1232</t>
  </si>
  <si>
    <t>in 1233</t>
  </si>
  <si>
    <t>in 1234</t>
  </si>
  <si>
    <t>in 1235</t>
  </si>
  <si>
    <t>in 1236</t>
  </si>
  <si>
    <t>in 1237</t>
  </si>
  <si>
    <t>in 1238</t>
  </si>
  <si>
    <t>in 1239</t>
  </si>
  <si>
    <t>in 1240</t>
  </si>
  <si>
    <t>in 1241</t>
  </si>
  <si>
    <t>in 1242</t>
  </si>
  <si>
    <t>in 1243</t>
  </si>
  <si>
    <t>in 1244</t>
  </si>
  <si>
    <t>in 1245</t>
  </si>
  <si>
    <t>in 1246</t>
  </si>
  <si>
    <t>in 1247</t>
  </si>
  <si>
    <t>in 1248</t>
  </si>
  <si>
    <t>in 1249</t>
  </si>
  <si>
    <t>in 1250</t>
  </si>
  <si>
    <t>in 1251</t>
  </si>
  <si>
    <t>in 1252</t>
  </si>
  <si>
    <t>in 1253</t>
  </si>
  <si>
    <t>in 1254</t>
  </si>
  <si>
    <t>in 1255</t>
  </si>
  <si>
    <t>in 1256</t>
  </si>
  <si>
    <t>in 1257</t>
  </si>
  <si>
    <t>in 1258</t>
  </si>
  <si>
    <t>in 1259</t>
  </si>
  <si>
    <t>in 1260</t>
  </si>
  <si>
    <t>in 1261</t>
  </si>
  <si>
    <t>in 1262</t>
  </si>
  <si>
    <t>in 1263</t>
  </si>
  <si>
    <t>in 1264</t>
  </si>
  <si>
    <t>in 1265</t>
  </si>
  <si>
    <t>in 1266</t>
  </si>
  <si>
    <t>in 1267</t>
  </si>
  <si>
    <t>in 1268</t>
  </si>
  <si>
    <t>in 1269</t>
  </si>
  <si>
    <t>in 1270</t>
  </si>
  <si>
    <t>in 1271</t>
  </si>
  <si>
    <t>in 1272</t>
  </si>
  <si>
    <t>in 1273</t>
  </si>
  <si>
    <t>in 1274</t>
  </si>
  <si>
    <t>in 1275</t>
  </si>
  <si>
    <t>in 1276</t>
  </si>
  <si>
    <t>in 1277</t>
  </si>
  <si>
    <t>in 1278</t>
  </si>
  <si>
    <t>in 1279</t>
  </si>
  <si>
    <t>in 1280</t>
  </si>
  <si>
    <t>in 1281</t>
  </si>
  <si>
    <t>in 1282</t>
  </si>
  <si>
    <t>in 1283</t>
  </si>
  <si>
    <t>in 1284</t>
  </si>
  <si>
    <t>in 1285</t>
  </si>
  <si>
    <t>in 1286</t>
  </si>
  <si>
    <t>in 1287</t>
  </si>
  <si>
    <t>in 1288</t>
  </si>
  <si>
    <t>in 1289</t>
  </si>
  <si>
    <t>in 1290</t>
  </si>
  <si>
    <t>in 1291</t>
  </si>
  <si>
    <t>in 1292</t>
  </si>
  <si>
    <t>in 1293</t>
  </si>
  <si>
    <t>in 1294</t>
  </si>
  <si>
    <t>in 1295</t>
  </si>
  <si>
    <t>in 1296</t>
  </si>
  <si>
    <t>in 1297</t>
  </si>
  <si>
    <t>in 1298</t>
  </si>
  <si>
    <t>in 1299</t>
  </si>
  <si>
    <t>in 1300</t>
  </si>
  <si>
    <t>in 1301</t>
  </si>
  <si>
    <t>in 1302</t>
  </si>
  <si>
    <t>in 1303</t>
  </si>
  <si>
    <t>in 1304</t>
  </si>
  <si>
    <t>in 1305</t>
  </si>
  <si>
    <t>in 1306</t>
  </si>
  <si>
    <t>in 1307</t>
  </si>
  <si>
    <t>in 1308</t>
  </si>
  <si>
    <t>in 1309</t>
  </si>
  <si>
    <t>in 1310</t>
  </si>
  <si>
    <t>in 1311</t>
  </si>
  <si>
    <t>in 1312</t>
  </si>
  <si>
    <t>in 1313</t>
  </si>
  <si>
    <t>in 1314</t>
  </si>
  <si>
    <t>in 1315</t>
  </si>
  <si>
    <t>in 1316</t>
  </si>
  <si>
    <t>in 1317</t>
  </si>
  <si>
    <t>in 1318</t>
  </si>
  <si>
    <t>in 1319</t>
  </si>
  <si>
    <t>in 1320</t>
  </si>
  <si>
    <t>in 1321</t>
  </si>
  <si>
    <t>in 1322</t>
  </si>
  <si>
    <t>in 1323</t>
  </si>
  <si>
    <t>in 1324</t>
  </si>
  <si>
    <t>in 1325</t>
  </si>
  <si>
    <t>in 1326</t>
  </si>
  <si>
    <t>in 1327</t>
  </si>
  <si>
    <t>in 1328</t>
  </si>
  <si>
    <t>in 1329</t>
  </si>
  <si>
    <t>in 1330</t>
  </si>
  <si>
    <t>in 1331</t>
  </si>
  <si>
    <t>in 1332</t>
  </si>
  <si>
    <t>in 1333</t>
  </si>
  <si>
    <t>in 1334</t>
  </si>
  <si>
    <t>in 1335</t>
  </si>
  <si>
    <t>in 1336</t>
  </si>
  <si>
    <t>in 1337</t>
  </si>
  <si>
    <t>in 1338</t>
  </si>
  <si>
    <t>in 1339</t>
  </si>
  <si>
    <t>in 1340</t>
  </si>
  <si>
    <t>in 1341</t>
  </si>
  <si>
    <t>in 1342</t>
  </si>
  <si>
    <t>in 1343</t>
  </si>
  <si>
    <t>in 1344</t>
  </si>
  <si>
    <t>in 1345</t>
  </si>
  <si>
    <t>in 1346</t>
  </si>
  <si>
    <t>in 1347</t>
  </si>
  <si>
    <t>in 1348</t>
  </si>
  <si>
    <t>in 1349</t>
  </si>
  <si>
    <t>in 1350</t>
  </si>
  <si>
    <t>in 1351</t>
  </si>
  <si>
    <t>in 1352</t>
  </si>
  <si>
    <t>in 1353</t>
  </si>
  <si>
    <t>in 1354</t>
  </si>
  <si>
    <t>in 1355</t>
  </si>
  <si>
    <t>in 1356</t>
  </si>
  <si>
    <t>in 1357</t>
  </si>
  <si>
    <t>in 1358</t>
  </si>
  <si>
    <t>in 1359</t>
  </si>
  <si>
    <t>in 1360</t>
  </si>
  <si>
    <t>in 1361</t>
  </si>
  <si>
    <t>in 1362</t>
  </si>
  <si>
    <t>11.42368</t>
  </si>
  <si>
    <t>181.05264</t>
  </si>
  <si>
    <t>68.81263</t>
  </si>
  <si>
    <t>130.89983</t>
  </si>
  <si>
    <t>67.16394</t>
  </si>
  <si>
    <t>57.58026</t>
  </si>
  <si>
    <t>92.33568</t>
  </si>
  <si>
    <t>160.67987</t>
  </si>
  <si>
    <t>32.89778</t>
  </si>
  <si>
    <t>14.14961</t>
  </si>
  <si>
    <t>187.68375</t>
  </si>
  <si>
    <t>65.19022</t>
  </si>
  <si>
    <t>129.91822</t>
  </si>
  <si>
    <t>61.68477</t>
  </si>
  <si>
    <t>58.19181</t>
  </si>
  <si>
    <t>87.23781</t>
  </si>
  <si>
    <t>155.93631</t>
  </si>
  <si>
    <t>31.15317</t>
  </si>
  <si>
    <t>805.91227</t>
  </si>
  <si>
    <t>11.42443</t>
  </si>
  <si>
    <t>185.04506</t>
  </si>
  <si>
    <t>63.57268</t>
  </si>
  <si>
    <t>125.8814</t>
  </si>
  <si>
    <t>60.93678</t>
  </si>
  <si>
    <t>51.63832</t>
  </si>
  <si>
    <t>83.74615</t>
  </si>
  <si>
    <t>153.97228</t>
  </si>
  <si>
    <t>34.12491</t>
  </si>
  <si>
    <t>786.12054</t>
  </si>
  <si>
    <t>11.42641</t>
  </si>
  <si>
    <t>162.05356</t>
  </si>
  <si>
    <t>52.61318</t>
  </si>
  <si>
    <t>106.77966</t>
  </si>
  <si>
    <t>50.4989</t>
  </si>
  <si>
    <t>48.5409</t>
  </si>
  <si>
    <t>75.9719</t>
  </si>
  <si>
    <t>127.76136</t>
  </si>
  <si>
    <t>27.67761</t>
  </si>
  <si>
    <t>677.16357</t>
  </si>
  <si>
    <t>10.00167</t>
  </si>
  <si>
    <t>141.48393</t>
  </si>
  <si>
    <t>45.39813</t>
  </si>
  <si>
    <t>100.92942</t>
  </si>
  <si>
    <t>44.8455</t>
  </si>
  <si>
    <t>48.02391</t>
  </si>
  <si>
    <t>68.12898</t>
  </si>
  <si>
    <t>118.23508</t>
  </si>
  <si>
    <t>28.68398</t>
  </si>
  <si>
    <t>617.30963</t>
  </si>
  <si>
    <t>134.3787</t>
  </si>
  <si>
    <t>47.16467</t>
  </si>
  <si>
    <t>98.40937</t>
  </si>
  <si>
    <t>41.79382</t>
  </si>
  <si>
    <t>43.57618</t>
  </si>
  <si>
    <t>67.51069</t>
  </si>
  <si>
    <t>115.81437</t>
  </si>
  <si>
    <t>28.58216</t>
  </si>
  <si>
    <t>599.417</t>
  </si>
  <si>
    <t>129.34106</t>
  </si>
  <si>
    <t>44.42089</t>
  </si>
  <si>
    <t>102.08666</t>
  </si>
  <si>
    <t>42.455</t>
  </si>
  <si>
    <t>47.83908</t>
  </si>
  <si>
    <t>71.11767</t>
  </si>
  <si>
    <t>111.62261</t>
  </si>
  <si>
    <t>30.32854</t>
  </si>
  <si>
    <t>600.97931</t>
  </si>
  <si>
    <t>131.66736</t>
  </si>
  <si>
    <t>40.42969</t>
  </si>
  <si>
    <t>83.40251</t>
  </si>
  <si>
    <t>39.50961</t>
  </si>
  <si>
    <t>45.34827</t>
  </si>
  <si>
    <t>64.83805</t>
  </si>
  <si>
    <t>107.72747</t>
  </si>
  <si>
    <t>31.068</t>
  </si>
  <si>
    <t>565.63011</t>
  </si>
  <si>
    <t>127.25463</t>
  </si>
  <si>
    <t>41.39158</t>
  </si>
  <si>
    <t>86.49311</t>
  </si>
  <si>
    <t>35.64328</t>
  </si>
  <si>
    <t>43.4605</t>
  </si>
  <si>
    <t>65.77005</t>
  </si>
  <si>
    <t>101.65639</t>
  </si>
  <si>
    <t>23.8918</t>
  </si>
  <si>
    <t>548.69433</t>
  </si>
  <si>
    <t>129.84919</t>
  </si>
  <si>
    <t>38.96301</t>
  </si>
  <si>
    <t>83.05168</t>
  </si>
  <si>
    <t>36.23751</t>
  </si>
  <si>
    <t>43.08923</t>
  </si>
  <si>
    <t>66.08848</t>
  </si>
  <si>
    <t>110.24489</t>
  </si>
  <si>
    <t>25.87738</t>
  </si>
  <si>
    <t>553.26731</t>
  </si>
  <si>
    <t>11.2</t>
  </si>
  <si>
    <t>125.5</t>
  </si>
  <si>
    <t>30.2</t>
  </si>
  <si>
    <t>69.1</t>
  </si>
  <si>
    <t>43.5</t>
  </si>
  <si>
    <t>20.7</t>
  </si>
  <si>
    <t>37.9</t>
  </si>
  <si>
    <t>79.2</t>
  </si>
  <si>
    <t>31.5</t>
  </si>
  <si>
    <t>455</t>
  </si>
  <si>
    <t>137.23995</t>
  </si>
  <si>
    <t>61.42324</t>
  </si>
  <si>
    <t>70.29412</t>
  </si>
  <si>
    <t>54.42498</t>
  </si>
  <si>
    <t>31.72892</t>
  </si>
  <si>
    <t>43.8466</t>
  </si>
  <si>
    <t>43.38992</t>
  </si>
  <si>
    <t>13.56075</t>
  </si>
  <si>
    <t>141.85381</t>
  </si>
  <si>
    <t>58.64286</t>
  </si>
  <si>
    <t>67.82863</t>
  </si>
  <si>
    <t>50.17224</t>
  </si>
  <si>
    <t>31.44165</t>
  </si>
  <si>
    <t>40.48726</t>
  </si>
  <si>
    <t>42.32957</t>
  </si>
  <si>
    <t>11.60702</t>
  </si>
  <si>
    <t>460.73617</t>
  </si>
  <si>
    <t>143.43661</t>
  </si>
  <si>
    <t>57.10233</t>
  </si>
  <si>
    <t>65.7515</t>
  </si>
  <si>
    <t>48.32745</t>
  </si>
  <si>
    <t>26.69622</t>
  </si>
  <si>
    <t>39.16312</t>
  </si>
  <si>
    <t>44.20756</t>
  </si>
  <si>
    <t>12.36978</t>
  </si>
  <si>
    <t>452.36585</t>
  </si>
  <si>
    <t>123.89064</t>
  </si>
  <si>
    <t>47.02018</t>
  </si>
  <si>
    <t>59.01031</t>
  </si>
  <si>
    <t>39.85748</t>
  </si>
  <si>
    <t>25.97501</t>
  </si>
  <si>
    <t>34.71445</t>
  </si>
  <si>
    <t>35.62593</t>
  </si>
  <si>
    <t>389.66021</t>
  </si>
  <si>
    <t>106.61516</t>
  </si>
  <si>
    <t>42.17635</t>
  </si>
  <si>
    <t>57.30595</t>
  </si>
  <si>
    <t>35.54383</t>
  </si>
  <si>
    <t>24.28513</t>
  </si>
  <si>
    <t>29.16293</t>
  </si>
  <si>
    <t>29.30551</t>
  </si>
  <si>
    <t>10.86446</t>
  </si>
  <si>
    <t>348.5413</t>
  </si>
  <si>
    <t>101.78074</t>
  </si>
  <si>
    <t>43.50207</t>
  </si>
  <si>
    <t>54.19261</t>
  </si>
  <si>
    <t>32.27196</t>
  </si>
  <si>
    <t>22.15498</t>
  </si>
  <si>
    <t>29.38483</t>
  </si>
  <si>
    <t>29.18779</t>
  </si>
  <si>
    <t>10.49938</t>
  </si>
  <si>
    <t>335.4823</t>
  </si>
  <si>
    <t>97.88157</t>
  </si>
  <si>
    <t>40.3535</t>
  </si>
  <si>
    <t>56.33749</t>
  </si>
  <si>
    <t>32.46283</t>
  </si>
  <si>
    <t>24.68042</t>
  </si>
  <si>
    <t>30.2764</t>
  </si>
  <si>
    <t>28.30402</t>
  </si>
  <si>
    <t>10.52907</t>
  </si>
  <si>
    <t>331.93194</t>
  </si>
  <si>
    <t>103.27019</t>
  </si>
  <si>
    <t>36.89753</t>
  </si>
  <si>
    <t>42.78841</t>
  </si>
  <si>
    <t>30.84138</t>
  </si>
  <si>
    <t>21.6441</t>
  </si>
  <si>
    <t>30.43182</t>
  </si>
  <si>
    <t>27.84985</t>
  </si>
  <si>
    <t>10.02529</t>
  </si>
  <si>
    <t>314.28734</t>
  </si>
  <si>
    <t>97.08204</t>
  </si>
  <si>
    <t>37.43239</t>
  </si>
  <si>
    <t>44.09932</t>
  </si>
  <si>
    <t>28.45287</t>
  </si>
  <si>
    <t>21.70217</t>
  </si>
  <si>
    <t>28.26149</t>
  </si>
  <si>
    <t>25.22802</t>
  </si>
  <si>
    <t>303.62559</t>
  </si>
  <si>
    <t>99.31678</t>
  </si>
  <si>
    <t>34.97291</t>
  </si>
  <si>
    <t>44.27626</t>
  </si>
  <si>
    <t>28.7331</t>
  </si>
  <si>
    <t>22.54625</t>
  </si>
  <si>
    <t>30.43019</t>
  </si>
  <si>
    <t>30.26269</t>
  </si>
  <si>
    <t>309.77223</t>
  </si>
  <si>
    <t>91.5</t>
  </si>
  <si>
    <t>28.3</t>
  </si>
  <si>
    <t>35.1</t>
  </si>
  <si>
    <t>23.9</t>
  </si>
  <si>
    <t>16.5</t>
  </si>
  <si>
    <t>18.3</t>
  </si>
  <si>
    <t>26.6</t>
  </si>
  <si>
    <t>13.4</t>
  </si>
  <si>
    <t>264.8</t>
  </si>
  <si>
    <t>43.81269</t>
  </si>
  <si>
    <t>60.60571</t>
  </si>
  <si>
    <t>12.73896</t>
  </si>
  <si>
    <t>25.85134</t>
  </si>
  <si>
    <t>48.48909</t>
  </si>
  <si>
    <t>117.28995</t>
  </si>
  <si>
    <t>19.33703</t>
  </si>
  <si>
    <t>45.82994</t>
  </si>
  <si>
    <t>62.08959</t>
  </si>
  <si>
    <t>11.51253</t>
  </si>
  <si>
    <t>26.75016</t>
  </si>
  <si>
    <t>46.75056</t>
  </si>
  <si>
    <t>113.60674</t>
  </si>
  <si>
    <t>19.54615</t>
  </si>
  <si>
    <t>345.1761</t>
  </si>
  <si>
    <t>41.60845</t>
  </si>
  <si>
    <t>60.12989</t>
  </si>
  <si>
    <t>12.60933</t>
  </si>
  <si>
    <t>24.9421</t>
  </si>
  <si>
    <t>44.58303</t>
  </si>
  <si>
    <t>109.76472</t>
  </si>
  <si>
    <t>21.75512</t>
  </si>
  <si>
    <t>333.75469</t>
  </si>
  <si>
    <t>38.16291</t>
  </si>
  <si>
    <t>47.76935</t>
  </si>
  <si>
    <t>10.64142</t>
  </si>
  <si>
    <t>22.56588</t>
  </si>
  <si>
    <t>41.25745</t>
  </si>
  <si>
    <t>92.13542</t>
  </si>
  <si>
    <t>17.92594</t>
  </si>
  <si>
    <t>287.50335</t>
  </si>
  <si>
    <t>34.86878</t>
  </si>
  <si>
    <t>43.62347</t>
  </si>
  <si>
    <t>23.73878</t>
  </si>
  <si>
    <t>38.96606</t>
  </si>
  <si>
    <t>88.92956</t>
  </si>
  <si>
    <t>17.81952</t>
  </si>
  <si>
    <t>268.76833</t>
  </si>
  <si>
    <t>32.59796</t>
  </si>
  <si>
    <t>44.21676</t>
  </si>
  <si>
    <t>21.42121</t>
  </si>
  <si>
    <t>38.12586</t>
  </si>
  <si>
    <t>86.62658</t>
  </si>
  <si>
    <t>18.08278</t>
  </si>
  <si>
    <t>263.9347</t>
  </si>
  <si>
    <t>31.45949</t>
  </si>
  <si>
    <t>45.74917</t>
  </si>
  <si>
    <t>23.15866</t>
  </si>
  <si>
    <t>40.84127</t>
  </si>
  <si>
    <t>83.31858</t>
  </si>
  <si>
    <t>19.79946</t>
  </si>
  <si>
    <t>269.04737</t>
  </si>
  <si>
    <t>28.39717</t>
  </si>
  <si>
    <t>40.6141</t>
  </si>
  <si>
    <t>23.70417</t>
  </si>
  <si>
    <t>34.40623</t>
  </si>
  <si>
    <t>79.87762</t>
  </si>
  <si>
    <t>21.0427</t>
  </si>
  <si>
    <t>251.34277</t>
  </si>
  <si>
    <t>30.17259</t>
  </si>
  <si>
    <t>42.3938</t>
  </si>
  <si>
    <t>21.75833</t>
  </si>
  <si>
    <t>37.50856</t>
  </si>
  <si>
    <t>76.42837</t>
  </si>
  <si>
    <t>16.17919</t>
  </si>
  <si>
    <t>245.06874</t>
  </si>
  <si>
    <t>30.53241</t>
  </si>
  <si>
    <t>38.77542</t>
  </si>
  <si>
    <t>20.54298</t>
  </si>
  <si>
    <t>35.65829</t>
  </si>
  <si>
    <t>79.9822</t>
  </si>
  <si>
    <t>17.19898</t>
  </si>
  <si>
    <t>243.49507</t>
  </si>
  <si>
    <t>34</t>
  </si>
  <si>
    <t>19.6</t>
  </si>
  <si>
    <t>52.5</t>
  </si>
  <si>
    <t>18.1</t>
  </si>
  <si>
    <t>190.2</t>
  </si>
  <si>
    <t>(7,8)</t>
  </si>
  <si>
    <t>Value_original</t>
  </si>
  <si>
    <t>Value_Text</t>
  </si>
  <si>
    <t>(7,7)</t>
  </si>
  <si>
    <t>(8,9)</t>
  </si>
  <si>
    <t>(8,3)</t>
  </si>
  <si>
    <t>(6,4)</t>
  </si>
  <si>
    <t>(6,8)</t>
  </si>
  <si>
    <t>(9,6)</t>
  </si>
  <si>
    <t>(6,9)</t>
  </si>
  <si>
    <t>(8,1)</t>
  </si>
  <si>
    <t>(7,5)</t>
  </si>
  <si>
    <t>(7,1)</t>
  </si>
  <si>
    <t>(6,7)</t>
  </si>
  <si>
    <t>(9,8)</t>
  </si>
  <si>
    <t>(7,4)</t>
  </si>
  <si>
    <t>(7,9)</t>
  </si>
  <si>
    <t>(6,1)</t>
  </si>
  <si>
    <t>(5,9)</t>
  </si>
  <si>
    <t>(9,2)</t>
  </si>
  <si>
    <t>(8,4)</t>
  </si>
  <si>
    <t>(6,5)</t>
  </si>
  <si>
    <t>(5,2)</t>
  </si>
  <si>
    <t>(5,0)</t>
  </si>
  <si>
    <t>(6,3)</t>
  </si>
  <si>
    <t>(5,3)</t>
  </si>
  <si>
    <t>(5,6)</t>
  </si>
  <si>
    <t>(7,0)</t>
  </si>
  <si>
    <t>(8,7)</t>
  </si>
  <si>
    <t>(7,3)</t>
  </si>
  <si>
    <t>(9,3)</t>
  </si>
  <si>
    <t>(9,5)</t>
  </si>
  <si>
    <t>(10,0)</t>
  </si>
  <si>
    <t>(7,2)</t>
  </si>
  <si>
    <t>Land- und Forstwirtschaft  Fischerei</t>
  </si>
  <si>
    <t>Energieversorgung; Wasserversorgung  Entsorg.  Beseitig. v. Umweltverschmutzungen</t>
  </si>
  <si>
    <t>Handel  Instandhaltung und Reparatur von Kfz</t>
  </si>
  <si>
    <t>Erbringung von Finanz- und Versicherungsleistungen; Grundstücks- und Wohnungswesen; Freiberufliche  wiss. u. techn. Dienstleistungen; sonst. wirt. Dienstleistungen</t>
  </si>
  <si>
    <t>ÖffentlicheVerwaltung  Verteidigung  Sozialversicherung; Erziehung und Unterricht; Gesundheits- und Sozialwesen</t>
  </si>
  <si>
    <t>Kunst  Unterhaltung und Erholung; Erbringung von sonstigen Dienstleistungen</t>
  </si>
  <si>
    <t>Öff.Verwaltung  Verteidigung  Sozialversicherung; Erziehung und Unterricht; Gesundheits- und Sozialwesen</t>
  </si>
  <si>
    <t>Kredit- und Versicherungsgewerbe; Grundstücks- und Wohnungswesen  Vermietung beweglicher Sachen  Erbringung von wirt.Dienstleistungen  anderweitig nicht genannt</t>
  </si>
  <si>
    <t>Öffentliche Verwaltung  Verteidigung  Sozialversicherung; Erziehung und Unterricht; Gesundheits-  Veterinär- und Sozialwesen</t>
  </si>
  <si>
    <t>7.84655</t>
  </si>
  <si>
    <t>818.34351</t>
  </si>
  <si>
    <t>8.9252</t>
  </si>
  <si>
    <t>8.26193</t>
  </si>
  <si>
    <t>6.41776</t>
  </si>
  <si>
    <t>6.79859</t>
  </si>
  <si>
    <t>9.61809</t>
  </si>
  <si>
    <t>6.8612</t>
  </si>
  <si>
    <t>8.12229</t>
  </si>
  <si>
    <t>7.47687</t>
  </si>
  <si>
    <t>7.10295</t>
  </si>
  <si>
    <t>6.70766</t>
  </si>
  <si>
    <t>9.83701</t>
  </si>
  <si>
    <t>7.43789</t>
  </si>
  <si>
    <t>7.90266</t>
  </si>
  <si>
    <t>6.08956</t>
  </si>
  <si>
    <t>8.09706</t>
  </si>
  <si>
    <t>5.87054</t>
  </si>
  <si>
    <t>470.17716</t>
  </si>
  <si>
    <t>9.23728</t>
  </si>
  <si>
    <t>6.92941</t>
  </si>
  <si>
    <t>8.36436</t>
  </si>
  <si>
    <t>6.47833</t>
  </si>
  <si>
    <t>8.39828</t>
  </si>
  <si>
    <t>5.17429</t>
  </si>
  <si>
    <t>9.75166</t>
  </si>
  <si>
    <t>7.45721</t>
  </si>
  <si>
    <t>5.03943</t>
  </si>
  <si>
    <t>6.33607</t>
  </si>
  <si>
    <t>5.31538</t>
  </si>
  <si>
    <t>5.63979</t>
  </si>
  <si>
    <t>5.0329</t>
  </si>
  <si>
    <t>4.74845</t>
  </si>
  <si>
    <t>4.6591</t>
  </si>
  <si>
    <t>6.99081</t>
  </si>
  <si>
    <t>6.25116</t>
  </si>
  <si>
    <t>7.7126</t>
  </si>
  <si>
    <t>5.15707</t>
  </si>
  <si>
    <t>8.6784</t>
  </si>
  <si>
    <t>8.7</t>
  </si>
  <si>
    <t>3.32662</t>
  </si>
  <si>
    <t>1.97601</t>
  </si>
  <si>
    <t>7.38939</t>
  </si>
  <si>
    <t>348.16636</t>
  </si>
  <si>
    <t>4.91233</t>
  </si>
  <si>
    <t>1.99579</t>
  </si>
  <si>
    <t>6.54735</t>
  </si>
  <si>
    <t>3.06007</t>
  </si>
  <si>
    <t>1.7836</t>
  </si>
  <si>
    <t>6.47035</t>
  </si>
  <si>
    <t>3.02813</t>
  </si>
  <si>
    <t>1.24347</t>
  </si>
  <si>
    <t>5.593</t>
  </si>
  <si>
    <t>2.54446</t>
  </si>
  <si>
    <t>1.75916</t>
  </si>
  <si>
    <t>3.22179</t>
  </si>
  <si>
    <t>9.30167</t>
  </si>
  <si>
    <t>3.28202</t>
  </si>
  <si>
    <t>1.54582</t>
  </si>
  <si>
    <t>3.6626</t>
  </si>
  <si>
    <t>9.52186</t>
  </si>
  <si>
    <t>2.4825</t>
  </si>
  <si>
    <t>2.44398</t>
  </si>
  <si>
    <t>4.06739</t>
  </si>
  <si>
    <t>9.99216</t>
  </si>
  <si>
    <t>2.3545</t>
  </si>
  <si>
    <t>2.04855</t>
  </si>
  <si>
    <t>3.53216</t>
  </si>
  <si>
    <t>8.66823</t>
  </si>
  <si>
    <t>2.84619</t>
  </si>
  <si>
    <t>1.18674</t>
  </si>
  <si>
    <t>3.95919</t>
  </si>
  <si>
    <t>7.19041</t>
  </si>
  <si>
    <t>7.50441</t>
  </si>
  <si>
    <t>Niedersächsisches Ministerium für Soziales, Gesundheit und Gleichstellung (Hrsg.),</t>
  </si>
  <si>
    <t>© Landesamt für Statistik Niedersachsen, Hannover 2021,                                                                          </t>
  </si>
  <si>
    <t>Vervielfältigung und Verbreitung, auch auszugsweise, mit Quellenangabe gestattet.</t>
  </si>
  <si>
    <t>https://www.integrationsmonitoring.niedersachsen.de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</si>
</sst>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lt;5000]&quot;/&quot;;[&lt;10000]\(#\ ###.0\);###\ ###\ ###.0"/>
    <numFmt numFmtId="165" formatCode="[&lt;5]&quot;/&quot;;[&lt;10]\(0.0\);#\ ###.0"/>
    <numFmt numFmtId="166" formatCode="0.0"/>
  </numFmts>
  <fonts count="17" x14ac:knownFonts="1">
    <font>
      <sz val="9.5"/>
      <color rgb="FF000000"/>
      <name val="Arial"/>
    </font>
    <font>
      <b/>
      <sz val="11"/>
      <color rgb="FF112277"/>
      <name val="Arial"/>
      <family val="2"/>
    </font>
    <font>
      <b/>
      <sz val="9.5"/>
      <color rgb="FF112277"/>
      <name val="Arial"/>
      <family val="2"/>
    </font>
    <font>
      <sz val="9.5"/>
      <color rgb="FF112277"/>
      <name val="Arial"/>
      <family val="2"/>
    </font>
    <font>
      <sz val="11"/>
      <name val="NDSFrutiger 55 Roman"/>
    </font>
    <font>
      <sz val="9"/>
      <name val="NDSFrutiger 55 Roman"/>
    </font>
    <font>
      <vertAlign val="superscript"/>
      <sz val="9"/>
      <name val="NDSFrutiger 55 Roman"/>
    </font>
    <font>
      <sz val="6"/>
      <name val="NDSFrutiger 45 Light"/>
    </font>
    <font>
      <vertAlign val="superscript"/>
      <sz val="6"/>
      <name val="NDSFrutiger 45 Light"/>
    </font>
    <font>
      <sz val="10"/>
      <name val="Arial"/>
      <family val="2"/>
    </font>
    <font>
      <sz val="6"/>
      <color theme="1"/>
      <name val="NDSFrutiger 45 Light"/>
    </font>
    <font>
      <sz val="6"/>
      <name val="NDSFrutiger 55 Roman"/>
    </font>
    <font>
      <sz val="6"/>
      <color theme="1"/>
      <name val="NDSFrutiger 55 Roman"/>
    </font>
    <font>
      <sz val="11"/>
      <color theme="1"/>
      <name val="NDSFrutiger 55 Roman"/>
    </font>
    <font>
      <sz val="9.5"/>
      <color rgb="FF000000"/>
      <name val="Arial"/>
      <family val="2"/>
    </font>
    <font>
      <u/>
      <sz val="9.5"/>
      <color theme="10"/>
      <name val="Arial"/>
      <family val="2"/>
    </font>
    <font>
      <u/>
      <sz val="6"/>
      <color theme="10"/>
      <name val="NDSFrutiger 45 Light"/>
    </font>
  </fonts>
  <fills count="6">
    <fill>
      <patternFill patternType="none"/>
    </fill>
    <fill>
      <patternFill patternType="gray125"/>
    </fill>
    <fill>
      <patternFill patternType="solid">
        <fgColor rgb="FFFAFBFE"/>
        <bgColor indexed="64"/>
      </patternFill>
    </fill>
    <fill>
      <patternFill patternType="solid">
        <fgColor rgb="FFEDF2F9"/>
        <bgColor indexed="64"/>
      </patternFill>
    </fill>
    <fill>
      <patternFill patternType="solid">
        <fgColor rgb="FFFFFFFF"/>
        <bgColor indexed="64"/>
      </patternFill>
    </fill>
    <fill>
      <patternFill patternType="solid">
        <fgColor theme="0"/>
        <bgColor indexed="64"/>
      </patternFill>
    </fill>
  </fills>
  <borders count="16">
    <border>
      <left/>
      <right/>
      <top/>
      <bottom/>
      <diagonal/>
    </border>
    <border>
      <left style="thin">
        <color rgb="FFB0B7BB"/>
      </left>
      <right style="thin">
        <color rgb="FFB0B7BB"/>
      </right>
      <top style="thin">
        <color rgb="FFB0B7BB"/>
      </top>
      <bottom style="thin">
        <color rgb="FFB0B7BB"/>
      </bottom>
      <diagonal/>
    </border>
    <border>
      <left style="thin">
        <color rgb="FFC1C1C1"/>
      </left>
      <right style="thin">
        <color rgb="FFC1C1C1"/>
      </right>
      <top style="thin">
        <color rgb="FFC1C1C1"/>
      </top>
      <bottom style="thin">
        <color rgb="FFC1C1C1"/>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9" fillId="0" borderId="0"/>
    <xf numFmtId="0" fontId="15" fillId="0" borderId="0" applyNumberFormat="0" applyFill="0" applyBorder="0" applyAlignment="0" applyProtection="0"/>
  </cellStyleXfs>
  <cellXfs count="69">
    <xf numFmtId="0" fontId="0" fillId="2" borderId="0" xfId="0" applyFont="1" applyFill="1" applyBorder="1" applyAlignment="1">
      <alignment horizontal="left"/>
    </xf>
    <xf numFmtId="0" fontId="2" fillId="3" borderId="1" xfId="0" applyFont="1" applyFill="1" applyBorder="1" applyAlignment="1">
      <alignment horizontal="center"/>
    </xf>
    <xf numFmtId="0" fontId="2" fillId="3" borderId="1" xfId="0" applyFont="1" applyFill="1" applyBorder="1" applyAlignment="1">
      <alignment horizontal="center" wrapText="1"/>
    </xf>
    <xf numFmtId="0" fontId="2" fillId="3" borderId="1" xfId="0" applyFont="1" applyFill="1" applyBorder="1" applyAlignment="1">
      <alignment horizontal="left" vertical="top"/>
    </xf>
    <xf numFmtId="0" fontId="0" fillId="4" borderId="2" xfId="0" applyFont="1" applyFill="1" applyBorder="1" applyAlignment="1">
      <alignment horizontal="right"/>
    </xf>
    <xf numFmtId="164" fontId="0" fillId="4" borderId="2" xfId="0" applyNumberFormat="1" applyFont="1" applyFill="1" applyBorder="1" applyAlignment="1">
      <alignment horizontal="right"/>
    </xf>
    <xf numFmtId="0" fontId="2" fillId="3" borderId="1" xfId="0" applyFont="1" applyFill="1" applyBorder="1" applyAlignment="1">
      <alignment horizontal="left" vertical="top" wrapText="1"/>
    </xf>
    <xf numFmtId="0" fontId="2" fillId="3" borderId="1" xfId="0" applyFont="1" applyFill="1" applyBorder="1" applyAlignment="1">
      <alignment horizontal="center"/>
    </xf>
    <xf numFmtId="0" fontId="2" fillId="3" borderId="1" xfId="0" applyFont="1" applyFill="1" applyBorder="1" applyAlignment="1">
      <alignment horizontal="center" wrapText="1"/>
    </xf>
    <xf numFmtId="0" fontId="0" fillId="2" borderId="0" xfId="0" applyFont="1" applyFill="1" applyBorder="1" applyAlignment="1">
      <alignment horizontal="left"/>
    </xf>
    <xf numFmtId="0" fontId="0" fillId="0" borderId="0" xfId="0"/>
    <xf numFmtId="0" fontId="5" fillId="0" borderId="0" xfId="0" applyFont="1"/>
    <xf numFmtId="0" fontId="7" fillId="5" borderId="11" xfId="0" applyFont="1" applyFill="1" applyBorder="1" applyAlignment="1">
      <alignment horizontal="center" vertical="center" wrapText="1"/>
    </xf>
    <xf numFmtId="0" fontId="7" fillId="5" borderId="12" xfId="0" applyFont="1" applyFill="1" applyBorder="1" applyAlignment="1">
      <alignment horizontal="center" vertical="center" wrapText="1"/>
    </xf>
    <xf numFmtId="0" fontId="7" fillId="5" borderId="13" xfId="0" applyFont="1" applyFill="1" applyBorder="1" applyAlignment="1">
      <alignment horizontal="center" vertical="center" wrapText="1"/>
    </xf>
    <xf numFmtId="0" fontId="7" fillId="0" borderId="0" xfId="0" applyFont="1" applyBorder="1" applyAlignment="1">
      <alignment horizontal="center" vertical="center" wrapText="1"/>
    </xf>
    <xf numFmtId="0" fontId="7" fillId="0" borderId="0" xfId="0" applyFont="1" applyBorder="1" applyAlignment="1">
      <alignment vertical="center" wrapText="1"/>
    </xf>
    <xf numFmtId="0" fontId="11" fillId="0" borderId="0" xfId="0" applyFont="1" applyBorder="1" applyAlignment="1">
      <alignment vertical="center" wrapText="1"/>
    </xf>
    <xf numFmtId="0" fontId="13" fillId="0" borderId="0" xfId="0" applyFont="1"/>
    <xf numFmtId="0" fontId="7" fillId="0" borderId="0" xfId="0" applyFont="1" applyBorder="1" applyAlignment="1">
      <alignment horizontal="right" vertical="center" wrapText="1"/>
    </xf>
    <xf numFmtId="0" fontId="11" fillId="0" borderId="0" xfId="0" applyFont="1" applyBorder="1" applyAlignment="1">
      <alignment horizontal="right" vertical="center" wrapText="1"/>
    </xf>
    <xf numFmtId="0" fontId="7" fillId="0" borderId="0" xfId="0" applyFont="1" applyAlignment="1">
      <alignment wrapText="1"/>
    </xf>
    <xf numFmtId="0" fontId="0" fillId="0" borderId="0" xfId="0" applyBorder="1"/>
    <xf numFmtId="0" fontId="7" fillId="0" borderId="0" xfId="0" applyFont="1" applyBorder="1" applyAlignment="1">
      <alignment horizontal="left" vertical="center" wrapText="1"/>
    </xf>
    <xf numFmtId="0" fontId="7" fillId="0" borderId="0" xfId="0" applyFont="1" applyFill="1" applyBorder="1" applyAlignment="1">
      <alignment horizontal="right" vertical="center" wrapText="1"/>
    </xf>
    <xf numFmtId="165" fontId="10" fillId="0" borderId="0" xfId="0" applyNumberFormat="1" applyFont="1" applyFill="1" applyAlignment="1">
      <alignment vertical="center"/>
    </xf>
    <xf numFmtId="0" fontId="11" fillId="0" borderId="0" xfId="0" applyFont="1" applyFill="1" applyBorder="1" applyAlignment="1">
      <alignment horizontal="right" vertical="center" wrapText="1"/>
    </xf>
    <xf numFmtId="0" fontId="10" fillId="0" borderId="0" xfId="0" applyFont="1" applyFill="1" applyAlignment="1">
      <alignment vertical="center"/>
    </xf>
    <xf numFmtId="0" fontId="12" fillId="0" borderId="0" xfId="0" applyFont="1" applyFill="1" applyAlignment="1">
      <alignment vertical="center"/>
    </xf>
    <xf numFmtId="166" fontId="11" fillId="0" borderId="0" xfId="0" applyNumberFormat="1" applyFont="1" applyFill="1" applyBorder="1" applyAlignment="1">
      <alignment horizontal="right" vertical="center" wrapText="1"/>
    </xf>
    <xf numFmtId="165" fontId="10" fillId="0" borderId="0" xfId="0" applyNumberFormat="1" applyFont="1" applyFill="1" applyAlignment="1">
      <alignment horizontal="right" vertical="center"/>
    </xf>
    <xf numFmtId="0" fontId="0" fillId="2" borderId="0" xfId="0" applyFont="1" applyFill="1" applyBorder="1" applyAlignment="1">
      <alignment horizontal="left"/>
    </xf>
    <xf numFmtId="0" fontId="2" fillId="3" borderId="1" xfId="0" applyFont="1" applyFill="1" applyBorder="1" applyAlignment="1">
      <alignment horizontal="center"/>
    </xf>
    <xf numFmtId="0" fontId="2" fillId="3" borderId="1" xfId="0" applyFont="1" applyFill="1" applyBorder="1" applyAlignment="1">
      <alignment horizontal="center" wrapText="1"/>
    </xf>
    <xf numFmtId="0" fontId="7" fillId="0" borderId="0" xfId="0" applyFont="1" applyBorder="1" applyAlignment="1">
      <alignment horizontal="left" vertical="center" wrapText="1"/>
    </xf>
    <xf numFmtId="0" fontId="4" fillId="0" borderId="0" xfId="0" applyFont="1" applyAlignment="1" applyProtection="1">
      <alignment vertical="center"/>
      <protection locked="0"/>
    </xf>
    <xf numFmtId="0" fontId="0" fillId="0" borderId="0" xfId="0" applyAlignment="1">
      <alignment vertical="center"/>
    </xf>
    <xf numFmtId="0" fontId="14" fillId="0" borderId="0" xfId="0" applyFont="1"/>
    <xf numFmtId="0" fontId="0" fillId="0" borderId="0" xfId="0" applyAlignment="1"/>
    <xf numFmtId="0" fontId="14" fillId="0" borderId="0" xfId="0" applyFont="1" applyAlignment="1"/>
    <xf numFmtId="49" fontId="14" fillId="0" borderId="0" xfId="0" applyNumberFormat="1" applyFont="1"/>
    <xf numFmtId="0" fontId="0" fillId="2" borderId="0" xfId="0" applyFont="1" applyFill="1" applyBorder="1" applyAlignment="1">
      <alignment horizontal="left"/>
    </xf>
    <xf numFmtId="0" fontId="7" fillId="0" borderId="0" xfId="0" applyFont="1" applyBorder="1" applyAlignment="1">
      <alignment horizontal="left" vertical="center" wrapText="1"/>
    </xf>
    <xf numFmtId="49" fontId="0" fillId="2" borderId="0" xfId="0" applyNumberFormat="1" applyFont="1" applyFill="1" applyBorder="1" applyAlignment="1">
      <alignment horizontal="left"/>
    </xf>
    <xf numFmtId="0" fontId="7" fillId="0" borderId="0" xfId="0" applyFont="1" applyBorder="1" applyAlignment="1">
      <alignment horizontal="left" vertical="center" wrapText="1"/>
    </xf>
    <xf numFmtId="0" fontId="7" fillId="0" borderId="0" xfId="0" applyFont="1" applyAlignment="1">
      <alignment horizontal="left" vertical="center" wrapText="1"/>
    </xf>
    <xf numFmtId="0" fontId="0" fillId="2" borderId="0" xfId="0" applyFont="1" applyFill="1" applyBorder="1" applyAlignment="1">
      <alignment horizontal="left" vertical="center" wrapText="1"/>
    </xf>
    <xf numFmtId="0" fontId="4" fillId="0" borderId="0" xfId="0" applyFont="1" applyAlignment="1" applyProtection="1">
      <alignment vertical="center" wrapText="1"/>
      <protection locked="0"/>
    </xf>
    <xf numFmtId="0" fontId="0" fillId="0" borderId="0" xfId="0" applyAlignment="1">
      <alignment vertical="center" wrapText="1"/>
    </xf>
    <xf numFmtId="0" fontId="7" fillId="0" borderId="3"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4"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5" xfId="1" applyFont="1" applyBorder="1" applyAlignment="1">
      <alignment horizontal="center" vertical="center"/>
    </xf>
    <xf numFmtId="0" fontId="7" fillId="0" borderId="6" xfId="1" applyFont="1" applyBorder="1" applyAlignment="1">
      <alignment horizontal="center" vertical="center"/>
    </xf>
    <xf numFmtId="0" fontId="7" fillId="0" borderId="9" xfId="1" applyFont="1" applyBorder="1" applyAlignment="1">
      <alignment horizontal="center" vertical="center"/>
    </xf>
    <xf numFmtId="0" fontId="7" fillId="0" borderId="10" xfId="1" applyFont="1" applyBorder="1" applyAlignment="1">
      <alignment horizontal="center" vertical="center"/>
    </xf>
    <xf numFmtId="0" fontId="7" fillId="0" borderId="11" xfId="0" applyFont="1" applyBorder="1" applyAlignment="1">
      <alignment horizontal="center" vertical="center" wrapText="1"/>
    </xf>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0" fontId="1" fillId="2" borderId="0" xfId="0" applyFont="1" applyFill="1" applyBorder="1" applyAlignment="1">
      <alignment horizontal="center" wrapText="1"/>
    </xf>
    <xf numFmtId="0" fontId="0" fillId="2" borderId="0" xfId="0" applyFont="1" applyFill="1" applyBorder="1" applyAlignment="1">
      <alignment horizontal="left"/>
    </xf>
    <xf numFmtId="0" fontId="3" fillId="2" borderId="0" xfId="0" applyFont="1" applyFill="1" applyBorder="1" applyAlignment="1">
      <alignment horizontal="center" wrapText="1"/>
    </xf>
    <xf numFmtId="0" fontId="2" fillId="3" borderId="1" xfId="0" applyFont="1" applyFill="1" applyBorder="1" applyAlignment="1">
      <alignment horizontal="center" vertical="center"/>
    </xf>
    <xf numFmtId="0" fontId="2" fillId="3" borderId="1" xfId="0" applyFont="1" applyFill="1" applyBorder="1" applyAlignment="1">
      <alignment horizontal="center"/>
    </xf>
    <xf numFmtId="0" fontId="2" fillId="3" borderId="1" xfId="0" applyFont="1" applyFill="1" applyBorder="1" applyAlignment="1">
      <alignment horizontal="center" wrapText="1"/>
    </xf>
    <xf numFmtId="0" fontId="16" fillId="0" borderId="0" xfId="2" applyFont="1" applyBorder="1" applyAlignment="1">
      <alignment horizontal="left" vertical="center" wrapText="1"/>
    </xf>
  </cellXfs>
  <cellStyles count="3">
    <cellStyle name="Link" xfId="2" builtinId="8"/>
    <cellStyle name="Standard" xfId="0" builtinId="0"/>
    <cellStyle name="Standard_Tabelle_A_6_H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DS Theme">
  <a:themeElements>
    <a:clrScheme name="ODS Them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DS Theme">
      <a:majorFont>
        <a:latin typeface="Courier New"/>
        <a:ea typeface=""/>
        <a:cs typeface=""/>
      </a:majorFont>
      <a:minorFont>
        <a:latin typeface="Courier New"/>
        <a:ea typeface=""/>
        <a:cs typeface=""/>
      </a:minorFont>
    </a:fontScheme>
    <a:fmtScheme name="ODS Theme">
      <a:fillStyleLst>
        <a:solidFill>
          <a:schemeClr val="phClr"/>
        </a:solidFill>
        <a:solidFill>
          <a:schemeClr val="phClr"/>
        </a:solidFill>
        <a:solidFill>
          <a:schemeClr val="phClr"/>
        </a:solidFill>
      </a:fillStyleLst>
      <a:lnStyleLst>
        <a:ln w="9525" cap="flat" cmpd="sng" algn="ctr">
          <a:solidFill>
            <a:schemeClr val="ph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https://www.integrationsmonitoring.niedersachsen.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0">
    <tabColor theme="9"/>
  </sheetPr>
  <dimension ref="A1:E135"/>
  <sheetViews>
    <sheetView topLeftCell="A2" zoomScale="205" zoomScaleNormal="205" workbookViewId="0">
      <selection activeCell="C19" sqref="C19:E19"/>
    </sheetView>
  </sheetViews>
  <sheetFormatPr baseColWidth="10" defaultRowHeight="12.75" x14ac:dyDescent="0.2"/>
  <cols>
    <col min="1" max="1" width="38.5703125" style="10" customWidth="1"/>
    <col min="2" max="16384" width="11.42578125" style="10"/>
  </cols>
  <sheetData>
    <row r="1" spans="1:5" ht="30" customHeight="1" x14ac:dyDescent="0.2">
      <c r="A1" s="47" t="s">
        <v>41</v>
      </c>
      <c r="B1" s="48"/>
    </row>
    <row r="2" spans="1:5" ht="30" customHeight="1" x14ac:dyDescent="0.2">
      <c r="A2" s="11" t="s">
        <v>42</v>
      </c>
      <c r="B2" s="11"/>
    </row>
    <row r="4" spans="1:5" ht="8.25" customHeight="1" x14ac:dyDescent="0.2">
      <c r="A4" s="49" t="s">
        <v>43</v>
      </c>
      <c r="B4" s="52" t="s">
        <v>44</v>
      </c>
      <c r="C4" s="55" t="s">
        <v>45</v>
      </c>
      <c r="D4" s="56"/>
      <c r="E4" s="56"/>
    </row>
    <row r="5" spans="1:5" ht="8.25" customHeight="1" x14ac:dyDescent="0.2">
      <c r="A5" s="50"/>
      <c r="B5" s="53"/>
      <c r="C5" s="57"/>
      <c r="D5" s="58"/>
      <c r="E5" s="58"/>
    </row>
    <row r="6" spans="1:5" ht="8.25" customHeight="1" x14ac:dyDescent="0.2">
      <c r="A6" s="50"/>
      <c r="B6" s="53"/>
      <c r="C6" s="12" t="s">
        <v>46</v>
      </c>
      <c r="D6" s="13" t="s">
        <v>47</v>
      </c>
      <c r="E6" s="14" t="s">
        <v>3</v>
      </c>
    </row>
    <row r="7" spans="1:5" ht="8.25" customHeight="1" x14ac:dyDescent="0.2">
      <c r="A7" s="51"/>
      <c r="B7" s="54"/>
      <c r="C7" s="59">
        <v>1000</v>
      </c>
      <c r="D7" s="60"/>
      <c r="E7" s="61"/>
    </row>
    <row r="8" spans="1:5" ht="8.25" customHeight="1" x14ac:dyDescent="0.2">
      <c r="A8" s="15" t="s">
        <v>48</v>
      </c>
      <c r="B8" s="15" t="s">
        <v>49</v>
      </c>
      <c r="C8" s="15" t="s">
        <v>50</v>
      </c>
      <c r="D8" s="15" t="s">
        <v>51</v>
      </c>
      <c r="E8" s="15" t="s">
        <v>52</v>
      </c>
    </row>
    <row r="9" spans="1:5" ht="8.25" customHeight="1" x14ac:dyDescent="0.2">
      <c r="A9" s="16" t="s">
        <v>53</v>
      </c>
      <c r="B9" s="19">
        <v>2019</v>
      </c>
      <c r="C9" s="25">
        <f>' 2019'!I9/1000</f>
        <v>8.0970600000000008</v>
      </c>
      <c r="D9" s="25">
        <f>' 2019'!J9/1000</f>
        <v>3.3266199999999997</v>
      </c>
      <c r="E9" s="25">
        <f>' 2019'!K9/1000</f>
        <v>11.423680000000001</v>
      </c>
    </row>
    <row r="10" spans="1:5" ht="8.25" customHeight="1" x14ac:dyDescent="0.2">
      <c r="A10" s="16" t="s">
        <v>54</v>
      </c>
      <c r="B10" s="19">
        <v>2019</v>
      </c>
      <c r="C10" s="25">
        <f>' 2019'!I10/1000</f>
        <v>137.23995000000002</v>
      </c>
      <c r="D10" s="25">
        <f>' 2019'!J10/1000</f>
        <v>43.812690000000003</v>
      </c>
      <c r="E10" s="25">
        <f>' 2019'!K10/1000</f>
        <v>181.05264000000003</v>
      </c>
    </row>
    <row r="11" spans="1:5" ht="8.25" customHeight="1" x14ac:dyDescent="0.2">
      <c r="A11" s="16" t="s">
        <v>55</v>
      </c>
      <c r="B11" s="19">
        <v>2019</v>
      </c>
      <c r="C11" s="25">
        <f>' 2019'!I11/1000</f>
        <v>5.8705400000000001</v>
      </c>
      <c r="D11" s="25">
        <f>' 2019'!J11/1000</f>
        <v>1.97601</v>
      </c>
      <c r="E11" s="25">
        <f>' 2019'!K11/1000</f>
        <v>7.8465500000000006</v>
      </c>
    </row>
    <row r="12" spans="1:5" ht="8.25" customHeight="1" x14ac:dyDescent="0.2">
      <c r="A12" s="16" t="s">
        <v>56</v>
      </c>
      <c r="B12" s="19">
        <v>2019</v>
      </c>
      <c r="C12" s="25">
        <f>' 2019'!I12/1000</f>
        <v>61.42324</v>
      </c>
      <c r="D12" s="25">
        <f>' 2019'!J12/1000</f>
        <v>7.3893900000000006</v>
      </c>
      <c r="E12" s="25">
        <f>' 2019'!K12/1000</f>
        <v>68.812629999999999</v>
      </c>
    </row>
    <row r="13" spans="1:5" ht="8.25" customHeight="1" x14ac:dyDescent="0.2">
      <c r="A13" s="16" t="s">
        <v>57</v>
      </c>
      <c r="B13" s="19">
        <v>2019</v>
      </c>
      <c r="C13" s="25">
        <f>' 2019'!I13/1000</f>
        <v>70.294119999999992</v>
      </c>
      <c r="D13" s="25">
        <f>' 2019'!J13/1000</f>
        <v>60.605710000000002</v>
      </c>
      <c r="E13" s="25">
        <f>' 2019'!K13/1000</f>
        <v>130.89983000000001</v>
      </c>
    </row>
    <row r="14" spans="1:5" ht="8.25" customHeight="1" x14ac:dyDescent="0.2">
      <c r="A14" s="16" t="s">
        <v>58</v>
      </c>
      <c r="B14" s="19">
        <v>2019</v>
      </c>
      <c r="C14" s="25">
        <f>' 2019'!I14/1000</f>
        <v>54.424980000000005</v>
      </c>
      <c r="D14" s="25">
        <f>' 2019'!J14/1000</f>
        <v>12.738959999999999</v>
      </c>
      <c r="E14" s="25">
        <f>' 2019'!K14/1000</f>
        <v>67.163939999999997</v>
      </c>
    </row>
    <row r="15" spans="1:5" ht="8.25" customHeight="1" x14ac:dyDescent="0.2">
      <c r="A15" s="16" t="s">
        <v>59</v>
      </c>
      <c r="B15" s="19">
        <v>2019</v>
      </c>
      <c r="C15" s="25">
        <f>' 2019'!I15/1000</f>
        <v>31.728919999999999</v>
      </c>
      <c r="D15" s="25">
        <f>' 2019'!J15/1000</f>
        <v>25.85134</v>
      </c>
      <c r="E15" s="25">
        <f>' 2019'!K15/1000</f>
        <v>57.580260000000003</v>
      </c>
    </row>
    <row r="16" spans="1:5" ht="8.25" customHeight="1" x14ac:dyDescent="0.2">
      <c r="A16" s="16" t="s">
        <v>60</v>
      </c>
      <c r="B16" s="19">
        <v>2019</v>
      </c>
      <c r="C16" s="25">
        <f>' 2019'!I16/1000</f>
        <v>43.846599999999995</v>
      </c>
      <c r="D16" s="25">
        <f>' 2019'!J16/1000</f>
        <v>48.489089999999997</v>
      </c>
      <c r="E16" s="25">
        <f>' 2019'!K16/1000</f>
        <v>92.335679999999996</v>
      </c>
    </row>
    <row r="17" spans="1:5" ht="8.25" customHeight="1" x14ac:dyDescent="0.2">
      <c r="A17" s="16" t="s">
        <v>61</v>
      </c>
      <c r="B17" s="19">
        <v>2019</v>
      </c>
      <c r="C17" s="25">
        <f>' 2019'!I17/1000</f>
        <v>43.389919999999996</v>
      </c>
      <c r="D17" s="25">
        <f>' 2019'!J17/1000</f>
        <v>117.28994999999999</v>
      </c>
      <c r="E17" s="25">
        <f>' 2019'!K17/1000</f>
        <v>160.67986999999999</v>
      </c>
    </row>
    <row r="18" spans="1:5" ht="8.25" customHeight="1" x14ac:dyDescent="0.2">
      <c r="A18" s="16" t="s">
        <v>62</v>
      </c>
      <c r="B18" s="19">
        <v>2019</v>
      </c>
      <c r="C18" s="25">
        <f>' 2019'!I18/1000</f>
        <v>13.560750000000001</v>
      </c>
      <c r="D18" s="25">
        <f>' 2019'!J18/1000</f>
        <v>19.337029999999999</v>
      </c>
      <c r="E18" s="25">
        <f>' 2019'!K18/1000</f>
        <v>32.897779999999997</v>
      </c>
    </row>
    <row r="19" spans="1:5" ht="16.5" customHeight="1" x14ac:dyDescent="0.2">
      <c r="A19" s="17" t="s">
        <v>63</v>
      </c>
      <c r="B19" s="26">
        <v>2019</v>
      </c>
      <c r="C19" s="29">
        <f>' 2019'!I20/1000</f>
        <v>470.17715999999996</v>
      </c>
      <c r="D19" s="29">
        <f>' 2019'!J20/1000</f>
        <v>348.16636</v>
      </c>
      <c r="E19" s="29">
        <f>' 2019'!K20/1000</f>
        <v>818.34351000000004</v>
      </c>
    </row>
    <row r="20" spans="1:5" ht="8.25" customHeight="1" x14ac:dyDescent="0.2">
      <c r="A20" s="16" t="s">
        <v>53</v>
      </c>
      <c r="B20" s="24">
        <v>2018</v>
      </c>
      <c r="C20" s="25">
        <f>' 2018'!I9/1000</f>
        <v>9.2372800000000002</v>
      </c>
      <c r="D20" s="25">
        <f>' 2018'!J9/1000</f>
        <v>4.9123299999999999</v>
      </c>
      <c r="E20" s="25">
        <f>' 2018'!K9/1000</f>
        <v>14.149610000000001</v>
      </c>
    </row>
    <row r="21" spans="1:5" ht="8.25" customHeight="1" x14ac:dyDescent="0.2">
      <c r="A21" s="16" t="s">
        <v>54</v>
      </c>
      <c r="B21" s="24">
        <v>2018</v>
      </c>
      <c r="C21" s="25">
        <f>' 2018'!I10/1000</f>
        <v>141.85381000000001</v>
      </c>
      <c r="D21" s="25">
        <f>' 2018'!J10/1000</f>
        <v>45.829940000000001</v>
      </c>
      <c r="E21" s="25">
        <f>' 2018'!K10/1000</f>
        <v>187.68375</v>
      </c>
    </row>
    <row r="22" spans="1:5" ht="8.25" customHeight="1" x14ac:dyDescent="0.2">
      <c r="A22" s="16" t="s">
        <v>55</v>
      </c>
      <c r="B22" s="24">
        <v>2018</v>
      </c>
      <c r="C22" s="25">
        <f>' 2018'!I11/1000</f>
        <v>6.9294099999999998</v>
      </c>
      <c r="D22" s="25">
        <f>' 2018'!J11/1000</f>
        <v>1.99579</v>
      </c>
      <c r="E22" s="25">
        <f>' 2018'!K11/1000</f>
        <v>8.9252000000000002</v>
      </c>
    </row>
    <row r="23" spans="1:5" ht="8.25" customHeight="1" x14ac:dyDescent="0.2">
      <c r="A23" s="16" t="s">
        <v>56</v>
      </c>
      <c r="B23" s="24">
        <v>2018</v>
      </c>
      <c r="C23" s="25">
        <f>' 2018'!I12/1000</f>
        <v>58.642859999999999</v>
      </c>
      <c r="D23" s="25">
        <f>' 2018'!J12/1000</f>
        <v>6.5473500000000007</v>
      </c>
      <c r="E23" s="25">
        <f>' 2018'!K12/1000</f>
        <v>65.190219999999997</v>
      </c>
    </row>
    <row r="24" spans="1:5" ht="8.25" customHeight="1" x14ac:dyDescent="0.2">
      <c r="A24" s="16" t="s">
        <v>57</v>
      </c>
      <c r="B24" s="24">
        <v>2018</v>
      </c>
      <c r="C24" s="25">
        <f>' 2018'!I13/1000</f>
        <v>67.828630000000004</v>
      </c>
      <c r="D24" s="25">
        <f>' 2018'!J13/1000</f>
        <v>62.089589999999994</v>
      </c>
      <c r="E24" s="25">
        <f>' 2018'!K13/1000</f>
        <v>129.91821999999999</v>
      </c>
    </row>
    <row r="25" spans="1:5" ht="8.25" customHeight="1" x14ac:dyDescent="0.2">
      <c r="A25" s="16" t="s">
        <v>58</v>
      </c>
      <c r="B25" s="24">
        <v>2018</v>
      </c>
      <c r="C25" s="25">
        <f>' 2018'!I14/1000</f>
        <v>50.172239999999995</v>
      </c>
      <c r="D25" s="25">
        <f>' 2018'!J14/1000</f>
        <v>11.51253</v>
      </c>
      <c r="E25" s="25">
        <f>' 2018'!K14/1000</f>
        <v>61.68477</v>
      </c>
    </row>
    <row r="26" spans="1:5" ht="8.25" customHeight="1" x14ac:dyDescent="0.2">
      <c r="A26" s="16" t="s">
        <v>59</v>
      </c>
      <c r="B26" s="24">
        <v>2018</v>
      </c>
      <c r="C26" s="25">
        <f>' 2018'!I15/1000</f>
        <v>31.441650000000003</v>
      </c>
      <c r="D26" s="25">
        <f>' 2018'!J15/1000</f>
        <v>26.750160000000001</v>
      </c>
      <c r="E26" s="25">
        <f>' 2018'!K15/1000</f>
        <v>58.191809999999997</v>
      </c>
    </row>
    <row r="27" spans="1:5" ht="8.25" customHeight="1" x14ac:dyDescent="0.2">
      <c r="A27" s="16" t="s">
        <v>60</v>
      </c>
      <c r="B27" s="24">
        <v>2018</v>
      </c>
      <c r="C27" s="25">
        <f>' 2018'!I16/1000</f>
        <v>40.487259999999999</v>
      </c>
      <c r="D27" s="25">
        <f>' 2018'!J16/1000</f>
        <v>46.75056</v>
      </c>
      <c r="E27" s="25">
        <f>' 2018'!K16/1000</f>
        <v>87.237809999999996</v>
      </c>
    </row>
    <row r="28" spans="1:5" ht="8.25" customHeight="1" x14ac:dyDescent="0.2">
      <c r="A28" s="16" t="s">
        <v>61</v>
      </c>
      <c r="B28" s="24">
        <v>2018</v>
      </c>
      <c r="C28" s="25">
        <f>' 2018'!I17/1000</f>
        <v>42.329569999999997</v>
      </c>
      <c r="D28" s="25">
        <f>' 2018'!J17/1000</f>
        <v>113.60674</v>
      </c>
      <c r="E28" s="25">
        <f>' 2018'!K17/1000</f>
        <v>155.93630999999999</v>
      </c>
    </row>
    <row r="29" spans="1:5" ht="8.25" customHeight="1" x14ac:dyDescent="0.2">
      <c r="A29" s="16" t="s">
        <v>62</v>
      </c>
      <c r="B29" s="24">
        <v>2018</v>
      </c>
      <c r="C29" s="25">
        <f>' 2018'!I18/1000</f>
        <v>11.60702</v>
      </c>
      <c r="D29" s="25">
        <f>' 2018'!J18/1000</f>
        <v>19.546150000000001</v>
      </c>
      <c r="E29" s="25">
        <f>' 2018'!K18/1000</f>
        <v>31.153169999999999</v>
      </c>
    </row>
    <row r="30" spans="1:5" s="18" customFormat="1" ht="16.5" customHeight="1" x14ac:dyDescent="0.25">
      <c r="A30" s="17" t="s">
        <v>63</v>
      </c>
      <c r="B30" s="26">
        <v>2018</v>
      </c>
      <c r="C30" s="29">
        <f>' 2018'!I20/1000</f>
        <v>460.73616999999996</v>
      </c>
      <c r="D30" s="29">
        <f>' 2018'!J20/1000</f>
        <v>345.17609999999996</v>
      </c>
      <c r="E30" s="29">
        <f>' 2018'!K20/1000</f>
        <v>805.91227000000003</v>
      </c>
    </row>
    <row r="31" spans="1:5" ht="8.25" customHeight="1" x14ac:dyDescent="0.2">
      <c r="A31" s="16" t="s">
        <v>53</v>
      </c>
      <c r="B31" s="27">
        <v>2017</v>
      </c>
      <c r="C31" s="25">
        <f>' 2017'!I9/1000</f>
        <v>8.3643600000000013</v>
      </c>
      <c r="D31" s="25">
        <f>' 2017'!J9/1000</f>
        <v>3.0600700000000001</v>
      </c>
      <c r="E31" s="25">
        <f>' 2017'!K9/1000</f>
        <v>11.424430000000001</v>
      </c>
    </row>
    <row r="32" spans="1:5" ht="8.25" customHeight="1" x14ac:dyDescent="0.2">
      <c r="A32" s="16" t="s">
        <v>54</v>
      </c>
      <c r="B32" s="27">
        <v>2017</v>
      </c>
      <c r="C32" s="25">
        <f>' 2017'!I10/1000</f>
        <v>143.43660999999997</v>
      </c>
      <c r="D32" s="25">
        <f>' 2017'!J10/1000</f>
        <v>41.608449999999998</v>
      </c>
      <c r="E32" s="25">
        <f>' 2017'!K10/1000</f>
        <v>185.04506000000001</v>
      </c>
    </row>
    <row r="33" spans="1:5" ht="8.25" customHeight="1" x14ac:dyDescent="0.2">
      <c r="A33" s="16" t="s">
        <v>55</v>
      </c>
      <c r="B33" s="27">
        <v>2017</v>
      </c>
      <c r="C33" s="25">
        <f>' 2017'!I11/1000</f>
        <v>6.4783299999999997</v>
      </c>
      <c r="D33" s="25">
        <f>' 2017'!J11/1000</f>
        <v>1.7835999999999999</v>
      </c>
      <c r="E33" s="25">
        <f>' 2017'!K11/1000</f>
        <v>8.2619299999999996</v>
      </c>
    </row>
    <row r="34" spans="1:5" ht="8.25" customHeight="1" x14ac:dyDescent="0.2">
      <c r="A34" s="16" t="s">
        <v>56</v>
      </c>
      <c r="B34" s="27">
        <v>2017</v>
      </c>
      <c r="C34" s="25">
        <f>' 2017'!I12/1000</f>
        <v>57.102330000000002</v>
      </c>
      <c r="D34" s="25">
        <f>' 2017'!J12/1000</f>
        <v>6.4703500000000007</v>
      </c>
      <c r="E34" s="25">
        <f>' 2017'!K12/1000</f>
        <v>63.572679999999998</v>
      </c>
    </row>
    <row r="35" spans="1:5" ht="8.25" customHeight="1" x14ac:dyDescent="0.2">
      <c r="A35" s="16" t="s">
        <v>57</v>
      </c>
      <c r="B35" s="27">
        <v>2017</v>
      </c>
      <c r="C35" s="25">
        <f>' 2017'!I13/1000</f>
        <v>65.751499999999993</v>
      </c>
      <c r="D35" s="25">
        <f>' 2017'!J13/1000</f>
        <v>60.129889999999996</v>
      </c>
      <c r="E35" s="25">
        <f>' 2017'!K13/1000</f>
        <v>125.8814</v>
      </c>
    </row>
    <row r="36" spans="1:5" ht="8.25" customHeight="1" x14ac:dyDescent="0.2">
      <c r="A36" s="16" t="s">
        <v>58</v>
      </c>
      <c r="B36" s="27">
        <v>2017</v>
      </c>
      <c r="C36" s="25">
        <f>' 2017'!I14/1000</f>
        <v>48.327449999999999</v>
      </c>
      <c r="D36" s="25">
        <f>' 2017'!J14/1000</f>
        <v>12.60933</v>
      </c>
      <c r="E36" s="25">
        <f>' 2017'!K14/1000</f>
        <v>60.936779999999999</v>
      </c>
    </row>
    <row r="37" spans="1:5" ht="8.25" customHeight="1" x14ac:dyDescent="0.2">
      <c r="A37" s="16" t="s">
        <v>59</v>
      </c>
      <c r="B37" s="27">
        <v>2017</v>
      </c>
      <c r="C37" s="25">
        <f>' 2017'!I15/1000</f>
        <v>26.69622</v>
      </c>
      <c r="D37" s="25">
        <f>' 2017'!J15/1000</f>
        <v>24.9421</v>
      </c>
      <c r="E37" s="25">
        <f>' 2017'!K15/1000</f>
        <v>51.63832</v>
      </c>
    </row>
    <row r="38" spans="1:5" ht="8.25" customHeight="1" x14ac:dyDescent="0.2">
      <c r="A38" s="16" t="s">
        <v>60</v>
      </c>
      <c r="B38" s="27">
        <v>2017</v>
      </c>
      <c r="C38" s="25">
        <f>' 2017'!I16/1000</f>
        <v>39.163119999999999</v>
      </c>
      <c r="D38" s="25">
        <f>' 2017'!J16/1000</f>
        <v>44.583030000000001</v>
      </c>
      <c r="E38" s="25">
        <f>' 2017'!K16/1000</f>
        <v>83.74615</v>
      </c>
    </row>
    <row r="39" spans="1:5" ht="8.25" customHeight="1" x14ac:dyDescent="0.2">
      <c r="A39" s="16" t="s">
        <v>61</v>
      </c>
      <c r="B39" s="27">
        <v>2017</v>
      </c>
      <c r="C39" s="25">
        <f>' 2017'!I17/1000</f>
        <v>44.207560000000001</v>
      </c>
      <c r="D39" s="25">
        <f>' 2017'!J17/1000</f>
        <v>109.76472</v>
      </c>
      <c r="E39" s="25">
        <f>' 2017'!K17/1000</f>
        <v>153.97228000000001</v>
      </c>
    </row>
    <row r="40" spans="1:5" ht="8.25" customHeight="1" x14ac:dyDescent="0.2">
      <c r="A40" s="16" t="s">
        <v>62</v>
      </c>
      <c r="B40" s="27">
        <v>2017</v>
      </c>
      <c r="C40" s="25">
        <f>' 2017'!I18/1000</f>
        <v>12.36978</v>
      </c>
      <c r="D40" s="25">
        <f>' 2017'!J18/1000</f>
        <v>21.755119999999998</v>
      </c>
      <c r="E40" s="25">
        <f>' 2017'!K18/1000</f>
        <v>34.124910000000007</v>
      </c>
    </row>
    <row r="41" spans="1:5" s="18" customFormat="1" ht="16.5" customHeight="1" x14ac:dyDescent="0.25">
      <c r="A41" s="17" t="s">
        <v>63</v>
      </c>
      <c r="B41" s="28">
        <v>2017</v>
      </c>
      <c r="C41" s="29">
        <f>' 2017'!I20/1000</f>
        <v>452.36584999999997</v>
      </c>
      <c r="D41" s="29">
        <f>' 2017'!J20/1000</f>
        <v>333.75468999999998</v>
      </c>
      <c r="E41" s="29">
        <f>' 2017'!K20/1000</f>
        <v>786.12054000000001</v>
      </c>
    </row>
    <row r="42" spans="1:5" ht="8.25" customHeight="1" x14ac:dyDescent="0.2">
      <c r="A42" s="16" t="s">
        <v>53</v>
      </c>
      <c r="B42" s="27">
        <v>2016</v>
      </c>
      <c r="C42" s="25">
        <f>' 2016'!I9/1000</f>
        <v>8.3982800000000015</v>
      </c>
      <c r="D42" s="25">
        <f>' 2016'!J9/1000</f>
        <v>3.02813</v>
      </c>
      <c r="E42" s="25">
        <f>' 2016'!K9/1000</f>
        <v>11.426410000000001</v>
      </c>
    </row>
    <row r="43" spans="1:5" ht="8.25" customHeight="1" x14ac:dyDescent="0.2">
      <c r="A43" s="16" t="s">
        <v>54</v>
      </c>
      <c r="B43" s="27">
        <v>2016</v>
      </c>
      <c r="C43" s="25">
        <f>' 2016'!I10/1000</f>
        <v>123.89064</v>
      </c>
      <c r="D43" s="25">
        <f>' 2016'!J10/1000</f>
        <v>38.162910000000004</v>
      </c>
      <c r="E43" s="25">
        <f>' 2016'!K10/1000</f>
        <v>162.05356</v>
      </c>
    </row>
    <row r="44" spans="1:5" ht="8.25" customHeight="1" x14ac:dyDescent="0.2">
      <c r="A44" s="16" t="s">
        <v>55</v>
      </c>
      <c r="B44" s="27">
        <v>2016</v>
      </c>
      <c r="C44" s="25">
        <f>' 2016'!I11/1000</f>
        <v>5.1742900000000001</v>
      </c>
      <c r="D44" s="25">
        <f>' 2016'!J11/1000</f>
        <v>1.2434700000000001</v>
      </c>
      <c r="E44" s="25">
        <f>' 2016'!K11/1000</f>
        <v>6.4177600000000004</v>
      </c>
    </row>
    <row r="45" spans="1:5" ht="8.25" customHeight="1" x14ac:dyDescent="0.2">
      <c r="A45" s="16" t="s">
        <v>56</v>
      </c>
      <c r="B45" s="27">
        <v>2016</v>
      </c>
      <c r="C45" s="25">
        <f>' 2016'!I12/1000</f>
        <v>47.020180000000003</v>
      </c>
      <c r="D45" s="25">
        <f>' 2016'!J12/1000</f>
        <v>5.593</v>
      </c>
      <c r="E45" s="25">
        <f>' 2016'!K12/1000</f>
        <v>52.61318</v>
      </c>
    </row>
    <row r="46" spans="1:5" ht="8.25" customHeight="1" x14ac:dyDescent="0.2">
      <c r="A46" s="16" t="s">
        <v>57</v>
      </c>
      <c r="B46" s="27">
        <v>2016</v>
      </c>
      <c r="C46" s="25">
        <f>' 2016'!I13/1000</f>
        <v>59.010309999999997</v>
      </c>
      <c r="D46" s="25">
        <f>' 2016'!J13/1000</f>
        <v>47.769349999999996</v>
      </c>
      <c r="E46" s="25">
        <f>' 2016'!K13/1000</f>
        <v>106.77966000000001</v>
      </c>
    </row>
    <row r="47" spans="1:5" ht="8.25" customHeight="1" x14ac:dyDescent="0.2">
      <c r="A47" s="16" t="s">
        <v>58</v>
      </c>
      <c r="B47" s="27">
        <v>2016</v>
      </c>
      <c r="C47" s="25">
        <f>' 2016'!I14/1000</f>
        <v>39.857480000000002</v>
      </c>
      <c r="D47" s="25">
        <f>' 2016'!J14/1000</f>
        <v>10.64142</v>
      </c>
      <c r="E47" s="25">
        <f>' 2016'!K14/1000</f>
        <v>50.498899999999999</v>
      </c>
    </row>
    <row r="48" spans="1:5" ht="8.25" customHeight="1" x14ac:dyDescent="0.2">
      <c r="A48" s="16" t="s">
        <v>59</v>
      </c>
      <c r="B48" s="27">
        <v>2016</v>
      </c>
      <c r="C48" s="25">
        <f>' 2016'!I15/1000</f>
        <v>25.975009999999997</v>
      </c>
      <c r="D48" s="25">
        <f>' 2016'!J15/1000</f>
        <v>22.56588</v>
      </c>
      <c r="E48" s="25">
        <f>' 2016'!K15/1000</f>
        <v>48.540900000000001</v>
      </c>
    </row>
    <row r="49" spans="1:5" ht="8.25" customHeight="1" x14ac:dyDescent="0.2">
      <c r="A49" s="16" t="s">
        <v>60</v>
      </c>
      <c r="B49" s="27">
        <v>2016</v>
      </c>
      <c r="C49" s="25">
        <f>' 2016'!I16/1000</f>
        <v>34.714449999999999</v>
      </c>
      <c r="D49" s="25">
        <f>' 2016'!J16/1000</f>
        <v>41.257449999999999</v>
      </c>
      <c r="E49" s="25">
        <f>' 2016'!K16/1000</f>
        <v>75.971899999999991</v>
      </c>
    </row>
    <row r="50" spans="1:5" ht="8.25" customHeight="1" x14ac:dyDescent="0.2">
      <c r="A50" s="16" t="s">
        <v>61</v>
      </c>
      <c r="B50" s="27">
        <v>2016</v>
      </c>
      <c r="C50" s="25">
        <f>' 2016'!I17/1000</f>
        <v>35.625929999999997</v>
      </c>
      <c r="D50" s="25">
        <f>' 2016'!J17/1000</f>
        <v>92.135419999999996</v>
      </c>
      <c r="E50" s="25">
        <f>' 2016'!K17/1000</f>
        <v>127.76136</v>
      </c>
    </row>
    <row r="51" spans="1:5" ht="8.25" customHeight="1" x14ac:dyDescent="0.2">
      <c r="A51" s="16" t="s">
        <v>62</v>
      </c>
      <c r="B51" s="27">
        <v>2016</v>
      </c>
      <c r="C51" s="25">
        <f>' 2016'!I18/1000</f>
        <v>9.7516599999999993</v>
      </c>
      <c r="D51" s="25">
        <f>' 2016'!J18/1000</f>
        <v>17.925939999999997</v>
      </c>
      <c r="E51" s="25">
        <f>' 2016'!K18/1000</f>
        <v>27.677610000000001</v>
      </c>
    </row>
    <row r="52" spans="1:5" s="18" customFormat="1" ht="16.5" customHeight="1" x14ac:dyDescent="0.25">
      <c r="A52" s="17" t="s">
        <v>63</v>
      </c>
      <c r="B52" s="28">
        <v>2016</v>
      </c>
      <c r="C52" s="29">
        <f>' 2016'!I20/1000</f>
        <v>389.66021000000001</v>
      </c>
      <c r="D52" s="29">
        <f>' 2016'!J20/1000</f>
        <v>287.50334999999995</v>
      </c>
      <c r="E52" s="29">
        <f>' 2016'!K20/1000</f>
        <v>677.16356999999994</v>
      </c>
    </row>
    <row r="53" spans="1:5" ht="8.25" customHeight="1" x14ac:dyDescent="0.2">
      <c r="A53" s="16" t="s">
        <v>53</v>
      </c>
      <c r="B53" s="24">
        <v>2015</v>
      </c>
      <c r="C53" s="25">
        <f>' 2015'!I9/1000</f>
        <v>7.4572099999999999</v>
      </c>
      <c r="D53" s="25">
        <f>' 2015'!J9/1000</f>
        <v>2.5444599999999999</v>
      </c>
      <c r="E53" s="25">
        <f>' 2015'!K9/1000</f>
        <v>10.001670000000001</v>
      </c>
    </row>
    <row r="54" spans="1:5" ht="8.25" customHeight="1" x14ac:dyDescent="0.2">
      <c r="A54" s="16" t="s">
        <v>54</v>
      </c>
      <c r="B54" s="24">
        <v>2015</v>
      </c>
      <c r="C54" s="25">
        <f>' 2015'!I10/1000</f>
        <v>106.61516</v>
      </c>
      <c r="D54" s="25">
        <f>' 2015'!J10/1000</f>
        <v>34.868780000000001</v>
      </c>
      <c r="E54" s="25">
        <f>' 2015'!K10/1000</f>
        <v>141.48392999999999</v>
      </c>
    </row>
    <row r="55" spans="1:5" ht="8.25" customHeight="1" x14ac:dyDescent="0.2">
      <c r="A55" s="16" t="s">
        <v>55</v>
      </c>
      <c r="B55" s="24">
        <v>2015</v>
      </c>
      <c r="C55" s="25">
        <f>' 2015'!I11/1000</f>
        <v>5.0394300000000003</v>
      </c>
      <c r="D55" s="25">
        <f>' 2015'!J11/1000</f>
        <v>1.7591600000000001</v>
      </c>
      <c r="E55" s="25">
        <f>' 2015'!K11/1000</f>
        <v>6.7985899999999999</v>
      </c>
    </row>
    <row r="56" spans="1:5" ht="8.25" customHeight="1" x14ac:dyDescent="0.2">
      <c r="A56" s="16" t="s">
        <v>56</v>
      </c>
      <c r="B56" s="24">
        <v>2015</v>
      </c>
      <c r="C56" s="25">
        <f>' 2015'!I12/1000</f>
        <v>42.176349999999999</v>
      </c>
      <c r="D56" s="25">
        <f>' 2015'!J12/1000</f>
        <v>3.2217899999999999</v>
      </c>
      <c r="E56" s="25">
        <f>' 2015'!K12/1000</f>
        <v>45.398129999999995</v>
      </c>
    </row>
    <row r="57" spans="1:5" ht="8.25" customHeight="1" x14ac:dyDescent="0.2">
      <c r="A57" s="16" t="s">
        <v>57</v>
      </c>
      <c r="B57" s="24">
        <v>2015</v>
      </c>
      <c r="C57" s="25">
        <f>' 2015'!I13/1000</f>
        <v>57.305949999999996</v>
      </c>
      <c r="D57" s="25">
        <f>' 2015'!J13/1000</f>
        <v>43.623470000000005</v>
      </c>
      <c r="E57" s="25">
        <f>' 2015'!K13/1000</f>
        <v>100.92941999999999</v>
      </c>
    </row>
    <row r="58" spans="1:5" ht="8.25" customHeight="1" x14ac:dyDescent="0.2">
      <c r="A58" s="16" t="s">
        <v>58</v>
      </c>
      <c r="B58" s="24">
        <v>2015</v>
      </c>
      <c r="C58" s="25">
        <f>' 2015'!I14/1000</f>
        <v>35.54383</v>
      </c>
      <c r="D58" s="25">
        <f>' 2015'!J14/1000</f>
        <v>9.3016699999999997</v>
      </c>
      <c r="E58" s="25">
        <f>' 2015'!K14/1000</f>
        <v>44.845500000000001</v>
      </c>
    </row>
    <row r="59" spans="1:5" ht="8.25" customHeight="1" x14ac:dyDescent="0.2">
      <c r="A59" s="16" t="s">
        <v>59</v>
      </c>
      <c r="B59" s="24">
        <v>2015</v>
      </c>
      <c r="C59" s="25">
        <f>' 2015'!I15/1000</f>
        <v>24.285130000000002</v>
      </c>
      <c r="D59" s="25">
        <f>' 2015'!J15/1000</f>
        <v>23.738779999999998</v>
      </c>
      <c r="E59" s="25">
        <f>' 2015'!K15/1000</f>
        <v>48.023910000000001</v>
      </c>
    </row>
    <row r="60" spans="1:5" ht="8.25" customHeight="1" x14ac:dyDescent="0.2">
      <c r="A60" s="16" t="s">
        <v>60</v>
      </c>
      <c r="B60" s="24">
        <v>2015</v>
      </c>
      <c r="C60" s="25">
        <f>' 2015'!I16/1000</f>
        <v>29.162929999999999</v>
      </c>
      <c r="D60" s="25">
        <f>' 2015'!J16/1000</f>
        <v>38.966059999999999</v>
      </c>
      <c r="E60" s="25">
        <f>' 2015'!K16/1000</f>
        <v>68.128979999999999</v>
      </c>
    </row>
    <row r="61" spans="1:5" ht="8.25" customHeight="1" x14ac:dyDescent="0.2">
      <c r="A61" s="16" t="s">
        <v>65</v>
      </c>
      <c r="B61" s="24">
        <v>2015</v>
      </c>
      <c r="C61" s="25">
        <f>' 2015'!I17/1000</f>
        <v>29.305509999999998</v>
      </c>
      <c r="D61" s="25">
        <f>' 2015'!J17/1000</f>
        <v>88.929559999999995</v>
      </c>
      <c r="E61" s="25">
        <f>' 2015'!K17/1000</f>
        <v>118.23508</v>
      </c>
    </row>
    <row r="62" spans="1:5" ht="8.25" customHeight="1" x14ac:dyDescent="0.2">
      <c r="A62" s="16" t="s">
        <v>62</v>
      </c>
      <c r="B62" s="24">
        <v>2015</v>
      </c>
      <c r="C62" s="25">
        <f>' 2015'!I18/1000</f>
        <v>10.864459999999999</v>
      </c>
      <c r="D62" s="25">
        <f>' 2015'!J18/1000</f>
        <v>17.819520000000001</v>
      </c>
      <c r="E62" s="25">
        <f>' 2015'!K18/1000</f>
        <v>28.683979999999998</v>
      </c>
    </row>
    <row r="63" spans="1:5" s="18" customFormat="1" ht="16.5" customHeight="1" x14ac:dyDescent="0.25">
      <c r="A63" s="17" t="s">
        <v>63</v>
      </c>
      <c r="B63" s="26">
        <v>2015</v>
      </c>
      <c r="C63" s="29">
        <f>' 2015'!I20/1000</f>
        <v>348.54129999999998</v>
      </c>
      <c r="D63" s="29">
        <f>' 2015'!J20/1000</f>
        <v>268.76832999999999</v>
      </c>
      <c r="E63" s="29">
        <f>' 2015'!K20/1000</f>
        <v>617.30962999999997</v>
      </c>
    </row>
    <row r="64" spans="1:5" ht="8.25" customHeight="1" x14ac:dyDescent="0.2">
      <c r="A64" s="16" t="s">
        <v>53</v>
      </c>
      <c r="B64" s="24">
        <v>2014</v>
      </c>
      <c r="C64" s="25">
        <f>' 2014'!I9/1000</f>
        <v>6.3360699999999994</v>
      </c>
      <c r="D64" s="25">
        <f>' 2014'!J9/1000</f>
        <v>3.2820200000000002</v>
      </c>
      <c r="E64" s="25">
        <f>' 2014'!K9/1000</f>
        <v>9.6180900000000005</v>
      </c>
    </row>
    <row r="65" spans="1:5" ht="8.25" customHeight="1" x14ac:dyDescent="0.2">
      <c r="A65" s="16" t="s">
        <v>54</v>
      </c>
      <c r="B65" s="24">
        <v>2014</v>
      </c>
      <c r="C65" s="25">
        <f>' 2014'!I10/1000</f>
        <v>101.78074000000001</v>
      </c>
      <c r="D65" s="25">
        <f>' 2014'!J10/1000</f>
        <v>32.59796</v>
      </c>
      <c r="E65" s="25">
        <f>' 2014'!K10/1000</f>
        <v>134.37870000000001</v>
      </c>
    </row>
    <row r="66" spans="1:5" ht="8.25" customHeight="1" x14ac:dyDescent="0.2">
      <c r="A66" s="16" t="s">
        <v>55</v>
      </c>
      <c r="B66" s="24">
        <v>2014</v>
      </c>
      <c r="C66" s="25">
        <f>' 2014'!I11/1000</f>
        <v>5.3153800000000002</v>
      </c>
      <c r="D66" s="25">
        <f>' 2014'!J11/1000</f>
        <v>1.54582</v>
      </c>
      <c r="E66" s="25">
        <f>' 2014'!K11/1000</f>
        <v>6.8612000000000002</v>
      </c>
    </row>
    <row r="67" spans="1:5" ht="8.25" customHeight="1" x14ac:dyDescent="0.2">
      <c r="A67" s="16" t="s">
        <v>56</v>
      </c>
      <c r="B67" s="24">
        <v>2014</v>
      </c>
      <c r="C67" s="25">
        <f>' 2014'!I12/1000</f>
        <v>43.502069999999996</v>
      </c>
      <c r="D67" s="25">
        <f>' 2014'!J12/1000</f>
        <v>3.6625999999999999</v>
      </c>
      <c r="E67" s="25">
        <f>' 2014'!K12/1000</f>
        <v>47.164670000000001</v>
      </c>
    </row>
    <row r="68" spans="1:5" ht="8.25" customHeight="1" x14ac:dyDescent="0.2">
      <c r="A68" s="16" t="s">
        <v>57</v>
      </c>
      <c r="B68" s="24">
        <v>2014</v>
      </c>
      <c r="C68" s="25">
        <f>' 2014'!I13/1000</f>
        <v>54.192610000000002</v>
      </c>
      <c r="D68" s="25">
        <f>' 2014'!J13/1000</f>
        <v>44.216760000000001</v>
      </c>
      <c r="E68" s="25">
        <f>' 2014'!K13/1000</f>
        <v>98.409369999999996</v>
      </c>
    </row>
    <row r="69" spans="1:5" ht="8.25" customHeight="1" x14ac:dyDescent="0.2">
      <c r="A69" s="16" t="s">
        <v>58</v>
      </c>
      <c r="B69" s="24">
        <v>2014</v>
      </c>
      <c r="C69" s="25">
        <f>' 2014'!I14/1000</f>
        <v>32.27196</v>
      </c>
      <c r="D69" s="25">
        <f>' 2014'!J14/1000</f>
        <v>9.5218600000000002</v>
      </c>
      <c r="E69" s="25">
        <f>' 2014'!K14/1000</f>
        <v>41.793819999999997</v>
      </c>
    </row>
    <row r="70" spans="1:5" ht="8.25" customHeight="1" x14ac:dyDescent="0.2">
      <c r="A70" s="16" t="s">
        <v>59</v>
      </c>
      <c r="B70" s="24">
        <v>2014</v>
      </c>
      <c r="C70" s="25">
        <f>' 2014'!I15/1000</f>
        <v>22.154979999999998</v>
      </c>
      <c r="D70" s="25">
        <f>' 2014'!J15/1000</f>
        <v>21.421209999999999</v>
      </c>
      <c r="E70" s="25">
        <f>' 2014'!K15/1000</f>
        <v>43.576180000000001</v>
      </c>
    </row>
    <row r="71" spans="1:5" ht="8.25" customHeight="1" x14ac:dyDescent="0.2">
      <c r="A71" s="16" t="s">
        <v>60</v>
      </c>
      <c r="B71" s="24">
        <v>2014</v>
      </c>
      <c r="C71" s="25">
        <f>' 2014'!I16/1000</f>
        <v>29.384830000000001</v>
      </c>
      <c r="D71" s="25">
        <f>' 2014'!J16/1000</f>
        <v>38.125860000000003</v>
      </c>
      <c r="E71" s="25">
        <f>' 2014'!K16/1000</f>
        <v>67.510689999999997</v>
      </c>
    </row>
    <row r="72" spans="1:5" ht="8.25" customHeight="1" x14ac:dyDescent="0.2">
      <c r="A72" s="16" t="s">
        <v>61</v>
      </c>
      <c r="B72" s="24">
        <v>2014</v>
      </c>
      <c r="C72" s="25">
        <f>' 2014'!I17/1000</f>
        <v>29.18779</v>
      </c>
      <c r="D72" s="25">
        <f>' 2014'!J17/1000</f>
        <v>86.626580000000004</v>
      </c>
      <c r="E72" s="25">
        <f>' 2014'!K17/1000</f>
        <v>115.81437</v>
      </c>
    </row>
    <row r="73" spans="1:5" ht="8.25" customHeight="1" x14ac:dyDescent="0.2">
      <c r="A73" s="16" t="s">
        <v>62</v>
      </c>
      <c r="B73" s="24">
        <v>2014</v>
      </c>
      <c r="C73" s="25">
        <f>' 2014'!I18/1000</f>
        <v>10.499379999999999</v>
      </c>
      <c r="D73" s="25">
        <f>' 2014'!J18/1000</f>
        <v>18.08278</v>
      </c>
      <c r="E73" s="25">
        <f>' 2014'!K18/1000</f>
        <v>28.582159999999998</v>
      </c>
    </row>
    <row r="74" spans="1:5" s="18" customFormat="1" ht="16.5" customHeight="1" x14ac:dyDescent="0.25">
      <c r="A74" s="17" t="s">
        <v>63</v>
      </c>
      <c r="B74" s="26">
        <v>2014</v>
      </c>
      <c r="C74" s="29">
        <f>' 2014'!I20/1000</f>
        <v>335.48230000000001</v>
      </c>
      <c r="D74" s="29">
        <f>' 2014'!J20/1000</f>
        <v>263.93470000000002</v>
      </c>
      <c r="E74" s="29">
        <f>' 2014'!K20/1000</f>
        <v>599.41700000000003</v>
      </c>
    </row>
    <row r="75" spans="1:5" ht="8.25" customHeight="1" x14ac:dyDescent="0.2">
      <c r="A75" s="16" t="s">
        <v>53</v>
      </c>
      <c r="B75" s="24">
        <v>2013</v>
      </c>
      <c r="C75" s="25">
        <f>' 2013'!I9/1000</f>
        <v>5.6397899999999996</v>
      </c>
      <c r="D75" s="25">
        <f>' 2013'!J9/1000</f>
        <v>2.4824999999999999</v>
      </c>
      <c r="E75" s="25">
        <f>' 2013'!K9/1000</f>
        <v>8.1222899999999996</v>
      </c>
    </row>
    <row r="76" spans="1:5" ht="8.25" customHeight="1" x14ac:dyDescent="0.2">
      <c r="A76" s="16" t="s">
        <v>54</v>
      </c>
      <c r="B76" s="24">
        <v>2013</v>
      </c>
      <c r="C76" s="25">
        <f>' 2013'!I10/1000</f>
        <v>97.881570000000011</v>
      </c>
      <c r="D76" s="25">
        <f>' 2013'!J10/1000</f>
        <v>31.459490000000002</v>
      </c>
      <c r="E76" s="25">
        <f>' 2013'!K10/1000</f>
        <v>129.34106</v>
      </c>
    </row>
    <row r="77" spans="1:5" ht="8.25" customHeight="1" x14ac:dyDescent="0.2">
      <c r="A77" s="16" t="s">
        <v>55</v>
      </c>
      <c r="B77" s="24">
        <v>2013</v>
      </c>
      <c r="C77" s="25">
        <f>' 2013'!I11/1000</f>
        <v>5.0328999999999997</v>
      </c>
      <c r="D77" s="25">
        <f>' 2013'!J11/1000</f>
        <v>2.4439799999999998</v>
      </c>
      <c r="E77" s="25">
        <f>' 2013'!K11/1000</f>
        <v>7.4768699999999999</v>
      </c>
    </row>
    <row r="78" spans="1:5" ht="8.25" customHeight="1" x14ac:dyDescent="0.2">
      <c r="A78" s="16" t="s">
        <v>56</v>
      </c>
      <c r="B78" s="24">
        <v>2013</v>
      </c>
      <c r="C78" s="25">
        <f>' 2013'!I12/1000</f>
        <v>40.353499999999997</v>
      </c>
      <c r="D78" s="25">
        <f>' 2013'!J12/1000</f>
        <v>4.0673899999999996</v>
      </c>
      <c r="E78" s="25">
        <f>' 2013'!K12/1000</f>
        <v>44.42089</v>
      </c>
    </row>
    <row r="79" spans="1:5" ht="8.25" customHeight="1" x14ac:dyDescent="0.2">
      <c r="A79" s="16" t="s">
        <v>57</v>
      </c>
      <c r="B79" s="24">
        <v>2013</v>
      </c>
      <c r="C79" s="25">
        <f>' 2013'!I13/1000</f>
        <v>56.337489999999995</v>
      </c>
      <c r="D79" s="25">
        <f>' 2013'!J13/1000</f>
        <v>45.749169999999999</v>
      </c>
      <c r="E79" s="25">
        <f>' 2013'!K13/1000</f>
        <v>102.08666000000001</v>
      </c>
    </row>
    <row r="80" spans="1:5" ht="8.25" customHeight="1" x14ac:dyDescent="0.2">
      <c r="A80" s="16" t="s">
        <v>58</v>
      </c>
      <c r="B80" s="24">
        <v>2013</v>
      </c>
      <c r="C80" s="25">
        <f>' 2013'!I14/1000</f>
        <v>32.462830000000004</v>
      </c>
      <c r="D80" s="25">
        <f>' 2013'!J14/1000</f>
        <v>9.9921600000000002</v>
      </c>
      <c r="E80" s="25">
        <f>' 2013'!K14/1000</f>
        <v>42.454999999999998</v>
      </c>
    </row>
    <row r="81" spans="1:5" ht="8.25" customHeight="1" x14ac:dyDescent="0.2">
      <c r="A81" s="16" t="s">
        <v>59</v>
      </c>
      <c r="B81" s="24">
        <v>2013</v>
      </c>
      <c r="C81" s="25">
        <f>' 2013'!I15/1000</f>
        <v>24.680419999999998</v>
      </c>
      <c r="D81" s="25">
        <f>' 2013'!J15/1000</f>
        <v>23.158660000000001</v>
      </c>
      <c r="E81" s="25">
        <f>' 2013'!K15/1000</f>
        <v>47.839080000000003</v>
      </c>
    </row>
    <row r="82" spans="1:5" ht="8.25" customHeight="1" x14ac:dyDescent="0.2">
      <c r="A82" s="16" t="s">
        <v>60</v>
      </c>
      <c r="B82" s="24">
        <v>2013</v>
      </c>
      <c r="C82" s="25">
        <f>' 2013'!I16/1000</f>
        <v>30.276400000000002</v>
      </c>
      <c r="D82" s="25">
        <f>' 2013'!J16/1000</f>
        <v>40.841269999999994</v>
      </c>
      <c r="E82" s="25">
        <f>' 2013'!K16/1000</f>
        <v>71.117670000000004</v>
      </c>
    </row>
    <row r="83" spans="1:5" ht="8.25" customHeight="1" x14ac:dyDescent="0.2">
      <c r="A83" s="16" t="s">
        <v>61</v>
      </c>
      <c r="B83" s="24">
        <v>2013</v>
      </c>
      <c r="C83" s="25">
        <f>' 2013'!I17/1000</f>
        <v>28.304020000000001</v>
      </c>
      <c r="D83" s="25">
        <f>' 2013'!J17/1000</f>
        <v>83.318579999999997</v>
      </c>
      <c r="E83" s="25">
        <f>' 2013'!K17/1000</f>
        <v>111.62260999999999</v>
      </c>
    </row>
    <row r="84" spans="1:5" ht="8.25" customHeight="1" x14ac:dyDescent="0.2">
      <c r="A84" s="16" t="s">
        <v>62</v>
      </c>
      <c r="B84" s="19">
        <v>2013</v>
      </c>
      <c r="C84" s="25">
        <f>' 2013'!I18/1000</f>
        <v>10.529069999999999</v>
      </c>
      <c r="D84" s="25">
        <f>' 2013'!J18/1000</f>
        <v>19.79946</v>
      </c>
      <c r="E84" s="25">
        <f>' 2013'!K18/1000</f>
        <v>30.32854</v>
      </c>
    </row>
    <row r="85" spans="1:5" s="18" customFormat="1" ht="16.5" customHeight="1" x14ac:dyDescent="0.25">
      <c r="A85" s="17" t="s">
        <v>63</v>
      </c>
      <c r="B85" s="20">
        <v>2013</v>
      </c>
      <c r="C85" s="29">
        <f>' 2013'!I20/1000</f>
        <v>331.93194</v>
      </c>
      <c r="D85" s="29">
        <f>' 2013'!J20/1000</f>
        <v>269.04737</v>
      </c>
      <c r="E85" s="29">
        <f>' 2013'!K20/1000</f>
        <v>600.97931000000005</v>
      </c>
    </row>
    <row r="86" spans="1:5" ht="8.25" customHeight="1" x14ac:dyDescent="0.2">
      <c r="A86" s="16" t="s">
        <v>53</v>
      </c>
      <c r="B86" s="19">
        <v>2012</v>
      </c>
      <c r="C86" s="25">
        <f>' 2012'!I9/1000</f>
        <v>4.7484500000000001</v>
      </c>
      <c r="D86" s="25">
        <f>' 2012'!J9/1000</f>
        <v>2.3544999999999998</v>
      </c>
      <c r="E86" s="25">
        <f>' 2012'!K9/1000</f>
        <v>7.1029499999999999</v>
      </c>
    </row>
    <row r="87" spans="1:5" ht="8.25" customHeight="1" x14ac:dyDescent="0.2">
      <c r="A87" s="16" t="s">
        <v>54</v>
      </c>
      <c r="B87" s="19">
        <v>2012</v>
      </c>
      <c r="C87" s="25">
        <f>' 2012'!I10/1000</f>
        <v>103.27019</v>
      </c>
      <c r="D87" s="25">
        <f>' 2012'!J10/1000</f>
        <v>28.397169999999999</v>
      </c>
      <c r="E87" s="25">
        <f>' 2012'!K10/1000</f>
        <v>131.66735999999997</v>
      </c>
    </row>
    <row r="88" spans="1:5" ht="8.25" customHeight="1" x14ac:dyDescent="0.2">
      <c r="A88" s="16" t="s">
        <v>55</v>
      </c>
      <c r="B88" s="19">
        <v>2012</v>
      </c>
      <c r="C88" s="25">
        <f>' 2012'!I11/1000</f>
        <v>4.6591000000000005</v>
      </c>
      <c r="D88" s="25">
        <f>' 2012'!J11/1000</f>
        <v>2.0485500000000001</v>
      </c>
      <c r="E88" s="25">
        <f>' 2012'!K11/1000</f>
        <v>6.7076599999999997</v>
      </c>
    </row>
    <row r="89" spans="1:5" ht="8.25" customHeight="1" x14ac:dyDescent="0.2">
      <c r="A89" s="16" t="s">
        <v>56</v>
      </c>
      <c r="B89" s="19">
        <v>2012</v>
      </c>
      <c r="C89" s="25">
        <f>' 2012'!I12/1000</f>
        <v>36.897529999999996</v>
      </c>
      <c r="D89" s="25">
        <f>' 2012'!J12/1000</f>
        <v>3.5321599999999997</v>
      </c>
      <c r="E89" s="25">
        <f>' 2012'!K12/1000</f>
        <v>40.429690000000001</v>
      </c>
    </row>
    <row r="90" spans="1:5" ht="8.25" customHeight="1" x14ac:dyDescent="0.2">
      <c r="A90" s="16" t="s">
        <v>57</v>
      </c>
      <c r="B90" s="19">
        <v>2012</v>
      </c>
      <c r="C90" s="25">
        <f>' 2012'!I13/1000</f>
        <v>42.788410000000006</v>
      </c>
      <c r="D90" s="25">
        <f>' 2012'!J13/1000</f>
        <v>40.614100000000001</v>
      </c>
      <c r="E90" s="25">
        <f>' 2012'!K13/1000</f>
        <v>83.402509999999992</v>
      </c>
    </row>
    <row r="91" spans="1:5" ht="8.25" customHeight="1" x14ac:dyDescent="0.2">
      <c r="A91" s="16" t="s">
        <v>58</v>
      </c>
      <c r="B91" s="19">
        <v>2012</v>
      </c>
      <c r="C91" s="25">
        <f>' 2012'!I14/1000</f>
        <v>30.841380000000001</v>
      </c>
      <c r="D91" s="25">
        <f>' 2012'!J14/1000</f>
        <v>8.6682299999999994</v>
      </c>
      <c r="E91" s="25">
        <f>' 2012'!K14/1000</f>
        <v>39.509610000000002</v>
      </c>
    </row>
    <row r="92" spans="1:5" ht="8.25" customHeight="1" x14ac:dyDescent="0.2">
      <c r="A92" s="16" t="s">
        <v>59</v>
      </c>
      <c r="B92" s="19">
        <v>2012</v>
      </c>
      <c r="C92" s="25">
        <f>' 2012'!I15/1000</f>
        <v>21.644099999999998</v>
      </c>
      <c r="D92" s="25">
        <f>' 2012'!J15/1000</f>
        <v>23.704169999999998</v>
      </c>
      <c r="E92" s="25">
        <f>' 2012'!K15/1000</f>
        <v>45.348269999999999</v>
      </c>
    </row>
    <row r="93" spans="1:5" ht="8.25" customHeight="1" x14ac:dyDescent="0.2">
      <c r="A93" s="16" t="s">
        <v>60</v>
      </c>
      <c r="B93" s="19">
        <v>2012</v>
      </c>
      <c r="C93" s="25">
        <f>' 2012'!I16/1000</f>
        <v>30.431819999999998</v>
      </c>
      <c r="D93" s="25">
        <f>' 2012'!J16/1000</f>
        <v>34.406230000000001</v>
      </c>
      <c r="E93" s="25">
        <f>' 2012'!K16/1000</f>
        <v>64.83805000000001</v>
      </c>
    </row>
    <row r="94" spans="1:5" ht="8.25" customHeight="1" x14ac:dyDescent="0.2">
      <c r="A94" s="16" t="s">
        <v>65</v>
      </c>
      <c r="B94" s="19">
        <v>2012</v>
      </c>
      <c r="C94" s="25">
        <f>' 2012'!I17/1000</f>
        <v>27.84985</v>
      </c>
      <c r="D94" s="25">
        <f>' 2012'!J17/1000</f>
        <v>79.877619999999993</v>
      </c>
      <c r="E94" s="25">
        <f>' 2012'!K17/1000</f>
        <v>107.72747</v>
      </c>
    </row>
    <row r="95" spans="1:5" ht="8.25" customHeight="1" x14ac:dyDescent="0.2">
      <c r="A95" s="16" t="s">
        <v>62</v>
      </c>
      <c r="B95" s="19">
        <v>2012</v>
      </c>
      <c r="C95" s="25">
        <f>' 2012'!I18/1000</f>
        <v>10.02529</v>
      </c>
      <c r="D95" s="25">
        <f>' 2012'!J18/1000</f>
        <v>21.0427</v>
      </c>
      <c r="E95" s="25">
        <f>' 2012'!K18/1000</f>
        <v>31.068000000000001</v>
      </c>
    </row>
    <row r="96" spans="1:5" s="18" customFormat="1" ht="16.5" customHeight="1" x14ac:dyDescent="0.25">
      <c r="A96" s="17" t="s">
        <v>63</v>
      </c>
      <c r="B96" s="20">
        <v>2012</v>
      </c>
      <c r="C96" s="29">
        <f>' 2012'!I20/1000</f>
        <v>314.28734000000003</v>
      </c>
      <c r="D96" s="29">
        <f>' 2012'!J20/1000</f>
        <v>251.34277</v>
      </c>
      <c r="E96" s="29">
        <f>' 2012'!K20/1000</f>
        <v>565.63010999999995</v>
      </c>
    </row>
    <row r="97" spans="1:5" s="18" customFormat="1" ht="8.25" customHeight="1" x14ac:dyDescent="0.25">
      <c r="A97" s="16" t="s">
        <v>53</v>
      </c>
      <c r="B97" s="19">
        <v>2011</v>
      </c>
      <c r="C97" s="25">
        <f>' 2011'!I9/1000</f>
        <v>6.9908100000000006</v>
      </c>
      <c r="D97" s="25">
        <f>' 2011'!J9/1000</f>
        <v>2.84619</v>
      </c>
      <c r="E97" s="25">
        <f>' 2011'!K9/1000</f>
        <v>9.8370099999999994</v>
      </c>
    </row>
    <row r="98" spans="1:5" s="18" customFormat="1" ht="8.25" customHeight="1" x14ac:dyDescent="0.25">
      <c r="A98" s="16" t="s">
        <v>54</v>
      </c>
      <c r="B98" s="19">
        <v>2011</v>
      </c>
      <c r="C98" s="25">
        <f>' 2011'!I10/1000</f>
        <v>97.082039999999992</v>
      </c>
      <c r="D98" s="25">
        <f>' 2011'!J10/1000</f>
        <v>30.17259</v>
      </c>
      <c r="E98" s="25">
        <f>' 2011'!K10/1000</f>
        <v>127.25463000000001</v>
      </c>
    </row>
    <row r="99" spans="1:5" s="18" customFormat="1" ht="8.25" customHeight="1" x14ac:dyDescent="0.25">
      <c r="A99" s="16" t="s">
        <v>55</v>
      </c>
      <c r="B99" s="19">
        <v>2011</v>
      </c>
      <c r="C99" s="25">
        <f>' 2011'!I11/1000</f>
        <v>6.2511599999999996</v>
      </c>
      <c r="D99" s="25">
        <f>' 2011'!J11/1000</f>
        <v>1.1867399999999999</v>
      </c>
      <c r="E99" s="25">
        <f>' 2011'!K11/1000</f>
        <v>7.4378900000000003</v>
      </c>
    </row>
    <row r="100" spans="1:5" s="18" customFormat="1" ht="8.25" customHeight="1" x14ac:dyDescent="0.25">
      <c r="A100" s="16" t="s">
        <v>56</v>
      </c>
      <c r="B100" s="19">
        <v>2011</v>
      </c>
      <c r="C100" s="25">
        <f>' 2011'!I12/1000</f>
        <v>37.432389999999998</v>
      </c>
      <c r="D100" s="25">
        <f>' 2011'!J12/1000</f>
        <v>3.95919</v>
      </c>
      <c r="E100" s="25">
        <f>' 2011'!K12/1000</f>
        <v>41.391580000000005</v>
      </c>
    </row>
    <row r="101" spans="1:5" s="18" customFormat="1" ht="8.25" customHeight="1" x14ac:dyDescent="0.25">
      <c r="A101" s="16" t="s">
        <v>57</v>
      </c>
      <c r="B101" s="19">
        <v>2011</v>
      </c>
      <c r="C101" s="25">
        <f>' 2011'!I13/1000</f>
        <v>44.099319999999999</v>
      </c>
      <c r="D101" s="25">
        <f>' 2011'!J13/1000</f>
        <v>42.393800000000006</v>
      </c>
      <c r="E101" s="25">
        <f>' 2011'!K13/1000</f>
        <v>86.493110000000001</v>
      </c>
    </row>
    <row r="102" spans="1:5" s="18" customFormat="1" ht="8.25" customHeight="1" x14ac:dyDescent="0.25">
      <c r="A102" s="16" t="s">
        <v>58</v>
      </c>
      <c r="B102" s="19">
        <v>2011</v>
      </c>
      <c r="C102" s="25">
        <f>' 2011'!I14/1000</f>
        <v>28.452869999999997</v>
      </c>
      <c r="D102" s="25">
        <f>' 2011'!J14/1000</f>
        <v>7.19041</v>
      </c>
      <c r="E102" s="25">
        <f>' 2011'!K14/1000</f>
        <v>35.643279999999997</v>
      </c>
    </row>
    <row r="103" spans="1:5" s="18" customFormat="1" ht="8.25" customHeight="1" x14ac:dyDescent="0.25">
      <c r="A103" s="16" t="s">
        <v>59</v>
      </c>
      <c r="B103" s="19">
        <v>2011</v>
      </c>
      <c r="C103" s="25">
        <f>' 2011'!I15/1000</f>
        <v>21.702169999999999</v>
      </c>
      <c r="D103" s="25">
        <f>' 2011'!J15/1000</f>
        <v>21.758330000000001</v>
      </c>
      <c r="E103" s="25">
        <f>' 2011'!K15/1000</f>
        <v>43.460500000000003</v>
      </c>
    </row>
    <row r="104" spans="1:5" s="18" customFormat="1" ht="8.25" customHeight="1" x14ac:dyDescent="0.25">
      <c r="A104" s="16" t="s">
        <v>60</v>
      </c>
      <c r="B104" s="19">
        <v>2011</v>
      </c>
      <c r="C104" s="25">
        <f>' 2011'!I16/1000</f>
        <v>28.261490000000002</v>
      </c>
      <c r="D104" s="25">
        <f>' 2011'!J16/1000</f>
        <v>37.508559999999996</v>
      </c>
      <c r="E104" s="25">
        <f>' 2011'!K16/1000</f>
        <v>65.770049999999998</v>
      </c>
    </row>
    <row r="105" spans="1:5" s="18" customFormat="1" ht="8.25" customHeight="1" x14ac:dyDescent="0.25">
      <c r="A105" s="16" t="s">
        <v>65</v>
      </c>
      <c r="B105" s="19">
        <v>2011</v>
      </c>
      <c r="C105" s="25">
        <f>' 2011'!I17/1000</f>
        <v>25.228020000000001</v>
      </c>
      <c r="D105" s="25">
        <f>' 2011'!J17/1000</f>
        <v>76.428370000000001</v>
      </c>
      <c r="E105" s="25">
        <f>' 2011'!K17/1000</f>
        <v>101.65639</v>
      </c>
    </row>
    <row r="106" spans="1:5" s="18" customFormat="1" ht="16.5" customHeight="1" x14ac:dyDescent="0.25">
      <c r="A106" s="16" t="s">
        <v>62</v>
      </c>
      <c r="B106" s="19">
        <v>2011</v>
      </c>
      <c r="C106" s="25">
        <f>' 2011'!I18/1000</f>
        <v>7.7126000000000001</v>
      </c>
      <c r="D106" s="25">
        <f>' 2011'!J18/1000</f>
        <v>16.179190000000002</v>
      </c>
      <c r="E106" s="25">
        <f>' 2011'!K18/1000</f>
        <v>23.8918</v>
      </c>
    </row>
    <row r="107" spans="1:5" s="18" customFormat="1" ht="16.5" customHeight="1" x14ac:dyDescent="0.25">
      <c r="A107" s="17" t="s">
        <v>63</v>
      </c>
      <c r="B107" s="20">
        <v>2011</v>
      </c>
      <c r="C107" s="29">
        <f>' 2011'!I20/1000</f>
        <v>303.62559000000005</v>
      </c>
      <c r="D107" s="29">
        <f>' 2011'!J20/1000</f>
        <v>245.06873999999999</v>
      </c>
      <c r="E107" s="29">
        <f>' 2011'!K20/1000</f>
        <v>548.69432999999992</v>
      </c>
    </row>
    <row r="108" spans="1:5" ht="8.25" customHeight="1" x14ac:dyDescent="0.2">
      <c r="A108" s="16" t="s">
        <v>53</v>
      </c>
      <c r="B108" s="19">
        <v>2010</v>
      </c>
      <c r="C108" s="25">
        <v>5.15707</v>
      </c>
      <c r="D108" s="30" t="s">
        <v>64</v>
      </c>
      <c r="E108" s="25">
        <v>7.90266</v>
      </c>
    </row>
    <row r="109" spans="1:5" ht="8.25" customHeight="1" x14ac:dyDescent="0.2">
      <c r="A109" s="16" t="s">
        <v>54</v>
      </c>
      <c r="B109" s="19">
        <v>2010</v>
      </c>
      <c r="C109" s="25">
        <v>99.316779999999994</v>
      </c>
      <c r="D109" s="25">
        <v>30.532409999999999</v>
      </c>
      <c r="E109" s="25">
        <v>129.84918999999999</v>
      </c>
    </row>
    <row r="110" spans="1:5" ht="8.25" customHeight="1" x14ac:dyDescent="0.2">
      <c r="A110" s="16" t="s">
        <v>55</v>
      </c>
      <c r="B110" s="19">
        <v>2010</v>
      </c>
      <c r="C110" s="30" t="s">
        <v>64</v>
      </c>
      <c r="D110" s="30" t="s">
        <v>64</v>
      </c>
      <c r="E110" s="25">
        <v>6.0895600000000005</v>
      </c>
    </row>
    <row r="111" spans="1:5" ht="8.25" customHeight="1" x14ac:dyDescent="0.2">
      <c r="A111" s="16" t="s">
        <v>56</v>
      </c>
      <c r="B111" s="19">
        <v>2010</v>
      </c>
      <c r="C111" s="25">
        <v>34.972910000000006</v>
      </c>
      <c r="D111" s="30" t="s">
        <v>64</v>
      </c>
      <c r="E111" s="25">
        <v>38.963010000000004</v>
      </c>
    </row>
    <row r="112" spans="1:5" ht="8.25" customHeight="1" x14ac:dyDescent="0.2">
      <c r="A112" s="16" t="s">
        <v>57</v>
      </c>
      <c r="B112" s="19">
        <v>2010</v>
      </c>
      <c r="C112" s="25">
        <v>44.276260000000001</v>
      </c>
      <c r="D112" s="25">
        <v>38.775419999999997</v>
      </c>
      <c r="E112" s="25">
        <v>83.05167999999999</v>
      </c>
    </row>
    <row r="113" spans="1:5" ht="8.25" customHeight="1" x14ac:dyDescent="0.2">
      <c r="A113" s="16" t="s">
        <v>58</v>
      </c>
      <c r="B113" s="19">
        <v>2010</v>
      </c>
      <c r="C113" s="25">
        <v>28.7331</v>
      </c>
      <c r="D113" s="25">
        <v>7.50441</v>
      </c>
      <c r="E113" s="25">
        <v>36.23751</v>
      </c>
    </row>
    <row r="114" spans="1:5" ht="8.25" customHeight="1" x14ac:dyDescent="0.2">
      <c r="A114" s="16" t="s">
        <v>59</v>
      </c>
      <c r="B114" s="19">
        <v>2010</v>
      </c>
      <c r="C114" s="25">
        <v>22.546250000000001</v>
      </c>
      <c r="D114" s="25">
        <v>20.54298</v>
      </c>
      <c r="E114" s="25">
        <v>43.089230000000001</v>
      </c>
    </row>
    <row r="115" spans="1:5" ht="8.25" customHeight="1" x14ac:dyDescent="0.2">
      <c r="A115" s="16" t="s">
        <v>60</v>
      </c>
      <c r="B115" s="19">
        <v>2010</v>
      </c>
      <c r="C115" s="25">
        <v>30.43019</v>
      </c>
      <c r="D115" s="25">
        <v>35.658290000000001</v>
      </c>
      <c r="E115" s="25">
        <v>66.08847999999999</v>
      </c>
    </row>
    <row r="116" spans="1:5" ht="8.25" customHeight="1" x14ac:dyDescent="0.2">
      <c r="A116" s="16" t="s">
        <v>65</v>
      </c>
      <c r="B116" s="19">
        <v>2010</v>
      </c>
      <c r="C116" s="25">
        <v>30.262689999999999</v>
      </c>
      <c r="D116" s="25">
        <v>79.982199999999992</v>
      </c>
      <c r="E116" s="25">
        <v>110.24489</v>
      </c>
    </row>
    <row r="117" spans="1:5" ht="8.25" customHeight="1" x14ac:dyDescent="0.2">
      <c r="A117" s="16" t="s">
        <v>62</v>
      </c>
      <c r="B117" s="19">
        <v>2010</v>
      </c>
      <c r="C117" s="25">
        <v>8.6783999999999999</v>
      </c>
      <c r="D117" s="25">
        <v>17.198979999999999</v>
      </c>
      <c r="E117" s="25">
        <v>25.877380000000002</v>
      </c>
    </row>
    <row r="118" spans="1:5" s="18" customFormat="1" ht="16.5" customHeight="1" x14ac:dyDescent="0.25">
      <c r="A118" s="17" t="s">
        <v>63</v>
      </c>
      <c r="B118" s="20">
        <v>2010</v>
      </c>
      <c r="C118" s="29">
        <v>309.77222999999998</v>
      </c>
      <c r="D118" s="29">
        <v>243.49507</v>
      </c>
      <c r="E118" s="29">
        <v>553.26731000000007</v>
      </c>
    </row>
    <row r="119" spans="1:5" ht="8.25" customHeight="1" x14ac:dyDescent="0.2">
      <c r="A119" s="16" t="s">
        <v>66</v>
      </c>
      <c r="B119" s="19">
        <v>2005</v>
      </c>
      <c r="C119" s="25">
        <v>8.6999999999999993</v>
      </c>
      <c r="D119" s="30" t="s">
        <v>64</v>
      </c>
      <c r="E119" s="25">
        <v>11.2</v>
      </c>
    </row>
    <row r="120" spans="1:5" ht="8.25" customHeight="1" x14ac:dyDescent="0.2">
      <c r="A120" s="16" t="s">
        <v>54</v>
      </c>
      <c r="B120" s="19">
        <v>2005</v>
      </c>
      <c r="C120" s="25">
        <v>91.5</v>
      </c>
      <c r="D120" s="25">
        <v>34</v>
      </c>
      <c r="E120" s="25">
        <v>125.5</v>
      </c>
    </row>
    <row r="121" spans="1:5" ht="8.25" customHeight="1" x14ac:dyDescent="0.2">
      <c r="A121" s="16" t="s">
        <v>67</v>
      </c>
      <c r="B121" s="19">
        <v>2005</v>
      </c>
      <c r="C121" s="30" t="s">
        <v>64</v>
      </c>
      <c r="D121" s="30" t="s">
        <v>64</v>
      </c>
      <c r="E121" s="30" t="s">
        <v>64</v>
      </c>
    </row>
    <row r="122" spans="1:5" ht="8.25" customHeight="1" x14ac:dyDescent="0.2">
      <c r="A122" s="16" t="s">
        <v>56</v>
      </c>
      <c r="B122" s="19">
        <v>2005</v>
      </c>
      <c r="C122" s="25">
        <v>28.3</v>
      </c>
      <c r="D122" s="30" t="s">
        <v>64</v>
      </c>
      <c r="E122" s="25">
        <v>30.2</v>
      </c>
    </row>
    <row r="123" spans="1:5" ht="8.25" customHeight="1" x14ac:dyDescent="0.2">
      <c r="A123" s="16" t="s">
        <v>68</v>
      </c>
      <c r="B123" s="19">
        <v>2005</v>
      </c>
      <c r="C123" s="25">
        <v>35.1</v>
      </c>
      <c r="D123" s="25">
        <v>34</v>
      </c>
      <c r="E123" s="25">
        <v>69.099999999999994</v>
      </c>
    </row>
    <row r="124" spans="1:5" ht="8.25" customHeight="1" x14ac:dyDescent="0.2">
      <c r="A124" s="16" t="s">
        <v>59</v>
      </c>
      <c r="B124" s="19">
        <v>2005</v>
      </c>
      <c r="C124" s="25">
        <v>23.9</v>
      </c>
      <c r="D124" s="25">
        <v>19.600000000000001</v>
      </c>
      <c r="E124" s="25">
        <v>43.5</v>
      </c>
    </row>
    <row r="125" spans="1:5" ht="8.25" customHeight="1" x14ac:dyDescent="0.2">
      <c r="A125" s="16" t="s">
        <v>69</v>
      </c>
      <c r="B125" s="19">
        <v>2005</v>
      </c>
      <c r="C125" s="25">
        <v>16.5</v>
      </c>
      <c r="D125" s="30" t="s">
        <v>64</v>
      </c>
      <c r="E125" s="25">
        <v>20.7</v>
      </c>
    </row>
    <row r="126" spans="1:5" ht="8.25" customHeight="1" x14ac:dyDescent="0.2">
      <c r="A126" s="16" t="s">
        <v>70</v>
      </c>
      <c r="B126" s="19">
        <v>2005</v>
      </c>
      <c r="C126" s="25">
        <v>18.3</v>
      </c>
      <c r="D126" s="25">
        <v>19.600000000000001</v>
      </c>
      <c r="E126" s="25">
        <v>37.9</v>
      </c>
    </row>
    <row r="127" spans="1:5" ht="8.25" customHeight="1" x14ac:dyDescent="0.2">
      <c r="A127" s="16" t="s">
        <v>71</v>
      </c>
      <c r="B127" s="19">
        <v>2005</v>
      </c>
      <c r="C127" s="25">
        <v>26.6</v>
      </c>
      <c r="D127" s="25">
        <v>52.5</v>
      </c>
      <c r="E127" s="25">
        <v>79.2</v>
      </c>
    </row>
    <row r="128" spans="1:5" ht="8.25" customHeight="1" x14ac:dyDescent="0.2">
      <c r="A128" s="16" t="s">
        <v>72</v>
      </c>
      <c r="B128" s="19">
        <v>2005</v>
      </c>
      <c r="C128" s="25">
        <v>13.4</v>
      </c>
      <c r="D128" s="25">
        <v>18.100000000000001</v>
      </c>
      <c r="E128" s="25">
        <v>31.5</v>
      </c>
    </row>
    <row r="129" spans="1:5" s="18" customFormat="1" ht="16.5" customHeight="1" x14ac:dyDescent="0.25">
      <c r="A129" s="17" t="s">
        <v>63</v>
      </c>
      <c r="B129" s="20">
        <v>2005</v>
      </c>
      <c r="C129" s="29">
        <v>264.8</v>
      </c>
      <c r="D129" s="29">
        <v>190.2</v>
      </c>
      <c r="E129" s="29">
        <v>455</v>
      </c>
    </row>
    <row r="130" spans="1:5" x14ac:dyDescent="0.2">
      <c r="C130" s="21"/>
      <c r="D130" s="21"/>
    </row>
    <row r="131" spans="1:5" ht="33" customHeight="1" x14ac:dyDescent="0.2">
      <c r="A131" s="44" t="s">
        <v>73</v>
      </c>
      <c r="B131" s="44"/>
      <c r="C131" s="44"/>
      <c r="D131" s="44"/>
      <c r="E131" s="44"/>
    </row>
    <row r="132" spans="1:5" ht="39" customHeight="1" x14ac:dyDescent="0.2">
      <c r="A132" s="45" t="s">
        <v>74</v>
      </c>
      <c r="B132" s="45"/>
      <c r="C132" s="45"/>
      <c r="D132" s="45"/>
      <c r="E132" s="46"/>
    </row>
    <row r="133" spans="1:5" ht="30" customHeight="1" x14ac:dyDescent="0.2">
      <c r="A133" s="45" t="s">
        <v>75</v>
      </c>
      <c r="B133" s="45"/>
      <c r="C133" s="45"/>
      <c r="D133" s="45"/>
      <c r="E133" s="46"/>
    </row>
    <row r="134" spans="1:5" ht="8.25" customHeight="1" x14ac:dyDescent="0.2">
      <c r="A134" s="22"/>
      <c r="C134" s="21"/>
      <c r="D134" s="21"/>
    </row>
    <row r="135" spans="1:5" ht="8.25" customHeight="1" x14ac:dyDescent="0.2">
      <c r="A135" s="23" t="s">
        <v>76</v>
      </c>
      <c r="B135" s="23"/>
    </row>
  </sheetData>
  <autoFilter ref="A8:E8" xr:uid="{1ACCB9BD-3A2A-4311-AC7E-0AF4DD62A9D7}"/>
  <mergeCells count="8">
    <mergeCell ref="A131:E131"/>
    <mergeCell ref="A132:E132"/>
    <mergeCell ref="A133:E133"/>
    <mergeCell ref="A1:B1"/>
    <mergeCell ref="A4:A7"/>
    <mergeCell ref="B4:B7"/>
    <mergeCell ref="C4:E5"/>
    <mergeCell ref="C7:E7"/>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0A117-DF8B-486B-8884-A3A0686BCA51}">
  <sheetPr codeName="Tabelle9"/>
  <dimension ref="B1:F142"/>
  <sheetViews>
    <sheetView tabSelected="1" zoomScale="160" zoomScaleNormal="160" workbookViewId="0">
      <selection sqref="A1:XFD1048576"/>
    </sheetView>
  </sheetViews>
  <sheetFormatPr baseColWidth="10" defaultRowHeight="12.75" x14ac:dyDescent="0.2"/>
  <cols>
    <col min="1" max="1" width="11.42578125" style="10"/>
    <col min="2" max="2" width="38.5703125" style="10" customWidth="1"/>
    <col min="3" max="16384" width="11.42578125" style="10"/>
  </cols>
  <sheetData>
    <row r="1" spans="2:6" ht="15" x14ac:dyDescent="0.2">
      <c r="B1" s="35" t="s">
        <v>80</v>
      </c>
    </row>
    <row r="3" spans="2:6" ht="30" customHeight="1" x14ac:dyDescent="0.2">
      <c r="B3" s="35" t="s">
        <v>81</v>
      </c>
      <c r="C3" s="36"/>
    </row>
    <row r="4" spans="2:6" ht="30" customHeight="1" x14ac:dyDescent="0.2">
      <c r="B4" s="11" t="s">
        <v>82</v>
      </c>
      <c r="C4" s="11"/>
    </row>
    <row r="6" spans="2:6" ht="8.25" customHeight="1" x14ac:dyDescent="0.2">
      <c r="B6" s="49" t="s">
        <v>43</v>
      </c>
      <c r="C6" s="52" t="s">
        <v>44</v>
      </c>
      <c r="D6" s="55" t="s">
        <v>45</v>
      </c>
      <c r="E6" s="56"/>
      <c r="F6" s="56"/>
    </row>
    <row r="7" spans="2:6" ht="8.25" customHeight="1" x14ac:dyDescent="0.2">
      <c r="B7" s="50"/>
      <c r="C7" s="53"/>
      <c r="D7" s="57"/>
      <c r="E7" s="58"/>
      <c r="F7" s="58"/>
    </row>
    <row r="8" spans="2:6" ht="8.25" customHeight="1" x14ac:dyDescent="0.2">
      <c r="B8" s="50"/>
      <c r="C8" s="53"/>
      <c r="D8" s="12" t="s">
        <v>46</v>
      </c>
      <c r="E8" s="13" t="s">
        <v>47</v>
      </c>
      <c r="F8" s="14" t="s">
        <v>3</v>
      </c>
    </row>
    <row r="9" spans="2:6" ht="8.25" customHeight="1" x14ac:dyDescent="0.2">
      <c r="B9" s="51"/>
      <c r="C9" s="54"/>
      <c r="D9" s="59">
        <v>1000</v>
      </c>
      <c r="E9" s="60"/>
      <c r="F9" s="61"/>
    </row>
    <row r="10" spans="2:6" ht="8.25" customHeight="1" x14ac:dyDescent="0.2">
      <c r="B10" s="15" t="s">
        <v>48</v>
      </c>
      <c r="C10" s="15" t="s">
        <v>49</v>
      </c>
      <c r="D10" s="15" t="s">
        <v>50</v>
      </c>
      <c r="E10" s="15" t="s">
        <v>51</v>
      </c>
      <c r="F10" s="15" t="s">
        <v>52</v>
      </c>
    </row>
    <row r="11" spans="2:6" ht="8.25" customHeight="1" x14ac:dyDescent="0.2">
      <c r="B11" s="16" t="s">
        <v>53</v>
      </c>
      <c r="C11" s="19">
        <v>2019</v>
      </c>
      <c r="D11" s="25">
        <f>' 2019'!I9/1000</f>
        <v>8.0970600000000008</v>
      </c>
      <c r="E11" s="25">
        <f>' 2019'!J9/1000</f>
        <v>3.3266199999999997</v>
      </c>
      <c r="F11" s="25">
        <f>' 2019'!K9/1000</f>
        <v>11.423680000000001</v>
      </c>
    </row>
    <row r="12" spans="2:6" ht="8.25" customHeight="1" x14ac:dyDescent="0.2">
      <c r="B12" s="16" t="s">
        <v>54</v>
      </c>
      <c r="C12" s="19">
        <v>2019</v>
      </c>
      <c r="D12" s="25">
        <f>' 2019'!I10/1000</f>
        <v>137.23995000000002</v>
      </c>
      <c r="E12" s="25">
        <f>' 2019'!J10/1000</f>
        <v>43.812690000000003</v>
      </c>
      <c r="F12" s="25">
        <f>' 2019'!K10/1000</f>
        <v>181.05264000000003</v>
      </c>
    </row>
    <row r="13" spans="2:6" ht="8.25" customHeight="1" x14ac:dyDescent="0.2">
      <c r="B13" s="16" t="s">
        <v>55</v>
      </c>
      <c r="C13" s="19">
        <v>2019</v>
      </c>
      <c r="D13" s="25">
        <f>' 2019'!I11/1000</f>
        <v>5.8705400000000001</v>
      </c>
      <c r="E13" s="25">
        <f>' 2019'!J11/1000</f>
        <v>1.97601</v>
      </c>
      <c r="F13" s="25">
        <f>' 2019'!K11/1000</f>
        <v>7.8465500000000006</v>
      </c>
    </row>
    <row r="14" spans="2:6" ht="8.25" customHeight="1" x14ac:dyDescent="0.2">
      <c r="B14" s="16" t="s">
        <v>56</v>
      </c>
      <c r="C14" s="19">
        <v>2019</v>
      </c>
      <c r="D14" s="25">
        <f>' 2019'!I12/1000</f>
        <v>61.42324</v>
      </c>
      <c r="E14" s="25">
        <f>' 2019'!J12/1000</f>
        <v>7.3893900000000006</v>
      </c>
      <c r="F14" s="25">
        <f>' 2019'!K12/1000</f>
        <v>68.812629999999999</v>
      </c>
    </row>
    <row r="15" spans="2:6" ht="8.25" customHeight="1" x14ac:dyDescent="0.2">
      <c r="B15" s="16" t="s">
        <v>57</v>
      </c>
      <c r="C15" s="19">
        <v>2019</v>
      </c>
      <c r="D15" s="25">
        <f>' 2019'!I13/1000</f>
        <v>70.294119999999992</v>
      </c>
      <c r="E15" s="25">
        <f>' 2019'!J13/1000</f>
        <v>60.605710000000002</v>
      </c>
      <c r="F15" s="25">
        <f>' 2019'!K13/1000</f>
        <v>130.89983000000001</v>
      </c>
    </row>
    <row r="16" spans="2:6" ht="8.25" customHeight="1" x14ac:dyDescent="0.2">
      <c r="B16" s="16" t="s">
        <v>58</v>
      </c>
      <c r="C16" s="19">
        <v>2019</v>
      </c>
      <c r="D16" s="25">
        <f>' 2019'!I14/1000</f>
        <v>54.424980000000005</v>
      </c>
      <c r="E16" s="25">
        <f>' 2019'!J14/1000</f>
        <v>12.738959999999999</v>
      </c>
      <c r="F16" s="25">
        <f>' 2019'!K14/1000</f>
        <v>67.163939999999997</v>
      </c>
    </row>
    <row r="17" spans="2:6" ht="8.25" customHeight="1" x14ac:dyDescent="0.2">
      <c r="B17" s="16" t="s">
        <v>59</v>
      </c>
      <c r="C17" s="19">
        <v>2019</v>
      </c>
      <c r="D17" s="25">
        <f>' 2019'!I15/1000</f>
        <v>31.728919999999999</v>
      </c>
      <c r="E17" s="25">
        <f>' 2019'!J15/1000</f>
        <v>25.85134</v>
      </c>
      <c r="F17" s="25">
        <f>' 2019'!K15/1000</f>
        <v>57.580260000000003</v>
      </c>
    </row>
    <row r="18" spans="2:6" ht="8.25" customHeight="1" x14ac:dyDescent="0.2">
      <c r="B18" s="16" t="s">
        <v>60</v>
      </c>
      <c r="C18" s="19">
        <v>2019</v>
      </c>
      <c r="D18" s="25">
        <f>' 2019'!I16/1000</f>
        <v>43.846599999999995</v>
      </c>
      <c r="E18" s="25">
        <f>' 2019'!J16/1000</f>
        <v>48.489089999999997</v>
      </c>
      <c r="F18" s="25">
        <f>' 2019'!K16/1000</f>
        <v>92.335679999999996</v>
      </c>
    </row>
    <row r="19" spans="2:6" ht="8.25" customHeight="1" x14ac:dyDescent="0.2">
      <c r="B19" s="16" t="s">
        <v>61</v>
      </c>
      <c r="C19" s="19">
        <v>2019</v>
      </c>
      <c r="D19" s="25">
        <f>' 2019'!I17/1000</f>
        <v>43.389919999999996</v>
      </c>
      <c r="E19" s="25">
        <f>' 2019'!J17/1000</f>
        <v>117.28994999999999</v>
      </c>
      <c r="F19" s="25">
        <f>' 2019'!K17/1000</f>
        <v>160.67986999999999</v>
      </c>
    </row>
    <row r="20" spans="2:6" ht="8.25" customHeight="1" x14ac:dyDescent="0.2">
      <c r="B20" s="16" t="s">
        <v>62</v>
      </c>
      <c r="C20" s="19">
        <v>2019</v>
      </c>
      <c r="D20" s="25">
        <f>' 2019'!I18/1000</f>
        <v>13.560750000000001</v>
      </c>
      <c r="E20" s="25">
        <f>' 2019'!J18/1000</f>
        <v>19.337029999999999</v>
      </c>
      <c r="F20" s="25">
        <f>' 2019'!K18/1000</f>
        <v>32.897779999999997</v>
      </c>
    </row>
    <row r="21" spans="2:6" ht="16.5" customHeight="1" x14ac:dyDescent="0.2">
      <c r="B21" s="17" t="s">
        <v>63</v>
      </c>
      <c r="C21" s="26">
        <v>2019</v>
      </c>
      <c r="D21" s="29">
        <f>' 2019'!I20/1000</f>
        <v>470.17715999999996</v>
      </c>
      <c r="E21" s="29">
        <f>' 2019'!J20/1000</f>
        <v>348.16636</v>
      </c>
      <c r="F21" s="29">
        <f>' 2019'!K20/1000</f>
        <v>818.34351000000004</v>
      </c>
    </row>
    <row r="22" spans="2:6" ht="8.25" customHeight="1" x14ac:dyDescent="0.2">
      <c r="B22" s="16" t="s">
        <v>53</v>
      </c>
      <c r="C22" s="24">
        <v>2018</v>
      </c>
      <c r="D22" s="25">
        <f>' 2018'!I9/1000</f>
        <v>9.2372800000000002</v>
      </c>
      <c r="E22" s="25">
        <f>' 2018'!J9/1000</f>
        <v>4.9123299999999999</v>
      </c>
      <c r="F22" s="25">
        <f>' 2018'!K9/1000</f>
        <v>14.149610000000001</v>
      </c>
    </row>
    <row r="23" spans="2:6" ht="8.25" customHeight="1" x14ac:dyDescent="0.2">
      <c r="B23" s="16" t="s">
        <v>54</v>
      </c>
      <c r="C23" s="24">
        <v>2018</v>
      </c>
      <c r="D23" s="25">
        <f>' 2018'!I10/1000</f>
        <v>141.85381000000001</v>
      </c>
      <c r="E23" s="25">
        <f>' 2018'!J10/1000</f>
        <v>45.829940000000001</v>
      </c>
      <c r="F23" s="25">
        <f>' 2018'!K10/1000</f>
        <v>187.68375</v>
      </c>
    </row>
    <row r="24" spans="2:6" ht="8.25" customHeight="1" x14ac:dyDescent="0.2">
      <c r="B24" s="16" t="s">
        <v>55</v>
      </c>
      <c r="C24" s="24">
        <v>2018</v>
      </c>
      <c r="D24" s="25">
        <f>' 2018'!I11/1000</f>
        <v>6.9294099999999998</v>
      </c>
      <c r="E24" s="25">
        <f>' 2018'!J11/1000</f>
        <v>1.99579</v>
      </c>
      <c r="F24" s="25">
        <f>' 2018'!K11/1000</f>
        <v>8.9252000000000002</v>
      </c>
    </row>
    <row r="25" spans="2:6" ht="8.25" customHeight="1" x14ac:dyDescent="0.2">
      <c r="B25" s="16" t="s">
        <v>56</v>
      </c>
      <c r="C25" s="24">
        <v>2018</v>
      </c>
      <c r="D25" s="25">
        <f>' 2018'!I12/1000</f>
        <v>58.642859999999999</v>
      </c>
      <c r="E25" s="25">
        <f>' 2018'!J12/1000</f>
        <v>6.5473500000000007</v>
      </c>
      <c r="F25" s="25">
        <f>' 2018'!K12/1000</f>
        <v>65.190219999999997</v>
      </c>
    </row>
    <row r="26" spans="2:6" ht="8.25" customHeight="1" x14ac:dyDescent="0.2">
      <c r="B26" s="16" t="s">
        <v>57</v>
      </c>
      <c r="C26" s="24">
        <v>2018</v>
      </c>
      <c r="D26" s="25">
        <f>' 2018'!I13/1000</f>
        <v>67.828630000000004</v>
      </c>
      <c r="E26" s="25">
        <f>' 2018'!J13/1000</f>
        <v>62.089589999999994</v>
      </c>
      <c r="F26" s="25">
        <f>' 2018'!K13/1000</f>
        <v>129.91821999999999</v>
      </c>
    </row>
    <row r="27" spans="2:6" ht="8.25" customHeight="1" x14ac:dyDescent="0.2">
      <c r="B27" s="16" t="s">
        <v>58</v>
      </c>
      <c r="C27" s="24">
        <v>2018</v>
      </c>
      <c r="D27" s="25">
        <f>' 2018'!I14/1000</f>
        <v>50.172239999999995</v>
      </c>
      <c r="E27" s="25">
        <f>' 2018'!J14/1000</f>
        <v>11.51253</v>
      </c>
      <c r="F27" s="25">
        <f>' 2018'!K14/1000</f>
        <v>61.68477</v>
      </c>
    </row>
    <row r="28" spans="2:6" ht="8.25" customHeight="1" x14ac:dyDescent="0.2">
      <c r="B28" s="16" t="s">
        <v>59</v>
      </c>
      <c r="C28" s="24">
        <v>2018</v>
      </c>
      <c r="D28" s="25">
        <f>' 2018'!I15/1000</f>
        <v>31.441650000000003</v>
      </c>
      <c r="E28" s="25">
        <f>' 2018'!J15/1000</f>
        <v>26.750160000000001</v>
      </c>
      <c r="F28" s="25">
        <f>' 2018'!K15/1000</f>
        <v>58.191809999999997</v>
      </c>
    </row>
    <row r="29" spans="2:6" ht="8.25" customHeight="1" x14ac:dyDescent="0.2">
      <c r="B29" s="16" t="s">
        <v>60</v>
      </c>
      <c r="C29" s="24">
        <v>2018</v>
      </c>
      <c r="D29" s="25">
        <f>' 2018'!I16/1000</f>
        <v>40.487259999999999</v>
      </c>
      <c r="E29" s="25">
        <f>' 2018'!J16/1000</f>
        <v>46.75056</v>
      </c>
      <c r="F29" s="25">
        <f>' 2018'!K16/1000</f>
        <v>87.237809999999996</v>
      </c>
    </row>
    <row r="30" spans="2:6" ht="8.25" customHeight="1" x14ac:dyDescent="0.2">
      <c r="B30" s="16" t="s">
        <v>61</v>
      </c>
      <c r="C30" s="24">
        <v>2018</v>
      </c>
      <c r="D30" s="25">
        <f>' 2018'!I17/1000</f>
        <v>42.329569999999997</v>
      </c>
      <c r="E30" s="25">
        <f>' 2018'!J17/1000</f>
        <v>113.60674</v>
      </c>
      <c r="F30" s="25">
        <f>' 2018'!K17/1000</f>
        <v>155.93630999999999</v>
      </c>
    </row>
    <row r="31" spans="2:6" ht="8.25" customHeight="1" x14ac:dyDescent="0.2">
      <c r="B31" s="16" t="s">
        <v>62</v>
      </c>
      <c r="C31" s="24">
        <v>2018</v>
      </c>
      <c r="D31" s="25">
        <f>' 2018'!I18/1000</f>
        <v>11.60702</v>
      </c>
      <c r="E31" s="25">
        <f>' 2018'!J18/1000</f>
        <v>19.546150000000001</v>
      </c>
      <c r="F31" s="25">
        <f>' 2018'!K18/1000</f>
        <v>31.153169999999999</v>
      </c>
    </row>
    <row r="32" spans="2:6" s="18" customFormat="1" ht="16.5" customHeight="1" x14ac:dyDescent="0.25">
      <c r="B32" s="17" t="s">
        <v>63</v>
      </c>
      <c r="C32" s="26">
        <v>2018</v>
      </c>
      <c r="D32" s="29">
        <f>' 2018'!I20/1000</f>
        <v>460.73616999999996</v>
      </c>
      <c r="E32" s="29">
        <f>' 2018'!J20/1000</f>
        <v>345.17609999999996</v>
      </c>
      <c r="F32" s="29">
        <f>' 2018'!K20/1000</f>
        <v>805.91227000000003</v>
      </c>
    </row>
    <row r="33" spans="2:6" ht="8.25" customHeight="1" x14ac:dyDescent="0.2">
      <c r="B33" s="16" t="s">
        <v>53</v>
      </c>
      <c r="C33" s="27">
        <v>2017</v>
      </c>
      <c r="D33" s="25">
        <f>' 2017'!I9/1000</f>
        <v>8.3643600000000013</v>
      </c>
      <c r="E33" s="25">
        <f>' 2017'!J9/1000</f>
        <v>3.0600700000000001</v>
      </c>
      <c r="F33" s="25">
        <f>' 2017'!K9/1000</f>
        <v>11.424430000000001</v>
      </c>
    </row>
    <row r="34" spans="2:6" ht="8.25" customHeight="1" x14ac:dyDescent="0.2">
      <c r="B34" s="16" t="s">
        <v>54</v>
      </c>
      <c r="C34" s="27">
        <v>2017</v>
      </c>
      <c r="D34" s="25">
        <f>' 2017'!I10/1000</f>
        <v>143.43660999999997</v>
      </c>
      <c r="E34" s="25">
        <f>' 2017'!J10/1000</f>
        <v>41.608449999999998</v>
      </c>
      <c r="F34" s="25">
        <f>' 2017'!K10/1000</f>
        <v>185.04506000000001</v>
      </c>
    </row>
    <row r="35" spans="2:6" ht="8.25" customHeight="1" x14ac:dyDescent="0.2">
      <c r="B35" s="16" t="s">
        <v>55</v>
      </c>
      <c r="C35" s="27">
        <v>2017</v>
      </c>
      <c r="D35" s="25">
        <f>' 2017'!I11/1000</f>
        <v>6.4783299999999997</v>
      </c>
      <c r="E35" s="25">
        <f>' 2017'!J11/1000</f>
        <v>1.7835999999999999</v>
      </c>
      <c r="F35" s="25">
        <f>' 2017'!K11/1000</f>
        <v>8.2619299999999996</v>
      </c>
    </row>
    <row r="36" spans="2:6" ht="8.25" customHeight="1" x14ac:dyDescent="0.2">
      <c r="B36" s="16" t="s">
        <v>56</v>
      </c>
      <c r="C36" s="27">
        <v>2017</v>
      </c>
      <c r="D36" s="25">
        <f>' 2017'!I12/1000</f>
        <v>57.102330000000002</v>
      </c>
      <c r="E36" s="25">
        <f>' 2017'!J12/1000</f>
        <v>6.4703500000000007</v>
      </c>
      <c r="F36" s="25">
        <f>' 2017'!K12/1000</f>
        <v>63.572679999999998</v>
      </c>
    </row>
    <row r="37" spans="2:6" ht="8.25" customHeight="1" x14ac:dyDescent="0.2">
      <c r="B37" s="16" t="s">
        <v>57</v>
      </c>
      <c r="C37" s="27">
        <v>2017</v>
      </c>
      <c r="D37" s="25">
        <f>' 2017'!I13/1000</f>
        <v>65.751499999999993</v>
      </c>
      <c r="E37" s="25">
        <f>' 2017'!J13/1000</f>
        <v>60.129889999999996</v>
      </c>
      <c r="F37" s="25">
        <f>' 2017'!K13/1000</f>
        <v>125.8814</v>
      </c>
    </row>
    <row r="38" spans="2:6" ht="8.25" customHeight="1" x14ac:dyDescent="0.2">
      <c r="B38" s="16" t="s">
        <v>58</v>
      </c>
      <c r="C38" s="27">
        <v>2017</v>
      </c>
      <c r="D38" s="25">
        <f>' 2017'!I14/1000</f>
        <v>48.327449999999999</v>
      </c>
      <c r="E38" s="25">
        <f>' 2017'!J14/1000</f>
        <v>12.60933</v>
      </c>
      <c r="F38" s="25">
        <f>' 2017'!K14/1000</f>
        <v>60.936779999999999</v>
      </c>
    </row>
    <row r="39" spans="2:6" ht="8.25" customHeight="1" x14ac:dyDescent="0.2">
      <c r="B39" s="16" t="s">
        <v>59</v>
      </c>
      <c r="C39" s="27">
        <v>2017</v>
      </c>
      <c r="D39" s="25">
        <f>' 2017'!I15/1000</f>
        <v>26.69622</v>
      </c>
      <c r="E39" s="25">
        <f>' 2017'!J15/1000</f>
        <v>24.9421</v>
      </c>
      <c r="F39" s="25">
        <f>' 2017'!K15/1000</f>
        <v>51.63832</v>
      </c>
    </row>
    <row r="40" spans="2:6" ht="8.25" customHeight="1" x14ac:dyDescent="0.2">
      <c r="B40" s="16" t="s">
        <v>60</v>
      </c>
      <c r="C40" s="27">
        <v>2017</v>
      </c>
      <c r="D40" s="25">
        <f>' 2017'!I16/1000</f>
        <v>39.163119999999999</v>
      </c>
      <c r="E40" s="25">
        <f>' 2017'!J16/1000</f>
        <v>44.583030000000001</v>
      </c>
      <c r="F40" s="25">
        <f>' 2017'!K16/1000</f>
        <v>83.74615</v>
      </c>
    </row>
    <row r="41" spans="2:6" ht="8.25" customHeight="1" x14ac:dyDescent="0.2">
      <c r="B41" s="16" t="s">
        <v>61</v>
      </c>
      <c r="C41" s="27">
        <v>2017</v>
      </c>
      <c r="D41" s="25">
        <f>' 2017'!I17/1000</f>
        <v>44.207560000000001</v>
      </c>
      <c r="E41" s="25">
        <f>' 2017'!J17/1000</f>
        <v>109.76472</v>
      </c>
      <c r="F41" s="25">
        <f>' 2017'!K17/1000</f>
        <v>153.97228000000001</v>
      </c>
    </row>
    <row r="42" spans="2:6" ht="8.25" customHeight="1" x14ac:dyDescent="0.2">
      <c r="B42" s="16" t="s">
        <v>62</v>
      </c>
      <c r="C42" s="27">
        <v>2017</v>
      </c>
      <c r="D42" s="25">
        <f>' 2017'!I18/1000</f>
        <v>12.36978</v>
      </c>
      <c r="E42" s="25">
        <f>' 2017'!J18/1000</f>
        <v>21.755119999999998</v>
      </c>
      <c r="F42" s="25">
        <f>' 2017'!K18/1000</f>
        <v>34.124910000000007</v>
      </c>
    </row>
    <row r="43" spans="2:6" s="18" customFormat="1" ht="16.5" customHeight="1" x14ac:dyDescent="0.25">
      <c r="B43" s="17" t="s">
        <v>63</v>
      </c>
      <c r="C43" s="28">
        <v>2017</v>
      </c>
      <c r="D43" s="29">
        <f>' 2017'!I20/1000</f>
        <v>452.36584999999997</v>
      </c>
      <c r="E43" s="29">
        <f>' 2017'!J20/1000</f>
        <v>333.75468999999998</v>
      </c>
      <c r="F43" s="29">
        <f>' 2017'!K20/1000</f>
        <v>786.12054000000001</v>
      </c>
    </row>
    <row r="44" spans="2:6" ht="8.25" customHeight="1" x14ac:dyDescent="0.2">
      <c r="B44" s="16" t="s">
        <v>53</v>
      </c>
      <c r="C44" s="27">
        <v>2016</v>
      </c>
      <c r="D44" s="25">
        <f>' 2016'!I9/1000</f>
        <v>8.3982800000000015</v>
      </c>
      <c r="E44" s="25">
        <f>' 2016'!J9/1000</f>
        <v>3.02813</v>
      </c>
      <c r="F44" s="25">
        <f>' 2016'!K9/1000</f>
        <v>11.426410000000001</v>
      </c>
    </row>
    <row r="45" spans="2:6" ht="8.25" customHeight="1" x14ac:dyDescent="0.2">
      <c r="B45" s="16" t="s">
        <v>54</v>
      </c>
      <c r="C45" s="27">
        <v>2016</v>
      </c>
      <c r="D45" s="25">
        <f>' 2016'!I10/1000</f>
        <v>123.89064</v>
      </c>
      <c r="E45" s="25">
        <f>' 2016'!J10/1000</f>
        <v>38.162910000000004</v>
      </c>
      <c r="F45" s="25">
        <f>' 2016'!K10/1000</f>
        <v>162.05356</v>
      </c>
    </row>
    <row r="46" spans="2:6" ht="8.25" customHeight="1" x14ac:dyDescent="0.2">
      <c r="B46" s="16" t="s">
        <v>55</v>
      </c>
      <c r="C46" s="27">
        <v>2016</v>
      </c>
      <c r="D46" s="25">
        <f>' 2016'!I11/1000</f>
        <v>5.1742900000000001</v>
      </c>
      <c r="E46" s="25">
        <f>' 2016'!J11/1000</f>
        <v>1.2434700000000001</v>
      </c>
      <c r="F46" s="25">
        <f>' 2016'!K11/1000</f>
        <v>6.4177600000000004</v>
      </c>
    </row>
    <row r="47" spans="2:6" ht="8.25" customHeight="1" x14ac:dyDescent="0.2">
      <c r="B47" s="16" t="s">
        <v>56</v>
      </c>
      <c r="C47" s="27">
        <v>2016</v>
      </c>
      <c r="D47" s="25">
        <f>' 2016'!I12/1000</f>
        <v>47.020180000000003</v>
      </c>
      <c r="E47" s="25">
        <f>' 2016'!J12/1000</f>
        <v>5.593</v>
      </c>
      <c r="F47" s="25">
        <f>' 2016'!K12/1000</f>
        <v>52.61318</v>
      </c>
    </row>
    <row r="48" spans="2:6" ht="8.25" customHeight="1" x14ac:dyDescent="0.2">
      <c r="B48" s="16" t="s">
        <v>57</v>
      </c>
      <c r="C48" s="27">
        <v>2016</v>
      </c>
      <c r="D48" s="25">
        <f>' 2016'!I13/1000</f>
        <v>59.010309999999997</v>
      </c>
      <c r="E48" s="25">
        <f>' 2016'!J13/1000</f>
        <v>47.769349999999996</v>
      </c>
      <c r="F48" s="25">
        <f>' 2016'!K13/1000</f>
        <v>106.77966000000001</v>
      </c>
    </row>
    <row r="49" spans="2:6" ht="8.25" customHeight="1" x14ac:dyDescent="0.2">
      <c r="B49" s="16" t="s">
        <v>58</v>
      </c>
      <c r="C49" s="27">
        <v>2016</v>
      </c>
      <c r="D49" s="25">
        <f>' 2016'!I14/1000</f>
        <v>39.857480000000002</v>
      </c>
      <c r="E49" s="25">
        <f>' 2016'!J14/1000</f>
        <v>10.64142</v>
      </c>
      <c r="F49" s="25">
        <f>' 2016'!K14/1000</f>
        <v>50.498899999999999</v>
      </c>
    </row>
    <row r="50" spans="2:6" ht="8.25" customHeight="1" x14ac:dyDescent="0.2">
      <c r="B50" s="16" t="s">
        <v>59</v>
      </c>
      <c r="C50" s="27">
        <v>2016</v>
      </c>
      <c r="D50" s="25">
        <f>' 2016'!I15/1000</f>
        <v>25.975009999999997</v>
      </c>
      <c r="E50" s="25">
        <f>' 2016'!J15/1000</f>
        <v>22.56588</v>
      </c>
      <c r="F50" s="25">
        <f>' 2016'!K15/1000</f>
        <v>48.540900000000001</v>
      </c>
    </row>
    <row r="51" spans="2:6" ht="8.25" customHeight="1" x14ac:dyDescent="0.2">
      <c r="B51" s="16" t="s">
        <v>60</v>
      </c>
      <c r="C51" s="27">
        <v>2016</v>
      </c>
      <c r="D51" s="25">
        <f>' 2016'!I16/1000</f>
        <v>34.714449999999999</v>
      </c>
      <c r="E51" s="25">
        <f>' 2016'!J16/1000</f>
        <v>41.257449999999999</v>
      </c>
      <c r="F51" s="25">
        <f>' 2016'!K16/1000</f>
        <v>75.971899999999991</v>
      </c>
    </row>
    <row r="52" spans="2:6" ht="8.25" customHeight="1" x14ac:dyDescent="0.2">
      <c r="B52" s="16" t="s">
        <v>61</v>
      </c>
      <c r="C52" s="27">
        <v>2016</v>
      </c>
      <c r="D52" s="25">
        <f>' 2016'!I17/1000</f>
        <v>35.625929999999997</v>
      </c>
      <c r="E52" s="25">
        <f>' 2016'!J17/1000</f>
        <v>92.135419999999996</v>
      </c>
      <c r="F52" s="25">
        <f>' 2016'!K17/1000</f>
        <v>127.76136</v>
      </c>
    </row>
    <row r="53" spans="2:6" ht="8.25" customHeight="1" x14ac:dyDescent="0.2">
      <c r="B53" s="16" t="s">
        <v>62</v>
      </c>
      <c r="C53" s="27">
        <v>2016</v>
      </c>
      <c r="D53" s="25">
        <f>' 2016'!I18/1000</f>
        <v>9.7516599999999993</v>
      </c>
      <c r="E53" s="25">
        <f>' 2016'!J18/1000</f>
        <v>17.925939999999997</v>
      </c>
      <c r="F53" s="25">
        <f>' 2016'!K18/1000</f>
        <v>27.677610000000001</v>
      </c>
    </row>
    <row r="54" spans="2:6" s="18" customFormat="1" ht="16.5" customHeight="1" x14ac:dyDescent="0.25">
      <c r="B54" s="17" t="s">
        <v>63</v>
      </c>
      <c r="C54" s="28">
        <v>2016</v>
      </c>
      <c r="D54" s="29">
        <f>' 2016'!I20/1000</f>
        <v>389.66021000000001</v>
      </c>
      <c r="E54" s="29">
        <f>' 2016'!J20/1000</f>
        <v>287.50334999999995</v>
      </c>
      <c r="F54" s="29">
        <f>' 2016'!K20/1000</f>
        <v>677.16356999999994</v>
      </c>
    </row>
    <row r="55" spans="2:6" ht="8.25" customHeight="1" x14ac:dyDescent="0.2">
      <c r="B55" s="16" t="s">
        <v>53</v>
      </c>
      <c r="C55" s="24">
        <v>2015</v>
      </c>
      <c r="D55" s="25">
        <f>' 2015'!I9/1000</f>
        <v>7.4572099999999999</v>
      </c>
      <c r="E55" s="25">
        <f>' 2015'!J9/1000</f>
        <v>2.5444599999999999</v>
      </c>
      <c r="F55" s="25">
        <f>' 2015'!K9/1000</f>
        <v>10.001670000000001</v>
      </c>
    </row>
    <row r="56" spans="2:6" ht="8.25" customHeight="1" x14ac:dyDescent="0.2">
      <c r="B56" s="16" t="s">
        <v>54</v>
      </c>
      <c r="C56" s="24">
        <v>2015</v>
      </c>
      <c r="D56" s="25">
        <f>' 2015'!I10/1000</f>
        <v>106.61516</v>
      </c>
      <c r="E56" s="25">
        <f>' 2015'!J10/1000</f>
        <v>34.868780000000001</v>
      </c>
      <c r="F56" s="25">
        <f>' 2015'!K10/1000</f>
        <v>141.48392999999999</v>
      </c>
    </row>
    <row r="57" spans="2:6" ht="8.25" customHeight="1" x14ac:dyDescent="0.2">
      <c r="B57" s="16" t="s">
        <v>55</v>
      </c>
      <c r="C57" s="24">
        <v>2015</v>
      </c>
      <c r="D57" s="25">
        <f>' 2015'!I11/1000</f>
        <v>5.0394300000000003</v>
      </c>
      <c r="E57" s="25">
        <f>' 2015'!J11/1000</f>
        <v>1.7591600000000001</v>
      </c>
      <c r="F57" s="25">
        <f>' 2015'!K11/1000</f>
        <v>6.7985899999999999</v>
      </c>
    </row>
    <row r="58" spans="2:6" ht="8.25" customHeight="1" x14ac:dyDescent="0.2">
      <c r="B58" s="16" t="s">
        <v>56</v>
      </c>
      <c r="C58" s="24">
        <v>2015</v>
      </c>
      <c r="D58" s="25">
        <f>' 2015'!I12/1000</f>
        <v>42.176349999999999</v>
      </c>
      <c r="E58" s="25">
        <f>' 2015'!J12/1000</f>
        <v>3.2217899999999999</v>
      </c>
      <c r="F58" s="25">
        <f>' 2015'!K12/1000</f>
        <v>45.398129999999995</v>
      </c>
    </row>
    <row r="59" spans="2:6" ht="8.25" customHeight="1" x14ac:dyDescent="0.2">
      <c r="B59" s="16" t="s">
        <v>57</v>
      </c>
      <c r="C59" s="24">
        <v>2015</v>
      </c>
      <c r="D59" s="25">
        <f>' 2015'!I13/1000</f>
        <v>57.305949999999996</v>
      </c>
      <c r="E59" s="25">
        <f>' 2015'!J13/1000</f>
        <v>43.623470000000005</v>
      </c>
      <c r="F59" s="25">
        <f>' 2015'!K13/1000</f>
        <v>100.92941999999999</v>
      </c>
    </row>
    <row r="60" spans="2:6" ht="8.25" customHeight="1" x14ac:dyDescent="0.2">
      <c r="B60" s="16" t="s">
        <v>58</v>
      </c>
      <c r="C60" s="24">
        <v>2015</v>
      </c>
      <c r="D60" s="25">
        <f>' 2015'!I14/1000</f>
        <v>35.54383</v>
      </c>
      <c r="E60" s="25">
        <f>' 2015'!J14/1000</f>
        <v>9.3016699999999997</v>
      </c>
      <c r="F60" s="25">
        <f>' 2015'!K14/1000</f>
        <v>44.845500000000001</v>
      </c>
    </row>
    <row r="61" spans="2:6" ht="8.25" customHeight="1" x14ac:dyDescent="0.2">
      <c r="B61" s="16" t="s">
        <v>59</v>
      </c>
      <c r="C61" s="24">
        <v>2015</v>
      </c>
      <c r="D61" s="25">
        <f>' 2015'!I15/1000</f>
        <v>24.285130000000002</v>
      </c>
      <c r="E61" s="25">
        <f>' 2015'!J15/1000</f>
        <v>23.738779999999998</v>
      </c>
      <c r="F61" s="25">
        <f>' 2015'!K15/1000</f>
        <v>48.023910000000001</v>
      </c>
    </row>
    <row r="62" spans="2:6" ht="8.25" customHeight="1" x14ac:dyDescent="0.2">
      <c r="B62" s="16" t="s">
        <v>60</v>
      </c>
      <c r="C62" s="24">
        <v>2015</v>
      </c>
      <c r="D62" s="25">
        <f>' 2015'!I16/1000</f>
        <v>29.162929999999999</v>
      </c>
      <c r="E62" s="25">
        <f>' 2015'!J16/1000</f>
        <v>38.966059999999999</v>
      </c>
      <c r="F62" s="25">
        <f>' 2015'!K16/1000</f>
        <v>68.128979999999999</v>
      </c>
    </row>
    <row r="63" spans="2:6" ht="8.25" customHeight="1" x14ac:dyDescent="0.2">
      <c r="B63" s="16" t="s">
        <v>65</v>
      </c>
      <c r="C63" s="24">
        <v>2015</v>
      </c>
      <c r="D63" s="25">
        <f>' 2015'!I17/1000</f>
        <v>29.305509999999998</v>
      </c>
      <c r="E63" s="25">
        <f>' 2015'!J17/1000</f>
        <v>88.929559999999995</v>
      </c>
      <c r="F63" s="25">
        <f>' 2015'!K17/1000</f>
        <v>118.23508</v>
      </c>
    </row>
    <row r="64" spans="2:6" ht="8.25" customHeight="1" x14ac:dyDescent="0.2">
      <c r="B64" s="16" t="s">
        <v>62</v>
      </c>
      <c r="C64" s="24">
        <v>2015</v>
      </c>
      <c r="D64" s="25">
        <f>' 2015'!I18/1000</f>
        <v>10.864459999999999</v>
      </c>
      <c r="E64" s="25">
        <f>' 2015'!J18/1000</f>
        <v>17.819520000000001</v>
      </c>
      <c r="F64" s="25">
        <f>' 2015'!K18/1000</f>
        <v>28.683979999999998</v>
      </c>
    </row>
    <row r="65" spans="2:6" s="18" customFormat="1" ht="16.5" customHeight="1" x14ac:dyDescent="0.25">
      <c r="B65" s="17" t="s">
        <v>63</v>
      </c>
      <c r="C65" s="26">
        <v>2015</v>
      </c>
      <c r="D65" s="29">
        <f>' 2015'!I20/1000</f>
        <v>348.54129999999998</v>
      </c>
      <c r="E65" s="29">
        <f>' 2015'!J20/1000</f>
        <v>268.76832999999999</v>
      </c>
      <c r="F65" s="29">
        <f>' 2015'!K20/1000</f>
        <v>617.30962999999997</v>
      </c>
    </row>
    <row r="66" spans="2:6" ht="8.25" customHeight="1" x14ac:dyDescent="0.2">
      <c r="B66" s="16" t="s">
        <v>53</v>
      </c>
      <c r="C66" s="24">
        <v>2014</v>
      </c>
      <c r="D66" s="25">
        <f>' 2014'!I9/1000</f>
        <v>6.3360699999999994</v>
      </c>
      <c r="E66" s="25">
        <f>' 2014'!J9/1000</f>
        <v>3.2820200000000002</v>
      </c>
      <c r="F66" s="25">
        <f>' 2014'!K9/1000</f>
        <v>9.6180900000000005</v>
      </c>
    </row>
    <row r="67" spans="2:6" ht="8.25" customHeight="1" x14ac:dyDescent="0.2">
      <c r="B67" s="16" t="s">
        <v>54</v>
      </c>
      <c r="C67" s="24">
        <v>2014</v>
      </c>
      <c r="D67" s="25">
        <f>' 2014'!I10/1000</f>
        <v>101.78074000000001</v>
      </c>
      <c r="E67" s="25">
        <f>' 2014'!J10/1000</f>
        <v>32.59796</v>
      </c>
      <c r="F67" s="25">
        <f>' 2014'!K10/1000</f>
        <v>134.37870000000001</v>
      </c>
    </row>
    <row r="68" spans="2:6" ht="8.25" customHeight="1" x14ac:dyDescent="0.2">
      <c r="B68" s="16" t="s">
        <v>55</v>
      </c>
      <c r="C68" s="24">
        <v>2014</v>
      </c>
      <c r="D68" s="25">
        <f>' 2014'!I11/1000</f>
        <v>5.3153800000000002</v>
      </c>
      <c r="E68" s="25">
        <f>' 2014'!J11/1000</f>
        <v>1.54582</v>
      </c>
      <c r="F68" s="25">
        <f>' 2014'!K11/1000</f>
        <v>6.8612000000000002</v>
      </c>
    </row>
    <row r="69" spans="2:6" ht="8.25" customHeight="1" x14ac:dyDescent="0.2">
      <c r="B69" s="16" t="s">
        <v>56</v>
      </c>
      <c r="C69" s="24">
        <v>2014</v>
      </c>
      <c r="D69" s="25">
        <f>' 2014'!I12/1000</f>
        <v>43.502069999999996</v>
      </c>
      <c r="E69" s="25">
        <f>' 2014'!J12/1000</f>
        <v>3.6625999999999999</v>
      </c>
      <c r="F69" s="25">
        <f>' 2014'!K12/1000</f>
        <v>47.164670000000001</v>
      </c>
    </row>
    <row r="70" spans="2:6" ht="8.25" customHeight="1" x14ac:dyDescent="0.2">
      <c r="B70" s="16" t="s">
        <v>57</v>
      </c>
      <c r="C70" s="24">
        <v>2014</v>
      </c>
      <c r="D70" s="25">
        <f>' 2014'!I13/1000</f>
        <v>54.192610000000002</v>
      </c>
      <c r="E70" s="25">
        <f>' 2014'!J13/1000</f>
        <v>44.216760000000001</v>
      </c>
      <c r="F70" s="25">
        <f>' 2014'!K13/1000</f>
        <v>98.409369999999996</v>
      </c>
    </row>
    <row r="71" spans="2:6" ht="8.25" customHeight="1" x14ac:dyDescent="0.2">
      <c r="B71" s="16" t="s">
        <v>58</v>
      </c>
      <c r="C71" s="24">
        <v>2014</v>
      </c>
      <c r="D71" s="25">
        <f>' 2014'!I14/1000</f>
        <v>32.27196</v>
      </c>
      <c r="E71" s="25">
        <f>' 2014'!J14/1000</f>
        <v>9.5218600000000002</v>
      </c>
      <c r="F71" s="25">
        <f>' 2014'!K14/1000</f>
        <v>41.793819999999997</v>
      </c>
    </row>
    <row r="72" spans="2:6" ht="8.25" customHeight="1" x14ac:dyDescent="0.2">
      <c r="B72" s="16" t="s">
        <v>59</v>
      </c>
      <c r="C72" s="24">
        <v>2014</v>
      </c>
      <c r="D72" s="25">
        <f>' 2014'!I15/1000</f>
        <v>22.154979999999998</v>
      </c>
      <c r="E72" s="25">
        <f>' 2014'!J15/1000</f>
        <v>21.421209999999999</v>
      </c>
      <c r="F72" s="25">
        <f>' 2014'!K15/1000</f>
        <v>43.576180000000001</v>
      </c>
    </row>
    <row r="73" spans="2:6" ht="8.25" customHeight="1" x14ac:dyDescent="0.2">
      <c r="B73" s="16" t="s">
        <v>60</v>
      </c>
      <c r="C73" s="24">
        <v>2014</v>
      </c>
      <c r="D73" s="25">
        <f>' 2014'!I16/1000</f>
        <v>29.384830000000001</v>
      </c>
      <c r="E73" s="25">
        <f>' 2014'!J16/1000</f>
        <v>38.125860000000003</v>
      </c>
      <c r="F73" s="25">
        <f>' 2014'!K16/1000</f>
        <v>67.510689999999997</v>
      </c>
    </row>
    <row r="74" spans="2:6" ht="8.25" customHeight="1" x14ac:dyDescent="0.2">
      <c r="B74" s="16" t="s">
        <v>61</v>
      </c>
      <c r="C74" s="24">
        <v>2014</v>
      </c>
      <c r="D74" s="25">
        <f>' 2014'!I17/1000</f>
        <v>29.18779</v>
      </c>
      <c r="E74" s="25">
        <f>' 2014'!J17/1000</f>
        <v>86.626580000000004</v>
      </c>
      <c r="F74" s="25">
        <f>' 2014'!K17/1000</f>
        <v>115.81437</v>
      </c>
    </row>
    <row r="75" spans="2:6" ht="8.25" customHeight="1" x14ac:dyDescent="0.2">
      <c r="B75" s="16" t="s">
        <v>62</v>
      </c>
      <c r="C75" s="24">
        <v>2014</v>
      </c>
      <c r="D75" s="25">
        <f>' 2014'!I18/1000</f>
        <v>10.499379999999999</v>
      </c>
      <c r="E75" s="25">
        <f>' 2014'!J18/1000</f>
        <v>18.08278</v>
      </c>
      <c r="F75" s="25">
        <f>' 2014'!K18/1000</f>
        <v>28.582159999999998</v>
      </c>
    </row>
    <row r="76" spans="2:6" s="18" customFormat="1" ht="16.5" customHeight="1" x14ac:dyDescent="0.25">
      <c r="B76" s="17" t="s">
        <v>63</v>
      </c>
      <c r="C76" s="26">
        <v>2014</v>
      </c>
      <c r="D76" s="29">
        <f>' 2014'!I20/1000</f>
        <v>335.48230000000001</v>
      </c>
      <c r="E76" s="29">
        <f>' 2014'!J20/1000</f>
        <v>263.93470000000002</v>
      </c>
      <c r="F76" s="29">
        <f>' 2014'!K20/1000</f>
        <v>599.41700000000003</v>
      </c>
    </row>
    <row r="77" spans="2:6" ht="8.25" customHeight="1" x14ac:dyDescent="0.2">
      <c r="B77" s="16" t="s">
        <v>53</v>
      </c>
      <c r="C77" s="24">
        <v>2013</v>
      </c>
      <c r="D77" s="25">
        <f>' 2013'!I9/1000</f>
        <v>5.6397899999999996</v>
      </c>
      <c r="E77" s="25">
        <f>' 2013'!J9/1000</f>
        <v>2.4824999999999999</v>
      </c>
      <c r="F77" s="25">
        <f>' 2013'!K9/1000</f>
        <v>8.1222899999999996</v>
      </c>
    </row>
    <row r="78" spans="2:6" ht="8.25" customHeight="1" x14ac:dyDescent="0.2">
      <c r="B78" s="16" t="s">
        <v>54</v>
      </c>
      <c r="C78" s="24">
        <v>2013</v>
      </c>
      <c r="D78" s="25">
        <f>' 2013'!I10/1000</f>
        <v>97.881570000000011</v>
      </c>
      <c r="E78" s="25">
        <f>' 2013'!J10/1000</f>
        <v>31.459490000000002</v>
      </c>
      <c r="F78" s="25">
        <f>' 2013'!K10/1000</f>
        <v>129.34106</v>
      </c>
    </row>
    <row r="79" spans="2:6" ht="8.25" customHeight="1" x14ac:dyDescent="0.2">
      <c r="B79" s="16" t="s">
        <v>55</v>
      </c>
      <c r="C79" s="24">
        <v>2013</v>
      </c>
      <c r="D79" s="25">
        <f>' 2013'!I11/1000</f>
        <v>5.0328999999999997</v>
      </c>
      <c r="E79" s="25">
        <f>' 2013'!J11/1000</f>
        <v>2.4439799999999998</v>
      </c>
      <c r="F79" s="25">
        <f>' 2013'!K11/1000</f>
        <v>7.4768699999999999</v>
      </c>
    </row>
    <row r="80" spans="2:6" ht="8.25" customHeight="1" x14ac:dyDescent="0.2">
      <c r="B80" s="16" t="s">
        <v>56</v>
      </c>
      <c r="C80" s="24">
        <v>2013</v>
      </c>
      <c r="D80" s="25">
        <f>' 2013'!I12/1000</f>
        <v>40.353499999999997</v>
      </c>
      <c r="E80" s="25">
        <f>' 2013'!J12/1000</f>
        <v>4.0673899999999996</v>
      </c>
      <c r="F80" s="25">
        <f>' 2013'!K12/1000</f>
        <v>44.42089</v>
      </c>
    </row>
    <row r="81" spans="2:6" ht="8.25" customHeight="1" x14ac:dyDescent="0.2">
      <c r="B81" s="16" t="s">
        <v>57</v>
      </c>
      <c r="C81" s="24">
        <v>2013</v>
      </c>
      <c r="D81" s="25">
        <f>' 2013'!I13/1000</f>
        <v>56.337489999999995</v>
      </c>
      <c r="E81" s="25">
        <f>' 2013'!J13/1000</f>
        <v>45.749169999999999</v>
      </c>
      <c r="F81" s="25">
        <f>' 2013'!K13/1000</f>
        <v>102.08666000000001</v>
      </c>
    </row>
    <row r="82" spans="2:6" ht="8.25" customHeight="1" x14ac:dyDescent="0.2">
      <c r="B82" s="16" t="s">
        <v>58</v>
      </c>
      <c r="C82" s="24">
        <v>2013</v>
      </c>
      <c r="D82" s="25">
        <f>' 2013'!I14/1000</f>
        <v>32.462830000000004</v>
      </c>
      <c r="E82" s="25">
        <f>' 2013'!J14/1000</f>
        <v>9.9921600000000002</v>
      </c>
      <c r="F82" s="25">
        <f>' 2013'!K14/1000</f>
        <v>42.454999999999998</v>
      </c>
    </row>
    <row r="83" spans="2:6" ht="8.25" customHeight="1" x14ac:dyDescent="0.2">
      <c r="B83" s="16" t="s">
        <v>59</v>
      </c>
      <c r="C83" s="24">
        <v>2013</v>
      </c>
      <c r="D83" s="25">
        <f>' 2013'!I15/1000</f>
        <v>24.680419999999998</v>
      </c>
      <c r="E83" s="25">
        <f>' 2013'!J15/1000</f>
        <v>23.158660000000001</v>
      </c>
      <c r="F83" s="25">
        <f>' 2013'!K15/1000</f>
        <v>47.839080000000003</v>
      </c>
    </row>
    <row r="84" spans="2:6" ht="8.25" customHeight="1" x14ac:dyDescent="0.2">
      <c r="B84" s="16" t="s">
        <v>60</v>
      </c>
      <c r="C84" s="24">
        <v>2013</v>
      </c>
      <c r="D84" s="25">
        <f>' 2013'!I16/1000</f>
        <v>30.276400000000002</v>
      </c>
      <c r="E84" s="25">
        <f>' 2013'!J16/1000</f>
        <v>40.841269999999994</v>
      </c>
      <c r="F84" s="25">
        <f>' 2013'!K16/1000</f>
        <v>71.117670000000004</v>
      </c>
    </row>
    <row r="85" spans="2:6" ht="8.25" customHeight="1" x14ac:dyDescent="0.2">
      <c r="B85" s="16" t="s">
        <v>61</v>
      </c>
      <c r="C85" s="24">
        <v>2013</v>
      </c>
      <c r="D85" s="25">
        <f>' 2013'!I17/1000</f>
        <v>28.304020000000001</v>
      </c>
      <c r="E85" s="25">
        <f>' 2013'!J17/1000</f>
        <v>83.318579999999997</v>
      </c>
      <c r="F85" s="25">
        <f>' 2013'!K17/1000</f>
        <v>111.62260999999999</v>
      </c>
    </row>
    <row r="86" spans="2:6" ht="8.25" customHeight="1" x14ac:dyDescent="0.2">
      <c r="B86" s="16" t="s">
        <v>62</v>
      </c>
      <c r="C86" s="19">
        <v>2013</v>
      </c>
      <c r="D86" s="25">
        <f>' 2013'!I18/1000</f>
        <v>10.529069999999999</v>
      </c>
      <c r="E86" s="25">
        <f>' 2013'!J18/1000</f>
        <v>19.79946</v>
      </c>
      <c r="F86" s="25">
        <f>' 2013'!K18/1000</f>
        <v>30.32854</v>
      </c>
    </row>
    <row r="87" spans="2:6" s="18" customFormat="1" ht="16.5" customHeight="1" x14ac:dyDescent="0.25">
      <c r="B87" s="17" t="s">
        <v>63</v>
      </c>
      <c r="C87" s="20">
        <v>2013</v>
      </c>
      <c r="D87" s="29">
        <f>' 2013'!I20/1000</f>
        <v>331.93194</v>
      </c>
      <c r="E87" s="29">
        <f>' 2013'!J20/1000</f>
        <v>269.04737</v>
      </c>
      <c r="F87" s="29">
        <f>' 2013'!K20/1000</f>
        <v>600.97931000000005</v>
      </c>
    </row>
    <row r="88" spans="2:6" ht="8.25" customHeight="1" x14ac:dyDescent="0.2">
      <c r="B88" s="16" t="s">
        <v>53</v>
      </c>
      <c r="C88" s="19">
        <v>2012</v>
      </c>
      <c r="D88" s="25">
        <f>' 2012'!I9/1000</f>
        <v>4.7484500000000001</v>
      </c>
      <c r="E88" s="25">
        <f>' 2012'!J9/1000</f>
        <v>2.3544999999999998</v>
      </c>
      <c r="F88" s="25">
        <f>' 2012'!K9/1000</f>
        <v>7.1029499999999999</v>
      </c>
    </row>
    <row r="89" spans="2:6" ht="8.25" customHeight="1" x14ac:dyDescent="0.2">
      <c r="B89" s="16" t="s">
        <v>54</v>
      </c>
      <c r="C89" s="19">
        <v>2012</v>
      </c>
      <c r="D89" s="25">
        <f>' 2012'!I10/1000</f>
        <v>103.27019</v>
      </c>
      <c r="E89" s="25">
        <f>' 2012'!J10/1000</f>
        <v>28.397169999999999</v>
      </c>
      <c r="F89" s="25">
        <f>' 2012'!K10/1000</f>
        <v>131.66735999999997</v>
      </c>
    </row>
    <row r="90" spans="2:6" ht="8.25" customHeight="1" x14ac:dyDescent="0.2">
      <c r="B90" s="16" t="s">
        <v>55</v>
      </c>
      <c r="C90" s="19">
        <v>2012</v>
      </c>
      <c r="D90" s="25">
        <f>' 2012'!I11/1000</f>
        <v>4.6591000000000005</v>
      </c>
      <c r="E90" s="25">
        <f>' 2012'!J11/1000</f>
        <v>2.0485500000000001</v>
      </c>
      <c r="F90" s="25">
        <f>' 2012'!K11/1000</f>
        <v>6.7076599999999997</v>
      </c>
    </row>
    <row r="91" spans="2:6" ht="8.25" customHeight="1" x14ac:dyDescent="0.2">
      <c r="B91" s="16" t="s">
        <v>56</v>
      </c>
      <c r="C91" s="19">
        <v>2012</v>
      </c>
      <c r="D91" s="25">
        <f>' 2012'!I12/1000</f>
        <v>36.897529999999996</v>
      </c>
      <c r="E91" s="25">
        <f>' 2012'!J12/1000</f>
        <v>3.5321599999999997</v>
      </c>
      <c r="F91" s="25">
        <f>' 2012'!K12/1000</f>
        <v>40.429690000000001</v>
      </c>
    </row>
    <row r="92" spans="2:6" ht="8.25" customHeight="1" x14ac:dyDescent="0.2">
      <c r="B92" s="16" t="s">
        <v>57</v>
      </c>
      <c r="C92" s="19">
        <v>2012</v>
      </c>
      <c r="D92" s="25">
        <f>' 2012'!I13/1000</f>
        <v>42.788410000000006</v>
      </c>
      <c r="E92" s="25">
        <f>' 2012'!J13/1000</f>
        <v>40.614100000000001</v>
      </c>
      <c r="F92" s="25">
        <f>' 2012'!K13/1000</f>
        <v>83.402509999999992</v>
      </c>
    </row>
    <row r="93" spans="2:6" ht="8.25" customHeight="1" x14ac:dyDescent="0.2">
      <c r="B93" s="16" t="s">
        <v>58</v>
      </c>
      <c r="C93" s="19">
        <v>2012</v>
      </c>
      <c r="D93" s="25">
        <f>' 2012'!I14/1000</f>
        <v>30.841380000000001</v>
      </c>
      <c r="E93" s="25">
        <f>' 2012'!J14/1000</f>
        <v>8.6682299999999994</v>
      </c>
      <c r="F93" s="25">
        <f>' 2012'!K14/1000</f>
        <v>39.509610000000002</v>
      </c>
    </row>
    <row r="94" spans="2:6" ht="8.25" customHeight="1" x14ac:dyDescent="0.2">
      <c r="B94" s="16" t="s">
        <v>59</v>
      </c>
      <c r="C94" s="19">
        <v>2012</v>
      </c>
      <c r="D94" s="25">
        <f>' 2012'!I15/1000</f>
        <v>21.644099999999998</v>
      </c>
      <c r="E94" s="25">
        <f>' 2012'!J15/1000</f>
        <v>23.704169999999998</v>
      </c>
      <c r="F94" s="25">
        <f>' 2012'!K15/1000</f>
        <v>45.348269999999999</v>
      </c>
    </row>
    <row r="95" spans="2:6" ht="8.25" customHeight="1" x14ac:dyDescent="0.2">
      <c r="B95" s="16" t="s">
        <v>60</v>
      </c>
      <c r="C95" s="19">
        <v>2012</v>
      </c>
      <c r="D95" s="25">
        <f>' 2012'!I16/1000</f>
        <v>30.431819999999998</v>
      </c>
      <c r="E95" s="25">
        <f>' 2012'!J16/1000</f>
        <v>34.406230000000001</v>
      </c>
      <c r="F95" s="25">
        <f>' 2012'!K16/1000</f>
        <v>64.83805000000001</v>
      </c>
    </row>
    <row r="96" spans="2:6" ht="8.25" customHeight="1" x14ac:dyDescent="0.2">
      <c r="B96" s="16" t="s">
        <v>65</v>
      </c>
      <c r="C96" s="19">
        <v>2012</v>
      </c>
      <c r="D96" s="25">
        <f>' 2012'!I17/1000</f>
        <v>27.84985</v>
      </c>
      <c r="E96" s="25">
        <f>' 2012'!J17/1000</f>
        <v>79.877619999999993</v>
      </c>
      <c r="F96" s="25">
        <f>' 2012'!K17/1000</f>
        <v>107.72747</v>
      </c>
    </row>
    <row r="97" spans="2:6" ht="8.25" customHeight="1" x14ac:dyDescent="0.2">
      <c r="B97" s="16" t="s">
        <v>62</v>
      </c>
      <c r="C97" s="19">
        <v>2012</v>
      </c>
      <c r="D97" s="25">
        <f>' 2012'!I18/1000</f>
        <v>10.02529</v>
      </c>
      <c r="E97" s="25">
        <f>' 2012'!J18/1000</f>
        <v>21.0427</v>
      </c>
      <c r="F97" s="25">
        <f>' 2012'!K18/1000</f>
        <v>31.068000000000001</v>
      </c>
    </row>
    <row r="98" spans="2:6" s="18" customFormat="1" ht="16.5" customHeight="1" x14ac:dyDescent="0.25">
      <c r="B98" s="17" t="s">
        <v>63</v>
      </c>
      <c r="C98" s="20">
        <v>2012</v>
      </c>
      <c r="D98" s="29">
        <f>' 2012'!I20/1000</f>
        <v>314.28734000000003</v>
      </c>
      <c r="E98" s="29">
        <f>' 2012'!J20/1000</f>
        <v>251.34277</v>
      </c>
      <c r="F98" s="29">
        <f>' 2012'!K20/1000</f>
        <v>565.63010999999995</v>
      </c>
    </row>
    <row r="99" spans="2:6" s="18" customFormat="1" ht="8.25" customHeight="1" x14ac:dyDescent="0.25">
      <c r="B99" s="16" t="s">
        <v>53</v>
      </c>
      <c r="C99" s="19">
        <v>2011</v>
      </c>
      <c r="D99" s="25">
        <f>' 2011'!I9/1000</f>
        <v>6.9908100000000006</v>
      </c>
      <c r="E99" s="25">
        <f>' 2011'!J9/1000</f>
        <v>2.84619</v>
      </c>
      <c r="F99" s="25">
        <f>' 2011'!K9/1000</f>
        <v>9.8370099999999994</v>
      </c>
    </row>
    <row r="100" spans="2:6" s="18" customFormat="1" ht="8.25" customHeight="1" x14ac:dyDescent="0.25">
      <c r="B100" s="16" t="s">
        <v>54</v>
      </c>
      <c r="C100" s="19">
        <v>2011</v>
      </c>
      <c r="D100" s="25">
        <f>' 2011'!I10/1000</f>
        <v>97.082039999999992</v>
      </c>
      <c r="E100" s="25">
        <f>' 2011'!J10/1000</f>
        <v>30.17259</v>
      </c>
      <c r="F100" s="25">
        <f>' 2011'!K10/1000</f>
        <v>127.25463000000001</v>
      </c>
    </row>
    <row r="101" spans="2:6" s="18" customFormat="1" ht="8.25" customHeight="1" x14ac:dyDescent="0.25">
      <c r="B101" s="16" t="s">
        <v>55</v>
      </c>
      <c r="C101" s="19">
        <v>2011</v>
      </c>
      <c r="D101" s="25">
        <f>' 2011'!I11/1000</f>
        <v>6.2511599999999996</v>
      </c>
      <c r="E101" s="25">
        <f>' 2011'!J11/1000</f>
        <v>1.1867399999999999</v>
      </c>
      <c r="F101" s="25">
        <f>' 2011'!K11/1000</f>
        <v>7.4378900000000003</v>
      </c>
    </row>
    <row r="102" spans="2:6" s="18" customFormat="1" ht="8.25" customHeight="1" x14ac:dyDescent="0.25">
      <c r="B102" s="16" t="s">
        <v>56</v>
      </c>
      <c r="C102" s="19">
        <v>2011</v>
      </c>
      <c r="D102" s="25">
        <f>' 2011'!I12/1000</f>
        <v>37.432389999999998</v>
      </c>
      <c r="E102" s="25">
        <f>' 2011'!J12/1000</f>
        <v>3.95919</v>
      </c>
      <c r="F102" s="25">
        <f>' 2011'!K12/1000</f>
        <v>41.391580000000005</v>
      </c>
    </row>
    <row r="103" spans="2:6" s="18" customFormat="1" ht="8.25" customHeight="1" x14ac:dyDescent="0.25">
      <c r="B103" s="16" t="s">
        <v>57</v>
      </c>
      <c r="C103" s="19">
        <v>2011</v>
      </c>
      <c r="D103" s="25">
        <f>' 2011'!I13/1000</f>
        <v>44.099319999999999</v>
      </c>
      <c r="E103" s="25">
        <f>' 2011'!J13/1000</f>
        <v>42.393800000000006</v>
      </c>
      <c r="F103" s="25">
        <f>' 2011'!K13/1000</f>
        <v>86.493110000000001</v>
      </c>
    </row>
    <row r="104" spans="2:6" s="18" customFormat="1" ht="8.25" customHeight="1" x14ac:dyDescent="0.25">
      <c r="B104" s="16" t="s">
        <v>58</v>
      </c>
      <c r="C104" s="19">
        <v>2011</v>
      </c>
      <c r="D104" s="25">
        <f>' 2011'!I14/1000</f>
        <v>28.452869999999997</v>
      </c>
      <c r="E104" s="25">
        <f>' 2011'!J14/1000</f>
        <v>7.19041</v>
      </c>
      <c r="F104" s="25">
        <f>' 2011'!K14/1000</f>
        <v>35.643279999999997</v>
      </c>
    </row>
    <row r="105" spans="2:6" s="18" customFormat="1" ht="8.25" customHeight="1" x14ac:dyDescent="0.25">
      <c r="B105" s="16" t="s">
        <v>59</v>
      </c>
      <c r="C105" s="19">
        <v>2011</v>
      </c>
      <c r="D105" s="25">
        <f>' 2011'!I15/1000</f>
        <v>21.702169999999999</v>
      </c>
      <c r="E105" s="25">
        <f>' 2011'!J15/1000</f>
        <v>21.758330000000001</v>
      </c>
      <c r="F105" s="25">
        <f>' 2011'!K15/1000</f>
        <v>43.460500000000003</v>
      </c>
    </row>
    <row r="106" spans="2:6" s="18" customFormat="1" ht="8.25" customHeight="1" x14ac:dyDescent="0.25">
      <c r="B106" s="16" t="s">
        <v>60</v>
      </c>
      <c r="C106" s="19">
        <v>2011</v>
      </c>
      <c r="D106" s="25">
        <f>' 2011'!I16/1000</f>
        <v>28.261490000000002</v>
      </c>
      <c r="E106" s="25">
        <f>' 2011'!J16/1000</f>
        <v>37.508559999999996</v>
      </c>
      <c r="F106" s="25">
        <f>' 2011'!K16/1000</f>
        <v>65.770049999999998</v>
      </c>
    </row>
    <row r="107" spans="2:6" s="18" customFormat="1" ht="8.25" customHeight="1" x14ac:dyDescent="0.25">
      <c r="B107" s="16" t="s">
        <v>65</v>
      </c>
      <c r="C107" s="19">
        <v>2011</v>
      </c>
      <c r="D107" s="25">
        <f>' 2011'!I17/1000</f>
        <v>25.228020000000001</v>
      </c>
      <c r="E107" s="25">
        <f>' 2011'!J17/1000</f>
        <v>76.428370000000001</v>
      </c>
      <c r="F107" s="25">
        <f>' 2011'!K17/1000</f>
        <v>101.65639</v>
      </c>
    </row>
    <row r="108" spans="2:6" s="18" customFormat="1" ht="16.5" customHeight="1" x14ac:dyDescent="0.25">
      <c r="B108" s="16" t="s">
        <v>62</v>
      </c>
      <c r="C108" s="19">
        <v>2011</v>
      </c>
      <c r="D108" s="25">
        <f>' 2011'!I18/1000</f>
        <v>7.7126000000000001</v>
      </c>
      <c r="E108" s="25">
        <f>' 2011'!J18/1000</f>
        <v>16.179190000000002</v>
      </c>
      <c r="F108" s="25">
        <f>' 2011'!K18/1000</f>
        <v>23.8918</v>
      </c>
    </row>
    <row r="109" spans="2:6" s="18" customFormat="1" ht="16.5" customHeight="1" x14ac:dyDescent="0.25">
      <c r="B109" s="17" t="s">
        <v>63</v>
      </c>
      <c r="C109" s="20">
        <v>2011</v>
      </c>
      <c r="D109" s="29">
        <f>' 2011'!I20/1000</f>
        <v>303.62559000000005</v>
      </c>
      <c r="E109" s="29">
        <f>' 2011'!J20/1000</f>
        <v>245.06873999999999</v>
      </c>
      <c r="F109" s="29">
        <f>' 2011'!K20/1000</f>
        <v>548.69432999999992</v>
      </c>
    </row>
    <row r="110" spans="2:6" ht="8.25" customHeight="1" x14ac:dyDescent="0.2">
      <c r="B110" s="16" t="s">
        <v>53</v>
      </c>
      <c r="C110" s="19">
        <v>2010</v>
      </c>
      <c r="D110" s="25">
        <v>5.15707</v>
      </c>
      <c r="E110" s="30" t="s">
        <v>64</v>
      </c>
      <c r="F110" s="25">
        <v>7.90266</v>
      </c>
    </row>
    <row r="111" spans="2:6" ht="8.25" customHeight="1" x14ac:dyDescent="0.2">
      <c r="B111" s="16" t="s">
        <v>54</v>
      </c>
      <c r="C111" s="19">
        <v>2010</v>
      </c>
      <c r="D111" s="25">
        <v>99.316779999999994</v>
      </c>
      <c r="E111" s="25">
        <v>30.532409999999999</v>
      </c>
      <c r="F111" s="25">
        <v>129.84918999999999</v>
      </c>
    </row>
    <row r="112" spans="2:6" ht="8.25" customHeight="1" x14ac:dyDescent="0.2">
      <c r="B112" s="16" t="s">
        <v>55</v>
      </c>
      <c r="C112" s="19">
        <v>2010</v>
      </c>
      <c r="D112" s="30" t="s">
        <v>64</v>
      </c>
      <c r="E112" s="30" t="s">
        <v>64</v>
      </c>
      <c r="F112" s="25">
        <v>6.0895600000000005</v>
      </c>
    </row>
    <row r="113" spans="2:6" ht="8.25" customHeight="1" x14ac:dyDescent="0.2">
      <c r="B113" s="16" t="s">
        <v>56</v>
      </c>
      <c r="C113" s="19">
        <v>2010</v>
      </c>
      <c r="D113" s="25">
        <v>34.972910000000006</v>
      </c>
      <c r="E113" s="30" t="s">
        <v>64</v>
      </c>
      <c r="F113" s="25">
        <v>38.963010000000004</v>
      </c>
    </row>
    <row r="114" spans="2:6" ht="8.25" customHeight="1" x14ac:dyDescent="0.2">
      <c r="B114" s="16" t="s">
        <v>57</v>
      </c>
      <c r="C114" s="19">
        <v>2010</v>
      </c>
      <c r="D114" s="25">
        <v>44.276260000000001</v>
      </c>
      <c r="E114" s="25">
        <v>38.775419999999997</v>
      </c>
      <c r="F114" s="25">
        <v>83.05167999999999</v>
      </c>
    </row>
    <row r="115" spans="2:6" ht="8.25" customHeight="1" x14ac:dyDescent="0.2">
      <c r="B115" s="16" t="s">
        <v>58</v>
      </c>
      <c r="C115" s="19">
        <v>2010</v>
      </c>
      <c r="D115" s="25">
        <v>28.7331</v>
      </c>
      <c r="E115" s="25">
        <v>7.50441</v>
      </c>
      <c r="F115" s="25">
        <v>36.23751</v>
      </c>
    </row>
    <row r="116" spans="2:6" ht="8.25" customHeight="1" x14ac:dyDescent="0.2">
      <c r="B116" s="16" t="s">
        <v>59</v>
      </c>
      <c r="C116" s="19">
        <v>2010</v>
      </c>
      <c r="D116" s="25">
        <v>22.546250000000001</v>
      </c>
      <c r="E116" s="25">
        <v>20.54298</v>
      </c>
      <c r="F116" s="25">
        <v>43.089230000000001</v>
      </c>
    </row>
    <row r="117" spans="2:6" ht="8.25" customHeight="1" x14ac:dyDescent="0.2">
      <c r="B117" s="16" t="s">
        <v>60</v>
      </c>
      <c r="C117" s="19">
        <v>2010</v>
      </c>
      <c r="D117" s="25">
        <v>30.43019</v>
      </c>
      <c r="E117" s="25">
        <v>35.658290000000001</v>
      </c>
      <c r="F117" s="25">
        <v>66.08847999999999</v>
      </c>
    </row>
    <row r="118" spans="2:6" ht="8.25" customHeight="1" x14ac:dyDescent="0.2">
      <c r="B118" s="16" t="s">
        <v>65</v>
      </c>
      <c r="C118" s="19">
        <v>2010</v>
      </c>
      <c r="D118" s="25">
        <v>30.262689999999999</v>
      </c>
      <c r="E118" s="25">
        <v>79.982199999999992</v>
      </c>
      <c r="F118" s="25">
        <v>110.24489</v>
      </c>
    </row>
    <row r="119" spans="2:6" ht="8.25" customHeight="1" x14ac:dyDescent="0.2">
      <c r="B119" s="16" t="s">
        <v>62</v>
      </c>
      <c r="C119" s="19">
        <v>2010</v>
      </c>
      <c r="D119" s="25">
        <v>8.6783999999999999</v>
      </c>
      <c r="E119" s="25">
        <v>17.198979999999999</v>
      </c>
      <c r="F119" s="25">
        <v>25.877380000000002</v>
      </c>
    </row>
    <row r="120" spans="2:6" s="18" customFormat="1" ht="16.5" customHeight="1" x14ac:dyDescent="0.25">
      <c r="B120" s="17" t="s">
        <v>63</v>
      </c>
      <c r="C120" s="20">
        <v>2010</v>
      </c>
      <c r="D120" s="29">
        <v>309.77222999999998</v>
      </c>
      <c r="E120" s="29">
        <v>243.49507</v>
      </c>
      <c r="F120" s="29">
        <v>553.26731000000007</v>
      </c>
    </row>
    <row r="121" spans="2:6" ht="8.25" customHeight="1" x14ac:dyDescent="0.2">
      <c r="B121" s="16" t="s">
        <v>66</v>
      </c>
      <c r="C121" s="19">
        <v>2005</v>
      </c>
      <c r="D121" s="25">
        <v>8.6999999999999993</v>
      </c>
      <c r="E121" s="30" t="s">
        <v>64</v>
      </c>
      <c r="F121" s="25">
        <v>11.2</v>
      </c>
    </row>
    <row r="122" spans="2:6" ht="8.25" customHeight="1" x14ac:dyDescent="0.2">
      <c r="B122" s="16" t="s">
        <v>54</v>
      </c>
      <c r="C122" s="19">
        <v>2005</v>
      </c>
      <c r="D122" s="25">
        <v>91.5</v>
      </c>
      <c r="E122" s="25">
        <v>34</v>
      </c>
      <c r="F122" s="25">
        <v>125.5</v>
      </c>
    </row>
    <row r="123" spans="2:6" ht="8.25" customHeight="1" x14ac:dyDescent="0.2">
      <c r="B123" s="16" t="s">
        <v>67</v>
      </c>
      <c r="C123" s="19">
        <v>2005</v>
      </c>
      <c r="D123" s="30" t="s">
        <v>64</v>
      </c>
      <c r="E123" s="30" t="s">
        <v>64</v>
      </c>
      <c r="F123" s="30" t="s">
        <v>64</v>
      </c>
    </row>
    <row r="124" spans="2:6" ht="8.25" customHeight="1" x14ac:dyDescent="0.2">
      <c r="B124" s="16" t="s">
        <v>56</v>
      </c>
      <c r="C124" s="19">
        <v>2005</v>
      </c>
      <c r="D124" s="25">
        <v>28.3</v>
      </c>
      <c r="E124" s="30" t="s">
        <v>64</v>
      </c>
      <c r="F124" s="25">
        <v>30.2</v>
      </c>
    </row>
    <row r="125" spans="2:6" ht="8.25" customHeight="1" x14ac:dyDescent="0.2">
      <c r="B125" s="16" t="s">
        <v>68</v>
      </c>
      <c r="C125" s="19">
        <v>2005</v>
      </c>
      <c r="D125" s="25">
        <v>35.1</v>
      </c>
      <c r="E125" s="25">
        <v>34</v>
      </c>
      <c r="F125" s="25">
        <v>69.099999999999994</v>
      </c>
    </row>
    <row r="126" spans="2:6" ht="8.25" customHeight="1" x14ac:dyDescent="0.2">
      <c r="B126" s="16" t="s">
        <v>59</v>
      </c>
      <c r="C126" s="19">
        <v>2005</v>
      </c>
      <c r="D126" s="25">
        <v>23.9</v>
      </c>
      <c r="E126" s="25">
        <v>19.600000000000001</v>
      </c>
      <c r="F126" s="25">
        <v>43.5</v>
      </c>
    </row>
    <row r="127" spans="2:6" ht="8.25" customHeight="1" x14ac:dyDescent="0.2">
      <c r="B127" s="16" t="s">
        <v>69</v>
      </c>
      <c r="C127" s="19">
        <v>2005</v>
      </c>
      <c r="D127" s="25">
        <v>16.5</v>
      </c>
      <c r="E127" s="30" t="s">
        <v>64</v>
      </c>
      <c r="F127" s="25">
        <v>20.7</v>
      </c>
    </row>
    <row r="128" spans="2:6" ht="8.25" customHeight="1" x14ac:dyDescent="0.2">
      <c r="B128" s="16" t="s">
        <v>70</v>
      </c>
      <c r="C128" s="19">
        <v>2005</v>
      </c>
      <c r="D128" s="25">
        <v>18.3</v>
      </c>
      <c r="E128" s="25">
        <v>19.600000000000001</v>
      </c>
      <c r="F128" s="25">
        <v>37.9</v>
      </c>
    </row>
    <row r="129" spans="2:6" ht="8.25" customHeight="1" x14ac:dyDescent="0.2">
      <c r="B129" s="16" t="s">
        <v>71</v>
      </c>
      <c r="C129" s="19">
        <v>2005</v>
      </c>
      <c r="D129" s="25">
        <v>26.6</v>
      </c>
      <c r="E129" s="25">
        <v>52.5</v>
      </c>
      <c r="F129" s="25">
        <v>79.2</v>
      </c>
    </row>
    <row r="130" spans="2:6" ht="8.25" customHeight="1" x14ac:dyDescent="0.2">
      <c r="B130" s="16" t="s">
        <v>72</v>
      </c>
      <c r="C130" s="19">
        <v>2005</v>
      </c>
      <c r="D130" s="25">
        <v>13.4</v>
      </c>
      <c r="E130" s="25">
        <v>18.100000000000001</v>
      </c>
      <c r="F130" s="25">
        <v>31.5</v>
      </c>
    </row>
    <row r="131" spans="2:6" s="18" customFormat="1" ht="16.5" customHeight="1" x14ac:dyDescent="0.25">
      <c r="B131" s="17" t="s">
        <v>63</v>
      </c>
      <c r="C131" s="20">
        <v>2005</v>
      </c>
      <c r="D131" s="29">
        <v>264.8</v>
      </c>
      <c r="E131" s="29">
        <v>190.2</v>
      </c>
      <c r="F131" s="29">
        <v>455</v>
      </c>
    </row>
    <row r="132" spans="2:6" x14ac:dyDescent="0.2">
      <c r="D132" s="21"/>
      <c r="E132" s="21"/>
    </row>
    <row r="133" spans="2:6" ht="33" customHeight="1" x14ac:dyDescent="0.2">
      <c r="B133" s="44" t="s">
        <v>73</v>
      </c>
      <c r="C133" s="44"/>
      <c r="D133" s="44"/>
      <c r="E133" s="44"/>
      <c r="F133" s="44"/>
    </row>
    <row r="134" spans="2:6" ht="39" customHeight="1" x14ac:dyDescent="0.2">
      <c r="B134" s="45" t="s">
        <v>74</v>
      </c>
      <c r="C134" s="45"/>
      <c r="D134" s="45"/>
      <c r="E134" s="45"/>
      <c r="F134" s="46"/>
    </row>
    <row r="135" spans="2:6" ht="30" customHeight="1" x14ac:dyDescent="0.2">
      <c r="B135" s="45" t="s">
        <v>75</v>
      </c>
      <c r="C135" s="45"/>
      <c r="D135" s="45"/>
      <c r="E135" s="45"/>
      <c r="F135" s="46"/>
    </row>
    <row r="136" spans="2:6" ht="8.25" customHeight="1" x14ac:dyDescent="0.2">
      <c r="B136" s="22"/>
      <c r="D136" s="21"/>
      <c r="E136" s="21"/>
    </row>
    <row r="137" spans="2:6" ht="8.25" customHeight="1" x14ac:dyDescent="0.2">
      <c r="B137" s="34" t="s">
        <v>76</v>
      </c>
      <c r="C137" s="34"/>
    </row>
    <row r="139" spans="2:6" ht="8.25" customHeight="1" x14ac:dyDescent="0.2">
      <c r="B139" s="42" t="s">
        <v>844</v>
      </c>
      <c r="C139" s="42"/>
    </row>
    <row r="140" spans="2:6" ht="8.25" customHeight="1" x14ac:dyDescent="0.2">
      <c r="B140" s="42" t="s">
        <v>845</v>
      </c>
      <c r="C140" s="42"/>
    </row>
    <row r="141" spans="2:6" ht="8.25" customHeight="1" x14ac:dyDescent="0.2">
      <c r="B141" s="42" t="s">
        <v>846</v>
      </c>
      <c r="C141" s="42"/>
    </row>
    <row r="142" spans="2:6" ht="8.25" customHeight="1" x14ac:dyDescent="0.2">
      <c r="B142" s="68" t="s">
        <v>847</v>
      </c>
      <c r="C142" s="42"/>
    </row>
  </sheetData>
  <mergeCells count="7">
    <mergeCell ref="B134:F134"/>
    <mergeCell ref="B135:F135"/>
    <mergeCell ref="B6:B9"/>
    <mergeCell ref="C6:C9"/>
    <mergeCell ref="D6:F7"/>
    <mergeCell ref="D9:F9"/>
    <mergeCell ref="B133:F133"/>
  </mergeCells>
  <hyperlinks>
    <hyperlink ref="B142" r:id="rId1" xr:uid="{889122CC-5D5E-4AEB-B95B-AF0464D9800F}"/>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A4C01-4E05-469D-9E3C-2F0ACEF818F4}">
  <sheetPr codeName="Tabelle11"/>
  <dimension ref="A1:H367"/>
  <sheetViews>
    <sheetView zoomScale="175" zoomScaleNormal="175" workbookViewId="0">
      <selection activeCell="E1" sqref="A1:E2"/>
    </sheetView>
  </sheetViews>
  <sheetFormatPr baseColWidth="10" defaultRowHeight="12.75" x14ac:dyDescent="0.2"/>
  <cols>
    <col min="1" max="1" width="11.42578125" style="10"/>
    <col min="2" max="2" width="47.28515625" style="10" bestFit="1" customWidth="1"/>
    <col min="3" max="16384" width="11.42578125" style="10"/>
  </cols>
  <sheetData>
    <row r="1" spans="1:8" x14ac:dyDescent="0.2">
      <c r="A1" s="37" t="s">
        <v>83</v>
      </c>
      <c r="B1" s="39" t="s">
        <v>84</v>
      </c>
      <c r="C1" s="37" t="s">
        <v>6</v>
      </c>
      <c r="D1" s="37" t="s">
        <v>85</v>
      </c>
      <c r="E1" s="37" t="s">
        <v>86</v>
      </c>
      <c r="F1" s="37" t="s">
        <v>728</v>
      </c>
      <c r="G1" s="37" t="s">
        <v>729</v>
      </c>
    </row>
    <row r="2" spans="1:8" x14ac:dyDescent="0.2">
      <c r="A2" s="10">
        <f>'2019_Download_5-1-1'!C11</f>
        <v>2019</v>
      </c>
      <c r="B2" s="38" t="str">
        <f>'2019_Download_5-1-1'!B11</f>
        <v>Land- und Forstwirtschaft, Fischerei</v>
      </c>
      <c r="C2" s="10" t="str">
        <f>'2019_Download_5-1-1'!$F$8</f>
        <v>Insgesamt</v>
      </c>
      <c r="D2" s="37" t="s">
        <v>87</v>
      </c>
      <c r="E2" s="37">
        <v>11.423680000000001</v>
      </c>
      <c r="F2" s="25">
        <f>'2019_Download_5-1-1'!F11</f>
        <v>11.423680000000001</v>
      </c>
      <c r="G2" s="10">
        <f t="shared" ref="G2:G3" si="0">IF(F2&lt;10,TEXT(F2,"(#.#0,0)"),F2)</f>
        <v>11.423680000000001</v>
      </c>
    </row>
    <row r="3" spans="1:8" x14ac:dyDescent="0.2">
      <c r="A3" s="10">
        <f>'2019_Download_5-1-1'!C12</f>
        <v>2019</v>
      </c>
      <c r="B3" s="38" t="str">
        <f>'2019_Download_5-1-1'!B12</f>
        <v>Bergbau und Gewinnung von Steinen und Erden; Verarbeitendes Gewerbe</v>
      </c>
      <c r="C3" s="10" t="str">
        <f>'2019_Download_5-1-1'!$F$8</f>
        <v>Insgesamt</v>
      </c>
      <c r="D3" s="37" t="s">
        <v>88</v>
      </c>
      <c r="E3" s="37">
        <v>181.05264000000003</v>
      </c>
      <c r="F3" s="25">
        <f>'2019_Download_5-1-1'!F12</f>
        <v>181.05264000000003</v>
      </c>
      <c r="G3" s="10">
        <f t="shared" si="0"/>
        <v>181.05264000000003</v>
      </c>
    </row>
    <row r="4" spans="1:8" x14ac:dyDescent="0.2">
      <c r="A4" s="10">
        <f>'2019_Download_5-1-1'!C13</f>
        <v>2019</v>
      </c>
      <c r="B4" s="38" t="str">
        <f>'2019_Download_5-1-1'!B13</f>
        <v>Energieversorgung; Wasserversorgung, Entsorg., Beseitig. v. Umweltverschmutzungen</v>
      </c>
      <c r="C4" s="10" t="str">
        <f>'2019_Download_5-1-1'!$F$8</f>
        <v>Insgesamt</v>
      </c>
      <c r="D4" s="37" t="s">
        <v>89</v>
      </c>
      <c r="E4" s="37" t="s">
        <v>727</v>
      </c>
      <c r="F4" s="25">
        <f>'2019_Download_5-1-1'!F13</f>
        <v>7.8465500000000006</v>
      </c>
      <c r="G4" s="10" t="str">
        <f>IF(F4&lt;5,"/",IF(F4&lt;10,TEXT(F4,"(#.#0,0)"),F4))</f>
        <v>(7,8)</v>
      </c>
      <c r="H4" s="10" t="s">
        <v>727</v>
      </c>
    </row>
    <row r="5" spans="1:8" x14ac:dyDescent="0.2">
      <c r="A5" s="10">
        <f>'2019_Download_5-1-1'!C14</f>
        <v>2019</v>
      </c>
      <c r="B5" s="38" t="str">
        <f>'2019_Download_5-1-1'!B14</f>
        <v>Baugewerbe</v>
      </c>
      <c r="C5" s="10" t="str">
        <f>'2019_Download_5-1-1'!$F$8</f>
        <v>Insgesamt</v>
      </c>
      <c r="D5" s="37" t="s">
        <v>90</v>
      </c>
      <c r="E5" s="37">
        <v>68.812629999999999</v>
      </c>
      <c r="F5" s="25">
        <f>'2019_Download_5-1-1'!F14</f>
        <v>68.812629999999999</v>
      </c>
      <c r="G5" s="10">
        <f>IF(F5&lt;5,"/",IF(F5&lt;10,TEXT(F5,"(#.#0,0)"),F5))</f>
        <v>68.812629999999999</v>
      </c>
    </row>
    <row r="6" spans="1:8" x14ac:dyDescent="0.2">
      <c r="A6" s="10">
        <f>'2019_Download_5-1-1'!C15</f>
        <v>2019</v>
      </c>
      <c r="B6" s="38" t="str">
        <f>'2019_Download_5-1-1'!B15</f>
        <v>Handel, Instandhaltung und Reparatur von Kfz</v>
      </c>
      <c r="C6" s="10" t="str">
        <f>'2019_Download_5-1-1'!$F$8</f>
        <v>Insgesamt</v>
      </c>
      <c r="D6" s="37" t="s">
        <v>91</v>
      </c>
      <c r="E6" s="37">
        <v>130.89983000000001</v>
      </c>
      <c r="F6" s="25">
        <f>'2019_Download_5-1-1'!F15</f>
        <v>130.89983000000001</v>
      </c>
      <c r="G6" s="10">
        <f t="shared" ref="G6:G69" si="1">IF(F6&lt;5,"/",IF(F6&lt;10,TEXT(F6,"(#.#0,0)"),F6))</f>
        <v>130.89983000000001</v>
      </c>
    </row>
    <row r="7" spans="1:8" x14ac:dyDescent="0.2">
      <c r="A7" s="10">
        <f>'2019_Download_5-1-1'!C16</f>
        <v>2019</v>
      </c>
      <c r="B7" s="38" t="str">
        <f>'2019_Download_5-1-1'!B16</f>
        <v>Verkehr und Lagerei; Information und Kommunikation</v>
      </c>
      <c r="C7" s="10" t="str">
        <f>'2019_Download_5-1-1'!$F$8</f>
        <v>Insgesamt</v>
      </c>
      <c r="D7" s="37" t="s">
        <v>92</v>
      </c>
      <c r="E7" s="37">
        <v>67.163939999999997</v>
      </c>
      <c r="F7" s="25">
        <f>'2019_Download_5-1-1'!F16</f>
        <v>67.163939999999997</v>
      </c>
      <c r="G7" s="10">
        <f t="shared" si="1"/>
        <v>67.163939999999997</v>
      </c>
    </row>
    <row r="8" spans="1:8" x14ac:dyDescent="0.2">
      <c r="A8" s="10">
        <f>'2019_Download_5-1-1'!C17</f>
        <v>2019</v>
      </c>
      <c r="B8" s="38" t="str">
        <f>'2019_Download_5-1-1'!B17</f>
        <v>Gastgewerbe</v>
      </c>
      <c r="C8" s="10" t="str">
        <f>'2019_Download_5-1-1'!$F$8</f>
        <v>Insgesamt</v>
      </c>
      <c r="D8" s="37" t="s">
        <v>93</v>
      </c>
      <c r="E8" s="37">
        <v>57.580260000000003</v>
      </c>
      <c r="F8" s="25">
        <f>'2019_Download_5-1-1'!F17</f>
        <v>57.580260000000003</v>
      </c>
      <c r="G8" s="10">
        <f t="shared" si="1"/>
        <v>57.580260000000003</v>
      </c>
    </row>
    <row r="9" spans="1:8" x14ac:dyDescent="0.2">
      <c r="A9" s="10">
        <f>'2019_Download_5-1-1'!C18</f>
        <v>2019</v>
      </c>
      <c r="B9" s="38" t="str">
        <f>'2019_Download_5-1-1'!B18</f>
        <v>Erbringung von Finanz- und Versicherungsleistungen; Grundstücks- und Wohnungswesen; Freiberufliche, wiss. u. techn. Dienstleistungen; sonst. wirt. Dienstleistungen</v>
      </c>
      <c r="C9" s="10" t="str">
        <f>'2019_Download_5-1-1'!$F$8</f>
        <v>Insgesamt</v>
      </c>
      <c r="D9" s="37" t="s">
        <v>94</v>
      </c>
      <c r="E9" s="37">
        <v>92.335679999999996</v>
      </c>
      <c r="F9" s="25">
        <f>'2019_Download_5-1-1'!F18</f>
        <v>92.335679999999996</v>
      </c>
      <c r="G9" s="10">
        <f t="shared" si="1"/>
        <v>92.335679999999996</v>
      </c>
    </row>
    <row r="10" spans="1:8" x14ac:dyDescent="0.2">
      <c r="A10" s="10">
        <f>'2019_Download_5-1-1'!C19</f>
        <v>2019</v>
      </c>
      <c r="B10" s="38" t="str">
        <f>'2019_Download_5-1-1'!B19</f>
        <v>ÖffentlicheVerwaltung, Verteidigung, Sozialversicherung; Erziehung und Unterricht; Gesundheits- und Sozialwesen</v>
      </c>
      <c r="C10" s="10" t="str">
        <f>'2019_Download_5-1-1'!$F$8</f>
        <v>Insgesamt</v>
      </c>
      <c r="D10" s="37" t="s">
        <v>95</v>
      </c>
      <c r="E10" s="37">
        <v>160.67986999999999</v>
      </c>
      <c r="F10" s="25">
        <f>'2019_Download_5-1-1'!F19</f>
        <v>160.67986999999999</v>
      </c>
      <c r="G10" s="10">
        <f t="shared" si="1"/>
        <v>160.67986999999999</v>
      </c>
    </row>
    <row r="11" spans="1:8" x14ac:dyDescent="0.2">
      <c r="A11" s="10">
        <f>'2019_Download_5-1-1'!C20</f>
        <v>2019</v>
      </c>
      <c r="B11" s="38" t="str">
        <f>'2019_Download_5-1-1'!B20</f>
        <v>Kunst, Unterhaltung und Erholung; Erbringung von sonstigen Dienstleistungen</v>
      </c>
      <c r="C11" s="10" t="str">
        <f>'2019_Download_5-1-1'!$F$8</f>
        <v>Insgesamt</v>
      </c>
      <c r="D11" s="37" t="s">
        <v>96</v>
      </c>
      <c r="E11" s="37">
        <v>32.897779999999997</v>
      </c>
      <c r="F11" s="25">
        <f>'2019_Download_5-1-1'!F20</f>
        <v>32.897779999999997</v>
      </c>
      <c r="G11" s="10">
        <f t="shared" si="1"/>
        <v>32.897779999999997</v>
      </c>
    </row>
    <row r="12" spans="1:8" x14ac:dyDescent="0.2">
      <c r="A12" s="10">
        <f>'2019_Download_5-1-1'!C21</f>
        <v>2019</v>
      </c>
      <c r="B12" s="38" t="str">
        <f>'2019_Download_5-1-1'!B21</f>
        <v>Insgesamt (inkl. sonstiger Abschnitte)</v>
      </c>
      <c r="C12" s="10" t="str">
        <f>'2019_Download_5-1-1'!$F$8</f>
        <v>Insgesamt</v>
      </c>
      <c r="D12" s="37" t="s">
        <v>97</v>
      </c>
      <c r="E12" s="37" t="s">
        <v>730</v>
      </c>
      <c r="F12" s="29">
        <f>'2019_Download_5-1-1'!F21</f>
        <v>818.34351000000004</v>
      </c>
      <c r="G12" s="10">
        <f t="shared" si="1"/>
        <v>818.34351000000004</v>
      </c>
    </row>
    <row r="13" spans="1:8" x14ac:dyDescent="0.2">
      <c r="A13" s="10">
        <f>'2019_Download_5-1-1'!C22</f>
        <v>2018</v>
      </c>
      <c r="B13" s="38" t="str">
        <f>'2019_Download_5-1-1'!B22</f>
        <v>Land- und Forstwirtschaft, Fischerei</v>
      </c>
      <c r="C13" s="10" t="str">
        <f>'2019_Download_5-1-1'!$F$8</f>
        <v>Insgesamt</v>
      </c>
      <c r="D13" s="37" t="s">
        <v>98</v>
      </c>
      <c r="E13" s="37">
        <v>14.149610000000001</v>
      </c>
      <c r="F13" s="25">
        <f>'2019_Download_5-1-1'!F22</f>
        <v>14.149610000000001</v>
      </c>
      <c r="G13" s="10">
        <f t="shared" si="1"/>
        <v>14.149610000000001</v>
      </c>
    </row>
    <row r="14" spans="1:8" x14ac:dyDescent="0.2">
      <c r="A14" s="10">
        <f>'2019_Download_5-1-1'!C23</f>
        <v>2018</v>
      </c>
      <c r="B14" s="38" t="str">
        <f>'2019_Download_5-1-1'!B23</f>
        <v>Bergbau und Gewinnung von Steinen und Erden; Verarbeitendes Gewerbe</v>
      </c>
      <c r="C14" s="10" t="str">
        <f>'2019_Download_5-1-1'!$F$8</f>
        <v>Insgesamt</v>
      </c>
      <c r="D14" s="37" t="s">
        <v>99</v>
      </c>
      <c r="E14" s="37">
        <v>187.68375</v>
      </c>
      <c r="F14" s="25">
        <f>'2019_Download_5-1-1'!F23</f>
        <v>187.68375</v>
      </c>
      <c r="G14" s="10">
        <f t="shared" si="1"/>
        <v>187.68375</v>
      </c>
    </row>
    <row r="15" spans="1:8" x14ac:dyDescent="0.2">
      <c r="A15" s="10">
        <f>'2019_Download_5-1-1'!C24</f>
        <v>2018</v>
      </c>
      <c r="B15" s="38" t="str">
        <f>'2019_Download_5-1-1'!B24</f>
        <v>Energieversorgung; Wasserversorgung, Entsorg., Beseitig. v. Umweltverschmutzungen</v>
      </c>
      <c r="C15" s="10" t="str">
        <f>'2019_Download_5-1-1'!$F$8</f>
        <v>Insgesamt</v>
      </c>
      <c r="D15" s="37" t="s">
        <v>100</v>
      </c>
      <c r="E15" s="37" t="s">
        <v>731</v>
      </c>
      <c r="F15" s="25">
        <f>'2019_Download_5-1-1'!F24</f>
        <v>8.9252000000000002</v>
      </c>
      <c r="G15" s="10" t="str">
        <f t="shared" si="1"/>
        <v>(8,9)</v>
      </c>
    </row>
    <row r="16" spans="1:8" x14ac:dyDescent="0.2">
      <c r="A16" s="10">
        <f>'2019_Download_5-1-1'!C25</f>
        <v>2018</v>
      </c>
      <c r="B16" s="38" t="str">
        <f>'2019_Download_5-1-1'!B25</f>
        <v>Baugewerbe</v>
      </c>
      <c r="C16" s="10" t="str">
        <f>'2019_Download_5-1-1'!$F$8</f>
        <v>Insgesamt</v>
      </c>
      <c r="D16" s="37" t="s">
        <v>101</v>
      </c>
      <c r="E16" s="37">
        <v>65.190219999999997</v>
      </c>
      <c r="F16" s="25">
        <f>'2019_Download_5-1-1'!F25</f>
        <v>65.190219999999997</v>
      </c>
      <c r="G16" s="10">
        <f t="shared" si="1"/>
        <v>65.190219999999997</v>
      </c>
    </row>
    <row r="17" spans="1:7" x14ac:dyDescent="0.2">
      <c r="A17" s="10">
        <f>'2019_Download_5-1-1'!C26</f>
        <v>2018</v>
      </c>
      <c r="B17" s="38" t="str">
        <f>'2019_Download_5-1-1'!B26</f>
        <v>Handel, Instandhaltung und Reparatur von Kfz</v>
      </c>
      <c r="C17" s="10" t="str">
        <f>'2019_Download_5-1-1'!$F$8</f>
        <v>Insgesamt</v>
      </c>
      <c r="D17" s="37" t="s">
        <v>102</v>
      </c>
      <c r="E17" s="37">
        <v>129.91821999999999</v>
      </c>
      <c r="F17" s="25">
        <f>'2019_Download_5-1-1'!F26</f>
        <v>129.91821999999999</v>
      </c>
      <c r="G17" s="10">
        <f t="shared" si="1"/>
        <v>129.91821999999999</v>
      </c>
    </row>
    <row r="18" spans="1:7" x14ac:dyDescent="0.2">
      <c r="A18" s="10">
        <f>'2019_Download_5-1-1'!C27</f>
        <v>2018</v>
      </c>
      <c r="B18" s="38" t="str">
        <f>'2019_Download_5-1-1'!B27</f>
        <v>Verkehr und Lagerei; Information und Kommunikation</v>
      </c>
      <c r="C18" s="10" t="str">
        <f>'2019_Download_5-1-1'!$F$8</f>
        <v>Insgesamt</v>
      </c>
      <c r="D18" s="37" t="s">
        <v>103</v>
      </c>
      <c r="E18" s="37">
        <v>61.68477</v>
      </c>
      <c r="F18" s="25">
        <f>'2019_Download_5-1-1'!F27</f>
        <v>61.68477</v>
      </c>
      <c r="G18" s="10">
        <f t="shared" si="1"/>
        <v>61.68477</v>
      </c>
    </row>
    <row r="19" spans="1:7" x14ac:dyDescent="0.2">
      <c r="A19" s="10">
        <f>'2019_Download_5-1-1'!C28</f>
        <v>2018</v>
      </c>
      <c r="B19" s="38" t="str">
        <f>'2019_Download_5-1-1'!B28</f>
        <v>Gastgewerbe</v>
      </c>
      <c r="C19" s="10" t="str">
        <f>'2019_Download_5-1-1'!$F$8</f>
        <v>Insgesamt</v>
      </c>
      <c r="D19" s="37" t="s">
        <v>104</v>
      </c>
      <c r="E19" s="37">
        <v>58.191809999999997</v>
      </c>
      <c r="F19" s="25">
        <f>'2019_Download_5-1-1'!F28</f>
        <v>58.191809999999997</v>
      </c>
      <c r="G19" s="10">
        <f t="shared" si="1"/>
        <v>58.191809999999997</v>
      </c>
    </row>
    <row r="20" spans="1:7" x14ac:dyDescent="0.2">
      <c r="A20" s="10">
        <f>'2019_Download_5-1-1'!C29</f>
        <v>2018</v>
      </c>
      <c r="B20" s="38" t="str">
        <f>'2019_Download_5-1-1'!B29</f>
        <v>Erbringung von Finanz- und Versicherungsleistungen; Grundstücks- und Wohnungswesen; Freiberufliche, wiss. u. techn. Dienstleistungen; sonst. wirt. Dienstleistungen</v>
      </c>
      <c r="C20" s="10" t="str">
        <f>'2019_Download_5-1-1'!$F$8</f>
        <v>Insgesamt</v>
      </c>
      <c r="D20" s="37" t="s">
        <v>105</v>
      </c>
      <c r="E20" s="37">
        <v>87.237809999999996</v>
      </c>
      <c r="F20" s="25">
        <f>'2019_Download_5-1-1'!F29</f>
        <v>87.237809999999996</v>
      </c>
      <c r="G20" s="10">
        <f t="shared" si="1"/>
        <v>87.237809999999996</v>
      </c>
    </row>
    <row r="21" spans="1:7" x14ac:dyDescent="0.2">
      <c r="A21" s="10">
        <f>'2019_Download_5-1-1'!C30</f>
        <v>2018</v>
      </c>
      <c r="B21" s="38" t="str">
        <f>'2019_Download_5-1-1'!B30</f>
        <v>ÖffentlicheVerwaltung, Verteidigung, Sozialversicherung; Erziehung und Unterricht; Gesundheits- und Sozialwesen</v>
      </c>
      <c r="C21" s="10" t="str">
        <f>'2019_Download_5-1-1'!$F$8</f>
        <v>Insgesamt</v>
      </c>
      <c r="D21" s="37" t="s">
        <v>106</v>
      </c>
      <c r="E21" s="37">
        <v>155.93630999999999</v>
      </c>
      <c r="F21" s="25">
        <f>'2019_Download_5-1-1'!F30</f>
        <v>155.93630999999999</v>
      </c>
      <c r="G21" s="10">
        <f t="shared" si="1"/>
        <v>155.93630999999999</v>
      </c>
    </row>
    <row r="22" spans="1:7" x14ac:dyDescent="0.2">
      <c r="A22" s="10">
        <f>'2019_Download_5-1-1'!C31</f>
        <v>2018</v>
      </c>
      <c r="B22" s="38" t="str">
        <f>'2019_Download_5-1-1'!B31</f>
        <v>Kunst, Unterhaltung und Erholung; Erbringung von sonstigen Dienstleistungen</v>
      </c>
      <c r="C22" s="10" t="str">
        <f>'2019_Download_5-1-1'!$F$8</f>
        <v>Insgesamt</v>
      </c>
      <c r="D22" s="37" t="s">
        <v>107</v>
      </c>
      <c r="E22" s="37">
        <v>31.153169999999999</v>
      </c>
      <c r="F22" s="25">
        <f>'2019_Download_5-1-1'!F31</f>
        <v>31.153169999999999</v>
      </c>
      <c r="G22" s="10">
        <f t="shared" si="1"/>
        <v>31.153169999999999</v>
      </c>
    </row>
    <row r="23" spans="1:7" x14ac:dyDescent="0.2">
      <c r="A23" s="10">
        <f>'2019_Download_5-1-1'!C32</f>
        <v>2018</v>
      </c>
      <c r="B23" s="38" t="str">
        <f>'2019_Download_5-1-1'!B32</f>
        <v>Insgesamt (inkl. sonstiger Abschnitte)</v>
      </c>
      <c r="C23" s="10" t="str">
        <f>'2019_Download_5-1-1'!$F$8</f>
        <v>Insgesamt</v>
      </c>
      <c r="D23" s="37" t="s">
        <v>108</v>
      </c>
      <c r="E23" s="37">
        <v>805.91227000000003</v>
      </c>
      <c r="F23" s="29">
        <f>'2019_Download_5-1-1'!F32</f>
        <v>805.91227000000003</v>
      </c>
      <c r="G23" s="10">
        <f t="shared" si="1"/>
        <v>805.91227000000003</v>
      </c>
    </row>
    <row r="24" spans="1:7" x14ac:dyDescent="0.2">
      <c r="A24" s="10">
        <f>'2019_Download_5-1-1'!C33</f>
        <v>2017</v>
      </c>
      <c r="B24" s="38" t="str">
        <f>'2019_Download_5-1-1'!B33</f>
        <v>Land- und Forstwirtschaft, Fischerei</v>
      </c>
      <c r="C24" s="10" t="str">
        <f>'2019_Download_5-1-1'!$F$8</f>
        <v>Insgesamt</v>
      </c>
      <c r="D24" s="37" t="s">
        <v>109</v>
      </c>
      <c r="E24" s="37">
        <v>11.424430000000001</v>
      </c>
      <c r="F24" s="25">
        <f>'2019_Download_5-1-1'!F33</f>
        <v>11.424430000000001</v>
      </c>
      <c r="G24" s="10">
        <f t="shared" si="1"/>
        <v>11.424430000000001</v>
      </c>
    </row>
    <row r="25" spans="1:7" x14ac:dyDescent="0.2">
      <c r="A25" s="10">
        <f>'2019_Download_5-1-1'!C34</f>
        <v>2017</v>
      </c>
      <c r="B25" s="38" t="str">
        <f>'2019_Download_5-1-1'!B34</f>
        <v>Bergbau und Gewinnung von Steinen und Erden; Verarbeitendes Gewerbe</v>
      </c>
      <c r="C25" s="10" t="str">
        <f>'2019_Download_5-1-1'!$F$8</f>
        <v>Insgesamt</v>
      </c>
      <c r="D25" s="37" t="s">
        <v>110</v>
      </c>
      <c r="E25" s="37">
        <v>185.04506000000001</v>
      </c>
      <c r="F25" s="25">
        <f>'2019_Download_5-1-1'!F34</f>
        <v>185.04506000000001</v>
      </c>
      <c r="G25" s="10">
        <f t="shared" si="1"/>
        <v>185.04506000000001</v>
      </c>
    </row>
    <row r="26" spans="1:7" x14ac:dyDescent="0.2">
      <c r="A26" s="10">
        <f>'2019_Download_5-1-1'!C35</f>
        <v>2017</v>
      </c>
      <c r="B26" s="38" t="str">
        <f>'2019_Download_5-1-1'!B35</f>
        <v>Energieversorgung; Wasserversorgung, Entsorg., Beseitig. v. Umweltverschmutzungen</v>
      </c>
      <c r="C26" s="10" t="str">
        <f>'2019_Download_5-1-1'!$F$8</f>
        <v>Insgesamt</v>
      </c>
      <c r="D26" s="37" t="s">
        <v>111</v>
      </c>
      <c r="E26" s="37" t="s">
        <v>732</v>
      </c>
      <c r="F26" s="25">
        <f>'2019_Download_5-1-1'!F35</f>
        <v>8.2619299999999996</v>
      </c>
      <c r="G26" s="10" t="str">
        <f t="shared" si="1"/>
        <v>(8,3)</v>
      </c>
    </row>
    <row r="27" spans="1:7" x14ac:dyDescent="0.2">
      <c r="A27" s="10">
        <f>'2019_Download_5-1-1'!C36</f>
        <v>2017</v>
      </c>
      <c r="B27" s="38" t="str">
        <f>'2019_Download_5-1-1'!B36</f>
        <v>Baugewerbe</v>
      </c>
      <c r="C27" s="10" t="str">
        <f>'2019_Download_5-1-1'!$F$8</f>
        <v>Insgesamt</v>
      </c>
      <c r="D27" s="37" t="s">
        <v>112</v>
      </c>
      <c r="E27" s="37">
        <v>63.572679999999998</v>
      </c>
      <c r="F27" s="25">
        <f>'2019_Download_5-1-1'!F36</f>
        <v>63.572679999999998</v>
      </c>
      <c r="G27" s="10">
        <f t="shared" si="1"/>
        <v>63.572679999999998</v>
      </c>
    </row>
    <row r="28" spans="1:7" x14ac:dyDescent="0.2">
      <c r="A28" s="10">
        <f>'2019_Download_5-1-1'!C37</f>
        <v>2017</v>
      </c>
      <c r="B28" s="38" t="str">
        <f>'2019_Download_5-1-1'!B37</f>
        <v>Handel, Instandhaltung und Reparatur von Kfz</v>
      </c>
      <c r="C28" s="10" t="str">
        <f>'2019_Download_5-1-1'!$F$8</f>
        <v>Insgesamt</v>
      </c>
      <c r="D28" s="37" t="s">
        <v>113</v>
      </c>
      <c r="E28" s="37">
        <v>125.8814</v>
      </c>
      <c r="F28" s="25">
        <f>'2019_Download_5-1-1'!F37</f>
        <v>125.8814</v>
      </c>
      <c r="G28" s="10">
        <f t="shared" si="1"/>
        <v>125.8814</v>
      </c>
    </row>
    <row r="29" spans="1:7" x14ac:dyDescent="0.2">
      <c r="A29" s="10">
        <f>'2019_Download_5-1-1'!C38</f>
        <v>2017</v>
      </c>
      <c r="B29" s="38" t="str">
        <f>'2019_Download_5-1-1'!B38</f>
        <v>Verkehr und Lagerei; Information und Kommunikation</v>
      </c>
      <c r="C29" s="10" t="str">
        <f>'2019_Download_5-1-1'!$F$8</f>
        <v>Insgesamt</v>
      </c>
      <c r="D29" s="37" t="s">
        <v>114</v>
      </c>
      <c r="E29" s="37">
        <v>60.936779999999999</v>
      </c>
      <c r="F29" s="25">
        <f>'2019_Download_5-1-1'!F38</f>
        <v>60.936779999999999</v>
      </c>
      <c r="G29" s="10">
        <f t="shared" si="1"/>
        <v>60.936779999999999</v>
      </c>
    </row>
    <row r="30" spans="1:7" x14ac:dyDescent="0.2">
      <c r="A30" s="10">
        <f>'2019_Download_5-1-1'!C39</f>
        <v>2017</v>
      </c>
      <c r="B30" s="38" t="str">
        <f>'2019_Download_5-1-1'!B39</f>
        <v>Gastgewerbe</v>
      </c>
      <c r="C30" s="10" t="str">
        <f>'2019_Download_5-1-1'!$F$8</f>
        <v>Insgesamt</v>
      </c>
      <c r="D30" s="37" t="s">
        <v>115</v>
      </c>
      <c r="E30" s="37">
        <v>51.63832</v>
      </c>
      <c r="F30" s="25">
        <f>'2019_Download_5-1-1'!F39</f>
        <v>51.63832</v>
      </c>
      <c r="G30" s="10">
        <f t="shared" si="1"/>
        <v>51.63832</v>
      </c>
    </row>
    <row r="31" spans="1:7" x14ac:dyDescent="0.2">
      <c r="A31" s="10">
        <f>'2019_Download_5-1-1'!C40</f>
        <v>2017</v>
      </c>
      <c r="B31" s="38" t="str">
        <f>'2019_Download_5-1-1'!B40</f>
        <v>Erbringung von Finanz- und Versicherungsleistungen; Grundstücks- und Wohnungswesen; Freiberufliche, wiss. u. techn. Dienstleistungen; sonst. wirt. Dienstleistungen</v>
      </c>
      <c r="C31" s="10" t="str">
        <f>'2019_Download_5-1-1'!$F$8</f>
        <v>Insgesamt</v>
      </c>
      <c r="D31" s="37" t="s">
        <v>116</v>
      </c>
      <c r="E31" s="37">
        <v>83.74615</v>
      </c>
      <c r="F31" s="25">
        <f>'2019_Download_5-1-1'!F40</f>
        <v>83.74615</v>
      </c>
      <c r="G31" s="10">
        <f t="shared" si="1"/>
        <v>83.74615</v>
      </c>
    </row>
    <row r="32" spans="1:7" x14ac:dyDescent="0.2">
      <c r="A32" s="10">
        <f>'2019_Download_5-1-1'!C41</f>
        <v>2017</v>
      </c>
      <c r="B32" s="38" t="str">
        <f>'2019_Download_5-1-1'!B41</f>
        <v>ÖffentlicheVerwaltung, Verteidigung, Sozialversicherung; Erziehung und Unterricht; Gesundheits- und Sozialwesen</v>
      </c>
      <c r="C32" s="10" t="str">
        <f>'2019_Download_5-1-1'!$F$8</f>
        <v>Insgesamt</v>
      </c>
      <c r="D32" s="37" t="s">
        <v>117</v>
      </c>
      <c r="E32" s="37">
        <v>153.97228000000001</v>
      </c>
      <c r="F32" s="25">
        <f>'2019_Download_5-1-1'!F41</f>
        <v>153.97228000000001</v>
      </c>
      <c r="G32" s="10">
        <f t="shared" si="1"/>
        <v>153.97228000000001</v>
      </c>
    </row>
    <row r="33" spans="1:7" x14ac:dyDescent="0.2">
      <c r="A33" s="10">
        <f>'2019_Download_5-1-1'!C42</f>
        <v>2017</v>
      </c>
      <c r="B33" s="38" t="str">
        <f>'2019_Download_5-1-1'!B42</f>
        <v>Kunst, Unterhaltung und Erholung; Erbringung von sonstigen Dienstleistungen</v>
      </c>
      <c r="C33" s="10" t="str">
        <f>'2019_Download_5-1-1'!$F$8</f>
        <v>Insgesamt</v>
      </c>
      <c r="D33" s="37" t="s">
        <v>118</v>
      </c>
      <c r="E33" s="37">
        <v>34.124910000000007</v>
      </c>
      <c r="F33" s="25">
        <f>'2019_Download_5-1-1'!F42</f>
        <v>34.124910000000007</v>
      </c>
      <c r="G33" s="10">
        <f t="shared" si="1"/>
        <v>34.124910000000007</v>
      </c>
    </row>
    <row r="34" spans="1:7" x14ac:dyDescent="0.2">
      <c r="A34" s="10">
        <f>'2019_Download_5-1-1'!C43</f>
        <v>2017</v>
      </c>
      <c r="B34" s="38" t="str">
        <f>'2019_Download_5-1-1'!B43</f>
        <v>Insgesamt (inkl. sonstiger Abschnitte)</v>
      </c>
      <c r="C34" s="10" t="str">
        <f>'2019_Download_5-1-1'!$F$8</f>
        <v>Insgesamt</v>
      </c>
      <c r="D34" s="37" t="s">
        <v>119</v>
      </c>
      <c r="E34" s="37">
        <v>786.12054000000001</v>
      </c>
      <c r="F34" s="29">
        <f>'2019_Download_5-1-1'!F43</f>
        <v>786.12054000000001</v>
      </c>
      <c r="G34" s="10">
        <f t="shared" si="1"/>
        <v>786.12054000000001</v>
      </c>
    </row>
    <row r="35" spans="1:7" x14ac:dyDescent="0.2">
      <c r="A35" s="10">
        <f>'2019_Download_5-1-1'!C44</f>
        <v>2016</v>
      </c>
      <c r="B35" s="38" t="str">
        <f>'2019_Download_5-1-1'!B44</f>
        <v>Land- und Forstwirtschaft, Fischerei</v>
      </c>
      <c r="C35" s="10" t="str">
        <f>'2019_Download_5-1-1'!$F$8</f>
        <v>Insgesamt</v>
      </c>
      <c r="D35" s="37" t="s">
        <v>120</v>
      </c>
      <c r="E35" s="37">
        <v>11.426410000000001</v>
      </c>
      <c r="F35" s="25">
        <f>'2019_Download_5-1-1'!F44</f>
        <v>11.426410000000001</v>
      </c>
      <c r="G35" s="10">
        <f t="shared" si="1"/>
        <v>11.426410000000001</v>
      </c>
    </row>
    <row r="36" spans="1:7" x14ac:dyDescent="0.2">
      <c r="A36" s="10">
        <f>'2019_Download_5-1-1'!C45</f>
        <v>2016</v>
      </c>
      <c r="B36" s="38" t="str">
        <f>'2019_Download_5-1-1'!B45</f>
        <v>Bergbau und Gewinnung von Steinen und Erden; Verarbeitendes Gewerbe</v>
      </c>
      <c r="C36" s="10" t="str">
        <f>'2019_Download_5-1-1'!$F$8</f>
        <v>Insgesamt</v>
      </c>
      <c r="D36" s="37" t="s">
        <v>121</v>
      </c>
      <c r="E36" s="37">
        <v>162.05356</v>
      </c>
      <c r="F36" s="25">
        <f>'2019_Download_5-1-1'!F45</f>
        <v>162.05356</v>
      </c>
      <c r="G36" s="10">
        <f t="shared" si="1"/>
        <v>162.05356</v>
      </c>
    </row>
    <row r="37" spans="1:7" x14ac:dyDescent="0.2">
      <c r="A37" s="10">
        <f>'2019_Download_5-1-1'!C46</f>
        <v>2016</v>
      </c>
      <c r="B37" s="38" t="str">
        <f>'2019_Download_5-1-1'!B46</f>
        <v>Energieversorgung; Wasserversorgung, Entsorg., Beseitig. v. Umweltverschmutzungen</v>
      </c>
      <c r="C37" s="10" t="str">
        <f>'2019_Download_5-1-1'!$F$8</f>
        <v>Insgesamt</v>
      </c>
      <c r="D37" s="37" t="s">
        <v>122</v>
      </c>
      <c r="E37" s="37" t="s">
        <v>733</v>
      </c>
      <c r="F37" s="25">
        <f>'2019_Download_5-1-1'!F46</f>
        <v>6.4177600000000004</v>
      </c>
      <c r="G37" s="10" t="str">
        <f t="shared" si="1"/>
        <v>(6,4)</v>
      </c>
    </row>
    <row r="38" spans="1:7" x14ac:dyDescent="0.2">
      <c r="A38" s="10">
        <f>'2019_Download_5-1-1'!C47</f>
        <v>2016</v>
      </c>
      <c r="B38" s="38" t="str">
        <f>'2019_Download_5-1-1'!B47</f>
        <v>Baugewerbe</v>
      </c>
      <c r="C38" s="10" t="str">
        <f>'2019_Download_5-1-1'!$F$8</f>
        <v>Insgesamt</v>
      </c>
      <c r="D38" s="37" t="s">
        <v>123</v>
      </c>
      <c r="E38" s="37">
        <v>52.61318</v>
      </c>
      <c r="F38" s="25">
        <f>'2019_Download_5-1-1'!F47</f>
        <v>52.61318</v>
      </c>
      <c r="G38" s="10">
        <f t="shared" si="1"/>
        <v>52.61318</v>
      </c>
    </row>
    <row r="39" spans="1:7" x14ac:dyDescent="0.2">
      <c r="A39" s="10">
        <f>'2019_Download_5-1-1'!C48</f>
        <v>2016</v>
      </c>
      <c r="B39" s="38" t="str">
        <f>'2019_Download_5-1-1'!B48</f>
        <v>Handel, Instandhaltung und Reparatur von Kfz</v>
      </c>
      <c r="C39" s="10" t="str">
        <f>'2019_Download_5-1-1'!$F$8</f>
        <v>Insgesamt</v>
      </c>
      <c r="D39" s="37" t="s">
        <v>124</v>
      </c>
      <c r="E39" s="37">
        <v>106.77966000000001</v>
      </c>
      <c r="F39" s="25">
        <f>'2019_Download_5-1-1'!F48</f>
        <v>106.77966000000001</v>
      </c>
      <c r="G39" s="10">
        <f t="shared" si="1"/>
        <v>106.77966000000001</v>
      </c>
    </row>
    <row r="40" spans="1:7" x14ac:dyDescent="0.2">
      <c r="A40" s="10">
        <f>'2019_Download_5-1-1'!C49</f>
        <v>2016</v>
      </c>
      <c r="B40" s="38" t="str">
        <f>'2019_Download_5-1-1'!B49</f>
        <v>Verkehr und Lagerei; Information und Kommunikation</v>
      </c>
      <c r="C40" s="10" t="str">
        <f>'2019_Download_5-1-1'!$F$8</f>
        <v>Insgesamt</v>
      </c>
      <c r="D40" s="37" t="s">
        <v>125</v>
      </c>
      <c r="E40" s="37">
        <v>50.498899999999999</v>
      </c>
      <c r="F40" s="25">
        <f>'2019_Download_5-1-1'!F49</f>
        <v>50.498899999999999</v>
      </c>
      <c r="G40" s="10">
        <f t="shared" si="1"/>
        <v>50.498899999999999</v>
      </c>
    </row>
    <row r="41" spans="1:7" x14ac:dyDescent="0.2">
      <c r="A41" s="10">
        <f>'2019_Download_5-1-1'!C50</f>
        <v>2016</v>
      </c>
      <c r="B41" s="38" t="str">
        <f>'2019_Download_5-1-1'!B50</f>
        <v>Gastgewerbe</v>
      </c>
      <c r="C41" s="10" t="str">
        <f>'2019_Download_5-1-1'!$F$8</f>
        <v>Insgesamt</v>
      </c>
      <c r="D41" s="37" t="s">
        <v>126</v>
      </c>
      <c r="E41" s="37">
        <v>48.540900000000001</v>
      </c>
      <c r="F41" s="25">
        <f>'2019_Download_5-1-1'!F50</f>
        <v>48.540900000000001</v>
      </c>
      <c r="G41" s="10">
        <f t="shared" si="1"/>
        <v>48.540900000000001</v>
      </c>
    </row>
    <row r="42" spans="1:7" x14ac:dyDescent="0.2">
      <c r="A42" s="10">
        <f>'2019_Download_5-1-1'!C51</f>
        <v>2016</v>
      </c>
      <c r="B42" s="38" t="str">
        <f>'2019_Download_5-1-1'!B51</f>
        <v>Erbringung von Finanz- und Versicherungsleistungen; Grundstücks- und Wohnungswesen; Freiberufliche, wiss. u. techn. Dienstleistungen; sonst. wirt. Dienstleistungen</v>
      </c>
      <c r="C42" s="10" t="str">
        <f>'2019_Download_5-1-1'!$F$8</f>
        <v>Insgesamt</v>
      </c>
      <c r="D42" s="37" t="s">
        <v>127</v>
      </c>
      <c r="E42" s="37">
        <v>75.971899999999991</v>
      </c>
      <c r="F42" s="25">
        <f>'2019_Download_5-1-1'!F51</f>
        <v>75.971899999999991</v>
      </c>
      <c r="G42" s="10">
        <f t="shared" si="1"/>
        <v>75.971899999999991</v>
      </c>
    </row>
    <row r="43" spans="1:7" x14ac:dyDescent="0.2">
      <c r="A43" s="10">
        <f>'2019_Download_5-1-1'!C52</f>
        <v>2016</v>
      </c>
      <c r="B43" s="38" t="str">
        <f>'2019_Download_5-1-1'!B52</f>
        <v>ÖffentlicheVerwaltung, Verteidigung, Sozialversicherung; Erziehung und Unterricht; Gesundheits- und Sozialwesen</v>
      </c>
      <c r="C43" s="10" t="str">
        <f>'2019_Download_5-1-1'!$F$8</f>
        <v>Insgesamt</v>
      </c>
      <c r="D43" s="37" t="s">
        <v>128</v>
      </c>
      <c r="E43" s="37">
        <v>127.76136</v>
      </c>
      <c r="F43" s="25">
        <f>'2019_Download_5-1-1'!F52</f>
        <v>127.76136</v>
      </c>
      <c r="G43" s="10">
        <f t="shared" si="1"/>
        <v>127.76136</v>
      </c>
    </row>
    <row r="44" spans="1:7" x14ac:dyDescent="0.2">
      <c r="A44" s="10">
        <f>'2019_Download_5-1-1'!C53</f>
        <v>2016</v>
      </c>
      <c r="B44" s="38" t="str">
        <f>'2019_Download_5-1-1'!B53</f>
        <v>Kunst, Unterhaltung und Erholung; Erbringung von sonstigen Dienstleistungen</v>
      </c>
      <c r="C44" s="10" t="str">
        <f>'2019_Download_5-1-1'!$F$8</f>
        <v>Insgesamt</v>
      </c>
      <c r="D44" s="37" t="s">
        <v>129</v>
      </c>
      <c r="E44" s="37">
        <v>27.677610000000001</v>
      </c>
      <c r="F44" s="25">
        <f>'2019_Download_5-1-1'!F53</f>
        <v>27.677610000000001</v>
      </c>
      <c r="G44" s="10">
        <f t="shared" si="1"/>
        <v>27.677610000000001</v>
      </c>
    </row>
    <row r="45" spans="1:7" x14ac:dyDescent="0.2">
      <c r="A45" s="10">
        <f>'2019_Download_5-1-1'!C54</f>
        <v>2016</v>
      </c>
      <c r="B45" s="38" t="str">
        <f>'2019_Download_5-1-1'!B54</f>
        <v>Insgesamt (inkl. sonstiger Abschnitte)</v>
      </c>
      <c r="C45" s="10" t="str">
        <f>'2019_Download_5-1-1'!$F$8</f>
        <v>Insgesamt</v>
      </c>
      <c r="D45" s="37" t="s">
        <v>130</v>
      </c>
      <c r="E45" s="37">
        <v>677.16356999999994</v>
      </c>
      <c r="F45" s="29">
        <f>'2019_Download_5-1-1'!F54</f>
        <v>677.16356999999994</v>
      </c>
      <c r="G45" s="10">
        <f t="shared" si="1"/>
        <v>677.16356999999994</v>
      </c>
    </row>
    <row r="46" spans="1:7" x14ac:dyDescent="0.2">
      <c r="A46" s="10">
        <f>'2019_Download_5-1-1'!C55</f>
        <v>2015</v>
      </c>
      <c r="B46" s="38" t="str">
        <f>'2019_Download_5-1-1'!B55</f>
        <v>Land- und Forstwirtschaft, Fischerei</v>
      </c>
      <c r="C46" s="10" t="str">
        <f>'2019_Download_5-1-1'!$F$8</f>
        <v>Insgesamt</v>
      </c>
      <c r="D46" s="37" t="s">
        <v>131</v>
      </c>
      <c r="E46" s="37">
        <v>10.001670000000001</v>
      </c>
      <c r="F46" s="25">
        <f>'2019_Download_5-1-1'!F55</f>
        <v>10.001670000000001</v>
      </c>
      <c r="G46" s="10">
        <f t="shared" si="1"/>
        <v>10.001670000000001</v>
      </c>
    </row>
    <row r="47" spans="1:7" x14ac:dyDescent="0.2">
      <c r="A47" s="10">
        <f>'2019_Download_5-1-1'!C56</f>
        <v>2015</v>
      </c>
      <c r="B47" s="38" t="str">
        <f>'2019_Download_5-1-1'!B56</f>
        <v>Bergbau und Gewinnung von Steinen und Erden; Verarbeitendes Gewerbe</v>
      </c>
      <c r="C47" s="10" t="str">
        <f>'2019_Download_5-1-1'!$F$8</f>
        <v>Insgesamt</v>
      </c>
      <c r="D47" s="37" t="s">
        <v>132</v>
      </c>
      <c r="E47" s="37">
        <v>141.48392999999999</v>
      </c>
      <c r="F47" s="25">
        <f>'2019_Download_5-1-1'!F56</f>
        <v>141.48392999999999</v>
      </c>
      <c r="G47" s="10">
        <f t="shared" si="1"/>
        <v>141.48392999999999</v>
      </c>
    </row>
    <row r="48" spans="1:7" x14ac:dyDescent="0.2">
      <c r="A48" s="10">
        <f>'2019_Download_5-1-1'!C57</f>
        <v>2015</v>
      </c>
      <c r="B48" s="38" t="str">
        <f>'2019_Download_5-1-1'!B57</f>
        <v>Energieversorgung; Wasserversorgung, Entsorg., Beseitig. v. Umweltverschmutzungen</v>
      </c>
      <c r="C48" s="10" t="str">
        <f>'2019_Download_5-1-1'!$F$8</f>
        <v>Insgesamt</v>
      </c>
      <c r="D48" s="37" t="s">
        <v>133</v>
      </c>
      <c r="E48" s="37" t="s">
        <v>734</v>
      </c>
      <c r="F48" s="25">
        <f>'2019_Download_5-1-1'!F57</f>
        <v>6.7985899999999999</v>
      </c>
      <c r="G48" s="10" t="str">
        <f t="shared" si="1"/>
        <v>(6,8)</v>
      </c>
    </row>
    <row r="49" spans="1:7" x14ac:dyDescent="0.2">
      <c r="A49" s="10">
        <f>'2019_Download_5-1-1'!C58</f>
        <v>2015</v>
      </c>
      <c r="B49" s="38" t="str">
        <f>'2019_Download_5-1-1'!B58</f>
        <v>Baugewerbe</v>
      </c>
      <c r="C49" s="10" t="str">
        <f>'2019_Download_5-1-1'!$F$8</f>
        <v>Insgesamt</v>
      </c>
      <c r="D49" s="37" t="s">
        <v>134</v>
      </c>
      <c r="E49" s="37">
        <v>45.398129999999995</v>
      </c>
      <c r="F49" s="25">
        <f>'2019_Download_5-1-1'!F58</f>
        <v>45.398129999999995</v>
      </c>
      <c r="G49" s="10">
        <f t="shared" si="1"/>
        <v>45.398129999999995</v>
      </c>
    </row>
    <row r="50" spans="1:7" x14ac:dyDescent="0.2">
      <c r="A50" s="10">
        <f>'2019_Download_5-1-1'!C59</f>
        <v>2015</v>
      </c>
      <c r="B50" s="38" t="str">
        <f>'2019_Download_5-1-1'!B59</f>
        <v>Handel, Instandhaltung und Reparatur von Kfz</v>
      </c>
      <c r="C50" s="10" t="str">
        <f>'2019_Download_5-1-1'!$F$8</f>
        <v>Insgesamt</v>
      </c>
      <c r="D50" s="37" t="s">
        <v>135</v>
      </c>
      <c r="E50" s="37">
        <v>100.92941999999999</v>
      </c>
      <c r="F50" s="25">
        <f>'2019_Download_5-1-1'!F59</f>
        <v>100.92941999999999</v>
      </c>
      <c r="G50" s="10">
        <f t="shared" si="1"/>
        <v>100.92941999999999</v>
      </c>
    </row>
    <row r="51" spans="1:7" x14ac:dyDescent="0.2">
      <c r="A51" s="10">
        <f>'2019_Download_5-1-1'!C60</f>
        <v>2015</v>
      </c>
      <c r="B51" s="38" t="str">
        <f>'2019_Download_5-1-1'!B60</f>
        <v>Verkehr und Lagerei; Information und Kommunikation</v>
      </c>
      <c r="C51" s="10" t="str">
        <f>'2019_Download_5-1-1'!$F$8</f>
        <v>Insgesamt</v>
      </c>
      <c r="D51" s="37" t="s">
        <v>136</v>
      </c>
      <c r="E51" s="37">
        <v>44.845500000000001</v>
      </c>
      <c r="F51" s="25">
        <f>'2019_Download_5-1-1'!F60</f>
        <v>44.845500000000001</v>
      </c>
      <c r="G51" s="10">
        <f t="shared" si="1"/>
        <v>44.845500000000001</v>
      </c>
    </row>
    <row r="52" spans="1:7" x14ac:dyDescent="0.2">
      <c r="A52" s="10">
        <f>'2019_Download_5-1-1'!C61</f>
        <v>2015</v>
      </c>
      <c r="B52" s="38" t="str">
        <f>'2019_Download_5-1-1'!B61</f>
        <v>Gastgewerbe</v>
      </c>
      <c r="C52" s="10" t="str">
        <f>'2019_Download_5-1-1'!$F$8</f>
        <v>Insgesamt</v>
      </c>
      <c r="D52" s="37" t="s">
        <v>137</v>
      </c>
      <c r="E52" s="37">
        <v>48.023910000000001</v>
      </c>
      <c r="F52" s="25">
        <f>'2019_Download_5-1-1'!F61</f>
        <v>48.023910000000001</v>
      </c>
      <c r="G52" s="10">
        <f t="shared" si="1"/>
        <v>48.023910000000001</v>
      </c>
    </row>
    <row r="53" spans="1:7" x14ac:dyDescent="0.2">
      <c r="A53" s="10">
        <f>'2019_Download_5-1-1'!C62</f>
        <v>2015</v>
      </c>
      <c r="B53" s="38" t="str">
        <f>'2019_Download_5-1-1'!B62</f>
        <v>Erbringung von Finanz- und Versicherungsleistungen; Grundstücks- und Wohnungswesen; Freiberufliche, wiss. u. techn. Dienstleistungen; sonst. wirt. Dienstleistungen</v>
      </c>
      <c r="C53" s="10" t="str">
        <f>'2019_Download_5-1-1'!$F$8</f>
        <v>Insgesamt</v>
      </c>
      <c r="D53" s="37" t="s">
        <v>138</v>
      </c>
      <c r="E53" s="37">
        <v>68.128979999999999</v>
      </c>
      <c r="F53" s="25">
        <f>'2019_Download_5-1-1'!F62</f>
        <v>68.128979999999999</v>
      </c>
      <c r="G53" s="10">
        <f t="shared" si="1"/>
        <v>68.128979999999999</v>
      </c>
    </row>
    <row r="54" spans="1:7" x14ac:dyDescent="0.2">
      <c r="A54" s="10">
        <f>'2019_Download_5-1-1'!C63</f>
        <v>2015</v>
      </c>
      <c r="B54" s="38" t="str">
        <f>'2019_Download_5-1-1'!B63</f>
        <v>Öff.Verwaltung, Verteidigung, Sozialversicherung; Erziehung und Unterricht; Gesundheits- und Sozialwesen</v>
      </c>
      <c r="C54" s="10" t="str">
        <f>'2019_Download_5-1-1'!$F$8</f>
        <v>Insgesamt</v>
      </c>
      <c r="D54" s="37" t="s">
        <v>139</v>
      </c>
      <c r="E54" s="37">
        <v>118.23508</v>
      </c>
      <c r="F54" s="25">
        <f>'2019_Download_5-1-1'!F63</f>
        <v>118.23508</v>
      </c>
      <c r="G54" s="10">
        <f t="shared" si="1"/>
        <v>118.23508</v>
      </c>
    </row>
    <row r="55" spans="1:7" x14ac:dyDescent="0.2">
      <c r="A55" s="10">
        <f>'2019_Download_5-1-1'!C64</f>
        <v>2015</v>
      </c>
      <c r="B55" s="38" t="str">
        <f>'2019_Download_5-1-1'!B64</f>
        <v>Kunst, Unterhaltung und Erholung; Erbringung von sonstigen Dienstleistungen</v>
      </c>
      <c r="C55" s="10" t="str">
        <f>'2019_Download_5-1-1'!$F$8</f>
        <v>Insgesamt</v>
      </c>
      <c r="D55" s="37" t="s">
        <v>140</v>
      </c>
      <c r="E55" s="37">
        <v>28.683979999999998</v>
      </c>
      <c r="F55" s="25">
        <f>'2019_Download_5-1-1'!F64</f>
        <v>28.683979999999998</v>
      </c>
      <c r="G55" s="10">
        <f t="shared" si="1"/>
        <v>28.683979999999998</v>
      </c>
    </row>
    <row r="56" spans="1:7" x14ac:dyDescent="0.2">
      <c r="A56" s="10">
        <f>'2019_Download_5-1-1'!C65</f>
        <v>2015</v>
      </c>
      <c r="B56" s="38" t="str">
        <f>'2019_Download_5-1-1'!B65</f>
        <v>Insgesamt (inkl. sonstiger Abschnitte)</v>
      </c>
      <c r="C56" s="10" t="str">
        <f>'2019_Download_5-1-1'!$F$8</f>
        <v>Insgesamt</v>
      </c>
      <c r="D56" s="37" t="s">
        <v>141</v>
      </c>
      <c r="E56" s="37">
        <v>617.30962999999997</v>
      </c>
      <c r="F56" s="29">
        <f>'2019_Download_5-1-1'!F65</f>
        <v>617.30962999999997</v>
      </c>
      <c r="G56" s="10">
        <f t="shared" si="1"/>
        <v>617.30962999999997</v>
      </c>
    </row>
    <row r="57" spans="1:7" x14ac:dyDescent="0.2">
      <c r="A57" s="10">
        <f>'2019_Download_5-1-1'!C66</f>
        <v>2014</v>
      </c>
      <c r="B57" s="38" t="str">
        <f>'2019_Download_5-1-1'!B66</f>
        <v>Land- und Forstwirtschaft, Fischerei</v>
      </c>
      <c r="C57" s="10" t="str">
        <f>'2019_Download_5-1-1'!$F$8</f>
        <v>Insgesamt</v>
      </c>
      <c r="D57" s="37" t="s">
        <v>142</v>
      </c>
      <c r="E57" s="37" t="s">
        <v>735</v>
      </c>
      <c r="F57" s="25">
        <f>'2019_Download_5-1-1'!F66</f>
        <v>9.6180900000000005</v>
      </c>
      <c r="G57" s="10" t="str">
        <f t="shared" si="1"/>
        <v>(9,6)</v>
      </c>
    </row>
    <row r="58" spans="1:7" x14ac:dyDescent="0.2">
      <c r="A58" s="10">
        <f>'2019_Download_5-1-1'!C67</f>
        <v>2014</v>
      </c>
      <c r="B58" s="38" t="str">
        <f>'2019_Download_5-1-1'!B67</f>
        <v>Bergbau und Gewinnung von Steinen und Erden; Verarbeitendes Gewerbe</v>
      </c>
      <c r="C58" s="10" t="str">
        <f>'2019_Download_5-1-1'!$F$8</f>
        <v>Insgesamt</v>
      </c>
      <c r="D58" s="37" t="s">
        <v>143</v>
      </c>
      <c r="E58" s="37">
        <v>134.37870000000001</v>
      </c>
      <c r="F58" s="25">
        <f>'2019_Download_5-1-1'!F67</f>
        <v>134.37870000000001</v>
      </c>
      <c r="G58" s="10">
        <f t="shared" si="1"/>
        <v>134.37870000000001</v>
      </c>
    </row>
    <row r="59" spans="1:7" x14ac:dyDescent="0.2">
      <c r="A59" s="10">
        <f>'2019_Download_5-1-1'!C68</f>
        <v>2014</v>
      </c>
      <c r="B59" s="38" t="str">
        <f>'2019_Download_5-1-1'!B68</f>
        <v>Energieversorgung; Wasserversorgung, Entsorg., Beseitig. v. Umweltverschmutzungen</v>
      </c>
      <c r="C59" s="10" t="str">
        <f>'2019_Download_5-1-1'!$F$8</f>
        <v>Insgesamt</v>
      </c>
      <c r="D59" s="37" t="s">
        <v>144</v>
      </c>
      <c r="E59" s="37" t="s">
        <v>736</v>
      </c>
      <c r="F59" s="25">
        <f>'2019_Download_5-1-1'!F68</f>
        <v>6.8612000000000002</v>
      </c>
      <c r="G59" s="10" t="str">
        <f t="shared" si="1"/>
        <v>(6,9)</v>
      </c>
    </row>
    <row r="60" spans="1:7" x14ac:dyDescent="0.2">
      <c r="A60" s="10">
        <f>'2019_Download_5-1-1'!C69</f>
        <v>2014</v>
      </c>
      <c r="B60" s="38" t="str">
        <f>'2019_Download_5-1-1'!B69</f>
        <v>Baugewerbe</v>
      </c>
      <c r="C60" s="10" t="str">
        <f>'2019_Download_5-1-1'!$F$8</f>
        <v>Insgesamt</v>
      </c>
      <c r="D60" s="37" t="s">
        <v>145</v>
      </c>
      <c r="E60" s="37">
        <v>47.164670000000001</v>
      </c>
      <c r="F60" s="25">
        <f>'2019_Download_5-1-1'!F69</f>
        <v>47.164670000000001</v>
      </c>
      <c r="G60" s="10">
        <f t="shared" si="1"/>
        <v>47.164670000000001</v>
      </c>
    </row>
    <row r="61" spans="1:7" x14ac:dyDescent="0.2">
      <c r="A61" s="10">
        <f>'2019_Download_5-1-1'!C70</f>
        <v>2014</v>
      </c>
      <c r="B61" s="38" t="str">
        <f>'2019_Download_5-1-1'!B70</f>
        <v>Handel, Instandhaltung und Reparatur von Kfz</v>
      </c>
      <c r="C61" s="10" t="str">
        <f>'2019_Download_5-1-1'!$F$8</f>
        <v>Insgesamt</v>
      </c>
      <c r="D61" s="37" t="s">
        <v>146</v>
      </c>
      <c r="E61" s="37">
        <v>98.409369999999996</v>
      </c>
      <c r="F61" s="25">
        <f>'2019_Download_5-1-1'!F70</f>
        <v>98.409369999999996</v>
      </c>
      <c r="G61" s="10">
        <f t="shared" si="1"/>
        <v>98.409369999999996</v>
      </c>
    </row>
    <row r="62" spans="1:7" x14ac:dyDescent="0.2">
      <c r="A62" s="10">
        <f>'2019_Download_5-1-1'!C71</f>
        <v>2014</v>
      </c>
      <c r="B62" s="38" t="str">
        <f>'2019_Download_5-1-1'!B71</f>
        <v>Verkehr und Lagerei; Information und Kommunikation</v>
      </c>
      <c r="C62" s="10" t="str">
        <f>'2019_Download_5-1-1'!$F$8</f>
        <v>Insgesamt</v>
      </c>
      <c r="D62" s="37" t="s">
        <v>147</v>
      </c>
      <c r="E62" s="37">
        <v>41.793819999999997</v>
      </c>
      <c r="F62" s="25">
        <f>'2019_Download_5-1-1'!F71</f>
        <v>41.793819999999997</v>
      </c>
      <c r="G62" s="10">
        <f t="shared" si="1"/>
        <v>41.793819999999997</v>
      </c>
    </row>
    <row r="63" spans="1:7" x14ac:dyDescent="0.2">
      <c r="A63" s="10">
        <f>'2019_Download_5-1-1'!C72</f>
        <v>2014</v>
      </c>
      <c r="B63" s="38" t="str">
        <f>'2019_Download_5-1-1'!B72</f>
        <v>Gastgewerbe</v>
      </c>
      <c r="C63" s="10" t="str">
        <f>'2019_Download_5-1-1'!$F$8</f>
        <v>Insgesamt</v>
      </c>
      <c r="D63" s="37" t="s">
        <v>148</v>
      </c>
      <c r="E63" s="37">
        <v>43.576180000000001</v>
      </c>
      <c r="F63" s="25">
        <f>'2019_Download_5-1-1'!F72</f>
        <v>43.576180000000001</v>
      </c>
      <c r="G63" s="10">
        <f t="shared" si="1"/>
        <v>43.576180000000001</v>
      </c>
    </row>
    <row r="64" spans="1:7" x14ac:dyDescent="0.2">
      <c r="A64" s="10">
        <f>'2019_Download_5-1-1'!C73</f>
        <v>2014</v>
      </c>
      <c r="B64" s="38" t="str">
        <f>'2019_Download_5-1-1'!B73</f>
        <v>Erbringung von Finanz- und Versicherungsleistungen; Grundstücks- und Wohnungswesen; Freiberufliche, wiss. u. techn. Dienstleistungen; sonst. wirt. Dienstleistungen</v>
      </c>
      <c r="C64" s="10" t="str">
        <f>'2019_Download_5-1-1'!$F$8</f>
        <v>Insgesamt</v>
      </c>
      <c r="D64" s="37" t="s">
        <v>149</v>
      </c>
      <c r="E64" s="37">
        <v>67.510689999999997</v>
      </c>
      <c r="F64" s="25">
        <f>'2019_Download_5-1-1'!F73</f>
        <v>67.510689999999997</v>
      </c>
      <c r="G64" s="10">
        <f t="shared" si="1"/>
        <v>67.510689999999997</v>
      </c>
    </row>
    <row r="65" spans="1:7" x14ac:dyDescent="0.2">
      <c r="A65" s="10">
        <f>'2019_Download_5-1-1'!C74</f>
        <v>2014</v>
      </c>
      <c r="B65" s="38" t="str">
        <f>'2019_Download_5-1-1'!B74</f>
        <v>ÖffentlicheVerwaltung, Verteidigung, Sozialversicherung; Erziehung und Unterricht; Gesundheits- und Sozialwesen</v>
      </c>
      <c r="C65" s="10" t="str">
        <f>'2019_Download_5-1-1'!$F$8</f>
        <v>Insgesamt</v>
      </c>
      <c r="D65" s="37" t="s">
        <v>150</v>
      </c>
      <c r="E65" s="37">
        <v>115.81437</v>
      </c>
      <c r="F65" s="25">
        <f>'2019_Download_5-1-1'!F74</f>
        <v>115.81437</v>
      </c>
      <c r="G65" s="10">
        <f t="shared" si="1"/>
        <v>115.81437</v>
      </c>
    </row>
    <row r="66" spans="1:7" x14ac:dyDescent="0.2">
      <c r="A66" s="10">
        <f>'2019_Download_5-1-1'!C75</f>
        <v>2014</v>
      </c>
      <c r="B66" s="38" t="str">
        <f>'2019_Download_5-1-1'!B75</f>
        <v>Kunst, Unterhaltung und Erholung; Erbringung von sonstigen Dienstleistungen</v>
      </c>
      <c r="C66" s="10" t="str">
        <f>'2019_Download_5-1-1'!$F$8</f>
        <v>Insgesamt</v>
      </c>
      <c r="D66" s="37" t="s">
        <v>151</v>
      </c>
      <c r="E66" s="37">
        <v>28.582159999999998</v>
      </c>
      <c r="F66" s="25">
        <f>'2019_Download_5-1-1'!F75</f>
        <v>28.582159999999998</v>
      </c>
      <c r="G66" s="10">
        <f t="shared" si="1"/>
        <v>28.582159999999998</v>
      </c>
    </row>
    <row r="67" spans="1:7" x14ac:dyDescent="0.2">
      <c r="A67" s="10">
        <f>'2019_Download_5-1-1'!C76</f>
        <v>2014</v>
      </c>
      <c r="B67" s="38" t="str">
        <f>'2019_Download_5-1-1'!B76</f>
        <v>Insgesamt (inkl. sonstiger Abschnitte)</v>
      </c>
      <c r="C67" s="10" t="str">
        <f>'2019_Download_5-1-1'!$F$8</f>
        <v>Insgesamt</v>
      </c>
      <c r="D67" s="37" t="s">
        <v>152</v>
      </c>
      <c r="E67" s="37">
        <v>599.41700000000003</v>
      </c>
      <c r="F67" s="29">
        <f>'2019_Download_5-1-1'!F76</f>
        <v>599.41700000000003</v>
      </c>
      <c r="G67" s="10">
        <f t="shared" si="1"/>
        <v>599.41700000000003</v>
      </c>
    </row>
    <row r="68" spans="1:7" x14ac:dyDescent="0.2">
      <c r="A68" s="10">
        <f>'2019_Download_5-1-1'!C77</f>
        <v>2013</v>
      </c>
      <c r="B68" s="38" t="str">
        <f>'2019_Download_5-1-1'!B77</f>
        <v>Land- und Forstwirtschaft, Fischerei</v>
      </c>
      <c r="C68" s="10" t="str">
        <f>'2019_Download_5-1-1'!$F$8</f>
        <v>Insgesamt</v>
      </c>
      <c r="D68" s="37" t="s">
        <v>153</v>
      </c>
      <c r="E68" s="37" t="s">
        <v>737</v>
      </c>
      <c r="F68" s="25">
        <f>'2019_Download_5-1-1'!F77</f>
        <v>8.1222899999999996</v>
      </c>
      <c r="G68" s="10" t="str">
        <f t="shared" si="1"/>
        <v>(8,1)</v>
      </c>
    </row>
    <row r="69" spans="1:7" x14ac:dyDescent="0.2">
      <c r="A69" s="10">
        <f>'2019_Download_5-1-1'!C78</f>
        <v>2013</v>
      </c>
      <c r="B69" s="38" t="str">
        <f>'2019_Download_5-1-1'!B78</f>
        <v>Bergbau und Gewinnung von Steinen und Erden; Verarbeitendes Gewerbe</v>
      </c>
      <c r="C69" s="10" t="str">
        <f>'2019_Download_5-1-1'!$F$8</f>
        <v>Insgesamt</v>
      </c>
      <c r="D69" s="37" t="s">
        <v>154</v>
      </c>
      <c r="E69" s="37">
        <v>129.34106</v>
      </c>
      <c r="F69" s="25">
        <f>'2019_Download_5-1-1'!F78</f>
        <v>129.34106</v>
      </c>
      <c r="G69" s="10">
        <f t="shared" si="1"/>
        <v>129.34106</v>
      </c>
    </row>
    <row r="70" spans="1:7" x14ac:dyDescent="0.2">
      <c r="A70" s="10">
        <f>'2019_Download_5-1-1'!C79</f>
        <v>2013</v>
      </c>
      <c r="B70" s="38" t="str">
        <f>'2019_Download_5-1-1'!B79</f>
        <v>Energieversorgung; Wasserversorgung, Entsorg., Beseitig. v. Umweltverschmutzungen</v>
      </c>
      <c r="C70" s="10" t="str">
        <f>'2019_Download_5-1-1'!$F$8</f>
        <v>Insgesamt</v>
      </c>
      <c r="D70" s="37" t="s">
        <v>155</v>
      </c>
      <c r="E70" s="37" t="s">
        <v>738</v>
      </c>
      <c r="F70" s="25">
        <f>'2019_Download_5-1-1'!F79</f>
        <v>7.4768699999999999</v>
      </c>
      <c r="G70" s="10" t="str">
        <f t="shared" ref="G70:G133" si="2">IF(F70&lt;5,"/",IF(F70&lt;10,TEXT(F70,"(#.#0,0)"),F70))</f>
        <v>(7,5)</v>
      </c>
    </row>
    <row r="71" spans="1:7" x14ac:dyDescent="0.2">
      <c r="A71" s="10">
        <f>'2019_Download_5-1-1'!C80</f>
        <v>2013</v>
      </c>
      <c r="B71" s="38" t="str">
        <f>'2019_Download_5-1-1'!B80</f>
        <v>Baugewerbe</v>
      </c>
      <c r="C71" s="10" t="str">
        <f>'2019_Download_5-1-1'!$F$8</f>
        <v>Insgesamt</v>
      </c>
      <c r="D71" s="37" t="s">
        <v>156</v>
      </c>
      <c r="E71" s="37">
        <v>44.42089</v>
      </c>
      <c r="F71" s="25">
        <f>'2019_Download_5-1-1'!F80</f>
        <v>44.42089</v>
      </c>
      <c r="G71" s="10">
        <f t="shared" si="2"/>
        <v>44.42089</v>
      </c>
    </row>
    <row r="72" spans="1:7" x14ac:dyDescent="0.2">
      <c r="A72" s="10">
        <f>'2019_Download_5-1-1'!C81</f>
        <v>2013</v>
      </c>
      <c r="B72" s="38" t="str">
        <f>'2019_Download_5-1-1'!B81</f>
        <v>Handel, Instandhaltung und Reparatur von Kfz</v>
      </c>
      <c r="C72" s="10" t="str">
        <f>'2019_Download_5-1-1'!$F$8</f>
        <v>Insgesamt</v>
      </c>
      <c r="D72" s="37" t="s">
        <v>157</v>
      </c>
      <c r="E72" s="37">
        <v>102.08666000000001</v>
      </c>
      <c r="F72" s="25">
        <f>'2019_Download_5-1-1'!F81</f>
        <v>102.08666000000001</v>
      </c>
      <c r="G72" s="10">
        <f t="shared" si="2"/>
        <v>102.08666000000001</v>
      </c>
    </row>
    <row r="73" spans="1:7" x14ac:dyDescent="0.2">
      <c r="A73" s="10">
        <f>'2019_Download_5-1-1'!C82</f>
        <v>2013</v>
      </c>
      <c r="B73" s="38" t="str">
        <f>'2019_Download_5-1-1'!B82</f>
        <v>Verkehr und Lagerei; Information und Kommunikation</v>
      </c>
      <c r="C73" s="10" t="str">
        <f>'2019_Download_5-1-1'!$F$8</f>
        <v>Insgesamt</v>
      </c>
      <c r="D73" s="37" t="s">
        <v>158</v>
      </c>
      <c r="E73" s="37">
        <v>42.454999999999998</v>
      </c>
      <c r="F73" s="25">
        <f>'2019_Download_5-1-1'!F82</f>
        <v>42.454999999999998</v>
      </c>
      <c r="G73" s="10">
        <f t="shared" si="2"/>
        <v>42.454999999999998</v>
      </c>
    </row>
    <row r="74" spans="1:7" x14ac:dyDescent="0.2">
      <c r="A74" s="10">
        <f>'2019_Download_5-1-1'!C83</f>
        <v>2013</v>
      </c>
      <c r="B74" s="38" t="str">
        <f>'2019_Download_5-1-1'!B83</f>
        <v>Gastgewerbe</v>
      </c>
      <c r="C74" s="10" t="str">
        <f>'2019_Download_5-1-1'!$F$8</f>
        <v>Insgesamt</v>
      </c>
      <c r="D74" s="37" t="s">
        <v>159</v>
      </c>
      <c r="E74" s="37">
        <v>47.839080000000003</v>
      </c>
      <c r="F74" s="25">
        <f>'2019_Download_5-1-1'!F83</f>
        <v>47.839080000000003</v>
      </c>
      <c r="G74" s="10">
        <f t="shared" si="2"/>
        <v>47.839080000000003</v>
      </c>
    </row>
    <row r="75" spans="1:7" x14ac:dyDescent="0.2">
      <c r="A75" s="10">
        <f>'2019_Download_5-1-1'!C84</f>
        <v>2013</v>
      </c>
      <c r="B75" s="38" t="str">
        <f>'2019_Download_5-1-1'!B84</f>
        <v>Erbringung von Finanz- und Versicherungsleistungen; Grundstücks- und Wohnungswesen; Freiberufliche, wiss. u. techn. Dienstleistungen; sonst. wirt. Dienstleistungen</v>
      </c>
      <c r="C75" s="10" t="str">
        <f>'2019_Download_5-1-1'!$F$8</f>
        <v>Insgesamt</v>
      </c>
      <c r="D75" s="37" t="s">
        <v>160</v>
      </c>
      <c r="E75" s="37">
        <v>71.117670000000004</v>
      </c>
      <c r="F75" s="25">
        <f>'2019_Download_5-1-1'!F84</f>
        <v>71.117670000000004</v>
      </c>
      <c r="G75" s="10">
        <f t="shared" si="2"/>
        <v>71.117670000000004</v>
      </c>
    </row>
    <row r="76" spans="1:7" x14ac:dyDescent="0.2">
      <c r="A76" s="10">
        <f>'2019_Download_5-1-1'!C85</f>
        <v>2013</v>
      </c>
      <c r="B76" s="38" t="str">
        <f>'2019_Download_5-1-1'!B85</f>
        <v>ÖffentlicheVerwaltung, Verteidigung, Sozialversicherung; Erziehung und Unterricht; Gesundheits- und Sozialwesen</v>
      </c>
      <c r="C76" s="10" t="str">
        <f>'2019_Download_5-1-1'!$F$8</f>
        <v>Insgesamt</v>
      </c>
      <c r="D76" s="37" t="s">
        <v>161</v>
      </c>
      <c r="E76" s="37">
        <v>111.62260999999999</v>
      </c>
      <c r="F76" s="25">
        <f>'2019_Download_5-1-1'!F85</f>
        <v>111.62260999999999</v>
      </c>
      <c r="G76" s="10">
        <f t="shared" si="2"/>
        <v>111.62260999999999</v>
      </c>
    </row>
    <row r="77" spans="1:7" x14ac:dyDescent="0.2">
      <c r="A77" s="10">
        <f>'2019_Download_5-1-1'!C86</f>
        <v>2013</v>
      </c>
      <c r="B77" s="38" t="str">
        <f>'2019_Download_5-1-1'!B86</f>
        <v>Kunst, Unterhaltung und Erholung; Erbringung von sonstigen Dienstleistungen</v>
      </c>
      <c r="C77" s="10" t="str">
        <f>'2019_Download_5-1-1'!$F$8</f>
        <v>Insgesamt</v>
      </c>
      <c r="D77" s="37" t="s">
        <v>162</v>
      </c>
      <c r="E77" s="37">
        <v>30.32854</v>
      </c>
      <c r="F77" s="25">
        <f>'2019_Download_5-1-1'!F86</f>
        <v>30.32854</v>
      </c>
      <c r="G77" s="10">
        <f t="shared" si="2"/>
        <v>30.32854</v>
      </c>
    </row>
    <row r="78" spans="1:7" x14ac:dyDescent="0.2">
      <c r="A78" s="10">
        <f>'2019_Download_5-1-1'!C87</f>
        <v>2013</v>
      </c>
      <c r="B78" s="38" t="str">
        <f>'2019_Download_5-1-1'!B87</f>
        <v>Insgesamt (inkl. sonstiger Abschnitte)</v>
      </c>
      <c r="C78" s="10" t="str">
        <f>'2019_Download_5-1-1'!$F$8</f>
        <v>Insgesamt</v>
      </c>
      <c r="D78" s="37" t="s">
        <v>163</v>
      </c>
      <c r="E78" s="37">
        <v>600.97931000000005</v>
      </c>
      <c r="F78" s="29">
        <f>'2019_Download_5-1-1'!F87</f>
        <v>600.97931000000005</v>
      </c>
      <c r="G78" s="10">
        <f t="shared" si="2"/>
        <v>600.97931000000005</v>
      </c>
    </row>
    <row r="79" spans="1:7" x14ac:dyDescent="0.2">
      <c r="A79" s="10">
        <f>'2019_Download_5-1-1'!C88</f>
        <v>2012</v>
      </c>
      <c r="B79" s="38" t="str">
        <f>'2019_Download_5-1-1'!B88</f>
        <v>Land- und Forstwirtschaft, Fischerei</v>
      </c>
      <c r="C79" s="10" t="str">
        <f>'2019_Download_5-1-1'!$F$8</f>
        <v>Insgesamt</v>
      </c>
      <c r="D79" s="37" t="s">
        <v>164</v>
      </c>
      <c r="E79" s="37" t="s">
        <v>739</v>
      </c>
      <c r="F79" s="25">
        <f>'2019_Download_5-1-1'!F88</f>
        <v>7.1029499999999999</v>
      </c>
      <c r="G79" s="10" t="str">
        <f t="shared" si="2"/>
        <v>(7,1)</v>
      </c>
    </row>
    <row r="80" spans="1:7" x14ac:dyDescent="0.2">
      <c r="A80" s="10">
        <f>'2019_Download_5-1-1'!C89</f>
        <v>2012</v>
      </c>
      <c r="B80" s="38" t="str">
        <f>'2019_Download_5-1-1'!B89</f>
        <v>Bergbau und Gewinnung von Steinen und Erden; Verarbeitendes Gewerbe</v>
      </c>
      <c r="C80" s="10" t="str">
        <f>'2019_Download_5-1-1'!$F$8</f>
        <v>Insgesamt</v>
      </c>
      <c r="D80" s="37" t="s">
        <v>165</v>
      </c>
      <c r="E80" s="37">
        <v>131.66735999999997</v>
      </c>
      <c r="F80" s="25">
        <f>'2019_Download_5-1-1'!F89</f>
        <v>131.66735999999997</v>
      </c>
      <c r="G80" s="10">
        <f t="shared" si="2"/>
        <v>131.66735999999997</v>
      </c>
    </row>
    <row r="81" spans="1:7" x14ac:dyDescent="0.2">
      <c r="A81" s="10">
        <f>'2019_Download_5-1-1'!C90</f>
        <v>2012</v>
      </c>
      <c r="B81" s="38" t="str">
        <f>'2019_Download_5-1-1'!B90</f>
        <v>Energieversorgung; Wasserversorgung, Entsorg., Beseitig. v. Umweltverschmutzungen</v>
      </c>
      <c r="C81" s="10" t="str">
        <f>'2019_Download_5-1-1'!$F$8</f>
        <v>Insgesamt</v>
      </c>
      <c r="D81" s="37" t="s">
        <v>166</v>
      </c>
      <c r="E81" s="37" t="s">
        <v>740</v>
      </c>
      <c r="F81" s="25">
        <f>'2019_Download_5-1-1'!F90</f>
        <v>6.7076599999999997</v>
      </c>
      <c r="G81" s="10" t="str">
        <f t="shared" si="2"/>
        <v>(6,7)</v>
      </c>
    </row>
    <row r="82" spans="1:7" x14ac:dyDescent="0.2">
      <c r="A82" s="10">
        <f>'2019_Download_5-1-1'!C91</f>
        <v>2012</v>
      </c>
      <c r="B82" s="38" t="str">
        <f>'2019_Download_5-1-1'!B91</f>
        <v>Baugewerbe</v>
      </c>
      <c r="C82" s="10" t="str">
        <f>'2019_Download_5-1-1'!$F$8</f>
        <v>Insgesamt</v>
      </c>
      <c r="D82" s="37" t="s">
        <v>167</v>
      </c>
      <c r="E82" s="37">
        <v>40.429690000000001</v>
      </c>
      <c r="F82" s="25">
        <f>'2019_Download_5-1-1'!F91</f>
        <v>40.429690000000001</v>
      </c>
      <c r="G82" s="10">
        <f t="shared" si="2"/>
        <v>40.429690000000001</v>
      </c>
    </row>
    <row r="83" spans="1:7" x14ac:dyDescent="0.2">
      <c r="A83" s="10">
        <f>'2019_Download_5-1-1'!C92</f>
        <v>2012</v>
      </c>
      <c r="B83" s="38" t="str">
        <f>'2019_Download_5-1-1'!B92</f>
        <v>Handel, Instandhaltung und Reparatur von Kfz</v>
      </c>
      <c r="C83" s="10" t="str">
        <f>'2019_Download_5-1-1'!$F$8</f>
        <v>Insgesamt</v>
      </c>
      <c r="D83" s="37" t="s">
        <v>168</v>
      </c>
      <c r="E83" s="37">
        <v>83.402509999999992</v>
      </c>
      <c r="F83" s="25">
        <f>'2019_Download_5-1-1'!F92</f>
        <v>83.402509999999992</v>
      </c>
      <c r="G83" s="10">
        <f t="shared" si="2"/>
        <v>83.402509999999992</v>
      </c>
    </row>
    <row r="84" spans="1:7" x14ac:dyDescent="0.2">
      <c r="A84" s="10">
        <f>'2019_Download_5-1-1'!C93</f>
        <v>2012</v>
      </c>
      <c r="B84" s="38" t="str">
        <f>'2019_Download_5-1-1'!B93</f>
        <v>Verkehr und Lagerei; Information und Kommunikation</v>
      </c>
      <c r="C84" s="10" t="str">
        <f>'2019_Download_5-1-1'!$F$8</f>
        <v>Insgesamt</v>
      </c>
      <c r="D84" s="37" t="s">
        <v>169</v>
      </c>
      <c r="E84" s="37">
        <v>39.509610000000002</v>
      </c>
      <c r="F84" s="25">
        <f>'2019_Download_5-1-1'!F93</f>
        <v>39.509610000000002</v>
      </c>
      <c r="G84" s="10">
        <f t="shared" si="2"/>
        <v>39.509610000000002</v>
      </c>
    </row>
    <row r="85" spans="1:7" x14ac:dyDescent="0.2">
      <c r="A85" s="10">
        <f>'2019_Download_5-1-1'!C94</f>
        <v>2012</v>
      </c>
      <c r="B85" s="38" t="str">
        <f>'2019_Download_5-1-1'!B94</f>
        <v>Gastgewerbe</v>
      </c>
      <c r="C85" s="10" t="str">
        <f>'2019_Download_5-1-1'!$F$8</f>
        <v>Insgesamt</v>
      </c>
      <c r="D85" s="37" t="s">
        <v>170</v>
      </c>
      <c r="E85" s="37">
        <v>45.348269999999999</v>
      </c>
      <c r="F85" s="25">
        <f>'2019_Download_5-1-1'!F94</f>
        <v>45.348269999999999</v>
      </c>
      <c r="G85" s="10">
        <f t="shared" si="2"/>
        <v>45.348269999999999</v>
      </c>
    </row>
    <row r="86" spans="1:7" x14ac:dyDescent="0.2">
      <c r="A86" s="10">
        <f>'2019_Download_5-1-1'!C95</f>
        <v>2012</v>
      </c>
      <c r="B86" s="38" t="str">
        <f>'2019_Download_5-1-1'!B95</f>
        <v>Erbringung von Finanz- und Versicherungsleistungen; Grundstücks- und Wohnungswesen; Freiberufliche, wiss. u. techn. Dienstleistungen; sonst. wirt. Dienstleistungen</v>
      </c>
      <c r="C86" s="10" t="str">
        <f>'2019_Download_5-1-1'!$F$8</f>
        <v>Insgesamt</v>
      </c>
      <c r="D86" s="37" t="s">
        <v>171</v>
      </c>
      <c r="E86" s="37">
        <v>64.83805000000001</v>
      </c>
      <c r="F86" s="25">
        <f>'2019_Download_5-1-1'!F95</f>
        <v>64.83805000000001</v>
      </c>
      <c r="G86" s="10">
        <f t="shared" si="2"/>
        <v>64.83805000000001</v>
      </c>
    </row>
    <row r="87" spans="1:7" x14ac:dyDescent="0.2">
      <c r="A87" s="10">
        <f>'2019_Download_5-1-1'!C96</f>
        <v>2012</v>
      </c>
      <c r="B87" s="38" t="str">
        <f>'2019_Download_5-1-1'!B96</f>
        <v>Öff.Verwaltung, Verteidigung, Sozialversicherung; Erziehung und Unterricht; Gesundheits- und Sozialwesen</v>
      </c>
      <c r="C87" s="10" t="str">
        <f>'2019_Download_5-1-1'!$F$8</f>
        <v>Insgesamt</v>
      </c>
      <c r="D87" s="37" t="s">
        <v>172</v>
      </c>
      <c r="E87" s="37">
        <v>107.72747</v>
      </c>
      <c r="F87" s="25">
        <f>'2019_Download_5-1-1'!F96</f>
        <v>107.72747</v>
      </c>
      <c r="G87" s="10">
        <f t="shared" si="2"/>
        <v>107.72747</v>
      </c>
    </row>
    <row r="88" spans="1:7" x14ac:dyDescent="0.2">
      <c r="A88" s="10">
        <f>'2019_Download_5-1-1'!C97</f>
        <v>2012</v>
      </c>
      <c r="B88" s="38" t="str">
        <f>'2019_Download_5-1-1'!B97</f>
        <v>Kunst, Unterhaltung und Erholung; Erbringung von sonstigen Dienstleistungen</v>
      </c>
      <c r="C88" s="10" t="str">
        <f>'2019_Download_5-1-1'!$F$8</f>
        <v>Insgesamt</v>
      </c>
      <c r="D88" s="37" t="s">
        <v>173</v>
      </c>
      <c r="E88" s="37">
        <v>31.068000000000001</v>
      </c>
      <c r="F88" s="25">
        <f>'2019_Download_5-1-1'!F97</f>
        <v>31.068000000000001</v>
      </c>
      <c r="G88" s="10">
        <f t="shared" si="2"/>
        <v>31.068000000000001</v>
      </c>
    </row>
    <row r="89" spans="1:7" x14ac:dyDescent="0.2">
      <c r="A89" s="10">
        <f>'2019_Download_5-1-1'!C98</f>
        <v>2012</v>
      </c>
      <c r="B89" s="38" t="str">
        <f>'2019_Download_5-1-1'!B98</f>
        <v>Insgesamt (inkl. sonstiger Abschnitte)</v>
      </c>
      <c r="C89" s="10" t="str">
        <f>'2019_Download_5-1-1'!$F$8</f>
        <v>Insgesamt</v>
      </c>
      <c r="D89" s="37" t="s">
        <v>174</v>
      </c>
      <c r="E89" s="37">
        <v>565.63010999999995</v>
      </c>
      <c r="F89" s="29">
        <f>'2019_Download_5-1-1'!F98</f>
        <v>565.63010999999995</v>
      </c>
      <c r="G89" s="10">
        <f t="shared" si="2"/>
        <v>565.63010999999995</v>
      </c>
    </row>
    <row r="90" spans="1:7" x14ac:dyDescent="0.2">
      <c r="A90" s="10">
        <f>'2019_Download_5-1-1'!C99</f>
        <v>2011</v>
      </c>
      <c r="B90" s="38" t="str">
        <f>'2019_Download_5-1-1'!B99</f>
        <v>Land- und Forstwirtschaft, Fischerei</v>
      </c>
      <c r="C90" s="10" t="str">
        <f>'2019_Download_5-1-1'!$F$8</f>
        <v>Insgesamt</v>
      </c>
      <c r="D90" s="37" t="s">
        <v>175</v>
      </c>
      <c r="E90" s="37" t="s">
        <v>741</v>
      </c>
      <c r="F90" s="25">
        <f>'2019_Download_5-1-1'!F99</f>
        <v>9.8370099999999994</v>
      </c>
      <c r="G90" s="10" t="str">
        <f t="shared" si="2"/>
        <v>(9,8)</v>
      </c>
    </row>
    <row r="91" spans="1:7" x14ac:dyDescent="0.2">
      <c r="A91" s="10">
        <f>'2019_Download_5-1-1'!C100</f>
        <v>2011</v>
      </c>
      <c r="B91" s="38" t="str">
        <f>'2019_Download_5-1-1'!B100</f>
        <v>Bergbau und Gewinnung von Steinen und Erden; Verarbeitendes Gewerbe</v>
      </c>
      <c r="C91" s="10" t="str">
        <f>'2019_Download_5-1-1'!$F$8</f>
        <v>Insgesamt</v>
      </c>
      <c r="D91" s="37" t="s">
        <v>176</v>
      </c>
      <c r="E91" s="37">
        <v>127.25463000000001</v>
      </c>
      <c r="F91" s="25">
        <f>'2019_Download_5-1-1'!F100</f>
        <v>127.25463000000001</v>
      </c>
      <c r="G91" s="10">
        <f t="shared" si="2"/>
        <v>127.25463000000001</v>
      </c>
    </row>
    <row r="92" spans="1:7" x14ac:dyDescent="0.2">
      <c r="A92" s="10">
        <f>'2019_Download_5-1-1'!C101</f>
        <v>2011</v>
      </c>
      <c r="B92" s="38" t="str">
        <f>'2019_Download_5-1-1'!B101</f>
        <v>Energieversorgung; Wasserversorgung, Entsorg., Beseitig. v. Umweltverschmutzungen</v>
      </c>
      <c r="C92" s="10" t="str">
        <f>'2019_Download_5-1-1'!$F$8</f>
        <v>Insgesamt</v>
      </c>
      <c r="D92" s="37" t="s">
        <v>177</v>
      </c>
      <c r="E92" s="37" t="s">
        <v>742</v>
      </c>
      <c r="F92" s="25">
        <f>'2019_Download_5-1-1'!F101</f>
        <v>7.4378900000000003</v>
      </c>
      <c r="G92" s="10" t="str">
        <f t="shared" si="2"/>
        <v>(7,4)</v>
      </c>
    </row>
    <row r="93" spans="1:7" x14ac:dyDescent="0.2">
      <c r="A93" s="10">
        <f>'2019_Download_5-1-1'!C102</f>
        <v>2011</v>
      </c>
      <c r="B93" s="38" t="str">
        <f>'2019_Download_5-1-1'!B102</f>
        <v>Baugewerbe</v>
      </c>
      <c r="C93" s="10" t="str">
        <f>'2019_Download_5-1-1'!$F$8</f>
        <v>Insgesamt</v>
      </c>
      <c r="D93" s="37" t="s">
        <v>178</v>
      </c>
      <c r="E93" s="37">
        <v>41.391580000000005</v>
      </c>
      <c r="F93" s="25">
        <f>'2019_Download_5-1-1'!F102</f>
        <v>41.391580000000005</v>
      </c>
      <c r="G93" s="10">
        <f t="shared" si="2"/>
        <v>41.391580000000005</v>
      </c>
    </row>
    <row r="94" spans="1:7" x14ac:dyDescent="0.2">
      <c r="A94" s="10">
        <f>'2019_Download_5-1-1'!C103</f>
        <v>2011</v>
      </c>
      <c r="B94" s="38" t="str">
        <f>'2019_Download_5-1-1'!B103</f>
        <v>Handel, Instandhaltung und Reparatur von Kfz</v>
      </c>
      <c r="C94" s="10" t="str">
        <f>'2019_Download_5-1-1'!$F$8</f>
        <v>Insgesamt</v>
      </c>
      <c r="D94" s="37" t="s">
        <v>179</v>
      </c>
      <c r="E94" s="37">
        <v>86.493110000000001</v>
      </c>
      <c r="F94" s="25">
        <f>'2019_Download_5-1-1'!F103</f>
        <v>86.493110000000001</v>
      </c>
      <c r="G94" s="10">
        <f t="shared" si="2"/>
        <v>86.493110000000001</v>
      </c>
    </row>
    <row r="95" spans="1:7" x14ac:dyDescent="0.2">
      <c r="A95" s="10">
        <f>'2019_Download_5-1-1'!C104</f>
        <v>2011</v>
      </c>
      <c r="B95" s="38" t="str">
        <f>'2019_Download_5-1-1'!B104</f>
        <v>Verkehr und Lagerei; Information und Kommunikation</v>
      </c>
      <c r="C95" s="10" t="str">
        <f>'2019_Download_5-1-1'!$F$8</f>
        <v>Insgesamt</v>
      </c>
      <c r="D95" s="37" t="s">
        <v>180</v>
      </c>
      <c r="E95" s="37">
        <v>35.643279999999997</v>
      </c>
      <c r="F95" s="25">
        <f>'2019_Download_5-1-1'!F104</f>
        <v>35.643279999999997</v>
      </c>
      <c r="G95" s="10">
        <f t="shared" si="2"/>
        <v>35.643279999999997</v>
      </c>
    </row>
    <row r="96" spans="1:7" x14ac:dyDescent="0.2">
      <c r="A96" s="10">
        <f>'2019_Download_5-1-1'!C105</f>
        <v>2011</v>
      </c>
      <c r="B96" s="38" t="str">
        <f>'2019_Download_5-1-1'!B105</f>
        <v>Gastgewerbe</v>
      </c>
      <c r="C96" s="10" t="str">
        <f>'2019_Download_5-1-1'!$F$8</f>
        <v>Insgesamt</v>
      </c>
      <c r="D96" s="37" t="s">
        <v>181</v>
      </c>
      <c r="E96" s="37">
        <v>43.460500000000003</v>
      </c>
      <c r="F96" s="25">
        <f>'2019_Download_5-1-1'!F105</f>
        <v>43.460500000000003</v>
      </c>
      <c r="G96" s="10">
        <f t="shared" si="2"/>
        <v>43.460500000000003</v>
      </c>
    </row>
    <row r="97" spans="1:7" x14ac:dyDescent="0.2">
      <c r="A97" s="10">
        <f>'2019_Download_5-1-1'!C106</f>
        <v>2011</v>
      </c>
      <c r="B97" s="38" t="str">
        <f>'2019_Download_5-1-1'!B106</f>
        <v>Erbringung von Finanz- und Versicherungsleistungen; Grundstücks- und Wohnungswesen; Freiberufliche, wiss. u. techn. Dienstleistungen; sonst. wirt. Dienstleistungen</v>
      </c>
      <c r="C97" s="10" t="str">
        <f>'2019_Download_5-1-1'!$F$8</f>
        <v>Insgesamt</v>
      </c>
      <c r="D97" s="37" t="s">
        <v>182</v>
      </c>
      <c r="E97" s="37">
        <v>65.770049999999998</v>
      </c>
      <c r="F97" s="25">
        <f>'2019_Download_5-1-1'!F106</f>
        <v>65.770049999999998</v>
      </c>
      <c r="G97" s="10">
        <f t="shared" si="2"/>
        <v>65.770049999999998</v>
      </c>
    </row>
    <row r="98" spans="1:7" x14ac:dyDescent="0.2">
      <c r="A98" s="10">
        <f>'2019_Download_5-1-1'!C107</f>
        <v>2011</v>
      </c>
      <c r="B98" s="38" t="str">
        <f>'2019_Download_5-1-1'!B107</f>
        <v>Öff.Verwaltung, Verteidigung, Sozialversicherung; Erziehung und Unterricht; Gesundheits- und Sozialwesen</v>
      </c>
      <c r="C98" s="10" t="str">
        <f>'2019_Download_5-1-1'!$F$8</f>
        <v>Insgesamt</v>
      </c>
      <c r="D98" s="37" t="s">
        <v>183</v>
      </c>
      <c r="E98" s="37">
        <v>101.65639</v>
      </c>
      <c r="F98" s="25">
        <f>'2019_Download_5-1-1'!F107</f>
        <v>101.65639</v>
      </c>
      <c r="G98" s="10">
        <f t="shared" si="2"/>
        <v>101.65639</v>
      </c>
    </row>
    <row r="99" spans="1:7" x14ac:dyDescent="0.2">
      <c r="A99" s="10">
        <f>'2019_Download_5-1-1'!C108</f>
        <v>2011</v>
      </c>
      <c r="B99" s="38" t="str">
        <f>'2019_Download_5-1-1'!B108</f>
        <v>Kunst, Unterhaltung und Erholung; Erbringung von sonstigen Dienstleistungen</v>
      </c>
      <c r="C99" s="10" t="str">
        <f>'2019_Download_5-1-1'!$F$8</f>
        <v>Insgesamt</v>
      </c>
      <c r="D99" s="37" t="s">
        <v>184</v>
      </c>
      <c r="E99" s="37">
        <v>23.8918</v>
      </c>
      <c r="F99" s="25">
        <f>'2019_Download_5-1-1'!F108</f>
        <v>23.8918</v>
      </c>
      <c r="G99" s="10">
        <f t="shared" si="2"/>
        <v>23.8918</v>
      </c>
    </row>
    <row r="100" spans="1:7" x14ac:dyDescent="0.2">
      <c r="A100" s="10">
        <f>'2019_Download_5-1-1'!C109</f>
        <v>2011</v>
      </c>
      <c r="B100" s="38" t="str">
        <f>'2019_Download_5-1-1'!B109</f>
        <v>Insgesamt (inkl. sonstiger Abschnitte)</v>
      </c>
      <c r="C100" s="10" t="str">
        <f>'2019_Download_5-1-1'!$F$8</f>
        <v>Insgesamt</v>
      </c>
      <c r="D100" s="37" t="s">
        <v>185</v>
      </c>
      <c r="E100" s="37">
        <v>548.69432999999992</v>
      </c>
      <c r="F100" s="29">
        <f>'2019_Download_5-1-1'!F109</f>
        <v>548.69432999999992</v>
      </c>
      <c r="G100" s="10">
        <f t="shared" si="2"/>
        <v>548.69432999999992</v>
      </c>
    </row>
    <row r="101" spans="1:7" x14ac:dyDescent="0.2">
      <c r="A101" s="10">
        <f>'2019_Download_5-1-1'!C110</f>
        <v>2010</v>
      </c>
      <c r="B101" s="38" t="str">
        <f>'2019_Download_5-1-1'!B110</f>
        <v>Land- und Forstwirtschaft, Fischerei</v>
      </c>
      <c r="C101" s="10" t="str">
        <f>'2019_Download_5-1-1'!$F$8</f>
        <v>Insgesamt</v>
      </c>
      <c r="D101" s="37" t="s">
        <v>186</v>
      </c>
      <c r="E101" s="37" t="s">
        <v>743</v>
      </c>
      <c r="F101" s="25">
        <f>'2019_Download_5-1-1'!F110</f>
        <v>7.90266</v>
      </c>
      <c r="G101" s="10" t="str">
        <f t="shared" si="2"/>
        <v>(7,9)</v>
      </c>
    </row>
    <row r="102" spans="1:7" x14ac:dyDescent="0.2">
      <c r="A102" s="10">
        <f>'2019_Download_5-1-1'!C111</f>
        <v>2010</v>
      </c>
      <c r="B102" s="38" t="str">
        <f>'2019_Download_5-1-1'!B111</f>
        <v>Bergbau und Gewinnung von Steinen und Erden; Verarbeitendes Gewerbe</v>
      </c>
      <c r="C102" s="10" t="str">
        <f>'2019_Download_5-1-1'!$F$8</f>
        <v>Insgesamt</v>
      </c>
      <c r="D102" s="37" t="s">
        <v>187</v>
      </c>
      <c r="E102" s="37">
        <v>129.84918999999999</v>
      </c>
      <c r="F102" s="25">
        <f>'2019_Download_5-1-1'!F111</f>
        <v>129.84918999999999</v>
      </c>
      <c r="G102" s="10">
        <f t="shared" si="2"/>
        <v>129.84918999999999</v>
      </c>
    </row>
    <row r="103" spans="1:7" x14ac:dyDescent="0.2">
      <c r="A103" s="10">
        <f>'2019_Download_5-1-1'!C112</f>
        <v>2010</v>
      </c>
      <c r="B103" s="38" t="str">
        <f>'2019_Download_5-1-1'!B112</f>
        <v>Energieversorgung; Wasserversorgung, Entsorg., Beseitig. v. Umweltverschmutzungen</v>
      </c>
      <c r="C103" s="10" t="str">
        <f>'2019_Download_5-1-1'!$F$8</f>
        <v>Insgesamt</v>
      </c>
      <c r="D103" s="37" t="s">
        <v>188</v>
      </c>
      <c r="E103" s="37" t="s">
        <v>744</v>
      </c>
      <c r="F103" s="25">
        <f>'2019_Download_5-1-1'!F112</f>
        <v>6.0895600000000005</v>
      </c>
      <c r="G103" s="10" t="str">
        <f t="shared" si="2"/>
        <v>(6,1)</v>
      </c>
    </row>
    <row r="104" spans="1:7" x14ac:dyDescent="0.2">
      <c r="A104" s="10">
        <f>'2019_Download_5-1-1'!C113</f>
        <v>2010</v>
      </c>
      <c r="B104" s="38" t="str">
        <f>'2019_Download_5-1-1'!B113</f>
        <v>Baugewerbe</v>
      </c>
      <c r="C104" s="10" t="str">
        <f>'2019_Download_5-1-1'!$F$8</f>
        <v>Insgesamt</v>
      </c>
      <c r="D104" s="37" t="s">
        <v>189</v>
      </c>
      <c r="E104" s="37">
        <v>38.963010000000004</v>
      </c>
      <c r="F104" s="25">
        <f>'2019_Download_5-1-1'!F113</f>
        <v>38.963010000000004</v>
      </c>
      <c r="G104" s="10">
        <f t="shared" si="2"/>
        <v>38.963010000000004</v>
      </c>
    </row>
    <row r="105" spans="1:7" x14ac:dyDescent="0.2">
      <c r="A105" s="10">
        <f>'2019_Download_5-1-1'!C114</f>
        <v>2010</v>
      </c>
      <c r="B105" s="38" t="str">
        <f>'2019_Download_5-1-1'!B114</f>
        <v>Handel, Instandhaltung und Reparatur von Kfz</v>
      </c>
      <c r="C105" s="10" t="str">
        <f>'2019_Download_5-1-1'!$F$8</f>
        <v>Insgesamt</v>
      </c>
      <c r="D105" s="37" t="s">
        <v>190</v>
      </c>
      <c r="E105" s="37">
        <v>83.05167999999999</v>
      </c>
      <c r="F105" s="25">
        <f>'2019_Download_5-1-1'!F114</f>
        <v>83.05167999999999</v>
      </c>
      <c r="G105" s="10">
        <f t="shared" si="2"/>
        <v>83.05167999999999</v>
      </c>
    </row>
    <row r="106" spans="1:7" x14ac:dyDescent="0.2">
      <c r="A106" s="10">
        <f>'2019_Download_5-1-1'!C115</f>
        <v>2010</v>
      </c>
      <c r="B106" s="38" t="str">
        <f>'2019_Download_5-1-1'!B115</f>
        <v>Verkehr und Lagerei; Information und Kommunikation</v>
      </c>
      <c r="C106" s="10" t="str">
        <f>'2019_Download_5-1-1'!$F$8</f>
        <v>Insgesamt</v>
      </c>
      <c r="D106" s="37" t="s">
        <v>191</v>
      </c>
      <c r="E106" s="37">
        <v>36.23751</v>
      </c>
      <c r="F106" s="25">
        <f>'2019_Download_5-1-1'!F115</f>
        <v>36.23751</v>
      </c>
      <c r="G106" s="10">
        <f t="shared" si="2"/>
        <v>36.23751</v>
      </c>
    </row>
    <row r="107" spans="1:7" x14ac:dyDescent="0.2">
      <c r="A107" s="10">
        <f>'2019_Download_5-1-1'!C116</f>
        <v>2010</v>
      </c>
      <c r="B107" s="38" t="str">
        <f>'2019_Download_5-1-1'!B116</f>
        <v>Gastgewerbe</v>
      </c>
      <c r="C107" s="10" t="str">
        <f>'2019_Download_5-1-1'!$F$8</f>
        <v>Insgesamt</v>
      </c>
      <c r="D107" s="37" t="s">
        <v>192</v>
      </c>
      <c r="E107" s="37">
        <v>43.089230000000001</v>
      </c>
      <c r="F107" s="25">
        <f>'2019_Download_5-1-1'!F116</f>
        <v>43.089230000000001</v>
      </c>
      <c r="G107" s="10">
        <f t="shared" si="2"/>
        <v>43.089230000000001</v>
      </c>
    </row>
    <row r="108" spans="1:7" x14ac:dyDescent="0.2">
      <c r="A108" s="10">
        <f>'2019_Download_5-1-1'!C117</f>
        <v>2010</v>
      </c>
      <c r="B108" s="38" t="str">
        <f>'2019_Download_5-1-1'!B117</f>
        <v>Erbringung von Finanz- und Versicherungsleistungen; Grundstücks- und Wohnungswesen; Freiberufliche, wiss. u. techn. Dienstleistungen; sonst. wirt. Dienstleistungen</v>
      </c>
      <c r="C108" s="10" t="str">
        <f>'2019_Download_5-1-1'!$F$8</f>
        <v>Insgesamt</v>
      </c>
      <c r="D108" s="37" t="s">
        <v>193</v>
      </c>
      <c r="E108" s="37">
        <v>66.08847999999999</v>
      </c>
      <c r="F108" s="25">
        <f>'2019_Download_5-1-1'!F117</f>
        <v>66.08847999999999</v>
      </c>
      <c r="G108" s="10">
        <f t="shared" si="2"/>
        <v>66.08847999999999</v>
      </c>
    </row>
    <row r="109" spans="1:7" x14ac:dyDescent="0.2">
      <c r="A109" s="10">
        <f>'2019_Download_5-1-1'!C118</f>
        <v>2010</v>
      </c>
      <c r="B109" s="38" t="str">
        <f>'2019_Download_5-1-1'!B118</f>
        <v>Öff.Verwaltung, Verteidigung, Sozialversicherung; Erziehung und Unterricht; Gesundheits- und Sozialwesen</v>
      </c>
      <c r="C109" s="10" t="str">
        <f>'2019_Download_5-1-1'!$F$8</f>
        <v>Insgesamt</v>
      </c>
      <c r="D109" s="37" t="s">
        <v>194</v>
      </c>
      <c r="E109" s="37">
        <v>110.24489</v>
      </c>
      <c r="F109" s="25">
        <f>'2019_Download_5-1-1'!F118</f>
        <v>110.24489</v>
      </c>
      <c r="G109" s="10">
        <f t="shared" si="2"/>
        <v>110.24489</v>
      </c>
    </row>
    <row r="110" spans="1:7" x14ac:dyDescent="0.2">
      <c r="A110" s="10">
        <f>'2019_Download_5-1-1'!C119</f>
        <v>2010</v>
      </c>
      <c r="B110" s="38" t="str">
        <f>'2019_Download_5-1-1'!B119</f>
        <v>Kunst, Unterhaltung und Erholung; Erbringung von sonstigen Dienstleistungen</v>
      </c>
      <c r="C110" s="10" t="str">
        <f>'2019_Download_5-1-1'!$F$8</f>
        <v>Insgesamt</v>
      </c>
      <c r="D110" s="37" t="s">
        <v>195</v>
      </c>
      <c r="E110" s="37">
        <v>25.877380000000002</v>
      </c>
      <c r="F110" s="25">
        <f>'2019_Download_5-1-1'!F119</f>
        <v>25.877380000000002</v>
      </c>
      <c r="G110" s="10">
        <f t="shared" si="2"/>
        <v>25.877380000000002</v>
      </c>
    </row>
    <row r="111" spans="1:7" x14ac:dyDescent="0.2">
      <c r="A111" s="10">
        <f>'2019_Download_5-1-1'!C120</f>
        <v>2010</v>
      </c>
      <c r="B111" s="38" t="str">
        <f>'2019_Download_5-1-1'!B120</f>
        <v>Insgesamt (inkl. sonstiger Abschnitte)</v>
      </c>
      <c r="C111" s="10" t="str">
        <f>'2019_Download_5-1-1'!$F$8</f>
        <v>Insgesamt</v>
      </c>
      <c r="D111" s="37" t="s">
        <v>196</v>
      </c>
      <c r="E111" s="37">
        <v>553.26731000000007</v>
      </c>
      <c r="F111" s="29">
        <f>'2019_Download_5-1-1'!F120</f>
        <v>553.26731000000007</v>
      </c>
      <c r="G111" s="10">
        <f t="shared" si="2"/>
        <v>553.26731000000007</v>
      </c>
    </row>
    <row r="112" spans="1:7" x14ac:dyDescent="0.2">
      <c r="A112" s="10">
        <f>'2019_Download_5-1-1'!C121</f>
        <v>2005</v>
      </c>
      <c r="B112" s="38" t="str">
        <f>'2019_Download_5-1-1'!B121</f>
        <v>Land- und Forstwirtschaft; Fischerei und Fischzucht</v>
      </c>
      <c r="C112" s="10" t="str">
        <f>'2019_Download_5-1-1'!$F$8</f>
        <v>Insgesamt</v>
      </c>
      <c r="D112" s="37" t="s">
        <v>197</v>
      </c>
      <c r="E112" s="37">
        <v>11.2</v>
      </c>
      <c r="F112" s="25">
        <f>'2019_Download_5-1-1'!F121</f>
        <v>11.2</v>
      </c>
      <c r="G112" s="10">
        <f t="shared" si="2"/>
        <v>11.2</v>
      </c>
    </row>
    <row r="113" spans="1:7" x14ac:dyDescent="0.2">
      <c r="A113" s="10">
        <f>'2019_Download_5-1-1'!C122</f>
        <v>2005</v>
      </c>
      <c r="B113" s="38" t="str">
        <f>'2019_Download_5-1-1'!B122</f>
        <v>Bergbau und Gewinnung von Steinen und Erden; Verarbeitendes Gewerbe</v>
      </c>
      <c r="C113" s="10" t="str">
        <f>'2019_Download_5-1-1'!$F$8</f>
        <v>Insgesamt</v>
      </c>
      <c r="D113" s="37" t="s">
        <v>198</v>
      </c>
      <c r="E113" s="37">
        <v>125.5</v>
      </c>
      <c r="F113" s="25">
        <f>'2019_Download_5-1-1'!F122</f>
        <v>125.5</v>
      </c>
      <c r="G113" s="10">
        <f t="shared" si="2"/>
        <v>125.5</v>
      </c>
    </row>
    <row r="114" spans="1:7" x14ac:dyDescent="0.2">
      <c r="A114" s="10">
        <f>'2019_Download_5-1-1'!C123</f>
        <v>2005</v>
      </c>
      <c r="B114" s="38" t="str">
        <f>'2019_Download_5-1-1'!B123</f>
        <v>Energie- und Wasserversorgung</v>
      </c>
      <c r="C114" s="10" t="str">
        <f>'2019_Download_5-1-1'!$F$8</f>
        <v>Insgesamt</v>
      </c>
      <c r="D114" s="37" t="s">
        <v>199</v>
      </c>
      <c r="E114" s="37" t="s">
        <v>64</v>
      </c>
      <c r="F114" s="30" t="str">
        <f>'2019_Download_5-1-1'!F123</f>
        <v>/</v>
      </c>
      <c r="G114" s="10" t="str">
        <f t="shared" si="2"/>
        <v>/</v>
      </c>
    </row>
    <row r="115" spans="1:7" x14ac:dyDescent="0.2">
      <c r="A115" s="10">
        <f>'2019_Download_5-1-1'!C124</f>
        <v>2005</v>
      </c>
      <c r="B115" s="38" t="str">
        <f>'2019_Download_5-1-1'!B124</f>
        <v>Baugewerbe</v>
      </c>
      <c r="C115" s="10" t="str">
        <f>'2019_Download_5-1-1'!$F$8</f>
        <v>Insgesamt</v>
      </c>
      <c r="D115" s="37" t="s">
        <v>200</v>
      </c>
      <c r="E115" s="37">
        <v>30.2</v>
      </c>
      <c r="F115" s="25">
        <f>'2019_Download_5-1-1'!F124</f>
        <v>30.2</v>
      </c>
      <c r="G115" s="10">
        <f t="shared" si="2"/>
        <v>30.2</v>
      </c>
    </row>
    <row r="116" spans="1:7" x14ac:dyDescent="0.2">
      <c r="A116" s="10">
        <f>'2019_Download_5-1-1'!C125</f>
        <v>2005</v>
      </c>
      <c r="B116" s="38" t="str">
        <f>'2019_Download_5-1-1'!B125</f>
        <v>Handel; Instandhaltung und Reparatur von Kraftfahrzeugen und Gebrauchsgütern</v>
      </c>
      <c r="C116" s="10" t="str">
        <f>'2019_Download_5-1-1'!$F$8</f>
        <v>Insgesamt</v>
      </c>
      <c r="D116" s="37" t="s">
        <v>201</v>
      </c>
      <c r="E116" s="37">
        <v>69.099999999999994</v>
      </c>
      <c r="F116" s="25">
        <f>'2019_Download_5-1-1'!F125</f>
        <v>69.099999999999994</v>
      </c>
      <c r="G116" s="10">
        <f t="shared" si="2"/>
        <v>69.099999999999994</v>
      </c>
    </row>
    <row r="117" spans="1:7" x14ac:dyDescent="0.2">
      <c r="A117" s="10">
        <f>'2019_Download_5-1-1'!C126</f>
        <v>2005</v>
      </c>
      <c r="B117" s="38" t="str">
        <f>'2019_Download_5-1-1'!B126</f>
        <v>Gastgewerbe</v>
      </c>
      <c r="C117" s="10" t="str">
        <f>'2019_Download_5-1-1'!$F$8</f>
        <v>Insgesamt</v>
      </c>
      <c r="D117" s="37" t="s">
        <v>202</v>
      </c>
      <c r="E117" s="37">
        <v>43.5</v>
      </c>
      <c r="F117" s="25">
        <f>'2019_Download_5-1-1'!F126</f>
        <v>43.5</v>
      </c>
      <c r="G117" s="10">
        <f t="shared" si="2"/>
        <v>43.5</v>
      </c>
    </row>
    <row r="118" spans="1:7" x14ac:dyDescent="0.2">
      <c r="A118" s="10">
        <f>'2019_Download_5-1-1'!C127</f>
        <v>2005</v>
      </c>
      <c r="B118" s="38" t="str">
        <f>'2019_Download_5-1-1'!B127</f>
        <v>Verkehr und Nachrichtenübermittlung</v>
      </c>
      <c r="C118" s="10" t="str">
        <f>'2019_Download_5-1-1'!$F$8</f>
        <v>Insgesamt</v>
      </c>
      <c r="D118" s="37" t="s">
        <v>203</v>
      </c>
      <c r="E118" s="37">
        <v>20.7</v>
      </c>
      <c r="F118" s="25">
        <f>'2019_Download_5-1-1'!F127</f>
        <v>20.7</v>
      </c>
      <c r="G118" s="10">
        <f t="shared" si="2"/>
        <v>20.7</v>
      </c>
    </row>
    <row r="119" spans="1:7" x14ac:dyDescent="0.2">
      <c r="A119" s="10">
        <f>'2019_Download_5-1-1'!C128</f>
        <v>2005</v>
      </c>
      <c r="B119" s="38" t="str">
        <f>'2019_Download_5-1-1'!B128</f>
        <v>Kredit- und Versicherungsgewerbe; Grundstücks- und Wohnungswesen, Vermietung beweglicher Sachen, Erbringung von wirt.Dienstleistungen, anderweitig nicht genannt</v>
      </c>
      <c r="C119" s="10" t="str">
        <f>'2019_Download_5-1-1'!$F$8</f>
        <v>Insgesamt</v>
      </c>
      <c r="D119" s="37" t="s">
        <v>204</v>
      </c>
      <c r="E119" s="37">
        <v>37.9</v>
      </c>
      <c r="F119" s="25">
        <f>'2019_Download_5-1-1'!F128</f>
        <v>37.9</v>
      </c>
      <c r="G119" s="10">
        <f t="shared" si="2"/>
        <v>37.9</v>
      </c>
    </row>
    <row r="120" spans="1:7" x14ac:dyDescent="0.2">
      <c r="A120" s="10">
        <f>'2019_Download_5-1-1'!C129</f>
        <v>2005</v>
      </c>
      <c r="B120" s="38" t="str">
        <f>'2019_Download_5-1-1'!B129</f>
        <v>Öffentliche Verwaltung, Verteidigung, Sozialversicherung; Erziehung und Unterricht; Gesundheits-, Veterinär- und Sozialwesen</v>
      </c>
      <c r="C120" s="10" t="str">
        <f>'2019_Download_5-1-1'!$F$8</f>
        <v>Insgesamt</v>
      </c>
      <c r="D120" s="37" t="s">
        <v>205</v>
      </c>
      <c r="E120" s="37">
        <v>79.2</v>
      </c>
      <c r="F120" s="25">
        <f>'2019_Download_5-1-1'!F129</f>
        <v>79.2</v>
      </c>
      <c r="G120" s="10">
        <f t="shared" si="2"/>
        <v>79.2</v>
      </c>
    </row>
    <row r="121" spans="1:7" x14ac:dyDescent="0.2">
      <c r="A121" s="10">
        <f>'2019_Download_5-1-1'!C130</f>
        <v>2005</v>
      </c>
      <c r="B121" s="38" t="str">
        <f>'2019_Download_5-1-1'!B130</f>
        <v>Erbringung von sonstigen öffentlichen und persönlichen Dienstleistungen</v>
      </c>
      <c r="C121" s="10" t="str">
        <f>'2019_Download_5-1-1'!$F$8</f>
        <v>Insgesamt</v>
      </c>
      <c r="D121" s="37" t="s">
        <v>206</v>
      </c>
      <c r="E121" s="37">
        <v>31.5</v>
      </c>
      <c r="F121" s="25">
        <f>'2019_Download_5-1-1'!F130</f>
        <v>31.5</v>
      </c>
      <c r="G121" s="10">
        <f t="shared" si="2"/>
        <v>31.5</v>
      </c>
    </row>
    <row r="122" spans="1:7" x14ac:dyDescent="0.2">
      <c r="A122" s="10">
        <f>'2019_Download_5-1-1'!C131</f>
        <v>2005</v>
      </c>
      <c r="B122" s="38" t="str">
        <f>'2019_Download_5-1-1'!B131</f>
        <v>Insgesamt (inkl. sonstiger Abschnitte)</v>
      </c>
      <c r="C122" s="10" t="str">
        <f>'2019_Download_5-1-1'!$F$8</f>
        <v>Insgesamt</v>
      </c>
      <c r="D122" s="37" t="s">
        <v>207</v>
      </c>
      <c r="E122" s="37">
        <v>455</v>
      </c>
      <c r="F122" s="29">
        <f>'2019_Download_5-1-1'!F131</f>
        <v>455</v>
      </c>
      <c r="G122" s="10">
        <f t="shared" si="2"/>
        <v>455</v>
      </c>
    </row>
    <row r="123" spans="1:7" x14ac:dyDescent="0.2">
      <c r="A123" s="10">
        <f>'2019_Download_5-1-1'!C11</f>
        <v>2019</v>
      </c>
      <c r="B123" s="38" t="str">
        <f>'2019_Download_5-1-1'!B11</f>
        <v>Land- und Forstwirtschaft, Fischerei</v>
      </c>
      <c r="C123" s="10" t="str">
        <f>'2019_Download_5-1-1'!$D$8</f>
        <v>Männer</v>
      </c>
      <c r="D123" s="37" t="s">
        <v>208</v>
      </c>
      <c r="E123" s="37" t="s">
        <v>737</v>
      </c>
      <c r="F123" s="25">
        <f>'2019_Download_5-1-1'!D11</f>
        <v>8.0970600000000008</v>
      </c>
      <c r="G123" s="10" t="str">
        <f t="shared" si="2"/>
        <v>(8,1)</v>
      </c>
    </row>
    <row r="124" spans="1:7" x14ac:dyDescent="0.2">
      <c r="A124" s="10">
        <f>'2019_Download_5-1-1'!C12</f>
        <v>2019</v>
      </c>
      <c r="B124" s="38" t="str">
        <f>'2019_Download_5-1-1'!B12</f>
        <v>Bergbau und Gewinnung von Steinen und Erden; Verarbeitendes Gewerbe</v>
      </c>
      <c r="C124" s="10" t="str">
        <f>'2019_Download_5-1-1'!$D$8</f>
        <v>Männer</v>
      </c>
      <c r="D124" s="37" t="s">
        <v>209</v>
      </c>
      <c r="E124" s="37">
        <v>137.23995000000002</v>
      </c>
      <c r="F124" s="25">
        <f>'2019_Download_5-1-1'!D12</f>
        <v>137.23995000000002</v>
      </c>
      <c r="G124" s="10">
        <f t="shared" si="2"/>
        <v>137.23995000000002</v>
      </c>
    </row>
    <row r="125" spans="1:7" x14ac:dyDescent="0.2">
      <c r="A125" s="10">
        <f>'2019_Download_5-1-1'!C13</f>
        <v>2019</v>
      </c>
      <c r="B125" s="38" t="str">
        <f>'2019_Download_5-1-1'!B13</f>
        <v>Energieversorgung; Wasserversorgung, Entsorg., Beseitig. v. Umweltverschmutzungen</v>
      </c>
      <c r="C125" s="10" t="str">
        <f>'2019_Download_5-1-1'!$D$8</f>
        <v>Männer</v>
      </c>
      <c r="D125" s="37" t="s">
        <v>210</v>
      </c>
      <c r="E125" s="37" t="s">
        <v>745</v>
      </c>
      <c r="F125" s="25">
        <f>'2019_Download_5-1-1'!D13</f>
        <v>5.8705400000000001</v>
      </c>
      <c r="G125" s="10" t="str">
        <f t="shared" si="2"/>
        <v>(5,9)</v>
      </c>
    </row>
    <row r="126" spans="1:7" x14ac:dyDescent="0.2">
      <c r="A126" s="10">
        <f>'2019_Download_5-1-1'!C14</f>
        <v>2019</v>
      </c>
      <c r="B126" s="38" t="str">
        <f>'2019_Download_5-1-1'!B14</f>
        <v>Baugewerbe</v>
      </c>
      <c r="C126" s="10" t="str">
        <f>'2019_Download_5-1-1'!$D$8</f>
        <v>Männer</v>
      </c>
      <c r="D126" s="37" t="s">
        <v>211</v>
      </c>
      <c r="E126" s="37">
        <v>61.42324</v>
      </c>
      <c r="F126" s="25">
        <f>'2019_Download_5-1-1'!D14</f>
        <v>61.42324</v>
      </c>
      <c r="G126" s="10">
        <f t="shared" si="2"/>
        <v>61.42324</v>
      </c>
    </row>
    <row r="127" spans="1:7" x14ac:dyDescent="0.2">
      <c r="A127" s="10">
        <f>'2019_Download_5-1-1'!C15</f>
        <v>2019</v>
      </c>
      <c r="B127" s="38" t="str">
        <f>'2019_Download_5-1-1'!B15</f>
        <v>Handel, Instandhaltung und Reparatur von Kfz</v>
      </c>
      <c r="C127" s="10" t="str">
        <f>'2019_Download_5-1-1'!$D$8</f>
        <v>Männer</v>
      </c>
      <c r="D127" s="37" t="s">
        <v>212</v>
      </c>
      <c r="E127" s="37">
        <v>70.294119999999992</v>
      </c>
      <c r="F127" s="25">
        <f>'2019_Download_5-1-1'!D15</f>
        <v>70.294119999999992</v>
      </c>
      <c r="G127" s="10">
        <f t="shared" si="2"/>
        <v>70.294119999999992</v>
      </c>
    </row>
    <row r="128" spans="1:7" x14ac:dyDescent="0.2">
      <c r="A128" s="10">
        <f>'2019_Download_5-1-1'!C16</f>
        <v>2019</v>
      </c>
      <c r="B128" s="38" t="str">
        <f>'2019_Download_5-1-1'!B16</f>
        <v>Verkehr und Lagerei; Information und Kommunikation</v>
      </c>
      <c r="C128" s="10" t="str">
        <f>'2019_Download_5-1-1'!$D$8</f>
        <v>Männer</v>
      </c>
      <c r="D128" s="37" t="s">
        <v>213</v>
      </c>
      <c r="E128" s="37">
        <v>54.424980000000005</v>
      </c>
      <c r="F128" s="25">
        <f>'2019_Download_5-1-1'!D16</f>
        <v>54.424980000000005</v>
      </c>
      <c r="G128" s="10">
        <f t="shared" si="2"/>
        <v>54.424980000000005</v>
      </c>
    </row>
    <row r="129" spans="1:7" x14ac:dyDescent="0.2">
      <c r="A129" s="10">
        <f>'2019_Download_5-1-1'!C17</f>
        <v>2019</v>
      </c>
      <c r="B129" s="38" t="str">
        <f>'2019_Download_5-1-1'!B17</f>
        <v>Gastgewerbe</v>
      </c>
      <c r="C129" s="10" t="str">
        <f>'2019_Download_5-1-1'!$D$8</f>
        <v>Männer</v>
      </c>
      <c r="D129" s="37" t="s">
        <v>214</v>
      </c>
      <c r="E129" s="37">
        <v>31.728919999999999</v>
      </c>
      <c r="F129" s="25">
        <f>'2019_Download_5-1-1'!D17</f>
        <v>31.728919999999999</v>
      </c>
      <c r="G129" s="10">
        <f t="shared" si="2"/>
        <v>31.728919999999999</v>
      </c>
    </row>
    <row r="130" spans="1:7" x14ac:dyDescent="0.2">
      <c r="A130" s="10">
        <f>'2019_Download_5-1-1'!C18</f>
        <v>2019</v>
      </c>
      <c r="B130" s="38" t="str">
        <f>'2019_Download_5-1-1'!B18</f>
        <v>Erbringung von Finanz- und Versicherungsleistungen; Grundstücks- und Wohnungswesen; Freiberufliche, wiss. u. techn. Dienstleistungen; sonst. wirt. Dienstleistungen</v>
      </c>
      <c r="C130" s="10" t="str">
        <f>'2019_Download_5-1-1'!$D$8</f>
        <v>Männer</v>
      </c>
      <c r="D130" s="37" t="s">
        <v>215</v>
      </c>
      <c r="E130" s="37">
        <v>43.846599999999995</v>
      </c>
      <c r="F130" s="25">
        <f>'2019_Download_5-1-1'!D18</f>
        <v>43.846599999999995</v>
      </c>
      <c r="G130" s="10">
        <f t="shared" si="2"/>
        <v>43.846599999999995</v>
      </c>
    </row>
    <row r="131" spans="1:7" x14ac:dyDescent="0.2">
      <c r="A131" s="10">
        <f>'2019_Download_5-1-1'!C19</f>
        <v>2019</v>
      </c>
      <c r="B131" s="38" t="str">
        <f>'2019_Download_5-1-1'!B19</f>
        <v>ÖffentlicheVerwaltung, Verteidigung, Sozialversicherung; Erziehung und Unterricht; Gesundheits- und Sozialwesen</v>
      </c>
      <c r="C131" s="10" t="str">
        <f>'2019_Download_5-1-1'!$D$8</f>
        <v>Männer</v>
      </c>
      <c r="D131" s="37" t="s">
        <v>216</v>
      </c>
      <c r="E131" s="37">
        <v>43.389919999999996</v>
      </c>
      <c r="F131" s="25">
        <f>'2019_Download_5-1-1'!D19</f>
        <v>43.389919999999996</v>
      </c>
      <c r="G131" s="10">
        <f t="shared" si="2"/>
        <v>43.389919999999996</v>
      </c>
    </row>
    <row r="132" spans="1:7" x14ac:dyDescent="0.2">
      <c r="A132" s="10">
        <f>'2019_Download_5-1-1'!C20</f>
        <v>2019</v>
      </c>
      <c r="B132" s="38" t="str">
        <f>'2019_Download_5-1-1'!B20</f>
        <v>Kunst, Unterhaltung und Erholung; Erbringung von sonstigen Dienstleistungen</v>
      </c>
      <c r="C132" s="10" t="str">
        <f>'2019_Download_5-1-1'!$D$8</f>
        <v>Männer</v>
      </c>
      <c r="D132" s="37" t="s">
        <v>217</v>
      </c>
      <c r="E132" s="37">
        <v>13.560750000000001</v>
      </c>
      <c r="F132" s="25">
        <f>'2019_Download_5-1-1'!D20</f>
        <v>13.560750000000001</v>
      </c>
      <c r="G132" s="10">
        <f t="shared" si="2"/>
        <v>13.560750000000001</v>
      </c>
    </row>
    <row r="133" spans="1:7" x14ac:dyDescent="0.2">
      <c r="A133" s="10">
        <f>'2019_Download_5-1-1'!C21</f>
        <v>2019</v>
      </c>
      <c r="B133" s="38" t="str">
        <f>'2019_Download_5-1-1'!B21</f>
        <v>Insgesamt (inkl. sonstiger Abschnitte)</v>
      </c>
      <c r="C133" s="10" t="str">
        <f>'2019_Download_5-1-1'!$D$8</f>
        <v>Männer</v>
      </c>
      <c r="D133" s="37" t="s">
        <v>218</v>
      </c>
      <c r="E133" s="37" t="s">
        <v>64</v>
      </c>
      <c r="F133" s="25">
        <f>'2019_Download_5-1-1'!D21</f>
        <v>470.17715999999996</v>
      </c>
      <c r="G133" s="10">
        <f t="shared" si="2"/>
        <v>470.17715999999996</v>
      </c>
    </row>
    <row r="134" spans="1:7" x14ac:dyDescent="0.2">
      <c r="A134" s="10">
        <f>'2019_Download_5-1-1'!C22</f>
        <v>2018</v>
      </c>
      <c r="B134" s="38" t="str">
        <f>'2019_Download_5-1-1'!B22</f>
        <v>Land- und Forstwirtschaft, Fischerei</v>
      </c>
      <c r="C134" s="10" t="str">
        <f>'2019_Download_5-1-1'!$D$8</f>
        <v>Männer</v>
      </c>
      <c r="D134" s="37" t="s">
        <v>219</v>
      </c>
      <c r="E134" s="37" t="s">
        <v>746</v>
      </c>
      <c r="F134" s="25">
        <f>'2019_Download_5-1-1'!D22</f>
        <v>9.2372800000000002</v>
      </c>
      <c r="G134" s="10" t="str">
        <f t="shared" ref="G134:G197" si="3">IF(F134&lt;5,"/",IF(F134&lt;10,TEXT(F134,"(#.#0,0)"),F134))</f>
        <v>(9,2)</v>
      </c>
    </row>
    <row r="135" spans="1:7" x14ac:dyDescent="0.2">
      <c r="A135" s="10">
        <f>'2019_Download_5-1-1'!C23</f>
        <v>2018</v>
      </c>
      <c r="B135" s="38" t="str">
        <f>'2019_Download_5-1-1'!B23</f>
        <v>Bergbau und Gewinnung von Steinen und Erden; Verarbeitendes Gewerbe</v>
      </c>
      <c r="C135" s="10" t="str">
        <f>'2019_Download_5-1-1'!$D$8</f>
        <v>Männer</v>
      </c>
      <c r="D135" s="37" t="s">
        <v>220</v>
      </c>
      <c r="E135" s="37">
        <v>141.85381000000001</v>
      </c>
      <c r="F135" s="25">
        <f>'2019_Download_5-1-1'!D23</f>
        <v>141.85381000000001</v>
      </c>
      <c r="G135" s="10">
        <f t="shared" si="3"/>
        <v>141.85381000000001</v>
      </c>
    </row>
    <row r="136" spans="1:7" x14ac:dyDescent="0.2">
      <c r="A136" s="10">
        <f>'2019_Download_5-1-1'!C24</f>
        <v>2018</v>
      </c>
      <c r="B136" s="38" t="str">
        <f>'2019_Download_5-1-1'!B24</f>
        <v>Energieversorgung; Wasserversorgung, Entsorg., Beseitig. v. Umweltverschmutzungen</v>
      </c>
      <c r="C136" s="10" t="str">
        <f>'2019_Download_5-1-1'!$D$8</f>
        <v>Männer</v>
      </c>
      <c r="D136" s="37" t="s">
        <v>221</v>
      </c>
      <c r="E136" s="37" t="s">
        <v>736</v>
      </c>
      <c r="F136" s="25">
        <f>'2019_Download_5-1-1'!D24</f>
        <v>6.9294099999999998</v>
      </c>
      <c r="G136" s="10" t="str">
        <f t="shared" si="3"/>
        <v>(6,9)</v>
      </c>
    </row>
    <row r="137" spans="1:7" x14ac:dyDescent="0.2">
      <c r="A137" s="10">
        <f>'2019_Download_5-1-1'!C25</f>
        <v>2018</v>
      </c>
      <c r="B137" s="38" t="str">
        <f>'2019_Download_5-1-1'!B25</f>
        <v>Baugewerbe</v>
      </c>
      <c r="C137" s="10" t="str">
        <f>'2019_Download_5-1-1'!$D$8</f>
        <v>Männer</v>
      </c>
      <c r="D137" s="37" t="s">
        <v>222</v>
      </c>
      <c r="E137" s="37">
        <v>58.642859999999999</v>
      </c>
      <c r="F137" s="25">
        <f>'2019_Download_5-1-1'!D25</f>
        <v>58.642859999999999</v>
      </c>
      <c r="G137" s="10">
        <f t="shared" si="3"/>
        <v>58.642859999999999</v>
      </c>
    </row>
    <row r="138" spans="1:7" x14ac:dyDescent="0.2">
      <c r="A138" s="10">
        <f>'2019_Download_5-1-1'!C26</f>
        <v>2018</v>
      </c>
      <c r="B138" s="38" t="str">
        <f>'2019_Download_5-1-1'!B26</f>
        <v>Handel, Instandhaltung und Reparatur von Kfz</v>
      </c>
      <c r="C138" s="10" t="str">
        <f>'2019_Download_5-1-1'!$D$8</f>
        <v>Männer</v>
      </c>
      <c r="D138" s="37" t="s">
        <v>223</v>
      </c>
      <c r="E138" s="37">
        <v>67.828630000000004</v>
      </c>
      <c r="F138" s="25">
        <f>'2019_Download_5-1-1'!D26</f>
        <v>67.828630000000004</v>
      </c>
      <c r="G138" s="10">
        <f t="shared" si="3"/>
        <v>67.828630000000004</v>
      </c>
    </row>
    <row r="139" spans="1:7" x14ac:dyDescent="0.2">
      <c r="A139" s="10">
        <f>'2019_Download_5-1-1'!C27</f>
        <v>2018</v>
      </c>
      <c r="B139" s="38" t="str">
        <f>'2019_Download_5-1-1'!B27</f>
        <v>Verkehr und Lagerei; Information und Kommunikation</v>
      </c>
      <c r="C139" s="10" t="str">
        <f>'2019_Download_5-1-1'!$D$8</f>
        <v>Männer</v>
      </c>
      <c r="D139" s="37" t="s">
        <v>224</v>
      </c>
      <c r="E139" s="37">
        <v>50.172239999999995</v>
      </c>
      <c r="F139" s="25">
        <f>'2019_Download_5-1-1'!D27</f>
        <v>50.172239999999995</v>
      </c>
      <c r="G139" s="10">
        <f t="shared" si="3"/>
        <v>50.172239999999995</v>
      </c>
    </row>
    <row r="140" spans="1:7" x14ac:dyDescent="0.2">
      <c r="A140" s="10">
        <f>'2019_Download_5-1-1'!C28</f>
        <v>2018</v>
      </c>
      <c r="B140" s="38" t="str">
        <f>'2019_Download_5-1-1'!B28</f>
        <v>Gastgewerbe</v>
      </c>
      <c r="C140" s="10" t="str">
        <f>'2019_Download_5-1-1'!$D$8</f>
        <v>Männer</v>
      </c>
      <c r="D140" s="37" t="s">
        <v>225</v>
      </c>
      <c r="E140" s="37">
        <v>31.441650000000003</v>
      </c>
      <c r="F140" s="25">
        <f>'2019_Download_5-1-1'!D28</f>
        <v>31.441650000000003</v>
      </c>
      <c r="G140" s="10">
        <f t="shared" si="3"/>
        <v>31.441650000000003</v>
      </c>
    </row>
    <row r="141" spans="1:7" x14ac:dyDescent="0.2">
      <c r="A141" s="10">
        <f>'2019_Download_5-1-1'!C29</f>
        <v>2018</v>
      </c>
      <c r="B141" s="38" t="str">
        <f>'2019_Download_5-1-1'!B29</f>
        <v>Erbringung von Finanz- und Versicherungsleistungen; Grundstücks- und Wohnungswesen; Freiberufliche, wiss. u. techn. Dienstleistungen; sonst. wirt. Dienstleistungen</v>
      </c>
      <c r="C141" s="10" t="str">
        <f>'2019_Download_5-1-1'!$D$8</f>
        <v>Männer</v>
      </c>
      <c r="D141" s="37" t="s">
        <v>226</v>
      </c>
      <c r="E141" s="37">
        <v>40.487259999999999</v>
      </c>
      <c r="F141" s="25">
        <f>'2019_Download_5-1-1'!D29</f>
        <v>40.487259999999999</v>
      </c>
      <c r="G141" s="10">
        <f t="shared" si="3"/>
        <v>40.487259999999999</v>
      </c>
    </row>
    <row r="142" spans="1:7" x14ac:dyDescent="0.2">
      <c r="A142" s="10">
        <f>'2019_Download_5-1-1'!C30</f>
        <v>2018</v>
      </c>
      <c r="B142" s="38" t="str">
        <f>'2019_Download_5-1-1'!B30</f>
        <v>ÖffentlicheVerwaltung, Verteidigung, Sozialversicherung; Erziehung und Unterricht; Gesundheits- und Sozialwesen</v>
      </c>
      <c r="C142" s="10" t="str">
        <f>'2019_Download_5-1-1'!$D$8</f>
        <v>Männer</v>
      </c>
      <c r="D142" s="37" t="s">
        <v>227</v>
      </c>
      <c r="E142" s="37">
        <v>42.329569999999997</v>
      </c>
      <c r="F142" s="25">
        <f>'2019_Download_5-1-1'!D30</f>
        <v>42.329569999999997</v>
      </c>
      <c r="G142" s="10">
        <f t="shared" si="3"/>
        <v>42.329569999999997</v>
      </c>
    </row>
    <row r="143" spans="1:7" x14ac:dyDescent="0.2">
      <c r="A143" s="10">
        <f>'2019_Download_5-1-1'!C31</f>
        <v>2018</v>
      </c>
      <c r="B143" s="38" t="str">
        <f>'2019_Download_5-1-1'!B31</f>
        <v>Kunst, Unterhaltung und Erholung; Erbringung von sonstigen Dienstleistungen</v>
      </c>
      <c r="C143" s="10" t="str">
        <f>'2019_Download_5-1-1'!$D$8</f>
        <v>Männer</v>
      </c>
      <c r="D143" s="37" t="s">
        <v>228</v>
      </c>
      <c r="E143" s="37">
        <v>11.60702</v>
      </c>
      <c r="F143" s="25">
        <f>'2019_Download_5-1-1'!D31</f>
        <v>11.60702</v>
      </c>
      <c r="G143" s="10">
        <f t="shared" si="3"/>
        <v>11.60702</v>
      </c>
    </row>
    <row r="144" spans="1:7" x14ac:dyDescent="0.2">
      <c r="A144" s="10">
        <f>'2019_Download_5-1-1'!C32</f>
        <v>2018</v>
      </c>
      <c r="B144" s="38" t="str">
        <f>'2019_Download_5-1-1'!B32</f>
        <v>Insgesamt (inkl. sonstiger Abschnitte)</v>
      </c>
      <c r="C144" s="10" t="str">
        <f>'2019_Download_5-1-1'!$D$8</f>
        <v>Männer</v>
      </c>
      <c r="D144" s="37" t="s">
        <v>229</v>
      </c>
      <c r="E144" s="37">
        <v>460.73616999999996</v>
      </c>
      <c r="F144" s="25">
        <f>'2019_Download_5-1-1'!D32</f>
        <v>460.73616999999996</v>
      </c>
      <c r="G144" s="10">
        <f t="shared" si="3"/>
        <v>460.73616999999996</v>
      </c>
    </row>
    <row r="145" spans="1:7" x14ac:dyDescent="0.2">
      <c r="A145" s="10">
        <f>'2019_Download_5-1-1'!C33</f>
        <v>2017</v>
      </c>
      <c r="B145" s="38" t="str">
        <f>'2019_Download_5-1-1'!B33</f>
        <v>Land- und Forstwirtschaft, Fischerei</v>
      </c>
      <c r="C145" s="10" t="str">
        <f>'2019_Download_5-1-1'!$D$8</f>
        <v>Männer</v>
      </c>
      <c r="D145" s="37" t="s">
        <v>230</v>
      </c>
      <c r="E145" s="37" t="s">
        <v>747</v>
      </c>
      <c r="F145" s="25">
        <f>'2019_Download_5-1-1'!D33</f>
        <v>8.3643600000000013</v>
      </c>
      <c r="G145" s="10" t="str">
        <f t="shared" si="3"/>
        <v>(8,4)</v>
      </c>
    </row>
    <row r="146" spans="1:7" x14ac:dyDescent="0.2">
      <c r="A146" s="10">
        <f>'2019_Download_5-1-1'!C34</f>
        <v>2017</v>
      </c>
      <c r="B146" s="38" t="str">
        <f>'2019_Download_5-1-1'!B34</f>
        <v>Bergbau und Gewinnung von Steinen und Erden; Verarbeitendes Gewerbe</v>
      </c>
      <c r="C146" s="10" t="str">
        <f>'2019_Download_5-1-1'!$D$8</f>
        <v>Männer</v>
      </c>
      <c r="D146" s="37" t="s">
        <v>231</v>
      </c>
      <c r="E146" s="37">
        <v>143.43660999999997</v>
      </c>
      <c r="F146" s="25">
        <f>'2019_Download_5-1-1'!D34</f>
        <v>143.43660999999997</v>
      </c>
      <c r="G146" s="10">
        <f t="shared" si="3"/>
        <v>143.43660999999997</v>
      </c>
    </row>
    <row r="147" spans="1:7" x14ac:dyDescent="0.2">
      <c r="A147" s="10">
        <f>'2019_Download_5-1-1'!C35</f>
        <v>2017</v>
      </c>
      <c r="B147" s="38" t="str">
        <f>'2019_Download_5-1-1'!B35</f>
        <v>Energieversorgung; Wasserversorgung, Entsorg., Beseitig. v. Umweltverschmutzungen</v>
      </c>
      <c r="C147" s="10" t="str">
        <f>'2019_Download_5-1-1'!$D$8</f>
        <v>Männer</v>
      </c>
      <c r="D147" s="37" t="s">
        <v>232</v>
      </c>
      <c r="E147" s="37" t="s">
        <v>748</v>
      </c>
      <c r="F147" s="25">
        <f>'2019_Download_5-1-1'!D35</f>
        <v>6.4783299999999997</v>
      </c>
      <c r="G147" s="10" t="str">
        <f t="shared" si="3"/>
        <v>(6,5)</v>
      </c>
    </row>
    <row r="148" spans="1:7" x14ac:dyDescent="0.2">
      <c r="A148" s="10">
        <f>'2019_Download_5-1-1'!C36</f>
        <v>2017</v>
      </c>
      <c r="B148" s="38" t="str">
        <f>'2019_Download_5-1-1'!B36</f>
        <v>Baugewerbe</v>
      </c>
      <c r="C148" s="10" t="str">
        <f>'2019_Download_5-1-1'!$D$8</f>
        <v>Männer</v>
      </c>
      <c r="D148" s="37" t="s">
        <v>233</v>
      </c>
      <c r="E148" s="37">
        <v>57.102330000000002</v>
      </c>
      <c r="F148" s="25">
        <f>'2019_Download_5-1-1'!D36</f>
        <v>57.102330000000002</v>
      </c>
      <c r="G148" s="10">
        <f t="shared" si="3"/>
        <v>57.102330000000002</v>
      </c>
    </row>
    <row r="149" spans="1:7" x14ac:dyDescent="0.2">
      <c r="A149" s="10">
        <f>'2019_Download_5-1-1'!C37</f>
        <v>2017</v>
      </c>
      <c r="B149" s="38" t="str">
        <f>'2019_Download_5-1-1'!B37</f>
        <v>Handel, Instandhaltung und Reparatur von Kfz</v>
      </c>
      <c r="C149" s="10" t="str">
        <f>'2019_Download_5-1-1'!$D$8</f>
        <v>Männer</v>
      </c>
      <c r="D149" s="37" t="s">
        <v>234</v>
      </c>
      <c r="E149" s="37">
        <v>65.751499999999993</v>
      </c>
      <c r="F149" s="25">
        <f>'2019_Download_5-1-1'!D37</f>
        <v>65.751499999999993</v>
      </c>
      <c r="G149" s="10">
        <f t="shared" si="3"/>
        <v>65.751499999999993</v>
      </c>
    </row>
    <row r="150" spans="1:7" x14ac:dyDescent="0.2">
      <c r="A150" s="10">
        <f>'2019_Download_5-1-1'!C38</f>
        <v>2017</v>
      </c>
      <c r="B150" s="38" t="str">
        <f>'2019_Download_5-1-1'!B38</f>
        <v>Verkehr und Lagerei; Information und Kommunikation</v>
      </c>
      <c r="C150" s="10" t="str">
        <f>'2019_Download_5-1-1'!$D$8</f>
        <v>Männer</v>
      </c>
      <c r="D150" s="37" t="s">
        <v>235</v>
      </c>
      <c r="E150" s="37">
        <v>48.327449999999999</v>
      </c>
      <c r="F150" s="25">
        <f>'2019_Download_5-1-1'!D38</f>
        <v>48.327449999999999</v>
      </c>
      <c r="G150" s="10">
        <f t="shared" si="3"/>
        <v>48.327449999999999</v>
      </c>
    </row>
    <row r="151" spans="1:7" x14ac:dyDescent="0.2">
      <c r="A151" s="10">
        <f>'2019_Download_5-1-1'!C39</f>
        <v>2017</v>
      </c>
      <c r="B151" s="38" t="str">
        <f>'2019_Download_5-1-1'!B39</f>
        <v>Gastgewerbe</v>
      </c>
      <c r="C151" s="10" t="str">
        <f>'2019_Download_5-1-1'!$D$8</f>
        <v>Männer</v>
      </c>
      <c r="D151" s="37" t="s">
        <v>236</v>
      </c>
      <c r="E151" s="37">
        <v>26.69622</v>
      </c>
      <c r="F151" s="25">
        <f>'2019_Download_5-1-1'!D39</f>
        <v>26.69622</v>
      </c>
      <c r="G151" s="10">
        <f t="shared" si="3"/>
        <v>26.69622</v>
      </c>
    </row>
    <row r="152" spans="1:7" x14ac:dyDescent="0.2">
      <c r="A152" s="10">
        <f>'2019_Download_5-1-1'!C40</f>
        <v>2017</v>
      </c>
      <c r="B152" s="38" t="str">
        <f>'2019_Download_5-1-1'!B40</f>
        <v>Erbringung von Finanz- und Versicherungsleistungen; Grundstücks- und Wohnungswesen; Freiberufliche, wiss. u. techn. Dienstleistungen; sonst. wirt. Dienstleistungen</v>
      </c>
      <c r="C152" s="10" t="str">
        <f>'2019_Download_5-1-1'!$D$8</f>
        <v>Männer</v>
      </c>
      <c r="D152" s="37" t="s">
        <v>237</v>
      </c>
      <c r="E152" s="37">
        <v>39.163119999999999</v>
      </c>
      <c r="F152" s="25">
        <f>'2019_Download_5-1-1'!D40</f>
        <v>39.163119999999999</v>
      </c>
      <c r="G152" s="10">
        <f t="shared" si="3"/>
        <v>39.163119999999999</v>
      </c>
    </row>
    <row r="153" spans="1:7" x14ac:dyDescent="0.2">
      <c r="A153" s="10">
        <f>'2019_Download_5-1-1'!C41</f>
        <v>2017</v>
      </c>
      <c r="B153" s="38" t="str">
        <f>'2019_Download_5-1-1'!B41</f>
        <v>ÖffentlicheVerwaltung, Verteidigung, Sozialversicherung; Erziehung und Unterricht; Gesundheits- und Sozialwesen</v>
      </c>
      <c r="C153" s="10" t="str">
        <f>'2019_Download_5-1-1'!$D$8</f>
        <v>Männer</v>
      </c>
      <c r="D153" s="37" t="s">
        <v>238</v>
      </c>
      <c r="E153" s="37">
        <v>44.207560000000001</v>
      </c>
      <c r="F153" s="25">
        <f>'2019_Download_5-1-1'!D41</f>
        <v>44.207560000000001</v>
      </c>
      <c r="G153" s="10">
        <f t="shared" si="3"/>
        <v>44.207560000000001</v>
      </c>
    </row>
    <row r="154" spans="1:7" x14ac:dyDescent="0.2">
      <c r="A154" s="10">
        <f>'2019_Download_5-1-1'!C42</f>
        <v>2017</v>
      </c>
      <c r="B154" s="38" t="str">
        <f>'2019_Download_5-1-1'!B42</f>
        <v>Kunst, Unterhaltung und Erholung; Erbringung von sonstigen Dienstleistungen</v>
      </c>
      <c r="C154" s="10" t="str">
        <f>'2019_Download_5-1-1'!$D$8</f>
        <v>Männer</v>
      </c>
      <c r="D154" s="37" t="s">
        <v>239</v>
      </c>
      <c r="E154" s="37">
        <v>12.36978</v>
      </c>
      <c r="F154" s="25">
        <f>'2019_Download_5-1-1'!D42</f>
        <v>12.36978</v>
      </c>
      <c r="G154" s="10">
        <f t="shared" si="3"/>
        <v>12.36978</v>
      </c>
    </row>
    <row r="155" spans="1:7" x14ac:dyDescent="0.2">
      <c r="A155" s="10">
        <f>'2019_Download_5-1-1'!C43</f>
        <v>2017</v>
      </c>
      <c r="B155" s="38" t="str">
        <f>'2019_Download_5-1-1'!B43</f>
        <v>Insgesamt (inkl. sonstiger Abschnitte)</v>
      </c>
      <c r="C155" s="10" t="str">
        <f>'2019_Download_5-1-1'!$D$8</f>
        <v>Männer</v>
      </c>
      <c r="D155" s="37" t="s">
        <v>240</v>
      </c>
      <c r="E155" s="37">
        <v>452.36584999999997</v>
      </c>
      <c r="F155" s="25">
        <f>'2019_Download_5-1-1'!D43</f>
        <v>452.36584999999997</v>
      </c>
      <c r="G155" s="10">
        <f t="shared" si="3"/>
        <v>452.36584999999997</v>
      </c>
    </row>
    <row r="156" spans="1:7" x14ac:dyDescent="0.2">
      <c r="A156" s="10">
        <f>'2019_Download_5-1-1'!C44</f>
        <v>2016</v>
      </c>
      <c r="B156" s="38" t="str">
        <f>'2019_Download_5-1-1'!B44</f>
        <v>Land- und Forstwirtschaft, Fischerei</v>
      </c>
      <c r="C156" s="10" t="str">
        <f>'2019_Download_5-1-1'!$D$8</f>
        <v>Männer</v>
      </c>
      <c r="D156" s="37" t="s">
        <v>241</v>
      </c>
      <c r="E156" s="37" t="s">
        <v>747</v>
      </c>
      <c r="F156" s="25">
        <f>'2019_Download_5-1-1'!D44</f>
        <v>8.3982800000000015</v>
      </c>
      <c r="G156" s="10" t="str">
        <f t="shared" si="3"/>
        <v>(8,4)</v>
      </c>
    </row>
    <row r="157" spans="1:7" x14ac:dyDescent="0.2">
      <c r="A157" s="10">
        <f>'2019_Download_5-1-1'!C45</f>
        <v>2016</v>
      </c>
      <c r="B157" s="38" t="str">
        <f>'2019_Download_5-1-1'!B45</f>
        <v>Bergbau und Gewinnung von Steinen und Erden; Verarbeitendes Gewerbe</v>
      </c>
      <c r="C157" s="10" t="str">
        <f>'2019_Download_5-1-1'!$D$8</f>
        <v>Männer</v>
      </c>
      <c r="D157" s="37" t="s">
        <v>242</v>
      </c>
      <c r="E157" s="37">
        <v>123.89064</v>
      </c>
      <c r="F157" s="25">
        <f>'2019_Download_5-1-1'!D45</f>
        <v>123.89064</v>
      </c>
      <c r="G157" s="10">
        <f t="shared" si="3"/>
        <v>123.89064</v>
      </c>
    </row>
    <row r="158" spans="1:7" x14ac:dyDescent="0.2">
      <c r="A158" s="10">
        <f>'2019_Download_5-1-1'!C46</f>
        <v>2016</v>
      </c>
      <c r="B158" s="38" t="str">
        <f>'2019_Download_5-1-1'!B46</f>
        <v>Energieversorgung; Wasserversorgung, Entsorg., Beseitig. v. Umweltverschmutzungen</v>
      </c>
      <c r="C158" s="10" t="str">
        <f>'2019_Download_5-1-1'!$D$8</f>
        <v>Männer</v>
      </c>
      <c r="D158" s="37" t="s">
        <v>243</v>
      </c>
      <c r="E158" s="37" t="s">
        <v>749</v>
      </c>
      <c r="F158" s="25">
        <f>'2019_Download_5-1-1'!D46</f>
        <v>5.1742900000000001</v>
      </c>
      <c r="G158" s="10" t="str">
        <f t="shared" si="3"/>
        <v>(5,2)</v>
      </c>
    </row>
    <row r="159" spans="1:7" x14ac:dyDescent="0.2">
      <c r="A159" s="10">
        <f>'2019_Download_5-1-1'!C47</f>
        <v>2016</v>
      </c>
      <c r="B159" s="38" t="str">
        <f>'2019_Download_5-1-1'!B47</f>
        <v>Baugewerbe</v>
      </c>
      <c r="C159" s="10" t="str">
        <f>'2019_Download_5-1-1'!$D$8</f>
        <v>Männer</v>
      </c>
      <c r="D159" s="37" t="s">
        <v>244</v>
      </c>
      <c r="E159" s="37">
        <v>47.020180000000003</v>
      </c>
      <c r="F159" s="25">
        <f>'2019_Download_5-1-1'!D47</f>
        <v>47.020180000000003</v>
      </c>
      <c r="G159" s="10">
        <f t="shared" si="3"/>
        <v>47.020180000000003</v>
      </c>
    </row>
    <row r="160" spans="1:7" x14ac:dyDescent="0.2">
      <c r="A160" s="10">
        <f>'2019_Download_5-1-1'!C48</f>
        <v>2016</v>
      </c>
      <c r="B160" s="38" t="str">
        <f>'2019_Download_5-1-1'!B48</f>
        <v>Handel, Instandhaltung und Reparatur von Kfz</v>
      </c>
      <c r="C160" s="10" t="str">
        <f>'2019_Download_5-1-1'!$D$8</f>
        <v>Männer</v>
      </c>
      <c r="D160" s="37" t="s">
        <v>245</v>
      </c>
      <c r="E160" s="37">
        <v>59.010309999999997</v>
      </c>
      <c r="F160" s="25">
        <f>'2019_Download_5-1-1'!D48</f>
        <v>59.010309999999997</v>
      </c>
      <c r="G160" s="10">
        <f t="shared" si="3"/>
        <v>59.010309999999997</v>
      </c>
    </row>
    <row r="161" spans="1:7" x14ac:dyDescent="0.2">
      <c r="A161" s="10">
        <f>'2019_Download_5-1-1'!C49</f>
        <v>2016</v>
      </c>
      <c r="B161" s="38" t="str">
        <f>'2019_Download_5-1-1'!B49</f>
        <v>Verkehr und Lagerei; Information und Kommunikation</v>
      </c>
      <c r="C161" s="10" t="str">
        <f>'2019_Download_5-1-1'!$D$8</f>
        <v>Männer</v>
      </c>
      <c r="D161" s="37" t="s">
        <v>246</v>
      </c>
      <c r="E161" s="37">
        <v>39.857480000000002</v>
      </c>
      <c r="F161" s="25">
        <f>'2019_Download_5-1-1'!D49</f>
        <v>39.857480000000002</v>
      </c>
      <c r="G161" s="10">
        <f t="shared" si="3"/>
        <v>39.857480000000002</v>
      </c>
    </row>
    <row r="162" spans="1:7" x14ac:dyDescent="0.2">
      <c r="A162" s="10">
        <f>'2019_Download_5-1-1'!C50</f>
        <v>2016</v>
      </c>
      <c r="B162" s="38" t="str">
        <f>'2019_Download_5-1-1'!B50</f>
        <v>Gastgewerbe</v>
      </c>
      <c r="C162" s="10" t="str">
        <f>'2019_Download_5-1-1'!$D$8</f>
        <v>Männer</v>
      </c>
      <c r="D162" s="37" t="s">
        <v>247</v>
      </c>
      <c r="E162" s="37">
        <v>25.975009999999997</v>
      </c>
      <c r="F162" s="25">
        <f>'2019_Download_5-1-1'!D50</f>
        <v>25.975009999999997</v>
      </c>
      <c r="G162" s="10">
        <f t="shared" si="3"/>
        <v>25.975009999999997</v>
      </c>
    </row>
    <row r="163" spans="1:7" x14ac:dyDescent="0.2">
      <c r="A163" s="10">
        <f>'2019_Download_5-1-1'!C51</f>
        <v>2016</v>
      </c>
      <c r="B163" s="38" t="str">
        <f>'2019_Download_5-1-1'!B51</f>
        <v>Erbringung von Finanz- und Versicherungsleistungen; Grundstücks- und Wohnungswesen; Freiberufliche, wiss. u. techn. Dienstleistungen; sonst. wirt. Dienstleistungen</v>
      </c>
      <c r="C163" s="10" t="str">
        <f>'2019_Download_5-1-1'!$D$8</f>
        <v>Männer</v>
      </c>
      <c r="D163" s="37" t="s">
        <v>248</v>
      </c>
      <c r="E163" s="37">
        <v>34.714449999999999</v>
      </c>
      <c r="F163" s="25">
        <f>'2019_Download_5-1-1'!D51</f>
        <v>34.714449999999999</v>
      </c>
      <c r="G163" s="10">
        <f t="shared" si="3"/>
        <v>34.714449999999999</v>
      </c>
    </row>
    <row r="164" spans="1:7" x14ac:dyDescent="0.2">
      <c r="A164" s="10">
        <f>'2019_Download_5-1-1'!C52</f>
        <v>2016</v>
      </c>
      <c r="B164" s="38" t="str">
        <f>'2019_Download_5-1-1'!B52</f>
        <v>ÖffentlicheVerwaltung, Verteidigung, Sozialversicherung; Erziehung und Unterricht; Gesundheits- und Sozialwesen</v>
      </c>
      <c r="C164" s="10" t="str">
        <f>'2019_Download_5-1-1'!$D$8</f>
        <v>Männer</v>
      </c>
      <c r="D164" s="37" t="s">
        <v>249</v>
      </c>
      <c r="E164" s="37">
        <v>35.625929999999997</v>
      </c>
      <c r="F164" s="25">
        <f>'2019_Download_5-1-1'!D52</f>
        <v>35.625929999999997</v>
      </c>
      <c r="G164" s="10">
        <f t="shared" si="3"/>
        <v>35.625929999999997</v>
      </c>
    </row>
    <row r="165" spans="1:7" x14ac:dyDescent="0.2">
      <c r="A165" s="10">
        <f>'2019_Download_5-1-1'!C53</f>
        <v>2016</v>
      </c>
      <c r="B165" s="38" t="str">
        <f>'2019_Download_5-1-1'!B53</f>
        <v>Kunst, Unterhaltung und Erholung; Erbringung von sonstigen Dienstleistungen</v>
      </c>
      <c r="C165" s="10" t="str">
        <f>'2019_Download_5-1-1'!$D$8</f>
        <v>Männer</v>
      </c>
      <c r="D165" s="37" t="s">
        <v>250</v>
      </c>
      <c r="E165" s="37" t="s">
        <v>741</v>
      </c>
      <c r="F165" s="25">
        <f>'2019_Download_5-1-1'!D53</f>
        <v>9.7516599999999993</v>
      </c>
      <c r="G165" s="10" t="str">
        <f t="shared" si="3"/>
        <v>(9,8)</v>
      </c>
    </row>
    <row r="166" spans="1:7" x14ac:dyDescent="0.2">
      <c r="A166" s="10">
        <f>'2019_Download_5-1-1'!C54</f>
        <v>2016</v>
      </c>
      <c r="B166" s="38" t="str">
        <f>'2019_Download_5-1-1'!B54</f>
        <v>Insgesamt (inkl. sonstiger Abschnitte)</v>
      </c>
      <c r="C166" s="10" t="str">
        <f>'2019_Download_5-1-1'!$D$8</f>
        <v>Männer</v>
      </c>
      <c r="D166" s="37" t="s">
        <v>251</v>
      </c>
      <c r="E166" s="37">
        <v>389.66021000000001</v>
      </c>
      <c r="F166" s="25">
        <f>'2019_Download_5-1-1'!D54</f>
        <v>389.66021000000001</v>
      </c>
      <c r="G166" s="10">
        <f t="shared" si="3"/>
        <v>389.66021000000001</v>
      </c>
    </row>
    <row r="167" spans="1:7" x14ac:dyDescent="0.2">
      <c r="A167" s="10">
        <f>'2019_Download_5-1-1'!C55</f>
        <v>2015</v>
      </c>
      <c r="B167" s="38" t="str">
        <f>'2019_Download_5-1-1'!B55</f>
        <v>Land- und Forstwirtschaft, Fischerei</v>
      </c>
      <c r="C167" s="10" t="str">
        <f>'2019_Download_5-1-1'!$D$8</f>
        <v>Männer</v>
      </c>
      <c r="D167" s="37" t="s">
        <v>252</v>
      </c>
      <c r="E167" s="37" t="s">
        <v>738</v>
      </c>
      <c r="F167" s="25">
        <f>'2019_Download_5-1-1'!D55</f>
        <v>7.4572099999999999</v>
      </c>
      <c r="G167" s="10" t="str">
        <f t="shared" si="3"/>
        <v>(7,5)</v>
      </c>
    </row>
    <row r="168" spans="1:7" x14ac:dyDescent="0.2">
      <c r="A168" s="10">
        <f>'2019_Download_5-1-1'!C56</f>
        <v>2015</v>
      </c>
      <c r="B168" s="38" t="str">
        <f>'2019_Download_5-1-1'!B56</f>
        <v>Bergbau und Gewinnung von Steinen und Erden; Verarbeitendes Gewerbe</v>
      </c>
      <c r="C168" s="10" t="str">
        <f>'2019_Download_5-1-1'!$D$8</f>
        <v>Männer</v>
      </c>
      <c r="D168" s="37" t="s">
        <v>253</v>
      </c>
      <c r="E168" s="37">
        <v>106.61516</v>
      </c>
      <c r="F168" s="25">
        <f>'2019_Download_5-1-1'!D56</f>
        <v>106.61516</v>
      </c>
      <c r="G168" s="10">
        <f t="shared" si="3"/>
        <v>106.61516</v>
      </c>
    </row>
    <row r="169" spans="1:7" x14ac:dyDescent="0.2">
      <c r="A169" s="10">
        <f>'2019_Download_5-1-1'!C57</f>
        <v>2015</v>
      </c>
      <c r="B169" s="38" t="str">
        <f>'2019_Download_5-1-1'!B57</f>
        <v>Energieversorgung; Wasserversorgung, Entsorg., Beseitig. v. Umweltverschmutzungen</v>
      </c>
      <c r="C169" s="10" t="str">
        <f>'2019_Download_5-1-1'!$D$8</f>
        <v>Männer</v>
      </c>
      <c r="D169" s="37" t="s">
        <v>254</v>
      </c>
      <c r="E169" s="37" t="s">
        <v>750</v>
      </c>
      <c r="F169" s="25">
        <f>'2019_Download_5-1-1'!D57</f>
        <v>5.0394300000000003</v>
      </c>
      <c r="G169" s="10" t="str">
        <f t="shared" si="3"/>
        <v>(5,0)</v>
      </c>
    </row>
    <row r="170" spans="1:7" x14ac:dyDescent="0.2">
      <c r="A170" s="10">
        <f>'2019_Download_5-1-1'!C58</f>
        <v>2015</v>
      </c>
      <c r="B170" s="38" t="str">
        <f>'2019_Download_5-1-1'!B58</f>
        <v>Baugewerbe</v>
      </c>
      <c r="C170" s="10" t="str">
        <f>'2019_Download_5-1-1'!$D$8</f>
        <v>Männer</v>
      </c>
      <c r="D170" s="37" t="s">
        <v>255</v>
      </c>
      <c r="E170" s="37">
        <v>42.176349999999999</v>
      </c>
      <c r="F170" s="25">
        <f>'2019_Download_5-1-1'!D58</f>
        <v>42.176349999999999</v>
      </c>
      <c r="G170" s="10">
        <f t="shared" si="3"/>
        <v>42.176349999999999</v>
      </c>
    </row>
    <row r="171" spans="1:7" x14ac:dyDescent="0.2">
      <c r="A171" s="10">
        <f>'2019_Download_5-1-1'!C59</f>
        <v>2015</v>
      </c>
      <c r="B171" s="38" t="str">
        <f>'2019_Download_5-1-1'!B59</f>
        <v>Handel, Instandhaltung und Reparatur von Kfz</v>
      </c>
      <c r="C171" s="10" t="str">
        <f>'2019_Download_5-1-1'!$D$8</f>
        <v>Männer</v>
      </c>
      <c r="D171" s="37" t="s">
        <v>256</v>
      </c>
      <c r="E171" s="37">
        <v>57.305949999999996</v>
      </c>
      <c r="F171" s="25">
        <f>'2019_Download_5-1-1'!D59</f>
        <v>57.305949999999996</v>
      </c>
      <c r="G171" s="10">
        <f t="shared" si="3"/>
        <v>57.305949999999996</v>
      </c>
    </row>
    <row r="172" spans="1:7" x14ac:dyDescent="0.2">
      <c r="A172" s="10">
        <f>'2019_Download_5-1-1'!C60</f>
        <v>2015</v>
      </c>
      <c r="B172" s="38" t="str">
        <f>'2019_Download_5-1-1'!B60</f>
        <v>Verkehr und Lagerei; Information und Kommunikation</v>
      </c>
      <c r="C172" s="10" t="str">
        <f>'2019_Download_5-1-1'!$D$8</f>
        <v>Männer</v>
      </c>
      <c r="D172" s="37" t="s">
        <v>257</v>
      </c>
      <c r="E172" s="37">
        <v>35.54383</v>
      </c>
      <c r="F172" s="25">
        <f>'2019_Download_5-1-1'!D60</f>
        <v>35.54383</v>
      </c>
      <c r="G172" s="10">
        <f t="shared" si="3"/>
        <v>35.54383</v>
      </c>
    </row>
    <row r="173" spans="1:7" x14ac:dyDescent="0.2">
      <c r="A173" s="10">
        <f>'2019_Download_5-1-1'!C61</f>
        <v>2015</v>
      </c>
      <c r="B173" s="38" t="str">
        <f>'2019_Download_5-1-1'!B61</f>
        <v>Gastgewerbe</v>
      </c>
      <c r="C173" s="10" t="str">
        <f>'2019_Download_5-1-1'!$D$8</f>
        <v>Männer</v>
      </c>
      <c r="D173" s="37" t="s">
        <v>258</v>
      </c>
      <c r="E173" s="37">
        <v>24.285130000000002</v>
      </c>
      <c r="F173" s="25">
        <f>'2019_Download_5-1-1'!D61</f>
        <v>24.285130000000002</v>
      </c>
      <c r="G173" s="10">
        <f t="shared" si="3"/>
        <v>24.285130000000002</v>
      </c>
    </row>
    <row r="174" spans="1:7" x14ac:dyDescent="0.2">
      <c r="A174" s="10">
        <f>'2019_Download_5-1-1'!C62</f>
        <v>2015</v>
      </c>
      <c r="B174" s="38" t="str">
        <f>'2019_Download_5-1-1'!B62</f>
        <v>Erbringung von Finanz- und Versicherungsleistungen; Grundstücks- und Wohnungswesen; Freiberufliche, wiss. u. techn. Dienstleistungen; sonst. wirt. Dienstleistungen</v>
      </c>
      <c r="C174" s="10" t="str">
        <f>'2019_Download_5-1-1'!$D$8</f>
        <v>Männer</v>
      </c>
      <c r="D174" s="37" t="s">
        <v>259</v>
      </c>
      <c r="E174" s="37">
        <v>29.162929999999999</v>
      </c>
      <c r="F174" s="25">
        <f>'2019_Download_5-1-1'!D62</f>
        <v>29.162929999999999</v>
      </c>
      <c r="G174" s="10">
        <f t="shared" si="3"/>
        <v>29.162929999999999</v>
      </c>
    </row>
    <row r="175" spans="1:7" x14ac:dyDescent="0.2">
      <c r="A175" s="10">
        <f>'2019_Download_5-1-1'!C63</f>
        <v>2015</v>
      </c>
      <c r="B175" s="38" t="str">
        <f>'2019_Download_5-1-1'!B63</f>
        <v>Öff.Verwaltung, Verteidigung, Sozialversicherung; Erziehung und Unterricht; Gesundheits- und Sozialwesen</v>
      </c>
      <c r="C175" s="10" t="str">
        <f>'2019_Download_5-1-1'!$D$8</f>
        <v>Männer</v>
      </c>
      <c r="D175" s="37" t="s">
        <v>260</v>
      </c>
      <c r="E175" s="37">
        <v>29.305509999999998</v>
      </c>
      <c r="F175" s="25">
        <f>'2019_Download_5-1-1'!D63</f>
        <v>29.305509999999998</v>
      </c>
      <c r="G175" s="10">
        <f t="shared" si="3"/>
        <v>29.305509999999998</v>
      </c>
    </row>
    <row r="176" spans="1:7" x14ac:dyDescent="0.2">
      <c r="A176" s="10">
        <f>'2019_Download_5-1-1'!C64</f>
        <v>2015</v>
      </c>
      <c r="B176" s="38" t="str">
        <f>'2019_Download_5-1-1'!B64</f>
        <v>Kunst, Unterhaltung und Erholung; Erbringung von sonstigen Dienstleistungen</v>
      </c>
      <c r="C176" s="10" t="str">
        <f>'2019_Download_5-1-1'!$D$8</f>
        <v>Männer</v>
      </c>
      <c r="D176" s="37" t="s">
        <v>261</v>
      </c>
      <c r="E176" s="37">
        <v>10.864459999999999</v>
      </c>
      <c r="F176" s="25">
        <f>'2019_Download_5-1-1'!D64</f>
        <v>10.864459999999999</v>
      </c>
      <c r="G176" s="10">
        <f t="shared" si="3"/>
        <v>10.864459999999999</v>
      </c>
    </row>
    <row r="177" spans="1:7" x14ac:dyDescent="0.2">
      <c r="A177" s="10">
        <f>'2019_Download_5-1-1'!C65</f>
        <v>2015</v>
      </c>
      <c r="B177" s="38" t="str">
        <f>'2019_Download_5-1-1'!B65</f>
        <v>Insgesamt (inkl. sonstiger Abschnitte)</v>
      </c>
      <c r="C177" s="10" t="str">
        <f>'2019_Download_5-1-1'!$D$8</f>
        <v>Männer</v>
      </c>
      <c r="D177" s="37" t="s">
        <v>262</v>
      </c>
      <c r="E177" s="37">
        <v>348.54129999999998</v>
      </c>
      <c r="F177" s="25">
        <f>'2019_Download_5-1-1'!D65</f>
        <v>348.54129999999998</v>
      </c>
      <c r="G177" s="10">
        <f t="shared" si="3"/>
        <v>348.54129999999998</v>
      </c>
    </row>
    <row r="178" spans="1:7" x14ac:dyDescent="0.2">
      <c r="A178" s="10">
        <f>'2019_Download_5-1-1'!C66</f>
        <v>2014</v>
      </c>
      <c r="B178" s="38" t="str">
        <f>'2019_Download_5-1-1'!B66</f>
        <v>Land- und Forstwirtschaft, Fischerei</v>
      </c>
      <c r="C178" s="10" t="str">
        <f>'2019_Download_5-1-1'!$D$8</f>
        <v>Männer</v>
      </c>
      <c r="D178" s="37" t="s">
        <v>263</v>
      </c>
      <c r="E178" s="37" t="s">
        <v>751</v>
      </c>
      <c r="F178" s="25">
        <f>'2019_Download_5-1-1'!D66</f>
        <v>6.3360699999999994</v>
      </c>
      <c r="G178" s="10" t="str">
        <f t="shared" si="3"/>
        <v>(6,3)</v>
      </c>
    </row>
    <row r="179" spans="1:7" x14ac:dyDescent="0.2">
      <c r="A179" s="10">
        <f>'2019_Download_5-1-1'!C67</f>
        <v>2014</v>
      </c>
      <c r="B179" s="38" t="str">
        <f>'2019_Download_5-1-1'!B67</f>
        <v>Bergbau und Gewinnung von Steinen und Erden; Verarbeitendes Gewerbe</v>
      </c>
      <c r="C179" s="10" t="str">
        <f>'2019_Download_5-1-1'!$D$8</f>
        <v>Männer</v>
      </c>
      <c r="D179" s="37" t="s">
        <v>264</v>
      </c>
      <c r="E179" s="37">
        <v>101.78074000000001</v>
      </c>
      <c r="F179" s="25">
        <f>'2019_Download_5-1-1'!D67</f>
        <v>101.78074000000001</v>
      </c>
      <c r="G179" s="10">
        <f t="shared" si="3"/>
        <v>101.78074000000001</v>
      </c>
    </row>
    <row r="180" spans="1:7" x14ac:dyDescent="0.2">
      <c r="A180" s="10">
        <f>'2019_Download_5-1-1'!C68</f>
        <v>2014</v>
      </c>
      <c r="B180" s="38" t="str">
        <f>'2019_Download_5-1-1'!B68</f>
        <v>Energieversorgung; Wasserversorgung, Entsorg., Beseitig. v. Umweltverschmutzungen</v>
      </c>
      <c r="C180" s="10" t="str">
        <f>'2019_Download_5-1-1'!$D$8</f>
        <v>Männer</v>
      </c>
      <c r="D180" s="37" t="s">
        <v>265</v>
      </c>
      <c r="E180" s="37" t="s">
        <v>752</v>
      </c>
      <c r="F180" s="25">
        <f>'2019_Download_5-1-1'!D68</f>
        <v>5.3153800000000002</v>
      </c>
      <c r="G180" s="10" t="str">
        <f t="shared" si="3"/>
        <v>(5,3)</v>
      </c>
    </row>
    <row r="181" spans="1:7" x14ac:dyDescent="0.2">
      <c r="A181" s="10">
        <f>'2019_Download_5-1-1'!C69</f>
        <v>2014</v>
      </c>
      <c r="B181" s="38" t="str">
        <f>'2019_Download_5-1-1'!B69</f>
        <v>Baugewerbe</v>
      </c>
      <c r="C181" s="10" t="str">
        <f>'2019_Download_5-1-1'!$D$8</f>
        <v>Männer</v>
      </c>
      <c r="D181" s="37" t="s">
        <v>266</v>
      </c>
      <c r="E181" s="37">
        <v>43.502069999999996</v>
      </c>
      <c r="F181" s="25">
        <f>'2019_Download_5-1-1'!D69</f>
        <v>43.502069999999996</v>
      </c>
      <c r="G181" s="10">
        <f t="shared" si="3"/>
        <v>43.502069999999996</v>
      </c>
    </row>
    <row r="182" spans="1:7" x14ac:dyDescent="0.2">
      <c r="A182" s="10">
        <f>'2019_Download_5-1-1'!C70</f>
        <v>2014</v>
      </c>
      <c r="B182" s="38" t="str">
        <f>'2019_Download_5-1-1'!B70</f>
        <v>Handel, Instandhaltung und Reparatur von Kfz</v>
      </c>
      <c r="C182" s="10" t="str">
        <f>'2019_Download_5-1-1'!$D$8</f>
        <v>Männer</v>
      </c>
      <c r="D182" s="37" t="s">
        <v>267</v>
      </c>
      <c r="E182" s="37">
        <v>54.192610000000002</v>
      </c>
      <c r="F182" s="25">
        <f>'2019_Download_5-1-1'!D70</f>
        <v>54.192610000000002</v>
      </c>
      <c r="G182" s="10">
        <f t="shared" si="3"/>
        <v>54.192610000000002</v>
      </c>
    </row>
    <row r="183" spans="1:7" x14ac:dyDescent="0.2">
      <c r="A183" s="10">
        <f>'2019_Download_5-1-1'!C71</f>
        <v>2014</v>
      </c>
      <c r="B183" s="38" t="str">
        <f>'2019_Download_5-1-1'!B71</f>
        <v>Verkehr und Lagerei; Information und Kommunikation</v>
      </c>
      <c r="C183" s="10" t="str">
        <f>'2019_Download_5-1-1'!$D$8</f>
        <v>Männer</v>
      </c>
      <c r="D183" s="37" t="s">
        <v>268</v>
      </c>
      <c r="E183" s="37">
        <v>32.27196</v>
      </c>
      <c r="F183" s="25">
        <f>'2019_Download_5-1-1'!D71</f>
        <v>32.27196</v>
      </c>
      <c r="G183" s="10">
        <f t="shared" si="3"/>
        <v>32.27196</v>
      </c>
    </row>
    <row r="184" spans="1:7" x14ac:dyDescent="0.2">
      <c r="A184" s="10">
        <f>'2019_Download_5-1-1'!C72</f>
        <v>2014</v>
      </c>
      <c r="B184" s="38" t="str">
        <f>'2019_Download_5-1-1'!B72</f>
        <v>Gastgewerbe</v>
      </c>
      <c r="C184" s="10" t="str">
        <f>'2019_Download_5-1-1'!$D$8</f>
        <v>Männer</v>
      </c>
      <c r="D184" s="37" t="s">
        <v>269</v>
      </c>
      <c r="E184" s="37">
        <v>22.154979999999998</v>
      </c>
      <c r="F184" s="25">
        <f>'2019_Download_5-1-1'!D72</f>
        <v>22.154979999999998</v>
      </c>
      <c r="G184" s="10">
        <f t="shared" si="3"/>
        <v>22.154979999999998</v>
      </c>
    </row>
    <row r="185" spans="1:7" x14ac:dyDescent="0.2">
      <c r="A185" s="10">
        <f>'2019_Download_5-1-1'!C73</f>
        <v>2014</v>
      </c>
      <c r="B185" s="38" t="str">
        <f>'2019_Download_5-1-1'!B73</f>
        <v>Erbringung von Finanz- und Versicherungsleistungen; Grundstücks- und Wohnungswesen; Freiberufliche, wiss. u. techn. Dienstleistungen; sonst. wirt. Dienstleistungen</v>
      </c>
      <c r="C185" s="10" t="str">
        <f>'2019_Download_5-1-1'!$D$8</f>
        <v>Männer</v>
      </c>
      <c r="D185" s="37" t="s">
        <v>270</v>
      </c>
      <c r="E185" s="37">
        <v>29.384830000000001</v>
      </c>
      <c r="F185" s="25">
        <f>'2019_Download_5-1-1'!D73</f>
        <v>29.384830000000001</v>
      </c>
      <c r="G185" s="10">
        <f t="shared" si="3"/>
        <v>29.384830000000001</v>
      </c>
    </row>
    <row r="186" spans="1:7" x14ac:dyDescent="0.2">
      <c r="A186" s="10">
        <f>'2019_Download_5-1-1'!C74</f>
        <v>2014</v>
      </c>
      <c r="B186" s="38" t="str">
        <f>'2019_Download_5-1-1'!B74</f>
        <v>ÖffentlicheVerwaltung, Verteidigung, Sozialversicherung; Erziehung und Unterricht; Gesundheits- und Sozialwesen</v>
      </c>
      <c r="C186" s="10" t="str">
        <f>'2019_Download_5-1-1'!$D$8</f>
        <v>Männer</v>
      </c>
      <c r="D186" s="37" t="s">
        <v>271</v>
      </c>
      <c r="E186" s="37">
        <v>29.18779</v>
      </c>
      <c r="F186" s="25">
        <f>'2019_Download_5-1-1'!D74</f>
        <v>29.18779</v>
      </c>
      <c r="G186" s="10">
        <f t="shared" si="3"/>
        <v>29.18779</v>
      </c>
    </row>
    <row r="187" spans="1:7" x14ac:dyDescent="0.2">
      <c r="A187" s="10">
        <f>'2019_Download_5-1-1'!C75</f>
        <v>2014</v>
      </c>
      <c r="B187" s="38" t="str">
        <f>'2019_Download_5-1-1'!B75</f>
        <v>Kunst, Unterhaltung und Erholung; Erbringung von sonstigen Dienstleistungen</v>
      </c>
      <c r="C187" s="10" t="str">
        <f>'2019_Download_5-1-1'!$D$8</f>
        <v>Männer</v>
      </c>
      <c r="D187" s="37" t="s">
        <v>272</v>
      </c>
      <c r="E187" s="37">
        <v>10.499379999999999</v>
      </c>
      <c r="F187" s="25">
        <f>'2019_Download_5-1-1'!D75</f>
        <v>10.499379999999999</v>
      </c>
      <c r="G187" s="10">
        <f t="shared" si="3"/>
        <v>10.499379999999999</v>
      </c>
    </row>
    <row r="188" spans="1:7" x14ac:dyDescent="0.2">
      <c r="A188" s="10">
        <f>'2019_Download_5-1-1'!C76</f>
        <v>2014</v>
      </c>
      <c r="B188" s="38" t="str">
        <f>'2019_Download_5-1-1'!B76</f>
        <v>Insgesamt (inkl. sonstiger Abschnitte)</v>
      </c>
      <c r="C188" s="10" t="str">
        <f>'2019_Download_5-1-1'!$D$8</f>
        <v>Männer</v>
      </c>
      <c r="D188" s="37" t="s">
        <v>273</v>
      </c>
      <c r="E188" s="37">
        <v>335.48230000000001</v>
      </c>
      <c r="F188" s="25">
        <f>'2019_Download_5-1-1'!D76</f>
        <v>335.48230000000001</v>
      </c>
      <c r="G188" s="10">
        <f t="shared" si="3"/>
        <v>335.48230000000001</v>
      </c>
    </row>
    <row r="189" spans="1:7" x14ac:dyDescent="0.2">
      <c r="A189" s="10">
        <f>'2019_Download_5-1-1'!C77</f>
        <v>2013</v>
      </c>
      <c r="B189" s="38" t="str">
        <f>'2019_Download_5-1-1'!B77</f>
        <v>Land- und Forstwirtschaft, Fischerei</v>
      </c>
      <c r="C189" s="10" t="str">
        <f>'2019_Download_5-1-1'!$D$8</f>
        <v>Männer</v>
      </c>
      <c r="D189" s="37" t="s">
        <v>274</v>
      </c>
      <c r="E189" s="37" t="s">
        <v>753</v>
      </c>
      <c r="F189" s="25">
        <f>'2019_Download_5-1-1'!D77</f>
        <v>5.6397899999999996</v>
      </c>
      <c r="G189" s="10" t="str">
        <f t="shared" si="3"/>
        <v>(5,6)</v>
      </c>
    </row>
    <row r="190" spans="1:7" x14ac:dyDescent="0.2">
      <c r="A190" s="10">
        <f>'2019_Download_5-1-1'!C78</f>
        <v>2013</v>
      </c>
      <c r="B190" s="38" t="str">
        <f>'2019_Download_5-1-1'!B78</f>
        <v>Bergbau und Gewinnung von Steinen und Erden; Verarbeitendes Gewerbe</v>
      </c>
      <c r="C190" s="10" t="str">
        <f>'2019_Download_5-1-1'!$D$8</f>
        <v>Männer</v>
      </c>
      <c r="D190" s="37" t="s">
        <v>275</v>
      </c>
      <c r="E190" s="37">
        <v>97.881570000000011</v>
      </c>
      <c r="F190" s="25">
        <f>'2019_Download_5-1-1'!D78</f>
        <v>97.881570000000011</v>
      </c>
      <c r="G190" s="10">
        <f t="shared" si="3"/>
        <v>97.881570000000011</v>
      </c>
    </row>
    <row r="191" spans="1:7" x14ac:dyDescent="0.2">
      <c r="A191" s="10">
        <f>'2019_Download_5-1-1'!C79</f>
        <v>2013</v>
      </c>
      <c r="B191" s="38" t="str">
        <f>'2019_Download_5-1-1'!B79</f>
        <v>Energieversorgung; Wasserversorgung, Entsorg., Beseitig. v. Umweltverschmutzungen</v>
      </c>
      <c r="C191" s="10" t="str">
        <f>'2019_Download_5-1-1'!$D$8</f>
        <v>Männer</v>
      </c>
      <c r="D191" s="37" t="s">
        <v>276</v>
      </c>
      <c r="E191" s="37" t="s">
        <v>750</v>
      </c>
      <c r="F191" s="25">
        <f>'2019_Download_5-1-1'!D79</f>
        <v>5.0328999999999997</v>
      </c>
      <c r="G191" s="10" t="str">
        <f t="shared" si="3"/>
        <v>(5,0)</v>
      </c>
    </row>
    <row r="192" spans="1:7" x14ac:dyDescent="0.2">
      <c r="A192" s="10">
        <f>'2019_Download_5-1-1'!C80</f>
        <v>2013</v>
      </c>
      <c r="B192" s="38" t="str">
        <f>'2019_Download_5-1-1'!B80</f>
        <v>Baugewerbe</v>
      </c>
      <c r="C192" s="10" t="str">
        <f>'2019_Download_5-1-1'!$D$8</f>
        <v>Männer</v>
      </c>
      <c r="D192" s="37" t="s">
        <v>277</v>
      </c>
      <c r="E192" s="37">
        <v>40.353499999999997</v>
      </c>
      <c r="F192" s="25">
        <f>'2019_Download_5-1-1'!D80</f>
        <v>40.353499999999997</v>
      </c>
      <c r="G192" s="10">
        <f t="shared" si="3"/>
        <v>40.353499999999997</v>
      </c>
    </row>
    <row r="193" spans="1:7" x14ac:dyDescent="0.2">
      <c r="A193" s="10">
        <f>'2019_Download_5-1-1'!C81</f>
        <v>2013</v>
      </c>
      <c r="B193" s="38" t="str">
        <f>'2019_Download_5-1-1'!B81</f>
        <v>Handel, Instandhaltung und Reparatur von Kfz</v>
      </c>
      <c r="C193" s="10" t="str">
        <f>'2019_Download_5-1-1'!$D$8</f>
        <v>Männer</v>
      </c>
      <c r="D193" s="37" t="s">
        <v>278</v>
      </c>
      <c r="E193" s="37">
        <v>56.337489999999995</v>
      </c>
      <c r="F193" s="25">
        <f>'2019_Download_5-1-1'!D81</f>
        <v>56.337489999999995</v>
      </c>
      <c r="G193" s="10">
        <f t="shared" si="3"/>
        <v>56.337489999999995</v>
      </c>
    </row>
    <row r="194" spans="1:7" x14ac:dyDescent="0.2">
      <c r="A194" s="10">
        <f>'2019_Download_5-1-1'!C82</f>
        <v>2013</v>
      </c>
      <c r="B194" s="38" t="str">
        <f>'2019_Download_5-1-1'!B82</f>
        <v>Verkehr und Lagerei; Information und Kommunikation</v>
      </c>
      <c r="C194" s="10" t="str">
        <f>'2019_Download_5-1-1'!$D$8</f>
        <v>Männer</v>
      </c>
      <c r="D194" s="37" t="s">
        <v>279</v>
      </c>
      <c r="E194" s="37">
        <v>32.462830000000004</v>
      </c>
      <c r="F194" s="25">
        <f>'2019_Download_5-1-1'!D82</f>
        <v>32.462830000000004</v>
      </c>
      <c r="G194" s="10">
        <f t="shared" si="3"/>
        <v>32.462830000000004</v>
      </c>
    </row>
    <row r="195" spans="1:7" x14ac:dyDescent="0.2">
      <c r="A195" s="10">
        <f>'2019_Download_5-1-1'!C83</f>
        <v>2013</v>
      </c>
      <c r="B195" s="38" t="str">
        <f>'2019_Download_5-1-1'!B83</f>
        <v>Gastgewerbe</v>
      </c>
      <c r="C195" s="10" t="str">
        <f>'2019_Download_5-1-1'!$D$8</f>
        <v>Männer</v>
      </c>
      <c r="D195" s="37" t="s">
        <v>280</v>
      </c>
      <c r="E195" s="37">
        <v>24.680419999999998</v>
      </c>
      <c r="F195" s="25">
        <f>'2019_Download_5-1-1'!D83</f>
        <v>24.680419999999998</v>
      </c>
      <c r="G195" s="10">
        <f t="shared" si="3"/>
        <v>24.680419999999998</v>
      </c>
    </row>
    <row r="196" spans="1:7" x14ac:dyDescent="0.2">
      <c r="A196" s="10">
        <f>'2019_Download_5-1-1'!C84</f>
        <v>2013</v>
      </c>
      <c r="B196" s="38" t="str">
        <f>'2019_Download_5-1-1'!B84</f>
        <v>Erbringung von Finanz- und Versicherungsleistungen; Grundstücks- und Wohnungswesen; Freiberufliche, wiss. u. techn. Dienstleistungen; sonst. wirt. Dienstleistungen</v>
      </c>
      <c r="C196" s="10" t="str">
        <f>'2019_Download_5-1-1'!$D$8</f>
        <v>Männer</v>
      </c>
      <c r="D196" s="37" t="s">
        <v>281</v>
      </c>
      <c r="E196" s="37">
        <v>30.276400000000002</v>
      </c>
      <c r="F196" s="25">
        <f>'2019_Download_5-1-1'!D84</f>
        <v>30.276400000000002</v>
      </c>
      <c r="G196" s="10">
        <f t="shared" si="3"/>
        <v>30.276400000000002</v>
      </c>
    </row>
    <row r="197" spans="1:7" x14ac:dyDescent="0.2">
      <c r="A197" s="10">
        <f>'2019_Download_5-1-1'!C85</f>
        <v>2013</v>
      </c>
      <c r="B197" s="38" t="str">
        <f>'2019_Download_5-1-1'!B85</f>
        <v>ÖffentlicheVerwaltung, Verteidigung, Sozialversicherung; Erziehung und Unterricht; Gesundheits- und Sozialwesen</v>
      </c>
      <c r="C197" s="10" t="str">
        <f>'2019_Download_5-1-1'!$D$8</f>
        <v>Männer</v>
      </c>
      <c r="D197" s="37" t="s">
        <v>282</v>
      </c>
      <c r="E197" s="37">
        <v>28.304020000000001</v>
      </c>
      <c r="F197" s="25">
        <f>'2019_Download_5-1-1'!D85</f>
        <v>28.304020000000001</v>
      </c>
      <c r="G197" s="10">
        <f t="shared" si="3"/>
        <v>28.304020000000001</v>
      </c>
    </row>
    <row r="198" spans="1:7" x14ac:dyDescent="0.2">
      <c r="A198" s="10">
        <f>'2019_Download_5-1-1'!C86</f>
        <v>2013</v>
      </c>
      <c r="B198" s="38" t="str">
        <f>'2019_Download_5-1-1'!B86</f>
        <v>Kunst, Unterhaltung und Erholung; Erbringung von sonstigen Dienstleistungen</v>
      </c>
      <c r="C198" s="10" t="str">
        <f>'2019_Download_5-1-1'!$D$8</f>
        <v>Männer</v>
      </c>
      <c r="D198" s="37" t="s">
        <v>283</v>
      </c>
      <c r="E198" s="37">
        <v>10.529069999999999</v>
      </c>
      <c r="F198" s="25">
        <f>'2019_Download_5-1-1'!D86</f>
        <v>10.529069999999999</v>
      </c>
      <c r="G198" s="10">
        <f t="shared" ref="G198:G261" si="4">IF(F198&lt;5,"/",IF(F198&lt;10,TEXT(F198,"(#.#0,0)"),F198))</f>
        <v>10.529069999999999</v>
      </c>
    </row>
    <row r="199" spans="1:7" x14ac:dyDescent="0.2">
      <c r="A199" s="10">
        <f>'2019_Download_5-1-1'!C87</f>
        <v>2013</v>
      </c>
      <c r="B199" s="38" t="str">
        <f>'2019_Download_5-1-1'!B87</f>
        <v>Insgesamt (inkl. sonstiger Abschnitte)</v>
      </c>
      <c r="C199" s="10" t="str">
        <f>'2019_Download_5-1-1'!$D$8</f>
        <v>Männer</v>
      </c>
      <c r="D199" s="37" t="s">
        <v>284</v>
      </c>
      <c r="E199" s="37">
        <v>331.93194</v>
      </c>
      <c r="F199" s="25">
        <f>'2019_Download_5-1-1'!D87</f>
        <v>331.93194</v>
      </c>
      <c r="G199" s="10">
        <f t="shared" si="4"/>
        <v>331.93194</v>
      </c>
    </row>
    <row r="200" spans="1:7" x14ac:dyDescent="0.2">
      <c r="A200" s="10">
        <f>'2019_Download_5-1-1'!C88</f>
        <v>2012</v>
      </c>
      <c r="B200" s="38" t="str">
        <f>'2019_Download_5-1-1'!B88</f>
        <v>Land- und Forstwirtschaft, Fischerei</v>
      </c>
      <c r="C200" s="10" t="str">
        <f>'2019_Download_5-1-1'!$D$8</f>
        <v>Männer</v>
      </c>
      <c r="D200" s="37" t="s">
        <v>285</v>
      </c>
      <c r="E200" s="37" t="s">
        <v>64</v>
      </c>
      <c r="F200" s="25">
        <f>'2019_Download_5-1-1'!D88</f>
        <v>4.7484500000000001</v>
      </c>
      <c r="G200" s="10" t="str">
        <f t="shared" si="4"/>
        <v>/</v>
      </c>
    </row>
    <row r="201" spans="1:7" x14ac:dyDescent="0.2">
      <c r="A201" s="10">
        <f>'2019_Download_5-1-1'!C89</f>
        <v>2012</v>
      </c>
      <c r="B201" s="38" t="str">
        <f>'2019_Download_5-1-1'!B89</f>
        <v>Bergbau und Gewinnung von Steinen und Erden; Verarbeitendes Gewerbe</v>
      </c>
      <c r="C201" s="10" t="str">
        <f>'2019_Download_5-1-1'!$D$8</f>
        <v>Männer</v>
      </c>
      <c r="D201" s="37" t="s">
        <v>286</v>
      </c>
      <c r="E201" s="37">
        <v>103.27019</v>
      </c>
      <c r="F201" s="25">
        <f>'2019_Download_5-1-1'!D89</f>
        <v>103.27019</v>
      </c>
      <c r="G201" s="10">
        <f t="shared" si="4"/>
        <v>103.27019</v>
      </c>
    </row>
    <row r="202" spans="1:7" x14ac:dyDescent="0.2">
      <c r="A202" s="10">
        <f>'2019_Download_5-1-1'!C90</f>
        <v>2012</v>
      </c>
      <c r="B202" s="38" t="str">
        <f>'2019_Download_5-1-1'!B90</f>
        <v>Energieversorgung; Wasserversorgung, Entsorg., Beseitig. v. Umweltverschmutzungen</v>
      </c>
      <c r="C202" s="10" t="str">
        <f>'2019_Download_5-1-1'!$D$8</f>
        <v>Männer</v>
      </c>
      <c r="D202" s="37" t="s">
        <v>287</v>
      </c>
      <c r="E202" s="37" t="s">
        <v>64</v>
      </c>
      <c r="F202" s="25">
        <f>'2019_Download_5-1-1'!D90</f>
        <v>4.6591000000000005</v>
      </c>
      <c r="G202" s="10" t="str">
        <f t="shared" si="4"/>
        <v>/</v>
      </c>
    </row>
    <row r="203" spans="1:7" x14ac:dyDescent="0.2">
      <c r="A203" s="10">
        <f>'2019_Download_5-1-1'!C91</f>
        <v>2012</v>
      </c>
      <c r="B203" s="38" t="str">
        <f>'2019_Download_5-1-1'!B91</f>
        <v>Baugewerbe</v>
      </c>
      <c r="C203" s="10" t="str">
        <f>'2019_Download_5-1-1'!$D$8</f>
        <v>Männer</v>
      </c>
      <c r="D203" s="37" t="s">
        <v>288</v>
      </c>
      <c r="E203" s="37">
        <v>36.897529999999996</v>
      </c>
      <c r="F203" s="25">
        <f>'2019_Download_5-1-1'!D91</f>
        <v>36.897529999999996</v>
      </c>
      <c r="G203" s="10">
        <f t="shared" si="4"/>
        <v>36.897529999999996</v>
      </c>
    </row>
    <row r="204" spans="1:7" x14ac:dyDescent="0.2">
      <c r="A204" s="10">
        <f>'2019_Download_5-1-1'!C92</f>
        <v>2012</v>
      </c>
      <c r="B204" s="38" t="str">
        <f>'2019_Download_5-1-1'!B92</f>
        <v>Handel, Instandhaltung und Reparatur von Kfz</v>
      </c>
      <c r="C204" s="10" t="str">
        <f>'2019_Download_5-1-1'!$D$8</f>
        <v>Männer</v>
      </c>
      <c r="D204" s="37" t="s">
        <v>289</v>
      </c>
      <c r="E204" s="37">
        <v>42.788410000000006</v>
      </c>
      <c r="F204" s="25">
        <f>'2019_Download_5-1-1'!D92</f>
        <v>42.788410000000006</v>
      </c>
      <c r="G204" s="10">
        <f t="shared" si="4"/>
        <v>42.788410000000006</v>
      </c>
    </row>
    <row r="205" spans="1:7" x14ac:dyDescent="0.2">
      <c r="A205" s="10">
        <f>'2019_Download_5-1-1'!C93</f>
        <v>2012</v>
      </c>
      <c r="B205" s="38" t="str">
        <f>'2019_Download_5-1-1'!B93</f>
        <v>Verkehr und Lagerei; Information und Kommunikation</v>
      </c>
      <c r="C205" s="10" t="str">
        <f>'2019_Download_5-1-1'!$D$8</f>
        <v>Männer</v>
      </c>
      <c r="D205" s="37" t="s">
        <v>290</v>
      </c>
      <c r="E205" s="37">
        <v>30.841380000000001</v>
      </c>
      <c r="F205" s="25">
        <f>'2019_Download_5-1-1'!D93</f>
        <v>30.841380000000001</v>
      </c>
      <c r="G205" s="10">
        <f t="shared" si="4"/>
        <v>30.841380000000001</v>
      </c>
    </row>
    <row r="206" spans="1:7" x14ac:dyDescent="0.2">
      <c r="A206" s="10">
        <f>'2019_Download_5-1-1'!C94</f>
        <v>2012</v>
      </c>
      <c r="B206" s="38" t="str">
        <f>'2019_Download_5-1-1'!B94</f>
        <v>Gastgewerbe</v>
      </c>
      <c r="C206" s="10" t="str">
        <f>'2019_Download_5-1-1'!$D$8</f>
        <v>Männer</v>
      </c>
      <c r="D206" s="37" t="s">
        <v>291</v>
      </c>
      <c r="E206" s="37">
        <v>21.644099999999998</v>
      </c>
      <c r="F206" s="25">
        <f>'2019_Download_5-1-1'!D94</f>
        <v>21.644099999999998</v>
      </c>
      <c r="G206" s="10">
        <f t="shared" si="4"/>
        <v>21.644099999999998</v>
      </c>
    </row>
    <row r="207" spans="1:7" x14ac:dyDescent="0.2">
      <c r="A207" s="10">
        <f>'2019_Download_5-1-1'!C95</f>
        <v>2012</v>
      </c>
      <c r="B207" s="38" t="str">
        <f>'2019_Download_5-1-1'!B95</f>
        <v>Erbringung von Finanz- und Versicherungsleistungen; Grundstücks- und Wohnungswesen; Freiberufliche, wiss. u. techn. Dienstleistungen; sonst. wirt. Dienstleistungen</v>
      </c>
      <c r="C207" s="10" t="str">
        <f>'2019_Download_5-1-1'!$D$8</f>
        <v>Männer</v>
      </c>
      <c r="D207" s="37" t="s">
        <v>292</v>
      </c>
      <c r="E207" s="37">
        <v>30.431819999999998</v>
      </c>
      <c r="F207" s="25">
        <f>'2019_Download_5-1-1'!D95</f>
        <v>30.431819999999998</v>
      </c>
      <c r="G207" s="10">
        <f t="shared" si="4"/>
        <v>30.431819999999998</v>
      </c>
    </row>
    <row r="208" spans="1:7" x14ac:dyDescent="0.2">
      <c r="A208" s="10">
        <f>'2019_Download_5-1-1'!C96</f>
        <v>2012</v>
      </c>
      <c r="B208" s="38" t="str">
        <f>'2019_Download_5-1-1'!B96</f>
        <v>Öff.Verwaltung, Verteidigung, Sozialversicherung; Erziehung und Unterricht; Gesundheits- und Sozialwesen</v>
      </c>
      <c r="C208" s="10" t="str">
        <f>'2019_Download_5-1-1'!$D$8</f>
        <v>Männer</v>
      </c>
      <c r="D208" s="37" t="s">
        <v>293</v>
      </c>
      <c r="E208" s="37">
        <v>27.84985</v>
      </c>
      <c r="F208" s="25">
        <f>'2019_Download_5-1-1'!D96</f>
        <v>27.84985</v>
      </c>
      <c r="G208" s="10">
        <f t="shared" si="4"/>
        <v>27.84985</v>
      </c>
    </row>
    <row r="209" spans="1:7" x14ac:dyDescent="0.2">
      <c r="A209" s="10">
        <f>'2019_Download_5-1-1'!C97</f>
        <v>2012</v>
      </c>
      <c r="B209" s="38" t="str">
        <f>'2019_Download_5-1-1'!B97</f>
        <v>Kunst, Unterhaltung und Erholung; Erbringung von sonstigen Dienstleistungen</v>
      </c>
      <c r="C209" s="10" t="str">
        <f>'2019_Download_5-1-1'!$D$8</f>
        <v>Männer</v>
      </c>
      <c r="D209" s="37" t="s">
        <v>294</v>
      </c>
      <c r="E209" s="37">
        <v>10.02529</v>
      </c>
      <c r="F209" s="25">
        <f>'2019_Download_5-1-1'!D97</f>
        <v>10.02529</v>
      </c>
      <c r="G209" s="10">
        <f t="shared" si="4"/>
        <v>10.02529</v>
      </c>
    </row>
    <row r="210" spans="1:7" x14ac:dyDescent="0.2">
      <c r="A210" s="10">
        <f>'2019_Download_5-1-1'!C98</f>
        <v>2012</v>
      </c>
      <c r="B210" s="38" t="str">
        <f>'2019_Download_5-1-1'!B98</f>
        <v>Insgesamt (inkl. sonstiger Abschnitte)</v>
      </c>
      <c r="C210" s="10" t="str">
        <f>'2019_Download_5-1-1'!$D$8</f>
        <v>Männer</v>
      </c>
      <c r="D210" s="37" t="s">
        <v>295</v>
      </c>
      <c r="E210" s="37">
        <v>314.28734000000003</v>
      </c>
      <c r="F210" s="25">
        <f>'2019_Download_5-1-1'!D98</f>
        <v>314.28734000000003</v>
      </c>
      <c r="G210" s="10">
        <f t="shared" si="4"/>
        <v>314.28734000000003</v>
      </c>
    </row>
    <row r="211" spans="1:7" x14ac:dyDescent="0.2">
      <c r="A211" s="10">
        <f>'2019_Download_5-1-1'!C99</f>
        <v>2011</v>
      </c>
      <c r="B211" s="38" t="str">
        <f>'2019_Download_5-1-1'!B99</f>
        <v>Land- und Forstwirtschaft, Fischerei</v>
      </c>
      <c r="C211" s="10" t="str">
        <f>'2019_Download_5-1-1'!$D$8</f>
        <v>Männer</v>
      </c>
      <c r="D211" s="37" t="s">
        <v>296</v>
      </c>
      <c r="E211" s="37" t="s">
        <v>754</v>
      </c>
      <c r="F211" s="25">
        <f>'2019_Download_5-1-1'!D99</f>
        <v>6.9908100000000006</v>
      </c>
      <c r="G211" s="10" t="str">
        <f t="shared" si="4"/>
        <v>(7,0)</v>
      </c>
    </row>
    <row r="212" spans="1:7" x14ac:dyDescent="0.2">
      <c r="A212" s="10">
        <f>'2019_Download_5-1-1'!C100</f>
        <v>2011</v>
      </c>
      <c r="B212" s="38" t="str">
        <f>'2019_Download_5-1-1'!B100</f>
        <v>Bergbau und Gewinnung von Steinen und Erden; Verarbeitendes Gewerbe</v>
      </c>
      <c r="C212" s="10" t="str">
        <f>'2019_Download_5-1-1'!$D$8</f>
        <v>Männer</v>
      </c>
      <c r="D212" s="37" t="s">
        <v>297</v>
      </c>
      <c r="E212" s="37">
        <v>97.082039999999992</v>
      </c>
      <c r="F212" s="25">
        <f>'2019_Download_5-1-1'!D100</f>
        <v>97.082039999999992</v>
      </c>
      <c r="G212" s="10">
        <f t="shared" si="4"/>
        <v>97.082039999999992</v>
      </c>
    </row>
    <row r="213" spans="1:7" x14ac:dyDescent="0.2">
      <c r="A213" s="10">
        <f>'2019_Download_5-1-1'!C101</f>
        <v>2011</v>
      </c>
      <c r="B213" s="38" t="str">
        <f>'2019_Download_5-1-1'!B101</f>
        <v>Energieversorgung; Wasserversorgung, Entsorg., Beseitig. v. Umweltverschmutzungen</v>
      </c>
      <c r="C213" s="10" t="str">
        <f>'2019_Download_5-1-1'!$D$8</f>
        <v>Männer</v>
      </c>
      <c r="D213" s="37" t="s">
        <v>298</v>
      </c>
      <c r="E213" s="37" t="s">
        <v>751</v>
      </c>
      <c r="F213" s="25">
        <f>'2019_Download_5-1-1'!D101</f>
        <v>6.2511599999999996</v>
      </c>
      <c r="G213" s="10" t="str">
        <f t="shared" si="4"/>
        <v>(6,3)</v>
      </c>
    </row>
    <row r="214" spans="1:7" x14ac:dyDescent="0.2">
      <c r="A214" s="10">
        <f>'2019_Download_5-1-1'!C102</f>
        <v>2011</v>
      </c>
      <c r="B214" s="38" t="str">
        <f>'2019_Download_5-1-1'!B102</f>
        <v>Baugewerbe</v>
      </c>
      <c r="C214" s="10" t="str">
        <f>'2019_Download_5-1-1'!$D$8</f>
        <v>Männer</v>
      </c>
      <c r="D214" s="37" t="s">
        <v>299</v>
      </c>
      <c r="E214" s="37">
        <v>37.432389999999998</v>
      </c>
      <c r="F214" s="25">
        <f>'2019_Download_5-1-1'!D102</f>
        <v>37.432389999999998</v>
      </c>
      <c r="G214" s="10">
        <f t="shared" si="4"/>
        <v>37.432389999999998</v>
      </c>
    </row>
    <row r="215" spans="1:7" x14ac:dyDescent="0.2">
      <c r="A215" s="10">
        <f>'2019_Download_5-1-1'!C103</f>
        <v>2011</v>
      </c>
      <c r="B215" s="38" t="str">
        <f>'2019_Download_5-1-1'!B103</f>
        <v>Handel, Instandhaltung und Reparatur von Kfz</v>
      </c>
      <c r="C215" s="10" t="str">
        <f>'2019_Download_5-1-1'!$D$8</f>
        <v>Männer</v>
      </c>
      <c r="D215" s="37" t="s">
        <v>300</v>
      </c>
      <c r="E215" s="37">
        <v>44.099319999999999</v>
      </c>
      <c r="F215" s="25">
        <f>'2019_Download_5-1-1'!D103</f>
        <v>44.099319999999999</v>
      </c>
      <c r="G215" s="10">
        <f t="shared" si="4"/>
        <v>44.099319999999999</v>
      </c>
    </row>
    <row r="216" spans="1:7" x14ac:dyDescent="0.2">
      <c r="A216" s="10">
        <f>'2019_Download_5-1-1'!C104</f>
        <v>2011</v>
      </c>
      <c r="B216" s="38" t="str">
        <f>'2019_Download_5-1-1'!B104</f>
        <v>Verkehr und Lagerei; Information und Kommunikation</v>
      </c>
      <c r="C216" s="10" t="str">
        <f>'2019_Download_5-1-1'!$D$8</f>
        <v>Männer</v>
      </c>
      <c r="D216" s="37" t="s">
        <v>301</v>
      </c>
      <c r="E216" s="37">
        <v>28.452869999999997</v>
      </c>
      <c r="F216" s="25">
        <f>'2019_Download_5-1-1'!D104</f>
        <v>28.452869999999997</v>
      </c>
      <c r="G216" s="10">
        <f t="shared" si="4"/>
        <v>28.452869999999997</v>
      </c>
    </row>
    <row r="217" spans="1:7" x14ac:dyDescent="0.2">
      <c r="A217" s="10">
        <f>'2019_Download_5-1-1'!C105</f>
        <v>2011</v>
      </c>
      <c r="B217" s="38" t="str">
        <f>'2019_Download_5-1-1'!B105</f>
        <v>Gastgewerbe</v>
      </c>
      <c r="C217" s="10" t="str">
        <f>'2019_Download_5-1-1'!$D$8</f>
        <v>Männer</v>
      </c>
      <c r="D217" s="37" t="s">
        <v>302</v>
      </c>
      <c r="E217" s="37">
        <v>21.702169999999999</v>
      </c>
      <c r="F217" s="25">
        <f>'2019_Download_5-1-1'!D105</f>
        <v>21.702169999999999</v>
      </c>
      <c r="G217" s="10">
        <f t="shared" si="4"/>
        <v>21.702169999999999</v>
      </c>
    </row>
    <row r="218" spans="1:7" x14ac:dyDescent="0.2">
      <c r="A218" s="10">
        <f>'2019_Download_5-1-1'!C106</f>
        <v>2011</v>
      </c>
      <c r="B218" s="38" t="str">
        <f>'2019_Download_5-1-1'!B106</f>
        <v>Erbringung von Finanz- und Versicherungsleistungen; Grundstücks- und Wohnungswesen; Freiberufliche, wiss. u. techn. Dienstleistungen; sonst. wirt. Dienstleistungen</v>
      </c>
      <c r="C218" s="10" t="str">
        <f>'2019_Download_5-1-1'!$D$8</f>
        <v>Männer</v>
      </c>
      <c r="D218" s="37" t="s">
        <v>303</v>
      </c>
      <c r="E218" s="37">
        <v>28.261490000000002</v>
      </c>
      <c r="F218" s="25">
        <f>'2019_Download_5-1-1'!D106</f>
        <v>28.261490000000002</v>
      </c>
      <c r="G218" s="10">
        <f t="shared" si="4"/>
        <v>28.261490000000002</v>
      </c>
    </row>
    <row r="219" spans="1:7" x14ac:dyDescent="0.2">
      <c r="A219" s="10">
        <f>'2019_Download_5-1-1'!C107</f>
        <v>2011</v>
      </c>
      <c r="B219" s="38" t="str">
        <f>'2019_Download_5-1-1'!B107</f>
        <v>Öff.Verwaltung, Verteidigung, Sozialversicherung; Erziehung und Unterricht; Gesundheits- und Sozialwesen</v>
      </c>
      <c r="C219" s="10" t="str">
        <f>'2019_Download_5-1-1'!$D$8</f>
        <v>Männer</v>
      </c>
      <c r="D219" s="37" t="s">
        <v>304</v>
      </c>
      <c r="E219" s="37">
        <v>25.228020000000001</v>
      </c>
      <c r="F219" s="25">
        <f>'2019_Download_5-1-1'!D107</f>
        <v>25.228020000000001</v>
      </c>
      <c r="G219" s="10">
        <f t="shared" si="4"/>
        <v>25.228020000000001</v>
      </c>
    </row>
    <row r="220" spans="1:7" x14ac:dyDescent="0.2">
      <c r="A220" s="10">
        <f>'2019_Download_5-1-1'!C108</f>
        <v>2011</v>
      </c>
      <c r="B220" s="38" t="str">
        <f>'2019_Download_5-1-1'!B108</f>
        <v>Kunst, Unterhaltung und Erholung; Erbringung von sonstigen Dienstleistungen</v>
      </c>
      <c r="C220" s="10" t="str">
        <f>'2019_Download_5-1-1'!$D$8</f>
        <v>Männer</v>
      </c>
      <c r="D220" s="37" t="s">
        <v>305</v>
      </c>
      <c r="E220" s="37" t="s">
        <v>730</v>
      </c>
      <c r="F220" s="25">
        <f>'2019_Download_5-1-1'!D108</f>
        <v>7.7126000000000001</v>
      </c>
      <c r="G220" s="10" t="str">
        <f t="shared" si="4"/>
        <v>(7,7)</v>
      </c>
    </row>
    <row r="221" spans="1:7" x14ac:dyDescent="0.2">
      <c r="A221" s="10">
        <f>'2019_Download_5-1-1'!C109</f>
        <v>2011</v>
      </c>
      <c r="B221" s="38" t="str">
        <f>'2019_Download_5-1-1'!B109</f>
        <v>Insgesamt (inkl. sonstiger Abschnitte)</v>
      </c>
      <c r="C221" s="10" t="str">
        <f>'2019_Download_5-1-1'!$D$8</f>
        <v>Männer</v>
      </c>
      <c r="D221" s="37" t="s">
        <v>306</v>
      </c>
      <c r="E221" s="37">
        <v>303.62559000000005</v>
      </c>
      <c r="F221" s="25">
        <f>'2019_Download_5-1-1'!D109</f>
        <v>303.62559000000005</v>
      </c>
      <c r="G221" s="10">
        <f t="shared" si="4"/>
        <v>303.62559000000005</v>
      </c>
    </row>
    <row r="222" spans="1:7" x14ac:dyDescent="0.2">
      <c r="A222" s="10">
        <f>'2019_Download_5-1-1'!C110</f>
        <v>2010</v>
      </c>
      <c r="B222" s="38" t="str">
        <f>'2019_Download_5-1-1'!B110</f>
        <v>Land- und Forstwirtschaft, Fischerei</v>
      </c>
      <c r="C222" s="10" t="str">
        <f>'2019_Download_5-1-1'!$D$8</f>
        <v>Männer</v>
      </c>
      <c r="D222" s="37" t="s">
        <v>307</v>
      </c>
      <c r="E222" s="37" t="s">
        <v>749</v>
      </c>
      <c r="F222" s="25">
        <f>'2019_Download_5-1-1'!D110</f>
        <v>5.15707</v>
      </c>
      <c r="G222" s="10" t="str">
        <f t="shared" si="4"/>
        <v>(5,2)</v>
      </c>
    </row>
    <row r="223" spans="1:7" x14ac:dyDescent="0.2">
      <c r="A223" s="10">
        <f>'2019_Download_5-1-1'!C111</f>
        <v>2010</v>
      </c>
      <c r="B223" s="38" t="str">
        <f>'2019_Download_5-1-1'!B111</f>
        <v>Bergbau und Gewinnung von Steinen und Erden; Verarbeitendes Gewerbe</v>
      </c>
      <c r="C223" s="10" t="str">
        <f>'2019_Download_5-1-1'!$D$8</f>
        <v>Männer</v>
      </c>
      <c r="D223" s="37" t="s">
        <v>308</v>
      </c>
      <c r="E223" s="37">
        <v>99.316779999999994</v>
      </c>
      <c r="F223" s="25">
        <f>'2019_Download_5-1-1'!D111</f>
        <v>99.316779999999994</v>
      </c>
      <c r="G223" s="10">
        <f t="shared" si="4"/>
        <v>99.316779999999994</v>
      </c>
    </row>
    <row r="224" spans="1:7" x14ac:dyDescent="0.2">
      <c r="A224" s="10">
        <f>'2019_Download_5-1-1'!C112</f>
        <v>2010</v>
      </c>
      <c r="B224" s="38" t="str">
        <f>'2019_Download_5-1-1'!B112</f>
        <v>Energieversorgung; Wasserversorgung, Entsorg., Beseitig. v. Umweltverschmutzungen</v>
      </c>
      <c r="C224" s="10" t="str">
        <f>'2019_Download_5-1-1'!$D$8</f>
        <v>Männer</v>
      </c>
      <c r="D224" s="37" t="s">
        <v>309</v>
      </c>
      <c r="E224" s="37" t="s">
        <v>64</v>
      </c>
      <c r="F224" s="25" t="str">
        <f>'2019_Download_5-1-1'!D112</f>
        <v>/</v>
      </c>
      <c r="G224" s="10" t="str">
        <f t="shared" si="4"/>
        <v>/</v>
      </c>
    </row>
    <row r="225" spans="1:7" x14ac:dyDescent="0.2">
      <c r="A225" s="10">
        <f>'2019_Download_5-1-1'!C113</f>
        <v>2010</v>
      </c>
      <c r="B225" s="38" t="str">
        <f>'2019_Download_5-1-1'!B113</f>
        <v>Baugewerbe</v>
      </c>
      <c r="C225" s="10" t="str">
        <f>'2019_Download_5-1-1'!$D$8</f>
        <v>Männer</v>
      </c>
      <c r="D225" s="37" t="s">
        <v>310</v>
      </c>
      <c r="E225" s="37">
        <v>34.972910000000006</v>
      </c>
      <c r="F225" s="25">
        <f>'2019_Download_5-1-1'!D113</f>
        <v>34.972910000000006</v>
      </c>
      <c r="G225" s="10">
        <f t="shared" si="4"/>
        <v>34.972910000000006</v>
      </c>
    </row>
    <row r="226" spans="1:7" x14ac:dyDescent="0.2">
      <c r="A226" s="10">
        <f>'2019_Download_5-1-1'!C114</f>
        <v>2010</v>
      </c>
      <c r="B226" s="38" t="str">
        <f>'2019_Download_5-1-1'!B114</f>
        <v>Handel, Instandhaltung und Reparatur von Kfz</v>
      </c>
      <c r="C226" s="10" t="str">
        <f>'2019_Download_5-1-1'!$D$8</f>
        <v>Männer</v>
      </c>
      <c r="D226" s="37" t="s">
        <v>311</v>
      </c>
      <c r="E226" s="37">
        <v>44.276260000000001</v>
      </c>
      <c r="F226" s="25">
        <f>'2019_Download_5-1-1'!D114</f>
        <v>44.276260000000001</v>
      </c>
      <c r="G226" s="10">
        <f t="shared" si="4"/>
        <v>44.276260000000001</v>
      </c>
    </row>
    <row r="227" spans="1:7" x14ac:dyDescent="0.2">
      <c r="A227" s="10">
        <f>'2019_Download_5-1-1'!C115</f>
        <v>2010</v>
      </c>
      <c r="B227" s="38" t="str">
        <f>'2019_Download_5-1-1'!B115</f>
        <v>Verkehr und Lagerei; Information und Kommunikation</v>
      </c>
      <c r="C227" s="10" t="str">
        <f>'2019_Download_5-1-1'!$D$8</f>
        <v>Männer</v>
      </c>
      <c r="D227" s="37" t="s">
        <v>312</v>
      </c>
      <c r="E227" s="37">
        <v>28.7331</v>
      </c>
      <c r="F227" s="25">
        <f>'2019_Download_5-1-1'!D115</f>
        <v>28.7331</v>
      </c>
      <c r="G227" s="10">
        <f t="shared" si="4"/>
        <v>28.7331</v>
      </c>
    </row>
    <row r="228" spans="1:7" x14ac:dyDescent="0.2">
      <c r="A228" s="10">
        <f>'2019_Download_5-1-1'!C116</f>
        <v>2010</v>
      </c>
      <c r="B228" s="38" t="str">
        <f>'2019_Download_5-1-1'!B116</f>
        <v>Gastgewerbe</v>
      </c>
      <c r="C228" s="10" t="str">
        <f>'2019_Download_5-1-1'!$D$8</f>
        <v>Männer</v>
      </c>
      <c r="D228" s="37" t="s">
        <v>313</v>
      </c>
      <c r="E228" s="37">
        <v>22.546250000000001</v>
      </c>
      <c r="F228" s="25">
        <f>'2019_Download_5-1-1'!D116</f>
        <v>22.546250000000001</v>
      </c>
      <c r="G228" s="10">
        <f t="shared" si="4"/>
        <v>22.546250000000001</v>
      </c>
    </row>
    <row r="229" spans="1:7" x14ac:dyDescent="0.2">
      <c r="A229" s="10">
        <f>'2019_Download_5-1-1'!C117</f>
        <v>2010</v>
      </c>
      <c r="B229" s="38" t="str">
        <f>'2019_Download_5-1-1'!B117</f>
        <v>Erbringung von Finanz- und Versicherungsleistungen; Grundstücks- und Wohnungswesen; Freiberufliche, wiss. u. techn. Dienstleistungen; sonst. wirt. Dienstleistungen</v>
      </c>
      <c r="C229" s="10" t="str">
        <f>'2019_Download_5-1-1'!$D$8</f>
        <v>Männer</v>
      </c>
      <c r="D229" s="37" t="s">
        <v>314</v>
      </c>
      <c r="E229" s="37">
        <v>30.43019</v>
      </c>
      <c r="F229" s="25">
        <f>'2019_Download_5-1-1'!D117</f>
        <v>30.43019</v>
      </c>
      <c r="G229" s="10">
        <f t="shared" si="4"/>
        <v>30.43019</v>
      </c>
    </row>
    <row r="230" spans="1:7" x14ac:dyDescent="0.2">
      <c r="A230" s="10">
        <f>'2019_Download_5-1-1'!C118</f>
        <v>2010</v>
      </c>
      <c r="B230" s="38" t="str">
        <f>'2019_Download_5-1-1'!B118</f>
        <v>Öff.Verwaltung, Verteidigung, Sozialversicherung; Erziehung und Unterricht; Gesundheits- und Sozialwesen</v>
      </c>
      <c r="C230" s="10" t="str">
        <f>'2019_Download_5-1-1'!$D$8</f>
        <v>Männer</v>
      </c>
      <c r="D230" s="37" t="s">
        <v>315</v>
      </c>
      <c r="E230" s="37">
        <v>30.262689999999999</v>
      </c>
      <c r="F230" s="25">
        <f>'2019_Download_5-1-1'!D118</f>
        <v>30.262689999999999</v>
      </c>
      <c r="G230" s="10">
        <f t="shared" si="4"/>
        <v>30.262689999999999</v>
      </c>
    </row>
    <row r="231" spans="1:7" x14ac:dyDescent="0.2">
      <c r="A231" s="10">
        <f>'2019_Download_5-1-1'!C119</f>
        <v>2010</v>
      </c>
      <c r="B231" s="38" t="str">
        <f>'2019_Download_5-1-1'!B119</f>
        <v>Kunst, Unterhaltung und Erholung; Erbringung von sonstigen Dienstleistungen</v>
      </c>
      <c r="C231" s="10" t="str">
        <f>'2019_Download_5-1-1'!$D$8</f>
        <v>Männer</v>
      </c>
      <c r="D231" s="37" t="s">
        <v>316</v>
      </c>
      <c r="E231" s="37" t="s">
        <v>755</v>
      </c>
      <c r="F231" s="25">
        <f>'2019_Download_5-1-1'!D119</f>
        <v>8.6783999999999999</v>
      </c>
      <c r="G231" s="10" t="str">
        <f t="shared" si="4"/>
        <v>(8,7)</v>
      </c>
    </row>
    <row r="232" spans="1:7" x14ac:dyDescent="0.2">
      <c r="A232" s="10">
        <f>'2019_Download_5-1-1'!C120</f>
        <v>2010</v>
      </c>
      <c r="B232" s="38" t="str">
        <f>'2019_Download_5-1-1'!B120</f>
        <v>Insgesamt (inkl. sonstiger Abschnitte)</v>
      </c>
      <c r="C232" s="10" t="str">
        <f>'2019_Download_5-1-1'!$D$8</f>
        <v>Männer</v>
      </c>
      <c r="D232" s="37" t="s">
        <v>317</v>
      </c>
      <c r="E232" s="37">
        <v>309.77222999999998</v>
      </c>
      <c r="F232" s="25">
        <f>'2019_Download_5-1-1'!D120</f>
        <v>309.77222999999998</v>
      </c>
      <c r="G232" s="10">
        <f t="shared" si="4"/>
        <v>309.77222999999998</v>
      </c>
    </row>
    <row r="233" spans="1:7" x14ac:dyDescent="0.2">
      <c r="A233" s="10">
        <f>'2019_Download_5-1-1'!C121</f>
        <v>2005</v>
      </c>
      <c r="B233" s="38" t="str">
        <f>'2019_Download_5-1-1'!B121</f>
        <v>Land- und Forstwirtschaft; Fischerei und Fischzucht</v>
      </c>
      <c r="C233" s="10" t="str">
        <f>'2019_Download_5-1-1'!$D$8</f>
        <v>Männer</v>
      </c>
      <c r="D233" s="37" t="s">
        <v>318</v>
      </c>
      <c r="E233" s="37" t="s">
        <v>755</v>
      </c>
      <c r="F233" s="25">
        <f>'2019_Download_5-1-1'!D121</f>
        <v>8.6999999999999993</v>
      </c>
      <c r="G233" s="10" t="str">
        <f t="shared" si="4"/>
        <v>(8,7)</v>
      </c>
    </row>
    <row r="234" spans="1:7" x14ac:dyDescent="0.2">
      <c r="A234" s="10">
        <f>'2019_Download_5-1-1'!C122</f>
        <v>2005</v>
      </c>
      <c r="B234" s="38" t="str">
        <f>'2019_Download_5-1-1'!B122</f>
        <v>Bergbau und Gewinnung von Steinen und Erden; Verarbeitendes Gewerbe</v>
      </c>
      <c r="C234" s="10" t="str">
        <f>'2019_Download_5-1-1'!$D$8</f>
        <v>Männer</v>
      </c>
      <c r="D234" s="37" t="s">
        <v>319</v>
      </c>
      <c r="E234" s="37">
        <v>91.5</v>
      </c>
      <c r="F234" s="25">
        <f>'2019_Download_5-1-1'!D122</f>
        <v>91.5</v>
      </c>
      <c r="G234" s="10">
        <f t="shared" si="4"/>
        <v>91.5</v>
      </c>
    </row>
    <row r="235" spans="1:7" x14ac:dyDescent="0.2">
      <c r="A235" s="10">
        <f>'2019_Download_5-1-1'!C123</f>
        <v>2005</v>
      </c>
      <c r="B235" s="38" t="str">
        <f>'2019_Download_5-1-1'!B123</f>
        <v>Energie- und Wasserversorgung</v>
      </c>
      <c r="C235" s="10" t="str">
        <f>'2019_Download_5-1-1'!$D$8</f>
        <v>Männer</v>
      </c>
      <c r="D235" s="37" t="s">
        <v>320</v>
      </c>
      <c r="E235" s="37" t="s">
        <v>64</v>
      </c>
      <c r="F235" s="25" t="str">
        <f>'2019_Download_5-1-1'!D123</f>
        <v>/</v>
      </c>
      <c r="G235" s="10" t="str">
        <f t="shared" si="4"/>
        <v>/</v>
      </c>
    </row>
    <row r="236" spans="1:7" x14ac:dyDescent="0.2">
      <c r="A236" s="10">
        <f>'2019_Download_5-1-1'!C124</f>
        <v>2005</v>
      </c>
      <c r="B236" s="38" t="str">
        <f>'2019_Download_5-1-1'!B124</f>
        <v>Baugewerbe</v>
      </c>
      <c r="C236" s="10" t="str">
        <f>'2019_Download_5-1-1'!$D$8</f>
        <v>Männer</v>
      </c>
      <c r="D236" s="37" t="s">
        <v>321</v>
      </c>
      <c r="E236" s="37">
        <v>28.3</v>
      </c>
      <c r="F236" s="25">
        <f>'2019_Download_5-1-1'!D124</f>
        <v>28.3</v>
      </c>
      <c r="G236" s="10">
        <f t="shared" si="4"/>
        <v>28.3</v>
      </c>
    </row>
    <row r="237" spans="1:7" x14ac:dyDescent="0.2">
      <c r="A237" s="10">
        <f>'2019_Download_5-1-1'!C125</f>
        <v>2005</v>
      </c>
      <c r="B237" s="38" t="str">
        <f>'2019_Download_5-1-1'!B125</f>
        <v>Handel; Instandhaltung und Reparatur von Kraftfahrzeugen und Gebrauchsgütern</v>
      </c>
      <c r="C237" s="10" t="str">
        <f>'2019_Download_5-1-1'!$D$8</f>
        <v>Männer</v>
      </c>
      <c r="D237" s="37" t="s">
        <v>322</v>
      </c>
      <c r="E237" s="37">
        <v>35.1</v>
      </c>
      <c r="F237" s="25">
        <f>'2019_Download_5-1-1'!D125</f>
        <v>35.1</v>
      </c>
      <c r="G237" s="10">
        <f t="shared" si="4"/>
        <v>35.1</v>
      </c>
    </row>
    <row r="238" spans="1:7" x14ac:dyDescent="0.2">
      <c r="A238" s="10">
        <f>'2019_Download_5-1-1'!C126</f>
        <v>2005</v>
      </c>
      <c r="B238" s="38" t="str">
        <f>'2019_Download_5-1-1'!B126</f>
        <v>Gastgewerbe</v>
      </c>
      <c r="C238" s="10" t="str">
        <f>'2019_Download_5-1-1'!$D$8</f>
        <v>Männer</v>
      </c>
      <c r="D238" s="37" t="s">
        <v>323</v>
      </c>
      <c r="E238" s="37">
        <v>23.9</v>
      </c>
      <c r="F238" s="25">
        <f>'2019_Download_5-1-1'!D126</f>
        <v>23.9</v>
      </c>
      <c r="G238" s="10">
        <f t="shared" si="4"/>
        <v>23.9</v>
      </c>
    </row>
    <row r="239" spans="1:7" x14ac:dyDescent="0.2">
      <c r="A239" s="10">
        <f>'2019_Download_5-1-1'!C127</f>
        <v>2005</v>
      </c>
      <c r="B239" s="38" t="str">
        <f>'2019_Download_5-1-1'!B127</f>
        <v>Verkehr und Nachrichtenübermittlung</v>
      </c>
      <c r="C239" s="10" t="str">
        <f>'2019_Download_5-1-1'!$D$8</f>
        <v>Männer</v>
      </c>
      <c r="D239" s="37" t="s">
        <v>324</v>
      </c>
      <c r="E239" s="37">
        <v>16.5</v>
      </c>
      <c r="F239" s="25">
        <f>'2019_Download_5-1-1'!D127</f>
        <v>16.5</v>
      </c>
      <c r="G239" s="10">
        <f t="shared" si="4"/>
        <v>16.5</v>
      </c>
    </row>
    <row r="240" spans="1:7" x14ac:dyDescent="0.2">
      <c r="A240" s="10">
        <f>'2019_Download_5-1-1'!C128</f>
        <v>2005</v>
      </c>
      <c r="B240" s="38" t="str">
        <f>'2019_Download_5-1-1'!B128</f>
        <v>Kredit- und Versicherungsgewerbe; Grundstücks- und Wohnungswesen, Vermietung beweglicher Sachen, Erbringung von wirt.Dienstleistungen, anderweitig nicht genannt</v>
      </c>
      <c r="C240" s="10" t="str">
        <f>'2019_Download_5-1-1'!$D$8</f>
        <v>Männer</v>
      </c>
      <c r="D240" s="37" t="s">
        <v>325</v>
      </c>
      <c r="E240" s="37">
        <v>18.3</v>
      </c>
      <c r="F240" s="25">
        <f>'2019_Download_5-1-1'!D128</f>
        <v>18.3</v>
      </c>
      <c r="G240" s="10">
        <f t="shared" si="4"/>
        <v>18.3</v>
      </c>
    </row>
    <row r="241" spans="1:7" x14ac:dyDescent="0.2">
      <c r="A241" s="10">
        <f>'2019_Download_5-1-1'!C129</f>
        <v>2005</v>
      </c>
      <c r="B241" s="38" t="str">
        <f>'2019_Download_5-1-1'!B129</f>
        <v>Öffentliche Verwaltung, Verteidigung, Sozialversicherung; Erziehung und Unterricht; Gesundheits-, Veterinär- und Sozialwesen</v>
      </c>
      <c r="C241" s="10" t="str">
        <f>'2019_Download_5-1-1'!$D$8</f>
        <v>Männer</v>
      </c>
      <c r="D241" s="37" t="s">
        <v>326</v>
      </c>
      <c r="E241" s="37">
        <v>26.6</v>
      </c>
      <c r="F241" s="25">
        <f>'2019_Download_5-1-1'!D129</f>
        <v>26.6</v>
      </c>
      <c r="G241" s="10">
        <f t="shared" si="4"/>
        <v>26.6</v>
      </c>
    </row>
    <row r="242" spans="1:7" x14ac:dyDescent="0.2">
      <c r="A242" s="10">
        <f>'2019_Download_5-1-1'!C130</f>
        <v>2005</v>
      </c>
      <c r="B242" s="38" t="str">
        <f>'2019_Download_5-1-1'!B130</f>
        <v>Erbringung von sonstigen öffentlichen und persönlichen Dienstleistungen</v>
      </c>
      <c r="C242" s="10" t="str">
        <f>'2019_Download_5-1-1'!$D$8</f>
        <v>Männer</v>
      </c>
      <c r="D242" s="37" t="s">
        <v>327</v>
      </c>
      <c r="E242" s="37">
        <v>13.4</v>
      </c>
      <c r="F242" s="25">
        <f>'2019_Download_5-1-1'!D130</f>
        <v>13.4</v>
      </c>
      <c r="G242" s="10">
        <f t="shared" si="4"/>
        <v>13.4</v>
      </c>
    </row>
    <row r="243" spans="1:7" x14ac:dyDescent="0.2">
      <c r="A243" s="10">
        <f>'2019_Download_5-1-1'!C131</f>
        <v>2005</v>
      </c>
      <c r="B243" s="38" t="str">
        <f>'2019_Download_5-1-1'!B131</f>
        <v>Insgesamt (inkl. sonstiger Abschnitte)</v>
      </c>
      <c r="C243" s="10" t="str">
        <f>'2019_Download_5-1-1'!$D$8</f>
        <v>Männer</v>
      </c>
      <c r="D243" s="37" t="s">
        <v>328</v>
      </c>
      <c r="E243" s="37">
        <v>264.8</v>
      </c>
      <c r="F243" s="25">
        <f>'2019_Download_5-1-1'!D131</f>
        <v>264.8</v>
      </c>
      <c r="G243" s="10">
        <f t="shared" si="4"/>
        <v>264.8</v>
      </c>
    </row>
    <row r="244" spans="1:7" x14ac:dyDescent="0.2">
      <c r="A244" s="10">
        <f>'2019_Download_5-1-1'!C11</f>
        <v>2019</v>
      </c>
      <c r="B244" s="38" t="str">
        <f>'2019_Download_5-1-1'!B11</f>
        <v>Land- und Forstwirtschaft, Fischerei</v>
      </c>
      <c r="C244" s="10" t="str">
        <f>'2019_Download_5-1-1'!$E$8</f>
        <v>Frauen</v>
      </c>
      <c r="D244" s="37" t="s">
        <v>329</v>
      </c>
      <c r="E244" s="37" t="s">
        <v>64</v>
      </c>
      <c r="F244" s="25">
        <f>'2019_Download_5-1-1'!E11</f>
        <v>3.3266199999999997</v>
      </c>
      <c r="G244" s="10" t="str">
        <f t="shared" si="4"/>
        <v>/</v>
      </c>
    </row>
    <row r="245" spans="1:7" x14ac:dyDescent="0.2">
      <c r="A245" s="10">
        <f>'2019_Download_5-1-1'!C12</f>
        <v>2019</v>
      </c>
      <c r="B245" s="38" t="str">
        <f>'2019_Download_5-1-1'!B12</f>
        <v>Bergbau und Gewinnung von Steinen und Erden; Verarbeitendes Gewerbe</v>
      </c>
      <c r="C245" s="10" t="str">
        <f>'2019_Download_5-1-1'!$E$8</f>
        <v>Frauen</v>
      </c>
      <c r="D245" s="37" t="s">
        <v>330</v>
      </c>
      <c r="E245" s="37">
        <v>43.812690000000003</v>
      </c>
      <c r="F245" s="25">
        <f>'2019_Download_5-1-1'!E12</f>
        <v>43.812690000000003</v>
      </c>
      <c r="G245" s="10">
        <f t="shared" si="4"/>
        <v>43.812690000000003</v>
      </c>
    </row>
    <row r="246" spans="1:7" x14ac:dyDescent="0.2">
      <c r="A246" s="10">
        <f>'2019_Download_5-1-1'!C13</f>
        <v>2019</v>
      </c>
      <c r="B246" s="38" t="str">
        <f>'2019_Download_5-1-1'!B13</f>
        <v>Energieversorgung; Wasserversorgung, Entsorg., Beseitig. v. Umweltverschmutzungen</v>
      </c>
      <c r="C246" s="10" t="str">
        <f>'2019_Download_5-1-1'!$E$8</f>
        <v>Frauen</v>
      </c>
      <c r="D246" s="37" t="s">
        <v>331</v>
      </c>
      <c r="E246" s="37" t="s">
        <v>64</v>
      </c>
      <c r="F246" s="25">
        <f>'2019_Download_5-1-1'!E13</f>
        <v>1.97601</v>
      </c>
      <c r="G246" s="10" t="str">
        <f t="shared" si="4"/>
        <v>/</v>
      </c>
    </row>
    <row r="247" spans="1:7" x14ac:dyDescent="0.2">
      <c r="A247" s="10">
        <f>'2019_Download_5-1-1'!C14</f>
        <v>2019</v>
      </c>
      <c r="B247" s="38" t="str">
        <f>'2019_Download_5-1-1'!B14</f>
        <v>Baugewerbe</v>
      </c>
      <c r="C247" s="10" t="str">
        <f>'2019_Download_5-1-1'!$E$8</f>
        <v>Frauen</v>
      </c>
      <c r="D247" s="37" t="s">
        <v>332</v>
      </c>
      <c r="E247" s="37" t="s">
        <v>742</v>
      </c>
      <c r="F247" s="25">
        <f>'2019_Download_5-1-1'!E14</f>
        <v>7.3893900000000006</v>
      </c>
      <c r="G247" s="10" t="str">
        <f t="shared" si="4"/>
        <v>(7,4)</v>
      </c>
    </row>
    <row r="248" spans="1:7" x14ac:dyDescent="0.2">
      <c r="A248" s="10">
        <f>'2019_Download_5-1-1'!C15</f>
        <v>2019</v>
      </c>
      <c r="B248" s="38" t="str">
        <f>'2019_Download_5-1-1'!B15</f>
        <v>Handel, Instandhaltung und Reparatur von Kfz</v>
      </c>
      <c r="C248" s="10" t="str">
        <f>'2019_Download_5-1-1'!$E$8</f>
        <v>Frauen</v>
      </c>
      <c r="D248" s="37" t="s">
        <v>333</v>
      </c>
      <c r="E248" s="37">
        <v>60.605710000000002</v>
      </c>
      <c r="F248" s="25">
        <f>'2019_Download_5-1-1'!E15</f>
        <v>60.605710000000002</v>
      </c>
      <c r="G248" s="10">
        <f t="shared" si="4"/>
        <v>60.605710000000002</v>
      </c>
    </row>
    <row r="249" spans="1:7" x14ac:dyDescent="0.2">
      <c r="A249" s="10">
        <f>'2019_Download_5-1-1'!C16</f>
        <v>2019</v>
      </c>
      <c r="B249" s="38" t="str">
        <f>'2019_Download_5-1-1'!B16</f>
        <v>Verkehr und Lagerei; Information und Kommunikation</v>
      </c>
      <c r="C249" s="10" t="str">
        <f>'2019_Download_5-1-1'!$E$8</f>
        <v>Frauen</v>
      </c>
      <c r="D249" s="37" t="s">
        <v>334</v>
      </c>
      <c r="E249" s="37">
        <v>12.738959999999999</v>
      </c>
      <c r="F249" s="25">
        <f>'2019_Download_5-1-1'!E16</f>
        <v>12.738959999999999</v>
      </c>
      <c r="G249" s="10">
        <f t="shared" si="4"/>
        <v>12.738959999999999</v>
      </c>
    </row>
    <row r="250" spans="1:7" x14ac:dyDescent="0.2">
      <c r="A250" s="10">
        <f>'2019_Download_5-1-1'!C17</f>
        <v>2019</v>
      </c>
      <c r="B250" s="38" t="str">
        <f>'2019_Download_5-1-1'!B17</f>
        <v>Gastgewerbe</v>
      </c>
      <c r="C250" s="10" t="str">
        <f>'2019_Download_5-1-1'!$E$8</f>
        <v>Frauen</v>
      </c>
      <c r="D250" s="37" t="s">
        <v>335</v>
      </c>
      <c r="E250" s="37">
        <v>25.85134</v>
      </c>
      <c r="F250" s="25">
        <f>'2019_Download_5-1-1'!E17</f>
        <v>25.85134</v>
      </c>
      <c r="G250" s="10">
        <f t="shared" si="4"/>
        <v>25.85134</v>
      </c>
    </row>
    <row r="251" spans="1:7" x14ac:dyDescent="0.2">
      <c r="A251" s="10">
        <f>'2019_Download_5-1-1'!C18</f>
        <v>2019</v>
      </c>
      <c r="B251" s="38" t="str">
        <f>'2019_Download_5-1-1'!B18</f>
        <v>Erbringung von Finanz- und Versicherungsleistungen; Grundstücks- und Wohnungswesen; Freiberufliche, wiss. u. techn. Dienstleistungen; sonst. wirt. Dienstleistungen</v>
      </c>
      <c r="C251" s="10" t="str">
        <f>'2019_Download_5-1-1'!$E$8</f>
        <v>Frauen</v>
      </c>
      <c r="D251" s="37" t="s">
        <v>336</v>
      </c>
      <c r="E251" s="37">
        <v>48.489089999999997</v>
      </c>
      <c r="F251" s="25">
        <f>'2019_Download_5-1-1'!E18</f>
        <v>48.489089999999997</v>
      </c>
      <c r="G251" s="10">
        <f t="shared" si="4"/>
        <v>48.489089999999997</v>
      </c>
    </row>
    <row r="252" spans="1:7" x14ac:dyDescent="0.2">
      <c r="A252" s="10">
        <f>'2019_Download_5-1-1'!C19</f>
        <v>2019</v>
      </c>
      <c r="B252" s="38" t="str">
        <f>'2019_Download_5-1-1'!B19</f>
        <v>ÖffentlicheVerwaltung, Verteidigung, Sozialversicherung; Erziehung und Unterricht; Gesundheits- und Sozialwesen</v>
      </c>
      <c r="C252" s="10" t="str">
        <f>'2019_Download_5-1-1'!$E$8</f>
        <v>Frauen</v>
      </c>
      <c r="D252" s="37" t="s">
        <v>337</v>
      </c>
      <c r="E252" s="37">
        <v>117.28994999999999</v>
      </c>
      <c r="F252" s="25">
        <f>'2019_Download_5-1-1'!E19</f>
        <v>117.28994999999999</v>
      </c>
      <c r="G252" s="10">
        <f t="shared" si="4"/>
        <v>117.28994999999999</v>
      </c>
    </row>
    <row r="253" spans="1:7" x14ac:dyDescent="0.2">
      <c r="A253" s="10">
        <f>'2019_Download_5-1-1'!C20</f>
        <v>2019</v>
      </c>
      <c r="B253" s="38" t="str">
        <f>'2019_Download_5-1-1'!B20</f>
        <v>Kunst, Unterhaltung und Erholung; Erbringung von sonstigen Dienstleistungen</v>
      </c>
      <c r="C253" s="10" t="str">
        <f>'2019_Download_5-1-1'!$E$8</f>
        <v>Frauen</v>
      </c>
      <c r="D253" s="37" t="s">
        <v>338</v>
      </c>
      <c r="E253" s="37">
        <v>19.337029999999999</v>
      </c>
      <c r="F253" s="25">
        <f>'2019_Download_5-1-1'!E20</f>
        <v>19.337029999999999</v>
      </c>
      <c r="G253" s="10">
        <f t="shared" si="4"/>
        <v>19.337029999999999</v>
      </c>
    </row>
    <row r="254" spans="1:7" x14ac:dyDescent="0.2">
      <c r="A254" s="10">
        <f>'2019_Download_5-1-1'!C21</f>
        <v>2019</v>
      </c>
      <c r="B254" s="38" t="str">
        <f>'2019_Download_5-1-1'!B21</f>
        <v>Insgesamt (inkl. sonstiger Abschnitte)</v>
      </c>
      <c r="C254" s="10" t="str">
        <f>'2019_Download_5-1-1'!$E$8</f>
        <v>Frauen</v>
      </c>
      <c r="D254" s="37" t="s">
        <v>339</v>
      </c>
      <c r="E254" s="37" t="s">
        <v>756</v>
      </c>
      <c r="F254" s="25">
        <f>'2019_Download_5-1-1'!E21</f>
        <v>348.16636</v>
      </c>
      <c r="G254" s="10">
        <f t="shared" si="4"/>
        <v>348.16636</v>
      </c>
    </row>
    <row r="255" spans="1:7" x14ac:dyDescent="0.2">
      <c r="A255" s="10">
        <f>'2019_Download_5-1-1'!C22</f>
        <v>2018</v>
      </c>
      <c r="B255" s="38" t="str">
        <f>'2019_Download_5-1-1'!B22</f>
        <v>Land- und Forstwirtschaft, Fischerei</v>
      </c>
      <c r="C255" s="10" t="str">
        <f>'2019_Download_5-1-1'!$E$8</f>
        <v>Frauen</v>
      </c>
      <c r="D255" s="37" t="s">
        <v>340</v>
      </c>
      <c r="E255" s="37" t="s">
        <v>64</v>
      </c>
      <c r="F255" s="25">
        <f>'2019_Download_5-1-1'!E22</f>
        <v>4.9123299999999999</v>
      </c>
      <c r="G255" s="10" t="str">
        <f t="shared" si="4"/>
        <v>/</v>
      </c>
    </row>
    <row r="256" spans="1:7" x14ac:dyDescent="0.2">
      <c r="A256" s="10">
        <f>'2019_Download_5-1-1'!C23</f>
        <v>2018</v>
      </c>
      <c r="B256" s="38" t="str">
        <f>'2019_Download_5-1-1'!B23</f>
        <v>Bergbau und Gewinnung von Steinen und Erden; Verarbeitendes Gewerbe</v>
      </c>
      <c r="C256" s="10" t="str">
        <f>'2019_Download_5-1-1'!$E$8</f>
        <v>Frauen</v>
      </c>
      <c r="D256" s="37" t="s">
        <v>341</v>
      </c>
      <c r="E256" s="37">
        <v>45.829940000000001</v>
      </c>
      <c r="F256" s="25">
        <f>'2019_Download_5-1-1'!E23</f>
        <v>45.829940000000001</v>
      </c>
      <c r="G256" s="10">
        <f t="shared" si="4"/>
        <v>45.829940000000001</v>
      </c>
    </row>
    <row r="257" spans="1:7" x14ac:dyDescent="0.2">
      <c r="A257" s="10">
        <f>'2019_Download_5-1-1'!C24</f>
        <v>2018</v>
      </c>
      <c r="B257" s="38" t="str">
        <f>'2019_Download_5-1-1'!B24</f>
        <v>Energieversorgung; Wasserversorgung, Entsorg., Beseitig. v. Umweltverschmutzungen</v>
      </c>
      <c r="C257" s="10" t="str">
        <f>'2019_Download_5-1-1'!$E$8</f>
        <v>Frauen</v>
      </c>
      <c r="D257" s="37" t="s">
        <v>342</v>
      </c>
      <c r="E257" s="37" t="s">
        <v>64</v>
      </c>
      <c r="F257" s="25">
        <f>'2019_Download_5-1-1'!E24</f>
        <v>1.99579</v>
      </c>
      <c r="G257" s="10" t="str">
        <f t="shared" si="4"/>
        <v>/</v>
      </c>
    </row>
    <row r="258" spans="1:7" x14ac:dyDescent="0.2">
      <c r="A258" s="10">
        <f>'2019_Download_5-1-1'!C25</f>
        <v>2018</v>
      </c>
      <c r="B258" s="38" t="str">
        <f>'2019_Download_5-1-1'!B25</f>
        <v>Baugewerbe</v>
      </c>
      <c r="C258" s="10" t="str">
        <f>'2019_Download_5-1-1'!$E$8</f>
        <v>Frauen</v>
      </c>
      <c r="D258" s="37" t="s">
        <v>343</v>
      </c>
      <c r="E258" s="37" t="s">
        <v>748</v>
      </c>
      <c r="F258" s="25">
        <f>'2019_Download_5-1-1'!E25</f>
        <v>6.5473500000000007</v>
      </c>
      <c r="G258" s="10" t="str">
        <f t="shared" si="4"/>
        <v>(6,5)</v>
      </c>
    </row>
    <row r="259" spans="1:7" x14ac:dyDescent="0.2">
      <c r="A259" s="10">
        <f>'2019_Download_5-1-1'!C26</f>
        <v>2018</v>
      </c>
      <c r="B259" s="38" t="str">
        <f>'2019_Download_5-1-1'!B26</f>
        <v>Handel, Instandhaltung und Reparatur von Kfz</v>
      </c>
      <c r="C259" s="10" t="str">
        <f>'2019_Download_5-1-1'!$E$8</f>
        <v>Frauen</v>
      </c>
      <c r="D259" s="37" t="s">
        <v>344</v>
      </c>
      <c r="E259" s="37">
        <v>62.089589999999994</v>
      </c>
      <c r="F259" s="25">
        <f>'2019_Download_5-1-1'!E26</f>
        <v>62.089589999999994</v>
      </c>
      <c r="G259" s="10">
        <f t="shared" si="4"/>
        <v>62.089589999999994</v>
      </c>
    </row>
    <row r="260" spans="1:7" x14ac:dyDescent="0.2">
      <c r="A260" s="10">
        <f>'2019_Download_5-1-1'!C27</f>
        <v>2018</v>
      </c>
      <c r="B260" s="38" t="str">
        <f>'2019_Download_5-1-1'!B27</f>
        <v>Verkehr und Lagerei; Information und Kommunikation</v>
      </c>
      <c r="C260" s="10" t="str">
        <f>'2019_Download_5-1-1'!$E$8</f>
        <v>Frauen</v>
      </c>
      <c r="D260" s="37" t="s">
        <v>345</v>
      </c>
      <c r="E260" s="37">
        <v>11.51253</v>
      </c>
      <c r="F260" s="25">
        <f>'2019_Download_5-1-1'!E27</f>
        <v>11.51253</v>
      </c>
      <c r="G260" s="10">
        <f t="shared" si="4"/>
        <v>11.51253</v>
      </c>
    </row>
    <row r="261" spans="1:7" x14ac:dyDescent="0.2">
      <c r="A261" s="10">
        <f>'2019_Download_5-1-1'!C28</f>
        <v>2018</v>
      </c>
      <c r="B261" s="38" t="str">
        <f>'2019_Download_5-1-1'!B28</f>
        <v>Gastgewerbe</v>
      </c>
      <c r="C261" s="10" t="str">
        <f>'2019_Download_5-1-1'!$E$8</f>
        <v>Frauen</v>
      </c>
      <c r="D261" s="37" t="s">
        <v>346</v>
      </c>
      <c r="E261" s="37">
        <v>26.750160000000001</v>
      </c>
      <c r="F261" s="25">
        <f>'2019_Download_5-1-1'!E28</f>
        <v>26.750160000000001</v>
      </c>
      <c r="G261" s="10">
        <f t="shared" si="4"/>
        <v>26.750160000000001</v>
      </c>
    </row>
    <row r="262" spans="1:7" x14ac:dyDescent="0.2">
      <c r="A262" s="10">
        <f>'2019_Download_5-1-1'!C29</f>
        <v>2018</v>
      </c>
      <c r="B262" s="38" t="str">
        <f>'2019_Download_5-1-1'!B29</f>
        <v>Erbringung von Finanz- und Versicherungsleistungen; Grundstücks- und Wohnungswesen; Freiberufliche, wiss. u. techn. Dienstleistungen; sonst. wirt. Dienstleistungen</v>
      </c>
      <c r="C262" s="10" t="str">
        <f>'2019_Download_5-1-1'!$E$8</f>
        <v>Frauen</v>
      </c>
      <c r="D262" s="37" t="s">
        <v>347</v>
      </c>
      <c r="E262" s="37">
        <v>46.75056</v>
      </c>
      <c r="F262" s="25">
        <f>'2019_Download_5-1-1'!E29</f>
        <v>46.75056</v>
      </c>
      <c r="G262" s="10">
        <f t="shared" ref="G262:G325" si="5">IF(F262&lt;5,"/",IF(F262&lt;10,TEXT(F262,"(#.#0,0)"),F262))</f>
        <v>46.75056</v>
      </c>
    </row>
    <row r="263" spans="1:7" x14ac:dyDescent="0.2">
      <c r="A263" s="10">
        <f>'2019_Download_5-1-1'!C30</f>
        <v>2018</v>
      </c>
      <c r="B263" s="38" t="str">
        <f>'2019_Download_5-1-1'!B30</f>
        <v>ÖffentlicheVerwaltung, Verteidigung, Sozialversicherung; Erziehung und Unterricht; Gesundheits- und Sozialwesen</v>
      </c>
      <c r="C263" s="10" t="str">
        <f>'2019_Download_5-1-1'!$E$8</f>
        <v>Frauen</v>
      </c>
      <c r="D263" s="37" t="s">
        <v>348</v>
      </c>
      <c r="E263" s="37">
        <v>113.60674</v>
      </c>
      <c r="F263" s="25">
        <f>'2019_Download_5-1-1'!E30</f>
        <v>113.60674</v>
      </c>
      <c r="G263" s="10">
        <f t="shared" si="5"/>
        <v>113.60674</v>
      </c>
    </row>
    <row r="264" spans="1:7" x14ac:dyDescent="0.2">
      <c r="A264" s="10">
        <f>'2019_Download_5-1-1'!C31</f>
        <v>2018</v>
      </c>
      <c r="B264" s="38" t="str">
        <f>'2019_Download_5-1-1'!B31</f>
        <v>Kunst, Unterhaltung und Erholung; Erbringung von sonstigen Dienstleistungen</v>
      </c>
      <c r="C264" s="10" t="str">
        <f>'2019_Download_5-1-1'!$E$8</f>
        <v>Frauen</v>
      </c>
      <c r="D264" s="37" t="s">
        <v>349</v>
      </c>
      <c r="E264" s="37">
        <v>19.546150000000001</v>
      </c>
      <c r="F264" s="25">
        <f>'2019_Download_5-1-1'!E31</f>
        <v>19.546150000000001</v>
      </c>
      <c r="G264" s="10">
        <f t="shared" si="5"/>
        <v>19.546150000000001</v>
      </c>
    </row>
    <row r="265" spans="1:7" x14ac:dyDescent="0.2">
      <c r="A265" s="10">
        <f>'2019_Download_5-1-1'!C32</f>
        <v>2018</v>
      </c>
      <c r="B265" s="38" t="str">
        <f>'2019_Download_5-1-1'!B32</f>
        <v>Insgesamt (inkl. sonstiger Abschnitte)</v>
      </c>
      <c r="C265" s="10" t="str">
        <f>'2019_Download_5-1-1'!$E$8</f>
        <v>Frauen</v>
      </c>
      <c r="D265" s="37" t="s">
        <v>350</v>
      </c>
      <c r="E265" s="37">
        <v>345.17609999999996</v>
      </c>
      <c r="F265" s="25">
        <f>'2019_Download_5-1-1'!E32</f>
        <v>345.17609999999996</v>
      </c>
      <c r="G265" s="10">
        <f t="shared" si="5"/>
        <v>345.17609999999996</v>
      </c>
    </row>
    <row r="266" spans="1:7" x14ac:dyDescent="0.2">
      <c r="A266" s="10">
        <f>'2019_Download_5-1-1'!C33</f>
        <v>2017</v>
      </c>
      <c r="B266" s="38" t="str">
        <f>'2019_Download_5-1-1'!B33</f>
        <v>Land- und Forstwirtschaft, Fischerei</v>
      </c>
      <c r="C266" s="10" t="str">
        <f>'2019_Download_5-1-1'!$E$8</f>
        <v>Frauen</v>
      </c>
      <c r="D266" s="37" t="s">
        <v>351</v>
      </c>
      <c r="E266" s="37" t="s">
        <v>64</v>
      </c>
      <c r="F266" s="25">
        <f>'2019_Download_5-1-1'!E33</f>
        <v>3.0600700000000001</v>
      </c>
      <c r="G266" s="10" t="str">
        <f t="shared" si="5"/>
        <v>/</v>
      </c>
    </row>
    <row r="267" spans="1:7" x14ac:dyDescent="0.2">
      <c r="A267" s="10">
        <f>'2019_Download_5-1-1'!C34</f>
        <v>2017</v>
      </c>
      <c r="B267" s="38" t="str">
        <f>'2019_Download_5-1-1'!B34</f>
        <v>Bergbau und Gewinnung von Steinen und Erden; Verarbeitendes Gewerbe</v>
      </c>
      <c r="C267" s="10" t="str">
        <f>'2019_Download_5-1-1'!$E$8</f>
        <v>Frauen</v>
      </c>
      <c r="D267" s="37" t="s">
        <v>352</v>
      </c>
      <c r="E267" s="37">
        <v>41.608449999999998</v>
      </c>
      <c r="F267" s="25">
        <f>'2019_Download_5-1-1'!E34</f>
        <v>41.608449999999998</v>
      </c>
      <c r="G267" s="10">
        <f t="shared" si="5"/>
        <v>41.608449999999998</v>
      </c>
    </row>
    <row r="268" spans="1:7" x14ac:dyDescent="0.2">
      <c r="A268" s="10">
        <f>'2019_Download_5-1-1'!C35</f>
        <v>2017</v>
      </c>
      <c r="B268" s="38" t="str">
        <f>'2019_Download_5-1-1'!B35</f>
        <v>Energieversorgung; Wasserversorgung, Entsorg., Beseitig. v. Umweltverschmutzungen</v>
      </c>
      <c r="C268" s="10" t="str">
        <f>'2019_Download_5-1-1'!$E$8</f>
        <v>Frauen</v>
      </c>
      <c r="D268" s="37" t="s">
        <v>353</v>
      </c>
      <c r="E268" s="37" t="s">
        <v>64</v>
      </c>
      <c r="F268" s="25">
        <f>'2019_Download_5-1-1'!E35</f>
        <v>1.7835999999999999</v>
      </c>
      <c r="G268" s="10" t="str">
        <f t="shared" si="5"/>
        <v>/</v>
      </c>
    </row>
    <row r="269" spans="1:7" x14ac:dyDescent="0.2">
      <c r="A269" s="10">
        <f>'2019_Download_5-1-1'!C36</f>
        <v>2017</v>
      </c>
      <c r="B269" s="38" t="str">
        <f>'2019_Download_5-1-1'!B36</f>
        <v>Baugewerbe</v>
      </c>
      <c r="C269" s="10" t="str">
        <f>'2019_Download_5-1-1'!$E$8</f>
        <v>Frauen</v>
      </c>
      <c r="D269" s="37" t="s">
        <v>354</v>
      </c>
      <c r="E269" s="37" t="s">
        <v>748</v>
      </c>
      <c r="F269" s="25">
        <f>'2019_Download_5-1-1'!E36</f>
        <v>6.4703500000000007</v>
      </c>
      <c r="G269" s="10" t="str">
        <f t="shared" si="5"/>
        <v>(6,5)</v>
      </c>
    </row>
    <row r="270" spans="1:7" x14ac:dyDescent="0.2">
      <c r="A270" s="10">
        <f>'2019_Download_5-1-1'!C37</f>
        <v>2017</v>
      </c>
      <c r="B270" s="38" t="str">
        <f>'2019_Download_5-1-1'!B37</f>
        <v>Handel, Instandhaltung und Reparatur von Kfz</v>
      </c>
      <c r="C270" s="10" t="str">
        <f>'2019_Download_5-1-1'!$E$8</f>
        <v>Frauen</v>
      </c>
      <c r="D270" s="37" t="s">
        <v>355</v>
      </c>
      <c r="E270" s="37">
        <v>60.129889999999996</v>
      </c>
      <c r="F270" s="25">
        <f>'2019_Download_5-1-1'!E37</f>
        <v>60.129889999999996</v>
      </c>
      <c r="G270" s="10">
        <f t="shared" si="5"/>
        <v>60.129889999999996</v>
      </c>
    </row>
    <row r="271" spans="1:7" x14ac:dyDescent="0.2">
      <c r="A271" s="10">
        <f>'2019_Download_5-1-1'!C38</f>
        <v>2017</v>
      </c>
      <c r="B271" s="38" t="str">
        <f>'2019_Download_5-1-1'!B38</f>
        <v>Verkehr und Lagerei; Information und Kommunikation</v>
      </c>
      <c r="C271" s="10" t="str">
        <f>'2019_Download_5-1-1'!$E$8</f>
        <v>Frauen</v>
      </c>
      <c r="D271" s="37" t="s">
        <v>356</v>
      </c>
      <c r="E271" s="37">
        <v>12.60933</v>
      </c>
      <c r="F271" s="25">
        <f>'2019_Download_5-1-1'!E38</f>
        <v>12.60933</v>
      </c>
      <c r="G271" s="10">
        <f t="shared" si="5"/>
        <v>12.60933</v>
      </c>
    </row>
    <row r="272" spans="1:7" x14ac:dyDescent="0.2">
      <c r="A272" s="10">
        <f>'2019_Download_5-1-1'!C39</f>
        <v>2017</v>
      </c>
      <c r="B272" s="38" t="str">
        <f>'2019_Download_5-1-1'!B39</f>
        <v>Gastgewerbe</v>
      </c>
      <c r="C272" s="10" t="str">
        <f>'2019_Download_5-1-1'!$E$8</f>
        <v>Frauen</v>
      </c>
      <c r="D272" s="37" t="s">
        <v>357</v>
      </c>
      <c r="E272" s="37">
        <v>24.9421</v>
      </c>
      <c r="F272" s="25">
        <f>'2019_Download_5-1-1'!E39</f>
        <v>24.9421</v>
      </c>
      <c r="G272" s="10">
        <f t="shared" si="5"/>
        <v>24.9421</v>
      </c>
    </row>
    <row r="273" spans="1:7" x14ac:dyDescent="0.2">
      <c r="A273" s="10">
        <f>'2019_Download_5-1-1'!C40</f>
        <v>2017</v>
      </c>
      <c r="B273" s="38" t="str">
        <f>'2019_Download_5-1-1'!B40</f>
        <v>Erbringung von Finanz- und Versicherungsleistungen; Grundstücks- und Wohnungswesen; Freiberufliche, wiss. u. techn. Dienstleistungen; sonst. wirt. Dienstleistungen</v>
      </c>
      <c r="C273" s="10" t="str">
        <f>'2019_Download_5-1-1'!$E$8</f>
        <v>Frauen</v>
      </c>
      <c r="D273" s="37" t="s">
        <v>358</v>
      </c>
      <c r="E273" s="37">
        <v>44.583030000000001</v>
      </c>
      <c r="F273" s="25">
        <f>'2019_Download_5-1-1'!E40</f>
        <v>44.583030000000001</v>
      </c>
      <c r="G273" s="10">
        <f t="shared" si="5"/>
        <v>44.583030000000001</v>
      </c>
    </row>
    <row r="274" spans="1:7" x14ac:dyDescent="0.2">
      <c r="A274" s="10">
        <f>'2019_Download_5-1-1'!C41</f>
        <v>2017</v>
      </c>
      <c r="B274" s="38" t="str">
        <f>'2019_Download_5-1-1'!B41</f>
        <v>ÖffentlicheVerwaltung, Verteidigung, Sozialversicherung; Erziehung und Unterricht; Gesundheits- und Sozialwesen</v>
      </c>
      <c r="C274" s="10" t="str">
        <f>'2019_Download_5-1-1'!$E$8</f>
        <v>Frauen</v>
      </c>
      <c r="D274" s="37" t="s">
        <v>359</v>
      </c>
      <c r="E274" s="37">
        <v>109.76472</v>
      </c>
      <c r="F274" s="25">
        <f>'2019_Download_5-1-1'!E41</f>
        <v>109.76472</v>
      </c>
      <c r="G274" s="10">
        <f t="shared" si="5"/>
        <v>109.76472</v>
      </c>
    </row>
    <row r="275" spans="1:7" x14ac:dyDescent="0.2">
      <c r="A275" s="10">
        <f>'2019_Download_5-1-1'!C42</f>
        <v>2017</v>
      </c>
      <c r="B275" s="38" t="str">
        <f>'2019_Download_5-1-1'!B42</f>
        <v>Kunst, Unterhaltung und Erholung; Erbringung von sonstigen Dienstleistungen</v>
      </c>
      <c r="C275" s="10" t="str">
        <f>'2019_Download_5-1-1'!$E$8</f>
        <v>Frauen</v>
      </c>
      <c r="D275" s="37" t="s">
        <v>360</v>
      </c>
      <c r="E275" s="37">
        <v>21.755119999999998</v>
      </c>
      <c r="F275" s="25">
        <f>'2019_Download_5-1-1'!E42</f>
        <v>21.755119999999998</v>
      </c>
      <c r="G275" s="10">
        <f t="shared" si="5"/>
        <v>21.755119999999998</v>
      </c>
    </row>
    <row r="276" spans="1:7" x14ac:dyDescent="0.2">
      <c r="A276" s="10">
        <f>'2019_Download_5-1-1'!C43</f>
        <v>2017</v>
      </c>
      <c r="B276" s="38" t="str">
        <f>'2019_Download_5-1-1'!B43</f>
        <v>Insgesamt (inkl. sonstiger Abschnitte)</v>
      </c>
      <c r="C276" s="10" t="str">
        <f>'2019_Download_5-1-1'!$E$8</f>
        <v>Frauen</v>
      </c>
      <c r="D276" s="37" t="s">
        <v>361</v>
      </c>
      <c r="E276" s="37">
        <v>333.75468999999998</v>
      </c>
      <c r="F276" s="25">
        <f>'2019_Download_5-1-1'!E43</f>
        <v>333.75468999999998</v>
      </c>
      <c r="G276" s="10">
        <f t="shared" si="5"/>
        <v>333.75468999999998</v>
      </c>
    </row>
    <row r="277" spans="1:7" x14ac:dyDescent="0.2">
      <c r="A277" s="10">
        <f>'2019_Download_5-1-1'!C44</f>
        <v>2016</v>
      </c>
      <c r="B277" s="38" t="str">
        <f>'2019_Download_5-1-1'!B44</f>
        <v>Land- und Forstwirtschaft, Fischerei</v>
      </c>
      <c r="C277" s="10" t="str">
        <f>'2019_Download_5-1-1'!$E$8</f>
        <v>Frauen</v>
      </c>
      <c r="D277" s="37" t="s">
        <v>362</v>
      </c>
      <c r="E277" s="37" t="s">
        <v>64</v>
      </c>
      <c r="F277" s="25">
        <f>'2019_Download_5-1-1'!E44</f>
        <v>3.02813</v>
      </c>
      <c r="G277" s="10" t="str">
        <f t="shared" si="5"/>
        <v>/</v>
      </c>
    </row>
    <row r="278" spans="1:7" x14ac:dyDescent="0.2">
      <c r="A278" s="10">
        <f>'2019_Download_5-1-1'!C45</f>
        <v>2016</v>
      </c>
      <c r="B278" s="38" t="str">
        <f>'2019_Download_5-1-1'!B45</f>
        <v>Bergbau und Gewinnung von Steinen und Erden; Verarbeitendes Gewerbe</v>
      </c>
      <c r="C278" s="10" t="str">
        <f>'2019_Download_5-1-1'!$E$8</f>
        <v>Frauen</v>
      </c>
      <c r="D278" s="37" t="s">
        <v>363</v>
      </c>
      <c r="E278" s="37">
        <v>38.162910000000004</v>
      </c>
      <c r="F278" s="25">
        <f>'2019_Download_5-1-1'!E45</f>
        <v>38.162910000000004</v>
      </c>
      <c r="G278" s="10">
        <f t="shared" si="5"/>
        <v>38.162910000000004</v>
      </c>
    </row>
    <row r="279" spans="1:7" x14ac:dyDescent="0.2">
      <c r="A279" s="10">
        <f>'2019_Download_5-1-1'!C46</f>
        <v>2016</v>
      </c>
      <c r="B279" s="38" t="str">
        <f>'2019_Download_5-1-1'!B46</f>
        <v>Energieversorgung; Wasserversorgung, Entsorg., Beseitig. v. Umweltverschmutzungen</v>
      </c>
      <c r="C279" s="10" t="str">
        <f>'2019_Download_5-1-1'!$E$8</f>
        <v>Frauen</v>
      </c>
      <c r="D279" s="37" t="s">
        <v>364</v>
      </c>
      <c r="E279" s="37" t="s">
        <v>64</v>
      </c>
      <c r="F279" s="25">
        <f>'2019_Download_5-1-1'!E46</f>
        <v>1.2434700000000001</v>
      </c>
      <c r="G279" s="10" t="str">
        <f t="shared" si="5"/>
        <v>/</v>
      </c>
    </row>
    <row r="280" spans="1:7" x14ac:dyDescent="0.2">
      <c r="A280" s="10">
        <f>'2019_Download_5-1-1'!C47</f>
        <v>2016</v>
      </c>
      <c r="B280" s="38" t="str">
        <f>'2019_Download_5-1-1'!B47</f>
        <v>Baugewerbe</v>
      </c>
      <c r="C280" s="10" t="str">
        <f>'2019_Download_5-1-1'!$E$8</f>
        <v>Frauen</v>
      </c>
      <c r="D280" s="37" t="s">
        <v>365</v>
      </c>
      <c r="E280" s="37" t="s">
        <v>753</v>
      </c>
      <c r="F280" s="25">
        <f>'2019_Download_5-1-1'!E47</f>
        <v>5.593</v>
      </c>
      <c r="G280" s="10" t="str">
        <f t="shared" si="5"/>
        <v>(5,6)</v>
      </c>
    </row>
    <row r="281" spans="1:7" x14ac:dyDescent="0.2">
      <c r="A281" s="10">
        <f>'2019_Download_5-1-1'!C48</f>
        <v>2016</v>
      </c>
      <c r="B281" s="38" t="str">
        <f>'2019_Download_5-1-1'!B48</f>
        <v>Handel, Instandhaltung und Reparatur von Kfz</v>
      </c>
      <c r="C281" s="10" t="str">
        <f>'2019_Download_5-1-1'!$E$8</f>
        <v>Frauen</v>
      </c>
      <c r="D281" s="37" t="s">
        <v>366</v>
      </c>
      <c r="E281" s="37">
        <v>47.769349999999996</v>
      </c>
      <c r="F281" s="25">
        <f>'2019_Download_5-1-1'!E48</f>
        <v>47.769349999999996</v>
      </c>
      <c r="G281" s="10">
        <f t="shared" si="5"/>
        <v>47.769349999999996</v>
      </c>
    </row>
    <row r="282" spans="1:7" x14ac:dyDescent="0.2">
      <c r="A282" s="10">
        <f>'2019_Download_5-1-1'!C49</f>
        <v>2016</v>
      </c>
      <c r="B282" s="38" t="str">
        <f>'2019_Download_5-1-1'!B49</f>
        <v>Verkehr und Lagerei; Information und Kommunikation</v>
      </c>
      <c r="C282" s="10" t="str">
        <f>'2019_Download_5-1-1'!$E$8</f>
        <v>Frauen</v>
      </c>
      <c r="D282" s="37" t="s">
        <v>367</v>
      </c>
      <c r="E282" s="37">
        <v>10.64142</v>
      </c>
      <c r="F282" s="25">
        <f>'2019_Download_5-1-1'!E49</f>
        <v>10.64142</v>
      </c>
      <c r="G282" s="10">
        <f t="shared" si="5"/>
        <v>10.64142</v>
      </c>
    </row>
    <row r="283" spans="1:7" x14ac:dyDescent="0.2">
      <c r="A283" s="10">
        <f>'2019_Download_5-1-1'!C50</f>
        <v>2016</v>
      </c>
      <c r="B283" s="38" t="str">
        <f>'2019_Download_5-1-1'!B50</f>
        <v>Gastgewerbe</v>
      </c>
      <c r="C283" s="10" t="str">
        <f>'2019_Download_5-1-1'!$E$8</f>
        <v>Frauen</v>
      </c>
      <c r="D283" s="37" t="s">
        <v>368</v>
      </c>
      <c r="E283" s="37">
        <v>22.56588</v>
      </c>
      <c r="F283" s="25">
        <f>'2019_Download_5-1-1'!E50</f>
        <v>22.56588</v>
      </c>
      <c r="G283" s="10">
        <f t="shared" si="5"/>
        <v>22.56588</v>
      </c>
    </row>
    <row r="284" spans="1:7" x14ac:dyDescent="0.2">
      <c r="A284" s="10">
        <f>'2019_Download_5-1-1'!C51</f>
        <v>2016</v>
      </c>
      <c r="B284" s="38" t="str">
        <f>'2019_Download_5-1-1'!B51</f>
        <v>Erbringung von Finanz- und Versicherungsleistungen; Grundstücks- und Wohnungswesen; Freiberufliche, wiss. u. techn. Dienstleistungen; sonst. wirt. Dienstleistungen</v>
      </c>
      <c r="C284" s="10" t="str">
        <f>'2019_Download_5-1-1'!$E$8</f>
        <v>Frauen</v>
      </c>
      <c r="D284" s="37" t="s">
        <v>369</v>
      </c>
      <c r="E284" s="37">
        <v>41.257449999999999</v>
      </c>
      <c r="F284" s="25">
        <f>'2019_Download_5-1-1'!E51</f>
        <v>41.257449999999999</v>
      </c>
      <c r="G284" s="10">
        <f t="shared" si="5"/>
        <v>41.257449999999999</v>
      </c>
    </row>
    <row r="285" spans="1:7" x14ac:dyDescent="0.2">
      <c r="A285" s="10">
        <f>'2019_Download_5-1-1'!C52</f>
        <v>2016</v>
      </c>
      <c r="B285" s="38" t="str">
        <f>'2019_Download_5-1-1'!B52</f>
        <v>ÖffentlicheVerwaltung, Verteidigung, Sozialversicherung; Erziehung und Unterricht; Gesundheits- und Sozialwesen</v>
      </c>
      <c r="C285" s="10" t="str">
        <f>'2019_Download_5-1-1'!$E$8</f>
        <v>Frauen</v>
      </c>
      <c r="D285" s="37" t="s">
        <v>370</v>
      </c>
      <c r="E285" s="37">
        <v>92.135419999999996</v>
      </c>
      <c r="F285" s="25">
        <f>'2019_Download_5-1-1'!E52</f>
        <v>92.135419999999996</v>
      </c>
      <c r="G285" s="10">
        <f t="shared" si="5"/>
        <v>92.135419999999996</v>
      </c>
    </row>
    <row r="286" spans="1:7" x14ac:dyDescent="0.2">
      <c r="A286" s="10">
        <f>'2019_Download_5-1-1'!C53</f>
        <v>2016</v>
      </c>
      <c r="B286" s="38" t="str">
        <f>'2019_Download_5-1-1'!B53</f>
        <v>Kunst, Unterhaltung und Erholung; Erbringung von sonstigen Dienstleistungen</v>
      </c>
      <c r="C286" s="10" t="str">
        <f>'2019_Download_5-1-1'!$E$8</f>
        <v>Frauen</v>
      </c>
      <c r="D286" s="37" t="s">
        <v>371</v>
      </c>
      <c r="E286" s="37">
        <v>17.925939999999997</v>
      </c>
      <c r="F286" s="25">
        <f>'2019_Download_5-1-1'!E53</f>
        <v>17.925939999999997</v>
      </c>
      <c r="G286" s="10">
        <f t="shared" si="5"/>
        <v>17.925939999999997</v>
      </c>
    </row>
    <row r="287" spans="1:7" x14ac:dyDescent="0.2">
      <c r="A287" s="10">
        <f>'2019_Download_5-1-1'!C54</f>
        <v>2016</v>
      </c>
      <c r="B287" s="38" t="str">
        <f>'2019_Download_5-1-1'!B54</f>
        <v>Insgesamt (inkl. sonstiger Abschnitte)</v>
      </c>
      <c r="C287" s="10" t="str">
        <f>'2019_Download_5-1-1'!$E$8</f>
        <v>Frauen</v>
      </c>
      <c r="D287" s="37" t="s">
        <v>372</v>
      </c>
      <c r="E287" s="37">
        <v>287.50334999999995</v>
      </c>
      <c r="F287" s="25">
        <f>'2019_Download_5-1-1'!E54</f>
        <v>287.50334999999995</v>
      </c>
      <c r="G287" s="10">
        <f t="shared" si="5"/>
        <v>287.50334999999995</v>
      </c>
    </row>
    <row r="288" spans="1:7" x14ac:dyDescent="0.2">
      <c r="A288" s="10">
        <f>'2019_Download_5-1-1'!C55</f>
        <v>2015</v>
      </c>
      <c r="B288" s="38" t="str">
        <f>'2019_Download_5-1-1'!B55</f>
        <v>Land- und Forstwirtschaft, Fischerei</v>
      </c>
      <c r="C288" s="10" t="str">
        <f>'2019_Download_5-1-1'!$E$8</f>
        <v>Frauen</v>
      </c>
      <c r="D288" s="37" t="s">
        <v>373</v>
      </c>
      <c r="E288" s="37" t="s">
        <v>64</v>
      </c>
      <c r="F288" s="25">
        <f>'2019_Download_5-1-1'!E55</f>
        <v>2.5444599999999999</v>
      </c>
      <c r="G288" s="10" t="str">
        <f t="shared" si="5"/>
        <v>/</v>
      </c>
    </row>
    <row r="289" spans="1:7" x14ac:dyDescent="0.2">
      <c r="A289" s="10">
        <f>'2019_Download_5-1-1'!C56</f>
        <v>2015</v>
      </c>
      <c r="B289" s="38" t="str">
        <f>'2019_Download_5-1-1'!B56</f>
        <v>Bergbau und Gewinnung von Steinen und Erden; Verarbeitendes Gewerbe</v>
      </c>
      <c r="C289" s="10" t="str">
        <f>'2019_Download_5-1-1'!$E$8</f>
        <v>Frauen</v>
      </c>
      <c r="D289" s="37" t="s">
        <v>374</v>
      </c>
      <c r="E289" s="37">
        <v>34.868780000000001</v>
      </c>
      <c r="F289" s="25">
        <f>'2019_Download_5-1-1'!E56</f>
        <v>34.868780000000001</v>
      </c>
      <c r="G289" s="10">
        <f t="shared" si="5"/>
        <v>34.868780000000001</v>
      </c>
    </row>
    <row r="290" spans="1:7" x14ac:dyDescent="0.2">
      <c r="A290" s="10">
        <f>'2019_Download_5-1-1'!C57</f>
        <v>2015</v>
      </c>
      <c r="B290" s="38" t="str">
        <f>'2019_Download_5-1-1'!B57</f>
        <v>Energieversorgung; Wasserversorgung, Entsorg., Beseitig. v. Umweltverschmutzungen</v>
      </c>
      <c r="C290" s="10" t="str">
        <f>'2019_Download_5-1-1'!$E$8</f>
        <v>Frauen</v>
      </c>
      <c r="D290" s="37" t="s">
        <v>375</v>
      </c>
      <c r="E290" s="37" t="s">
        <v>64</v>
      </c>
      <c r="F290" s="25">
        <f>'2019_Download_5-1-1'!E57</f>
        <v>1.7591600000000001</v>
      </c>
      <c r="G290" s="10" t="str">
        <f t="shared" si="5"/>
        <v>/</v>
      </c>
    </row>
    <row r="291" spans="1:7" x14ac:dyDescent="0.2">
      <c r="A291" s="10">
        <f>'2019_Download_5-1-1'!C58</f>
        <v>2015</v>
      </c>
      <c r="B291" s="38" t="str">
        <f>'2019_Download_5-1-1'!B58</f>
        <v>Baugewerbe</v>
      </c>
      <c r="C291" s="10" t="str">
        <f>'2019_Download_5-1-1'!$E$8</f>
        <v>Frauen</v>
      </c>
      <c r="D291" s="37" t="s">
        <v>376</v>
      </c>
      <c r="E291" s="37" t="s">
        <v>64</v>
      </c>
      <c r="F291" s="25">
        <f>'2019_Download_5-1-1'!E58</f>
        <v>3.2217899999999999</v>
      </c>
      <c r="G291" s="10" t="str">
        <f t="shared" si="5"/>
        <v>/</v>
      </c>
    </row>
    <row r="292" spans="1:7" x14ac:dyDescent="0.2">
      <c r="A292" s="10">
        <f>'2019_Download_5-1-1'!C59</f>
        <v>2015</v>
      </c>
      <c r="B292" s="38" t="str">
        <f>'2019_Download_5-1-1'!B59</f>
        <v>Handel, Instandhaltung und Reparatur von Kfz</v>
      </c>
      <c r="C292" s="10" t="str">
        <f>'2019_Download_5-1-1'!$E$8</f>
        <v>Frauen</v>
      </c>
      <c r="D292" s="37" t="s">
        <v>377</v>
      </c>
      <c r="E292" s="37">
        <v>43.623470000000005</v>
      </c>
      <c r="F292" s="25">
        <f>'2019_Download_5-1-1'!E59</f>
        <v>43.623470000000005</v>
      </c>
      <c r="G292" s="10">
        <f t="shared" si="5"/>
        <v>43.623470000000005</v>
      </c>
    </row>
    <row r="293" spans="1:7" x14ac:dyDescent="0.2">
      <c r="A293" s="10">
        <f>'2019_Download_5-1-1'!C60</f>
        <v>2015</v>
      </c>
      <c r="B293" s="38" t="str">
        <f>'2019_Download_5-1-1'!B60</f>
        <v>Verkehr und Lagerei; Information und Kommunikation</v>
      </c>
      <c r="C293" s="10" t="str">
        <f>'2019_Download_5-1-1'!$E$8</f>
        <v>Frauen</v>
      </c>
      <c r="D293" s="37" t="s">
        <v>378</v>
      </c>
      <c r="E293" s="37" t="s">
        <v>757</v>
      </c>
      <c r="F293" s="25">
        <f>'2019_Download_5-1-1'!E60</f>
        <v>9.3016699999999997</v>
      </c>
      <c r="G293" s="10" t="str">
        <f t="shared" si="5"/>
        <v>(9,3)</v>
      </c>
    </row>
    <row r="294" spans="1:7" x14ac:dyDescent="0.2">
      <c r="A294" s="10">
        <f>'2019_Download_5-1-1'!C61</f>
        <v>2015</v>
      </c>
      <c r="B294" s="38" t="str">
        <f>'2019_Download_5-1-1'!B61</f>
        <v>Gastgewerbe</v>
      </c>
      <c r="C294" s="10" t="str">
        <f>'2019_Download_5-1-1'!$E$8</f>
        <v>Frauen</v>
      </c>
      <c r="D294" s="37" t="s">
        <v>379</v>
      </c>
      <c r="E294" s="37">
        <v>23.738779999999998</v>
      </c>
      <c r="F294" s="25">
        <f>'2019_Download_5-1-1'!E61</f>
        <v>23.738779999999998</v>
      </c>
      <c r="G294" s="10">
        <f t="shared" si="5"/>
        <v>23.738779999999998</v>
      </c>
    </row>
    <row r="295" spans="1:7" x14ac:dyDescent="0.2">
      <c r="A295" s="10">
        <f>'2019_Download_5-1-1'!C62</f>
        <v>2015</v>
      </c>
      <c r="B295" s="38" t="str">
        <f>'2019_Download_5-1-1'!B62</f>
        <v>Erbringung von Finanz- und Versicherungsleistungen; Grundstücks- und Wohnungswesen; Freiberufliche, wiss. u. techn. Dienstleistungen; sonst. wirt. Dienstleistungen</v>
      </c>
      <c r="C295" s="10" t="str">
        <f>'2019_Download_5-1-1'!$E$8</f>
        <v>Frauen</v>
      </c>
      <c r="D295" s="37" t="s">
        <v>380</v>
      </c>
      <c r="E295" s="37">
        <v>38.966059999999999</v>
      </c>
      <c r="F295" s="25">
        <f>'2019_Download_5-1-1'!E62</f>
        <v>38.966059999999999</v>
      </c>
      <c r="G295" s="10">
        <f t="shared" si="5"/>
        <v>38.966059999999999</v>
      </c>
    </row>
    <row r="296" spans="1:7" x14ac:dyDescent="0.2">
      <c r="A296" s="10">
        <f>'2019_Download_5-1-1'!C63</f>
        <v>2015</v>
      </c>
      <c r="B296" s="38" t="str">
        <f>'2019_Download_5-1-1'!B63</f>
        <v>Öff.Verwaltung, Verteidigung, Sozialversicherung; Erziehung und Unterricht; Gesundheits- und Sozialwesen</v>
      </c>
      <c r="C296" s="10" t="str">
        <f>'2019_Download_5-1-1'!$E$8</f>
        <v>Frauen</v>
      </c>
      <c r="D296" s="37" t="s">
        <v>381</v>
      </c>
      <c r="E296" s="37">
        <v>88.929559999999995</v>
      </c>
      <c r="F296" s="25">
        <f>'2019_Download_5-1-1'!E63</f>
        <v>88.929559999999995</v>
      </c>
      <c r="G296" s="10">
        <f t="shared" si="5"/>
        <v>88.929559999999995</v>
      </c>
    </row>
    <row r="297" spans="1:7" x14ac:dyDescent="0.2">
      <c r="A297" s="10">
        <f>'2019_Download_5-1-1'!C64</f>
        <v>2015</v>
      </c>
      <c r="B297" s="38" t="str">
        <f>'2019_Download_5-1-1'!B64</f>
        <v>Kunst, Unterhaltung und Erholung; Erbringung von sonstigen Dienstleistungen</v>
      </c>
      <c r="C297" s="10" t="str">
        <f>'2019_Download_5-1-1'!$E$8</f>
        <v>Frauen</v>
      </c>
      <c r="D297" s="37" t="s">
        <v>382</v>
      </c>
      <c r="E297" s="37">
        <v>17.819520000000001</v>
      </c>
      <c r="F297" s="25">
        <f>'2019_Download_5-1-1'!E64</f>
        <v>17.819520000000001</v>
      </c>
      <c r="G297" s="10">
        <f t="shared" si="5"/>
        <v>17.819520000000001</v>
      </c>
    </row>
    <row r="298" spans="1:7" x14ac:dyDescent="0.2">
      <c r="A298" s="10">
        <f>'2019_Download_5-1-1'!C65</f>
        <v>2015</v>
      </c>
      <c r="B298" s="38" t="str">
        <f>'2019_Download_5-1-1'!B65</f>
        <v>Insgesamt (inkl. sonstiger Abschnitte)</v>
      </c>
      <c r="C298" s="10" t="str">
        <f>'2019_Download_5-1-1'!$E$8</f>
        <v>Frauen</v>
      </c>
      <c r="D298" s="37" t="s">
        <v>383</v>
      </c>
      <c r="E298" s="37">
        <v>268.76832999999999</v>
      </c>
      <c r="F298" s="25">
        <f>'2019_Download_5-1-1'!E65</f>
        <v>268.76832999999999</v>
      </c>
      <c r="G298" s="10">
        <f t="shared" si="5"/>
        <v>268.76832999999999</v>
      </c>
    </row>
    <row r="299" spans="1:7" x14ac:dyDescent="0.2">
      <c r="A299" s="10">
        <f>'2019_Download_5-1-1'!C66</f>
        <v>2014</v>
      </c>
      <c r="B299" s="38" t="str">
        <f>'2019_Download_5-1-1'!B66</f>
        <v>Land- und Forstwirtschaft, Fischerei</v>
      </c>
      <c r="C299" s="10" t="str">
        <f>'2019_Download_5-1-1'!$E$8</f>
        <v>Frauen</v>
      </c>
      <c r="D299" s="37" t="s">
        <v>384</v>
      </c>
      <c r="E299" s="37" t="s">
        <v>64</v>
      </c>
      <c r="F299" s="25">
        <f>'2019_Download_5-1-1'!E66</f>
        <v>3.2820200000000002</v>
      </c>
      <c r="G299" s="10" t="str">
        <f t="shared" si="5"/>
        <v>/</v>
      </c>
    </row>
    <row r="300" spans="1:7" x14ac:dyDescent="0.2">
      <c r="A300" s="10">
        <f>'2019_Download_5-1-1'!C67</f>
        <v>2014</v>
      </c>
      <c r="B300" s="38" t="str">
        <f>'2019_Download_5-1-1'!B67</f>
        <v>Bergbau und Gewinnung von Steinen und Erden; Verarbeitendes Gewerbe</v>
      </c>
      <c r="C300" s="10" t="str">
        <f>'2019_Download_5-1-1'!$E$8</f>
        <v>Frauen</v>
      </c>
      <c r="D300" s="37" t="s">
        <v>385</v>
      </c>
      <c r="E300" s="37">
        <v>32.59796</v>
      </c>
      <c r="F300" s="25">
        <f>'2019_Download_5-1-1'!E67</f>
        <v>32.59796</v>
      </c>
      <c r="G300" s="10">
        <f t="shared" si="5"/>
        <v>32.59796</v>
      </c>
    </row>
    <row r="301" spans="1:7" x14ac:dyDescent="0.2">
      <c r="A301" s="10">
        <f>'2019_Download_5-1-1'!C68</f>
        <v>2014</v>
      </c>
      <c r="B301" s="38" t="str">
        <f>'2019_Download_5-1-1'!B68</f>
        <v>Energieversorgung; Wasserversorgung, Entsorg., Beseitig. v. Umweltverschmutzungen</v>
      </c>
      <c r="C301" s="10" t="str">
        <f>'2019_Download_5-1-1'!$E$8</f>
        <v>Frauen</v>
      </c>
      <c r="D301" s="37" t="s">
        <v>386</v>
      </c>
      <c r="E301" s="37" t="s">
        <v>64</v>
      </c>
      <c r="F301" s="25">
        <f>'2019_Download_5-1-1'!E68</f>
        <v>1.54582</v>
      </c>
      <c r="G301" s="10" t="str">
        <f t="shared" si="5"/>
        <v>/</v>
      </c>
    </row>
    <row r="302" spans="1:7" x14ac:dyDescent="0.2">
      <c r="A302" s="10">
        <f>'2019_Download_5-1-1'!C69</f>
        <v>2014</v>
      </c>
      <c r="B302" s="38" t="str">
        <f>'2019_Download_5-1-1'!B69</f>
        <v>Baugewerbe</v>
      </c>
      <c r="C302" s="10" t="str">
        <f>'2019_Download_5-1-1'!$E$8</f>
        <v>Frauen</v>
      </c>
      <c r="D302" s="37" t="s">
        <v>387</v>
      </c>
      <c r="E302" s="37" t="s">
        <v>64</v>
      </c>
      <c r="F302" s="25">
        <f>'2019_Download_5-1-1'!E69</f>
        <v>3.6625999999999999</v>
      </c>
      <c r="G302" s="10" t="str">
        <f t="shared" si="5"/>
        <v>/</v>
      </c>
    </row>
    <row r="303" spans="1:7" x14ac:dyDescent="0.2">
      <c r="A303" s="10">
        <f>'2019_Download_5-1-1'!C70</f>
        <v>2014</v>
      </c>
      <c r="B303" s="38" t="str">
        <f>'2019_Download_5-1-1'!B70</f>
        <v>Handel, Instandhaltung und Reparatur von Kfz</v>
      </c>
      <c r="C303" s="10" t="str">
        <f>'2019_Download_5-1-1'!$E$8</f>
        <v>Frauen</v>
      </c>
      <c r="D303" s="37" t="s">
        <v>388</v>
      </c>
      <c r="E303" s="37">
        <v>44.216760000000001</v>
      </c>
      <c r="F303" s="25">
        <f>'2019_Download_5-1-1'!E70</f>
        <v>44.216760000000001</v>
      </c>
      <c r="G303" s="10">
        <f t="shared" si="5"/>
        <v>44.216760000000001</v>
      </c>
    </row>
    <row r="304" spans="1:7" x14ac:dyDescent="0.2">
      <c r="A304" s="10">
        <f>'2019_Download_5-1-1'!C71</f>
        <v>2014</v>
      </c>
      <c r="B304" s="38" t="str">
        <f>'2019_Download_5-1-1'!B71</f>
        <v>Verkehr und Lagerei; Information und Kommunikation</v>
      </c>
      <c r="C304" s="10" t="str">
        <f>'2019_Download_5-1-1'!$E$8</f>
        <v>Frauen</v>
      </c>
      <c r="D304" s="37" t="s">
        <v>389</v>
      </c>
      <c r="E304" s="37" t="s">
        <v>758</v>
      </c>
      <c r="F304" s="25">
        <f>'2019_Download_5-1-1'!E71</f>
        <v>9.5218600000000002</v>
      </c>
      <c r="G304" s="10" t="str">
        <f t="shared" si="5"/>
        <v>(9,5)</v>
      </c>
    </row>
    <row r="305" spans="1:7" x14ac:dyDescent="0.2">
      <c r="A305" s="10">
        <f>'2019_Download_5-1-1'!C72</f>
        <v>2014</v>
      </c>
      <c r="B305" s="38" t="str">
        <f>'2019_Download_5-1-1'!B72</f>
        <v>Gastgewerbe</v>
      </c>
      <c r="C305" s="10" t="str">
        <f>'2019_Download_5-1-1'!$E$8</f>
        <v>Frauen</v>
      </c>
      <c r="D305" s="37" t="s">
        <v>390</v>
      </c>
      <c r="E305" s="37">
        <v>21.421209999999999</v>
      </c>
      <c r="F305" s="25">
        <f>'2019_Download_5-1-1'!E72</f>
        <v>21.421209999999999</v>
      </c>
      <c r="G305" s="10">
        <f t="shared" si="5"/>
        <v>21.421209999999999</v>
      </c>
    </row>
    <row r="306" spans="1:7" x14ac:dyDescent="0.2">
      <c r="A306" s="10">
        <f>'2019_Download_5-1-1'!C73</f>
        <v>2014</v>
      </c>
      <c r="B306" s="38" t="str">
        <f>'2019_Download_5-1-1'!B73</f>
        <v>Erbringung von Finanz- und Versicherungsleistungen; Grundstücks- und Wohnungswesen; Freiberufliche, wiss. u. techn. Dienstleistungen; sonst. wirt. Dienstleistungen</v>
      </c>
      <c r="C306" s="10" t="str">
        <f>'2019_Download_5-1-1'!$E$8</f>
        <v>Frauen</v>
      </c>
      <c r="D306" s="37" t="s">
        <v>391</v>
      </c>
      <c r="E306" s="37">
        <v>38.125860000000003</v>
      </c>
      <c r="F306" s="25">
        <f>'2019_Download_5-1-1'!E73</f>
        <v>38.125860000000003</v>
      </c>
      <c r="G306" s="10">
        <f t="shared" si="5"/>
        <v>38.125860000000003</v>
      </c>
    </row>
    <row r="307" spans="1:7" x14ac:dyDescent="0.2">
      <c r="A307" s="10">
        <f>'2019_Download_5-1-1'!C74</f>
        <v>2014</v>
      </c>
      <c r="B307" s="38" t="str">
        <f>'2019_Download_5-1-1'!B74</f>
        <v>ÖffentlicheVerwaltung, Verteidigung, Sozialversicherung; Erziehung und Unterricht; Gesundheits- und Sozialwesen</v>
      </c>
      <c r="C307" s="10" t="str">
        <f>'2019_Download_5-1-1'!$E$8</f>
        <v>Frauen</v>
      </c>
      <c r="D307" s="37" t="s">
        <v>392</v>
      </c>
      <c r="E307" s="37">
        <v>86.626580000000004</v>
      </c>
      <c r="F307" s="25">
        <f>'2019_Download_5-1-1'!E74</f>
        <v>86.626580000000004</v>
      </c>
      <c r="G307" s="10">
        <f t="shared" si="5"/>
        <v>86.626580000000004</v>
      </c>
    </row>
    <row r="308" spans="1:7" x14ac:dyDescent="0.2">
      <c r="A308" s="10">
        <f>'2019_Download_5-1-1'!C75</f>
        <v>2014</v>
      </c>
      <c r="B308" s="38" t="str">
        <f>'2019_Download_5-1-1'!B75</f>
        <v>Kunst, Unterhaltung und Erholung; Erbringung von sonstigen Dienstleistungen</v>
      </c>
      <c r="C308" s="10" t="str">
        <f>'2019_Download_5-1-1'!$E$8</f>
        <v>Frauen</v>
      </c>
      <c r="D308" s="37" t="s">
        <v>393</v>
      </c>
      <c r="E308" s="37">
        <v>18.08278</v>
      </c>
      <c r="F308" s="25">
        <f>'2019_Download_5-1-1'!E75</f>
        <v>18.08278</v>
      </c>
      <c r="G308" s="10">
        <f t="shared" si="5"/>
        <v>18.08278</v>
      </c>
    </row>
    <row r="309" spans="1:7" x14ac:dyDescent="0.2">
      <c r="A309" s="10">
        <f>'2019_Download_5-1-1'!C76</f>
        <v>2014</v>
      </c>
      <c r="B309" s="38" t="str">
        <f>'2019_Download_5-1-1'!B76</f>
        <v>Insgesamt (inkl. sonstiger Abschnitte)</v>
      </c>
      <c r="C309" s="10" t="str">
        <f>'2019_Download_5-1-1'!$E$8</f>
        <v>Frauen</v>
      </c>
      <c r="D309" s="37" t="s">
        <v>394</v>
      </c>
      <c r="E309" s="37">
        <v>263.93470000000002</v>
      </c>
      <c r="F309" s="25">
        <f>'2019_Download_5-1-1'!E76</f>
        <v>263.93470000000002</v>
      </c>
      <c r="G309" s="10">
        <f t="shared" si="5"/>
        <v>263.93470000000002</v>
      </c>
    </row>
    <row r="310" spans="1:7" x14ac:dyDescent="0.2">
      <c r="A310" s="10">
        <f>'2019_Download_5-1-1'!C77</f>
        <v>2013</v>
      </c>
      <c r="B310" s="38" t="str">
        <f>'2019_Download_5-1-1'!B77</f>
        <v>Land- und Forstwirtschaft, Fischerei</v>
      </c>
      <c r="C310" s="10" t="str">
        <f>'2019_Download_5-1-1'!$E$8</f>
        <v>Frauen</v>
      </c>
      <c r="D310" s="37" t="s">
        <v>395</v>
      </c>
      <c r="E310" s="37" t="s">
        <v>64</v>
      </c>
      <c r="F310" s="25">
        <f>'2019_Download_5-1-1'!E77</f>
        <v>2.4824999999999999</v>
      </c>
      <c r="G310" s="10" t="str">
        <f t="shared" si="5"/>
        <v>/</v>
      </c>
    </row>
    <row r="311" spans="1:7" x14ac:dyDescent="0.2">
      <c r="A311" s="10">
        <f>'2019_Download_5-1-1'!C78</f>
        <v>2013</v>
      </c>
      <c r="B311" s="38" t="str">
        <f>'2019_Download_5-1-1'!B78</f>
        <v>Bergbau und Gewinnung von Steinen und Erden; Verarbeitendes Gewerbe</v>
      </c>
      <c r="C311" s="10" t="str">
        <f>'2019_Download_5-1-1'!$E$8</f>
        <v>Frauen</v>
      </c>
      <c r="D311" s="37" t="s">
        <v>396</v>
      </c>
      <c r="E311" s="37">
        <v>31.459490000000002</v>
      </c>
      <c r="F311" s="25">
        <f>'2019_Download_5-1-1'!E78</f>
        <v>31.459490000000002</v>
      </c>
      <c r="G311" s="10">
        <f t="shared" si="5"/>
        <v>31.459490000000002</v>
      </c>
    </row>
    <row r="312" spans="1:7" x14ac:dyDescent="0.2">
      <c r="A312" s="10">
        <f>'2019_Download_5-1-1'!C79</f>
        <v>2013</v>
      </c>
      <c r="B312" s="38" t="str">
        <f>'2019_Download_5-1-1'!B79</f>
        <v>Energieversorgung; Wasserversorgung, Entsorg., Beseitig. v. Umweltverschmutzungen</v>
      </c>
      <c r="C312" s="10" t="str">
        <f>'2019_Download_5-1-1'!$E$8</f>
        <v>Frauen</v>
      </c>
      <c r="D312" s="37" t="s">
        <v>397</v>
      </c>
      <c r="E312" s="37" t="s">
        <v>64</v>
      </c>
      <c r="F312" s="25">
        <f>'2019_Download_5-1-1'!E79</f>
        <v>2.4439799999999998</v>
      </c>
      <c r="G312" s="10" t="str">
        <f t="shared" si="5"/>
        <v>/</v>
      </c>
    </row>
    <row r="313" spans="1:7" x14ac:dyDescent="0.2">
      <c r="A313" s="10">
        <f>'2019_Download_5-1-1'!C80</f>
        <v>2013</v>
      </c>
      <c r="B313" s="38" t="str">
        <f>'2019_Download_5-1-1'!B80</f>
        <v>Baugewerbe</v>
      </c>
      <c r="C313" s="10" t="str">
        <f>'2019_Download_5-1-1'!$E$8</f>
        <v>Frauen</v>
      </c>
      <c r="D313" s="37" t="s">
        <v>398</v>
      </c>
      <c r="E313" s="37" t="s">
        <v>64</v>
      </c>
      <c r="F313" s="25">
        <f>'2019_Download_5-1-1'!E80</f>
        <v>4.0673899999999996</v>
      </c>
      <c r="G313" s="10" t="str">
        <f t="shared" si="5"/>
        <v>/</v>
      </c>
    </row>
    <row r="314" spans="1:7" x14ac:dyDescent="0.2">
      <c r="A314" s="10">
        <f>'2019_Download_5-1-1'!C81</f>
        <v>2013</v>
      </c>
      <c r="B314" s="38" t="str">
        <f>'2019_Download_5-1-1'!B81</f>
        <v>Handel, Instandhaltung und Reparatur von Kfz</v>
      </c>
      <c r="C314" s="10" t="str">
        <f>'2019_Download_5-1-1'!$E$8</f>
        <v>Frauen</v>
      </c>
      <c r="D314" s="37" t="s">
        <v>399</v>
      </c>
      <c r="E314" s="37">
        <v>45.749169999999999</v>
      </c>
      <c r="F314" s="25">
        <f>'2019_Download_5-1-1'!E81</f>
        <v>45.749169999999999</v>
      </c>
      <c r="G314" s="10">
        <f t="shared" si="5"/>
        <v>45.749169999999999</v>
      </c>
    </row>
    <row r="315" spans="1:7" x14ac:dyDescent="0.2">
      <c r="A315" s="10">
        <f>'2019_Download_5-1-1'!C82</f>
        <v>2013</v>
      </c>
      <c r="B315" s="38" t="str">
        <f>'2019_Download_5-1-1'!B82</f>
        <v>Verkehr und Lagerei; Information und Kommunikation</v>
      </c>
      <c r="C315" s="10" t="str">
        <f>'2019_Download_5-1-1'!$E$8</f>
        <v>Frauen</v>
      </c>
      <c r="D315" s="37" t="s">
        <v>400</v>
      </c>
      <c r="E315" s="37" t="s">
        <v>759</v>
      </c>
      <c r="F315" s="25">
        <f>'2019_Download_5-1-1'!E82</f>
        <v>9.9921600000000002</v>
      </c>
      <c r="G315" s="10" t="str">
        <f t="shared" si="5"/>
        <v>(10,0)</v>
      </c>
    </row>
    <row r="316" spans="1:7" x14ac:dyDescent="0.2">
      <c r="A316" s="10">
        <f>'2019_Download_5-1-1'!C83</f>
        <v>2013</v>
      </c>
      <c r="B316" s="38" t="str">
        <f>'2019_Download_5-1-1'!B83</f>
        <v>Gastgewerbe</v>
      </c>
      <c r="C316" s="10" t="str">
        <f>'2019_Download_5-1-1'!$E$8</f>
        <v>Frauen</v>
      </c>
      <c r="D316" s="37" t="s">
        <v>401</v>
      </c>
      <c r="E316" s="37">
        <v>23.158660000000001</v>
      </c>
      <c r="F316" s="25">
        <f>'2019_Download_5-1-1'!E83</f>
        <v>23.158660000000001</v>
      </c>
      <c r="G316" s="10">
        <f t="shared" si="5"/>
        <v>23.158660000000001</v>
      </c>
    </row>
    <row r="317" spans="1:7" x14ac:dyDescent="0.2">
      <c r="A317" s="10">
        <f>'2019_Download_5-1-1'!C84</f>
        <v>2013</v>
      </c>
      <c r="B317" s="38" t="str">
        <f>'2019_Download_5-1-1'!B84</f>
        <v>Erbringung von Finanz- und Versicherungsleistungen; Grundstücks- und Wohnungswesen; Freiberufliche, wiss. u. techn. Dienstleistungen; sonst. wirt. Dienstleistungen</v>
      </c>
      <c r="C317" s="10" t="str">
        <f>'2019_Download_5-1-1'!$E$8</f>
        <v>Frauen</v>
      </c>
      <c r="D317" s="37" t="s">
        <v>402</v>
      </c>
      <c r="E317" s="37">
        <v>40.841269999999994</v>
      </c>
      <c r="F317" s="25">
        <f>'2019_Download_5-1-1'!E84</f>
        <v>40.841269999999994</v>
      </c>
      <c r="G317" s="10">
        <f t="shared" si="5"/>
        <v>40.841269999999994</v>
      </c>
    </row>
    <row r="318" spans="1:7" x14ac:dyDescent="0.2">
      <c r="A318" s="10">
        <f>'2019_Download_5-1-1'!C85</f>
        <v>2013</v>
      </c>
      <c r="B318" s="38" t="str">
        <f>'2019_Download_5-1-1'!B85</f>
        <v>ÖffentlicheVerwaltung, Verteidigung, Sozialversicherung; Erziehung und Unterricht; Gesundheits- und Sozialwesen</v>
      </c>
      <c r="C318" s="10" t="str">
        <f>'2019_Download_5-1-1'!$E$8</f>
        <v>Frauen</v>
      </c>
      <c r="D318" s="37" t="s">
        <v>403</v>
      </c>
      <c r="E318" s="37">
        <v>83.318579999999997</v>
      </c>
      <c r="F318" s="25">
        <f>'2019_Download_5-1-1'!E85</f>
        <v>83.318579999999997</v>
      </c>
      <c r="G318" s="10">
        <f t="shared" si="5"/>
        <v>83.318579999999997</v>
      </c>
    </row>
    <row r="319" spans="1:7" x14ac:dyDescent="0.2">
      <c r="A319" s="10">
        <f>'2019_Download_5-1-1'!C86</f>
        <v>2013</v>
      </c>
      <c r="B319" s="38" t="str">
        <f>'2019_Download_5-1-1'!B86</f>
        <v>Kunst, Unterhaltung und Erholung; Erbringung von sonstigen Dienstleistungen</v>
      </c>
      <c r="C319" s="10" t="str">
        <f>'2019_Download_5-1-1'!$E$8</f>
        <v>Frauen</v>
      </c>
      <c r="D319" s="37" t="s">
        <v>404</v>
      </c>
      <c r="E319" s="37">
        <v>19.79946</v>
      </c>
      <c r="F319" s="25">
        <f>'2019_Download_5-1-1'!E86</f>
        <v>19.79946</v>
      </c>
      <c r="G319" s="10">
        <f t="shared" si="5"/>
        <v>19.79946</v>
      </c>
    </row>
    <row r="320" spans="1:7" x14ac:dyDescent="0.2">
      <c r="A320" s="10">
        <f>'2019_Download_5-1-1'!C87</f>
        <v>2013</v>
      </c>
      <c r="B320" s="38" t="str">
        <f>'2019_Download_5-1-1'!B87</f>
        <v>Insgesamt (inkl. sonstiger Abschnitte)</v>
      </c>
      <c r="C320" s="10" t="str">
        <f>'2019_Download_5-1-1'!$E$8</f>
        <v>Frauen</v>
      </c>
      <c r="D320" s="37" t="s">
        <v>405</v>
      </c>
      <c r="E320" s="37">
        <v>269.04737</v>
      </c>
      <c r="F320" s="25">
        <f>'2019_Download_5-1-1'!E87</f>
        <v>269.04737</v>
      </c>
      <c r="G320" s="10">
        <f t="shared" si="5"/>
        <v>269.04737</v>
      </c>
    </row>
    <row r="321" spans="1:7" x14ac:dyDescent="0.2">
      <c r="A321" s="10">
        <f>'2019_Download_5-1-1'!C88</f>
        <v>2012</v>
      </c>
      <c r="B321" s="38" t="str">
        <f>'2019_Download_5-1-1'!B88</f>
        <v>Land- und Forstwirtschaft, Fischerei</v>
      </c>
      <c r="C321" s="10" t="str">
        <f>'2019_Download_5-1-1'!$E$8</f>
        <v>Frauen</v>
      </c>
      <c r="D321" s="37" t="s">
        <v>406</v>
      </c>
      <c r="E321" s="37" t="s">
        <v>64</v>
      </c>
      <c r="F321" s="25">
        <f>'2019_Download_5-1-1'!E88</f>
        <v>2.3544999999999998</v>
      </c>
      <c r="G321" s="10" t="str">
        <f t="shared" si="5"/>
        <v>/</v>
      </c>
    </row>
    <row r="322" spans="1:7" x14ac:dyDescent="0.2">
      <c r="A322" s="10">
        <f>'2019_Download_5-1-1'!C89</f>
        <v>2012</v>
      </c>
      <c r="B322" s="38" t="str">
        <f>'2019_Download_5-1-1'!B89</f>
        <v>Bergbau und Gewinnung von Steinen und Erden; Verarbeitendes Gewerbe</v>
      </c>
      <c r="C322" s="10" t="str">
        <f>'2019_Download_5-1-1'!$E$8</f>
        <v>Frauen</v>
      </c>
      <c r="D322" s="37" t="s">
        <v>407</v>
      </c>
      <c r="E322" s="37">
        <v>28.397169999999999</v>
      </c>
      <c r="F322" s="25">
        <f>'2019_Download_5-1-1'!E89</f>
        <v>28.397169999999999</v>
      </c>
      <c r="G322" s="10">
        <f t="shared" si="5"/>
        <v>28.397169999999999</v>
      </c>
    </row>
    <row r="323" spans="1:7" x14ac:dyDescent="0.2">
      <c r="A323" s="10">
        <f>'2019_Download_5-1-1'!C90</f>
        <v>2012</v>
      </c>
      <c r="B323" s="38" t="str">
        <f>'2019_Download_5-1-1'!B90</f>
        <v>Energieversorgung; Wasserversorgung, Entsorg., Beseitig. v. Umweltverschmutzungen</v>
      </c>
      <c r="C323" s="10" t="str">
        <f>'2019_Download_5-1-1'!$E$8</f>
        <v>Frauen</v>
      </c>
      <c r="D323" s="37" t="s">
        <v>408</v>
      </c>
      <c r="E323" s="37" t="s">
        <v>64</v>
      </c>
      <c r="F323" s="25">
        <f>'2019_Download_5-1-1'!E90</f>
        <v>2.0485500000000001</v>
      </c>
      <c r="G323" s="10" t="str">
        <f t="shared" si="5"/>
        <v>/</v>
      </c>
    </row>
    <row r="324" spans="1:7" x14ac:dyDescent="0.2">
      <c r="A324" s="10">
        <f>'2019_Download_5-1-1'!C91</f>
        <v>2012</v>
      </c>
      <c r="B324" s="38" t="str">
        <f>'2019_Download_5-1-1'!B91</f>
        <v>Baugewerbe</v>
      </c>
      <c r="C324" s="10" t="str">
        <f>'2019_Download_5-1-1'!$E$8</f>
        <v>Frauen</v>
      </c>
      <c r="D324" s="37" t="s">
        <v>409</v>
      </c>
      <c r="E324" s="37" t="s">
        <v>64</v>
      </c>
      <c r="F324" s="25">
        <f>'2019_Download_5-1-1'!E91</f>
        <v>3.5321599999999997</v>
      </c>
      <c r="G324" s="10" t="str">
        <f t="shared" si="5"/>
        <v>/</v>
      </c>
    </row>
    <row r="325" spans="1:7" x14ac:dyDescent="0.2">
      <c r="A325" s="10">
        <f>'2019_Download_5-1-1'!C92</f>
        <v>2012</v>
      </c>
      <c r="B325" s="38" t="str">
        <f>'2019_Download_5-1-1'!B92</f>
        <v>Handel, Instandhaltung und Reparatur von Kfz</v>
      </c>
      <c r="C325" s="10" t="str">
        <f>'2019_Download_5-1-1'!$E$8</f>
        <v>Frauen</v>
      </c>
      <c r="D325" s="37" t="s">
        <v>410</v>
      </c>
      <c r="E325" s="37">
        <v>40.614100000000001</v>
      </c>
      <c r="F325" s="25">
        <f>'2019_Download_5-1-1'!E92</f>
        <v>40.614100000000001</v>
      </c>
      <c r="G325" s="10">
        <f t="shared" si="5"/>
        <v>40.614100000000001</v>
      </c>
    </row>
    <row r="326" spans="1:7" x14ac:dyDescent="0.2">
      <c r="A326" s="10">
        <f>'2019_Download_5-1-1'!C93</f>
        <v>2012</v>
      </c>
      <c r="B326" s="38" t="str">
        <f>'2019_Download_5-1-1'!B93</f>
        <v>Verkehr und Lagerei; Information und Kommunikation</v>
      </c>
      <c r="C326" s="10" t="str">
        <f>'2019_Download_5-1-1'!$E$8</f>
        <v>Frauen</v>
      </c>
      <c r="D326" s="37" t="s">
        <v>411</v>
      </c>
      <c r="E326" s="37" t="s">
        <v>755</v>
      </c>
      <c r="F326" s="25">
        <f>'2019_Download_5-1-1'!E93</f>
        <v>8.6682299999999994</v>
      </c>
      <c r="G326" s="10" t="str">
        <f t="shared" ref="G326:G364" si="6">IF(F326&lt;5,"/",IF(F326&lt;10,TEXT(F326,"(#.#0,0)"),F326))</f>
        <v>(8,7)</v>
      </c>
    </row>
    <row r="327" spans="1:7" x14ac:dyDescent="0.2">
      <c r="A327" s="10">
        <f>'2019_Download_5-1-1'!C94</f>
        <v>2012</v>
      </c>
      <c r="B327" s="38" t="str">
        <f>'2019_Download_5-1-1'!B94</f>
        <v>Gastgewerbe</v>
      </c>
      <c r="C327" s="10" t="str">
        <f>'2019_Download_5-1-1'!$E$8</f>
        <v>Frauen</v>
      </c>
      <c r="D327" s="37" t="s">
        <v>412</v>
      </c>
      <c r="E327" s="37">
        <v>23.704169999999998</v>
      </c>
      <c r="F327" s="25">
        <f>'2019_Download_5-1-1'!E94</f>
        <v>23.704169999999998</v>
      </c>
      <c r="G327" s="10">
        <f t="shared" si="6"/>
        <v>23.704169999999998</v>
      </c>
    </row>
    <row r="328" spans="1:7" x14ac:dyDescent="0.2">
      <c r="A328" s="10">
        <f>'2019_Download_5-1-1'!C95</f>
        <v>2012</v>
      </c>
      <c r="B328" s="38" t="str">
        <f>'2019_Download_5-1-1'!B95</f>
        <v>Erbringung von Finanz- und Versicherungsleistungen; Grundstücks- und Wohnungswesen; Freiberufliche, wiss. u. techn. Dienstleistungen; sonst. wirt. Dienstleistungen</v>
      </c>
      <c r="C328" s="10" t="str">
        <f>'2019_Download_5-1-1'!$E$8</f>
        <v>Frauen</v>
      </c>
      <c r="D328" s="37" t="s">
        <v>413</v>
      </c>
      <c r="E328" s="37">
        <v>34.406230000000001</v>
      </c>
      <c r="F328" s="25">
        <f>'2019_Download_5-1-1'!E95</f>
        <v>34.406230000000001</v>
      </c>
      <c r="G328" s="10">
        <f t="shared" si="6"/>
        <v>34.406230000000001</v>
      </c>
    </row>
    <row r="329" spans="1:7" x14ac:dyDescent="0.2">
      <c r="A329" s="10">
        <f>'2019_Download_5-1-1'!C96</f>
        <v>2012</v>
      </c>
      <c r="B329" s="38" t="str">
        <f>'2019_Download_5-1-1'!B96</f>
        <v>Öff.Verwaltung, Verteidigung, Sozialversicherung; Erziehung und Unterricht; Gesundheits- und Sozialwesen</v>
      </c>
      <c r="C329" s="10" t="str">
        <f>'2019_Download_5-1-1'!$E$8</f>
        <v>Frauen</v>
      </c>
      <c r="D329" s="37" t="s">
        <v>414</v>
      </c>
      <c r="E329" s="37">
        <v>79.877619999999993</v>
      </c>
      <c r="F329" s="25">
        <f>'2019_Download_5-1-1'!E96</f>
        <v>79.877619999999993</v>
      </c>
      <c r="G329" s="10">
        <f t="shared" si="6"/>
        <v>79.877619999999993</v>
      </c>
    </row>
    <row r="330" spans="1:7" x14ac:dyDescent="0.2">
      <c r="A330" s="10">
        <f>'2019_Download_5-1-1'!C97</f>
        <v>2012</v>
      </c>
      <c r="B330" s="38" t="str">
        <f>'2019_Download_5-1-1'!B97</f>
        <v>Kunst, Unterhaltung und Erholung; Erbringung von sonstigen Dienstleistungen</v>
      </c>
      <c r="C330" s="10" t="str">
        <f>'2019_Download_5-1-1'!$E$8</f>
        <v>Frauen</v>
      </c>
      <c r="D330" s="37" t="s">
        <v>415</v>
      </c>
      <c r="E330" s="37">
        <v>21.0427</v>
      </c>
      <c r="F330" s="25">
        <f>'2019_Download_5-1-1'!E97</f>
        <v>21.0427</v>
      </c>
      <c r="G330" s="10">
        <f t="shared" si="6"/>
        <v>21.0427</v>
      </c>
    </row>
    <row r="331" spans="1:7" x14ac:dyDescent="0.2">
      <c r="A331" s="10">
        <f>'2019_Download_5-1-1'!C98</f>
        <v>2012</v>
      </c>
      <c r="B331" s="38" t="str">
        <f>'2019_Download_5-1-1'!B98</f>
        <v>Insgesamt (inkl. sonstiger Abschnitte)</v>
      </c>
      <c r="C331" s="10" t="str">
        <f>'2019_Download_5-1-1'!$E$8</f>
        <v>Frauen</v>
      </c>
      <c r="D331" s="37" t="s">
        <v>416</v>
      </c>
      <c r="E331" s="37">
        <v>251.34277</v>
      </c>
      <c r="F331" s="25">
        <f>'2019_Download_5-1-1'!E98</f>
        <v>251.34277</v>
      </c>
      <c r="G331" s="10">
        <f t="shared" si="6"/>
        <v>251.34277</v>
      </c>
    </row>
    <row r="332" spans="1:7" x14ac:dyDescent="0.2">
      <c r="A332" s="10">
        <f>'2019_Download_5-1-1'!C99</f>
        <v>2011</v>
      </c>
      <c r="B332" s="38" t="str">
        <f>'2019_Download_5-1-1'!B99</f>
        <v>Land- und Forstwirtschaft, Fischerei</v>
      </c>
      <c r="C332" s="10" t="str">
        <f>'2019_Download_5-1-1'!$E$8</f>
        <v>Frauen</v>
      </c>
      <c r="D332" s="37" t="s">
        <v>417</v>
      </c>
      <c r="E332" s="37" t="s">
        <v>64</v>
      </c>
      <c r="F332" s="25">
        <f>'2019_Download_5-1-1'!E99</f>
        <v>2.84619</v>
      </c>
      <c r="G332" s="10" t="str">
        <f t="shared" si="6"/>
        <v>/</v>
      </c>
    </row>
    <row r="333" spans="1:7" x14ac:dyDescent="0.2">
      <c r="A333" s="10">
        <f>'2019_Download_5-1-1'!C100</f>
        <v>2011</v>
      </c>
      <c r="B333" s="38" t="str">
        <f>'2019_Download_5-1-1'!B100</f>
        <v>Bergbau und Gewinnung von Steinen und Erden; Verarbeitendes Gewerbe</v>
      </c>
      <c r="C333" s="10" t="str">
        <f>'2019_Download_5-1-1'!$E$8</f>
        <v>Frauen</v>
      </c>
      <c r="D333" s="37" t="s">
        <v>418</v>
      </c>
      <c r="E333" s="37">
        <v>30.17259</v>
      </c>
      <c r="F333" s="25">
        <f>'2019_Download_5-1-1'!E100</f>
        <v>30.17259</v>
      </c>
      <c r="G333" s="10">
        <f t="shared" si="6"/>
        <v>30.17259</v>
      </c>
    </row>
    <row r="334" spans="1:7" x14ac:dyDescent="0.2">
      <c r="A334" s="10">
        <f>'2019_Download_5-1-1'!C101</f>
        <v>2011</v>
      </c>
      <c r="B334" s="38" t="str">
        <f>'2019_Download_5-1-1'!B101</f>
        <v>Energieversorgung; Wasserversorgung, Entsorg., Beseitig. v. Umweltverschmutzungen</v>
      </c>
      <c r="C334" s="10" t="str">
        <f>'2019_Download_5-1-1'!$E$8</f>
        <v>Frauen</v>
      </c>
      <c r="D334" s="37" t="s">
        <v>419</v>
      </c>
      <c r="E334" s="37" t="s">
        <v>64</v>
      </c>
      <c r="F334" s="25">
        <f>'2019_Download_5-1-1'!E101</f>
        <v>1.1867399999999999</v>
      </c>
      <c r="G334" s="10" t="str">
        <f t="shared" si="6"/>
        <v>/</v>
      </c>
    </row>
    <row r="335" spans="1:7" x14ac:dyDescent="0.2">
      <c r="A335" s="10">
        <f>'2019_Download_5-1-1'!C102</f>
        <v>2011</v>
      </c>
      <c r="B335" s="38" t="str">
        <f>'2019_Download_5-1-1'!B102</f>
        <v>Baugewerbe</v>
      </c>
      <c r="C335" s="10" t="str">
        <f>'2019_Download_5-1-1'!$E$8</f>
        <v>Frauen</v>
      </c>
      <c r="D335" s="37" t="s">
        <v>420</v>
      </c>
      <c r="E335" s="37" t="s">
        <v>64</v>
      </c>
      <c r="F335" s="25">
        <f>'2019_Download_5-1-1'!E102</f>
        <v>3.95919</v>
      </c>
      <c r="G335" s="10" t="str">
        <f t="shared" si="6"/>
        <v>/</v>
      </c>
    </row>
    <row r="336" spans="1:7" x14ac:dyDescent="0.2">
      <c r="A336" s="10">
        <f>'2019_Download_5-1-1'!C103</f>
        <v>2011</v>
      </c>
      <c r="B336" s="38" t="str">
        <f>'2019_Download_5-1-1'!B103</f>
        <v>Handel, Instandhaltung und Reparatur von Kfz</v>
      </c>
      <c r="C336" s="10" t="str">
        <f>'2019_Download_5-1-1'!$E$8</f>
        <v>Frauen</v>
      </c>
      <c r="D336" s="37" t="s">
        <v>421</v>
      </c>
      <c r="E336" s="37">
        <v>42.393800000000006</v>
      </c>
      <c r="F336" s="25">
        <f>'2019_Download_5-1-1'!E103</f>
        <v>42.393800000000006</v>
      </c>
      <c r="G336" s="10">
        <f t="shared" si="6"/>
        <v>42.393800000000006</v>
      </c>
    </row>
    <row r="337" spans="1:7" x14ac:dyDescent="0.2">
      <c r="A337" s="10">
        <f>'2019_Download_5-1-1'!C104</f>
        <v>2011</v>
      </c>
      <c r="B337" s="38" t="str">
        <f>'2019_Download_5-1-1'!B104</f>
        <v>Verkehr und Lagerei; Information und Kommunikation</v>
      </c>
      <c r="C337" s="10" t="str">
        <f>'2019_Download_5-1-1'!$E$8</f>
        <v>Frauen</v>
      </c>
      <c r="D337" s="37" t="s">
        <v>422</v>
      </c>
      <c r="E337" s="37" t="s">
        <v>760</v>
      </c>
      <c r="F337" s="25">
        <f>'2019_Download_5-1-1'!E104</f>
        <v>7.19041</v>
      </c>
      <c r="G337" s="10" t="str">
        <f t="shared" si="6"/>
        <v>(7,2)</v>
      </c>
    </row>
    <row r="338" spans="1:7" x14ac:dyDescent="0.2">
      <c r="A338" s="10">
        <f>'2019_Download_5-1-1'!C105</f>
        <v>2011</v>
      </c>
      <c r="B338" s="38" t="str">
        <f>'2019_Download_5-1-1'!B105</f>
        <v>Gastgewerbe</v>
      </c>
      <c r="C338" s="10" t="str">
        <f>'2019_Download_5-1-1'!$E$8</f>
        <v>Frauen</v>
      </c>
      <c r="D338" s="37" t="s">
        <v>423</v>
      </c>
      <c r="E338" s="37">
        <v>21.758330000000001</v>
      </c>
      <c r="F338" s="25">
        <f>'2019_Download_5-1-1'!E105</f>
        <v>21.758330000000001</v>
      </c>
      <c r="G338" s="10">
        <f t="shared" si="6"/>
        <v>21.758330000000001</v>
      </c>
    </row>
    <row r="339" spans="1:7" x14ac:dyDescent="0.2">
      <c r="A339" s="10">
        <f>'2019_Download_5-1-1'!C106</f>
        <v>2011</v>
      </c>
      <c r="B339" s="38" t="str">
        <f>'2019_Download_5-1-1'!B106</f>
        <v>Erbringung von Finanz- und Versicherungsleistungen; Grundstücks- und Wohnungswesen; Freiberufliche, wiss. u. techn. Dienstleistungen; sonst. wirt. Dienstleistungen</v>
      </c>
      <c r="C339" s="10" t="str">
        <f>'2019_Download_5-1-1'!$E$8</f>
        <v>Frauen</v>
      </c>
      <c r="D339" s="37" t="s">
        <v>424</v>
      </c>
      <c r="E339" s="37">
        <v>37.508559999999996</v>
      </c>
      <c r="F339" s="25">
        <f>'2019_Download_5-1-1'!E106</f>
        <v>37.508559999999996</v>
      </c>
      <c r="G339" s="10">
        <f t="shared" si="6"/>
        <v>37.508559999999996</v>
      </c>
    </row>
    <row r="340" spans="1:7" x14ac:dyDescent="0.2">
      <c r="A340" s="10">
        <f>'2019_Download_5-1-1'!C107</f>
        <v>2011</v>
      </c>
      <c r="B340" s="38" t="str">
        <f>'2019_Download_5-1-1'!B107</f>
        <v>Öff.Verwaltung, Verteidigung, Sozialversicherung; Erziehung und Unterricht; Gesundheits- und Sozialwesen</v>
      </c>
      <c r="C340" s="10" t="str">
        <f>'2019_Download_5-1-1'!$E$8</f>
        <v>Frauen</v>
      </c>
      <c r="D340" s="37" t="s">
        <v>425</v>
      </c>
      <c r="E340" s="37">
        <v>76.428370000000001</v>
      </c>
      <c r="F340" s="25">
        <f>'2019_Download_5-1-1'!E107</f>
        <v>76.428370000000001</v>
      </c>
      <c r="G340" s="10">
        <f t="shared" si="6"/>
        <v>76.428370000000001</v>
      </c>
    </row>
    <row r="341" spans="1:7" x14ac:dyDescent="0.2">
      <c r="A341" s="10">
        <f>'2019_Download_5-1-1'!C108</f>
        <v>2011</v>
      </c>
      <c r="B341" s="38" t="str">
        <f>'2019_Download_5-1-1'!B108</f>
        <v>Kunst, Unterhaltung und Erholung; Erbringung von sonstigen Dienstleistungen</v>
      </c>
      <c r="C341" s="10" t="str">
        <f>'2019_Download_5-1-1'!$E$8</f>
        <v>Frauen</v>
      </c>
      <c r="D341" s="37" t="s">
        <v>426</v>
      </c>
      <c r="E341" s="37">
        <v>16.179190000000002</v>
      </c>
      <c r="F341" s="25">
        <f>'2019_Download_5-1-1'!E108</f>
        <v>16.179190000000002</v>
      </c>
      <c r="G341" s="10">
        <f t="shared" si="6"/>
        <v>16.179190000000002</v>
      </c>
    </row>
    <row r="342" spans="1:7" x14ac:dyDescent="0.2">
      <c r="A342" s="10">
        <f>'2019_Download_5-1-1'!C109</f>
        <v>2011</v>
      </c>
      <c r="B342" s="38" t="str">
        <f>'2019_Download_5-1-1'!B109</f>
        <v>Insgesamt (inkl. sonstiger Abschnitte)</v>
      </c>
      <c r="C342" s="10" t="str">
        <f>'2019_Download_5-1-1'!$E$8</f>
        <v>Frauen</v>
      </c>
      <c r="D342" s="37" t="s">
        <v>427</v>
      </c>
      <c r="E342" s="37">
        <v>245.06873999999999</v>
      </c>
      <c r="F342" s="25">
        <f>'2019_Download_5-1-1'!E109</f>
        <v>245.06873999999999</v>
      </c>
      <c r="G342" s="10">
        <f t="shared" si="6"/>
        <v>245.06873999999999</v>
      </c>
    </row>
    <row r="343" spans="1:7" x14ac:dyDescent="0.2">
      <c r="A343" s="10">
        <f>'2019_Download_5-1-1'!C110</f>
        <v>2010</v>
      </c>
      <c r="B343" s="38" t="str">
        <f>'2019_Download_5-1-1'!B110</f>
        <v>Land- und Forstwirtschaft, Fischerei</v>
      </c>
      <c r="C343" s="10" t="str">
        <f>'2019_Download_5-1-1'!$E$8</f>
        <v>Frauen</v>
      </c>
      <c r="D343" s="37" t="s">
        <v>428</v>
      </c>
      <c r="E343" s="37" t="s">
        <v>64</v>
      </c>
      <c r="F343" s="25" t="str">
        <f>'2019_Download_5-1-1'!E110</f>
        <v>/</v>
      </c>
      <c r="G343" s="10" t="str">
        <f t="shared" si="6"/>
        <v>/</v>
      </c>
    </row>
    <row r="344" spans="1:7" x14ac:dyDescent="0.2">
      <c r="A344" s="10">
        <f>'2019_Download_5-1-1'!C111</f>
        <v>2010</v>
      </c>
      <c r="B344" s="38" t="str">
        <f>'2019_Download_5-1-1'!B111</f>
        <v>Bergbau und Gewinnung von Steinen und Erden; Verarbeitendes Gewerbe</v>
      </c>
      <c r="C344" s="10" t="str">
        <f>'2019_Download_5-1-1'!$E$8</f>
        <v>Frauen</v>
      </c>
      <c r="D344" s="37" t="s">
        <v>429</v>
      </c>
      <c r="E344" s="37">
        <v>30.532409999999999</v>
      </c>
      <c r="F344" s="25">
        <f>'2019_Download_5-1-1'!E111</f>
        <v>30.532409999999999</v>
      </c>
      <c r="G344" s="10">
        <f t="shared" si="6"/>
        <v>30.532409999999999</v>
      </c>
    </row>
    <row r="345" spans="1:7" x14ac:dyDescent="0.2">
      <c r="A345" s="10">
        <f>'2019_Download_5-1-1'!C112</f>
        <v>2010</v>
      </c>
      <c r="B345" s="38" t="str">
        <f>'2019_Download_5-1-1'!B112</f>
        <v>Energieversorgung; Wasserversorgung, Entsorg., Beseitig. v. Umweltverschmutzungen</v>
      </c>
      <c r="C345" s="10" t="str">
        <f>'2019_Download_5-1-1'!$E$8</f>
        <v>Frauen</v>
      </c>
      <c r="D345" s="37" t="s">
        <v>430</v>
      </c>
      <c r="E345" s="37" t="s">
        <v>64</v>
      </c>
      <c r="F345" s="25" t="str">
        <f>'2019_Download_5-1-1'!E112</f>
        <v>/</v>
      </c>
      <c r="G345" s="10" t="str">
        <f t="shared" si="6"/>
        <v>/</v>
      </c>
    </row>
    <row r="346" spans="1:7" x14ac:dyDescent="0.2">
      <c r="A346" s="10">
        <f>'2019_Download_5-1-1'!C113</f>
        <v>2010</v>
      </c>
      <c r="B346" s="38" t="str">
        <f>'2019_Download_5-1-1'!B113</f>
        <v>Baugewerbe</v>
      </c>
      <c r="C346" s="10" t="str">
        <f>'2019_Download_5-1-1'!$E$8</f>
        <v>Frauen</v>
      </c>
      <c r="D346" s="37" t="s">
        <v>431</v>
      </c>
      <c r="E346" s="37" t="s">
        <v>64</v>
      </c>
      <c r="F346" s="25" t="str">
        <f>'2019_Download_5-1-1'!E113</f>
        <v>/</v>
      </c>
      <c r="G346" s="10" t="str">
        <f t="shared" si="6"/>
        <v>/</v>
      </c>
    </row>
    <row r="347" spans="1:7" x14ac:dyDescent="0.2">
      <c r="A347" s="10">
        <f>'2019_Download_5-1-1'!C114</f>
        <v>2010</v>
      </c>
      <c r="B347" s="38" t="str">
        <f>'2019_Download_5-1-1'!B114</f>
        <v>Handel, Instandhaltung und Reparatur von Kfz</v>
      </c>
      <c r="C347" s="10" t="str">
        <f>'2019_Download_5-1-1'!$E$8</f>
        <v>Frauen</v>
      </c>
      <c r="D347" s="37" t="s">
        <v>432</v>
      </c>
      <c r="E347" s="37">
        <v>38.775419999999997</v>
      </c>
      <c r="F347" s="25">
        <f>'2019_Download_5-1-1'!E114</f>
        <v>38.775419999999997</v>
      </c>
      <c r="G347" s="10">
        <f t="shared" si="6"/>
        <v>38.775419999999997</v>
      </c>
    </row>
    <row r="348" spans="1:7" x14ac:dyDescent="0.2">
      <c r="A348" s="10">
        <f>'2019_Download_5-1-1'!C115</f>
        <v>2010</v>
      </c>
      <c r="B348" s="38" t="str">
        <f>'2019_Download_5-1-1'!B115</f>
        <v>Verkehr und Lagerei; Information und Kommunikation</v>
      </c>
      <c r="C348" s="10" t="str">
        <f>'2019_Download_5-1-1'!$E$8</f>
        <v>Frauen</v>
      </c>
      <c r="D348" s="37" t="s">
        <v>433</v>
      </c>
      <c r="E348" s="37" t="s">
        <v>738</v>
      </c>
      <c r="F348" s="25">
        <f>'2019_Download_5-1-1'!E115</f>
        <v>7.50441</v>
      </c>
      <c r="G348" s="10" t="str">
        <f t="shared" si="6"/>
        <v>(7,5)</v>
      </c>
    </row>
    <row r="349" spans="1:7" x14ac:dyDescent="0.2">
      <c r="A349" s="10">
        <f>'2019_Download_5-1-1'!C116</f>
        <v>2010</v>
      </c>
      <c r="B349" s="38" t="str">
        <f>'2019_Download_5-1-1'!B116</f>
        <v>Gastgewerbe</v>
      </c>
      <c r="C349" s="10" t="str">
        <f>'2019_Download_5-1-1'!$E$8</f>
        <v>Frauen</v>
      </c>
      <c r="D349" s="37" t="s">
        <v>434</v>
      </c>
      <c r="E349" s="37">
        <v>20.54298</v>
      </c>
      <c r="F349" s="25">
        <f>'2019_Download_5-1-1'!E116</f>
        <v>20.54298</v>
      </c>
      <c r="G349" s="10">
        <f t="shared" si="6"/>
        <v>20.54298</v>
      </c>
    </row>
    <row r="350" spans="1:7" x14ac:dyDescent="0.2">
      <c r="A350" s="10">
        <f>'2019_Download_5-1-1'!C117</f>
        <v>2010</v>
      </c>
      <c r="B350" s="38" t="str">
        <f>'2019_Download_5-1-1'!B117</f>
        <v>Erbringung von Finanz- und Versicherungsleistungen; Grundstücks- und Wohnungswesen; Freiberufliche, wiss. u. techn. Dienstleistungen; sonst. wirt. Dienstleistungen</v>
      </c>
      <c r="C350" s="10" t="str">
        <f>'2019_Download_5-1-1'!$E$8</f>
        <v>Frauen</v>
      </c>
      <c r="D350" s="37" t="s">
        <v>435</v>
      </c>
      <c r="E350" s="37">
        <v>35.658290000000001</v>
      </c>
      <c r="F350" s="25">
        <f>'2019_Download_5-1-1'!E117</f>
        <v>35.658290000000001</v>
      </c>
      <c r="G350" s="10">
        <f t="shared" si="6"/>
        <v>35.658290000000001</v>
      </c>
    </row>
    <row r="351" spans="1:7" x14ac:dyDescent="0.2">
      <c r="A351" s="10">
        <f>'2019_Download_5-1-1'!C118</f>
        <v>2010</v>
      </c>
      <c r="B351" s="38" t="str">
        <f>'2019_Download_5-1-1'!B118</f>
        <v>Öff.Verwaltung, Verteidigung, Sozialversicherung; Erziehung und Unterricht; Gesundheits- und Sozialwesen</v>
      </c>
      <c r="C351" s="10" t="str">
        <f>'2019_Download_5-1-1'!$E$8</f>
        <v>Frauen</v>
      </c>
      <c r="D351" s="37" t="s">
        <v>436</v>
      </c>
      <c r="E351" s="37">
        <v>79.982199999999992</v>
      </c>
      <c r="F351" s="25">
        <f>'2019_Download_5-1-1'!E118</f>
        <v>79.982199999999992</v>
      </c>
      <c r="G351" s="10">
        <f t="shared" si="6"/>
        <v>79.982199999999992</v>
      </c>
    </row>
    <row r="352" spans="1:7" x14ac:dyDescent="0.2">
      <c r="A352" s="10">
        <f>'2019_Download_5-1-1'!C119</f>
        <v>2010</v>
      </c>
      <c r="B352" s="38" t="str">
        <f>'2019_Download_5-1-1'!B119</f>
        <v>Kunst, Unterhaltung und Erholung; Erbringung von sonstigen Dienstleistungen</v>
      </c>
      <c r="C352" s="10" t="str">
        <f>'2019_Download_5-1-1'!$E$8</f>
        <v>Frauen</v>
      </c>
      <c r="D352" s="37" t="s">
        <v>437</v>
      </c>
      <c r="E352" s="37">
        <v>17.198979999999999</v>
      </c>
      <c r="F352" s="25">
        <f>'2019_Download_5-1-1'!E119</f>
        <v>17.198979999999999</v>
      </c>
      <c r="G352" s="10">
        <f t="shared" si="6"/>
        <v>17.198979999999999</v>
      </c>
    </row>
    <row r="353" spans="1:7" x14ac:dyDescent="0.2">
      <c r="A353" s="10">
        <f>'2019_Download_5-1-1'!C120</f>
        <v>2010</v>
      </c>
      <c r="B353" s="38" t="str">
        <f>'2019_Download_5-1-1'!B120</f>
        <v>Insgesamt (inkl. sonstiger Abschnitte)</v>
      </c>
      <c r="C353" s="10" t="str">
        <f>'2019_Download_5-1-1'!$E$8</f>
        <v>Frauen</v>
      </c>
      <c r="D353" s="37" t="s">
        <v>438</v>
      </c>
      <c r="E353" s="37">
        <v>243.49507</v>
      </c>
      <c r="F353" s="25">
        <f>'2019_Download_5-1-1'!E120</f>
        <v>243.49507</v>
      </c>
      <c r="G353" s="10">
        <f t="shared" si="6"/>
        <v>243.49507</v>
      </c>
    </row>
    <row r="354" spans="1:7" x14ac:dyDescent="0.2">
      <c r="A354" s="10">
        <f>'2019_Download_5-1-1'!C121</f>
        <v>2005</v>
      </c>
      <c r="B354" s="38" t="str">
        <f>'2019_Download_5-1-1'!B121</f>
        <v>Land- und Forstwirtschaft; Fischerei und Fischzucht</v>
      </c>
      <c r="C354" s="10" t="str">
        <f>'2019_Download_5-1-1'!$E$8</f>
        <v>Frauen</v>
      </c>
      <c r="D354" s="37" t="s">
        <v>439</v>
      </c>
      <c r="E354" s="37" t="s">
        <v>64</v>
      </c>
      <c r="F354" s="25" t="str">
        <f>'2019_Download_5-1-1'!E121</f>
        <v>/</v>
      </c>
      <c r="G354" s="10" t="str">
        <f t="shared" si="6"/>
        <v>/</v>
      </c>
    </row>
    <row r="355" spans="1:7" x14ac:dyDescent="0.2">
      <c r="A355" s="10">
        <f>'2019_Download_5-1-1'!C122</f>
        <v>2005</v>
      </c>
      <c r="B355" s="38" t="str">
        <f>'2019_Download_5-1-1'!B122</f>
        <v>Bergbau und Gewinnung von Steinen und Erden; Verarbeitendes Gewerbe</v>
      </c>
      <c r="C355" s="10" t="str">
        <f>'2019_Download_5-1-1'!$E$8</f>
        <v>Frauen</v>
      </c>
      <c r="D355" s="37" t="s">
        <v>440</v>
      </c>
      <c r="E355" s="37">
        <v>34</v>
      </c>
      <c r="F355" s="25">
        <f>'2019_Download_5-1-1'!E122</f>
        <v>34</v>
      </c>
      <c r="G355" s="10">
        <f t="shared" si="6"/>
        <v>34</v>
      </c>
    </row>
    <row r="356" spans="1:7" x14ac:dyDescent="0.2">
      <c r="A356" s="10">
        <f>'2019_Download_5-1-1'!C123</f>
        <v>2005</v>
      </c>
      <c r="B356" s="38" t="str">
        <f>'2019_Download_5-1-1'!B123</f>
        <v>Energie- und Wasserversorgung</v>
      </c>
      <c r="C356" s="10" t="str">
        <f>'2019_Download_5-1-1'!$E$8</f>
        <v>Frauen</v>
      </c>
      <c r="D356" s="37" t="s">
        <v>441</v>
      </c>
      <c r="E356" s="37" t="s">
        <v>64</v>
      </c>
      <c r="F356" s="25" t="str">
        <f>'2019_Download_5-1-1'!E123</f>
        <v>/</v>
      </c>
      <c r="G356" s="10" t="str">
        <f t="shared" si="6"/>
        <v>/</v>
      </c>
    </row>
    <row r="357" spans="1:7" x14ac:dyDescent="0.2">
      <c r="A357" s="10">
        <f>'2019_Download_5-1-1'!C124</f>
        <v>2005</v>
      </c>
      <c r="B357" s="38" t="str">
        <f>'2019_Download_5-1-1'!B124</f>
        <v>Baugewerbe</v>
      </c>
      <c r="C357" s="10" t="str">
        <f>'2019_Download_5-1-1'!$E$8</f>
        <v>Frauen</v>
      </c>
      <c r="D357" s="37" t="s">
        <v>442</v>
      </c>
      <c r="E357" s="37" t="s">
        <v>64</v>
      </c>
      <c r="F357" s="25" t="str">
        <f>'2019_Download_5-1-1'!E124</f>
        <v>/</v>
      </c>
      <c r="G357" s="10" t="str">
        <f t="shared" si="6"/>
        <v>/</v>
      </c>
    </row>
    <row r="358" spans="1:7" x14ac:dyDescent="0.2">
      <c r="A358" s="10">
        <f>'2019_Download_5-1-1'!C125</f>
        <v>2005</v>
      </c>
      <c r="B358" s="38" t="str">
        <f>'2019_Download_5-1-1'!B125</f>
        <v>Handel; Instandhaltung und Reparatur von Kraftfahrzeugen und Gebrauchsgütern</v>
      </c>
      <c r="C358" s="10" t="str">
        <f>'2019_Download_5-1-1'!$E$8</f>
        <v>Frauen</v>
      </c>
      <c r="D358" s="37" t="s">
        <v>443</v>
      </c>
      <c r="E358" s="37">
        <v>34</v>
      </c>
      <c r="F358" s="25">
        <f>'2019_Download_5-1-1'!E125</f>
        <v>34</v>
      </c>
      <c r="G358" s="10">
        <f t="shared" si="6"/>
        <v>34</v>
      </c>
    </row>
    <row r="359" spans="1:7" x14ac:dyDescent="0.2">
      <c r="A359" s="10">
        <f>'2019_Download_5-1-1'!C126</f>
        <v>2005</v>
      </c>
      <c r="B359" s="38" t="str">
        <f>'2019_Download_5-1-1'!B126</f>
        <v>Gastgewerbe</v>
      </c>
      <c r="C359" s="10" t="str">
        <f>'2019_Download_5-1-1'!$E$8</f>
        <v>Frauen</v>
      </c>
      <c r="D359" s="37" t="s">
        <v>444</v>
      </c>
      <c r="E359" s="37">
        <v>19.600000000000001</v>
      </c>
      <c r="F359" s="25">
        <f>'2019_Download_5-1-1'!E126</f>
        <v>19.600000000000001</v>
      </c>
      <c r="G359" s="10">
        <f t="shared" si="6"/>
        <v>19.600000000000001</v>
      </c>
    </row>
    <row r="360" spans="1:7" x14ac:dyDescent="0.2">
      <c r="A360" s="10">
        <f>'2019_Download_5-1-1'!C127</f>
        <v>2005</v>
      </c>
      <c r="B360" s="38" t="str">
        <f>'2019_Download_5-1-1'!B127</f>
        <v>Verkehr und Nachrichtenübermittlung</v>
      </c>
      <c r="C360" s="10" t="str">
        <f>'2019_Download_5-1-1'!$E$8</f>
        <v>Frauen</v>
      </c>
      <c r="D360" s="37" t="s">
        <v>445</v>
      </c>
      <c r="E360" s="37" t="s">
        <v>64</v>
      </c>
      <c r="F360" s="25" t="str">
        <f>'2019_Download_5-1-1'!E127</f>
        <v>/</v>
      </c>
      <c r="G360" s="10" t="str">
        <f t="shared" si="6"/>
        <v>/</v>
      </c>
    </row>
    <row r="361" spans="1:7" x14ac:dyDescent="0.2">
      <c r="A361" s="10">
        <f>'2019_Download_5-1-1'!C128</f>
        <v>2005</v>
      </c>
      <c r="B361" s="38" t="str">
        <f>'2019_Download_5-1-1'!B128</f>
        <v>Kredit- und Versicherungsgewerbe; Grundstücks- und Wohnungswesen, Vermietung beweglicher Sachen, Erbringung von wirt.Dienstleistungen, anderweitig nicht genannt</v>
      </c>
      <c r="C361" s="10" t="str">
        <f>'2019_Download_5-1-1'!$E$8</f>
        <v>Frauen</v>
      </c>
      <c r="D361" s="37" t="s">
        <v>446</v>
      </c>
      <c r="E361" s="37">
        <v>19.600000000000001</v>
      </c>
      <c r="F361" s="25">
        <f>'2019_Download_5-1-1'!E128</f>
        <v>19.600000000000001</v>
      </c>
      <c r="G361" s="10">
        <f t="shared" si="6"/>
        <v>19.600000000000001</v>
      </c>
    </row>
    <row r="362" spans="1:7" x14ac:dyDescent="0.2">
      <c r="A362" s="10">
        <f>'2019_Download_5-1-1'!C129</f>
        <v>2005</v>
      </c>
      <c r="B362" s="38" t="str">
        <f>'2019_Download_5-1-1'!B129</f>
        <v>Öffentliche Verwaltung, Verteidigung, Sozialversicherung; Erziehung und Unterricht; Gesundheits-, Veterinär- und Sozialwesen</v>
      </c>
      <c r="C362" s="10" t="str">
        <f>'2019_Download_5-1-1'!$E$8</f>
        <v>Frauen</v>
      </c>
      <c r="D362" s="37" t="s">
        <v>447</v>
      </c>
      <c r="E362" s="37">
        <v>52.5</v>
      </c>
      <c r="F362" s="25">
        <f>'2019_Download_5-1-1'!E129</f>
        <v>52.5</v>
      </c>
      <c r="G362" s="10">
        <f t="shared" si="6"/>
        <v>52.5</v>
      </c>
    </row>
    <row r="363" spans="1:7" x14ac:dyDescent="0.2">
      <c r="A363" s="10">
        <f>'2019_Download_5-1-1'!C130</f>
        <v>2005</v>
      </c>
      <c r="B363" s="38" t="str">
        <f>'2019_Download_5-1-1'!B130</f>
        <v>Erbringung von sonstigen öffentlichen und persönlichen Dienstleistungen</v>
      </c>
      <c r="C363" s="10" t="str">
        <f>'2019_Download_5-1-1'!$E$8</f>
        <v>Frauen</v>
      </c>
      <c r="D363" s="37" t="s">
        <v>448</v>
      </c>
      <c r="E363" s="37">
        <v>18.100000000000001</v>
      </c>
      <c r="F363" s="25">
        <f>'2019_Download_5-1-1'!E130</f>
        <v>18.100000000000001</v>
      </c>
      <c r="G363" s="10">
        <f t="shared" si="6"/>
        <v>18.100000000000001</v>
      </c>
    </row>
    <row r="364" spans="1:7" x14ac:dyDescent="0.2">
      <c r="A364" s="10">
        <f>'2019_Download_5-1-1'!C131</f>
        <v>2005</v>
      </c>
      <c r="B364" s="38" t="str">
        <f>'2019_Download_5-1-1'!B131</f>
        <v>Insgesamt (inkl. sonstiger Abschnitte)</v>
      </c>
      <c r="C364" s="10" t="str">
        <f>'2019_Download_5-1-1'!$E$8</f>
        <v>Frauen</v>
      </c>
      <c r="D364" s="37" t="s">
        <v>449</v>
      </c>
      <c r="E364" s="37">
        <v>190.2</v>
      </c>
      <c r="F364" s="25">
        <f>'2019_Download_5-1-1'!E131</f>
        <v>190.2</v>
      </c>
      <c r="G364" s="10">
        <f t="shared" si="6"/>
        <v>190.2</v>
      </c>
    </row>
    <row r="365" spans="1:7" x14ac:dyDescent="0.2">
      <c r="B365" s="38"/>
      <c r="D365" s="37"/>
      <c r="E365" s="37"/>
      <c r="F365" s="25"/>
    </row>
    <row r="366" spans="1:7" x14ac:dyDescent="0.2">
      <c r="B366" s="38"/>
      <c r="D366" s="37"/>
      <c r="E366" s="37"/>
      <c r="F366" s="25"/>
    </row>
    <row r="367" spans="1:7" x14ac:dyDescent="0.2">
      <c r="B367" s="38"/>
      <c r="D367" s="37"/>
      <c r="E367" s="37"/>
      <c r="F367" s="25"/>
    </row>
  </sheetData>
  <autoFilter ref="A1:F1" xr:uid="{BB28CFAD-8B27-443B-AF45-C9D1EBA3BD44}"/>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CE53B-D07C-440A-9F68-9878EC51D281}">
  <sheetPr codeName="Tabelle14"/>
  <dimension ref="A1:E366"/>
  <sheetViews>
    <sheetView zoomScale="160" zoomScaleNormal="160" workbookViewId="0">
      <selection sqref="A1:XFD1048576"/>
    </sheetView>
  </sheetViews>
  <sheetFormatPr baseColWidth="10" defaultRowHeight="12.75" x14ac:dyDescent="0.2"/>
  <sheetData>
    <row r="1" spans="1:5" x14ac:dyDescent="0.2">
      <c r="A1" s="37" t="s">
        <v>83</v>
      </c>
      <c r="B1" s="39" t="s">
        <v>84</v>
      </c>
      <c r="C1" s="37" t="s">
        <v>6</v>
      </c>
      <c r="D1" s="37" t="s">
        <v>85</v>
      </c>
      <c r="E1" s="37" t="s">
        <v>86</v>
      </c>
    </row>
    <row r="2" spans="1:5" x14ac:dyDescent="0.2">
      <c r="A2" s="10">
        <f>'2019_Download_5-1-1'!C11</f>
        <v>2019</v>
      </c>
      <c r="B2" s="38" t="str">
        <f>'2019_Download_5-1-1'!B11</f>
        <v>Land- und Forstwirtschaft, Fischerei</v>
      </c>
      <c r="C2" s="10" t="str">
        <f>'2019_Download_5-1-1'!$F$8</f>
        <v>Insgesamt</v>
      </c>
      <c r="D2" s="37" t="s">
        <v>87</v>
      </c>
      <c r="E2" s="37">
        <f>'2019_Download_5-1-1'!F11</f>
        <v>11.423680000000001</v>
      </c>
    </row>
    <row r="3" spans="1:5" x14ac:dyDescent="0.2">
      <c r="A3" s="10">
        <f>'2019_Download_5-1-1'!C12</f>
        <v>2019</v>
      </c>
      <c r="B3" s="38" t="str">
        <f>'2019_Download_5-1-1'!B12</f>
        <v>Bergbau und Gewinnung von Steinen und Erden; Verarbeitendes Gewerbe</v>
      </c>
      <c r="C3" s="10" t="str">
        <f>'2019_Download_5-1-1'!$F$8</f>
        <v>Insgesamt</v>
      </c>
      <c r="D3" s="37" t="s">
        <v>87</v>
      </c>
      <c r="E3" s="37">
        <f>'2019_Download_5-1-1'!F12</f>
        <v>181.05264000000003</v>
      </c>
    </row>
    <row r="4" spans="1:5" x14ac:dyDescent="0.2">
      <c r="A4" s="10">
        <f>'2019_Download_5-1-1'!C13</f>
        <v>2019</v>
      </c>
      <c r="B4" s="38" t="str">
        <f>'2019_Download_5-1-1'!B13</f>
        <v>Energieversorgung; Wasserversorgung, Entsorg., Beseitig. v. Umweltverschmutzungen</v>
      </c>
      <c r="C4" s="10" t="str">
        <f>'2019_Download_5-1-1'!$F$8</f>
        <v>Insgesamt</v>
      </c>
      <c r="D4" s="37" t="s">
        <v>87</v>
      </c>
      <c r="E4" s="37">
        <f>'2019_Download_5-1-1'!F13</f>
        <v>7.8465500000000006</v>
      </c>
    </row>
    <row r="5" spans="1:5" x14ac:dyDescent="0.2">
      <c r="A5" s="10">
        <f>'2019_Download_5-1-1'!C14</f>
        <v>2019</v>
      </c>
      <c r="B5" s="38" t="str">
        <f>'2019_Download_5-1-1'!B14</f>
        <v>Baugewerbe</v>
      </c>
      <c r="C5" s="10" t="str">
        <f>'2019_Download_5-1-1'!$F$8</f>
        <v>Insgesamt</v>
      </c>
      <c r="D5" s="37" t="s">
        <v>87</v>
      </c>
      <c r="E5" s="37">
        <f>'2019_Download_5-1-1'!F14</f>
        <v>68.812629999999999</v>
      </c>
    </row>
    <row r="6" spans="1:5" x14ac:dyDescent="0.2">
      <c r="A6" s="10">
        <f>'2019_Download_5-1-1'!C15</f>
        <v>2019</v>
      </c>
      <c r="B6" s="38" t="str">
        <f>'2019_Download_5-1-1'!B15</f>
        <v>Handel, Instandhaltung und Reparatur von Kfz</v>
      </c>
      <c r="C6" s="10" t="str">
        <f>'2019_Download_5-1-1'!$F$8</f>
        <v>Insgesamt</v>
      </c>
      <c r="D6" s="37" t="s">
        <v>87</v>
      </c>
      <c r="E6" s="37">
        <f>'2019_Download_5-1-1'!F15</f>
        <v>130.89983000000001</v>
      </c>
    </row>
    <row r="7" spans="1:5" x14ac:dyDescent="0.2">
      <c r="A7" s="10">
        <f>'2019_Download_5-1-1'!C16</f>
        <v>2019</v>
      </c>
      <c r="B7" s="38" t="str">
        <f>'2019_Download_5-1-1'!B16</f>
        <v>Verkehr und Lagerei; Information und Kommunikation</v>
      </c>
      <c r="C7" s="10" t="str">
        <f>'2019_Download_5-1-1'!$F$8</f>
        <v>Insgesamt</v>
      </c>
      <c r="D7" s="37" t="s">
        <v>87</v>
      </c>
      <c r="E7" s="37">
        <f>'2019_Download_5-1-1'!F16</f>
        <v>67.163939999999997</v>
      </c>
    </row>
    <row r="8" spans="1:5" x14ac:dyDescent="0.2">
      <c r="A8" s="10">
        <f>'2019_Download_5-1-1'!C17</f>
        <v>2019</v>
      </c>
      <c r="B8" s="38" t="str">
        <f>'2019_Download_5-1-1'!B17</f>
        <v>Gastgewerbe</v>
      </c>
      <c r="C8" s="10" t="str">
        <f>'2019_Download_5-1-1'!$F$8</f>
        <v>Insgesamt</v>
      </c>
      <c r="D8" s="37" t="s">
        <v>87</v>
      </c>
      <c r="E8" s="37">
        <f>'2019_Download_5-1-1'!F17</f>
        <v>57.580260000000003</v>
      </c>
    </row>
    <row r="9" spans="1:5" x14ac:dyDescent="0.2">
      <c r="A9" s="10">
        <f>'2019_Download_5-1-1'!C18</f>
        <v>2019</v>
      </c>
      <c r="B9" s="38" t="str">
        <f>'2019_Download_5-1-1'!B18</f>
        <v>Erbringung von Finanz- und Versicherungsleistungen; Grundstücks- und Wohnungswesen; Freiberufliche, wiss. u. techn. Dienstleistungen; sonst. wirt. Dienstleistungen</v>
      </c>
      <c r="C9" s="10" t="str">
        <f>'2019_Download_5-1-1'!$F$8</f>
        <v>Insgesamt</v>
      </c>
      <c r="D9" s="37" t="s">
        <v>87</v>
      </c>
      <c r="E9" s="37">
        <f>'2019_Download_5-1-1'!F18</f>
        <v>92.335679999999996</v>
      </c>
    </row>
    <row r="10" spans="1:5" x14ac:dyDescent="0.2">
      <c r="A10" s="10">
        <f>'2019_Download_5-1-1'!C19</f>
        <v>2019</v>
      </c>
      <c r="B10" s="38" t="str">
        <f>'2019_Download_5-1-1'!B19</f>
        <v>ÖffentlicheVerwaltung, Verteidigung, Sozialversicherung; Erziehung und Unterricht; Gesundheits- und Sozialwesen</v>
      </c>
      <c r="C10" s="10" t="str">
        <f>'2019_Download_5-1-1'!$F$8</f>
        <v>Insgesamt</v>
      </c>
      <c r="D10" s="37" t="s">
        <v>87</v>
      </c>
      <c r="E10" s="37">
        <f>'2019_Download_5-1-1'!F19</f>
        <v>160.67986999999999</v>
      </c>
    </row>
    <row r="11" spans="1:5" x14ac:dyDescent="0.2">
      <c r="A11" s="10">
        <f>'2019_Download_5-1-1'!C20</f>
        <v>2019</v>
      </c>
      <c r="B11" s="38" t="str">
        <f>'2019_Download_5-1-1'!B20</f>
        <v>Kunst, Unterhaltung und Erholung; Erbringung von sonstigen Dienstleistungen</v>
      </c>
      <c r="C11" s="10" t="str">
        <f>'2019_Download_5-1-1'!$F$8</f>
        <v>Insgesamt</v>
      </c>
      <c r="D11" s="37" t="s">
        <v>87</v>
      </c>
      <c r="E11" s="37">
        <f>'2019_Download_5-1-1'!F20</f>
        <v>32.897779999999997</v>
      </c>
    </row>
    <row r="12" spans="1:5" x14ac:dyDescent="0.2">
      <c r="A12" s="10">
        <f>'2019_Download_5-1-1'!C21</f>
        <v>2019</v>
      </c>
      <c r="B12" s="38" t="str">
        <f>'2019_Download_5-1-1'!B21</f>
        <v>Insgesamt (inkl. sonstiger Abschnitte)</v>
      </c>
      <c r="C12" s="10" t="str">
        <f>'2019_Download_5-1-1'!$F$8</f>
        <v>Insgesamt</v>
      </c>
      <c r="D12" s="37" t="s">
        <v>87</v>
      </c>
      <c r="E12" s="37">
        <f>'2019_Download_5-1-1'!F21</f>
        <v>818.34351000000004</v>
      </c>
    </row>
    <row r="13" spans="1:5" x14ac:dyDescent="0.2">
      <c r="A13" s="10">
        <f>'2019_Download_5-1-1'!C22</f>
        <v>2018</v>
      </c>
      <c r="B13" s="38" t="str">
        <f>'2019_Download_5-1-1'!B22</f>
        <v>Land- und Forstwirtschaft, Fischerei</v>
      </c>
      <c r="C13" s="10" t="str">
        <f>'2019_Download_5-1-1'!$F$8</f>
        <v>Insgesamt</v>
      </c>
      <c r="D13" s="37" t="s">
        <v>87</v>
      </c>
      <c r="E13" s="37">
        <f>'2019_Download_5-1-1'!F22</f>
        <v>14.149610000000001</v>
      </c>
    </row>
    <row r="14" spans="1:5" x14ac:dyDescent="0.2">
      <c r="A14" s="10">
        <f>'2019_Download_5-1-1'!C23</f>
        <v>2018</v>
      </c>
      <c r="B14" s="38" t="str">
        <f>'2019_Download_5-1-1'!B23</f>
        <v>Bergbau und Gewinnung von Steinen und Erden; Verarbeitendes Gewerbe</v>
      </c>
      <c r="C14" s="10" t="str">
        <f>'2019_Download_5-1-1'!$F$8</f>
        <v>Insgesamt</v>
      </c>
      <c r="D14" s="37" t="s">
        <v>87</v>
      </c>
      <c r="E14" s="37">
        <f>'2019_Download_5-1-1'!F23</f>
        <v>187.68375</v>
      </c>
    </row>
    <row r="15" spans="1:5" x14ac:dyDescent="0.2">
      <c r="A15" s="10">
        <f>'2019_Download_5-1-1'!C24</f>
        <v>2018</v>
      </c>
      <c r="B15" s="38" t="str">
        <f>'2019_Download_5-1-1'!B24</f>
        <v>Energieversorgung; Wasserversorgung, Entsorg., Beseitig. v. Umweltverschmutzungen</v>
      </c>
      <c r="C15" s="10" t="str">
        <f>'2019_Download_5-1-1'!$F$8</f>
        <v>Insgesamt</v>
      </c>
      <c r="D15" s="37" t="s">
        <v>87</v>
      </c>
      <c r="E15" s="37">
        <f>'2019_Download_5-1-1'!F24</f>
        <v>8.9252000000000002</v>
      </c>
    </row>
    <row r="16" spans="1:5" x14ac:dyDescent="0.2">
      <c r="A16" s="10">
        <f>'2019_Download_5-1-1'!C25</f>
        <v>2018</v>
      </c>
      <c r="B16" s="38" t="str">
        <f>'2019_Download_5-1-1'!B25</f>
        <v>Baugewerbe</v>
      </c>
      <c r="C16" s="10" t="str">
        <f>'2019_Download_5-1-1'!$F$8</f>
        <v>Insgesamt</v>
      </c>
      <c r="D16" s="37" t="s">
        <v>87</v>
      </c>
      <c r="E16" s="37">
        <f>'2019_Download_5-1-1'!F25</f>
        <v>65.190219999999997</v>
      </c>
    </row>
    <row r="17" spans="1:5" x14ac:dyDescent="0.2">
      <c r="A17" s="10">
        <f>'2019_Download_5-1-1'!C26</f>
        <v>2018</v>
      </c>
      <c r="B17" s="38" t="str">
        <f>'2019_Download_5-1-1'!B26</f>
        <v>Handel, Instandhaltung und Reparatur von Kfz</v>
      </c>
      <c r="C17" s="10" t="str">
        <f>'2019_Download_5-1-1'!$F$8</f>
        <v>Insgesamt</v>
      </c>
      <c r="D17" s="37" t="s">
        <v>87</v>
      </c>
      <c r="E17" s="37">
        <f>'2019_Download_5-1-1'!F26</f>
        <v>129.91821999999999</v>
      </c>
    </row>
    <row r="18" spans="1:5" x14ac:dyDescent="0.2">
      <c r="A18" s="10">
        <f>'2019_Download_5-1-1'!C27</f>
        <v>2018</v>
      </c>
      <c r="B18" s="38" t="str">
        <f>'2019_Download_5-1-1'!B27</f>
        <v>Verkehr und Lagerei; Information und Kommunikation</v>
      </c>
      <c r="C18" s="10" t="str">
        <f>'2019_Download_5-1-1'!$F$8</f>
        <v>Insgesamt</v>
      </c>
      <c r="D18" s="37" t="s">
        <v>87</v>
      </c>
      <c r="E18" s="37">
        <f>'2019_Download_5-1-1'!F27</f>
        <v>61.68477</v>
      </c>
    </row>
    <row r="19" spans="1:5" x14ac:dyDescent="0.2">
      <c r="A19" s="10">
        <f>'2019_Download_5-1-1'!C28</f>
        <v>2018</v>
      </c>
      <c r="B19" s="38" t="str">
        <f>'2019_Download_5-1-1'!B28</f>
        <v>Gastgewerbe</v>
      </c>
      <c r="C19" s="10" t="str">
        <f>'2019_Download_5-1-1'!$F$8</f>
        <v>Insgesamt</v>
      </c>
      <c r="D19" s="37" t="s">
        <v>87</v>
      </c>
      <c r="E19" s="37">
        <f>'2019_Download_5-1-1'!F28</f>
        <v>58.191809999999997</v>
      </c>
    </row>
    <row r="20" spans="1:5" x14ac:dyDescent="0.2">
      <c r="A20" s="10">
        <f>'2019_Download_5-1-1'!C29</f>
        <v>2018</v>
      </c>
      <c r="B20" s="38" t="str">
        <f>'2019_Download_5-1-1'!B29</f>
        <v>Erbringung von Finanz- und Versicherungsleistungen; Grundstücks- und Wohnungswesen; Freiberufliche, wiss. u. techn. Dienstleistungen; sonst. wirt. Dienstleistungen</v>
      </c>
      <c r="C20" s="10" t="str">
        <f>'2019_Download_5-1-1'!$F$8</f>
        <v>Insgesamt</v>
      </c>
      <c r="D20" s="37" t="s">
        <v>87</v>
      </c>
      <c r="E20" s="37">
        <f>'2019_Download_5-1-1'!F29</f>
        <v>87.237809999999996</v>
      </c>
    </row>
    <row r="21" spans="1:5" x14ac:dyDescent="0.2">
      <c r="A21" s="10">
        <f>'2019_Download_5-1-1'!C30</f>
        <v>2018</v>
      </c>
      <c r="B21" s="38" t="str">
        <f>'2019_Download_5-1-1'!B30</f>
        <v>ÖffentlicheVerwaltung, Verteidigung, Sozialversicherung; Erziehung und Unterricht; Gesundheits- und Sozialwesen</v>
      </c>
      <c r="C21" s="10" t="str">
        <f>'2019_Download_5-1-1'!$F$8</f>
        <v>Insgesamt</v>
      </c>
      <c r="D21" s="37" t="s">
        <v>87</v>
      </c>
      <c r="E21" s="37">
        <f>'2019_Download_5-1-1'!F30</f>
        <v>155.93630999999999</v>
      </c>
    </row>
    <row r="22" spans="1:5" x14ac:dyDescent="0.2">
      <c r="A22" s="10">
        <f>'2019_Download_5-1-1'!C31</f>
        <v>2018</v>
      </c>
      <c r="B22" s="38" t="str">
        <f>'2019_Download_5-1-1'!B31</f>
        <v>Kunst, Unterhaltung und Erholung; Erbringung von sonstigen Dienstleistungen</v>
      </c>
      <c r="C22" s="10" t="str">
        <f>'2019_Download_5-1-1'!$F$8</f>
        <v>Insgesamt</v>
      </c>
      <c r="D22" s="37" t="s">
        <v>87</v>
      </c>
      <c r="E22" s="37">
        <f>'2019_Download_5-1-1'!F31</f>
        <v>31.153169999999999</v>
      </c>
    </row>
    <row r="23" spans="1:5" x14ac:dyDescent="0.2">
      <c r="A23" s="10">
        <f>'2019_Download_5-1-1'!C32</f>
        <v>2018</v>
      </c>
      <c r="B23" s="38" t="str">
        <f>'2019_Download_5-1-1'!B32</f>
        <v>Insgesamt (inkl. sonstiger Abschnitte)</v>
      </c>
      <c r="C23" s="10" t="str">
        <f>'2019_Download_5-1-1'!$F$8</f>
        <v>Insgesamt</v>
      </c>
      <c r="D23" s="37" t="s">
        <v>87</v>
      </c>
      <c r="E23" s="37">
        <f>'2019_Download_5-1-1'!F32</f>
        <v>805.91227000000003</v>
      </c>
    </row>
    <row r="24" spans="1:5" x14ac:dyDescent="0.2">
      <c r="A24" s="10">
        <f>'2019_Download_5-1-1'!C33</f>
        <v>2017</v>
      </c>
      <c r="B24" s="38" t="str">
        <f>'2019_Download_5-1-1'!B33</f>
        <v>Land- und Forstwirtschaft, Fischerei</v>
      </c>
      <c r="C24" s="10" t="str">
        <f>'2019_Download_5-1-1'!$F$8</f>
        <v>Insgesamt</v>
      </c>
      <c r="D24" s="37" t="s">
        <v>87</v>
      </c>
      <c r="E24" s="37">
        <f>'2019_Download_5-1-1'!F33</f>
        <v>11.424430000000001</v>
      </c>
    </row>
    <row r="25" spans="1:5" x14ac:dyDescent="0.2">
      <c r="A25" s="10">
        <f>'2019_Download_5-1-1'!C34</f>
        <v>2017</v>
      </c>
      <c r="B25" s="38" t="str">
        <f>'2019_Download_5-1-1'!B34</f>
        <v>Bergbau und Gewinnung von Steinen und Erden; Verarbeitendes Gewerbe</v>
      </c>
      <c r="C25" s="10" t="str">
        <f>'2019_Download_5-1-1'!$F$8</f>
        <v>Insgesamt</v>
      </c>
      <c r="D25" s="37" t="s">
        <v>87</v>
      </c>
      <c r="E25" s="37">
        <f>'2019_Download_5-1-1'!F34</f>
        <v>185.04506000000001</v>
      </c>
    </row>
    <row r="26" spans="1:5" x14ac:dyDescent="0.2">
      <c r="A26" s="10">
        <f>'2019_Download_5-1-1'!C35</f>
        <v>2017</v>
      </c>
      <c r="B26" s="38" t="str">
        <f>'2019_Download_5-1-1'!B35</f>
        <v>Energieversorgung; Wasserversorgung, Entsorg., Beseitig. v. Umweltverschmutzungen</v>
      </c>
      <c r="C26" s="10" t="str">
        <f>'2019_Download_5-1-1'!$F$8</f>
        <v>Insgesamt</v>
      </c>
      <c r="D26" s="37" t="s">
        <v>87</v>
      </c>
      <c r="E26" s="37">
        <f>'2019_Download_5-1-1'!F35</f>
        <v>8.2619299999999996</v>
      </c>
    </row>
    <row r="27" spans="1:5" x14ac:dyDescent="0.2">
      <c r="A27" s="10">
        <f>'2019_Download_5-1-1'!C36</f>
        <v>2017</v>
      </c>
      <c r="B27" s="38" t="str">
        <f>'2019_Download_5-1-1'!B36</f>
        <v>Baugewerbe</v>
      </c>
      <c r="C27" s="10" t="str">
        <f>'2019_Download_5-1-1'!$F$8</f>
        <v>Insgesamt</v>
      </c>
      <c r="D27" s="37" t="s">
        <v>87</v>
      </c>
      <c r="E27" s="37">
        <f>'2019_Download_5-1-1'!F36</f>
        <v>63.572679999999998</v>
      </c>
    </row>
    <row r="28" spans="1:5" x14ac:dyDescent="0.2">
      <c r="A28" s="10">
        <f>'2019_Download_5-1-1'!C37</f>
        <v>2017</v>
      </c>
      <c r="B28" s="38" t="str">
        <f>'2019_Download_5-1-1'!B37</f>
        <v>Handel, Instandhaltung und Reparatur von Kfz</v>
      </c>
      <c r="C28" s="10" t="str">
        <f>'2019_Download_5-1-1'!$F$8</f>
        <v>Insgesamt</v>
      </c>
      <c r="D28" s="37" t="s">
        <v>87</v>
      </c>
      <c r="E28" s="37">
        <f>'2019_Download_5-1-1'!F37</f>
        <v>125.8814</v>
      </c>
    </row>
    <row r="29" spans="1:5" x14ac:dyDescent="0.2">
      <c r="A29" s="10">
        <f>'2019_Download_5-1-1'!C38</f>
        <v>2017</v>
      </c>
      <c r="B29" s="38" t="str">
        <f>'2019_Download_5-1-1'!B38</f>
        <v>Verkehr und Lagerei; Information und Kommunikation</v>
      </c>
      <c r="C29" s="10" t="str">
        <f>'2019_Download_5-1-1'!$F$8</f>
        <v>Insgesamt</v>
      </c>
      <c r="D29" s="37" t="s">
        <v>87</v>
      </c>
      <c r="E29" s="37">
        <f>'2019_Download_5-1-1'!F38</f>
        <v>60.936779999999999</v>
      </c>
    </row>
    <row r="30" spans="1:5" x14ac:dyDescent="0.2">
      <c r="A30" s="10">
        <f>'2019_Download_5-1-1'!C39</f>
        <v>2017</v>
      </c>
      <c r="B30" s="38" t="str">
        <f>'2019_Download_5-1-1'!B39</f>
        <v>Gastgewerbe</v>
      </c>
      <c r="C30" s="10" t="str">
        <f>'2019_Download_5-1-1'!$F$8</f>
        <v>Insgesamt</v>
      </c>
      <c r="D30" s="37" t="s">
        <v>87</v>
      </c>
      <c r="E30" s="37">
        <f>'2019_Download_5-1-1'!F39</f>
        <v>51.63832</v>
      </c>
    </row>
    <row r="31" spans="1:5" x14ac:dyDescent="0.2">
      <c r="A31" s="10">
        <f>'2019_Download_5-1-1'!C40</f>
        <v>2017</v>
      </c>
      <c r="B31" s="38" t="str">
        <f>'2019_Download_5-1-1'!B40</f>
        <v>Erbringung von Finanz- und Versicherungsleistungen; Grundstücks- und Wohnungswesen; Freiberufliche, wiss. u. techn. Dienstleistungen; sonst. wirt. Dienstleistungen</v>
      </c>
      <c r="C31" s="10" t="str">
        <f>'2019_Download_5-1-1'!$F$8</f>
        <v>Insgesamt</v>
      </c>
      <c r="D31" s="37" t="s">
        <v>87</v>
      </c>
      <c r="E31" s="37">
        <f>'2019_Download_5-1-1'!F40</f>
        <v>83.74615</v>
      </c>
    </row>
    <row r="32" spans="1:5" x14ac:dyDescent="0.2">
      <c r="A32" s="10">
        <f>'2019_Download_5-1-1'!C41</f>
        <v>2017</v>
      </c>
      <c r="B32" s="38" t="str">
        <f>'2019_Download_5-1-1'!B41</f>
        <v>ÖffentlicheVerwaltung, Verteidigung, Sozialversicherung; Erziehung und Unterricht; Gesundheits- und Sozialwesen</v>
      </c>
      <c r="C32" s="10" t="str">
        <f>'2019_Download_5-1-1'!$F$8</f>
        <v>Insgesamt</v>
      </c>
      <c r="D32" s="37" t="s">
        <v>87</v>
      </c>
      <c r="E32" s="37">
        <f>'2019_Download_5-1-1'!F41</f>
        <v>153.97228000000001</v>
      </c>
    </row>
    <row r="33" spans="1:5" x14ac:dyDescent="0.2">
      <c r="A33" s="10">
        <f>'2019_Download_5-1-1'!C42</f>
        <v>2017</v>
      </c>
      <c r="B33" s="38" t="str">
        <f>'2019_Download_5-1-1'!B42</f>
        <v>Kunst, Unterhaltung und Erholung; Erbringung von sonstigen Dienstleistungen</v>
      </c>
      <c r="C33" s="10" t="str">
        <f>'2019_Download_5-1-1'!$F$8</f>
        <v>Insgesamt</v>
      </c>
      <c r="D33" s="37" t="s">
        <v>87</v>
      </c>
      <c r="E33" s="37">
        <f>'2019_Download_5-1-1'!F42</f>
        <v>34.124910000000007</v>
      </c>
    </row>
    <row r="34" spans="1:5" x14ac:dyDescent="0.2">
      <c r="A34" s="10">
        <f>'2019_Download_5-1-1'!C43</f>
        <v>2017</v>
      </c>
      <c r="B34" s="38" t="str">
        <f>'2019_Download_5-1-1'!B43</f>
        <v>Insgesamt (inkl. sonstiger Abschnitte)</v>
      </c>
      <c r="C34" s="10" t="str">
        <f>'2019_Download_5-1-1'!$F$8</f>
        <v>Insgesamt</v>
      </c>
      <c r="D34" s="37" t="s">
        <v>87</v>
      </c>
      <c r="E34" s="37">
        <f>'2019_Download_5-1-1'!F43</f>
        <v>786.12054000000001</v>
      </c>
    </row>
    <row r="35" spans="1:5" x14ac:dyDescent="0.2">
      <c r="A35" s="10">
        <f>'2019_Download_5-1-1'!C44</f>
        <v>2016</v>
      </c>
      <c r="B35" s="38" t="str">
        <f>'2019_Download_5-1-1'!B44</f>
        <v>Land- und Forstwirtschaft, Fischerei</v>
      </c>
      <c r="C35" s="10" t="str">
        <f>'2019_Download_5-1-1'!$F$8</f>
        <v>Insgesamt</v>
      </c>
      <c r="D35" s="37" t="s">
        <v>87</v>
      </c>
      <c r="E35" s="37">
        <f>'2019_Download_5-1-1'!F44</f>
        <v>11.426410000000001</v>
      </c>
    </row>
    <row r="36" spans="1:5" x14ac:dyDescent="0.2">
      <c r="A36" s="10">
        <f>'2019_Download_5-1-1'!C45</f>
        <v>2016</v>
      </c>
      <c r="B36" s="38" t="str">
        <f>'2019_Download_5-1-1'!B45</f>
        <v>Bergbau und Gewinnung von Steinen und Erden; Verarbeitendes Gewerbe</v>
      </c>
      <c r="C36" s="10" t="str">
        <f>'2019_Download_5-1-1'!$F$8</f>
        <v>Insgesamt</v>
      </c>
      <c r="D36" s="37" t="s">
        <v>87</v>
      </c>
      <c r="E36" s="37">
        <f>'2019_Download_5-1-1'!F45</f>
        <v>162.05356</v>
      </c>
    </row>
    <row r="37" spans="1:5" x14ac:dyDescent="0.2">
      <c r="A37" s="10">
        <f>'2019_Download_5-1-1'!C46</f>
        <v>2016</v>
      </c>
      <c r="B37" s="38" t="str">
        <f>'2019_Download_5-1-1'!B46</f>
        <v>Energieversorgung; Wasserversorgung, Entsorg., Beseitig. v. Umweltverschmutzungen</v>
      </c>
      <c r="C37" s="10" t="str">
        <f>'2019_Download_5-1-1'!$F$8</f>
        <v>Insgesamt</v>
      </c>
      <c r="D37" s="37" t="s">
        <v>87</v>
      </c>
      <c r="E37" s="37">
        <f>'2019_Download_5-1-1'!F46</f>
        <v>6.4177600000000004</v>
      </c>
    </row>
    <row r="38" spans="1:5" x14ac:dyDescent="0.2">
      <c r="A38" s="10">
        <f>'2019_Download_5-1-1'!C47</f>
        <v>2016</v>
      </c>
      <c r="B38" s="38" t="str">
        <f>'2019_Download_5-1-1'!B47</f>
        <v>Baugewerbe</v>
      </c>
      <c r="C38" s="10" t="str">
        <f>'2019_Download_5-1-1'!$F$8</f>
        <v>Insgesamt</v>
      </c>
      <c r="D38" s="37" t="s">
        <v>87</v>
      </c>
      <c r="E38" s="37">
        <f>'2019_Download_5-1-1'!F47</f>
        <v>52.61318</v>
      </c>
    </row>
    <row r="39" spans="1:5" x14ac:dyDescent="0.2">
      <c r="A39" s="10">
        <f>'2019_Download_5-1-1'!C48</f>
        <v>2016</v>
      </c>
      <c r="B39" s="38" t="str">
        <f>'2019_Download_5-1-1'!B48</f>
        <v>Handel, Instandhaltung und Reparatur von Kfz</v>
      </c>
      <c r="C39" s="10" t="str">
        <f>'2019_Download_5-1-1'!$F$8</f>
        <v>Insgesamt</v>
      </c>
      <c r="D39" s="37" t="s">
        <v>87</v>
      </c>
      <c r="E39" s="37">
        <f>'2019_Download_5-1-1'!F48</f>
        <v>106.77966000000001</v>
      </c>
    </row>
    <row r="40" spans="1:5" x14ac:dyDescent="0.2">
      <c r="A40" s="10">
        <f>'2019_Download_5-1-1'!C49</f>
        <v>2016</v>
      </c>
      <c r="B40" s="38" t="str">
        <f>'2019_Download_5-1-1'!B49</f>
        <v>Verkehr und Lagerei; Information und Kommunikation</v>
      </c>
      <c r="C40" s="10" t="str">
        <f>'2019_Download_5-1-1'!$F$8</f>
        <v>Insgesamt</v>
      </c>
      <c r="D40" s="37" t="s">
        <v>87</v>
      </c>
      <c r="E40" s="37">
        <f>'2019_Download_5-1-1'!F49</f>
        <v>50.498899999999999</v>
      </c>
    </row>
    <row r="41" spans="1:5" x14ac:dyDescent="0.2">
      <c r="A41" s="10">
        <f>'2019_Download_5-1-1'!C50</f>
        <v>2016</v>
      </c>
      <c r="B41" s="38" t="str">
        <f>'2019_Download_5-1-1'!B50</f>
        <v>Gastgewerbe</v>
      </c>
      <c r="C41" s="10" t="str">
        <f>'2019_Download_5-1-1'!$F$8</f>
        <v>Insgesamt</v>
      </c>
      <c r="D41" s="37" t="s">
        <v>87</v>
      </c>
      <c r="E41" s="37">
        <f>'2019_Download_5-1-1'!F50</f>
        <v>48.540900000000001</v>
      </c>
    </row>
    <row r="42" spans="1:5" x14ac:dyDescent="0.2">
      <c r="A42" s="10">
        <f>'2019_Download_5-1-1'!C51</f>
        <v>2016</v>
      </c>
      <c r="B42" s="38" t="str">
        <f>'2019_Download_5-1-1'!B51</f>
        <v>Erbringung von Finanz- und Versicherungsleistungen; Grundstücks- und Wohnungswesen; Freiberufliche, wiss. u. techn. Dienstleistungen; sonst. wirt. Dienstleistungen</v>
      </c>
      <c r="C42" s="10" t="str">
        <f>'2019_Download_5-1-1'!$F$8</f>
        <v>Insgesamt</v>
      </c>
      <c r="D42" s="37" t="s">
        <v>87</v>
      </c>
      <c r="E42" s="37">
        <f>'2019_Download_5-1-1'!F51</f>
        <v>75.971899999999991</v>
      </c>
    </row>
    <row r="43" spans="1:5" x14ac:dyDescent="0.2">
      <c r="A43" s="10">
        <f>'2019_Download_5-1-1'!C52</f>
        <v>2016</v>
      </c>
      <c r="B43" s="38" t="str">
        <f>'2019_Download_5-1-1'!B52</f>
        <v>ÖffentlicheVerwaltung, Verteidigung, Sozialversicherung; Erziehung und Unterricht; Gesundheits- und Sozialwesen</v>
      </c>
      <c r="C43" s="10" t="str">
        <f>'2019_Download_5-1-1'!$F$8</f>
        <v>Insgesamt</v>
      </c>
      <c r="D43" s="37" t="s">
        <v>87</v>
      </c>
      <c r="E43" s="37">
        <f>'2019_Download_5-1-1'!F52</f>
        <v>127.76136</v>
      </c>
    </row>
    <row r="44" spans="1:5" x14ac:dyDescent="0.2">
      <c r="A44" s="10">
        <f>'2019_Download_5-1-1'!C53</f>
        <v>2016</v>
      </c>
      <c r="B44" s="38" t="str">
        <f>'2019_Download_5-1-1'!B53</f>
        <v>Kunst, Unterhaltung und Erholung; Erbringung von sonstigen Dienstleistungen</v>
      </c>
      <c r="C44" s="10" t="str">
        <f>'2019_Download_5-1-1'!$F$8</f>
        <v>Insgesamt</v>
      </c>
      <c r="D44" s="37" t="s">
        <v>87</v>
      </c>
      <c r="E44" s="37">
        <f>'2019_Download_5-1-1'!F53</f>
        <v>27.677610000000001</v>
      </c>
    </row>
    <row r="45" spans="1:5" x14ac:dyDescent="0.2">
      <c r="A45" s="10">
        <f>'2019_Download_5-1-1'!C54</f>
        <v>2016</v>
      </c>
      <c r="B45" s="38" t="str">
        <f>'2019_Download_5-1-1'!B54</f>
        <v>Insgesamt (inkl. sonstiger Abschnitte)</v>
      </c>
      <c r="C45" s="10" t="str">
        <f>'2019_Download_5-1-1'!$F$8</f>
        <v>Insgesamt</v>
      </c>
      <c r="D45" s="37" t="s">
        <v>87</v>
      </c>
      <c r="E45" s="37">
        <f>'2019_Download_5-1-1'!F54</f>
        <v>677.16356999999994</v>
      </c>
    </row>
    <row r="46" spans="1:5" x14ac:dyDescent="0.2">
      <c r="A46" s="10">
        <f>'2019_Download_5-1-1'!C55</f>
        <v>2015</v>
      </c>
      <c r="B46" s="38" t="str">
        <f>'2019_Download_5-1-1'!B55</f>
        <v>Land- und Forstwirtschaft, Fischerei</v>
      </c>
      <c r="C46" s="10" t="str">
        <f>'2019_Download_5-1-1'!$F$8</f>
        <v>Insgesamt</v>
      </c>
      <c r="D46" s="37" t="s">
        <v>87</v>
      </c>
      <c r="E46" s="37">
        <f>'2019_Download_5-1-1'!F55</f>
        <v>10.001670000000001</v>
      </c>
    </row>
    <row r="47" spans="1:5" x14ac:dyDescent="0.2">
      <c r="A47" s="10">
        <f>'2019_Download_5-1-1'!C56</f>
        <v>2015</v>
      </c>
      <c r="B47" s="38" t="str">
        <f>'2019_Download_5-1-1'!B56</f>
        <v>Bergbau und Gewinnung von Steinen und Erden; Verarbeitendes Gewerbe</v>
      </c>
      <c r="C47" s="10" t="str">
        <f>'2019_Download_5-1-1'!$F$8</f>
        <v>Insgesamt</v>
      </c>
      <c r="D47" s="37" t="s">
        <v>87</v>
      </c>
      <c r="E47" s="37">
        <f>'2019_Download_5-1-1'!F56</f>
        <v>141.48392999999999</v>
      </c>
    </row>
    <row r="48" spans="1:5" x14ac:dyDescent="0.2">
      <c r="A48" s="10">
        <f>'2019_Download_5-1-1'!C57</f>
        <v>2015</v>
      </c>
      <c r="B48" s="38" t="str">
        <f>'2019_Download_5-1-1'!B57</f>
        <v>Energieversorgung; Wasserversorgung, Entsorg., Beseitig. v. Umweltverschmutzungen</v>
      </c>
      <c r="C48" s="10" t="str">
        <f>'2019_Download_5-1-1'!$F$8</f>
        <v>Insgesamt</v>
      </c>
      <c r="D48" s="37" t="s">
        <v>87</v>
      </c>
      <c r="E48" s="37">
        <f>'2019_Download_5-1-1'!F57</f>
        <v>6.7985899999999999</v>
      </c>
    </row>
    <row r="49" spans="1:5" x14ac:dyDescent="0.2">
      <c r="A49" s="10">
        <f>'2019_Download_5-1-1'!C58</f>
        <v>2015</v>
      </c>
      <c r="B49" s="38" t="str">
        <f>'2019_Download_5-1-1'!B58</f>
        <v>Baugewerbe</v>
      </c>
      <c r="C49" s="10" t="str">
        <f>'2019_Download_5-1-1'!$F$8</f>
        <v>Insgesamt</v>
      </c>
      <c r="D49" s="37" t="s">
        <v>87</v>
      </c>
      <c r="E49" s="37">
        <f>'2019_Download_5-1-1'!F58</f>
        <v>45.398129999999995</v>
      </c>
    </row>
    <row r="50" spans="1:5" x14ac:dyDescent="0.2">
      <c r="A50" s="10">
        <f>'2019_Download_5-1-1'!C59</f>
        <v>2015</v>
      </c>
      <c r="B50" s="38" t="str">
        <f>'2019_Download_5-1-1'!B59</f>
        <v>Handel, Instandhaltung und Reparatur von Kfz</v>
      </c>
      <c r="C50" s="10" t="str">
        <f>'2019_Download_5-1-1'!$F$8</f>
        <v>Insgesamt</v>
      </c>
      <c r="D50" s="37" t="s">
        <v>87</v>
      </c>
      <c r="E50" s="37">
        <f>'2019_Download_5-1-1'!F59</f>
        <v>100.92941999999999</v>
      </c>
    </row>
    <row r="51" spans="1:5" x14ac:dyDescent="0.2">
      <c r="A51" s="10">
        <f>'2019_Download_5-1-1'!C60</f>
        <v>2015</v>
      </c>
      <c r="B51" s="38" t="str">
        <f>'2019_Download_5-1-1'!B60</f>
        <v>Verkehr und Lagerei; Information und Kommunikation</v>
      </c>
      <c r="C51" s="10" t="str">
        <f>'2019_Download_5-1-1'!$F$8</f>
        <v>Insgesamt</v>
      </c>
      <c r="D51" s="37" t="s">
        <v>87</v>
      </c>
      <c r="E51" s="37">
        <f>'2019_Download_5-1-1'!F60</f>
        <v>44.845500000000001</v>
      </c>
    </row>
    <row r="52" spans="1:5" x14ac:dyDescent="0.2">
      <c r="A52" s="10">
        <f>'2019_Download_5-1-1'!C61</f>
        <v>2015</v>
      </c>
      <c r="B52" s="38" t="str">
        <f>'2019_Download_5-1-1'!B61</f>
        <v>Gastgewerbe</v>
      </c>
      <c r="C52" s="10" t="str">
        <f>'2019_Download_5-1-1'!$F$8</f>
        <v>Insgesamt</v>
      </c>
      <c r="D52" s="37" t="s">
        <v>87</v>
      </c>
      <c r="E52" s="37">
        <f>'2019_Download_5-1-1'!F61</f>
        <v>48.023910000000001</v>
      </c>
    </row>
    <row r="53" spans="1:5" x14ac:dyDescent="0.2">
      <c r="A53" s="10">
        <f>'2019_Download_5-1-1'!C62</f>
        <v>2015</v>
      </c>
      <c r="B53" s="38" t="str">
        <f>'2019_Download_5-1-1'!B62</f>
        <v>Erbringung von Finanz- und Versicherungsleistungen; Grundstücks- und Wohnungswesen; Freiberufliche, wiss. u. techn. Dienstleistungen; sonst. wirt. Dienstleistungen</v>
      </c>
      <c r="C53" s="10" t="str">
        <f>'2019_Download_5-1-1'!$F$8</f>
        <v>Insgesamt</v>
      </c>
      <c r="D53" s="37" t="s">
        <v>87</v>
      </c>
      <c r="E53" s="37">
        <f>'2019_Download_5-1-1'!F62</f>
        <v>68.128979999999999</v>
      </c>
    </row>
    <row r="54" spans="1:5" x14ac:dyDescent="0.2">
      <c r="A54" s="10">
        <f>'2019_Download_5-1-1'!C63</f>
        <v>2015</v>
      </c>
      <c r="B54" s="38" t="str">
        <f>'2019_Download_5-1-1'!B63</f>
        <v>Öff.Verwaltung, Verteidigung, Sozialversicherung; Erziehung und Unterricht; Gesundheits- und Sozialwesen</v>
      </c>
      <c r="C54" s="10" t="str">
        <f>'2019_Download_5-1-1'!$F$8</f>
        <v>Insgesamt</v>
      </c>
      <c r="D54" s="37" t="s">
        <v>87</v>
      </c>
      <c r="E54" s="37">
        <f>'2019_Download_5-1-1'!F63</f>
        <v>118.23508</v>
      </c>
    </row>
    <row r="55" spans="1:5" x14ac:dyDescent="0.2">
      <c r="A55" s="10">
        <f>'2019_Download_5-1-1'!C64</f>
        <v>2015</v>
      </c>
      <c r="B55" s="38" t="str">
        <f>'2019_Download_5-1-1'!B64</f>
        <v>Kunst, Unterhaltung und Erholung; Erbringung von sonstigen Dienstleistungen</v>
      </c>
      <c r="C55" s="10" t="str">
        <f>'2019_Download_5-1-1'!$F$8</f>
        <v>Insgesamt</v>
      </c>
      <c r="D55" s="37" t="s">
        <v>87</v>
      </c>
      <c r="E55" s="37">
        <f>'2019_Download_5-1-1'!F64</f>
        <v>28.683979999999998</v>
      </c>
    </row>
    <row r="56" spans="1:5" x14ac:dyDescent="0.2">
      <c r="A56" s="10">
        <f>'2019_Download_5-1-1'!C65</f>
        <v>2015</v>
      </c>
      <c r="B56" s="38" t="str">
        <f>'2019_Download_5-1-1'!B65</f>
        <v>Insgesamt (inkl. sonstiger Abschnitte)</v>
      </c>
      <c r="C56" s="10" t="str">
        <f>'2019_Download_5-1-1'!$F$8</f>
        <v>Insgesamt</v>
      </c>
      <c r="D56" s="37" t="s">
        <v>87</v>
      </c>
      <c r="E56" s="37">
        <f>'2019_Download_5-1-1'!F65</f>
        <v>617.30962999999997</v>
      </c>
    </row>
    <row r="57" spans="1:5" x14ac:dyDescent="0.2">
      <c r="A57" s="10">
        <f>'2019_Download_5-1-1'!C66</f>
        <v>2014</v>
      </c>
      <c r="B57" s="38" t="str">
        <f>'2019_Download_5-1-1'!B66</f>
        <v>Land- und Forstwirtschaft, Fischerei</v>
      </c>
      <c r="C57" s="10" t="str">
        <f>'2019_Download_5-1-1'!$F$8</f>
        <v>Insgesamt</v>
      </c>
      <c r="D57" s="37" t="s">
        <v>87</v>
      </c>
      <c r="E57" s="37">
        <f>'2019_Download_5-1-1'!F66</f>
        <v>9.6180900000000005</v>
      </c>
    </row>
    <row r="58" spans="1:5" x14ac:dyDescent="0.2">
      <c r="A58" s="10">
        <f>'2019_Download_5-1-1'!C67</f>
        <v>2014</v>
      </c>
      <c r="B58" s="38" t="str">
        <f>'2019_Download_5-1-1'!B67</f>
        <v>Bergbau und Gewinnung von Steinen und Erden; Verarbeitendes Gewerbe</v>
      </c>
      <c r="C58" s="10" t="str">
        <f>'2019_Download_5-1-1'!$F$8</f>
        <v>Insgesamt</v>
      </c>
      <c r="D58" s="37" t="s">
        <v>87</v>
      </c>
      <c r="E58" s="37">
        <f>'2019_Download_5-1-1'!F67</f>
        <v>134.37870000000001</v>
      </c>
    </row>
    <row r="59" spans="1:5" x14ac:dyDescent="0.2">
      <c r="A59" s="10">
        <f>'2019_Download_5-1-1'!C68</f>
        <v>2014</v>
      </c>
      <c r="B59" s="38" t="str">
        <f>'2019_Download_5-1-1'!B68</f>
        <v>Energieversorgung; Wasserversorgung, Entsorg., Beseitig. v. Umweltverschmutzungen</v>
      </c>
      <c r="C59" s="10" t="str">
        <f>'2019_Download_5-1-1'!$F$8</f>
        <v>Insgesamt</v>
      </c>
      <c r="D59" s="37" t="s">
        <v>87</v>
      </c>
      <c r="E59" s="37">
        <f>'2019_Download_5-1-1'!F68</f>
        <v>6.8612000000000002</v>
      </c>
    </row>
    <row r="60" spans="1:5" x14ac:dyDescent="0.2">
      <c r="A60" s="10">
        <f>'2019_Download_5-1-1'!C69</f>
        <v>2014</v>
      </c>
      <c r="B60" s="38" t="str">
        <f>'2019_Download_5-1-1'!B69</f>
        <v>Baugewerbe</v>
      </c>
      <c r="C60" s="10" t="str">
        <f>'2019_Download_5-1-1'!$F$8</f>
        <v>Insgesamt</v>
      </c>
      <c r="D60" s="37" t="s">
        <v>87</v>
      </c>
      <c r="E60" s="37">
        <f>'2019_Download_5-1-1'!F69</f>
        <v>47.164670000000001</v>
      </c>
    </row>
    <row r="61" spans="1:5" x14ac:dyDescent="0.2">
      <c r="A61" s="10">
        <f>'2019_Download_5-1-1'!C70</f>
        <v>2014</v>
      </c>
      <c r="B61" s="38" t="str">
        <f>'2019_Download_5-1-1'!B70</f>
        <v>Handel, Instandhaltung und Reparatur von Kfz</v>
      </c>
      <c r="C61" s="10" t="str">
        <f>'2019_Download_5-1-1'!$F$8</f>
        <v>Insgesamt</v>
      </c>
      <c r="D61" s="37" t="s">
        <v>87</v>
      </c>
      <c r="E61" s="37">
        <f>'2019_Download_5-1-1'!F70</f>
        <v>98.409369999999996</v>
      </c>
    </row>
    <row r="62" spans="1:5" x14ac:dyDescent="0.2">
      <c r="A62" s="10">
        <f>'2019_Download_5-1-1'!C71</f>
        <v>2014</v>
      </c>
      <c r="B62" s="38" t="str">
        <f>'2019_Download_5-1-1'!B71</f>
        <v>Verkehr und Lagerei; Information und Kommunikation</v>
      </c>
      <c r="C62" s="10" t="str">
        <f>'2019_Download_5-1-1'!$F$8</f>
        <v>Insgesamt</v>
      </c>
      <c r="D62" s="37" t="s">
        <v>87</v>
      </c>
      <c r="E62" s="37">
        <f>'2019_Download_5-1-1'!F71</f>
        <v>41.793819999999997</v>
      </c>
    </row>
    <row r="63" spans="1:5" x14ac:dyDescent="0.2">
      <c r="A63" s="10">
        <f>'2019_Download_5-1-1'!C72</f>
        <v>2014</v>
      </c>
      <c r="B63" s="38" t="str">
        <f>'2019_Download_5-1-1'!B72</f>
        <v>Gastgewerbe</v>
      </c>
      <c r="C63" s="10" t="str">
        <f>'2019_Download_5-1-1'!$F$8</f>
        <v>Insgesamt</v>
      </c>
      <c r="D63" s="37" t="s">
        <v>87</v>
      </c>
      <c r="E63" s="37">
        <f>'2019_Download_5-1-1'!F72</f>
        <v>43.576180000000001</v>
      </c>
    </row>
    <row r="64" spans="1:5" x14ac:dyDescent="0.2">
      <c r="A64" s="10">
        <f>'2019_Download_5-1-1'!C73</f>
        <v>2014</v>
      </c>
      <c r="B64" s="38" t="str">
        <f>'2019_Download_5-1-1'!B73</f>
        <v>Erbringung von Finanz- und Versicherungsleistungen; Grundstücks- und Wohnungswesen; Freiberufliche, wiss. u. techn. Dienstleistungen; sonst. wirt. Dienstleistungen</v>
      </c>
      <c r="C64" s="10" t="str">
        <f>'2019_Download_5-1-1'!$F$8</f>
        <v>Insgesamt</v>
      </c>
      <c r="D64" s="37" t="s">
        <v>87</v>
      </c>
      <c r="E64" s="37">
        <f>'2019_Download_5-1-1'!F73</f>
        <v>67.510689999999997</v>
      </c>
    </row>
    <row r="65" spans="1:5" x14ac:dyDescent="0.2">
      <c r="A65" s="10">
        <f>'2019_Download_5-1-1'!C74</f>
        <v>2014</v>
      </c>
      <c r="B65" s="38" t="str">
        <f>'2019_Download_5-1-1'!B74</f>
        <v>ÖffentlicheVerwaltung, Verteidigung, Sozialversicherung; Erziehung und Unterricht; Gesundheits- und Sozialwesen</v>
      </c>
      <c r="C65" s="10" t="str">
        <f>'2019_Download_5-1-1'!$F$8</f>
        <v>Insgesamt</v>
      </c>
      <c r="D65" s="37" t="s">
        <v>87</v>
      </c>
      <c r="E65" s="37">
        <f>'2019_Download_5-1-1'!F74</f>
        <v>115.81437</v>
      </c>
    </row>
    <row r="66" spans="1:5" x14ac:dyDescent="0.2">
      <c r="A66" s="10">
        <f>'2019_Download_5-1-1'!C75</f>
        <v>2014</v>
      </c>
      <c r="B66" s="38" t="str">
        <f>'2019_Download_5-1-1'!B75</f>
        <v>Kunst, Unterhaltung und Erholung; Erbringung von sonstigen Dienstleistungen</v>
      </c>
      <c r="C66" s="10" t="str">
        <f>'2019_Download_5-1-1'!$F$8</f>
        <v>Insgesamt</v>
      </c>
      <c r="D66" s="37" t="s">
        <v>87</v>
      </c>
      <c r="E66" s="37">
        <f>'2019_Download_5-1-1'!F75</f>
        <v>28.582159999999998</v>
      </c>
    </row>
    <row r="67" spans="1:5" x14ac:dyDescent="0.2">
      <c r="A67" s="10">
        <f>'2019_Download_5-1-1'!C76</f>
        <v>2014</v>
      </c>
      <c r="B67" s="38" t="str">
        <f>'2019_Download_5-1-1'!B76</f>
        <v>Insgesamt (inkl. sonstiger Abschnitte)</v>
      </c>
      <c r="C67" s="10" t="str">
        <f>'2019_Download_5-1-1'!$F$8</f>
        <v>Insgesamt</v>
      </c>
      <c r="D67" s="37" t="s">
        <v>87</v>
      </c>
      <c r="E67" s="37">
        <f>'2019_Download_5-1-1'!F76</f>
        <v>599.41700000000003</v>
      </c>
    </row>
    <row r="68" spans="1:5" x14ac:dyDescent="0.2">
      <c r="A68" s="10">
        <f>'2019_Download_5-1-1'!C77</f>
        <v>2013</v>
      </c>
      <c r="B68" s="38" t="str">
        <f>'2019_Download_5-1-1'!B77</f>
        <v>Land- und Forstwirtschaft, Fischerei</v>
      </c>
      <c r="C68" s="10" t="str">
        <f>'2019_Download_5-1-1'!$F$8</f>
        <v>Insgesamt</v>
      </c>
      <c r="D68" s="37" t="s">
        <v>87</v>
      </c>
      <c r="E68" s="37">
        <f>'2019_Download_5-1-1'!F77</f>
        <v>8.1222899999999996</v>
      </c>
    </row>
    <row r="69" spans="1:5" x14ac:dyDescent="0.2">
      <c r="A69" s="10">
        <f>'2019_Download_5-1-1'!C78</f>
        <v>2013</v>
      </c>
      <c r="B69" s="38" t="str">
        <f>'2019_Download_5-1-1'!B78</f>
        <v>Bergbau und Gewinnung von Steinen und Erden; Verarbeitendes Gewerbe</v>
      </c>
      <c r="C69" s="10" t="str">
        <f>'2019_Download_5-1-1'!$F$8</f>
        <v>Insgesamt</v>
      </c>
      <c r="D69" s="37" t="s">
        <v>87</v>
      </c>
      <c r="E69" s="37">
        <f>'2019_Download_5-1-1'!F78</f>
        <v>129.34106</v>
      </c>
    </row>
    <row r="70" spans="1:5" x14ac:dyDescent="0.2">
      <c r="A70" s="10">
        <f>'2019_Download_5-1-1'!C79</f>
        <v>2013</v>
      </c>
      <c r="B70" s="38" t="str">
        <f>'2019_Download_5-1-1'!B79</f>
        <v>Energieversorgung; Wasserversorgung, Entsorg., Beseitig. v. Umweltverschmutzungen</v>
      </c>
      <c r="C70" s="10" t="str">
        <f>'2019_Download_5-1-1'!$F$8</f>
        <v>Insgesamt</v>
      </c>
      <c r="D70" s="37" t="s">
        <v>87</v>
      </c>
      <c r="E70" s="37">
        <f>'2019_Download_5-1-1'!F79</f>
        <v>7.4768699999999999</v>
      </c>
    </row>
    <row r="71" spans="1:5" x14ac:dyDescent="0.2">
      <c r="A71" s="10">
        <f>'2019_Download_5-1-1'!C80</f>
        <v>2013</v>
      </c>
      <c r="B71" s="38" t="str">
        <f>'2019_Download_5-1-1'!B80</f>
        <v>Baugewerbe</v>
      </c>
      <c r="C71" s="10" t="str">
        <f>'2019_Download_5-1-1'!$F$8</f>
        <v>Insgesamt</v>
      </c>
      <c r="D71" s="37" t="s">
        <v>87</v>
      </c>
      <c r="E71" s="37">
        <f>'2019_Download_5-1-1'!F80</f>
        <v>44.42089</v>
      </c>
    </row>
    <row r="72" spans="1:5" x14ac:dyDescent="0.2">
      <c r="A72" s="10">
        <f>'2019_Download_5-1-1'!C81</f>
        <v>2013</v>
      </c>
      <c r="B72" s="38" t="str">
        <f>'2019_Download_5-1-1'!B81</f>
        <v>Handel, Instandhaltung und Reparatur von Kfz</v>
      </c>
      <c r="C72" s="10" t="str">
        <f>'2019_Download_5-1-1'!$F$8</f>
        <v>Insgesamt</v>
      </c>
      <c r="D72" s="37" t="s">
        <v>87</v>
      </c>
      <c r="E72" s="37">
        <f>'2019_Download_5-1-1'!F81</f>
        <v>102.08666000000001</v>
      </c>
    </row>
    <row r="73" spans="1:5" x14ac:dyDescent="0.2">
      <c r="A73" s="10">
        <f>'2019_Download_5-1-1'!C82</f>
        <v>2013</v>
      </c>
      <c r="B73" s="38" t="str">
        <f>'2019_Download_5-1-1'!B82</f>
        <v>Verkehr und Lagerei; Information und Kommunikation</v>
      </c>
      <c r="C73" s="10" t="str">
        <f>'2019_Download_5-1-1'!$F$8</f>
        <v>Insgesamt</v>
      </c>
      <c r="D73" s="37" t="s">
        <v>87</v>
      </c>
      <c r="E73" s="37">
        <f>'2019_Download_5-1-1'!F82</f>
        <v>42.454999999999998</v>
      </c>
    </row>
    <row r="74" spans="1:5" x14ac:dyDescent="0.2">
      <c r="A74" s="10">
        <f>'2019_Download_5-1-1'!C83</f>
        <v>2013</v>
      </c>
      <c r="B74" s="38" t="str">
        <f>'2019_Download_5-1-1'!B83</f>
        <v>Gastgewerbe</v>
      </c>
      <c r="C74" s="10" t="str">
        <f>'2019_Download_5-1-1'!$F$8</f>
        <v>Insgesamt</v>
      </c>
      <c r="D74" s="37" t="s">
        <v>87</v>
      </c>
      <c r="E74" s="37">
        <f>'2019_Download_5-1-1'!F83</f>
        <v>47.839080000000003</v>
      </c>
    </row>
    <row r="75" spans="1:5" x14ac:dyDescent="0.2">
      <c r="A75" s="10">
        <f>'2019_Download_5-1-1'!C84</f>
        <v>2013</v>
      </c>
      <c r="B75" s="38" t="str">
        <f>'2019_Download_5-1-1'!B84</f>
        <v>Erbringung von Finanz- und Versicherungsleistungen; Grundstücks- und Wohnungswesen; Freiberufliche, wiss. u. techn. Dienstleistungen; sonst. wirt. Dienstleistungen</v>
      </c>
      <c r="C75" s="10" t="str">
        <f>'2019_Download_5-1-1'!$F$8</f>
        <v>Insgesamt</v>
      </c>
      <c r="D75" s="37" t="s">
        <v>87</v>
      </c>
      <c r="E75" s="37">
        <f>'2019_Download_5-1-1'!F84</f>
        <v>71.117670000000004</v>
      </c>
    </row>
    <row r="76" spans="1:5" x14ac:dyDescent="0.2">
      <c r="A76" s="10">
        <f>'2019_Download_5-1-1'!C85</f>
        <v>2013</v>
      </c>
      <c r="B76" s="38" t="str">
        <f>'2019_Download_5-1-1'!B85</f>
        <v>ÖffentlicheVerwaltung, Verteidigung, Sozialversicherung; Erziehung und Unterricht; Gesundheits- und Sozialwesen</v>
      </c>
      <c r="C76" s="10" t="str">
        <f>'2019_Download_5-1-1'!$F$8</f>
        <v>Insgesamt</v>
      </c>
      <c r="D76" s="37" t="s">
        <v>87</v>
      </c>
      <c r="E76" s="37">
        <f>'2019_Download_5-1-1'!F85</f>
        <v>111.62260999999999</v>
      </c>
    </row>
    <row r="77" spans="1:5" x14ac:dyDescent="0.2">
      <c r="A77" s="10">
        <f>'2019_Download_5-1-1'!C86</f>
        <v>2013</v>
      </c>
      <c r="B77" s="38" t="str">
        <f>'2019_Download_5-1-1'!B86</f>
        <v>Kunst, Unterhaltung und Erholung; Erbringung von sonstigen Dienstleistungen</v>
      </c>
      <c r="C77" s="10" t="str">
        <f>'2019_Download_5-1-1'!$F$8</f>
        <v>Insgesamt</v>
      </c>
      <c r="D77" s="37" t="s">
        <v>87</v>
      </c>
      <c r="E77" s="37">
        <f>'2019_Download_5-1-1'!F86</f>
        <v>30.32854</v>
      </c>
    </row>
    <row r="78" spans="1:5" x14ac:dyDescent="0.2">
      <c r="A78" s="10">
        <f>'2019_Download_5-1-1'!C87</f>
        <v>2013</v>
      </c>
      <c r="B78" s="38" t="str">
        <f>'2019_Download_5-1-1'!B87</f>
        <v>Insgesamt (inkl. sonstiger Abschnitte)</v>
      </c>
      <c r="C78" s="10" t="str">
        <f>'2019_Download_5-1-1'!$F$8</f>
        <v>Insgesamt</v>
      </c>
      <c r="D78" s="37" t="s">
        <v>87</v>
      </c>
      <c r="E78" s="37">
        <f>'2019_Download_5-1-1'!F87</f>
        <v>600.97931000000005</v>
      </c>
    </row>
    <row r="79" spans="1:5" x14ac:dyDescent="0.2">
      <c r="A79" s="10">
        <f>'2019_Download_5-1-1'!C88</f>
        <v>2012</v>
      </c>
      <c r="B79" s="38" t="str">
        <f>'2019_Download_5-1-1'!B88</f>
        <v>Land- und Forstwirtschaft, Fischerei</v>
      </c>
      <c r="C79" s="10" t="str">
        <f>'2019_Download_5-1-1'!$F$8</f>
        <v>Insgesamt</v>
      </c>
      <c r="D79" s="37" t="s">
        <v>87</v>
      </c>
      <c r="E79" s="37">
        <f>'2019_Download_5-1-1'!F88</f>
        <v>7.1029499999999999</v>
      </c>
    </row>
    <row r="80" spans="1:5" x14ac:dyDescent="0.2">
      <c r="A80" s="10">
        <f>'2019_Download_5-1-1'!C89</f>
        <v>2012</v>
      </c>
      <c r="B80" s="38" t="str">
        <f>'2019_Download_5-1-1'!B89</f>
        <v>Bergbau und Gewinnung von Steinen und Erden; Verarbeitendes Gewerbe</v>
      </c>
      <c r="C80" s="10" t="str">
        <f>'2019_Download_5-1-1'!$F$8</f>
        <v>Insgesamt</v>
      </c>
      <c r="D80" s="37" t="s">
        <v>87</v>
      </c>
      <c r="E80" s="37">
        <f>'2019_Download_5-1-1'!F89</f>
        <v>131.66735999999997</v>
      </c>
    </row>
    <row r="81" spans="1:5" x14ac:dyDescent="0.2">
      <c r="A81" s="10">
        <f>'2019_Download_5-1-1'!C90</f>
        <v>2012</v>
      </c>
      <c r="B81" s="38" t="str">
        <f>'2019_Download_5-1-1'!B90</f>
        <v>Energieversorgung; Wasserversorgung, Entsorg., Beseitig. v. Umweltverschmutzungen</v>
      </c>
      <c r="C81" s="10" t="str">
        <f>'2019_Download_5-1-1'!$F$8</f>
        <v>Insgesamt</v>
      </c>
      <c r="D81" s="37" t="s">
        <v>87</v>
      </c>
      <c r="E81" s="37">
        <f>'2019_Download_5-1-1'!F90</f>
        <v>6.7076599999999997</v>
      </c>
    </row>
    <row r="82" spans="1:5" x14ac:dyDescent="0.2">
      <c r="A82" s="10">
        <f>'2019_Download_5-1-1'!C91</f>
        <v>2012</v>
      </c>
      <c r="B82" s="38" t="str">
        <f>'2019_Download_5-1-1'!B91</f>
        <v>Baugewerbe</v>
      </c>
      <c r="C82" s="10" t="str">
        <f>'2019_Download_5-1-1'!$F$8</f>
        <v>Insgesamt</v>
      </c>
      <c r="D82" s="37" t="s">
        <v>87</v>
      </c>
      <c r="E82" s="37">
        <f>'2019_Download_5-1-1'!F91</f>
        <v>40.429690000000001</v>
      </c>
    </row>
    <row r="83" spans="1:5" x14ac:dyDescent="0.2">
      <c r="A83" s="10">
        <f>'2019_Download_5-1-1'!C92</f>
        <v>2012</v>
      </c>
      <c r="B83" s="38" t="str">
        <f>'2019_Download_5-1-1'!B92</f>
        <v>Handel, Instandhaltung und Reparatur von Kfz</v>
      </c>
      <c r="C83" s="10" t="str">
        <f>'2019_Download_5-1-1'!$F$8</f>
        <v>Insgesamt</v>
      </c>
      <c r="D83" s="37" t="s">
        <v>87</v>
      </c>
      <c r="E83" s="37">
        <f>'2019_Download_5-1-1'!F92</f>
        <v>83.402509999999992</v>
      </c>
    </row>
    <row r="84" spans="1:5" x14ac:dyDescent="0.2">
      <c r="A84" s="10">
        <f>'2019_Download_5-1-1'!C93</f>
        <v>2012</v>
      </c>
      <c r="B84" s="38" t="str">
        <f>'2019_Download_5-1-1'!B93</f>
        <v>Verkehr und Lagerei; Information und Kommunikation</v>
      </c>
      <c r="C84" s="10" t="str">
        <f>'2019_Download_5-1-1'!$F$8</f>
        <v>Insgesamt</v>
      </c>
      <c r="D84" s="37" t="s">
        <v>87</v>
      </c>
      <c r="E84" s="37">
        <f>'2019_Download_5-1-1'!F93</f>
        <v>39.509610000000002</v>
      </c>
    </row>
    <row r="85" spans="1:5" x14ac:dyDescent="0.2">
      <c r="A85" s="10">
        <f>'2019_Download_5-1-1'!C94</f>
        <v>2012</v>
      </c>
      <c r="B85" s="38" t="str">
        <f>'2019_Download_5-1-1'!B94</f>
        <v>Gastgewerbe</v>
      </c>
      <c r="C85" s="10" t="str">
        <f>'2019_Download_5-1-1'!$F$8</f>
        <v>Insgesamt</v>
      </c>
      <c r="D85" s="37" t="s">
        <v>87</v>
      </c>
      <c r="E85" s="37">
        <f>'2019_Download_5-1-1'!F94</f>
        <v>45.348269999999999</v>
      </c>
    </row>
    <row r="86" spans="1:5" x14ac:dyDescent="0.2">
      <c r="A86" s="10">
        <f>'2019_Download_5-1-1'!C95</f>
        <v>2012</v>
      </c>
      <c r="B86" s="38" t="str">
        <f>'2019_Download_5-1-1'!B95</f>
        <v>Erbringung von Finanz- und Versicherungsleistungen; Grundstücks- und Wohnungswesen; Freiberufliche, wiss. u. techn. Dienstleistungen; sonst. wirt. Dienstleistungen</v>
      </c>
      <c r="C86" s="10" t="str">
        <f>'2019_Download_5-1-1'!$F$8</f>
        <v>Insgesamt</v>
      </c>
      <c r="D86" s="37" t="s">
        <v>87</v>
      </c>
      <c r="E86" s="37">
        <f>'2019_Download_5-1-1'!F95</f>
        <v>64.83805000000001</v>
      </c>
    </row>
    <row r="87" spans="1:5" x14ac:dyDescent="0.2">
      <c r="A87" s="10">
        <f>'2019_Download_5-1-1'!C96</f>
        <v>2012</v>
      </c>
      <c r="B87" s="38" t="str">
        <f>'2019_Download_5-1-1'!B96</f>
        <v>Öff.Verwaltung, Verteidigung, Sozialversicherung; Erziehung und Unterricht; Gesundheits- und Sozialwesen</v>
      </c>
      <c r="C87" s="10" t="str">
        <f>'2019_Download_5-1-1'!$F$8</f>
        <v>Insgesamt</v>
      </c>
      <c r="D87" s="37" t="s">
        <v>87</v>
      </c>
      <c r="E87" s="37">
        <f>'2019_Download_5-1-1'!F96</f>
        <v>107.72747</v>
      </c>
    </row>
    <row r="88" spans="1:5" x14ac:dyDescent="0.2">
      <c r="A88" s="10">
        <f>'2019_Download_5-1-1'!C97</f>
        <v>2012</v>
      </c>
      <c r="B88" s="38" t="str">
        <f>'2019_Download_5-1-1'!B97</f>
        <v>Kunst, Unterhaltung und Erholung; Erbringung von sonstigen Dienstleistungen</v>
      </c>
      <c r="C88" s="10" t="str">
        <f>'2019_Download_5-1-1'!$F$8</f>
        <v>Insgesamt</v>
      </c>
      <c r="D88" s="37" t="s">
        <v>87</v>
      </c>
      <c r="E88" s="37">
        <f>'2019_Download_5-1-1'!F97</f>
        <v>31.068000000000001</v>
      </c>
    </row>
    <row r="89" spans="1:5" x14ac:dyDescent="0.2">
      <c r="A89" s="10">
        <f>'2019_Download_5-1-1'!C98</f>
        <v>2012</v>
      </c>
      <c r="B89" s="38" t="str">
        <f>'2019_Download_5-1-1'!B98</f>
        <v>Insgesamt (inkl. sonstiger Abschnitte)</v>
      </c>
      <c r="C89" s="10" t="str">
        <f>'2019_Download_5-1-1'!$F$8</f>
        <v>Insgesamt</v>
      </c>
      <c r="D89" s="37" t="s">
        <v>87</v>
      </c>
      <c r="E89" s="37">
        <f>'2019_Download_5-1-1'!F98</f>
        <v>565.63010999999995</v>
      </c>
    </row>
    <row r="90" spans="1:5" x14ac:dyDescent="0.2">
      <c r="A90" s="10">
        <f>'2019_Download_5-1-1'!C99</f>
        <v>2011</v>
      </c>
      <c r="B90" s="38" t="str">
        <f>'2019_Download_5-1-1'!B99</f>
        <v>Land- und Forstwirtschaft, Fischerei</v>
      </c>
      <c r="C90" s="10" t="str">
        <f>'2019_Download_5-1-1'!$F$8</f>
        <v>Insgesamt</v>
      </c>
      <c r="D90" s="37" t="s">
        <v>87</v>
      </c>
      <c r="E90" s="37">
        <f>'2019_Download_5-1-1'!F99</f>
        <v>9.8370099999999994</v>
      </c>
    </row>
    <row r="91" spans="1:5" x14ac:dyDescent="0.2">
      <c r="A91" s="10">
        <f>'2019_Download_5-1-1'!C100</f>
        <v>2011</v>
      </c>
      <c r="B91" s="38" t="str">
        <f>'2019_Download_5-1-1'!B100</f>
        <v>Bergbau und Gewinnung von Steinen und Erden; Verarbeitendes Gewerbe</v>
      </c>
      <c r="C91" s="10" t="str">
        <f>'2019_Download_5-1-1'!$F$8</f>
        <v>Insgesamt</v>
      </c>
      <c r="D91" s="37" t="s">
        <v>87</v>
      </c>
      <c r="E91" s="37">
        <f>'2019_Download_5-1-1'!F100</f>
        <v>127.25463000000001</v>
      </c>
    </row>
    <row r="92" spans="1:5" x14ac:dyDescent="0.2">
      <c r="A92" s="10">
        <f>'2019_Download_5-1-1'!C101</f>
        <v>2011</v>
      </c>
      <c r="B92" s="38" t="str">
        <f>'2019_Download_5-1-1'!B101</f>
        <v>Energieversorgung; Wasserversorgung, Entsorg., Beseitig. v. Umweltverschmutzungen</v>
      </c>
      <c r="C92" s="10" t="str">
        <f>'2019_Download_5-1-1'!$F$8</f>
        <v>Insgesamt</v>
      </c>
      <c r="D92" s="37" t="s">
        <v>87</v>
      </c>
      <c r="E92" s="37">
        <f>'2019_Download_5-1-1'!F101</f>
        <v>7.4378900000000003</v>
      </c>
    </row>
    <row r="93" spans="1:5" x14ac:dyDescent="0.2">
      <c r="A93" s="10">
        <f>'2019_Download_5-1-1'!C102</f>
        <v>2011</v>
      </c>
      <c r="B93" s="38" t="str">
        <f>'2019_Download_5-1-1'!B102</f>
        <v>Baugewerbe</v>
      </c>
      <c r="C93" s="10" t="str">
        <f>'2019_Download_5-1-1'!$F$8</f>
        <v>Insgesamt</v>
      </c>
      <c r="D93" s="37" t="s">
        <v>87</v>
      </c>
      <c r="E93" s="37">
        <f>'2019_Download_5-1-1'!F102</f>
        <v>41.391580000000005</v>
      </c>
    </row>
    <row r="94" spans="1:5" x14ac:dyDescent="0.2">
      <c r="A94" s="10">
        <f>'2019_Download_5-1-1'!C103</f>
        <v>2011</v>
      </c>
      <c r="B94" s="38" t="str">
        <f>'2019_Download_5-1-1'!B103</f>
        <v>Handel, Instandhaltung und Reparatur von Kfz</v>
      </c>
      <c r="C94" s="10" t="str">
        <f>'2019_Download_5-1-1'!$F$8</f>
        <v>Insgesamt</v>
      </c>
      <c r="D94" s="37" t="s">
        <v>87</v>
      </c>
      <c r="E94" s="37">
        <f>'2019_Download_5-1-1'!F103</f>
        <v>86.493110000000001</v>
      </c>
    </row>
    <row r="95" spans="1:5" x14ac:dyDescent="0.2">
      <c r="A95" s="10">
        <f>'2019_Download_5-1-1'!C104</f>
        <v>2011</v>
      </c>
      <c r="B95" s="38" t="str">
        <f>'2019_Download_5-1-1'!B104</f>
        <v>Verkehr und Lagerei; Information und Kommunikation</v>
      </c>
      <c r="C95" s="10" t="str">
        <f>'2019_Download_5-1-1'!$F$8</f>
        <v>Insgesamt</v>
      </c>
      <c r="D95" s="37" t="s">
        <v>87</v>
      </c>
      <c r="E95" s="37">
        <f>'2019_Download_5-1-1'!F104</f>
        <v>35.643279999999997</v>
      </c>
    </row>
    <row r="96" spans="1:5" x14ac:dyDescent="0.2">
      <c r="A96" s="10">
        <f>'2019_Download_5-1-1'!C105</f>
        <v>2011</v>
      </c>
      <c r="B96" s="38" t="str">
        <f>'2019_Download_5-1-1'!B105</f>
        <v>Gastgewerbe</v>
      </c>
      <c r="C96" s="10" t="str">
        <f>'2019_Download_5-1-1'!$F$8</f>
        <v>Insgesamt</v>
      </c>
      <c r="D96" s="37" t="s">
        <v>87</v>
      </c>
      <c r="E96" s="37">
        <f>'2019_Download_5-1-1'!F105</f>
        <v>43.460500000000003</v>
      </c>
    </row>
    <row r="97" spans="1:5" x14ac:dyDescent="0.2">
      <c r="A97" s="10">
        <f>'2019_Download_5-1-1'!C106</f>
        <v>2011</v>
      </c>
      <c r="B97" s="38" t="str">
        <f>'2019_Download_5-1-1'!B106</f>
        <v>Erbringung von Finanz- und Versicherungsleistungen; Grundstücks- und Wohnungswesen; Freiberufliche, wiss. u. techn. Dienstleistungen; sonst. wirt. Dienstleistungen</v>
      </c>
      <c r="C97" s="10" t="str">
        <f>'2019_Download_5-1-1'!$F$8</f>
        <v>Insgesamt</v>
      </c>
      <c r="D97" s="37" t="s">
        <v>87</v>
      </c>
      <c r="E97" s="37">
        <f>'2019_Download_5-1-1'!F106</f>
        <v>65.770049999999998</v>
      </c>
    </row>
    <row r="98" spans="1:5" x14ac:dyDescent="0.2">
      <c r="A98" s="10">
        <f>'2019_Download_5-1-1'!C107</f>
        <v>2011</v>
      </c>
      <c r="B98" s="38" t="str">
        <f>'2019_Download_5-1-1'!B107</f>
        <v>Öff.Verwaltung, Verteidigung, Sozialversicherung; Erziehung und Unterricht; Gesundheits- und Sozialwesen</v>
      </c>
      <c r="C98" s="10" t="str">
        <f>'2019_Download_5-1-1'!$F$8</f>
        <v>Insgesamt</v>
      </c>
      <c r="D98" s="37" t="s">
        <v>87</v>
      </c>
      <c r="E98" s="37">
        <f>'2019_Download_5-1-1'!F107</f>
        <v>101.65639</v>
      </c>
    </row>
    <row r="99" spans="1:5" x14ac:dyDescent="0.2">
      <c r="A99" s="10">
        <f>'2019_Download_5-1-1'!C108</f>
        <v>2011</v>
      </c>
      <c r="B99" s="38" t="str">
        <f>'2019_Download_5-1-1'!B108</f>
        <v>Kunst, Unterhaltung und Erholung; Erbringung von sonstigen Dienstleistungen</v>
      </c>
      <c r="C99" s="10" t="str">
        <f>'2019_Download_5-1-1'!$F$8</f>
        <v>Insgesamt</v>
      </c>
      <c r="D99" s="37" t="s">
        <v>87</v>
      </c>
      <c r="E99" s="37">
        <f>'2019_Download_5-1-1'!F108</f>
        <v>23.8918</v>
      </c>
    </row>
    <row r="100" spans="1:5" x14ac:dyDescent="0.2">
      <c r="A100" s="10">
        <f>'2019_Download_5-1-1'!C109</f>
        <v>2011</v>
      </c>
      <c r="B100" s="38" t="str">
        <f>'2019_Download_5-1-1'!B109</f>
        <v>Insgesamt (inkl. sonstiger Abschnitte)</v>
      </c>
      <c r="C100" s="10" t="str">
        <f>'2019_Download_5-1-1'!$F$8</f>
        <v>Insgesamt</v>
      </c>
      <c r="D100" s="37" t="s">
        <v>87</v>
      </c>
      <c r="E100" s="37">
        <f>'2019_Download_5-1-1'!F109</f>
        <v>548.69432999999992</v>
      </c>
    </row>
    <row r="101" spans="1:5" x14ac:dyDescent="0.2">
      <c r="A101" s="10">
        <f>'2019_Download_5-1-1'!C110</f>
        <v>2010</v>
      </c>
      <c r="B101" s="38" t="str">
        <f>'2019_Download_5-1-1'!B110</f>
        <v>Land- und Forstwirtschaft, Fischerei</v>
      </c>
      <c r="C101" s="10" t="str">
        <f>'2019_Download_5-1-1'!$F$8</f>
        <v>Insgesamt</v>
      </c>
      <c r="D101" s="37" t="s">
        <v>87</v>
      </c>
      <c r="E101" s="37">
        <f>'2019_Download_5-1-1'!F110</f>
        <v>7.90266</v>
      </c>
    </row>
    <row r="102" spans="1:5" x14ac:dyDescent="0.2">
      <c r="A102" s="10">
        <f>'2019_Download_5-1-1'!C111</f>
        <v>2010</v>
      </c>
      <c r="B102" s="38" t="str">
        <f>'2019_Download_5-1-1'!B111</f>
        <v>Bergbau und Gewinnung von Steinen und Erden; Verarbeitendes Gewerbe</v>
      </c>
      <c r="C102" s="10" t="str">
        <f>'2019_Download_5-1-1'!$F$8</f>
        <v>Insgesamt</v>
      </c>
      <c r="D102" s="37" t="s">
        <v>87</v>
      </c>
      <c r="E102" s="37">
        <f>'2019_Download_5-1-1'!F111</f>
        <v>129.84918999999999</v>
      </c>
    </row>
    <row r="103" spans="1:5" x14ac:dyDescent="0.2">
      <c r="A103" s="10">
        <f>'2019_Download_5-1-1'!C112</f>
        <v>2010</v>
      </c>
      <c r="B103" s="38" t="str">
        <f>'2019_Download_5-1-1'!B112</f>
        <v>Energieversorgung; Wasserversorgung, Entsorg., Beseitig. v. Umweltverschmutzungen</v>
      </c>
      <c r="C103" s="10" t="str">
        <f>'2019_Download_5-1-1'!$F$8</f>
        <v>Insgesamt</v>
      </c>
      <c r="D103" s="37" t="s">
        <v>87</v>
      </c>
      <c r="E103" s="37">
        <f>'2019_Download_5-1-1'!F112</f>
        <v>6.0895600000000005</v>
      </c>
    </row>
    <row r="104" spans="1:5" x14ac:dyDescent="0.2">
      <c r="A104" s="10">
        <f>'2019_Download_5-1-1'!C113</f>
        <v>2010</v>
      </c>
      <c r="B104" s="38" t="str">
        <f>'2019_Download_5-1-1'!B113</f>
        <v>Baugewerbe</v>
      </c>
      <c r="C104" s="10" t="str">
        <f>'2019_Download_5-1-1'!$F$8</f>
        <v>Insgesamt</v>
      </c>
      <c r="D104" s="37" t="s">
        <v>87</v>
      </c>
      <c r="E104" s="37">
        <f>'2019_Download_5-1-1'!F113</f>
        <v>38.963010000000004</v>
      </c>
    </row>
    <row r="105" spans="1:5" x14ac:dyDescent="0.2">
      <c r="A105" s="10">
        <f>'2019_Download_5-1-1'!C114</f>
        <v>2010</v>
      </c>
      <c r="B105" s="38" t="str">
        <f>'2019_Download_5-1-1'!B114</f>
        <v>Handel, Instandhaltung und Reparatur von Kfz</v>
      </c>
      <c r="C105" s="10" t="str">
        <f>'2019_Download_5-1-1'!$F$8</f>
        <v>Insgesamt</v>
      </c>
      <c r="D105" s="37" t="s">
        <v>87</v>
      </c>
      <c r="E105" s="37">
        <f>'2019_Download_5-1-1'!F114</f>
        <v>83.05167999999999</v>
      </c>
    </row>
    <row r="106" spans="1:5" x14ac:dyDescent="0.2">
      <c r="A106" s="10">
        <f>'2019_Download_5-1-1'!C115</f>
        <v>2010</v>
      </c>
      <c r="B106" s="38" t="str">
        <f>'2019_Download_5-1-1'!B115</f>
        <v>Verkehr und Lagerei; Information und Kommunikation</v>
      </c>
      <c r="C106" s="10" t="str">
        <f>'2019_Download_5-1-1'!$F$8</f>
        <v>Insgesamt</v>
      </c>
      <c r="D106" s="37" t="s">
        <v>87</v>
      </c>
      <c r="E106" s="37">
        <f>'2019_Download_5-1-1'!F115</f>
        <v>36.23751</v>
      </c>
    </row>
    <row r="107" spans="1:5" x14ac:dyDescent="0.2">
      <c r="A107" s="10">
        <f>'2019_Download_5-1-1'!C116</f>
        <v>2010</v>
      </c>
      <c r="B107" s="38" t="str">
        <f>'2019_Download_5-1-1'!B116</f>
        <v>Gastgewerbe</v>
      </c>
      <c r="C107" s="10" t="str">
        <f>'2019_Download_5-1-1'!$F$8</f>
        <v>Insgesamt</v>
      </c>
      <c r="D107" s="37" t="s">
        <v>87</v>
      </c>
      <c r="E107" s="37">
        <f>'2019_Download_5-1-1'!F116</f>
        <v>43.089230000000001</v>
      </c>
    </row>
    <row r="108" spans="1:5" x14ac:dyDescent="0.2">
      <c r="A108" s="10">
        <f>'2019_Download_5-1-1'!C117</f>
        <v>2010</v>
      </c>
      <c r="B108" s="38" t="str">
        <f>'2019_Download_5-1-1'!B117</f>
        <v>Erbringung von Finanz- und Versicherungsleistungen; Grundstücks- und Wohnungswesen; Freiberufliche, wiss. u. techn. Dienstleistungen; sonst. wirt. Dienstleistungen</v>
      </c>
      <c r="C108" s="10" t="str">
        <f>'2019_Download_5-1-1'!$F$8</f>
        <v>Insgesamt</v>
      </c>
      <c r="D108" s="37" t="s">
        <v>87</v>
      </c>
      <c r="E108" s="37">
        <f>'2019_Download_5-1-1'!F117</f>
        <v>66.08847999999999</v>
      </c>
    </row>
    <row r="109" spans="1:5" x14ac:dyDescent="0.2">
      <c r="A109" s="10">
        <f>'2019_Download_5-1-1'!C118</f>
        <v>2010</v>
      </c>
      <c r="B109" s="38" t="str">
        <f>'2019_Download_5-1-1'!B118</f>
        <v>Öff.Verwaltung, Verteidigung, Sozialversicherung; Erziehung und Unterricht; Gesundheits- und Sozialwesen</v>
      </c>
      <c r="C109" s="10" t="str">
        <f>'2019_Download_5-1-1'!$F$8</f>
        <v>Insgesamt</v>
      </c>
      <c r="D109" s="37" t="s">
        <v>87</v>
      </c>
      <c r="E109" s="37">
        <f>'2019_Download_5-1-1'!F118</f>
        <v>110.24489</v>
      </c>
    </row>
    <row r="110" spans="1:5" x14ac:dyDescent="0.2">
      <c r="A110" s="10">
        <f>'2019_Download_5-1-1'!C119</f>
        <v>2010</v>
      </c>
      <c r="B110" s="38" t="str">
        <f>'2019_Download_5-1-1'!B119</f>
        <v>Kunst, Unterhaltung und Erholung; Erbringung von sonstigen Dienstleistungen</v>
      </c>
      <c r="C110" s="10" t="str">
        <f>'2019_Download_5-1-1'!$F$8</f>
        <v>Insgesamt</v>
      </c>
      <c r="D110" s="37" t="s">
        <v>87</v>
      </c>
      <c r="E110" s="37">
        <f>'2019_Download_5-1-1'!F119</f>
        <v>25.877380000000002</v>
      </c>
    </row>
    <row r="111" spans="1:5" x14ac:dyDescent="0.2">
      <c r="A111" s="10">
        <f>'2019_Download_5-1-1'!C120</f>
        <v>2010</v>
      </c>
      <c r="B111" s="38" t="str">
        <f>'2019_Download_5-1-1'!B120</f>
        <v>Insgesamt (inkl. sonstiger Abschnitte)</v>
      </c>
      <c r="C111" s="10" t="str">
        <f>'2019_Download_5-1-1'!$F$8</f>
        <v>Insgesamt</v>
      </c>
      <c r="D111" s="37" t="s">
        <v>87</v>
      </c>
      <c r="E111" s="37">
        <f>'2019_Download_5-1-1'!F120</f>
        <v>553.26731000000007</v>
      </c>
    </row>
    <row r="112" spans="1:5" x14ac:dyDescent="0.2">
      <c r="A112" s="10">
        <f>'2019_Download_5-1-1'!C121</f>
        <v>2005</v>
      </c>
      <c r="B112" s="38" t="str">
        <f>'2019_Download_5-1-1'!B121</f>
        <v>Land- und Forstwirtschaft; Fischerei und Fischzucht</v>
      </c>
      <c r="C112" s="10" t="str">
        <f>'2019_Download_5-1-1'!$F$8</f>
        <v>Insgesamt</v>
      </c>
      <c r="D112" s="37" t="s">
        <v>87</v>
      </c>
      <c r="E112" s="37">
        <f>'2019_Download_5-1-1'!F121</f>
        <v>11.2</v>
      </c>
    </row>
    <row r="113" spans="1:5" x14ac:dyDescent="0.2">
      <c r="A113" s="10">
        <f>'2019_Download_5-1-1'!C122</f>
        <v>2005</v>
      </c>
      <c r="B113" s="38" t="str">
        <f>'2019_Download_5-1-1'!B122</f>
        <v>Bergbau und Gewinnung von Steinen und Erden; Verarbeitendes Gewerbe</v>
      </c>
      <c r="C113" s="10" t="str">
        <f>'2019_Download_5-1-1'!$F$8</f>
        <v>Insgesamt</v>
      </c>
      <c r="D113" s="37" t="s">
        <v>87</v>
      </c>
      <c r="E113" s="37">
        <f>'2019_Download_5-1-1'!F122</f>
        <v>125.5</v>
      </c>
    </row>
    <row r="114" spans="1:5" x14ac:dyDescent="0.2">
      <c r="A114" s="10">
        <f>'2019_Download_5-1-1'!C123</f>
        <v>2005</v>
      </c>
      <c r="B114" s="38" t="str">
        <f>'2019_Download_5-1-1'!B123</f>
        <v>Energie- und Wasserversorgung</v>
      </c>
      <c r="C114" s="10" t="str">
        <f>'2019_Download_5-1-1'!$F$8</f>
        <v>Insgesamt</v>
      </c>
      <c r="D114" s="37" t="s">
        <v>87</v>
      </c>
      <c r="E114" s="37" t="str">
        <f>'2019_Download_5-1-1'!F123</f>
        <v>/</v>
      </c>
    </row>
    <row r="115" spans="1:5" x14ac:dyDescent="0.2">
      <c r="A115" s="10">
        <f>'2019_Download_5-1-1'!C124</f>
        <v>2005</v>
      </c>
      <c r="B115" s="38" t="str">
        <f>'2019_Download_5-1-1'!B124</f>
        <v>Baugewerbe</v>
      </c>
      <c r="C115" s="10" t="str">
        <f>'2019_Download_5-1-1'!$F$8</f>
        <v>Insgesamt</v>
      </c>
      <c r="D115" s="37" t="s">
        <v>87</v>
      </c>
      <c r="E115" s="37">
        <f>'2019_Download_5-1-1'!F124</f>
        <v>30.2</v>
      </c>
    </row>
    <row r="116" spans="1:5" x14ac:dyDescent="0.2">
      <c r="A116" s="10">
        <f>'2019_Download_5-1-1'!C125</f>
        <v>2005</v>
      </c>
      <c r="B116" s="38" t="str">
        <f>'2019_Download_5-1-1'!B125</f>
        <v>Handel; Instandhaltung und Reparatur von Kraftfahrzeugen und Gebrauchsgütern</v>
      </c>
      <c r="C116" s="10" t="str">
        <f>'2019_Download_5-1-1'!$F$8</f>
        <v>Insgesamt</v>
      </c>
      <c r="D116" s="37" t="s">
        <v>87</v>
      </c>
      <c r="E116" s="37">
        <f>'2019_Download_5-1-1'!F125</f>
        <v>69.099999999999994</v>
      </c>
    </row>
    <row r="117" spans="1:5" x14ac:dyDescent="0.2">
      <c r="A117" s="10">
        <f>'2019_Download_5-1-1'!C126</f>
        <v>2005</v>
      </c>
      <c r="B117" s="38" t="str">
        <f>'2019_Download_5-1-1'!B126</f>
        <v>Gastgewerbe</v>
      </c>
      <c r="C117" s="10" t="str">
        <f>'2019_Download_5-1-1'!$F$8</f>
        <v>Insgesamt</v>
      </c>
      <c r="D117" s="37" t="s">
        <v>87</v>
      </c>
      <c r="E117" s="37">
        <f>'2019_Download_5-1-1'!F126</f>
        <v>43.5</v>
      </c>
    </row>
    <row r="118" spans="1:5" x14ac:dyDescent="0.2">
      <c r="A118" s="10">
        <f>'2019_Download_5-1-1'!C127</f>
        <v>2005</v>
      </c>
      <c r="B118" s="38" t="str">
        <f>'2019_Download_5-1-1'!B127</f>
        <v>Verkehr und Nachrichtenübermittlung</v>
      </c>
      <c r="C118" s="10" t="str">
        <f>'2019_Download_5-1-1'!$F$8</f>
        <v>Insgesamt</v>
      </c>
      <c r="D118" s="37" t="s">
        <v>87</v>
      </c>
      <c r="E118" s="37">
        <f>'2019_Download_5-1-1'!F127</f>
        <v>20.7</v>
      </c>
    </row>
    <row r="119" spans="1:5" x14ac:dyDescent="0.2">
      <c r="A119" s="10">
        <f>'2019_Download_5-1-1'!C128</f>
        <v>2005</v>
      </c>
      <c r="B119" s="38" t="str">
        <f>'2019_Download_5-1-1'!B128</f>
        <v>Kredit- und Versicherungsgewerbe; Grundstücks- und Wohnungswesen, Vermietung beweglicher Sachen, Erbringung von wirt.Dienstleistungen, anderweitig nicht genannt</v>
      </c>
      <c r="C119" s="10" t="str">
        <f>'2019_Download_5-1-1'!$F$8</f>
        <v>Insgesamt</v>
      </c>
      <c r="D119" s="37" t="s">
        <v>87</v>
      </c>
      <c r="E119" s="37">
        <f>'2019_Download_5-1-1'!F128</f>
        <v>37.9</v>
      </c>
    </row>
    <row r="120" spans="1:5" x14ac:dyDescent="0.2">
      <c r="A120" s="10">
        <f>'2019_Download_5-1-1'!C129</f>
        <v>2005</v>
      </c>
      <c r="B120" s="38" t="str">
        <f>'2019_Download_5-1-1'!B129</f>
        <v>Öffentliche Verwaltung, Verteidigung, Sozialversicherung; Erziehung und Unterricht; Gesundheits-, Veterinär- und Sozialwesen</v>
      </c>
      <c r="C120" s="10" t="str">
        <f>'2019_Download_5-1-1'!$F$8</f>
        <v>Insgesamt</v>
      </c>
      <c r="D120" s="37" t="s">
        <v>87</v>
      </c>
      <c r="E120" s="37">
        <f>'2019_Download_5-1-1'!F129</f>
        <v>79.2</v>
      </c>
    </row>
    <row r="121" spans="1:5" x14ac:dyDescent="0.2">
      <c r="A121" s="10">
        <f>'2019_Download_5-1-1'!C130</f>
        <v>2005</v>
      </c>
      <c r="B121" s="38" t="str">
        <f>'2019_Download_5-1-1'!B130</f>
        <v>Erbringung von sonstigen öffentlichen und persönlichen Dienstleistungen</v>
      </c>
      <c r="C121" s="10" t="str">
        <f>'2019_Download_5-1-1'!$F$8</f>
        <v>Insgesamt</v>
      </c>
      <c r="D121" s="37" t="s">
        <v>87</v>
      </c>
      <c r="E121" s="37">
        <f>'2019_Download_5-1-1'!F130</f>
        <v>31.5</v>
      </c>
    </row>
    <row r="122" spans="1:5" x14ac:dyDescent="0.2">
      <c r="A122" s="10">
        <f>'2019_Download_5-1-1'!C131</f>
        <v>2005</v>
      </c>
      <c r="B122" s="38" t="str">
        <f>'2019_Download_5-1-1'!B131</f>
        <v>Insgesamt (inkl. sonstiger Abschnitte)</v>
      </c>
      <c r="C122" s="10" t="str">
        <f>'2019_Download_5-1-1'!$F$8</f>
        <v>Insgesamt</v>
      </c>
      <c r="D122" s="37" t="s">
        <v>87</v>
      </c>
      <c r="E122" s="37">
        <f>'2019_Download_5-1-1'!F131</f>
        <v>455</v>
      </c>
    </row>
    <row r="123" spans="1:5" x14ac:dyDescent="0.2">
      <c r="A123" s="10">
        <f>'2019_Download_5-1-1'!C11</f>
        <v>2019</v>
      </c>
      <c r="B123" s="38" t="str">
        <f>'2019_Download_5-1-1'!B11</f>
        <v>Land- und Forstwirtschaft, Fischerei</v>
      </c>
      <c r="C123" s="10" t="str">
        <f>'2019_Download_5-1-1'!$D$8</f>
        <v>Männer</v>
      </c>
      <c r="D123" s="37" t="s">
        <v>87</v>
      </c>
      <c r="E123" s="37">
        <f>'2019_Download_5-1-1'!D11</f>
        <v>8.0970600000000008</v>
      </c>
    </row>
    <row r="124" spans="1:5" x14ac:dyDescent="0.2">
      <c r="A124" s="10">
        <f>'2019_Download_5-1-1'!C12</f>
        <v>2019</v>
      </c>
      <c r="B124" s="38" t="str">
        <f>'2019_Download_5-1-1'!B12</f>
        <v>Bergbau und Gewinnung von Steinen und Erden; Verarbeitendes Gewerbe</v>
      </c>
      <c r="C124" s="10" t="str">
        <f>'2019_Download_5-1-1'!$D$8</f>
        <v>Männer</v>
      </c>
      <c r="D124" s="37" t="s">
        <v>87</v>
      </c>
      <c r="E124" s="37">
        <f>'2019_Download_5-1-1'!D12</f>
        <v>137.23995000000002</v>
      </c>
    </row>
    <row r="125" spans="1:5" x14ac:dyDescent="0.2">
      <c r="A125" s="10">
        <f>'2019_Download_5-1-1'!C13</f>
        <v>2019</v>
      </c>
      <c r="B125" s="38" t="str">
        <f>'2019_Download_5-1-1'!B13</f>
        <v>Energieversorgung; Wasserversorgung, Entsorg., Beseitig. v. Umweltverschmutzungen</v>
      </c>
      <c r="C125" s="10" t="str">
        <f>'2019_Download_5-1-1'!$D$8</f>
        <v>Männer</v>
      </c>
      <c r="D125" s="37" t="s">
        <v>87</v>
      </c>
      <c r="E125" s="37">
        <f>'2019_Download_5-1-1'!D13</f>
        <v>5.8705400000000001</v>
      </c>
    </row>
    <row r="126" spans="1:5" x14ac:dyDescent="0.2">
      <c r="A126" s="10">
        <f>'2019_Download_5-1-1'!C14</f>
        <v>2019</v>
      </c>
      <c r="B126" s="38" t="str">
        <f>'2019_Download_5-1-1'!B14</f>
        <v>Baugewerbe</v>
      </c>
      <c r="C126" s="10" t="str">
        <f>'2019_Download_5-1-1'!$D$8</f>
        <v>Männer</v>
      </c>
      <c r="D126" s="37" t="s">
        <v>87</v>
      </c>
      <c r="E126" s="37">
        <f>'2019_Download_5-1-1'!D14</f>
        <v>61.42324</v>
      </c>
    </row>
    <row r="127" spans="1:5" x14ac:dyDescent="0.2">
      <c r="A127" s="10">
        <f>'2019_Download_5-1-1'!C15</f>
        <v>2019</v>
      </c>
      <c r="B127" s="38" t="str">
        <f>'2019_Download_5-1-1'!B15</f>
        <v>Handel, Instandhaltung und Reparatur von Kfz</v>
      </c>
      <c r="C127" s="10" t="str">
        <f>'2019_Download_5-1-1'!$D$8</f>
        <v>Männer</v>
      </c>
      <c r="D127" s="37" t="s">
        <v>87</v>
      </c>
      <c r="E127" s="37">
        <f>'2019_Download_5-1-1'!D15</f>
        <v>70.294119999999992</v>
      </c>
    </row>
    <row r="128" spans="1:5" x14ac:dyDescent="0.2">
      <c r="A128" s="10">
        <f>'2019_Download_5-1-1'!C16</f>
        <v>2019</v>
      </c>
      <c r="B128" s="38" t="str">
        <f>'2019_Download_5-1-1'!B16</f>
        <v>Verkehr und Lagerei; Information und Kommunikation</v>
      </c>
      <c r="C128" s="10" t="str">
        <f>'2019_Download_5-1-1'!$D$8</f>
        <v>Männer</v>
      </c>
      <c r="D128" s="37" t="s">
        <v>87</v>
      </c>
      <c r="E128" s="37">
        <f>'2019_Download_5-1-1'!D16</f>
        <v>54.424980000000005</v>
      </c>
    </row>
    <row r="129" spans="1:5" x14ac:dyDescent="0.2">
      <c r="A129" s="10">
        <f>'2019_Download_5-1-1'!C17</f>
        <v>2019</v>
      </c>
      <c r="B129" s="38" t="str">
        <f>'2019_Download_5-1-1'!B17</f>
        <v>Gastgewerbe</v>
      </c>
      <c r="C129" s="10" t="str">
        <f>'2019_Download_5-1-1'!$D$8</f>
        <v>Männer</v>
      </c>
      <c r="D129" s="37" t="s">
        <v>87</v>
      </c>
      <c r="E129" s="37">
        <f>'2019_Download_5-1-1'!D17</f>
        <v>31.728919999999999</v>
      </c>
    </row>
    <row r="130" spans="1:5" x14ac:dyDescent="0.2">
      <c r="A130" s="10">
        <f>'2019_Download_5-1-1'!C18</f>
        <v>2019</v>
      </c>
      <c r="B130" s="38" t="str">
        <f>'2019_Download_5-1-1'!B18</f>
        <v>Erbringung von Finanz- und Versicherungsleistungen; Grundstücks- und Wohnungswesen; Freiberufliche, wiss. u. techn. Dienstleistungen; sonst. wirt. Dienstleistungen</v>
      </c>
      <c r="C130" s="10" t="str">
        <f>'2019_Download_5-1-1'!$D$8</f>
        <v>Männer</v>
      </c>
      <c r="D130" s="37" t="s">
        <v>87</v>
      </c>
      <c r="E130" s="37">
        <f>'2019_Download_5-1-1'!D18</f>
        <v>43.846599999999995</v>
      </c>
    </row>
    <row r="131" spans="1:5" x14ac:dyDescent="0.2">
      <c r="A131" s="10">
        <f>'2019_Download_5-1-1'!C19</f>
        <v>2019</v>
      </c>
      <c r="B131" s="38" t="str">
        <f>'2019_Download_5-1-1'!B19</f>
        <v>ÖffentlicheVerwaltung, Verteidigung, Sozialversicherung; Erziehung und Unterricht; Gesundheits- und Sozialwesen</v>
      </c>
      <c r="C131" s="10" t="str">
        <f>'2019_Download_5-1-1'!$D$8</f>
        <v>Männer</v>
      </c>
      <c r="D131" s="37" t="s">
        <v>87</v>
      </c>
      <c r="E131" s="37">
        <f>'2019_Download_5-1-1'!D19</f>
        <v>43.389919999999996</v>
      </c>
    </row>
    <row r="132" spans="1:5" x14ac:dyDescent="0.2">
      <c r="A132" s="10">
        <f>'2019_Download_5-1-1'!C20</f>
        <v>2019</v>
      </c>
      <c r="B132" s="38" t="str">
        <f>'2019_Download_5-1-1'!B20</f>
        <v>Kunst, Unterhaltung und Erholung; Erbringung von sonstigen Dienstleistungen</v>
      </c>
      <c r="C132" s="10" t="str">
        <f>'2019_Download_5-1-1'!$D$8</f>
        <v>Männer</v>
      </c>
      <c r="D132" s="37" t="s">
        <v>87</v>
      </c>
      <c r="E132" s="37">
        <f>'2019_Download_5-1-1'!D20</f>
        <v>13.560750000000001</v>
      </c>
    </row>
    <row r="133" spans="1:5" x14ac:dyDescent="0.2">
      <c r="A133" s="10">
        <f>'2019_Download_5-1-1'!C21</f>
        <v>2019</v>
      </c>
      <c r="B133" s="38" t="str">
        <f>'2019_Download_5-1-1'!B21</f>
        <v>Insgesamt (inkl. sonstiger Abschnitte)</v>
      </c>
      <c r="C133" s="10" t="str">
        <f>'2019_Download_5-1-1'!$D$8</f>
        <v>Männer</v>
      </c>
      <c r="D133" s="37" t="s">
        <v>87</v>
      </c>
      <c r="E133" s="37">
        <f>'2019_Download_5-1-1'!D21</f>
        <v>470.17715999999996</v>
      </c>
    </row>
    <row r="134" spans="1:5" x14ac:dyDescent="0.2">
      <c r="A134" s="10">
        <f>'2019_Download_5-1-1'!C22</f>
        <v>2018</v>
      </c>
      <c r="B134" s="38" t="str">
        <f>'2019_Download_5-1-1'!B22</f>
        <v>Land- und Forstwirtschaft, Fischerei</v>
      </c>
      <c r="C134" s="10" t="str">
        <f>'2019_Download_5-1-1'!$D$8</f>
        <v>Männer</v>
      </c>
      <c r="D134" s="37" t="s">
        <v>87</v>
      </c>
      <c r="E134" s="37">
        <f>'2019_Download_5-1-1'!D22</f>
        <v>9.2372800000000002</v>
      </c>
    </row>
    <row r="135" spans="1:5" x14ac:dyDescent="0.2">
      <c r="A135" s="10">
        <f>'2019_Download_5-1-1'!C23</f>
        <v>2018</v>
      </c>
      <c r="B135" s="38" t="str">
        <f>'2019_Download_5-1-1'!B23</f>
        <v>Bergbau und Gewinnung von Steinen und Erden; Verarbeitendes Gewerbe</v>
      </c>
      <c r="C135" s="10" t="str">
        <f>'2019_Download_5-1-1'!$D$8</f>
        <v>Männer</v>
      </c>
      <c r="D135" s="37" t="s">
        <v>87</v>
      </c>
      <c r="E135" s="37">
        <f>'2019_Download_5-1-1'!D23</f>
        <v>141.85381000000001</v>
      </c>
    </row>
    <row r="136" spans="1:5" x14ac:dyDescent="0.2">
      <c r="A136" s="10">
        <f>'2019_Download_5-1-1'!C24</f>
        <v>2018</v>
      </c>
      <c r="B136" s="38" t="str">
        <f>'2019_Download_5-1-1'!B24</f>
        <v>Energieversorgung; Wasserversorgung, Entsorg., Beseitig. v. Umweltverschmutzungen</v>
      </c>
      <c r="C136" s="10" t="str">
        <f>'2019_Download_5-1-1'!$D$8</f>
        <v>Männer</v>
      </c>
      <c r="D136" s="37" t="s">
        <v>87</v>
      </c>
      <c r="E136" s="37">
        <f>'2019_Download_5-1-1'!D24</f>
        <v>6.9294099999999998</v>
      </c>
    </row>
    <row r="137" spans="1:5" x14ac:dyDescent="0.2">
      <c r="A137" s="10">
        <f>'2019_Download_5-1-1'!C25</f>
        <v>2018</v>
      </c>
      <c r="B137" s="38" t="str">
        <f>'2019_Download_5-1-1'!B25</f>
        <v>Baugewerbe</v>
      </c>
      <c r="C137" s="10" t="str">
        <f>'2019_Download_5-1-1'!$D$8</f>
        <v>Männer</v>
      </c>
      <c r="D137" s="37" t="s">
        <v>87</v>
      </c>
      <c r="E137" s="37">
        <f>'2019_Download_5-1-1'!D25</f>
        <v>58.642859999999999</v>
      </c>
    </row>
    <row r="138" spans="1:5" x14ac:dyDescent="0.2">
      <c r="A138" s="10">
        <f>'2019_Download_5-1-1'!C26</f>
        <v>2018</v>
      </c>
      <c r="B138" s="38" t="str">
        <f>'2019_Download_5-1-1'!B26</f>
        <v>Handel, Instandhaltung und Reparatur von Kfz</v>
      </c>
      <c r="C138" s="10" t="str">
        <f>'2019_Download_5-1-1'!$D$8</f>
        <v>Männer</v>
      </c>
      <c r="D138" s="37" t="s">
        <v>87</v>
      </c>
      <c r="E138" s="37">
        <f>'2019_Download_5-1-1'!D26</f>
        <v>67.828630000000004</v>
      </c>
    </row>
    <row r="139" spans="1:5" x14ac:dyDescent="0.2">
      <c r="A139" s="10">
        <f>'2019_Download_5-1-1'!C27</f>
        <v>2018</v>
      </c>
      <c r="B139" s="38" t="str">
        <f>'2019_Download_5-1-1'!B27</f>
        <v>Verkehr und Lagerei; Information und Kommunikation</v>
      </c>
      <c r="C139" s="10" t="str">
        <f>'2019_Download_5-1-1'!$D$8</f>
        <v>Männer</v>
      </c>
      <c r="D139" s="37" t="s">
        <v>87</v>
      </c>
      <c r="E139" s="37">
        <f>'2019_Download_5-1-1'!D27</f>
        <v>50.172239999999995</v>
      </c>
    </row>
    <row r="140" spans="1:5" x14ac:dyDescent="0.2">
      <c r="A140" s="10">
        <f>'2019_Download_5-1-1'!C28</f>
        <v>2018</v>
      </c>
      <c r="B140" s="38" t="str">
        <f>'2019_Download_5-1-1'!B28</f>
        <v>Gastgewerbe</v>
      </c>
      <c r="C140" s="10" t="str">
        <f>'2019_Download_5-1-1'!$D$8</f>
        <v>Männer</v>
      </c>
      <c r="D140" s="37" t="s">
        <v>87</v>
      </c>
      <c r="E140" s="37">
        <f>'2019_Download_5-1-1'!D28</f>
        <v>31.441650000000003</v>
      </c>
    </row>
    <row r="141" spans="1:5" x14ac:dyDescent="0.2">
      <c r="A141" s="10">
        <f>'2019_Download_5-1-1'!C29</f>
        <v>2018</v>
      </c>
      <c r="B141" s="38" t="str">
        <f>'2019_Download_5-1-1'!B29</f>
        <v>Erbringung von Finanz- und Versicherungsleistungen; Grundstücks- und Wohnungswesen; Freiberufliche, wiss. u. techn. Dienstleistungen; sonst. wirt. Dienstleistungen</v>
      </c>
      <c r="C141" s="10" t="str">
        <f>'2019_Download_5-1-1'!$D$8</f>
        <v>Männer</v>
      </c>
      <c r="D141" s="37" t="s">
        <v>87</v>
      </c>
      <c r="E141" s="37">
        <f>'2019_Download_5-1-1'!D29</f>
        <v>40.487259999999999</v>
      </c>
    </row>
    <row r="142" spans="1:5" x14ac:dyDescent="0.2">
      <c r="A142" s="10">
        <f>'2019_Download_5-1-1'!C30</f>
        <v>2018</v>
      </c>
      <c r="B142" s="38" t="str">
        <f>'2019_Download_5-1-1'!B30</f>
        <v>ÖffentlicheVerwaltung, Verteidigung, Sozialversicherung; Erziehung und Unterricht; Gesundheits- und Sozialwesen</v>
      </c>
      <c r="C142" s="10" t="str">
        <f>'2019_Download_5-1-1'!$D$8</f>
        <v>Männer</v>
      </c>
      <c r="D142" s="37" t="s">
        <v>87</v>
      </c>
      <c r="E142" s="37">
        <f>'2019_Download_5-1-1'!D30</f>
        <v>42.329569999999997</v>
      </c>
    </row>
    <row r="143" spans="1:5" x14ac:dyDescent="0.2">
      <c r="A143" s="10">
        <f>'2019_Download_5-1-1'!C31</f>
        <v>2018</v>
      </c>
      <c r="B143" s="38" t="str">
        <f>'2019_Download_5-1-1'!B31</f>
        <v>Kunst, Unterhaltung und Erholung; Erbringung von sonstigen Dienstleistungen</v>
      </c>
      <c r="C143" s="10" t="str">
        <f>'2019_Download_5-1-1'!$D$8</f>
        <v>Männer</v>
      </c>
      <c r="D143" s="37" t="s">
        <v>87</v>
      </c>
      <c r="E143" s="37">
        <f>'2019_Download_5-1-1'!D31</f>
        <v>11.60702</v>
      </c>
    </row>
    <row r="144" spans="1:5" x14ac:dyDescent="0.2">
      <c r="A144" s="10">
        <f>'2019_Download_5-1-1'!C32</f>
        <v>2018</v>
      </c>
      <c r="B144" s="38" t="str">
        <f>'2019_Download_5-1-1'!B32</f>
        <v>Insgesamt (inkl. sonstiger Abschnitte)</v>
      </c>
      <c r="C144" s="10" t="str">
        <f>'2019_Download_5-1-1'!$D$8</f>
        <v>Männer</v>
      </c>
      <c r="D144" s="37" t="s">
        <v>87</v>
      </c>
      <c r="E144" s="37">
        <f>'2019_Download_5-1-1'!D32</f>
        <v>460.73616999999996</v>
      </c>
    </row>
    <row r="145" spans="1:5" x14ac:dyDescent="0.2">
      <c r="A145" s="10">
        <f>'2019_Download_5-1-1'!C33</f>
        <v>2017</v>
      </c>
      <c r="B145" s="38" t="str">
        <f>'2019_Download_5-1-1'!B33</f>
        <v>Land- und Forstwirtschaft, Fischerei</v>
      </c>
      <c r="C145" s="10" t="str">
        <f>'2019_Download_5-1-1'!$D$8</f>
        <v>Männer</v>
      </c>
      <c r="D145" s="37" t="s">
        <v>87</v>
      </c>
      <c r="E145" s="37">
        <f>'2019_Download_5-1-1'!D33</f>
        <v>8.3643600000000013</v>
      </c>
    </row>
    <row r="146" spans="1:5" x14ac:dyDescent="0.2">
      <c r="A146" s="10">
        <f>'2019_Download_5-1-1'!C34</f>
        <v>2017</v>
      </c>
      <c r="B146" s="38" t="str">
        <f>'2019_Download_5-1-1'!B34</f>
        <v>Bergbau und Gewinnung von Steinen und Erden; Verarbeitendes Gewerbe</v>
      </c>
      <c r="C146" s="10" t="str">
        <f>'2019_Download_5-1-1'!$D$8</f>
        <v>Männer</v>
      </c>
      <c r="D146" s="37" t="s">
        <v>87</v>
      </c>
      <c r="E146" s="37">
        <f>'2019_Download_5-1-1'!D34</f>
        <v>143.43660999999997</v>
      </c>
    </row>
    <row r="147" spans="1:5" x14ac:dyDescent="0.2">
      <c r="A147" s="10">
        <f>'2019_Download_5-1-1'!C35</f>
        <v>2017</v>
      </c>
      <c r="B147" s="38" t="str">
        <f>'2019_Download_5-1-1'!B35</f>
        <v>Energieversorgung; Wasserversorgung, Entsorg., Beseitig. v. Umweltverschmutzungen</v>
      </c>
      <c r="C147" s="10" t="str">
        <f>'2019_Download_5-1-1'!$D$8</f>
        <v>Männer</v>
      </c>
      <c r="D147" s="37" t="s">
        <v>87</v>
      </c>
      <c r="E147" s="37">
        <f>'2019_Download_5-1-1'!D35</f>
        <v>6.4783299999999997</v>
      </c>
    </row>
    <row r="148" spans="1:5" x14ac:dyDescent="0.2">
      <c r="A148" s="10">
        <f>'2019_Download_5-1-1'!C36</f>
        <v>2017</v>
      </c>
      <c r="B148" s="38" t="str">
        <f>'2019_Download_5-1-1'!B36</f>
        <v>Baugewerbe</v>
      </c>
      <c r="C148" s="10" t="str">
        <f>'2019_Download_5-1-1'!$D$8</f>
        <v>Männer</v>
      </c>
      <c r="D148" s="37" t="s">
        <v>87</v>
      </c>
      <c r="E148" s="37">
        <f>'2019_Download_5-1-1'!D36</f>
        <v>57.102330000000002</v>
      </c>
    </row>
    <row r="149" spans="1:5" x14ac:dyDescent="0.2">
      <c r="A149" s="10">
        <f>'2019_Download_5-1-1'!C37</f>
        <v>2017</v>
      </c>
      <c r="B149" s="38" t="str">
        <f>'2019_Download_5-1-1'!B37</f>
        <v>Handel, Instandhaltung und Reparatur von Kfz</v>
      </c>
      <c r="C149" s="10" t="str">
        <f>'2019_Download_5-1-1'!$D$8</f>
        <v>Männer</v>
      </c>
      <c r="D149" s="37" t="s">
        <v>87</v>
      </c>
      <c r="E149" s="37">
        <f>'2019_Download_5-1-1'!D37</f>
        <v>65.751499999999993</v>
      </c>
    </row>
    <row r="150" spans="1:5" x14ac:dyDescent="0.2">
      <c r="A150" s="10">
        <f>'2019_Download_5-1-1'!C38</f>
        <v>2017</v>
      </c>
      <c r="B150" s="38" t="str">
        <f>'2019_Download_5-1-1'!B38</f>
        <v>Verkehr und Lagerei; Information und Kommunikation</v>
      </c>
      <c r="C150" s="10" t="str">
        <f>'2019_Download_5-1-1'!$D$8</f>
        <v>Männer</v>
      </c>
      <c r="D150" s="37" t="s">
        <v>87</v>
      </c>
      <c r="E150" s="37">
        <f>'2019_Download_5-1-1'!D38</f>
        <v>48.327449999999999</v>
      </c>
    </row>
    <row r="151" spans="1:5" x14ac:dyDescent="0.2">
      <c r="A151" s="10">
        <f>'2019_Download_5-1-1'!C39</f>
        <v>2017</v>
      </c>
      <c r="B151" s="38" t="str">
        <f>'2019_Download_5-1-1'!B39</f>
        <v>Gastgewerbe</v>
      </c>
      <c r="C151" s="10" t="str">
        <f>'2019_Download_5-1-1'!$D$8</f>
        <v>Männer</v>
      </c>
      <c r="D151" s="37" t="s">
        <v>87</v>
      </c>
      <c r="E151" s="37">
        <f>'2019_Download_5-1-1'!D39</f>
        <v>26.69622</v>
      </c>
    </row>
    <row r="152" spans="1:5" x14ac:dyDescent="0.2">
      <c r="A152" s="10">
        <f>'2019_Download_5-1-1'!C40</f>
        <v>2017</v>
      </c>
      <c r="B152" s="38" t="str">
        <f>'2019_Download_5-1-1'!B40</f>
        <v>Erbringung von Finanz- und Versicherungsleistungen; Grundstücks- und Wohnungswesen; Freiberufliche, wiss. u. techn. Dienstleistungen; sonst. wirt. Dienstleistungen</v>
      </c>
      <c r="C152" s="10" t="str">
        <f>'2019_Download_5-1-1'!$D$8</f>
        <v>Männer</v>
      </c>
      <c r="D152" s="37" t="s">
        <v>87</v>
      </c>
      <c r="E152" s="37">
        <f>'2019_Download_5-1-1'!D40</f>
        <v>39.163119999999999</v>
      </c>
    </row>
    <row r="153" spans="1:5" x14ac:dyDescent="0.2">
      <c r="A153" s="10">
        <f>'2019_Download_5-1-1'!C41</f>
        <v>2017</v>
      </c>
      <c r="B153" s="38" t="str">
        <f>'2019_Download_5-1-1'!B41</f>
        <v>ÖffentlicheVerwaltung, Verteidigung, Sozialversicherung; Erziehung und Unterricht; Gesundheits- und Sozialwesen</v>
      </c>
      <c r="C153" s="10" t="str">
        <f>'2019_Download_5-1-1'!$D$8</f>
        <v>Männer</v>
      </c>
      <c r="D153" s="37" t="s">
        <v>87</v>
      </c>
      <c r="E153" s="37">
        <f>'2019_Download_5-1-1'!D41</f>
        <v>44.207560000000001</v>
      </c>
    </row>
    <row r="154" spans="1:5" x14ac:dyDescent="0.2">
      <c r="A154" s="10">
        <f>'2019_Download_5-1-1'!C42</f>
        <v>2017</v>
      </c>
      <c r="B154" s="38" t="str">
        <f>'2019_Download_5-1-1'!B42</f>
        <v>Kunst, Unterhaltung und Erholung; Erbringung von sonstigen Dienstleistungen</v>
      </c>
      <c r="C154" s="10" t="str">
        <f>'2019_Download_5-1-1'!$D$8</f>
        <v>Männer</v>
      </c>
      <c r="D154" s="37" t="s">
        <v>87</v>
      </c>
      <c r="E154" s="37">
        <f>'2019_Download_5-1-1'!D42</f>
        <v>12.36978</v>
      </c>
    </row>
    <row r="155" spans="1:5" x14ac:dyDescent="0.2">
      <c r="A155" s="10">
        <f>'2019_Download_5-1-1'!C43</f>
        <v>2017</v>
      </c>
      <c r="B155" s="38" t="str">
        <f>'2019_Download_5-1-1'!B43</f>
        <v>Insgesamt (inkl. sonstiger Abschnitte)</v>
      </c>
      <c r="C155" s="10" t="str">
        <f>'2019_Download_5-1-1'!$D$8</f>
        <v>Männer</v>
      </c>
      <c r="D155" s="37" t="s">
        <v>87</v>
      </c>
      <c r="E155" s="37">
        <f>'2019_Download_5-1-1'!D43</f>
        <v>452.36584999999997</v>
      </c>
    </row>
    <row r="156" spans="1:5" x14ac:dyDescent="0.2">
      <c r="A156" s="10">
        <f>'2019_Download_5-1-1'!C44</f>
        <v>2016</v>
      </c>
      <c r="B156" s="38" t="str">
        <f>'2019_Download_5-1-1'!B44</f>
        <v>Land- und Forstwirtschaft, Fischerei</v>
      </c>
      <c r="C156" s="10" t="str">
        <f>'2019_Download_5-1-1'!$D$8</f>
        <v>Männer</v>
      </c>
      <c r="D156" s="37" t="s">
        <v>87</v>
      </c>
      <c r="E156" s="37">
        <f>'2019_Download_5-1-1'!D44</f>
        <v>8.3982800000000015</v>
      </c>
    </row>
    <row r="157" spans="1:5" x14ac:dyDescent="0.2">
      <c r="A157" s="10">
        <f>'2019_Download_5-1-1'!C45</f>
        <v>2016</v>
      </c>
      <c r="B157" s="38" t="str">
        <f>'2019_Download_5-1-1'!B45</f>
        <v>Bergbau und Gewinnung von Steinen und Erden; Verarbeitendes Gewerbe</v>
      </c>
      <c r="C157" s="10" t="str">
        <f>'2019_Download_5-1-1'!$D$8</f>
        <v>Männer</v>
      </c>
      <c r="D157" s="37" t="s">
        <v>87</v>
      </c>
      <c r="E157" s="37">
        <f>'2019_Download_5-1-1'!D45</f>
        <v>123.89064</v>
      </c>
    </row>
    <row r="158" spans="1:5" x14ac:dyDescent="0.2">
      <c r="A158" s="10">
        <f>'2019_Download_5-1-1'!C46</f>
        <v>2016</v>
      </c>
      <c r="B158" s="38" t="str">
        <f>'2019_Download_5-1-1'!B46</f>
        <v>Energieversorgung; Wasserversorgung, Entsorg., Beseitig. v. Umweltverschmutzungen</v>
      </c>
      <c r="C158" s="10" t="str">
        <f>'2019_Download_5-1-1'!$D$8</f>
        <v>Männer</v>
      </c>
      <c r="D158" s="37" t="s">
        <v>87</v>
      </c>
      <c r="E158" s="37">
        <f>'2019_Download_5-1-1'!D46</f>
        <v>5.1742900000000001</v>
      </c>
    </row>
    <row r="159" spans="1:5" x14ac:dyDescent="0.2">
      <c r="A159" s="10">
        <f>'2019_Download_5-1-1'!C47</f>
        <v>2016</v>
      </c>
      <c r="B159" s="38" t="str">
        <f>'2019_Download_5-1-1'!B47</f>
        <v>Baugewerbe</v>
      </c>
      <c r="C159" s="10" t="str">
        <f>'2019_Download_5-1-1'!$D$8</f>
        <v>Männer</v>
      </c>
      <c r="D159" s="37" t="s">
        <v>87</v>
      </c>
      <c r="E159" s="37">
        <f>'2019_Download_5-1-1'!D47</f>
        <v>47.020180000000003</v>
      </c>
    </row>
    <row r="160" spans="1:5" x14ac:dyDescent="0.2">
      <c r="A160" s="10">
        <f>'2019_Download_5-1-1'!C48</f>
        <v>2016</v>
      </c>
      <c r="B160" s="38" t="str">
        <f>'2019_Download_5-1-1'!B48</f>
        <v>Handel, Instandhaltung und Reparatur von Kfz</v>
      </c>
      <c r="C160" s="10" t="str">
        <f>'2019_Download_5-1-1'!$D$8</f>
        <v>Männer</v>
      </c>
      <c r="D160" s="37" t="s">
        <v>87</v>
      </c>
      <c r="E160" s="37">
        <f>'2019_Download_5-1-1'!D48</f>
        <v>59.010309999999997</v>
      </c>
    </row>
    <row r="161" spans="1:5" x14ac:dyDescent="0.2">
      <c r="A161" s="10">
        <f>'2019_Download_5-1-1'!C49</f>
        <v>2016</v>
      </c>
      <c r="B161" s="38" t="str">
        <f>'2019_Download_5-1-1'!B49</f>
        <v>Verkehr und Lagerei; Information und Kommunikation</v>
      </c>
      <c r="C161" s="10" t="str">
        <f>'2019_Download_5-1-1'!$D$8</f>
        <v>Männer</v>
      </c>
      <c r="D161" s="37" t="s">
        <v>87</v>
      </c>
      <c r="E161" s="37">
        <f>'2019_Download_5-1-1'!D49</f>
        <v>39.857480000000002</v>
      </c>
    </row>
    <row r="162" spans="1:5" x14ac:dyDescent="0.2">
      <c r="A162" s="10">
        <f>'2019_Download_5-1-1'!C50</f>
        <v>2016</v>
      </c>
      <c r="B162" s="38" t="str">
        <f>'2019_Download_5-1-1'!B50</f>
        <v>Gastgewerbe</v>
      </c>
      <c r="C162" s="10" t="str">
        <f>'2019_Download_5-1-1'!$D$8</f>
        <v>Männer</v>
      </c>
      <c r="D162" s="37" t="s">
        <v>87</v>
      </c>
      <c r="E162" s="37">
        <f>'2019_Download_5-1-1'!D50</f>
        <v>25.975009999999997</v>
      </c>
    </row>
    <row r="163" spans="1:5" x14ac:dyDescent="0.2">
      <c r="A163" s="10">
        <f>'2019_Download_5-1-1'!C51</f>
        <v>2016</v>
      </c>
      <c r="B163" s="38" t="str">
        <f>'2019_Download_5-1-1'!B51</f>
        <v>Erbringung von Finanz- und Versicherungsleistungen; Grundstücks- und Wohnungswesen; Freiberufliche, wiss. u. techn. Dienstleistungen; sonst. wirt. Dienstleistungen</v>
      </c>
      <c r="C163" s="10" t="str">
        <f>'2019_Download_5-1-1'!$D$8</f>
        <v>Männer</v>
      </c>
      <c r="D163" s="37" t="s">
        <v>87</v>
      </c>
      <c r="E163" s="37">
        <f>'2019_Download_5-1-1'!D51</f>
        <v>34.714449999999999</v>
      </c>
    </row>
    <row r="164" spans="1:5" x14ac:dyDescent="0.2">
      <c r="A164" s="10">
        <f>'2019_Download_5-1-1'!C52</f>
        <v>2016</v>
      </c>
      <c r="B164" s="38" t="str">
        <f>'2019_Download_5-1-1'!B52</f>
        <v>ÖffentlicheVerwaltung, Verteidigung, Sozialversicherung; Erziehung und Unterricht; Gesundheits- und Sozialwesen</v>
      </c>
      <c r="C164" s="10" t="str">
        <f>'2019_Download_5-1-1'!$D$8</f>
        <v>Männer</v>
      </c>
      <c r="D164" s="37" t="s">
        <v>87</v>
      </c>
      <c r="E164" s="37">
        <f>'2019_Download_5-1-1'!D52</f>
        <v>35.625929999999997</v>
      </c>
    </row>
    <row r="165" spans="1:5" x14ac:dyDescent="0.2">
      <c r="A165" s="10">
        <f>'2019_Download_5-1-1'!C53</f>
        <v>2016</v>
      </c>
      <c r="B165" s="38" t="str">
        <f>'2019_Download_5-1-1'!B53</f>
        <v>Kunst, Unterhaltung und Erholung; Erbringung von sonstigen Dienstleistungen</v>
      </c>
      <c r="C165" s="10" t="str">
        <f>'2019_Download_5-1-1'!$D$8</f>
        <v>Männer</v>
      </c>
      <c r="D165" s="37" t="s">
        <v>87</v>
      </c>
      <c r="E165" s="37">
        <f>'2019_Download_5-1-1'!D53</f>
        <v>9.7516599999999993</v>
      </c>
    </row>
    <row r="166" spans="1:5" x14ac:dyDescent="0.2">
      <c r="A166" s="10">
        <f>'2019_Download_5-1-1'!C54</f>
        <v>2016</v>
      </c>
      <c r="B166" s="38" t="str">
        <f>'2019_Download_5-1-1'!B54</f>
        <v>Insgesamt (inkl. sonstiger Abschnitte)</v>
      </c>
      <c r="C166" s="10" t="str">
        <f>'2019_Download_5-1-1'!$D$8</f>
        <v>Männer</v>
      </c>
      <c r="D166" s="37" t="s">
        <v>87</v>
      </c>
      <c r="E166" s="37">
        <f>'2019_Download_5-1-1'!D54</f>
        <v>389.66021000000001</v>
      </c>
    </row>
    <row r="167" spans="1:5" x14ac:dyDescent="0.2">
      <c r="A167" s="10">
        <f>'2019_Download_5-1-1'!C55</f>
        <v>2015</v>
      </c>
      <c r="B167" s="38" t="str">
        <f>'2019_Download_5-1-1'!B55</f>
        <v>Land- und Forstwirtschaft, Fischerei</v>
      </c>
      <c r="C167" s="10" t="str">
        <f>'2019_Download_5-1-1'!$D$8</f>
        <v>Männer</v>
      </c>
      <c r="D167" s="37" t="s">
        <v>87</v>
      </c>
      <c r="E167" s="37">
        <f>'2019_Download_5-1-1'!D55</f>
        <v>7.4572099999999999</v>
      </c>
    </row>
    <row r="168" spans="1:5" x14ac:dyDescent="0.2">
      <c r="A168" s="10">
        <f>'2019_Download_5-1-1'!C56</f>
        <v>2015</v>
      </c>
      <c r="B168" s="38" t="str">
        <f>'2019_Download_5-1-1'!B56</f>
        <v>Bergbau und Gewinnung von Steinen und Erden; Verarbeitendes Gewerbe</v>
      </c>
      <c r="C168" s="10" t="str">
        <f>'2019_Download_5-1-1'!$D$8</f>
        <v>Männer</v>
      </c>
      <c r="D168" s="37" t="s">
        <v>87</v>
      </c>
      <c r="E168" s="37">
        <f>'2019_Download_5-1-1'!D56</f>
        <v>106.61516</v>
      </c>
    </row>
    <row r="169" spans="1:5" x14ac:dyDescent="0.2">
      <c r="A169" s="10">
        <f>'2019_Download_5-1-1'!C57</f>
        <v>2015</v>
      </c>
      <c r="B169" s="38" t="str">
        <f>'2019_Download_5-1-1'!B57</f>
        <v>Energieversorgung; Wasserversorgung, Entsorg., Beseitig. v. Umweltverschmutzungen</v>
      </c>
      <c r="C169" s="10" t="str">
        <f>'2019_Download_5-1-1'!$D$8</f>
        <v>Männer</v>
      </c>
      <c r="D169" s="37" t="s">
        <v>87</v>
      </c>
      <c r="E169" s="37">
        <f>'2019_Download_5-1-1'!D57</f>
        <v>5.0394300000000003</v>
      </c>
    </row>
    <row r="170" spans="1:5" x14ac:dyDescent="0.2">
      <c r="A170" s="10">
        <f>'2019_Download_5-1-1'!C58</f>
        <v>2015</v>
      </c>
      <c r="B170" s="38" t="str">
        <f>'2019_Download_5-1-1'!B58</f>
        <v>Baugewerbe</v>
      </c>
      <c r="C170" s="10" t="str">
        <f>'2019_Download_5-1-1'!$D$8</f>
        <v>Männer</v>
      </c>
      <c r="D170" s="37" t="s">
        <v>87</v>
      </c>
      <c r="E170" s="37">
        <f>'2019_Download_5-1-1'!D58</f>
        <v>42.176349999999999</v>
      </c>
    </row>
    <row r="171" spans="1:5" x14ac:dyDescent="0.2">
      <c r="A171" s="10">
        <f>'2019_Download_5-1-1'!C59</f>
        <v>2015</v>
      </c>
      <c r="B171" s="38" t="str">
        <f>'2019_Download_5-1-1'!B59</f>
        <v>Handel, Instandhaltung und Reparatur von Kfz</v>
      </c>
      <c r="C171" s="10" t="str">
        <f>'2019_Download_5-1-1'!$D$8</f>
        <v>Männer</v>
      </c>
      <c r="D171" s="37" t="s">
        <v>87</v>
      </c>
      <c r="E171" s="37">
        <f>'2019_Download_5-1-1'!D59</f>
        <v>57.305949999999996</v>
      </c>
    </row>
    <row r="172" spans="1:5" x14ac:dyDescent="0.2">
      <c r="A172" s="10">
        <f>'2019_Download_5-1-1'!C60</f>
        <v>2015</v>
      </c>
      <c r="B172" s="38" t="str">
        <f>'2019_Download_5-1-1'!B60</f>
        <v>Verkehr und Lagerei; Information und Kommunikation</v>
      </c>
      <c r="C172" s="10" t="str">
        <f>'2019_Download_5-1-1'!$D$8</f>
        <v>Männer</v>
      </c>
      <c r="D172" s="37" t="s">
        <v>87</v>
      </c>
      <c r="E172" s="37">
        <f>'2019_Download_5-1-1'!D60</f>
        <v>35.54383</v>
      </c>
    </row>
    <row r="173" spans="1:5" x14ac:dyDescent="0.2">
      <c r="A173" s="10">
        <f>'2019_Download_5-1-1'!C61</f>
        <v>2015</v>
      </c>
      <c r="B173" s="38" t="str">
        <f>'2019_Download_5-1-1'!B61</f>
        <v>Gastgewerbe</v>
      </c>
      <c r="C173" s="10" t="str">
        <f>'2019_Download_5-1-1'!$D$8</f>
        <v>Männer</v>
      </c>
      <c r="D173" s="37" t="s">
        <v>87</v>
      </c>
      <c r="E173" s="37">
        <f>'2019_Download_5-1-1'!D61</f>
        <v>24.285130000000002</v>
      </c>
    </row>
    <row r="174" spans="1:5" x14ac:dyDescent="0.2">
      <c r="A174" s="10">
        <f>'2019_Download_5-1-1'!C62</f>
        <v>2015</v>
      </c>
      <c r="B174" s="38" t="str">
        <f>'2019_Download_5-1-1'!B62</f>
        <v>Erbringung von Finanz- und Versicherungsleistungen; Grundstücks- und Wohnungswesen; Freiberufliche, wiss. u. techn. Dienstleistungen; sonst. wirt. Dienstleistungen</v>
      </c>
      <c r="C174" s="10" t="str">
        <f>'2019_Download_5-1-1'!$D$8</f>
        <v>Männer</v>
      </c>
      <c r="D174" s="37" t="s">
        <v>87</v>
      </c>
      <c r="E174" s="37">
        <f>'2019_Download_5-1-1'!D62</f>
        <v>29.162929999999999</v>
      </c>
    </row>
    <row r="175" spans="1:5" x14ac:dyDescent="0.2">
      <c r="A175" s="10">
        <f>'2019_Download_5-1-1'!C63</f>
        <v>2015</v>
      </c>
      <c r="B175" s="38" t="str">
        <f>'2019_Download_5-1-1'!B63</f>
        <v>Öff.Verwaltung, Verteidigung, Sozialversicherung; Erziehung und Unterricht; Gesundheits- und Sozialwesen</v>
      </c>
      <c r="C175" s="10" t="str">
        <f>'2019_Download_5-1-1'!$D$8</f>
        <v>Männer</v>
      </c>
      <c r="D175" s="37" t="s">
        <v>87</v>
      </c>
      <c r="E175" s="37">
        <f>'2019_Download_5-1-1'!D63</f>
        <v>29.305509999999998</v>
      </c>
    </row>
    <row r="176" spans="1:5" x14ac:dyDescent="0.2">
      <c r="A176" s="10">
        <f>'2019_Download_5-1-1'!C64</f>
        <v>2015</v>
      </c>
      <c r="B176" s="38" t="str">
        <f>'2019_Download_5-1-1'!B64</f>
        <v>Kunst, Unterhaltung und Erholung; Erbringung von sonstigen Dienstleistungen</v>
      </c>
      <c r="C176" s="10" t="str">
        <f>'2019_Download_5-1-1'!$D$8</f>
        <v>Männer</v>
      </c>
      <c r="D176" s="37" t="s">
        <v>87</v>
      </c>
      <c r="E176" s="37">
        <f>'2019_Download_5-1-1'!D64</f>
        <v>10.864459999999999</v>
      </c>
    </row>
    <row r="177" spans="1:5" x14ac:dyDescent="0.2">
      <c r="A177" s="10">
        <f>'2019_Download_5-1-1'!C65</f>
        <v>2015</v>
      </c>
      <c r="B177" s="38" t="str">
        <f>'2019_Download_5-1-1'!B65</f>
        <v>Insgesamt (inkl. sonstiger Abschnitte)</v>
      </c>
      <c r="C177" s="10" t="str">
        <f>'2019_Download_5-1-1'!$D$8</f>
        <v>Männer</v>
      </c>
      <c r="D177" s="37" t="s">
        <v>87</v>
      </c>
      <c r="E177" s="37">
        <f>'2019_Download_5-1-1'!D65</f>
        <v>348.54129999999998</v>
      </c>
    </row>
    <row r="178" spans="1:5" x14ac:dyDescent="0.2">
      <c r="A178" s="10">
        <f>'2019_Download_5-1-1'!C66</f>
        <v>2014</v>
      </c>
      <c r="B178" s="38" t="str">
        <f>'2019_Download_5-1-1'!B66</f>
        <v>Land- und Forstwirtschaft, Fischerei</v>
      </c>
      <c r="C178" s="10" t="str">
        <f>'2019_Download_5-1-1'!$D$8</f>
        <v>Männer</v>
      </c>
      <c r="D178" s="37" t="s">
        <v>87</v>
      </c>
      <c r="E178" s="37">
        <f>'2019_Download_5-1-1'!D66</f>
        <v>6.3360699999999994</v>
      </c>
    </row>
    <row r="179" spans="1:5" x14ac:dyDescent="0.2">
      <c r="A179" s="10">
        <f>'2019_Download_5-1-1'!C67</f>
        <v>2014</v>
      </c>
      <c r="B179" s="38" t="str">
        <f>'2019_Download_5-1-1'!B67</f>
        <v>Bergbau und Gewinnung von Steinen und Erden; Verarbeitendes Gewerbe</v>
      </c>
      <c r="C179" s="10" t="str">
        <f>'2019_Download_5-1-1'!$D$8</f>
        <v>Männer</v>
      </c>
      <c r="D179" s="37" t="s">
        <v>87</v>
      </c>
      <c r="E179" s="37">
        <f>'2019_Download_5-1-1'!D67</f>
        <v>101.78074000000001</v>
      </c>
    </row>
    <row r="180" spans="1:5" x14ac:dyDescent="0.2">
      <c r="A180" s="10">
        <f>'2019_Download_5-1-1'!C68</f>
        <v>2014</v>
      </c>
      <c r="B180" s="38" t="str">
        <f>'2019_Download_5-1-1'!B68</f>
        <v>Energieversorgung; Wasserversorgung, Entsorg., Beseitig. v. Umweltverschmutzungen</v>
      </c>
      <c r="C180" s="10" t="str">
        <f>'2019_Download_5-1-1'!$D$8</f>
        <v>Männer</v>
      </c>
      <c r="D180" s="37" t="s">
        <v>87</v>
      </c>
      <c r="E180" s="37">
        <f>'2019_Download_5-1-1'!D68</f>
        <v>5.3153800000000002</v>
      </c>
    </row>
    <row r="181" spans="1:5" x14ac:dyDescent="0.2">
      <c r="A181" s="10">
        <f>'2019_Download_5-1-1'!C69</f>
        <v>2014</v>
      </c>
      <c r="B181" s="38" t="str">
        <f>'2019_Download_5-1-1'!B69</f>
        <v>Baugewerbe</v>
      </c>
      <c r="C181" s="10" t="str">
        <f>'2019_Download_5-1-1'!$D$8</f>
        <v>Männer</v>
      </c>
      <c r="D181" s="37" t="s">
        <v>87</v>
      </c>
      <c r="E181" s="37">
        <f>'2019_Download_5-1-1'!D69</f>
        <v>43.502069999999996</v>
      </c>
    </row>
    <row r="182" spans="1:5" x14ac:dyDescent="0.2">
      <c r="A182" s="10">
        <f>'2019_Download_5-1-1'!C70</f>
        <v>2014</v>
      </c>
      <c r="B182" s="38" t="str">
        <f>'2019_Download_5-1-1'!B70</f>
        <v>Handel, Instandhaltung und Reparatur von Kfz</v>
      </c>
      <c r="C182" s="10" t="str">
        <f>'2019_Download_5-1-1'!$D$8</f>
        <v>Männer</v>
      </c>
      <c r="D182" s="37" t="s">
        <v>87</v>
      </c>
      <c r="E182" s="37">
        <f>'2019_Download_5-1-1'!D70</f>
        <v>54.192610000000002</v>
      </c>
    </row>
    <row r="183" spans="1:5" x14ac:dyDescent="0.2">
      <c r="A183" s="10">
        <f>'2019_Download_5-1-1'!C71</f>
        <v>2014</v>
      </c>
      <c r="B183" s="38" t="str">
        <f>'2019_Download_5-1-1'!B71</f>
        <v>Verkehr und Lagerei; Information und Kommunikation</v>
      </c>
      <c r="C183" s="10" t="str">
        <f>'2019_Download_5-1-1'!$D$8</f>
        <v>Männer</v>
      </c>
      <c r="D183" s="37" t="s">
        <v>87</v>
      </c>
      <c r="E183" s="37">
        <f>'2019_Download_5-1-1'!D71</f>
        <v>32.27196</v>
      </c>
    </row>
    <row r="184" spans="1:5" x14ac:dyDescent="0.2">
      <c r="A184" s="10">
        <f>'2019_Download_5-1-1'!C72</f>
        <v>2014</v>
      </c>
      <c r="B184" s="38" t="str">
        <f>'2019_Download_5-1-1'!B72</f>
        <v>Gastgewerbe</v>
      </c>
      <c r="C184" s="10" t="str">
        <f>'2019_Download_5-1-1'!$D$8</f>
        <v>Männer</v>
      </c>
      <c r="D184" s="37" t="s">
        <v>87</v>
      </c>
      <c r="E184" s="37">
        <f>'2019_Download_5-1-1'!D72</f>
        <v>22.154979999999998</v>
      </c>
    </row>
    <row r="185" spans="1:5" x14ac:dyDescent="0.2">
      <c r="A185" s="10">
        <f>'2019_Download_5-1-1'!C73</f>
        <v>2014</v>
      </c>
      <c r="B185" s="38" t="str">
        <f>'2019_Download_5-1-1'!B73</f>
        <v>Erbringung von Finanz- und Versicherungsleistungen; Grundstücks- und Wohnungswesen; Freiberufliche, wiss. u. techn. Dienstleistungen; sonst. wirt. Dienstleistungen</v>
      </c>
      <c r="C185" s="10" t="str">
        <f>'2019_Download_5-1-1'!$D$8</f>
        <v>Männer</v>
      </c>
      <c r="D185" s="37" t="s">
        <v>87</v>
      </c>
      <c r="E185" s="37">
        <f>'2019_Download_5-1-1'!D73</f>
        <v>29.384830000000001</v>
      </c>
    </row>
    <row r="186" spans="1:5" x14ac:dyDescent="0.2">
      <c r="A186" s="10">
        <f>'2019_Download_5-1-1'!C74</f>
        <v>2014</v>
      </c>
      <c r="B186" s="38" t="str">
        <f>'2019_Download_5-1-1'!B74</f>
        <v>ÖffentlicheVerwaltung, Verteidigung, Sozialversicherung; Erziehung und Unterricht; Gesundheits- und Sozialwesen</v>
      </c>
      <c r="C186" s="10" t="str">
        <f>'2019_Download_5-1-1'!$D$8</f>
        <v>Männer</v>
      </c>
      <c r="D186" s="37" t="s">
        <v>87</v>
      </c>
      <c r="E186" s="37">
        <f>'2019_Download_5-1-1'!D74</f>
        <v>29.18779</v>
      </c>
    </row>
    <row r="187" spans="1:5" x14ac:dyDescent="0.2">
      <c r="A187" s="10">
        <f>'2019_Download_5-1-1'!C75</f>
        <v>2014</v>
      </c>
      <c r="B187" s="38" t="str">
        <f>'2019_Download_5-1-1'!B75</f>
        <v>Kunst, Unterhaltung und Erholung; Erbringung von sonstigen Dienstleistungen</v>
      </c>
      <c r="C187" s="10" t="str">
        <f>'2019_Download_5-1-1'!$D$8</f>
        <v>Männer</v>
      </c>
      <c r="D187" s="37" t="s">
        <v>87</v>
      </c>
      <c r="E187" s="37">
        <f>'2019_Download_5-1-1'!D75</f>
        <v>10.499379999999999</v>
      </c>
    </row>
    <row r="188" spans="1:5" x14ac:dyDescent="0.2">
      <c r="A188" s="10">
        <f>'2019_Download_5-1-1'!C76</f>
        <v>2014</v>
      </c>
      <c r="B188" s="38" t="str">
        <f>'2019_Download_5-1-1'!B76</f>
        <v>Insgesamt (inkl. sonstiger Abschnitte)</v>
      </c>
      <c r="C188" s="10" t="str">
        <f>'2019_Download_5-1-1'!$D$8</f>
        <v>Männer</v>
      </c>
      <c r="D188" s="37" t="s">
        <v>87</v>
      </c>
      <c r="E188" s="37">
        <f>'2019_Download_5-1-1'!D76</f>
        <v>335.48230000000001</v>
      </c>
    </row>
    <row r="189" spans="1:5" x14ac:dyDescent="0.2">
      <c r="A189" s="10">
        <f>'2019_Download_5-1-1'!C77</f>
        <v>2013</v>
      </c>
      <c r="B189" s="38" t="str">
        <f>'2019_Download_5-1-1'!B77</f>
        <v>Land- und Forstwirtschaft, Fischerei</v>
      </c>
      <c r="C189" s="10" t="str">
        <f>'2019_Download_5-1-1'!$D$8</f>
        <v>Männer</v>
      </c>
      <c r="D189" s="37" t="s">
        <v>87</v>
      </c>
      <c r="E189" s="37">
        <f>'2019_Download_5-1-1'!D77</f>
        <v>5.6397899999999996</v>
      </c>
    </row>
    <row r="190" spans="1:5" x14ac:dyDescent="0.2">
      <c r="A190" s="10">
        <f>'2019_Download_5-1-1'!C78</f>
        <v>2013</v>
      </c>
      <c r="B190" s="38" t="str">
        <f>'2019_Download_5-1-1'!B78</f>
        <v>Bergbau und Gewinnung von Steinen und Erden; Verarbeitendes Gewerbe</v>
      </c>
      <c r="C190" s="10" t="str">
        <f>'2019_Download_5-1-1'!$D$8</f>
        <v>Männer</v>
      </c>
      <c r="D190" s="37" t="s">
        <v>87</v>
      </c>
      <c r="E190" s="37">
        <f>'2019_Download_5-1-1'!D78</f>
        <v>97.881570000000011</v>
      </c>
    </row>
    <row r="191" spans="1:5" x14ac:dyDescent="0.2">
      <c r="A191" s="10">
        <f>'2019_Download_5-1-1'!C79</f>
        <v>2013</v>
      </c>
      <c r="B191" s="38" t="str">
        <f>'2019_Download_5-1-1'!B79</f>
        <v>Energieversorgung; Wasserversorgung, Entsorg., Beseitig. v. Umweltverschmutzungen</v>
      </c>
      <c r="C191" s="10" t="str">
        <f>'2019_Download_5-1-1'!$D$8</f>
        <v>Männer</v>
      </c>
      <c r="D191" s="37" t="s">
        <v>87</v>
      </c>
      <c r="E191" s="37">
        <f>'2019_Download_5-1-1'!D79</f>
        <v>5.0328999999999997</v>
      </c>
    </row>
    <row r="192" spans="1:5" x14ac:dyDescent="0.2">
      <c r="A192" s="10">
        <f>'2019_Download_5-1-1'!C80</f>
        <v>2013</v>
      </c>
      <c r="B192" s="38" t="str">
        <f>'2019_Download_5-1-1'!B80</f>
        <v>Baugewerbe</v>
      </c>
      <c r="C192" s="10" t="str">
        <f>'2019_Download_5-1-1'!$D$8</f>
        <v>Männer</v>
      </c>
      <c r="D192" s="37" t="s">
        <v>87</v>
      </c>
      <c r="E192" s="37">
        <f>'2019_Download_5-1-1'!D80</f>
        <v>40.353499999999997</v>
      </c>
    </row>
    <row r="193" spans="1:5" x14ac:dyDescent="0.2">
      <c r="A193" s="10">
        <f>'2019_Download_5-1-1'!C81</f>
        <v>2013</v>
      </c>
      <c r="B193" s="38" t="str">
        <f>'2019_Download_5-1-1'!B81</f>
        <v>Handel, Instandhaltung und Reparatur von Kfz</v>
      </c>
      <c r="C193" s="10" t="str">
        <f>'2019_Download_5-1-1'!$D$8</f>
        <v>Männer</v>
      </c>
      <c r="D193" s="37" t="s">
        <v>87</v>
      </c>
      <c r="E193" s="37">
        <f>'2019_Download_5-1-1'!D81</f>
        <v>56.337489999999995</v>
      </c>
    </row>
    <row r="194" spans="1:5" x14ac:dyDescent="0.2">
      <c r="A194" s="10">
        <f>'2019_Download_5-1-1'!C82</f>
        <v>2013</v>
      </c>
      <c r="B194" s="38" t="str">
        <f>'2019_Download_5-1-1'!B82</f>
        <v>Verkehr und Lagerei; Information und Kommunikation</v>
      </c>
      <c r="C194" s="10" t="str">
        <f>'2019_Download_5-1-1'!$D$8</f>
        <v>Männer</v>
      </c>
      <c r="D194" s="37" t="s">
        <v>87</v>
      </c>
      <c r="E194" s="37">
        <f>'2019_Download_5-1-1'!D82</f>
        <v>32.462830000000004</v>
      </c>
    </row>
    <row r="195" spans="1:5" x14ac:dyDescent="0.2">
      <c r="A195" s="10">
        <f>'2019_Download_5-1-1'!C83</f>
        <v>2013</v>
      </c>
      <c r="B195" s="38" t="str">
        <f>'2019_Download_5-1-1'!B83</f>
        <v>Gastgewerbe</v>
      </c>
      <c r="C195" s="10" t="str">
        <f>'2019_Download_5-1-1'!$D$8</f>
        <v>Männer</v>
      </c>
      <c r="D195" s="37" t="s">
        <v>87</v>
      </c>
      <c r="E195" s="37">
        <f>'2019_Download_5-1-1'!D83</f>
        <v>24.680419999999998</v>
      </c>
    </row>
    <row r="196" spans="1:5" x14ac:dyDescent="0.2">
      <c r="A196" s="10">
        <f>'2019_Download_5-1-1'!C84</f>
        <v>2013</v>
      </c>
      <c r="B196" s="38" t="str">
        <f>'2019_Download_5-1-1'!B84</f>
        <v>Erbringung von Finanz- und Versicherungsleistungen; Grundstücks- und Wohnungswesen; Freiberufliche, wiss. u. techn. Dienstleistungen; sonst. wirt. Dienstleistungen</v>
      </c>
      <c r="C196" s="10" t="str">
        <f>'2019_Download_5-1-1'!$D$8</f>
        <v>Männer</v>
      </c>
      <c r="D196" s="37" t="s">
        <v>87</v>
      </c>
      <c r="E196" s="37">
        <f>'2019_Download_5-1-1'!D84</f>
        <v>30.276400000000002</v>
      </c>
    </row>
    <row r="197" spans="1:5" x14ac:dyDescent="0.2">
      <c r="A197" s="10">
        <f>'2019_Download_5-1-1'!C85</f>
        <v>2013</v>
      </c>
      <c r="B197" s="38" t="str">
        <f>'2019_Download_5-1-1'!B85</f>
        <v>ÖffentlicheVerwaltung, Verteidigung, Sozialversicherung; Erziehung und Unterricht; Gesundheits- und Sozialwesen</v>
      </c>
      <c r="C197" s="10" t="str">
        <f>'2019_Download_5-1-1'!$D$8</f>
        <v>Männer</v>
      </c>
      <c r="D197" s="37" t="s">
        <v>87</v>
      </c>
      <c r="E197" s="37">
        <f>'2019_Download_5-1-1'!D85</f>
        <v>28.304020000000001</v>
      </c>
    </row>
    <row r="198" spans="1:5" x14ac:dyDescent="0.2">
      <c r="A198" s="10">
        <f>'2019_Download_5-1-1'!C86</f>
        <v>2013</v>
      </c>
      <c r="B198" s="38" t="str">
        <f>'2019_Download_5-1-1'!B86</f>
        <v>Kunst, Unterhaltung und Erholung; Erbringung von sonstigen Dienstleistungen</v>
      </c>
      <c r="C198" s="10" t="str">
        <f>'2019_Download_5-1-1'!$D$8</f>
        <v>Männer</v>
      </c>
      <c r="D198" s="37" t="s">
        <v>87</v>
      </c>
      <c r="E198" s="37">
        <f>'2019_Download_5-1-1'!D86</f>
        <v>10.529069999999999</v>
      </c>
    </row>
    <row r="199" spans="1:5" x14ac:dyDescent="0.2">
      <c r="A199" s="10">
        <f>'2019_Download_5-1-1'!C87</f>
        <v>2013</v>
      </c>
      <c r="B199" s="38" t="str">
        <f>'2019_Download_5-1-1'!B87</f>
        <v>Insgesamt (inkl. sonstiger Abschnitte)</v>
      </c>
      <c r="C199" s="10" t="str">
        <f>'2019_Download_5-1-1'!$D$8</f>
        <v>Männer</v>
      </c>
      <c r="D199" s="37" t="s">
        <v>87</v>
      </c>
      <c r="E199" s="37">
        <f>'2019_Download_5-1-1'!D87</f>
        <v>331.93194</v>
      </c>
    </row>
    <row r="200" spans="1:5" x14ac:dyDescent="0.2">
      <c r="A200" s="10">
        <f>'2019_Download_5-1-1'!C88</f>
        <v>2012</v>
      </c>
      <c r="B200" s="38" t="str">
        <f>'2019_Download_5-1-1'!B88</f>
        <v>Land- und Forstwirtschaft, Fischerei</v>
      </c>
      <c r="C200" s="10" t="str">
        <f>'2019_Download_5-1-1'!$D$8</f>
        <v>Männer</v>
      </c>
      <c r="D200" s="37" t="s">
        <v>87</v>
      </c>
      <c r="E200" s="37">
        <f>'2019_Download_5-1-1'!D88</f>
        <v>4.7484500000000001</v>
      </c>
    </row>
    <row r="201" spans="1:5" x14ac:dyDescent="0.2">
      <c r="A201" s="10">
        <f>'2019_Download_5-1-1'!C89</f>
        <v>2012</v>
      </c>
      <c r="B201" s="38" t="str">
        <f>'2019_Download_5-1-1'!B89</f>
        <v>Bergbau und Gewinnung von Steinen und Erden; Verarbeitendes Gewerbe</v>
      </c>
      <c r="C201" s="10" t="str">
        <f>'2019_Download_5-1-1'!$D$8</f>
        <v>Männer</v>
      </c>
      <c r="D201" s="37" t="s">
        <v>87</v>
      </c>
      <c r="E201" s="37">
        <f>'2019_Download_5-1-1'!D89</f>
        <v>103.27019</v>
      </c>
    </row>
    <row r="202" spans="1:5" x14ac:dyDescent="0.2">
      <c r="A202" s="10">
        <f>'2019_Download_5-1-1'!C90</f>
        <v>2012</v>
      </c>
      <c r="B202" s="38" t="str">
        <f>'2019_Download_5-1-1'!B90</f>
        <v>Energieversorgung; Wasserversorgung, Entsorg., Beseitig. v. Umweltverschmutzungen</v>
      </c>
      <c r="C202" s="10" t="str">
        <f>'2019_Download_5-1-1'!$D$8</f>
        <v>Männer</v>
      </c>
      <c r="D202" s="37" t="s">
        <v>87</v>
      </c>
      <c r="E202" s="37">
        <f>'2019_Download_5-1-1'!D90</f>
        <v>4.6591000000000005</v>
      </c>
    </row>
    <row r="203" spans="1:5" x14ac:dyDescent="0.2">
      <c r="A203" s="10">
        <f>'2019_Download_5-1-1'!C91</f>
        <v>2012</v>
      </c>
      <c r="B203" s="38" t="str">
        <f>'2019_Download_5-1-1'!B91</f>
        <v>Baugewerbe</v>
      </c>
      <c r="C203" s="10" t="str">
        <f>'2019_Download_5-1-1'!$D$8</f>
        <v>Männer</v>
      </c>
      <c r="D203" s="37" t="s">
        <v>87</v>
      </c>
      <c r="E203" s="37">
        <f>'2019_Download_5-1-1'!D91</f>
        <v>36.897529999999996</v>
      </c>
    </row>
    <row r="204" spans="1:5" x14ac:dyDescent="0.2">
      <c r="A204" s="10">
        <f>'2019_Download_5-1-1'!C92</f>
        <v>2012</v>
      </c>
      <c r="B204" s="38" t="str">
        <f>'2019_Download_5-1-1'!B92</f>
        <v>Handel, Instandhaltung und Reparatur von Kfz</v>
      </c>
      <c r="C204" s="10" t="str">
        <f>'2019_Download_5-1-1'!$D$8</f>
        <v>Männer</v>
      </c>
      <c r="D204" s="37" t="s">
        <v>87</v>
      </c>
      <c r="E204" s="37">
        <f>'2019_Download_5-1-1'!D92</f>
        <v>42.788410000000006</v>
      </c>
    </row>
    <row r="205" spans="1:5" x14ac:dyDescent="0.2">
      <c r="A205" s="10">
        <f>'2019_Download_5-1-1'!C93</f>
        <v>2012</v>
      </c>
      <c r="B205" s="38" t="str">
        <f>'2019_Download_5-1-1'!B93</f>
        <v>Verkehr und Lagerei; Information und Kommunikation</v>
      </c>
      <c r="C205" s="10" t="str">
        <f>'2019_Download_5-1-1'!$D$8</f>
        <v>Männer</v>
      </c>
      <c r="D205" s="37" t="s">
        <v>87</v>
      </c>
      <c r="E205" s="37">
        <f>'2019_Download_5-1-1'!D93</f>
        <v>30.841380000000001</v>
      </c>
    </row>
    <row r="206" spans="1:5" x14ac:dyDescent="0.2">
      <c r="A206" s="10">
        <f>'2019_Download_5-1-1'!C94</f>
        <v>2012</v>
      </c>
      <c r="B206" s="38" t="str">
        <f>'2019_Download_5-1-1'!B94</f>
        <v>Gastgewerbe</v>
      </c>
      <c r="C206" s="10" t="str">
        <f>'2019_Download_5-1-1'!$D$8</f>
        <v>Männer</v>
      </c>
      <c r="D206" s="37" t="s">
        <v>87</v>
      </c>
      <c r="E206" s="37">
        <f>'2019_Download_5-1-1'!D94</f>
        <v>21.644099999999998</v>
      </c>
    </row>
    <row r="207" spans="1:5" x14ac:dyDescent="0.2">
      <c r="A207" s="10">
        <f>'2019_Download_5-1-1'!C95</f>
        <v>2012</v>
      </c>
      <c r="B207" s="38" t="str">
        <f>'2019_Download_5-1-1'!B95</f>
        <v>Erbringung von Finanz- und Versicherungsleistungen; Grundstücks- und Wohnungswesen; Freiberufliche, wiss. u. techn. Dienstleistungen; sonst. wirt. Dienstleistungen</v>
      </c>
      <c r="C207" s="10" t="str">
        <f>'2019_Download_5-1-1'!$D$8</f>
        <v>Männer</v>
      </c>
      <c r="D207" s="37" t="s">
        <v>87</v>
      </c>
      <c r="E207" s="37">
        <f>'2019_Download_5-1-1'!D95</f>
        <v>30.431819999999998</v>
      </c>
    </row>
    <row r="208" spans="1:5" x14ac:dyDescent="0.2">
      <c r="A208" s="10">
        <f>'2019_Download_5-1-1'!C96</f>
        <v>2012</v>
      </c>
      <c r="B208" s="38" t="str">
        <f>'2019_Download_5-1-1'!B96</f>
        <v>Öff.Verwaltung, Verteidigung, Sozialversicherung; Erziehung und Unterricht; Gesundheits- und Sozialwesen</v>
      </c>
      <c r="C208" s="10" t="str">
        <f>'2019_Download_5-1-1'!$D$8</f>
        <v>Männer</v>
      </c>
      <c r="D208" s="37" t="s">
        <v>87</v>
      </c>
      <c r="E208" s="37">
        <f>'2019_Download_5-1-1'!D96</f>
        <v>27.84985</v>
      </c>
    </row>
    <row r="209" spans="1:5" x14ac:dyDescent="0.2">
      <c r="A209" s="10">
        <f>'2019_Download_5-1-1'!C97</f>
        <v>2012</v>
      </c>
      <c r="B209" s="38" t="str">
        <f>'2019_Download_5-1-1'!B97</f>
        <v>Kunst, Unterhaltung und Erholung; Erbringung von sonstigen Dienstleistungen</v>
      </c>
      <c r="C209" s="10" t="str">
        <f>'2019_Download_5-1-1'!$D$8</f>
        <v>Männer</v>
      </c>
      <c r="D209" s="37" t="s">
        <v>87</v>
      </c>
      <c r="E209" s="37">
        <f>'2019_Download_5-1-1'!D97</f>
        <v>10.02529</v>
      </c>
    </row>
    <row r="210" spans="1:5" x14ac:dyDescent="0.2">
      <c r="A210" s="10">
        <f>'2019_Download_5-1-1'!C98</f>
        <v>2012</v>
      </c>
      <c r="B210" s="38" t="str">
        <f>'2019_Download_5-1-1'!B98</f>
        <v>Insgesamt (inkl. sonstiger Abschnitte)</v>
      </c>
      <c r="C210" s="10" t="str">
        <f>'2019_Download_5-1-1'!$D$8</f>
        <v>Männer</v>
      </c>
      <c r="D210" s="37" t="s">
        <v>87</v>
      </c>
      <c r="E210" s="37">
        <f>'2019_Download_5-1-1'!D98</f>
        <v>314.28734000000003</v>
      </c>
    </row>
    <row r="211" spans="1:5" x14ac:dyDescent="0.2">
      <c r="A211" s="10">
        <f>'2019_Download_5-1-1'!C99</f>
        <v>2011</v>
      </c>
      <c r="B211" s="38" t="str">
        <f>'2019_Download_5-1-1'!B99</f>
        <v>Land- und Forstwirtschaft, Fischerei</v>
      </c>
      <c r="C211" s="10" t="str">
        <f>'2019_Download_5-1-1'!$D$8</f>
        <v>Männer</v>
      </c>
      <c r="D211" s="37" t="s">
        <v>87</v>
      </c>
      <c r="E211" s="37">
        <f>'2019_Download_5-1-1'!D99</f>
        <v>6.9908100000000006</v>
      </c>
    </row>
    <row r="212" spans="1:5" x14ac:dyDescent="0.2">
      <c r="A212" s="10">
        <f>'2019_Download_5-1-1'!C100</f>
        <v>2011</v>
      </c>
      <c r="B212" s="38" t="str">
        <f>'2019_Download_5-1-1'!B100</f>
        <v>Bergbau und Gewinnung von Steinen und Erden; Verarbeitendes Gewerbe</v>
      </c>
      <c r="C212" s="10" t="str">
        <f>'2019_Download_5-1-1'!$D$8</f>
        <v>Männer</v>
      </c>
      <c r="D212" s="37" t="s">
        <v>87</v>
      </c>
      <c r="E212" s="37">
        <f>'2019_Download_5-1-1'!D100</f>
        <v>97.082039999999992</v>
      </c>
    </row>
    <row r="213" spans="1:5" x14ac:dyDescent="0.2">
      <c r="A213" s="10">
        <f>'2019_Download_5-1-1'!C101</f>
        <v>2011</v>
      </c>
      <c r="B213" s="38" t="str">
        <f>'2019_Download_5-1-1'!B101</f>
        <v>Energieversorgung; Wasserversorgung, Entsorg., Beseitig. v. Umweltverschmutzungen</v>
      </c>
      <c r="C213" s="10" t="str">
        <f>'2019_Download_5-1-1'!$D$8</f>
        <v>Männer</v>
      </c>
      <c r="D213" s="37" t="s">
        <v>87</v>
      </c>
      <c r="E213" s="37">
        <f>'2019_Download_5-1-1'!D101</f>
        <v>6.2511599999999996</v>
      </c>
    </row>
    <row r="214" spans="1:5" x14ac:dyDescent="0.2">
      <c r="A214" s="10">
        <f>'2019_Download_5-1-1'!C102</f>
        <v>2011</v>
      </c>
      <c r="B214" s="38" t="str">
        <f>'2019_Download_5-1-1'!B102</f>
        <v>Baugewerbe</v>
      </c>
      <c r="C214" s="10" t="str">
        <f>'2019_Download_5-1-1'!$D$8</f>
        <v>Männer</v>
      </c>
      <c r="D214" s="37" t="s">
        <v>87</v>
      </c>
      <c r="E214" s="37">
        <f>'2019_Download_5-1-1'!D102</f>
        <v>37.432389999999998</v>
      </c>
    </row>
    <row r="215" spans="1:5" x14ac:dyDescent="0.2">
      <c r="A215" s="10">
        <f>'2019_Download_5-1-1'!C103</f>
        <v>2011</v>
      </c>
      <c r="B215" s="38" t="str">
        <f>'2019_Download_5-1-1'!B103</f>
        <v>Handel, Instandhaltung und Reparatur von Kfz</v>
      </c>
      <c r="C215" s="10" t="str">
        <f>'2019_Download_5-1-1'!$D$8</f>
        <v>Männer</v>
      </c>
      <c r="D215" s="37" t="s">
        <v>87</v>
      </c>
      <c r="E215" s="37">
        <f>'2019_Download_5-1-1'!D103</f>
        <v>44.099319999999999</v>
      </c>
    </row>
    <row r="216" spans="1:5" x14ac:dyDescent="0.2">
      <c r="A216" s="10">
        <f>'2019_Download_5-1-1'!C104</f>
        <v>2011</v>
      </c>
      <c r="B216" s="38" t="str">
        <f>'2019_Download_5-1-1'!B104</f>
        <v>Verkehr und Lagerei; Information und Kommunikation</v>
      </c>
      <c r="C216" s="10" t="str">
        <f>'2019_Download_5-1-1'!$D$8</f>
        <v>Männer</v>
      </c>
      <c r="D216" s="37" t="s">
        <v>87</v>
      </c>
      <c r="E216" s="37">
        <f>'2019_Download_5-1-1'!D104</f>
        <v>28.452869999999997</v>
      </c>
    </row>
    <row r="217" spans="1:5" x14ac:dyDescent="0.2">
      <c r="A217" s="10">
        <f>'2019_Download_5-1-1'!C105</f>
        <v>2011</v>
      </c>
      <c r="B217" s="38" t="str">
        <f>'2019_Download_5-1-1'!B105</f>
        <v>Gastgewerbe</v>
      </c>
      <c r="C217" s="10" t="str">
        <f>'2019_Download_5-1-1'!$D$8</f>
        <v>Männer</v>
      </c>
      <c r="D217" s="37" t="s">
        <v>87</v>
      </c>
      <c r="E217" s="37">
        <f>'2019_Download_5-1-1'!D105</f>
        <v>21.702169999999999</v>
      </c>
    </row>
    <row r="218" spans="1:5" x14ac:dyDescent="0.2">
      <c r="A218" s="10">
        <f>'2019_Download_5-1-1'!C106</f>
        <v>2011</v>
      </c>
      <c r="B218" s="38" t="str">
        <f>'2019_Download_5-1-1'!B106</f>
        <v>Erbringung von Finanz- und Versicherungsleistungen; Grundstücks- und Wohnungswesen; Freiberufliche, wiss. u. techn. Dienstleistungen; sonst. wirt. Dienstleistungen</v>
      </c>
      <c r="C218" s="10" t="str">
        <f>'2019_Download_5-1-1'!$D$8</f>
        <v>Männer</v>
      </c>
      <c r="D218" s="37" t="s">
        <v>87</v>
      </c>
      <c r="E218" s="37">
        <f>'2019_Download_5-1-1'!D106</f>
        <v>28.261490000000002</v>
      </c>
    </row>
    <row r="219" spans="1:5" x14ac:dyDescent="0.2">
      <c r="A219" s="10">
        <f>'2019_Download_5-1-1'!C107</f>
        <v>2011</v>
      </c>
      <c r="B219" s="38" t="str">
        <f>'2019_Download_5-1-1'!B107</f>
        <v>Öff.Verwaltung, Verteidigung, Sozialversicherung; Erziehung und Unterricht; Gesundheits- und Sozialwesen</v>
      </c>
      <c r="C219" s="10" t="str">
        <f>'2019_Download_5-1-1'!$D$8</f>
        <v>Männer</v>
      </c>
      <c r="D219" s="37" t="s">
        <v>87</v>
      </c>
      <c r="E219" s="37">
        <f>'2019_Download_5-1-1'!D107</f>
        <v>25.228020000000001</v>
      </c>
    </row>
    <row r="220" spans="1:5" x14ac:dyDescent="0.2">
      <c r="A220" s="10">
        <f>'2019_Download_5-1-1'!C108</f>
        <v>2011</v>
      </c>
      <c r="B220" s="38" t="str">
        <f>'2019_Download_5-1-1'!B108</f>
        <v>Kunst, Unterhaltung und Erholung; Erbringung von sonstigen Dienstleistungen</v>
      </c>
      <c r="C220" s="10" t="str">
        <f>'2019_Download_5-1-1'!$D$8</f>
        <v>Männer</v>
      </c>
      <c r="D220" s="37" t="s">
        <v>87</v>
      </c>
      <c r="E220" s="37">
        <f>'2019_Download_5-1-1'!D108</f>
        <v>7.7126000000000001</v>
      </c>
    </row>
    <row r="221" spans="1:5" x14ac:dyDescent="0.2">
      <c r="A221" s="10">
        <f>'2019_Download_5-1-1'!C109</f>
        <v>2011</v>
      </c>
      <c r="B221" s="38" t="str">
        <f>'2019_Download_5-1-1'!B109</f>
        <v>Insgesamt (inkl. sonstiger Abschnitte)</v>
      </c>
      <c r="C221" s="10" t="str">
        <f>'2019_Download_5-1-1'!$D$8</f>
        <v>Männer</v>
      </c>
      <c r="D221" s="37" t="s">
        <v>87</v>
      </c>
      <c r="E221" s="37">
        <f>'2019_Download_5-1-1'!D109</f>
        <v>303.62559000000005</v>
      </c>
    </row>
    <row r="222" spans="1:5" x14ac:dyDescent="0.2">
      <c r="A222" s="10">
        <f>'2019_Download_5-1-1'!C110</f>
        <v>2010</v>
      </c>
      <c r="B222" s="38" t="str">
        <f>'2019_Download_5-1-1'!B110</f>
        <v>Land- und Forstwirtschaft, Fischerei</v>
      </c>
      <c r="C222" s="10" t="str">
        <f>'2019_Download_5-1-1'!$D$8</f>
        <v>Männer</v>
      </c>
      <c r="D222" s="37" t="s">
        <v>87</v>
      </c>
      <c r="E222" s="37">
        <f>'2019_Download_5-1-1'!D110</f>
        <v>5.15707</v>
      </c>
    </row>
    <row r="223" spans="1:5" x14ac:dyDescent="0.2">
      <c r="A223" s="10">
        <f>'2019_Download_5-1-1'!C111</f>
        <v>2010</v>
      </c>
      <c r="B223" s="38" t="str">
        <f>'2019_Download_5-1-1'!B111</f>
        <v>Bergbau und Gewinnung von Steinen und Erden; Verarbeitendes Gewerbe</v>
      </c>
      <c r="C223" s="10" t="str">
        <f>'2019_Download_5-1-1'!$D$8</f>
        <v>Männer</v>
      </c>
      <c r="D223" s="37" t="s">
        <v>87</v>
      </c>
      <c r="E223" s="37">
        <f>'2019_Download_5-1-1'!D111</f>
        <v>99.316779999999994</v>
      </c>
    </row>
    <row r="224" spans="1:5" x14ac:dyDescent="0.2">
      <c r="A224" s="10">
        <f>'2019_Download_5-1-1'!C112</f>
        <v>2010</v>
      </c>
      <c r="B224" s="38" t="str">
        <f>'2019_Download_5-1-1'!B112</f>
        <v>Energieversorgung; Wasserversorgung, Entsorg., Beseitig. v. Umweltverschmutzungen</v>
      </c>
      <c r="C224" s="10" t="str">
        <f>'2019_Download_5-1-1'!$D$8</f>
        <v>Männer</v>
      </c>
      <c r="D224" s="37" t="s">
        <v>87</v>
      </c>
      <c r="E224" s="37" t="str">
        <f>'2019_Download_5-1-1'!D112</f>
        <v>/</v>
      </c>
    </row>
    <row r="225" spans="1:5" x14ac:dyDescent="0.2">
      <c r="A225" s="10">
        <f>'2019_Download_5-1-1'!C113</f>
        <v>2010</v>
      </c>
      <c r="B225" s="38" t="str">
        <f>'2019_Download_5-1-1'!B113</f>
        <v>Baugewerbe</v>
      </c>
      <c r="C225" s="10" t="str">
        <f>'2019_Download_5-1-1'!$D$8</f>
        <v>Männer</v>
      </c>
      <c r="D225" s="37" t="s">
        <v>87</v>
      </c>
      <c r="E225" s="37">
        <f>'2019_Download_5-1-1'!D113</f>
        <v>34.972910000000006</v>
      </c>
    </row>
    <row r="226" spans="1:5" x14ac:dyDescent="0.2">
      <c r="A226" s="10">
        <f>'2019_Download_5-1-1'!C114</f>
        <v>2010</v>
      </c>
      <c r="B226" s="38" t="str">
        <f>'2019_Download_5-1-1'!B114</f>
        <v>Handel, Instandhaltung und Reparatur von Kfz</v>
      </c>
      <c r="C226" s="10" t="str">
        <f>'2019_Download_5-1-1'!$D$8</f>
        <v>Männer</v>
      </c>
      <c r="D226" s="37" t="s">
        <v>87</v>
      </c>
      <c r="E226" s="37">
        <f>'2019_Download_5-1-1'!D114</f>
        <v>44.276260000000001</v>
      </c>
    </row>
    <row r="227" spans="1:5" x14ac:dyDescent="0.2">
      <c r="A227" s="10">
        <f>'2019_Download_5-1-1'!C115</f>
        <v>2010</v>
      </c>
      <c r="B227" s="38" t="str">
        <f>'2019_Download_5-1-1'!B115</f>
        <v>Verkehr und Lagerei; Information und Kommunikation</v>
      </c>
      <c r="C227" s="10" t="str">
        <f>'2019_Download_5-1-1'!$D$8</f>
        <v>Männer</v>
      </c>
      <c r="D227" s="37" t="s">
        <v>87</v>
      </c>
      <c r="E227" s="37">
        <f>'2019_Download_5-1-1'!D115</f>
        <v>28.7331</v>
      </c>
    </row>
    <row r="228" spans="1:5" x14ac:dyDescent="0.2">
      <c r="A228" s="10">
        <f>'2019_Download_5-1-1'!C116</f>
        <v>2010</v>
      </c>
      <c r="B228" s="38" t="str">
        <f>'2019_Download_5-1-1'!B116</f>
        <v>Gastgewerbe</v>
      </c>
      <c r="C228" s="10" t="str">
        <f>'2019_Download_5-1-1'!$D$8</f>
        <v>Männer</v>
      </c>
      <c r="D228" s="37" t="s">
        <v>87</v>
      </c>
      <c r="E228" s="37">
        <f>'2019_Download_5-1-1'!D116</f>
        <v>22.546250000000001</v>
      </c>
    </row>
    <row r="229" spans="1:5" x14ac:dyDescent="0.2">
      <c r="A229" s="10">
        <f>'2019_Download_5-1-1'!C117</f>
        <v>2010</v>
      </c>
      <c r="B229" s="38" t="str">
        <f>'2019_Download_5-1-1'!B117</f>
        <v>Erbringung von Finanz- und Versicherungsleistungen; Grundstücks- und Wohnungswesen; Freiberufliche, wiss. u. techn. Dienstleistungen; sonst. wirt. Dienstleistungen</v>
      </c>
      <c r="C229" s="10" t="str">
        <f>'2019_Download_5-1-1'!$D$8</f>
        <v>Männer</v>
      </c>
      <c r="D229" s="37" t="s">
        <v>87</v>
      </c>
      <c r="E229" s="37">
        <f>'2019_Download_5-1-1'!D117</f>
        <v>30.43019</v>
      </c>
    </row>
    <row r="230" spans="1:5" x14ac:dyDescent="0.2">
      <c r="A230" s="10">
        <f>'2019_Download_5-1-1'!C118</f>
        <v>2010</v>
      </c>
      <c r="B230" s="38" t="str">
        <f>'2019_Download_5-1-1'!B118</f>
        <v>Öff.Verwaltung, Verteidigung, Sozialversicherung; Erziehung und Unterricht; Gesundheits- und Sozialwesen</v>
      </c>
      <c r="C230" s="10" t="str">
        <f>'2019_Download_5-1-1'!$D$8</f>
        <v>Männer</v>
      </c>
      <c r="D230" s="37" t="s">
        <v>87</v>
      </c>
      <c r="E230" s="37">
        <f>'2019_Download_5-1-1'!D118</f>
        <v>30.262689999999999</v>
      </c>
    </row>
    <row r="231" spans="1:5" x14ac:dyDescent="0.2">
      <c r="A231" s="10">
        <f>'2019_Download_5-1-1'!C119</f>
        <v>2010</v>
      </c>
      <c r="B231" s="38" t="str">
        <f>'2019_Download_5-1-1'!B119</f>
        <v>Kunst, Unterhaltung und Erholung; Erbringung von sonstigen Dienstleistungen</v>
      </c>
      <c r="C231" s="10" t="str">
        <f>'2019_Download_5-1-1'!$D$8</f>
        <v>Männer</v>
      </c>
      <c r="D231" s="37" t="s">
        <v>87</v>
      </c>
      <c r="E231" s="37">
        <f>'2019_Download_5-1-1'!D119</f>
        <v>8.6783999999999999</v>
      </c>
    </row>
    <row r="232" spans="1:5" x14ac:dyDescent="0.2">
      <c r="A232" s="10">
        <f>'2019_Download_5-1-1'!C120</f>
        <v>2010</v>
      </c>
      <c r="B232" s="38" t="str">
        <f>'2019_Download_5-1-1'!B120</f>
        <v>Insgesamt (inkl. sonstiger Abschnitte)</v>
      </c>
      <c r="C232" s="10" t="str">
        <f>'2019_Download_5-1-1'!$D$8</f>
        <v>Männer</v>
      </c>
      <c r="D232" s="37" t="s">
        <v>87</v>
      </c>
      <c r="E232" s="37">
        <f>'2019_Download_5-1-1'!D120</f>
        <v>309.77222999999998</v>
      </c>
    </row>
    <row r="233" spans="1:5" x14ac:dyDescent="0.2">
      <c r="A233" s="10">
        <f>'2019_Download_5-1-1'!C121</f>
        <v>2005</v>
      </c>
      <c r="B233" s="38" t="str">
        <f>'2019_Download_5-1-1'!B121</f>
        <v>Land- und Forstwirtschaft; Fischerei und Fischzucht</v>
      </c>
      <c r="C233" s="10" t="str">
        <f>'2019_Download_5-1-1'!$D$8</f>
        <v>Männer</v>
      </c>
      <c r="D233" s="37" t="s">
        <v>87</v>
      </c>
      <c r="E233" s="37">
        <f>'2019_Download_5-1-1'!D121</f>
        <v>8.6999999999999993</v>
      </c>
    </row>
    <row r="234" spans="1:5" x14ac:dyDescent="0.2">
      <c r="A234" s="10">
        <f>'2019_Download_5-1-1'!C122</f>
        <v>2005</v>
      </c>
      <c r="B234" s="38" t="str">
        <f>'2019_Download_5-1-1'!B122</f>
        <v>Bergbau und Gewinnung von Steinen und Erden; Verarbeitendes Gewerbe</v>
      </c>
      <c r="C234" s="10" t="str">
        <f>'2019_Download_5-1-1'!$D$8</f>
        <v>Männer</v>
      </c>
      <c r="D234" s="37" t="s">
        <v>87</v>
      </c>
      <c r="E234" s="37">
        <f>'2019_Download_5-1-1'!D122</f>
        <v>91.5</v>
      </c>
    </row>
    <row r="235" spans="1:5" x14ac:dyDescent="0.2">
      <c r="A235" s="10">
        <f>'2019_Download_5-1-1'!C123</f>
        <v>2005</v>
      </c>
      <c r="B235" s="38" t="str">
        <f>'2019_Download_5-1-1'!B123</f>
        <v>Energie- und Wasserversorgung</v>
      </c>
      <c r="C235" s="10" t="str">
        <f>'2019_Download_5-1-1'!$D$8</f>
        <v>Männer</v>
      </c>
      <c r="D235" s="37" t="s">
        <v>87</v>
      </c>
      <c r="E235" s="37" t="str">
        <f>'2019_Download_5-1-1'!D123</f>
        <v>/</v>
      </c>
    </row>
    <row r="236" spans="1:5" x14ac:dyDescent="0.2">
      <c r="A236" s="10">
        <f>'2019_Download_5-1-1'!C124</f>
        <v>2005</v>
      </c>
      <c r="B236" s="38" t="str">
        <f>'2019_Download_5-1-1'!B124</f>
        <v>Baugewerbe</v>
      </c>
      <c r="C236" s="10" t="str">
        <f>'2019_Download_5-1-1'!$D$8</f>
        <v>Männer</v>
      </c>
      <c r="D236" s="37" t="s">
        <v>87</v>
      </c>
      <c r="E236" s="37">
        <f>'2019_Download_5-1-1'!D124</f>
        <v>28.3</v>
      </c>
    </row>
    <row r="237" spans="1:5" x14ac:dyDescent="0.2">
      <c r="A237" s="10">
        <f>'2019_Download_5-1-1'!C125</f>
        <v>2005</v>
      </c>
      <c r="B237" s="38" t="str">
        <f>'2019_Download_5-1-1'!B125</f>
        <v>Handel; Instandhaltung und Reparatur von Kraftfahrzeugen und Gebrauchsgütern</v>
      </c>
      <c r="C237" s="10" t="str">
        <f>'2019_Download_5-1-1'!$D$8</f>
        <v>Männer</v>
      </c>
      <c r="D237" s="37" t="s">
        <v>87</v>
      </c>
      <c r="E237" s="37">
        <f>'2019_Download_5-1-1'!D125</f>
        <v>35.1</v>
      </c>
    </row>
    <row r="238" spans="1:5" x14ac:dyDescent="0.2">
      <c r="A238" s="10">
        <f>'2019_Download_5-1-1'!C126</f>
        <v>2005</v>
      </c>
      <c r="B238" s="38" t="str">
        <f>'2019_Download_5-1-1'!B126</f>
        <v>Gastgewerbe</v>
      </c>
      <c r="C238" s="10" t="str">
        <f>'2019_Download_5-1-1'!$D$8</f>
        <v>Männer</v>
      </c>
      <c r="D238" s="37" t="s">
        <v>87</v>
      </c>
      <c r="E238" s="37">
        <f>'2019_Download_5-1-1'!D126</f>
        <v>23.9</v>
      </c>
    </row>
    <row r="239" spans="1:5" x14ac:dyDescent="0.2">
      <c r="A239" s="10">
        <f>'2019_Download_5-1-1'!C127</f>
        <v>2005</v>
      </c>
      <c r="B239" s="38" t="str">
        <f>'2019_Download_5-1-1'!B127</f>
        <v>Verkehr und Nachrichtenübermittlung</v>
      </c>
      <c r="C239" s="10" t="str">
        <f>'2019_Download_5-1-1'!$D$8</f>
        <v>Männer</v>
      </c>
      <c r="D239" s="37" t="s">
        <v>87</v>
      </c>
      <c r="E239" s="37">
        <f>'2019_Download_5-1-1'!D127</f>
        <v>16.5</v>
      </c>
    </row>
    <row r="240" spans="1:5" x14ac:dyDescent="0.2">
      <c r="A240" s="10">
        <f>'2019_Download_5-1-1'!C128</f>
        <v>2005</v>
      </c>
      <c r="B240" s="38" t="str">
        <f>'2019_Download_5-1-1'!B128</f>
        <v>Kredit- und Versicherungsgewerbe; Grundstücks- und Wohnungswesen, Vermietung beweglicher Sachen, Erbringung von wirt.Dienstleistungen, anderweitig nicht genannt</v>
      </c>
      <c r="C240" s="10" t="str">
        <f>'2019_Download_5-1-1'!$D$8</f>
        <v>Männer</v>
      </c>
      <c r="D240" s="37" t="s">
        <v>87</v>
      </c>
      <c r="E240" s="37">
        <f>'2019_Download_5-1-1'!D128</f>
        <v>18.3</v>
      </c>
    </row>
    <row r="241" spans="1:5" x14ac:dyDescent="0.2">
      <c r="A241" s="10">
        <f>'2019_Download_5-1-1'!C129</f>
        <v>2005</v>
      </c>
      <c r="B241" s="38" t="str">
        <f>'2019_Download_5-1-1'!B129</f>
        <v>Öffentliche Verwaltung, Verteidigung, Sozialversicherung; Erziehung und Unterricht; Gesundheits-, Veterinär- und Sozialwesen</v>
      </c>
      <c r="C241" s="10" t="str">
        <f>'2019_Download_5-1-1'!$D$8</f>
        <v>Männer</v>
      </c>
      <c r="D241" s="37" t="s">
        <v>87</v>
      </c>
      <c r="E241" s="37">
        <f>'2019_Download_5-1-1'!D129</f>
        <v>26.6</v>
      </c>
    </row>
    <row r="242" spans="1:5" x14ac:dyDescent="0.2">
      <c r="A242" s="10">
        <f>'2019_Download_5-1-1'!C130</f>
        <v>2005</v>
      </c>
      <c r="B242" s="38" t="str">
        <f>'2019_Download_5-1-1'!B130</f>
        <v>Erbringung von sonstigen öffentlichen und persönlichen Dienstleistungen</v>
      </c>
      <c r="C242" s="10" t="str">
        <f>'2019_Download_5-1-1'!$D$8</f>
        <v>Männer</v>
      </c>
      <c r="D242" s="37" t="s">
        <v>87</v>
      </c>
      <c r="E242" s="37">
        <f>'2019_Download_5-1-1'!D130</f>
        <v>13.4</v>
      </c>
    </row>
    <row r="243" spans="1:5" x14ac:dyDescent="0.2">
      <c r="A243" s="10">
        <f>'2019_Download_5-1-1'!C131</f>
        <v>2005</v>
      </c>
      <c r="B243" s="38" t="str">
        <f>'2019_Download_5-1-1'!B131</f>
        <v>Insgesamt (inkl. sonstiger Abschnitte)</v>
      </c>
      <c r="C243" s="10" t="str">
        <f>'2019_Download_5-1-1'!$D$8</f>
        <v>Männer</v>
      </c>
      <c r="D243" s="37" t="s">
        <v>87</v>
      </c>
      <c r="E243" s="37">
        <f>'2019_Download_5-1-1'!D131</f>
        <v>264.8</v>
      </c>
    </row>
    <row r="244" spans="1:5" x14ac:dyDescent="0.2">
      <c r="A244" s="10">
        <f>'2019_Download_5-1-1'!C11</f>
        <v>2019</v>
      </c>
      <c r="B244" s="38" t="str">
        <f>'2019_Download_5-1-1'!B11</f>
        <v>Land- und Forstwirtschaft, Fischerei</v>
      </c>
      <c r="C244" s="10" t="str">
        <f>'2019_Download_5-1-1'!$E$8</f>
        <v>Frauen</v>
      </c>
      <c r="D244" s="37" t="s">
        <v>87</v>
      </c>
      <c r="E244" s="37">
        <f>'2019_Download_5-1-1'!E11</f>
        <v>3.3266199999999997</v>
      </c>
    </row>
    <row r="245" spans="1:5" x14ac:dyDescent="0.2">
      <c r="A245" s="10">
        <f>'2019_Download_5-1-1'!C12</f>
        <v>2019</v>
      </c>
      <c r="B245" s="38" t="str">
        <f>'2019_Download_5-1-1'!B12</f>
        <v>Bergbau und Gewinnung von Steinen und Erden; Verarbeitendes Gewerbe</v>
      </c>
      <c r="C245" s="10" t="str">
        <f>'2019_Download_5-1-1'!$E$8</f>
        <v>Frauen</v>
      </c>
      <c r="D245" s="37" t="s">
        <v>87</v>
      </c>
      <c r="E245" s="37">
        <f>'2019_Download_5-1-1'!E12</f>
        <v>43.812690000000003</v>
      </c>
    </row>
    <row r="246" spans="1:5" x14ac:dyDescent="0.2">
      <c r="A246" s="10">
        <f>'2019_Download_5-1-1'!C13</f>
        <v>2019</v>
      </c>
      <c r="B246" s="38" t="str">
        <f>'2019_Download_5-1-1'!B13</f>
        <v>Energieversorgung; Wasserversorgung, Entsorg., Beseitig. v. Umweltverschmutzungen</v>
      </c>
      <c r="C246" s="10" t="str">
        <f>'2019_Download_5-1-1'!$E$8</f>
        <v>Frauen</v>
      </c>
      <c r="D246" s="37" t="s">
        <v>87</v>
      </c>
      <c r="E246" s="37">
        <f>'2019_Download_5-1-1'!E13</f>
        <v>1.97601</v>
      </c>
    </row>
    <row r="247" spans="1:5" x14ac:dyDescent="0.2">
      <c r="A247" s="10">
        <f>'2019_Download_5-1-1'!C14</f>
        <v>2019</v>
      </c>
      <c r="B247" s="38" t="str">
        <f>'2019_Download_5-1-1'!B14</f>
        <v>Baugewerbe</v>
      </c>
      <c r="C247" s="10" t="str">
        <f>'2019_Download_5-1-1'!$E$8</f>
        <v>Frauen</v>
      </c>
      <c r="D247" s="37" t="s">
        <v>87</v>
      </c>
      <c r="E247" s="37">
        <f>'2019_Download_5-1-1'!E14</f>
        <v>7.3893900000000006</v>
      </c>
    </row>
    <row r="248" spans="1:5" x14ac:dyDescent="0.2">
      <c r="A248" s="10">
        <f>'2019_Download_5-1-1'!C15</f>
        <v>2019</v>
      </c>
      <c r="B248" s="38" t="str">
        <f>'2019_Download_5-1-1'!B15</f>
        <v>Handel, Instandhaltung und Reparatur von Kfz</v>
      </c>
      <c r="C248" s="10" t="str">
        <f>'2019_Download_5-1-1'!$E$8</f>
        <v>Frauen</v>
      </c>
      <c r="D248" s="37" t="s">
        <v>87</v>
      </c>
      <c r="E248" s="37">
        <f>'2019_Download_5-1-1'!E15</f>
        <v>60.605710000000002</v>
      </c>
    </row>
    <row r="249" spans="1:5" x14ac:dyDescent="0.2">
      <c r="A249" s="10">
        <f>'2019_Download_5-1-1'!C16</f>
        <v>2019</v>
      </c>
      <c r="B249" s="38" t="str">
        <f>'2019_Download_5-1-1'!B16</f>
        <v>Verkehr und Lagerei; Information und Kommunikation</v>
      </c>
      <c r="C249" s="10" t="str">
        <f>'2019_Download_5-1-1'!$E$8</f>
        <v>Frauen</v>
      </c>
      <c r="D249" s="37" t="s">
        <v>87</v>
      </c>
      <c r="E249" s="37">
        <f>'2019_Download_5-1-1'!E16</f>
        <v>12.738959999999999</v>
      </c>
    </row>
    <row r="250" spans="1:5" x14ac:dyDescent="0.2">
      <c r="A250" s="10">
        <f>'2019_Download_5-1-1'!C17</f>
        <v>2019</v>
      </c>
      <c r="B250" s="38" t="str">
        <f>'2019_Download_5-1-1'!B17</f>
        <v>Gastgewerbe</v>
      </c>
      <c r="C250" s="10" t="str">
        <f>'2019_Download_5-1-1'!$E$8</f>
        <v>Frauen</v>
      </c>
      <c r="D250" s="37" t="s">
        <v>87</v>
      </c>
      <c r="E250" s="37">
        <f>'2019_Download_5-1-1'!E17</f>
        <v>25.85134</v>
      </c>
    </row>
    <row r="251" spans="1:5" x14ac:dyDescent="0.2">
      <c r="A251" s="10">
        <f>'2019_Download_5-1-1'!C18</f>
        <v>2019</v>
      </c>
      <c r="B251" s="38" t="str">
        <f>'2019_Download_5-1-1'!B18</f>
        <v>Erbringung von Finanz- und Versicherungsleistungen; Grundstücks- und Wohnungswesen; Freiberufliche, wiss. u. techn. Dienstleistungen; sonst. wirt. Dienstleistungen</v>
      </c>
      <c r="C251" s="10" t="str">
        <f>'2019_Download_5-1-1'!$E$8</f>
        <v>Frauen</v>
      </c>
      <c r="D251" s="37" t="s">
        <v>87</v>
      </c>
      <c r="E251" s="37">
        <f>'2019_Download_5-1-1'!E18</f>
        <v>48.489089999999997</v>
      </c>
    </row>
    <row r="252" spans="1:5" x14ac:dyDescent="0.2">
      <c r="A252" s="10">
        <f>'2019_Download_5-1-1'!C19</f>
        <v>2019</v>
      </c>
      <c r="B252" s="38" t="str">
        <f>'2019_Download_5-1-1'!B19</f>
        <v>ÖffentlicheVerwaltung, Verteidigung, Sozialversicherung; Erziehung und Unterricht; Gesundheits- und Sozialwesen</v>
      </c>
      <c r="C252" s="10" t="str">
        <f>'2019_Download_5-1-1'!$E$8</f>
        <v>Frauen</v>
      </c>
      <c r="D252" s="37" t="s">
        <v>87</v>
      </c>
      <c r="E252" s="37">
        <f>'2019_Download_5-1-1'!E19</f>
        <v>117.28994999999999</v>
      </c>
    </row>
    <row r="253" spans="1:5" x14ac:dyDescent="0.2">
      <c r="A253" s="10">
        <f>'2019_Download_5-1-1'!C20</f>
        <v>2019</v>
      </c>
      <c r="B253" s="38" t="str">
        <f>'2019_Download_5-1-1'!B20</f>
        <v>Kunst, Unterhaltung und Erholung; Erbringung von sonstigen Dienstleistungen</v>
      </c>
      <c r="C253" s="10" t="str">
        <f>'2019_Download_5-1-1'!$E$8</f>
        <v>Frauen</v>
      </c>
      <c r="D253" s="37" t="s">
        <v>87</v>
      </c>
      <c r="E253" s="37">
        <f>'2019_Download_5-1-1'!E20</f>
        <v>19.337029999999999</v>
      </c>
    </row>
    <row r="254" spans="1:5" x14ac:dyDescent="0.2">
      <c r="A254" s="10">
        <f>'2019_Download_5-1-1'!C21</f>
        <v>2019</v>
      </c>
      <c r="B254" s="38" t="str">
        <f>'2019_Download_5-1-1'!B21</f>
        <v>Insgesamt (inkl. sonstiger Abschnitte)</v>
      </c>
      <c r="C254" s="10" t="str">
        <f>'2019_Download_5-1-1'!$E$8</f>
        <v>Frauen</v>
      </c>
      <c r="D254" s="37" t="s">
        <v>87</v>
      </c>
      <c r="E254" s="37">
        <f>'2019_Download_5-1-1'!E21</f>
        <v>348.16636</v>
      </c>
    </row>
    <row r="255" spans="1:5" x14ac:dyDescent="0.2">
      <c r="A255" s="10">
        <f>'2019_Download_5-1-1'!C22</f>
        <v>2018</v>
      </c>
      <c r="B255" s="38" t="str">
        <f>'2019_Download_5-1-1'!B22</f>
        <v>Land- und Forstwirtschaft, Fischerei</v>
      </c>
      <c r="C255" s="10" t="str">
        <f>'2019_Download_5-1-1'!$E$8</f>
        <v>Frauen</v>
      </c>
      <c r="D255" s="37" t="s">
        <v>87</v>
      </c>
      <c r="E255" s="37">
        <f>'2019_Download_5-1-1'!E22</f>
        <v>4.9123299999999999</v>
      </c>
    </row>
    <row r="256" spans="1:5" x14ac:dyDescent="0.2">
      <c r="A256" s="10">
        <f>'2019_Download_5-1-1'!C23</f>
        <v>2018</v>
      </c>
      <c r="B256" s="38" t="str">
        <f>'2019_Download_5-1-1'!B23</f>
        <v>Bergbau und Gewinnung von Steinen und Erden; Verarbeitendes Gewerbe</v>
      </c>
      <c r="C256" s="10" t="str">
        <f>'2019_Download_5-1-1'!$E$8</f>
        <v>Frauen</v>
      </c>
      <c r="D256" s="37" t="s">
        <v>87</v>
      </c>
      <c r="E256" s="37">
        <f>'2019_Download_5-1-1'!E23</f>
        <v>45.829940000000001</v>
      </c>
    </row>
    <row r="257" spans="1:5" x14ac:dyDescent="0.2">
      <c r="A257" s="10">
        <f>'2019_Download_5-1-1'!C24</f>
        <v>2018</v>
      </c>
      <c r="B257" s="38" t="str">
        <f>'2019_Download_5-1-1'!B24</f>
        <v>Energieversorgung; Wasserversorgung, Entsorg., Beseitig. v. Umweltverschmutzungen</v>
      </c>
      <c r="C257" s="10" t="str">
        <f>'2019_Download_5-1-1'!$E$8</f>
        <v>Frauen</v>
      </c>
      <c r="D257" s="37" t="s">
        <v>87</v>
      </c>
      <c r="E257" s="37">
        <f>'2019_Download_5-1-1'!E24</f>
        <v>1.99579</v>
      </c>
    </row>
    <row r="258" spans="1:5" x14ac:dyDescent="0.2">
      <c r="A258" s="10">
        <f>'2019_Download_5-1-1'!C25</f>
        <v>2018</v>
      </c>
      <c r="B258" s="38" t="str">
        <f>'2019_Download_5-1-1'!B25</f>
        <v>Baugewerbe</v>
      </c>
      <c r="C258" s="10" t="str">
        <f>'2019_Download_5-1-1'!$E$8</f>
        <v>Frauen</v>
      </c>
      <c r="D258" s="37" t="s">
        <v>87</v>
      </c>
      <c r="E258" s="37">
        <f>'2019_Download_5-1-1'!E25</f>
        <v>6.5473500000000007</v>
      </c>
    </row>
    <row r="259" spans="1:5" x14ac:dyDescent="0.2">
      <c r="A259" s="10">
        <f>'2019_Download_5-1-1'!C26</f>
        <v>2018</v>
      </c>
      <c r="B259" s="38" t="str">
        <f>'2019_Download_5-1-1'!B26</f>
        <v>Handel, Instandhaltung und Reparatur von Kfz</v>
      </c>
      <c r="C259" s="10" t="str">
        <f>'2019_Download_5-1-1'!$E$8</f>
        <v>Frauen</v>
      </c>
      <c r="D259" s="37" t="s">
        <v>87</v>
      </c>
      <c r="E259" s="37">
        <f>'2019_Download_5-1-1'!E26</f>
        <v>62.089589999999994</v>
      </c>
    </row>
    <row r="260" spans="1:5" x14ac:dyDescent="0.2">
      <c r="A260" s="10">
        <f>'2019_Download_5-1-1'!C27</f>
        <v>2018</v>
      </c>
      <c r="B260" s="38" t="str">
        <f>'2019_Download_5-1-1'!B27</f>
        <v>Verkehr und Lagerei; Information und Kommunikation</v>
      </c>
      <c r="C260" s="10" t="str">
        <f>'2019_Download_5-1-1'!$E$8</f>
        <v>Frauen</v>
      </c>
      <c r="D260" s="37" t="s">
        <v>87</v>
      </c>
      <c r="E260" s="37">
        <f>'2019_Download_5-1-1'!E27</f>
        <v>11.51253</v>
      </c>
    </row>
    <row r="261" spans="1:5" x14ac:dyDescent="0.2">
      <c r="A261" s="10">
        <f>'2019_Download_5-1-1'!C28</f>
        <v>2018</v>
      </c>
      <c r="B261" s="38" t="str">
        <f>'2019_Download_5-1-1'!B28</f>
        <v>Gastgewerbe</v>
      </c>
      <c r="C261" s="10" t="str">
        <f>'2019_Download_5-1-1'!$E$8</f>
        <v>Frauen</v>
      </c>
      <c r="D261" s="37" t="s">
        <v>87</v>
      </c>
      <c r="E261" s="37">
        <f>'2019_Download_5-1-1'!E28</f>
        <v>26.750160000000001</v>
      </c>
    </row>
    <row r="262" spans="1:5" x14ac:dyDescent="0.2">
      <c r="A262" s="10">
        <f>'2019_Download_5-1-1'!C29</f>
        <v>2018</v>
      </c>
      <c r="B262" s="38" t="str">
        <f>'2019_Download_5-1-1'!B29</f>
        <v>Erbringung von Finanz- und Versicherungsleistungen; Grundstücks- und Wohnungswesen; Freiberufliche, wiss. u. techn. Dienstleistungen; sonst. wirt. Dienstleistungen</v>
      </c>
      <c r="C262" s="10" t="str">
        <f>'2019_Download_5-1-1'!$E$8</f>
        <v>Frauen</v>
      </c>
      <c r="D262" s="37" t="s">
        <v>87</v>
      </c>
      <c r="E262" s="37">
        <f>'2019_Download_5-1-1'!E29</f>
        <v>46.75056</v>
      </c>
    </row>
    <row r="263" spans="1:5" x14ac:dyDescent="0.2">
      <c r="A263" s="10">
        <f>'2019_Download_5-1-1'!C30</f>
        <v>2018</v>
      </c>
      <c r="B263" s="38" t="str">
        <f>'2019_Download_5-1-1'!B30</f>
        <v>ÖffentlicheVerwaltung, Verteidigung, Sozialversicherung; Erziehung und Unterricht; Gesundheits- und Sozialwesen</v>
      </c>
      <c r="C263" s="10" t="str">
        <f>'2019_Download_5-1-1'!$E$8</f>
        <v>Frauen</v>
      </c>
      <c r="D263" s="37" t="s">
        <v>87</v>
      </c>
      <c r="E263" s="37">
        <f>'2019_Download_5-1-1'!E30</f>
        <v>113.60674</v>
      </c>
    </row>
    <row r="264" spans="1:5" x14ac:dyDescent="0.2">
      <c r="A264" s="10">
        <f>'2019_Download_5-1-1'!C31</f>
        <v>2018</v>
      </c>
      <c r="B264" s="38" t="str">
        <f>'2019_Download_5-1-1'!B31</f>
        <v>Kunst, Unterhaltung und Erholung; Erbringung von sonstigen Dienstleistungen</v>
      </c>
      <c r="C264" s="10" t="str">
        <f>'2019_Download_5-1-1'!$E$8</f>
        <v>Frauen</v>
      </c>
      <c r="D264" s="37" t="s">
        <v>87</v>
      </c>
      <c r="E264" s="37">
        <f>'2019_Download_5-1-1'!E31</f>
        <v>19.546150000000001</v>
      </c>
    </row>
    <row r="265" spans="1:5" x14ac:dyDescent="0.2">
      <c r="A265" s="10">
        <f>'2019_Download_5-1-1'!C32</f>
        <v>2018</v>
      </c>
      <c r="B265" s="38" t="str">
        <f>'2019_Download_5-1-1'!B32</f>
        <v>Insgesamt (inkl. sonstiger Abschnitte)</v>
      </c>
      <c r="C265" s="10" t="str">
        <f>'2019_Download_5-1-1'!$E$8</f>
        <v>Frauen</v>
      </c>
      <c r="D265" s="37" t="s">
        <v>87</v>
      </c>
      <c r="E265" s="37">
        <f>'2019_Download_5-1-1'!E32</f>
        <v>345.17609999999996</v>
      </c>
    </row>
    <row r="266" spans="1:5" x14ac:dyDescent="0.2">
      <c r="A266" s="10">
        <f>'2019_Download_5-1-1'!C33</f>
        <v>2017</v>
      </c>
      <c r="B266" s="38" t="str">
        <f>'2019_Download_5-1-1'!B33</f>
        <v>Land- und Forstwirtschaft, Fischerei</v>
      </c>
      <c r="C266" s="10" t="str">
        <f>'2019_Download_5-1-1'!$E$8</f>
        <v>Frauen</v>
      </c>
      <c r="D266" s="37" t="s">
        <v>87</v>
      </c>
      <c r="E266" s="37">
        <f>'2019_Download_5-1-1'!E33</f>
        <v>3.0600700000000001</v>
      </c>
    </row>
    <row r="267" spans="1:5" x14ac:dyDescent="0.2">
      <c r="A267" s="10">
        <f>'2019_Download_5-1-1'!C34</f>
        <v>2017</v>
      </c>
      <c r="B267" s="38" t="str">
        <f>'2019_Download_5-1-1'!B34</f>
        <v>Bergbau und Gewinnung von Steinen und Erden; Verarbeitendes Gewerbe</v>
      </c>
      <c r="C267" s="10" t="str">
        <f>'2019_Download_5-1-1'!$E$8</f>
        <v>Frauen</v>
      </c>
      <c r="D267" s="37" t="s">
        <v>87</v>
      </c>
      <c r="E267" s="37">
        <f>'2019_Download_5-1-1'!E34</f>
        <v>41.608449999999998</v>
      </c>
    </row>
    <row r="268" spans="1:5" x14ac:dyDescent="0.2">
      <c r="A268" s="10">
        <f>'2019_Download_5-1-1'!C35</f>
        <v>2017</v>
      </c>
      <c r="B268" s="38" t="str">
        <f>'2019_Download_5-1-1'!B35</f>
        <v>Energieversorgung; Wasserversorgung, Entsorg., Beseitig. v. Umweltverschmutzungen</v>
      </c>
      <c r="C268" s="10" t="str">
        <f>'2019_Download_5-1-1'!$E$8</f>
        <v>Frauen</v>
      </c>
      <c r="D268" s="37" t="s">
        <v>87</v>
      </c>
      <c r="E268" s="37">
        <f>'2019_Download_5-1-1'!E35</f>
        <v>1.7835999999999999</v>
      </c>
    </row>
    <row r="269" spans="1:5" x14ac:dyDescent="0.2">
      <c r="A269" s="10">
        <f>'2019_Download_5-1-1'!C36</f>
        <v>2017</v>
      </c>
      <c r="B269" s="38" t="str">
        <f>'2019_Download_5-1-1'!B36</f>
        <v>Baugewerbe</v>
      </c>
      <c r="C269" s="10" t="str">
        <f>'2019_Download_5-1-1'!$E$8</f>
        <v>Frauen</v>
      </c>
      <c r="D269" s="37" t="s">
        <v>87</v>
      </c>
      <c r="E269" s="37">
        <f>'2019_Download_5-1-1'!E36</f>
        <v>6.4703500000000007</v>
      </c>
    </row>
    <row r="270" spans="1:5" x14ac:dyDescent="0.2">
      <c r="A270" s="10">
        <f>'2019_Download_5-1-1'!C37</f>
        <v>2017</v>
      </c>
      <c r="B270" s="38" t="str">
        <f>'2019_Download_5-1-1'!B37</f>
        <v>Handel, Instandhaltung und Reparatur von Kfz</v>
      </c>
      <c r="C270" s="10" t="str">
        <f>'2019_Download_5-1-1'!$E$8</f>
        <v>Frauen</v>
      </c>
      <c r="D270" s="37" t="s">
        <v>87</v>
      </c>
      <c r="E270" s="37">
        <f>'2019_Download_5-1-1'!E37</f>
        <v>60.129889999999996</v>
      </c>
    </row>
    <row r="271" spans="1:5" x14ac:dyDescent="0.2">
      <c r="A271" s="10">
        <f>'2019_Download_5-1-1'!C38</f>
        <v>2017</v>
      </c>
      <c r="B271" s="38" t="str">
        <f>'2019_Download_5-1-1'!B38</f>
        <v>Verkehr und Lagerei; Information und Kommunikation</v>
      </c>
      <c r="C271" s="10" t="str">
        <f>'2019_Download_5-1-1'!$E$8</f>
        <v>Frauen</v>
      </c>
      <c r="D271" s="37" t="s">
        <v>87</v>
      </c>
      <c r="E271" s="37">
        <f>'2019_Download_5-1-1'!E38</f>
        <v>12.60933</v>
      </c>
    </row>
    <row r="272" spans="1:5" x14ac:dyDescent="0.2">
      <c r="A272" s="10">
        <f>'2019_Download_5-1-1'!C39</f>
        <v>2017</v>
      </c>
      <c r="B272" s="38" t="str">
        <f>'2019_Download_5-1-1'!B39</f>
        <v>Gastgewerbe</v>
      </c>
      <c r="C272" s="10" t="str">
        <f>'2019_Download_5-1-1'!$E$8</f>
        <v>Frauen</v>
      </c>
      <c r="D272" s="37" t="s">
        <v>87</v>
      </c>
      <c r="E272" s="37">
        <f>'2019_Download_5-1-1'!E39</f>
        <v>24.9421</v>
      </c>
    </row>
    <row r="273" spans="1:5" x14ac:dyDescent="0.2">
      <c r="A273" s="10">
        <f>'2019_Download_5-1-1'!C40</f>
        <v>2017</v>
      </c>
      <c r="B273" s="38" t="str">
        <f>'2019_Download_5-1-1'!B40</f>
        <v>Erbringung von Finanz- und Versicherungsleistungen; Grundstücks- und Wohnungswesen; Freiberufliche, wiss. u. techn. Dienstleistungen; sonst. wirt. Dienstleistungen</v>
      </c>
      <c r="C273" s="10" t="str">
        <f>'2019_Download_5-1-1'!$E$8</f>
        <v>Frauen</v>
      </c>
      <c r="D273" s="37" t="s">
        <v>87</v>
      </c>
      <c r="E273" s="37">
        <f>'2019_Download_5-1-1'!E40</f>
        <v>44.583030000000001</v>
      </c>
    </row>
    <row r="274" spans="1:5" x14ac:dyDescent="0.2">
      <c r="A274" s="10">
        <f>'2019_Download_5-1-1'!C41</f>
        <v>2017</v>
      </c>
      <c r="B274" s="38" t="str">
        <f>'2019_Download_5-1-1'!B41</f>
        <v>ÖffentlicheVerwaltung, Verteidigung, Sozialversicherung; Erziehung und Unterricht; Gesundheits- und Sozialwesen</v>
      </c>
      <c r="C274" s="10" t="str">
        <f>'2019_Download_5-1-1'!$E$8</f>
        <v>Frauen</v>
      </c>
      <c r="D274" s="37" t="s">
        <v>87</v>
      </c>
      <c r="E274" s="37">
        <f>'2019_Download_5-1-1'!E41</f>
        <v>109.76472</v>
      </c>
    </row>
    <row r="275" spans="1:5" x14ac:dyDescent="0.2">
      <c r="A275" s="10">
        <f>'2019_Download_5-1-1'!C42</f>
        <v>2017</v>
      </c>
      <c r="B275" s="38" t="str">
        <f>'2019_Download_5-1-1'!B42</f>
        <v>Kunst, Unterhaltung und Erholung; Erbringung von sonstigen Dienstleistungen</v>
      </c>
      <c r="C275" s="10" t="str">
        <f>'2019_Download_5-1-1'!$E$8</f>
        <v>Frauen</v>
      </c>
      <c r="D275" s="37" t="s">
        <v>87</v>
      </c>
      <c r="E275" s="37">
        <f>'2019_Download_5-1-1'!E42</f>
        <v>21.755119999999998</v>
      </c>
    </row>
    <row r="276" spans="1:5" x14ac:dyDescent="0.2">
      <c r="A276" s="10">
        <f>'2019_Download_5-1-1'!C43</f>
        <v>2017</v>
      </c>
      <c r="B276" s="38" t="str">
        <f>'2019_Download_5-1-1'!B43</f>
        <v>Insgesamt (inkl. sonstiger Abschnitte)</v>
      </c>
      <c r="C276" s="10" t="str">
        <f>'2019_Download_5-1-1'!$E$8</f>
        <v>Frauen</v>
      </c>
      <c r="D276" s="37" t="s">
        <v>87</v>
      </c>
      <c r="E276" s="37">
        <f>'2019_Download_5-1-1'!E43</f>
        <v>333.75468999999998</v>
      </c>
    </row>
    <row r="277" spans="1:5" x14ac:dyDescent="0.2">
      <c r="A277" s="10">
        <f>'2019_Download_5-1-1'!C44</f>
        <v>2016</v>
      </c>
      <c r="B277" s="38" t="str">
        <f>'2019_Download_5-1-1'!B44</f>
        <v>Land- und Forstwirtschaft, Fischerei</v>
      </c>
      <c r="C277" s="10" t="str">
        <f>'2019_Download_5-1-1'!$E$8</f>
        <v>Frauen</v>
      </c>
      <c r="D277" s="37" t="s">
        <v>87</v>
      </c>
      <c r="E277" s="37">
        <f>'2019_Download_5-1-1'!E44</f>
        <v>3.02813</v>
      </c>
    </row>
    <row r="278" spans="1:5" x14ac:dyDescent="0.2">
      <c r="A278" s="10">
        <f>'2019_Download_5-1-1'!C45</f>
        <v>2016</v>
      </c>
      <c r="B278" s="38" t="str">
        <f>'2019_Download_5-1-1'!B45</f>
        <v>Bergbau und Gewinnung von Steinen und Erden; Verarbeitendes Gewerbe</v>
      </c>
      <c r="C278" s="10" t="str">
        <f>'2019_Download_5-1-1'!$E$8</f>
        <v>Frauen</v>
      </c>
      <c r="D278" s="37" t="s">
        <v>87</v>
      </c>
      <c r="E278" s="37">
        <f>'2019_Download_5-1-1'!E45</f>
        <v>38.162910000000004</v>
      </c>
    </row>
    <row r="279" spans="1:5" x14ac:dyDescent="0.2">
      <c r="A279" s="10">
        <f>'2019_Download_5-1-1'!C46</f>
        <v>2016</v>
      </c>
      <c r="B279" s="38" t="str">
        <f>'2019_Download_5-1-1'!B46</f>
        <v>Energieversorgung; Wasserversorgung, Entsorg., Beseitig. v. Umweltverschmutzungen</v>
      </c>
      <c r="C279" s="10" t="str">
        <f>'2019_Download_5-1-1'!$E$8</f>
        <v>Frauen</v>
      </c>
      <c r="D279" s="37" t="s">
        <v>87</v>
      </c>
      <c r="E279" s="37">
        <f>'2019_Download_5-1-1'!E46</f>
        <v>1.2434700000000001</v>
      </c>
    </row>
    <row r="280" spans="1:5" x14ac:dyDescent="0.2">
      <c r="A280" s="10">
        <f>'2019_Download_5-1-1'!C47</f>
        <v>2016</v>
      </c>
      <c r="B280" s="38" t="str">
        <f>'2019_Download_5-1-1'!B47</f>
        <v>Baugewerbe</v>
      </c>
      <c r="C280" s="10" t="str">
        <f>'2019_Download_5-1-1'!$E$8</f>
        <v>Frauen</v>
      </c>
      <c r="D280" s="37" t="s">
        <v>87</v>
      </c>
      <c r="E280" s="37">
        <f>'2019_Download_5-1-1'!E47</f>
        <v>5.593</v>
      </c>
    </row>
    <row r="281" spans="1:5" x14ac:dyDescent="0.2">
      <c r="A281" s="10">
        <f>'2019_Download_5-1-1'!C48</f>
        <v>2016</v>
      </c>
      <c r="B281" s="38" t="str">
        <f>'2019_Download_5-1-1'!B48</f>
        <v>Handel, Instandhaltung und Reparatur von Kfz</v>
      </c>
      <c r="C281" s="10" t="str">
        <f>'2019_Download_5-1-1'!$E$8</f>
        <v>Frauen</v>
      </c>
      <c r="D281" s="37" t="s">
        <v>87</v>
      </c>
      <c r="E281" s="37">
        <f>'2019_Download_5-1-1'!E48</f>
        <v>47.769349999999996</v>
      </c>
    </row>
    <row r="282" spans="1:5" x14ac:dyDescent="0.2">
      <c r="A282" s="10">
        <f>'2019_Download_5-1-1'!C49</f>
        <v>2016</v>
      </c>
      <c r="B282" s="38" t="str">
        <f>'2019_Download_5-1-1'!B49</f>
        <v>Verkehr und Lagerei; Information und Kommunikation</v>
      </c>
      <c r="C282" s="10" t="str">
        <f>'2019_Download_5-1-1'!$E$8</f>
        <v>Frauen</v>
      </c>
      <c r="D282" s="37" t="s">
        <v>87</v>
      </c>
      <c r="E282" s="37">
        <f>'2019_Download_5-1-1'!E49</f>
        <v>10.64142</v>
      </c>
    </row>
    <row r="283" spans="1:5" x14ac:dyDescent="0.2">
      <c r="A283" s="10">
        <f>'2019_Download_5-1-1'!C50</f>
        <v>2016</v>
      </c>
      <c r="B283" s="38" t="str">
        <f>'2019_Download_5-1-1'!B50</f>
        <v>Gastgewerbe</v>
      </c>
      <c r="C283" s="10" t="str">
        <f>'2019_Download_5-1-1'!$E$8</f>
        <v>Frauen</v>
      </c>
      <c r="D283" s="37" t="s">
        <v>87</v>
      </c>
      <c r="E283" s="37">
        <f>'2019_Download_5-1-1'!E50</f>
        <v>22.56588</v>
      </c>
    </row>
    <row r="284" spans="1:5" x14ac:dyDescent="0.2">
      <c r="A284" s="10">
        <f>'2019_Download_5-1-1'!C51</f>
        <v>2016</v>
      </c>
      <c r="B284" s="38" t="str">
        <f>'2019_Download_5-1-1'!B51</f>
        <v>Erbringung von Finanz- und Versicherungsleistungen; Grundstücks- und Wohnungswesen; Freiberufliche, wiss. u. techn. Dienstleistungen; sonst. wirt. Dienstleistungen</v>
      </c>
      <c r="C284" s="10" t="str">
        <f>'2019_Download_5-1-1'!$E$8</f>
        <v>Frauen</v>
      </c>
      <c r="D284" s="37" t="s">
        <v>87</v>
      </c>
      <c r="E284" s="37">
        <f>'2019_Download_5-1-1'!E51</f>
        <v>41.257449999999999</v>
      </c>
    </row>
    <row r="285" spans="1:5" x14ac:dyDescent="0.2">
      <c r="A285" s="10">
        <f>'2019_Download_5-1-1'!C52</f>
        <v>2016</v>
      </c>
      <c r="B285" s="38" t="str">
        <f>'2019_Download_5-1-1'!B52</f>
        <v>ÖffentlicheVerwaltung, Verteidigung, Sozialversicherung; Erziehung und Unterricht; Gesundheits- und Sozialwesen</v>
      </c>
      <c r="C285" s="10" t="str">
        <f>'2019_Download_5-1-1'!$E$8</f>
        <v>Frauen</v>
      </c>
      <c r="D285" s="37" t="s">
        <v>87</v>
      </c>
      <c r="E285" s="37">
        <f>'2019_Download_5-1-1'!E52</f>
        <v>92.135419999999996</v>
      </c>
    </row>
    <row r="286" spans="1:5" x14ac:dyDescent="0.2">
      <c r="A286" s="10">
        <f>'2019_Download_5-1-1'!C53</f>
        <v>2016</v>
      </c>
      <c r="B286" s="38" t="str">
        <f>'2019_Download_5-1-1'!B53</f>
        <v>Kunst, Unterhaltung und Erholung; Erbringung von sonstigen Dienstleistungen</v>
      </c>
      <c r="C286" s="10" t="str">
        <f>'2019_Download_5-1-1'!$E$8</f>
        <v>Frauen</v>
      </c>
      <c r="D286" s="37" t="s">
        <v>87</v>
      </c>
      <c r="E286" s="37">
        <f>'2019_Download_5-1-1'!E53</f>
        <v>17.925939999999997</v>
      </c>
    </row>
    <row r="287" spans="1:5" x14ac:dyDescent="0.2">
      <c r="A287" s="10">
        <f>'2019_Download_5-1-1'!C54</f>
        <v>2016</v>
      </c>
      <c r="B287" s="38" t="str">
        <f>'2019_Download_5-1-1'!B54</f>
        <v>Insgesamt (inkl. sonstiger Abschnitte)</v>
      </c>
      <c r="C287" s="10" t="str">
        <f>'2019_Download_5-1-1'!$E$8</f>
        <v>Frauen</v>
      </c>
      <c r="D287" s="37" t="s">
        <v>87</v>
      </c>
      <c r="E287" s="37">
        <f>'2019_Download_5-1-1'!E54</f>
        <v>287.50334999999995</v>
      </c>
    </row>
    <row r="288" spans="1:5" x14ac:dyDescent="0.2">
      <c r="A288" s="10">
        <f>'2019_Download_5-1-1'!C55</f>
        <v>2015</v>
      </c>
      <c r="B288" s="38" t="str">
        <f>'2019_Download_5-1-1'!B55</f>
        <v>Land- und Forstwirtschaft, Fischerei</v>
      </c>
      <c r="C288" s="10" t="str">
        <f>'2019_Download_5-1-1'!$E$8</f>
        <v>Frauen</v>
      </c>
      <c r="D288" s="37" t="s">
        <v>87</v>
      </c>
      <c r="E288" s="37">
        <f>'2019_Download_5-1-1'!E55</f>
        <v>2.5444599999999999</v>
      </c>
    </row>
    <row r="289" spans="1:5" x14ac:dyDescent="0.2">
      <c r="A289" s="10">
        <f>'2019_Download_5-1-1'!C56</f>
        <v>2015</v>
      </c>
      <c r="B289" s="38" t="str">
        <f>'2019_Download_5-1-1'!B56</f>
        <v>Bergbau und Gewinnung von Steinen und Erden; Verarbeitendes Gewerbe</v>
      </c>
      <c r="C289" s="10" t="str">
        <f>'2019_Download_5-1-1'!$E$8</f>
        <v>Frauen</v>
      </c>
      <c r="D289" s="37" t="s">
        <v>87</v>
      </c>
      <c r="E289" s="37">
        <f>'2019_Download_5-1-1'!E56</f>
        <v>34.868780000000001</v>
      </c>
    </row>
    <row r="290" spans="1:5" x14ac:dyDescent="0.2">
      <c r="A290" s="10">
        <f>'2019_Download_5-1-1'!C57</f>
        <v>2015</v>
      </c>
      <c r="B290" s="38" t="str">
        <f>'2019_Download_5-1-1'!B57</f>
        <v>Energieversorgung; Wasserversorgung, Entsorg., Beseitig. v. Umweltverschmutzungen</v>
      </c>
      <c r="C290" s="10" t="str">
        <f>'2019_Download_5-1-1'!$E$8</f>
        <v>Frauen</v>
      </c>
      <c r="D290" s="37" t="s">
        <v>87</v>
      </c>
      <c r="E290" s="37">
        <f>'2019_Download_5-1-1'!E57</f>
        <v>1.7591600000000001</v>
      </c>
    </row>
    <row r="291" spans="1:5" x14ac:dyDescent="0.2">
      <c r="A291" s="10">
        <f>'2019_Download_5-1-1'!C58</f>
        <v>2015</v>
      </c>
      <c r="B291" s="38" t="str">
        <f>'2019_Download_5-1-1'!B58</f>
        <v>Baugewerbe</v>
      </c>
      <c r="C291" s="10" t="str">
        <f>'2019_Download_5-1-1'!$E$8</f>
        <v>Frauen</v>
      </c>
      <c r="D291" s="37" t="s">
        <v>87</v>
      </c>
      <c r="E291" s="37">
        <f>'2019_Download_5-1-1'!E58</f>
        <v>3.2217899999999999</v>
      </c>
    </row>
    <row r="292" spans="1:5" x14ac:dyDescent="0.2">
      <c r="A292" s="10">
        <f>'2019_Download_5-1-1'!C59</f>
        <v>2015</v>
      </c>
      <c r="B292" s="38" t="str">
        <f>'2019_Download_5-1-1'!B59</f>
        <v>Handel, Instandhaltung und Reparatur von Kfz</v>
      </c>
      <c r="C292" s="10" t="str">
        <f>'2019_Download_5-1-1'!$E$8</f>
        <v>Frauen</v>
      </c>
      <c r="D292" s="37" t="s">
        <v>87</v>
      </c>
      <c r="E292" s="37">
        <f>'2019_Download_5-1-1'!E59</f>
        <v>43.623470000000005</v>
      </c>
    </row>
    <row r="293" spans="1:5" x14ac:dyDescent="0.2">
      <c r="A293" s="10">
        <f>'2019_Download_5-1-1'!C60</f>
        <v>2015</v>
      </c>
      <c r="B293" s="38" t="str">
        <f>'2019_Download_5-1-1'!B60</f>
        <v>Verkehr und Lagerei; Information und Kommunikation</v>
      </c>
      <c r="C293" s="10" t="str">
        <f>'2019_Download_5-1-1'!$E$8</f>
        <v>Frauen</v>
      </c>
      <c r="D293" s="37" t="s">
        <v>87</v>
      </c>
      <c r="E293" s="37">
        <f>'2019_Download_5-1-1'!E60</f>
        <v>9.3016699999999997</v>
      </c>
    </row>
    <row r="294" spans="1:5" x14ac:dyDescent="0.2">
      <c r="A294" s="10">
        <f>'2019_Download_5-1-1'!C61</f>
        <v>2015</v>
      </c>
      <c r="B294" s="38" t="str">
        <f>'2019_Download_5-1-1'!B61</f>
        <v>Gastgewerbe</v>
      </c>
      <c r="C294" s="10" t="str">
        <f>'2019_Download_5-1-1'!$E$8</f>
        <v>Frauen</v>
      </c>
      <c r="D294" s="37" t="s">
        <v>87</v>
      </c>
      <c r="E294" s="37">
        <f>'2019_Download_5-1-1'!E61</f>
        <v>23.738779999999998</v>
      </c>
    </row>
    <row r="295" spans="1:5" x14ac:dyDescent="0.2">
      <c r="A295" s="10">
        <f>'2019_Download_5-1-1'!C62</f>
        <v>2015</v>
      </c>
      <c r="B295" s="38" t="str">
        <f>'2019_Download_5-1-1'!B62</f>
        <v>Erbringung von Finanz- und Versicherungsleistungen; Grundstücks- und Wohnungswesen; Freiberufliche, wiss. u. techn. Dienstleistungen; sonst. wirt. Dienstleistungen</v>
      </c>
      <c r="C295" s="10" t="str">
        <f>'2019_Download_5-1-1'!$E$8</f>
        <v>Frauen</v>
      </c>
      <c r="D295" s="37" t="s">
        <v>87</v>
      </c>
      <c r="E295" s="37">
        <f>'2019_Download_5-1-1'!E62</f>
        <v>38.966059999999999</v>
      </c>
    </row>
    <row r="296" spans="1:5" x14ac:dyDescent="0.2">
      <c r="A296" s="10">
        <f>'2019_Download_5-1-1'!C63</f>
        <v>2015</v>
      </c>
      <c r="B296" s="38" t="str">
        <f>'2019_Download_5-1-1'!B63</f>
        <v>Öff.Verwaltung, Verteidigung, Sozialversicherung; Erziehung und Unterricht; Gesundheits- und Sozialwesen</v>
      </c>
      <c r="C296" s="10" t="str">
        <f>'2019_Download_5-1-1'!$E$8</f>
        <v>Frauen</v>
      </c>
      <c r="D296" s="37" t="s">
        <v>87</v>
      </c>
      <c r="E296" s="37">
        <f>'2019_Download_5-1-1'!E63</f>
        <v>88.929559999999995</v>
      </c>
    </row>
    <row r="297" spans="1:5" x14ac:dyDescent="0.2">
      <c r="A297" s="10">
        <f>'2019_Download_5-1-1'!C64</f>
        <v>2015</v>
      </c>
      <c r="B297" s="38" t="str">
        <f>'2019_Download_5-1-1'!B64</f>
        <v>Kunst, Unterhaltung und Erholung; Erbringung von sonstigen Dienstleistungen</v>
      </c>
      <c r="C297" s="10" t="str">
        <f>'2019_Download_5-1-1'!$E$8</f>
        <v>Frauen</v>
      </c>
      <c r="D297" s="37" t="s">
        <v>87</v>
      </c>
      <c r="E297" s="37">
        <f>'2019_Download_5-1-1'!E64</f>
        <v>17.819520000000001</v>
      </c>
    </row>
    <row r="298" spans="1:5" x14ac:dyDescent="0.2">
      <c r="A298" s="10">
        <f>'2019_Download_5-1-1'!C65</f>
        <v>2015</v>
      </c>
      <c r="B298" s="38" t="str">
        <f>'2019_Download_5-1-1'!B65</f>
        <v>Insgesamt (inkl. sonstiger Abschnitte)</v>
      </c>
      <c r="C298" s="10" t="str">
        <f>'2019_Download_5-1-1'!$E$8</f>
        <v>Frauen</v>
      </c>
      <c r="D298" s="37" t="s">
        <v>87</v>
      </c>
      <c r="E298" s="37">
        <f>'2019_Download_5-1-1'!E65</f>
        <v>268.76832999999999</v>
      </c>
    </row>
    <row r="299" spans="1:5" x14ac:dyDescent="0.2">
      <c r="A299" s="10">
        <f>'2019_Download_5-1-1'!C66</f>
        <v>2014</v>
      </c>
      <c r="B299" s="38" t="str">
        <f>'2019_Download_5-1-1'!B66</f>
        <v>Land- und Forstwirtschaft, Fischerei</v>
      </c>
      <c r="C299" s="10" t="str">
        <f>'2019_Download_5-1-1'!$E$8</f>
        <v>Frauen</v>
      </c>
      <c r="D299" s="37" t="s">
        <v>87</v>
      </c>
      <c r="E299" s="37">
        <f>'2019_Download_5-1-1'!E66</f>
        <v>3.2820200000000002</v>
      </c>
    </row>
    <row r="300" spans="1:5" x14ac:dyDescent="0.2">
      <c r="A300" s="10">
        <f>'2019_Download_5-1-1'!C67</f>
        <v>2014</v>
      </c>
      <c r="B300" s="38" t="str">
        <f>'2019_Download_5-1-1'!B67</f>
        <v>Bergbau und Gewinnung von Steinen und Erden; Verarbeitendes Gewerbe</v>
      </c>
      <c r="C300" s="10" t="str">
        <f>'2019_Download_5-1-1'!$E$8</f>
        <v>Frauen</v>
      </c>
      <c r="D300" s="37" t="s">
        <v>87</v>
      </c>
      <c r="E300" s="37">
        <f>'2019_Download_5-1-1'!E67</f>
        <v>32.59796</v>
      </c>
    </row>
    <row r="301" spans="1:5" x14ac:dyDescent="0.2">
      <c r="A301" s="10">
        <f>'2019_Download_5-1-1'!C68</f>
        <v>2014</v>
      </c>
      <c r="B301" s="38" t="str">
        <f>'2019_Download_5-1-1'!B68</f>
        <v>Energieversorgung; Wasserversorgung, Entsorg., Beseitig. v. Umweltverschmutzungen</v>
      </c>
      <c r="C301" s="10" t="str">
        <f>'2019_Download_5-1-1'!$E$8</f>
        <v>Frauen</v>
      </c>
      <c r="D301" s="37" t="s">
        <v>87</v>
      </c>
      <c r="E301" s="37">
        <f>'2019_Download_5-1-1'!E68</f>
        <v>1.54582</v>
      </c>
    </row>
    <row r="302" spans="1:5" x14ac:dyDescent="0.2">
      <c r="A302" s="10">
        <f>'2019_Download_5-1-1'!C69</f>
        <v>2014</v>
      </c>
      <c r="B302" s="38" t="str">
        <f>'2019_Download_5-1-1'!B69</f>
        <v>Baugewerbe</v>
      </c>
      <c r="C302" s="10" t="str">
        <f>'2019_Download_5-1-1'!$E$8</f>
        <v>Frauen</v>
      </c>
      <c r="D302" s="37" t="s">
        <v>87</v>
      </c>
      <c r="E302" s="37">
        <f>'2019_Download_5-1-1'!E69</f>
        <v>3.6625999999999999</v>
      </c>
    </row>
    <row r="303" spans="1:5" x14ac:dyDescent="0.2">
      <c r="A303" s="10">
        <f>'2019_Download_5-1-1'!C70</f>
        <v>2014</v>
      </c>
      <c r="B303" s="38" t="str">
        <f>'2019_Download_5-1-1'!B70</f>
        <v>Handel, Instandhaltung und Reparatur von Kfz</v>
      </c>
      <c r="C303" s="10" t="str">
        <f>'2019_Download_5-1-1'!$E$8</f>
        <v>Frauen</v>
      </c>
      <c r="D303" s="37" t="s">
        <v>87</v>
      </c>
      <c r="E303" s="37">
        <f>'2019_Download_5-1-1'!E70</f>
        <v>44.216760000000001</v>
      </c>
    </row>
    <row r="304" spans="1:5" x14ac:dyDescent="0.2">
      <c r="A304" s="10">
        <f>'2019_Download_5-1-1'!C71</f>
        <v>2014</v>
      </c>
      <c r="B304" s="38" t="str">
        <f>'2019_Download_5-1-1'!B71</f>
        <v>Verkehr und Lagerei; Information und Kommunikation</v>
      </c>
      <c r="C304" s="10" t="str">
        <f>'2019_Download_5-1-1'!$E$8</f>
        <v>Frauen</v>
      </c>
      <c r="D304" s="37" t="s">
        <v>87</v>
      </c>
      <c r="E304" s="37">
        <f>'2019_Download_5-1-1'!E71</f>
        <v>9.5218600000000002</v>
      </c>
    </row>
    <row r="305" spans="1:5" x14ac:dyDescent="0.2">
      <c r="A305" s="10">
        <f>'2019_Download_5-1-1'!C72</f>
        <v>2014</v>
      </c>
      <c r="B305" s="38" t="str">
        <f>'2019_Download_5-1-1'!B72</f>
        <v>Gastgewerbe</v>
      </c>
      <c r="C305" s="10" t="str">
        <f>'2019_Download_5-1-1'!$E$8</f>
        <v>Frauen</v>
      </c>
      <c r="D305" s="37" t="s">
        <v>87</v>
      </c>
      <c r="E305" s="37">
        <f>'2019_Download_5-1-1'!E72</f>
        <v>21.421209999999999</v>
      </c>
    </row>
    <row r="306" spans="1:5" x14ac:dyDescent="0.2">
      <c r="A306" s="10">
        <f>'2019_Download_5-1-1'!C73</f>
        <v>2014</v>
      </c>
      <c r="B306" s="38" t="str">
        <f>'2019_Download_5-1-1'!B73</f>
        <v>Erbringung von Finanz- und Versicherungsleistungen; Grundstücks- und Wohnungswesen; Freiberufliche, wiss. u. techn. Dienstleistungen; sonst. wirt. Dienstleistungen</v>
      </c>
      <c r="C306" s="10" t="str">
        <f>'2019_Download_5-1-1'!$E$8</f>
        <v>Frauen</v>
      </c>
      <c r="D306" s="37" t="s">
        <v>87</v>
      </c>
      <c r="E306" s="37">
        <f>'2019_Download_5-1-1'!E73</f>
        <v>38.125860000000003</v>
      </c>
    </row>
    <row r="307" spans="1:5" x14ac:dyDescent="0.2">
      <c r="A307" s="10">
        <f>'2019_Download_5-1-1'!C74</f>
        <v>2014</v>
      </c>
      <c r="B307" s="38" t="str">
        <f>'2019_Download_5-1-1'!B74</f>
        <v>ÖffentlicheVerwaltung, Verteidigung, Sozialversicherung; Erziehung und Unterricht; Gesundheits- und Sozialwesen</v>
      </c>
      <c r="C307" s="10" t="str">
        <f>'2019_Download_5-1-1'!$E$8</f>
        <v>Frauen</v>
      </c>
      <c r="D307" s="37" t="s">
        <v>87</v>
      </c>
      <c r="E307" s="37">
        <f>'2019_Download_5-1-1'!E74</f>
        <v>86.626580000000004</v>
      </c>
    </row>
    <row r="308" spans="1:5" x14ac:dyDescent="0.2">
      <c r="A308" s="10">
        <f>'2019_Download_5-1-1'!C75</f>
        <v>2014</v>
      </c>
      <c r="B308" s="38" t="str">
        <f>'2019_Download_5-1-1'!B75</f>
        <v>Kunst, Unterhaltung und Erholung; Erbringung von sonstigen Dienstleistungen</v>
      </c>
      <c r="C308" s="10" t="str">
        <f>'2019_Download_5-1-1'!$E$8</f>
        <v>Frauen</v>
      </c>
      <c r="D308" s="37" t="s">
        <v>87</v>
      </c>
      <c r="E308" s="37">
        <f>'2019_Download_5-1-1'!E75</f>
        <v>18.08278</v>
      </c>
    </row>
    <row r="309" spans="1:5" x14ac:dyDescent="0.2">
      <c r="A309" s="10">
        <f>'2019_Download_5-1-1'!C76</f>
        <v>2014</v>
      </c>
      <c r="B309" s="38" t="str">
        <f>'2019_Download_5-1-1'!B76</f>
        <v>Insgesamt (inkl. sonstiger Abschnitte)</v>
      </c>
      <c r="C309" s="10" t="str">
        <f>'2019_Download_5-1-1'!$E$8</f>
        <v>Frauen</v>
      </c>
      <c r="D309" s="37" t="s">
        <v>87</v>
      </c>
      <c r="E309" s="37">
        <f>'2019_Download_5-1-1'!E76</f>
        <v>263.93470000000002</v>
      </c>
    </row>
    <row r="310" spans="1:5" x14ac:dyDescent="0.2">
      <c r="A310" s="10">
        <f>'2019_Download_5-1-1'!C77</f>
        <v>2013</v>
      </c>
      <c r="B310" s="38" t="str">
        <f>'2019_Download_5-1-1'!B77</f>
        <v>Land- und Forstwirtschaft, Fischerei</v>
      </c>
      <c r="C310" s="10" t="str">
        <f>'2019_Download_5-1-1'!$E$8</f>
        <v>Frauen</v>
      </c>
      <c r="D310" s="37" t="s">
        <v>87</v>
      </c>
      <c r="E310" s="37">
        <f>'2019_Download_5-1-1'!E77</f>
        <v>2.4824999999999999</v>
      </c>
    </row>
    <row r="311" spans="1:5" x14ac:dyDescent="0.2">
      <c r="A311" s="10">
        <f>'2019_Download_5-1-1'!C78</f>
        <v>2013</v>
      </c>
      <c r="B311" s="38" t="str">
        <f>'2019_Download_5-1-1'!B78</f>
        <v>Bergbau und Gewinnung von Steinen und Erden; Verarbeitendes Gewerbe</v>
      </c>
      <c r="C311" s="10" t="str">
        <f>'2019_Download_5-1-1'!$E$8</f>
        <v>Frauen</v>
      </c>
      <c r="D311" s="37" t="s">
        <v>87</v>
      </c>
      <c r="E311" s="37">
        <f>'2019_Download_5-1-1'!E78</f>
        <v>31.459490000000002</v>
      </c>
    </row>
    <row r="312" spans="1:5" x14ac:dyDescent="0.2">
      <c r="A312" s="10">
        <f>'2019_Download_5-1-1'!C79</f>
        <v>2013</v>
      </c>
      <c r="B312" s="38" t="str">
        <f>'2019_Download_5-1-1'!B79</f>
        <v>Energieversorgung; Wasserversorgung, Entsorg., Beseitig. v. Umweltverschmutzungen</v>
      </c>
      <c r="C312" s="10" t="str">
        <f>'2019_Download_5-1-1'!$E$8</f>
        <v>Frauen</v>
      </c>
      <c r="D312" s="37" t="s">
        <v>87</v>
      </c>
      <c r="E312" s="37">
        <f>'2019_Download_5-1-1'!E79</f>
        <v>2.4439799999999998</v>
      </c>
    </row>
    <row r="313" spans="1:5" x14ac:dyDescent="0.2">
      <c r="A313" s="10">
        <f>'2019_Download_5-1-1'!C80</f>
        <v>2013</v>
      </c>
      <c r="B313" s="38" t="str">
        <f>'2019_Download_5-1-1'!B80</f>
        <v>Baugewerbe</v>
      </c>
      <c r="C313" s="10" t="str">
        <f>'2019_Download_5-1-1'!$E$8</f>
        <v>Frauen</v>
      </c>
      <c r="D313" s="37" t="s">
        <v>87</v>
      </c>
      <c r="E313" s="37">
        <f>'2019_Download_5-1-1'!E80</f>
        <v>4.0673899999999996</v>
      </c>
    </row>
    <row r="314" spans="1:5" x14ac:dyDescent="0.2">
      <c r="A314" s="10">
        <f>'2019_Download_5-1-1'!C81</f>
        <v>2013</v>
      </c>
      <c r="B314" s="38" t="str">
        <f>'2019_Download_5-1-1'!B81</f>
        <v>Handel, Instandhaltung und Reparatur von Kfz</v>
      </c>
      <c r="C314" s="10" t="str">
        <f>'2019_Download_5-1-1'!$E$8</f>
        <v>Frauen</v>
      </c>
      <c r="D314" s="37" t="s">
        <v>87</v>
      </c>
      <c r="E314" s="37">
        <f>'2019_Download_5-1-1'!E81</f>
        <v>45.749169999999999</v>
      </c>
    </row>
    <row r="315" spans="1:5" x14ac:dyDescent="0.2">
      <c r="A315" s="10">
        <f>'2019_Download_5-1-1'!C82</f>
        <v>2013</v>
      </c>
      <c r="B315" s="38" t="str">
        <f>'2019_Download_5-1-1'!B82</f>
        <v>Verkehr und Lagerei; Information und Kommunikation</v>
      </c>
      <c r="C315" s="10" t="str">
        <f>'2019_Download_5-1-1'!$E$8</f>
        <v>Frauen</v>
      </c>
      <c r="D315" s="37" t="s">
        <v>87</v>
      </c>
      <c r="E315" s="37">
        <f>'2019_Download_5-1-1'!E82</f>
        <v>9.9921600000000002</v>
      </c>
    </row>
    <row r="316" spans="1:5" x14ac:dyDescent="0.2">
      <c r="A316" s="10">
        <f>'2019_Download_5-1-1'!C83</f>
        <v>2013</v>
      </c>
      <c r="B316" s="38" t="str">
        <f>'2019_Download_5-1-1'!B83</f>
        <v>Gastgewerbe</v>
      </c>
      <c r="C316" s="10" t="str">
        <f>'2019_Download_5-1-1'!$E$8</f>
        <v>Frauen</v>
      </c>
      <c r="D316" s="37" t="s">
        <v>87</v>
      </c>
      <c r="E316" s="37">
        <f>'2019_Download_5-1-1'!E83</f>
        <v>23.158660000000001</v>
      </c>
    </row>
    <row r="317" spans="1:5" x14ac:dyDescent="0.2">
      <c r="A317" s="10">
        <f>'2019_Download_5-1-1'!C84</f>
        <v>2013</v>
      </c>
      <c r="B317" s="38" t="str">
        <f>'2019_Download_5-1-1'!B84</f>
        <v>Erbringung von Finanz- und Versicherungsleistungen; Grundstücks- und Wohnungswesen; Freiberufliche, wiss. u. techn. Dienstleistungen; sonst. wirt. Dienstleistungen</v>
      </c>
      <c r="C317" s="10" t="str">
        <f>'2019_Download_5-1-1'!$E$8</f>
        <v>Frauen</v>
      </c>
      <c r="D317" s="37" t="s">
        <v>87</v>
      </c>
      <c r="E317" s="37">
        <f>'2019_Download_5-1-1'!E84</f>
        <v>40.841269999999994</v>
      </c>
    </row>
    <row r="318" spans="1:5" x14ac:dyDescent="0.2">
      <c r="A318" s="10">
        <f>'2019_Download_5-1-1'!C85</f>
        <v>2013</v>
      </c>
      <c r="B318" s="38" t="str">
        <f>'2019_Download_5-1-1'!B85</f>
        <v>ÖffentlicheVerwaltung, Verteidigung, Sozialversicherung; Erziehung und Unterricht; Gesundheits- und Sozialwesen</v>
      </c>
      <c r="C318" s="10" t="str">
        <f>'2019_Download_5-1-1'!$E$8</f>
        <v>Frauen</v>
      </c>
      <c r="D318" s="37" t="s">
        <v>87</v>
      </c>
      <c r="E318" s="37">
        <f>'2019_Download_5-1-1'!E85</f>
        <v>83.318579999999997</v>
      </c>
    </row>
    <row r="319" spans="1:5" x14ac:dyDescent="0.2">
      <c r="A319" s="10">
        <f>'2019_Download_5-1-1'!C86</f>
        <v>2013</v>
      </c>
      <c r="B319" s="38" t="str">
        <f>'2019_Download_5-1-1'!B86</f>
        <v>Kunst, Unterhaltung und Erholung; Erbringung von sonstigen Dienstleistungen</v>
      </c>
      <c r="C319" s="10" t="str">
        <f>'2019_Download_5-1-1'!$E$8</f>
        <v>Frauen</v>
      </c>
      <c r="D319" s="37" t="s">
        <v>87</v>
      </c>
      <c r="E319" s="37">
        <f>'2019_Download_5-1-1'!E86</f>
        <v>19.79946</v>
      </c>
    </row>
    <row r="320" spans="1:5" x14ac:dyDescent="0.2">
      <c r="A320" s="10">
        <f>'2019_Download_5-1-1'!C87</f>
        <v>2013</v>
      </c>
      <c r="B320" s="38" t="str">
        <f>'2019_Download_5-1-1'!B87</f>
        <v>Insgesamt (inkl. sonstiger Abschnitte)</v>
      </c>
      <c r="C320" s="10" t="str">
        <f>'2019_Download_5-1-1'!$E$8</f>
        <v>Frauen</v>
      </c>
      <c r="D320" s="37" t="s">
        <v>87</v>
      </c>
      <c r="E320" s="37">
        <f>'2019_Download_5-1-1'!E87</f>
        <v>269.04737</v>
      </c>
    </row>
    <row r="321" spans="1:5" x14ac:dyDescent="0.2">
      <c r="A321" s="10">
        <f>'2019_Download_5-1-1'!C88</f>
        <v>2012</v>
      </c>
      <c r="B321" s="38" t="str">
        <f>'2019_Download_5-1-1'!B88</f>
        <v>Land- und Forstwirtschaft, Fischerei</v>
      </c>
      <c r="C321" s="10" t="str">
        <f>'2019_Download_5-1-1'!$E$8</f>
        <v>Frauen</v>
      </c>
      <c r="D321" s="37" t="s">
        <v>87</v>
      </c>
      <c r="E321" s="37">
        <f>'2019_Download_5-1-1'!E88</f>
        <v>2.3544999999999998</v>
      </c>
    </row>
    <row r="322" spans="1:5" x14ac:dyDescent="0.2">
      <c r="A322" s="10">
        <f>'2019_Download_5-1-1'!C89</f>
        <v>2012</v>
      </c>
      <c r="B322" s="38" t="str">
        <f>'2019_Download_5-1-1'!B89</f>
        <v>Bergbau und Gewinnung von Steinen und Erden; Verarbeitendes Gewerbe</v>
      </c>
      <c r="C322" s="10" t="str">
        <f>'2019_Download_5-1-1'!$E$8</f>
        <v>Frauen</v>
      </c>
      <c r="D322" s="37" t="s">
        <v>87</v>
      </c>
      <c r="E322" s="37">
        <f>'2019_Download_5-1-1'!E89</f>
        <v>28.397169999999999</v>
      </c>
    </row>
    <row r="323" spans="1:5" x14ac:dyDescent="0.2">
      <c r="A323" s="10">
        <f>'2019_Download_5-1-1'!C90</f>
        <v>2012</v>
      </c>
      <c r="B323" s="38" t="str">
        <f>'2019_Download_5-1-1'!B90</f>
        <v>Energieversorgung; Wasserversorgung, Entsorg., Beseitig. v. Umweltverschmutzungen</v>
      </c>
      <c r="C323" s="10" t="str">
        <f>'2019_Download_5-1-1'!$E$8</f>
        <v>Frauen</v>
      </c>
      <c r="D323" s="37" t="s">
        <v>87</v>
      </c>
      <c r="E323" s="37">
        <f>'2019_Download_5-1-1'!E90</f>
        <v>2.0485500000000001</v>
      </c>
    </row>
    <row r="324" spans="1:5" x14ac:dyDescent="0.2">
      <c r="A324" s="10">
        <f>'2019_Download_5-1-1'!C91</f>
        <v>2012</v>
      </c>
      <c r="B324" s="38" t="str">
        <f>'2019_Download_5-1-1'!B91</f>
        <v>Baugewerbe</v>
      </c>
      <c r="C324" s="10" t="str">
        <f>'2019_Download_5-1-1'!$E$8</f>
        <v>Frauen</v>
      </c>
      <c r="D324" s="37" t="s">
        <v>87</v>
      </c>
      <c r="E324" s="37">
        <f>'2019_Download_5-1-1'!E91</f>
        <v>3.5321599999999997</v>
      </c>
    </row>
    <row r="325" spans="1:5" x14ac:dyDescent="0.2">
      <c r="A325" s="10">
        <f>'2019_Download_5-1-1'!C92</f>
        <v>2012</v>
      </c>
      <c r="B325" s="38" t="str">
        <f>'2019_Download_5-1-1'!B92</f>
        <v>Handel, Instandhaltung und Reparatur von Kfz</v>
      </c>
      <c r="C325" s="10" t="str">
        <f>'2019_Download_5-1-1'!$E$8</f>
        <v>Frauen</v>
      </c>
      <c r="D325" s="37" t="s">
        <v>87</v>
      </c>
      <c r="E325" s="37">
        <f>'2019_Download_5-1-1'!E92</f>
        <v>40.614100000000001</v>
      </c>
    </row>
    <row r="326" spans="1:5" x14ac:dyDescent="0.2">
      <c r="A326" s="10">
        <f>'2019_Download_5-1-1'!C93</f>
        <v>2012</v>
      </c>
      <c r="B326" s="38" t="str">
        <f>'2019_Download_5-1-1'!B93</f>
        <v>Verkehr und Lagerei; Information und Kommunikation</v>
      </c>
      <c r="C326" s="10" t="str">
        <f>'2019_Download_5-1-1'!$E$8</f>
        <v>Frauen</v>
      </c>
      <c r="D326" s="37" t="s">
        <v>87</v>
      </c>
      <c r="E326" s="37">
        <f>'2019_Download_5-1-1'!E93</f>
        <v>8.6682299999999994</v>
      </c>
    </row>
    <row r="327" spans="1:5" x14ac:dyDescent="0.2">
      <c r="A327" s="10">
        <f>'2019_Download_5-1-1'!C94</f>
        <v>2012</v>
      </c>
      <c r="B327" s="38" t="str">
        <f>'2019_Download_5-1-1'!B94</f>
        <v>Gastgewerbe</v>
      </c>
      <c r="C327" s="10" t="str">
        <f>'2019_Download_5-1-1'!$E$8</f>
        <v>Frauen</v>
      </c>
      <c r="D327" s="37" t="s">
        <v>87</v>
      </c>
      <c r="E327" s="37">
        <f>'2019_Download_5-1-1'!E94</f>
        <v>23.704169999999998</v>
      </c>
    </row>
    <row r="328" spans="1:5" x14ac:dyDescent="0.2">
      <c r="A328" s="10">
        <f>'2019_Download_5-1-1'!C95</f>
        <v>2012</v>
      </c>
      <c r="B328" s="38" t="str">
        <f>'2019_Download_5-1-1'!B95</f>
        <v>Erbringung von Finanz- und Versicherungsleistungen; Grundstücks- und Wohnungswesen; Freiberufliche, wiss. u. techn. Dienstleistungen; sonst. wirt. Dienstleistungen</v>
      </c>
      <c r="C328" s="10" t="str">
        <f>'2019_Download_5-1-1'!$E$8</f>
        <v>Frauen</v>
      </c>
      <c r="D328" s="37" t="s">
        <v>87</v>
      </c>
      <c r="E328" s="37">
        <f>'2019_Download_5-1-1'!E95</f>
        <v>34.406230000000001</v>
      </c>
    </row>
    <row r="329" spans="1:5" x14ac:dyDescent="0.2">
      <c r="A329" s="10">
        <f>'2019_Download_5-1-1'!C96</f>
        <v>2012</v>
      </c>
      <c r="B329" s="38" t="str">
        <f>'2019_Download_5-1-1'!B96</f>
        <v>Öff.Verwaltung, Verteidigung, Sozialversicherung; Erziehung und Unterricht; Gesundheits- und Sozialwesen</v>
      </c>
      <c r="C329" s="10" t="str">
        <f>'2019_Download_5-1-1'!$E$8</f>
        <v>Frauen</v>
      </c>
      <c r="D329" s="37" t="s">
        <v>87</v>
      </c>
      <c r="E329" s="37">
        <f>'2019_Download_5-1-1'!E96</f>
        <v>79.877619999999993</v>
      </c>
    </row>
    <row r="330" spans="1:5" x14ac:dyDescent="0.2">
      <c r="A330" s="10">
        <f>'2019_Download_5-1-1'!C97</f>
        <v>2012</v>
      </c>
      <c r="B330" s="38" t="str">
        <f>'2019_Download_5-1-1'!B97</f>
        <v>Kunst, Unterhaltung und Erholung; Erbringung von sonstigen Dienstleistungen</v>
      </c>
      <c r="C330" s="10" t="str">
        <f>'2019_Download_5-1-1'!$E$8</f>
        <v>Frauen</v>
      </c>
      <c r="D330" s="37" t="s">
        <v>87</v>
      </c>
      <c r="E330" s="37">
        <f>'2019_Download_5-1-1'!E97</f>
        <v>21.0427</v>
      </c>
    </row>
    <row r="331" spans="1:5" x14ac:dyDescent="0.2">
      <c r="A331" s="10">
        <f>'2019_Download_5-1-1'!C98</f>
        <v>2012</v>
      </c>
      <c r="B331" s="38" t="str">
        <f>'2019_Download_5-1-1'!B98</f>
        <v>Insgesamt (inkl. sonstiger Abschnitte)</v>
      </c>
      <c r="C331" s="10" t="str">
        <f>'2019_Download_5-1-1'!$E$8</f>
        <v>Frauen</v>
      </c>
      <c r="D331" s="37" t="s">
        <v>87</v>
      </c>
      <c r="E331" s="37">
        <f>'2019_Download_5-1-1'!E98</f>
        <v>251.34277</v>
      </c>
    </row>
    <row r="332" spans="1:5" x14ac:dyDescent="0.2">
      <c r="A332" s="10">
        <f>'2019_Download_5-1-1'!C99</f>
        <v>2011</v>
      </c>
      <c r="B332" s="38" t="str">
        <f>'2019_Download_5-1-1'!B99</f>
        <v>Land- und Forstwirtschaft, Fischerei</v>
      </c>
      <c r="C332" s="10" t="str">
        <f>'2019_Download_5-1-1'!$E$8</f>
        <v>Frauen</v>
      </c>
      <c r="D332" s="37" t="s">
        <v>87</v>
      </c>
      <c r="E332" s="37">
        <f>'2019_Download_5-1-1'!E99</f>
        <v>2.84619</v>
      </c>
    </row>
    <row r="333" spans="1:5" x14ac:dyDescent="0.2">
      <c r="A333" s="10">
        <f>'2019_Download_5-1-1'!C100</f>
        <v>2011</v>
      </c>
      <c r="B333" s="38" t="str">
        <f>'2019_Download_5-1-1'!B100</f>
        <v>Bergbau und Gewinnung von Steinen und Erden; Verarbeitendes Gewerbe</v>
      </c>
      <c r="C333" s="10" t="str">
        <f>'2019_Download_5-1-1'!$E$8</f>
        <v>Frauen</v>
      </c>
      <c r="D333" s="37" t="s">
        <v>87</v>
      </c>
      <c r="E333" s="37">
        <f>'2019_Download_5-1-1'!E100</f>
        <v>30.17259</v>
      </c>
    </row>
    <row r="334" spans="1:5" x14ac:dyDescent="0.2">
      <c r="A334" s="10">
        <f>'2019_Download_5-1-1'!C101</f>
        <v>2011</v>
      </c>
      <c r="B334" s="38" t="str">
        <f>'2019_Download_5-1-1'!B101</f>
        <v>Energieversorgung; Wasserversorgung, Entsorg., Beseitig. v. Umweltverschmutzungen</v>
      </c>
      <c r="C334" s="10" t="str">
        <f>'2019_Download_5-1-1'!$E$8</f>
        <v>Frauen</v>
      </c>
      <c r="D334" s="37" t="s">
        <v>87</v>
      </c>
      <c r="E334" s="37">
        <f>'2019_Download_5-1-1'!E101</f>
        <v>1.1867399999999999</v>
      </c>
    </row>
    <row r="335" spans="1:5" x14ac:dyDescent="0.2">
      <c r="A335" s="10">
        <f>'2019_Download_5-1-1'!C102</f>
        <v>2011</v>
      </c>
      <c r="B335" s="38" t="str">
        <f>'2019_Download_5-1-1'!B102</f>
        <v>Baugewerbe</v>
      </c>
      <c r="C335" s="10" t="str">
        <f>'2019_Download_5-1-1'!$E$8</f>
        <v>Frauen</v>
      </c>
      <c r="D335" s="37" t="s">
        <v>87</v>
      </c>
      <c r="E335" s="37">
        <f>'2019_Download_5-1-1'!E102</f>
        <v>3.95919</v>
      </c>
    </row>
    <row r="336" spans="1:5" x14ac:dyDescent="0.2">
      <c r="A336" s="10">
        <f>'2019_Download_5-1-1'!C103</f>
        <v>2011</v>
      </c>
      <c r="B336" s="38" t="str">
        <f>'2019_Download_5-1-1'!B103</f>
        <v>Handel, Instandhaltung und Reparatur von Kfz</v>
      </c>
      <c r="C336" s="10" t="str">
        <f>'2019_Download_5-1-1'!$E$8</f>
        <v>Frauen</v>
      </c>
      <c r="D336" s="37" t="s">
        <v>87</v>
      </c>
      <c r="E336" s="37">
        <f>'2019_Download_5-1-1'!E103</f>
        <v>42.393800000000006</v>
      </c>
    </row>
    <row r="337" spans="1:5" x14ac:dyDescent="0.2">
      <c r="A337" s="10">
        <f>'2019_Download_5-1-1'!C104</f>
        <v>2011</v>
      </c>
      <c r="B337" s="38" t="str">
        <f>'2019_Download_5-1-1'!B104</f>
        <v>Verkehr und Lagerei; Information und Kommunikation</v>
      </c>
      <c r="C337" s="10" t="str">
        <f>'2019_Download_5-1-1'!$E$8</f>
        <v>Frauen</v>
      </c>
      <c r="D337" s="37" t="s">
        <v>87</v>
      </c>
      <c r="E337" s="37">
        <f>'2019_Download_5-1-1'!E104</f>
        <v>7.19041</v>
      </c>
    </row>
    <row r="338" spans="1:5" x14ac:dyDescent="0.2">
      <c r="A338" s="10">
        <f>'2019_Download_5-1-1'!C105</f>
        <v>2011</v>
      </c>
      <c r="B338" s="38" t="str">
        <f>'2019_Download_5-1-1'!B105</f>
        <v>Gastgewerbe</v>
      </c>
      <c r="C338" s="10" t="str">
        <f>'2019_Download_5-1-1'!$E$8</f>
        <v>Frauen</v>
      </c>
      <c r="D338" s="37" t="s">
        <v>87</v>
      </c>
      <c r="E338" s="37">
        <f>'2019_Download_5-1-1'!E105</f>
        <v>21.758330000000001</v>
      </c>
    </row>
    <row r="339" spans="1:5" x14ac:dyDescent="0.2">
      <c r="A339" s="10">
        <f>'2019_Download_5-1-1'!C106</f>
        <v>2011</v>
      </c>
      <c r="B339" s="38" t="str">
        <f>'2019_Download_5-1-1'!B106</f>
        <v>Erbringung von Finanz- und Versicherungsleistungen; Grundstücks- und Wohnungswesen; Freiberufliche, wiss. u. techn. Dienstleistungen; sonst. wirt. Dienstleistungen</v>
      </c>
      <c r="C339" s="10" t="str">
        <f>'2019_Download_5-1-1'!$E$8</f>
        <v>Frauen</v>
      </c>
      <c r="D339" s="37" t="s">
        <v>87</v>
      </c>
      <c r="E339" s="37">
        <f>'2019_Download_5-1-1'!E106</f>
        <v>37.508559999999996</v>
      </c>
    </row>
    <row r="340" spans="1:5" x14ac:dyDescent="0.2">
      <c r="A340" s="10">
        <f>'2019_Download_5-1-1'!C107</f>
        <v>2011</v>
      </c>
      <c r="B340" s="38" t="str">
        <f>'2019_Download_5-1-1'!B107</f>
        <v>Öff.Verwaltung, Verteidigung, Sozialversicherung; Erziehung und Unterricht; Gesundheits- und Sozialwesen</v>
      </c>
      <c r="C340" s="10" t="str">
        <f>'2019_Download_5-1-1'!$E$8</f>
        <v>Frauen</v>
      </c>
      <c r="D340" s="37" t="s">
        <v>87</v>
      </c>
      <c r="E340" s="37">
        <f>'2019_Download_5-1-1'!E107</f>
        <v>76.428370000000001</v>
      </c>
    </row>
    <row r="341" spans="1:5" x14ac:dyDescent="0.2">
      <c r="A341" s="10">
        <f>'2019_Download_5-1-1'!C108</f>
        <v>2011</v>
      </c>
      <c r="B341" s="38" t="str">
        <f>'2019_Download_5-1-1'!B108</f>
        <v>Kunst, Unterhaltung und Erholung; Erbringung von sonstigen Dienstleistungen</v>
      </c>
      <c r="C341" s="10" t="str">
        <f>'2019_Download_5-1-1'!$E$8</f>
        <v>Frauen</v>
      </c>
      <c r="D341" s="37" t="s">
        <v>87</v>
      </c>
      <c r="E341" s="37">
        <f>'2019_Download_5-1-1'!E108</f>
        <v>16.179190000000002</v>
      </c>
    </row>
    <row r="342" spans="1:5" x14ac:dyDescent="0.2">
      <c r="A342" s="10">
        <f>'2019_Download_5-1-1'!C109</f>
        <v>2011</v>
      </c>
      <c r="B342" s="38" t="str">
        <f>'2019_Download_5-1-1'!B109</f>
        <v>Insgesamt (inkl. sonstiger Abschnitte)</v>
      </c>
      <c r="C342" s="10" t="str">
        <f>'2019_Download_5-1-1'!$E$8</f>
        <v>Frauen</v>
      </c>
      <c r="D342" s="37" t="s">
        <v>87</v>
      </c>
      <c r="E342" s="37">
        <f>'2019_Download_5-1-1'!E109</f>
        <v>245.06873999999999</v>
      </c>
    </row>
    <row r="343" spans="1:5" x14ac:dyDescent="0.2">
      <c r="A343" s="10">
        <f>'2019_Download_5-1-1'!C110</f>
        <v>2010</v>
      </c>
      <c r="B343" s="38" t="str">
        <f>'2019_Download_5-1-1'!B110</f>
        <v>Land- und Forstwirtschaft, Fischerei</v>
      </c>
      <c r="C343" s="10" t="str">
        <f>'2019_Download_5-1-1'!$E$8</f>
        <v>Frauen</v>
      </c>
      <c r="D343" s="37" t="s">
        <v>87</v>
      </c>
      <c r="E343" s="37" t="str">
        <f>'2019_Download_5-1-1'!E110</f>
        <v>/</v>
      </c>
    </row>
    <row r="344" spans="1:5" x14ac:dyDescent="0.2">
      <c r="A344" s="10">
        <f>'2019_Download_5-1-1'!C111</f>
        <v>2010</v>
      </c>
      <c r="B344" s="38" t="str">
        <f>'2019_Download_5-1-1'!B111</f>
        <v>Bergbau und Gewinnung von Steinen und Erden; Verarbeitendes Gewerbe</v>
      </c>
      <c r="C344" s="10" t="str">
        <f>'2019_Download_5-1-1'!$E$8</f>
        <v>Frauen</v>
      </c>
      <c r="D344" s="37" t="s">
        <v>87</v>
      </c>
      <c r="E344" s="37">
        <f>'2019_Download_5-1-1'!E111</f>
        <v>30.532409999999999</v>
      </c>
    </row>
    <row r="345" spans="1:5" x14ac:dyDescent="0.2">
      <c r="A345" s="10">
        <f>'2019_Download_5-1-1'!C112</f>
        <v>2010</v>
      </c>
      <c r="B345" s="38" t="str">
        <f>'2019_Download_5-1-1'!B112</f>
        <v>Energieversorgung; Wasserversorgung, Entsorg., Beseitig. v. Umweltverschmutzungen</v>
      </c>
      <c r="C345" s="10" t="str">
        <f>'2019_Download_5-1-1'!$E$8</f>
        <v>Frauen</v>
      </c>
      <c r="D345" s="37" t="s">
        <v>87</v>
      </c>
      <c r="E345" s="37" t="str">
        <f>'2019_Download_5-1-1'!E112</f>
        <v>/</v>
      </c>
    </row>
    <row r="346" spans="1:5" x14ac:dyDescent="0.2">
      <c r="A346" s="10">
        <f>'2019_Download_5-1-1'!C113</f>
        <v>2010</v>
      </c>
      <c r="B346" s="38" t="str">
        <f>'2019_Download_5-1-1'!B113</f>
        <v>Baugewerbe</v>
      </c>
      <c r="C346" s="10" t="str">
        <f>'2019_Download_5-1-1'!$E$8</f>
        <v>Frauen</v>
      </c>
      <c r="D346" s="37" t="s">
        <v>87</v>
      </c>
      <c r="E346" s="37" t="str">
        <f>'2019_Download_5-1-1'!E113</f>
        <v>/</v>
      </c>
    </row>
    <row r="347" spans="1:5" x14ac:dyDescent="0.2">
      <c r="A347" s="10">
        <f>'2019_Download_5-1-1'!C114</f>
        <v>2010</v>
      </c>
      <c r="B347" s="38" t="str">
        <f>'2019_Download_5-1-1'!B114</f>
        <v>Handel, Instandhaltung und Reparatur von Kfz</v>
      </c>
      <c r="C347" s="10" t="str">
        <f>'2019_Download_5-1-1'!$E$8</f>
        <v>Frauen</v>
      </c>
      <c r="D347" s="37" t="s">
        <v>87</v>
      </c>
      <c r="E347" s="37">
        <f>'2019_Download_5-1-1'!E114</f>
        <v>38.775419999999997</v>
      </c>
    </row>
    <row r="348" spans="1:5" x14ac:dyDescent="0.2">
      <c r="A348" s="10">
        <f>'2019_Download_5-1-1'!C115</f>
        <v>2010</v>
      </c>
      <c r="B348" s="38" t="str">
        <f>'2019_Download_5-1-1'!B115</f>
        <v>Verkehr und Lagerei; Information und Kommunikation</v>
      </c>
      <c r="C348" s="10" t="str">
        <f>'2019_Download_5-1-1'!$E$8</f>
        <v>Frauen</v>
      </c>
      <c r="D348" s="37" t="s">
        <v>87</v>
      </c>
      <c r="E348" s="37">
        <f>'2019_Download_5-1-1'!E115</f>
        <v>7.50441</v>
      </c>
    </row>
    <row r="349" spans="1:5" x14ac:dyDescent="0.2">
      <c r="A349" s="10">
        <f>'2019_Download_5-1-1'!C116</f>
        <v>2010</v>
      </c>
      <c r="B349" s="38" t="str">
        <f>'2019_Download_5-1-1'!B116</f>
        <v>Gastgewerbe</v>
      </c>
      <c r="C349" s="10" t="str">
        <f>'2019_Download_5-1-1'!$E$8</f>
        <v>Frauen</v>
      </c>
      <c r="D349" s="37" t="s">
        <v>87</v>
      </c>
      <c r="E349" s="37">
        <f>'2019_Download_5-1-1'!E116</f>
        <v>20.54298</v>
      </c>
    </row>
    <row r="350" spans="1:5" x14ac:dyDescent="0.2">
      <c r="A350" s="10">
        <f>'2019_Download_5-1-1'!C117</f>
        <v>2010</v>
      </c>
      <c r="B350" s="38" t="str">
        <f>'2019_Download_5-1-1'!B117</f>
        <v>Erbringung von Finanz- und Versicherungsleistungen; Grundstücks- und Wohnungswesen; Freiberufliche, wiss. u. techn. Dienstleistungen; sonst. wirt. Dienstleistungen</v>
      </c>
      <c r="C350" s="10" t="str">
        <f>'2019_Download_5-1-1'!$E$8</f>
        <v>Frauen</v>
      </c>
      <c r="D350" s="37" t="s">
        <v>87</v>
      </c>
      <c r="E350" s="37">
        <f>'2019_Download_5-1-1'!E117</f>
        <v>35.658290000000001</v>
      </c>
    </row>
    <row r="351" spans="1:5" x14ac:dyDescent="0.2">
      <c r="A351" s="10">
        <f>'2019_Download_5-1-1'!C118</f>
        <v>2010</v>
      </c>
      <c r="B351" s="38" t="str">
        <f>'2019_Download_5-1-1'!B118</f>
        <v>Öff.Verwaltung, Verteidigung, Sozialversicherung; Erziehung und Unterricht; Gesundheits- und Sozialwesen</v>
      </c>
      <c r="C351" s="10" t="str">
        <f>'2019_Download_5-1-1'!$E$8</f>
        <v>Frauen</v>
      </c>
      <c r="D351" s="37" t="s">
        <v>87</v>
      </c>
      <c r="E351" s="37">
        <f>'2019_Download_5-1-1'!E118</f>
        <v>79.982199999999992</v>
      </c>
    </row>
    <row r="352" spans="1:5" x14ac:dyDescent="0.2">
      <c r="A352" s="10">
        <f>'2019_Download_5-1-1'!C119</f>
        <v>2010</v>
      </c>
      <c r="B352" s="38" t="str">
        <f>'2019_Download_5-1-1'!B119</f>
        <v>Kunst, Unterhaltung und Erholung; Erbringung von sonstigen Dienstleistungen</v>
      </c>
      <c r="C352" s="10" t="str">
        <f>'2019_Download_5-1-1'!$E$8</f>
        <v>Frauen</v>
      </c>
      <c r="D352" s="37" t="s">
        <v>87</v>
      </c>
      <c r="E352" s="37">
        <f>'2019_Download_5-1-1'!E119</f>
        <v>17.198979999999999</v>
      </c>
    </row>
    <row r="353" spans="1:5" x14ac:dyDescent="0.2">
      <c r="A353" s="10">
        <f>'2019_Download_5-1-1'!C120</f>
        <v>2010</v>
      </c>
      <c r="B353" s="38" t="str">
        <f>'2019_Download_5-1-1'!B120</f>
        <v>Insgesamt (inkl. sonstiger Abschnitte)</v>
      </c>
      <c r="C353" s="10" t="str">
        <f>'2019_Download_5-1-1'!$E$8</f>
        <v>Frauen</v>
      </c>
      <c r="D353" s="37" t="s">
        <v>87</v>
      </c>
      <c r="E353" s="37">
        <f>'2019_Download_5-1-1'!E120</f>
        <v>243.49507</v>
      </c>
    </row>
    <row r="354" spans="1:5" x14ac:dyDescent="0.2">
      <c r="A354" s="10">
        <f>'2019_Download_5-1-1'!C121</f>
        <v>2005</v>
      </c>
      <c r="B354" s="38" t="str">
        <f>'2019_Download_5-1-1'!B121</f>
        <v>Land- und Forstwirtschaft; Fischerei und Fischzucht</v>
      </c>
      <c r="C354" s="10" t="str">
        <f>'2019_Download_5-1-1'!$E$8</f>
        <v>Frauen</v>
      </c>
      <c r="D354" s="37" t="s">
        <v>87</v>
      </c>
      <c r="E354" s="37" t="str">
        <f>'2019_Download_5-1-1'!E121</f>
        <v>/</v>
      </c>
    </row>
    <row r="355" spans="1:5" x14ac:dyDescent="0.2">
      <c r="A355" s="10">
        <f>'2019_Download_5-1-1'!C122</f>
        <v>2005</v>
      </c>
      <c r="B355" s="38" t="str">
        <f>'2019_Download_5-1-1'!B122</f>
        <v>Bergbau und Gewinnung von Steinen und Erden; Verarbeitendes Gewerbe</v>
      </c>
      <c r="C355" s="10" t="str">
        <f>'2019_Download_5-1-1'!$E$8</f>
        <v>Frauen</v>
      </c>
      <c r="D355" s="37" t="s">
        <v>87</v>
      </c>
      <c r="E355" s="37">
        <f>'2019_Download_5-1-1'!E122</f>
        <v>34</v>
      </c>
    </row>
    <row r="356" spans="1:5" x14ac:dyDescent="0.2">
      <c r="A356" s="10">
        <f>'2019_Download_5-1-1'!C123</f>
        <v>2005</v>
      </c>
      <c r="B356" s="38" t="str">
        <f>'2019_Download_5-1-1'!B123</f>
        <v>Energie- und Wasserversorgung</v>
      </c>
      <c r="C356" s="10" t="str">
        <f>'2019_Download_5-1-1'!$E$8</f>
        <v>Frauen</v>
      </c>
      <c r="D356" s="37" t="s">
        <v>87</v>
      </c>
      <c r="E356" s="37" t="str">
        <f>'2019_Download_5-1-1'!E123</f>
        <v>/</v>
      </c>
    </row>
    <row r="357" spans="1:5" x14ac:dyDescent="0.2">
      <c r="A357" s="10">
        <f>'2019_Download_5-1-1'!C124</f>
        <v>2005</v>
      </c>
      <c r="B357" s="38" t="str">
        <f>'2019_Download_5-1-1'!B124</f>
        <v>Baugewerbe</v>
      </c>
      <c r="C357" s="10" t="str">
        <f>'2019_Download_5-1-1'!$E$8</f>
        <v>Frauen</v>
      </c>
      <c r="D357" s="37" t="s">
        <v>87</v>
      </c>
      <c r="E357" s="37" t="str">
        <f>'2019_Download_5-1-1'!E124</f>
        <v>/</v>
      </c>
    </row>
    <row r="358" spans="1:5" x14ac:dyDescent="0.2">
      <c r="A358" s="10">
        <f>'2019_Download_5-1-1'!C125</f>
        <v>2005</v>
      </c>
      <c r="B358" s="38" t="str">
        <f>'2019_Download_5-1-1'!B125</f>
        <v>Handel; Instandhaltung und Reparatur von Kraftfahrzeugen und Gebrauchsgütern</v>
      </c>
      <c r="C358" s="10" t="str">
        <f>'2019_Download_5-1-1'!$E$8</f>
        <v>Frauen</v>
      </c>
      <c r="D358" s="37" t="s">
        <v>87</v>
      </c>
      <c r="E358" s="37">
        <f>'2019_Download_5-1-1'!E125</f>
        <v>34</v>
      </c>
    </row>
    <row r="359" spans="1:5" x14ac:dyDescent="0.2">
      <c r="A359" s="10">
        <f>'2019_Download_5-1-1'!C126</f>
        <v>2005</v>
      </c>
      <c r="B359" s="38" t="str">
        <f>'2019_Download_5-1-1'!B126</f>
        <v>Gastgewerbe</v>
      </c>
      <c r="C359" s="10" t="str">
        <f>'2019_Download_5-1-1'!$E$8</f>
        <v>Frauen</v>
      </c>
      <c r="D359" s="37" t="s">
        <v>87</v>
      </c>
      <c r="E359" s="37">
        <f>'2019_Download_5-1-1'!E126</f>
        <v>19.600000000000001</v>
      </c>
    </row>
    <row r="360" spans="1:5" x14ac:dyDescent="0.2">
      <c r="A360" s="10">
        <f>'2019_Download_5-1-1'!C127</f>
        <v>2005</v>
      </c>
      <c r="B360" s="38" t="str">
        <f>'2019_Download_5-1-1'!B127</f>
        <v>Verkehr und Nachrichtenübermittlung</v>
      </c>
      <c r="C360" s="10" t="str">
        <f>'2019_Download_5-1-1'!$E$8</f>
        <v>Frauen</v>
      </c>
      <c r="D360" s="37" t="s">
        <v>87</v>
      </c>
      <c r="E360" s="37" t="str">
        <f>'2019_Download_5-1-1'!E127</f>
        <v>/</v>
      </c>
    </row>
    <row r="361" spans="1:5" x14ac:dyDescent="0.2">
      <c r="A361" s="10">
        <f>'2019_Download_5-1-1'!C128</f>
        <v>2005</v>
      </c>
      <c r="B361" s="38" t="str">
        <f>'2019_Download_5-1-1'!B128</f>
        <v>Kredit- und Versicherungsgewerbe; Grundstücks- und Wohnungswesen, Vermietung beweglicher Sachen, Erbringung von wirt.Dienstleistungen, anderweitig nicht genannt</v>
      </c>
      <c r="C361" s="10" t="str">
        <f>'2019_Download_5-1-1'!$E$8</f>
        <v>Frauen</v>
      </c>
      <c r="D361" s="37" t="s">
        <v>87</v>
      </c>
      <c r="E361" s="37">
        <f>'2019_Download_5-1-1'!E128</f>
        <v>19.600000000000001</v>
      </c>
    </row>
    <row r="362" spans="1:5" x14ac:dyDescent="0.2">
      <c r="A362" s="10">
        <f>'2019_Download_5-1-1'!C129</f>
        <v>2005</v>
      </c>
      <c r="B362" s="38" t="str">
        <f>'2019_Download_5-1-1'!B129</f>
        <v>Öffentliche Verwaltung, Verteidigung, Sozialversicherung; Erziehung und Unterricht; Gesundheits-, Veterinär- und Sozialwesen</v>
      </c>
      <c r="C362" s="10" t="str">
        <f>'2019_Download_5-1-1'!$E$8</f>
        <v>Frauen</v>
      </c>
      <c r="D362" s="37" t="s">
        <v>87</v>
      </c>
      <c r="E362" s="37">
        <f>'2019_Download_5-1-1'!E129</f>
        <v>52.5</v>
      </c>
    </row>
    <row r="363" spans="1:5" x14ac:dyDescent="0.2">
      <c r="A363" s="10">
        <f>'2019_Download_5-1-1'!C130</f>
        <v>2005</v>
      </c>
      <c r="B363" s="38" t="str">
        <f>'2019_Download_5-1-1'!B130</f>
        <v>Erbringung von sonstigen öffentlichen und persönlichen Dienstleistungen</v>
      </c>
      <c r="C363" s="10" t="str">
        <f>'2019_Download_5-1-1'!$E$8</f>
        <v>Frauen</v>
      </c>
      <c r="D363" s="37" t="s">
        <v>87</v>
      </c>
      <c r="E363" s="37">
        <f>'2019_Download_5-1-1'!E130</f>
        <v>18.100000000000001</v>
      </c>
    </row>
    <row r="364" spans="1:5" x14ac:dyDescent="0.2">
      <c r="A364" s="10">
        <f>'2019_Download_5-1-1'!C131</f>
        <v>2005</v>
      </c>
      <c r="B364" s="38" t="str">
        <f>'2019_Download_5-1-1'!B131</f>
        <v>Insgesamt (inkl. sonstiger Abschnitte)</v>
      </c>
      <c r="C364" s="10" t="str">
        <f>'2019_Download_5-1-1'!$E$8</f>
        <v>Frauen</v>
      </c>
      <c r="D364" s="37" t="s">
        <v>87</v>
      </c>
      <c r="E364" s="37">
        <f>'2019_Download_5-1-1'!E131</f>
        <v>190.2</v>
      </c>
    </row>
    <row r="365" spans="1:5" x14ac:dyDescent="0.2">
      <c r="A365" s="10"/>
      <c r="B365" s="38"/>
      <c r="C365" s="10"/>
      <c r="D365" s="37"/>
      <c r="E365" s="37"/>
    </row>
    <row r="366" spans="1:5" x14ac:dyDescent="0.2">
      <c r="A366" s="10"/>
      <c r="B366" s="38"/>
      <c r="C366" s="10"/>
      <c r="D366" s="37"/>
      <c r="E366" s="37"/>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77967-E33E-41B2-AF7D-305946499E69}">
  <sheetPr codeName="Tabelle12"/>
  <dimension ref="A1:E368"/>
  <sheetViews>
    <sheetView workbookViewId="0">
      <selection sqref="A1:E364"/>
    </sheetView>
  </sheetViews>
  <sheetFormatPr baseColWidth="10" defaultRowHeight="12.75" x14ac:dyDescent="0.2"/>
  <cols>
    <col min="1" max="1" width="11.42578125" style="41"/>
    <col min="2" max="2" width="45" style="41" customWidth="1"/>
    <col min="3" max="16384" width="11.42578125" style="41"/>
  </cols>
  <sheetData>
    <row r="1" spans="1:5" x14ac:dyDescent="0.2">
      <c r="A1" s="37" t="s">
        <v>83</v>
      </c>
      <c r="B1" s="39" t="s">
        <v>84</v>
      </c>
      <c r="C1" s="37" t="s">
        <v>6</v>
      </c>
      <c r="D1" s="37" t="s">
        <v>85</v>
      </c>
      <c r="E1" s="37" t="s">
        <v>86</v>
      </c>
    </row>
    <row r="2" spans="1:5" x14ac:dyDescent="0.2">
      <c r="A2" s="10">
        <f>'2019_Download_5-1-1'!C11</f>
        <v>2019</v>
      </c>
      <c r="B2" s="38" t="s">
        <v>761</v>
      </c>
      <c r="C2" s="10" t="str">
        <f>'2019_Download_5-1-1'!$F$8</f>
        <v>Insgesamt</v>
      </c>
      <c r="D2" s="37" t="s">
        <v>87</v>
      </c>
      <c r="E2" s="40" t="s">
        <v>450</v>
      </c>
    </row>
    <row r="3" spans="1:5" x14ac:dyDescent="0.2">
      <c r="A3" s="10">
        <f>'2019_Download_5-1-1'!C12</f>
        <v>2019</v>
      </c>
      <c r="B3" s="38" t="s">
        <v>54</v>
      </c>
      <c r="C3" s="10" t="str">
        <f>'2019_Download_5-1-1'!$F$8</f>
        <v>Insgesamt</v>
      </c>
      <c r="D3" s="37" t="s">
        <v>87</v>
      </c>
      <c r="E3" s="40" t="s">
        <v>451</v>
      </c>
    </row>
    <row r="4" spans="1:5" x14ac:dyDescent="0.2">
      <c r="A4" s="10">
        <f>'2019_Download_5-1-1'!C13</f>
        <v>2019</v>
      </c>
      <c r="B4" s="38" t="s">
        <v>762</v>
      </c>
      <c r="C4" s="10" t="str">
        <f>'2019_Download_5-1-1'!$F$8</f>
        <v>Insgesamt</v>
      </c>
      <c r="D4" s="37" t="s">
        <v>87</v>
      </c>
      <c r="E4" s="40" t="s">
        <v>770</v>
      </c>
    </row>
    <row r="5" spans="1:5" x14ac:dyDescent="0.2">
      <c r="A5" s="10">
        <f>'2019_Download_5-1-1'!C14</f>
        <v>2019</v>
      </c>
      <c r="B5" s="38" t="s">
        <v>56</v>
      </c>
      <c r="C5" s="10" t="str">
        <f>'2019_Download_5-1-1'!$F$8</f>
        <v>Insgesamt</v>
      </c>
      <c r="D5" s="37" t="s">
        <v>87</v>
      </c>
      <c r="E5" s="40" t="s">
        <v>452</v>
      </c>
    </row>
    <row r="6" spans="1:5" x14ac:dyDescent="0.2">
      <c r="A6" s="10">
        <f>'2019_Download_5-1-1'!C15</f>
        <v>2019</v>
      </c>
      <c r="B6" s="38" t="s">
        <v>763</v>
      </c>
      <c r="C6" s="10" t="str">
        <f>'2019_Download_5-1-1'!$F$8</f>
        <v>Insgesamt</v>
      </c>
      <c r="D6" s="37" t="s">
        <v>87</v>
      </c>
      <c r="E6" s="40" t="s">
        <v>453</v>
      </c>
    </row>
    <row r="7" spans="1:5" x14ac:dyDescent="0.2">
      <c r="A7" s="10">
        <f>'2019_Download_5-1-1'!C16</f>
        <v>2019</v>
      </c>
      <c r="B7" s="38" t="s">
        <v>58</v>
      </c>
      <c r="C7" s="10" t="str">
        <f>'2019_Download_5-1-1'!$F$8</f>
        <v>Insgesamt</v>
      </c>
      <c r="D7" s="37" t="s">
        <v>87</v>
      </c>
      <c r="E7" s="40" t="s">
        <v>454</v>
      </c>
    </row>
    <row r="8" spans="1:5" x14ac:dyDescent="0.2">
      <c r="A8" s="10">
        <f>'2019_Download_5-1-1'!C17</f>
        <v>2019</v>
      </c>
      <c r="B8" s="38" t="s">
        <v>59</v>
      </c>
      <c r="C8" s="10" t="str">
        <f>'2019_Download_5-1-1'!$F$8</f>
        <v>Insgesamt</v>
      </c>
      <c r="D8" s="37" t="s">
        <v>87</v>
      </c>
      <c r="E8" s="40" t="s">
        <v>455</v>
      </c>
    </row>
    <row r="9" spans="1:5" x14ac:dyDescent="0.2">
      <c r="A9" s="10">
        <f>'2019_Download_5-1-1'!C18</f>
        <v>2019</v>
      </c>
      <c r="B9" s="38" t="s">
        <v>764</v>
      </c>
      <c r="C9" s="10" t="str">
        <f>'2019_Download_5-1-1'!$F$8</f>
        <v>Insgesamt</v>
      </c>
      <c r="D9" s="37" t="s">
        <v>87</v>
      </c>
      <c r="E9" s="40" t="s">
        <v>456</v>
      </c>
    </row>
    <row r="10" spans="1:5" x14ac:dyDescent="0.2">
      <c r="A10" s="10">
        <f>'2019_Download_5-1-1'!C19</f>
        <v>2019</v>
      </c>
      <c r="B10" s="38" t="s">
        <v>765</v>
      </c>
      <c r="C10" s="10" t="str">
        <f>'2019_Download_5-1-1'!$F$8</f>
        <v>Insgesamt</v>
      </c>
      <c r="D10" s="37" t="s">
        <v>87</v>
      </c>
      <c r="E10" s="40" t="s">
        <v>457</v>
      </c>
    </row>
    <row r="11" spans="1:5" x14ac:dyDescent="0.2">
      <c r="A11" s="10">
        <f>'2019_Download_5-1-1'!C20</f>
        <v>2019</v>
      </c>
      <c r="B11" s="38" t="s">
        <v>766</v>
      </c>
      <c r="C11" s="10" t="str">
        <f>'2019_Download_5-1-1'!$F$8</f>
        <v>Insgesamt</v>
      </c>
      <c r="D11" s="37" t="s">
        <v>87</v>
      </c>
      <c r="E11" s="40" t="s">
        <v>458</v>
      </c>
    </row>
    <row r="12" spans="1:5" x14ac:dyDescent="0.2">
      <c r="A12" s="10">
        <f>'2019_Download_5-1-1'!C21</f>
        <v>2019</v>
      </c>
      <c r="B12" s="38" t="s">
        <v>63</v>
      </c>
      <c r="C12" s="10" t="str">
        <f>'2019_Download_5-1-1'!$F$8</f>
        <v>Insgesamt</v>
      </c>
      <c r="D12" s="37" t="s">
        <v>87</v>
      </c>
      <c r="E12" s="40" t="s">
        <v>771</v>
      </c>
    </row>
    <row r="13" spans="1:5" x14ac:dyDescent="0.2">
      <c r="A13" s="10">
        <f>'2019_Download_5-1-1'!C22</f>
        <v>2018</v>
      </c>
      <c r="B13" s="38" t="s">
        <v>761</v>
      </c>
      <c r="C13" s="10" t="str">
        <f>'2019_Download_5-1-1'!$F$8</f>
        <v>Insgesamt</v>
      </c>
      <c r="D13" s="37" t="s">
        <v>87</v>
      </c>
      <c r="E13" s="40" t="s">
        <v>459</v>
      </c>
    </row>
    <row r="14" spans="1:5" x14ac:dyDescent="0.2">
      <c r="A14" s="10">
        <f>'2019_Download_5-1-1'!C23</f>
        <v>2018</v>
      </c>
      <c r="B14" s="38" t="s">
        <v>54</v>
      </c>
      <c r="C14" s="10" t="str">
        <f>'2019_Download_5-1-1'!$F$8</f>
        <v>Insgesamt</v>
      </c>
      <c r="D14" s="37" t="s">
        <v>87</v>
      </c>
      <c r="E14" s="40" t="s">
        <v>460</v>
      </c>
    </row>
    <row r="15" spans="1:5" x14ac:dyDescent="0.2">
      <c r="A15" s="10">
        <f>'2019_Download_5-1-1'!C24</f>
        <v>2018</v>
      </c>
      <c r="B15" s="38" t="s">
        <v>762</v>
      </c>
      <c r="C15" s="10" t="str">
        <f>'2019_Download_5-1-1'!$F$8</f>
        <v>Insgesamt</v>
      </c>
      <c r="D15" s="37" t="s">
        <v>87</v>
      </c>
      <c r="E15" s="40" t="s">
        <v>772</v>
      </c>
    </row>
    <row r="16" spans="1:5" x14ac:dyDescent="0.2">
      <c r="A16" s="10">
        <f>'2019_Download_5-1-1'!C25</f>
        <v>2018</v>
      </c>
      <c r="B16" s="38" t="s">
        <v>56</v>
      </c>
      <c r="C16" s="10" t="str">
        <f>'2019_Download_5-1-1'!$F$8</f>
        <v>Insgesamt</v>
      </c>
      <c r="D16" s="37" t="s">
        <v>87</v>
      </c>
      <c r="E16" s="40" t="s">
        <v>461</v>
      </c>
    </row>
    <row r="17" spans="1:5" x14ac:dyDescent="0.2">
      <c r="A17" s="10">
        <f>'2019_Download_5-1-1'!C26</f>
        <v>2018</v>
      </c>
      <c r="B17" s="38" t="s">
        <v>763</v>
      </c>
      <c r="C17" s="10" t="str">
        <f>'2019_Download_5-1-1'!$F$8</f>
        <v>Insgesamt</v>
      </c>
      <c r="D17" s="37" t="s">
        <v>87</v>
      </c>
      <c r="E17" s="40" t="s">
        <v>462</v>
      </c>
    </row>
    <row r="18" spans="1:5" x14ac:dyDescent="0.2">
      <c r="A18" s="10">
        <f>'2019_Download_5-1-1'!C27</f>
        <v>2018</v>
      </c>
      <c r="B18" s="38" t="s">
        <v>58</v>
      </c>
      <c r="C18" s="10" t="str">
        <f>'2019_Download_5-1-1'!$F$8</f>
        <v>Insgesamt</v>
      </c>
      <c r="D18" s="37" t="s">
        <v>87</v>
      </c>
      <c r="E18" s="40" t="s">
        <v>463</v>
      </c>
    </row>
    <row r="19" spans="1:5" x14ac:dyDescent="0.2">
      <c r="A19" s="10">
        <f>'2019_Download_5-1-1'!C28</f>
        <v>2018</v>
      </c>
      <c r="B19" s="38" t="s">
        <v>59</v>
      </c>
      <c r="C19" s="10" t="str">
        <f>'2019_Download_5-1-1'!$F$8</f>
        <v>Insgesamt</v>
      </c>
      <c r="D19" s="37" t="s">
        <v>87</v>
      </c>
      <c r="E19" s="40" t="s">
        <v>464</v>
      </c>
    </row>
    <row r="20" spans="1:5" x14ac:dyDescent="0.2">
      <c r="A20" s="10">
        <f>'2019_Download_5-1-1'!C29</f>
        <v>2018</v>
      </c>
      <c r="B20" s="38" t="s">
        <v>764</v>
      </c>
      <c r="C20" s="10" t="str">
        <f>'2019_Download_5-1-1'!$F$8</f>
        <v>Insgesamt</v>
      </c>
      <c r="D20" s="37" t="s">
        <v>87</v>
      </c>
      <c r="E20" s="40" t="s">
        <v>465</v>
      </c>
    </row>
    <row r="21" spans="1:5" x14ac:dyDescent="0.2">
      <c r="A21" s="10">
        <f>'2019_Download_5-1-1'!C30</f>
        <v>2018</v>
      </c>
      <c r="B21" s="38" t="s">
        <v>765</v>
      </c>
      <c r="C21" s="10" t="str">
        <f>'2019_Download_5-1-1'!$F$8</f>
        <v>Insgesamt</v>
      </c>
      <c r="D21" s="37" t="s">
        <v>87</v>
      </c>
      <c r="E21" s="40" t="s">
        <v>466</v>
      </c>
    </row>
    <row r="22" spans="1:5" x14ac:dyDescent="0.2">
      <c r="A22" s="10">
        <f>'2019_Download_5-1-1'!C31</f>
        <v>2018</v>
      </c>
      <c r="B22" s="38" t="s">
        <v>766</v>
      </c>
      <c r="C22" s="10" t="str">
        <f>'2019_Download_5-1-1'!$F$8</f>
        <v>Insgesamt</v>
      </c>
      <c r="D22" s="37" t="s">
        <v>87</v>
      </c>
      <c r="E22" s="40" t="s">
        <v>467</v>
      </c>
    </row>
    <row r="23" spans="1:5" x14ac:dyDescent="0.2">
      <c r="A23" s="10">
        <f>'2019_Download_5-1-1'!C32</f>
        <v>2018</v>
      </c>
      <c r="B23" s="38" t="s">
        <v>63</v>
      </c>
      <c r="C23" s="10" t="str">
        <f>'2019_Download_5-1-1'!$F$8</f>
        <v>Insgesamt</v>
      </c>
      <c r="D23" s="37" t="s">
        <v>87</v>
      </c>
      <c r="E23" s="40" t="s">
        <v>468</v>
      </c>
    </row>
    <row r="24" spans="1:5" x14ac:dyDescent="0.2">
      <c r="A24" s="10">
        <f>'2019_Download_5-1-1'!C33</f>
        <v>2017</v>
      </c>
      <c r="B24" s="38" t="s">
        <v>761</v>
      </c>
      <c r="C24" s="10" t="str">
        <f>'2019_Download_5-1-1'!$F$8</f>
        <v>Insgesamt</v>
      </c>
      <c r="D24" s="37" t="s">
        <v>87</v>
      </c>
      <c r="E24" s="40" t="s">
        <v>469</v>
      </c>
    </row>
    <row r="25" spans="1:5" x14ac:dyDescent="0.2">
      <c r="A25" s="10">
        <f>'2019_Download_5-1-1'!C34</f>
        <v>2017</v>
      </c>
      <c r="B25" s="38" t="s">
        <v>54</v>
      </c>
      <c r="C25" s="10" t="str">
        <f>'2019_Download_5-1-1'!$F$8</f>
        <v>Insgesamt</v>
      </c>
      <c r="D25" s="37" t="s">
        <v>87</v>
      </c>
      <c r="E25" s="40" t="s">
        <v>470</v>
      </c>
    </row>
    <row r="26" spans="1:5" x14ac:dyDescent="0.2">
      <c r="A26" s="10">
        <f>'2019_Download_5-1-1'!C35</f>
        <v>2017</v>
      </c>
      <c r="B26" s="38" t="s">
        <v>762</v>
      </c>
      <c r="C26" s="10" t="str">
        <f>'2019_Download_5-1-1'!$F$8</f>
        <v>Insgesamt</v>
      </c>
      <c r="D26" s="37" t="s">
        <v>87</v>
      </c>
      <c r="E26" s="40" t="s">
        <v>773</v>
      </c>
    </row>
    <row r="27" spans="1:5" x14ac:dyDescent="0.2">
      <c r="A27" s="10">
        <f>'2019_Download_5-1-1'!C36</f>
        <v>2017</v>
      </c>
      <c r="B27" s="38" t="s">
        <v>56</v>
      </c>
      <c r="C27" s="10" t="str">
        <f>'2019_Download_5-1-1'!$F$8</f>
        <v>Insgesamt</v>
      </c>
      <c r="D27" s="37" t="s">
        <v>87</v>
      </c>
      <c r="E27" s="40" t="s">
        <v>471</v>
      </c>
    </row>
    <row r="28" spans="1:5" x14ac:dyDescent="0.2">
      <c r="A28" s="10">
        <f>'2019_Download_5-1-1'!C37</f>
        <v>2017</v>
      </c>
      <c r="B28" s="38" t="s">
        <v>763</v>
      </c>
      <c r="C28" s="10" t="str">
        <f>'2019_Download_5-1-1'!$F$8</f>
        <v>Insgesamt</v>
      </c>
      <c r="D28" s="37" t="s">
        <v>87</v>
      </c>
      <c r="E28" s="40" t="s">
        <v>472</v>
      </c>
    </row>
    <row r="29" spans="1:5" x14ac:dyDescent="0.2">
      <c r="A29" s="10">
        <f>'2019_Download_5-1-1'!C38</f>
        <v>2017</v>
      </c>
      <c r="B29" s="38" t="s">
        <v>58</v>
      </c>
      <c r="C29" s="10" t="str">
        <f>'2019_Download_5-1-1'!$F$8</f>
        <v>Insgesamt</v>
      </c>
      <c r="D29" s="37" t="s">
        <v>87</v>
      </c>
      <c r="E29" s="40" t="s">
        <v>473</v>
      </c>
    </row>
    <row r="30" spans="1:5" x14ac:dyDescent="0.2">
      <c r="A30" s="10">
        <f>'2019_Download_5-1-1'!C39</f>
        <v>2017</v>
      </c>
      <c r="B30" s="38" t="s">
        <v>59</v>
      </c>
      <c r="C30" s="10" t="str">
        <f>'2019_Download_5-1-1'!$F$8</f>
        <v>Insgesamt</v>
      </c>
      <c r="D30" s="37" t="s">
        <v>87</v>
      </c>
      <c r="E30" s="40" t="s">
        <v>474</v>
      </c>
    </row>
    <row r="31" spans="1:5" x14ac:dyDescent="0.2">
      <c r="A31" s="10">
        <f>'2019_Download_5-1-1'!C40</f>
        <v>2017</v>
      </c>
      <c r="B31" s="38" t="s">
        <v>764</v>
      </c>
      <c r="C31" s="10" t="str">
        <f>'2019_Download_5-1-1'!$F$8</f>
        <v>Insgesamt</v>
      </c>
      <c r="D31" s="37" t="s">
        <v>87</v>
      </c>
      <c r="E31" s="40" t="s">
        <v>475</v>
      </c>
    </row>
    <row r="32" spans="1:5" x14ac:dyDescent="0.2">
      <c r="A32" s="10">
        <f>'2019_Download_5-1-1'!C41</f>
        <v>2017</v>
      </c>
      <c r="B32" s="38" t="s">
        <v>765</v>
      </c>
      <c r="C32" s="10" t="str">
        <f>'2019_Download_5-1-1'!$F$8</f>
        <v>Insgesamt</v>
      </c>
      <c r="D32" s="37" t="s">
        <v>87</v>
      </c>
      <c r="E32" s="40" t="s">
        <v>476</v>
      </c>
    </row>
    <row r="33" spans="1:5" x14ac:dyDescent="0.2">
      <c r="A33" s="10">
        <f>'2019_Download_5-1-1'!C42</f>
        <v>2017</v>
      </c>
      <c r="B33" s="38" t="s">
        <v>766</v>
      </c>
      <c r="C33" s="10" t="str">
        <f>'2019_Download_5-1-1'!$F$8</f>
        <v>Insgesamt</v>
      </c>
      <c r="D33" s="37" t="s">
        <v>87</v>
      </c>
      <c r="E33" s="40" t="s">
        <v>477</v>
      </c>
    </row>
    <row r="34" spans="1:5" x14ac:dyDescent="0.2">
      <c r="A34" s="10">
        <f>'2019_Download_5-1-1'!C43</f>
        <v>2017</v>
      </c>
      <c r="B34" s="38" t="s">
        <v>63</v>
      </c>
      <c r="C34" s="10" t="str">
        <f>'2019_Download_5-1-1'!$F$8</f>
        <v>Insgesamt</v>
      </c>
      <c r="D34" s="37" t="s">
        <v>87</v>
      </c>
      <c r="E34" s="40" t="s">
        <v>478</v>
      </c>
    </row>
    <row r="35" spans="1:5" x14ac:dyDescent="0.2">
      <c r="A35" s="10">
        <f>'2019_Download_5-1-1'!C44</f>
        <v>2016</v>
      </c>
      <c r="B35" s="38" t="s">
        <v>761</v>
      </c>
      <c r="C35" s="10" t="str">
        <f>'2019_Download_5-1-1'!$F$8</f>
        <v>Insgesamt</v>
      </c>
      <c r="D35" s="37" t="s">
        <v>87</v>
      </c>
      <c r="E35" s="40" t="s">
        <v>479</v>
      </c>
    </row>
    <row r="36" spans="1:5" x14ac:dyDescent="0.2">
      <c r="A36" s="10">
        <f>'2019_Download_5-1-1'!C45</f>
        <v>2016</v>
      </c>
      <c r="B36" s="38" t="s">
        <v>54</v>
      </c>
      <c r="C36" s="10" t="str">
        <f>'2019_Download_5-1-1'!$F$8</f>
        <v>Insgesamt</v>
      </c>
      <c r="D36" s="37" t="s">
        <v>87</v>
      </c>
      <c r="E36" s="40" t="s">
        <v>480</v>
      </c>
    </row>
    <row r="37" spans="1:5" x14ac:dyDescent="0.2">
      <c r="A37" s="10">
        <f>'2019_Download_5-1-1'!C46</f>
        <v>2016</v>
      </c>
      <c r="B37" s="38" t="s">
        <v>762</v>
      </c>
      <c r="C37" s="10" t="str">
        <f>'2019_Download_5-1-1'!$F$8</f>
        <v>Insgesamt</v>
      </c>
      <c r="D37" s="37" t="s">
        <v>87</v>
      </c>
      <c r="E37" s="40" t="s">
        <v>774</v>
      </c>
    </row>
    <row r="38" spans="1:5" x14ac:dyDescent="0.2">
      <c r="A38" s="10">
        <f>'2019_Download_5-1-1'!C47</f>
        <v>2016</v>
      </c>
      <c r="B38" s="38" t="s">
        <v>56</v>
      </c>
      <c r="C38" s="10" t="str">
        <f>'2019_Download_5-1-1'!$F$8</f>
        <v>Insgesamt</v>
      </c>
      <c r="D38" s="37" t="s">
        <v>87</v>
      </c>
      <c r="E38" s="40" t="s">
        <v>481</v>
      </c>
    </row>
    <row r="39" spans="1:5" x14ac:dyDescent="0.2">
      <c r="A39" s="10">
        <f>'2019_Download_5-1-1'!C48</f>
        <v>2016</v>
      </c>
      <c r="B39" s="38" t="s">
        <v>763</v>
      </c>
      <c r="C39" s="10" t="str">
        <f>'2019_Download_5-1-1'!$F$8</f>
        <v>Insgesamt</v>
      </c>
      <c r="D39" s="37" t="s">
        <v>87</v>
      </c>
      <c r="E39" s="40" t="s">
        <v>482</v>
      </c>
    </row>
    <row r="40" spans="1:5" x14ac:dyDescent="0.2">
      <c r="A40" s="10">
        <f>'2019_Download_5-1-1'!C49</f>
        <v>2016</v>
      </c>
      <c r="B40" s="38" t="s">
        <v>58</v>
      </c>
      <c r="C40" s="10" t="str">
        <f>'2019_Download_5-1-1'!$F$8</f>
        <v>Insgesamt</v>
      </c>
      <c r="D40" s="37" t="s">
        <v>87</v>
      </c>
      <c r="E40" s="40" t="s">
        <v>483</v>
      </c>
    </row>
    <row r="41" spans="1:5" x14ac:dyDescent="0.2">
      <c r="A41" s="10">
        <f>'2019_Download_5-1-1'!C50</f>
        <v>2016</v>
      </c>
      <c r="B41" s="38" t="s">
        <v>59</v>
      </c>
      <c r="C41" s="10" t="str">
        <f>'2019_Download_5-1-1'!$F$8</f>
        <v>Insgesamt</v>
      </c>
      <c r="D41" s="37" t="s">
        <v>87</v>
      </c>
      <c r="E41" s="40" t="s">
        <v>484</v>
      </c>
    </row>
    <row r="42" spans="1:5" x14ac:dyDescent="0.2">
      <c r="A42" s="10">
        <f>'2019_Download_5-1-1'!C51</f>
        <v>2016</v>
      </c>
      <c r="B42" s="38" t="s">
        <v>764</v>
      </c>
      <c r="C42" s="10" t="str">
        <f>'2019_Download_5-1-1'!$F$8</f>
        <v>Insgesamt</v>
      </c>
      <c r="D42" s="37" t="s">
        <v>87</v>
      </c>
      <c r="E42" s="40" t="s">
        <v>485</v>
      </c>
    </row>
    <row r="43" spans="1:5" x14ac:dyDescent="0.2">
      <c r="A43" s="10">
        <f>'2019_Download_5-1-1'!C52</f>
        <v>2016</v>
      </c>
      <c r="B43" s="38" t="s">
        <v>765</v>
      </c>
      <c r="C43" s="10" t="str">
        <f>'2019_Download_5-1-1'!$F$8</f>
        <v>Insgesamt</v>
      </c>
      <c r="D43" s="37" t="s">
        <v>87</v>
      </c>
      <c r="E43" s="40" t="s">
        <v>486</v>
      </c>
    </row>
    <row r="44" spans="1:5" x14ac:dyDescent="0.2">
      <c r="A44" s="10">
        <f>'2019_Download_5-1-1'!C53</f>
        <v>2016</v>
      </c>
      <c r="B44" s="38" t="s">
        <v>766</v>
      </c>
      <c r="C44" s="10" t="str">
        <f>'2019_Download_5-1-1'!$F$8</f>
        <v>Insgesamt</v>
      </c>
      <c r="D44" s="37" t="s">
        <v>87</v>
      </c>
      <c r="E44" s="40" t="s">
        <v>487</v>
      </c>
    </row>
    <row r="45" spans="1:5" x14ac:dyDescent="0.2">
      <c r="A45" s="10">
        <f>'2019_Download_5-1-1'!C54</f>
        <v>2016</v>
      </c>
      <c r="B45" s="38" t="s">
        <v>63</v>
      </c>
      <c r="C45" s="10" t="str">
        <f>'2019_Download_5-1-1'!$F$8</f>
        <v>Insgesamt</v>
      </c>
      <c r="D45" s="37" t="s">
        <v>87</v>
      </c>
      <c r="E45" s="40" t="s">
        <v>488</v>
      </c>
    </row>
    <row r="46" spans="1:5" x14ac:dyDescent="0.2">
      <c r="A46" s="10">
        <f>'2019_Download_5-1-1'!C55</f>
        <v>2015</v>
      </c>
      <c r="B46" s="38" t="s">
        <v>761</v>
      </c>
      <c r="C46" s="10" t="str">
        <f>'2019_Download_5-1-1'!$F$8</f>
        <v>Insgesamt</v>
      </c>
      <c r="D46" s="37" t="s">
        <v>87</v>
      </c>
      <c r="E46" s="40" t="s">
        <v>489</v>
      </c>
    </row>
    <row r="47" spans="1:5" x14ac:dyDescent="0.2">
      <c r="A47" s="10">
        <f>'2019_Download_5-1-1'!C56</f>
        <v>2015</v>
      </c>
      <c r="B47" s="38" t="s">
        <v>54</v>
      </c>
      <c r="C47" s="10" t="str">
        <f>'2019_Download_5-1-1'!$F$8</f>
        <v>Insgesamt</v>
      </c>
      <c r="D47" s="37" t="s">
        <v>87</v>
      </c>
      <c r="E47" s="40" t="s">
        <v>490</v>
      </c>
    </row>
    <row r="48" spans="1:5" x14ac:dyDescent="0.2">
      <c r="A48" s="10">
        <f>'2019_Download_5-1-1'!C57</f>
        <v>2015</v>
      </c>
      <c r="B48" s="38" t="s">
        <v>762</v>
      </c>
      <c r="C48" s="10" t="str">
        <f>'2019_Download_5-1-1'!$F$8</f>
        <v>Insgesamt</v>
      </c>
      <c r="D48" s="37" t="s">
        <v>87</v>
      </c>
      <c r="E48" s="40" t="s">
        <v>775</v>
      </c>
    </row>
    <row r="49" spans="1:5" x14ac:dyDescent="0.2">
      <c r="A49" s="10">
        <f>'2019_Download_5-1-1'!C58</f>
        <v>2015</v>
      </c>
      <c r="B49" s="38" t="s">
        <v>56</v>
      </c>
      <c r="C49" s="10" t="str">
        <f>'2019_Download_5-1-1'!$F$8</f>
        <v>Insgesamt</v>
      </c>
      <c r="D49" s="37" t="s">
        <v>87</v>
      </c>
      <c r="E49" s="40" t="s">
        <v>491</v>
      </c>
    </row>
    <row r="50" spans="1:5" x14ac:dyDescent="0.2">
      <c r="A50" s="10">
        <f>'2019_Download_5-1-1'!C59</f>
        <v>2015</v>
      </c>
      <c r="B50" s="38" t="s">
        <v>763</v>
      </c>
      <c r="C50" s="10" t="str">
        <f>'2019_Download_5-1-1'!$F$8</f>
        <v>Insgesamt</v>
      </c>
      <c r="D50" s="37" t="s">
        <v>87</v>
      </c>
      <c r="E50" s="40" t="s">
        <v>492</v>
      </c>
    </row>
    <row r="51" spans="1:5" x14ac:dyDescent="0.2">
      <c r="A51" s="10">
        <f>'2019_Download_5-1-1'!C60</f>
        <v>2015</v>
      </c>
      <c r="B51" s="38" t="s">
        <v>58</v>
      </c>
      <c r="C51" s="10" t="str">
        <f>'2019_Download_5-1-1'!$F$8</f>
        <v>Insgesamt</v>
      </c>
      <c r="D51" s="37" t="s">
        <v>87</v>
      </c>
      <c r="E51" s="40" t="s">
        <v>493</v>
      </c>
    </row>
    <row r="52" spans="1:5" x14ac:dyDescent="0.2">
      <c r="A52" s="10">
        <f>'2019_Download_5-1-1'!C61</f>
        <v>2015</v>
      </c>
      <c r="B52" s="38" t="s">
        <v>59</v>
      </c>
      <c r="C52" s="10" t="str">
        <f>'2019_Download_5-1-1'!$F$8</f>
        <v>Insgesamt</v>
      </c>
      <c r="D52" s="37" t="s">
        <v>87</v>
      </c>
      <c r="E52" s="40" t="s">
        <v>494</v>
      </c>
    </row>
    <row r="53" spans="1:5" x14ac:dyDescent="0.2">
      <c r="A53" s="10">
        <f>'2019_Download_5-1-1'!C62</f>
        <v>2015</v>
      </c>
      <c r="B53" s="38" t="s">
        <v>764</v>
      </c>
      <c r="C53" s="10" t="str">
        <f>'2019_Download_5-1-1'!$F$8</f>
        <v>Insgesamt</v>
      </c>
      <c r="D53" s="37" t="s">
        <v>87</v>
      </c>
      <c r="E53" s="40" t="s">
        <v>495</v>
      </c>
    </row>
    <row r="54" spans="1:5" x14ac:dyDescent="0.2">
      <c r="A54" s="10">
        <f>'2019_Download_5-1-1'!C63</f>
        <v>2015</v>
      </c>
      <c r="B54" s="38" t="s">
        <v>767</v>
      </c>
      <c r="C54" s="10" t="str">
        <f>'2019_Download_5-1-1'!$F$8</f>
        <v>Insgesamt</v>
      </c>
      <c r="D54" s="37" t="s">
        <v>87</v>
      </c>
      <c r="E54" s="40" t="s">
        <v>496</v>
      </c>
    </row>
    <row r="55" spans="1:5" x14ac:dyDescent="0.2">
      <c r="A55" s="10">
        <f>'2019_Download_5-1-1'!C64</f>
        <v>2015</v>
      </c>
      <c r="B55" s="38" t="s">
        <v>766</v>
      </c>
      <c r="C55" s="10" t="str">
        <f>'2019_Download_5-1-1'!$F$8</f>
        <v>Insgesamt</v>
      </c>
      <c r="D55" s="37" t="s">
        <v>87</v>
      </c>
      <c r="E55" s="40" t="s">
        <v>497</v>
      </c>
    </row>
    <row r="56" spans="1:5" x14ac:dyDescent="0.2">
      <c r="A56" s="10">
        <f>'2019_Download_5-1-1'!C65</f>
        <v>2015</v>
      </c>
      <c r="B56" s="38" t="s">
        <v>63</v>
      </c>
      <c r="C56" s="10" t="str">
        <f>'2019_Download_5-1-1'!$F$8</f>
        <v>Insgesamt</v>
      </c>
      <c r="D56" s="37" t="s">
        <v>87</v>
      </c>
      <c r="E56" s="40" t="s">
        <v>498</v>
      </c>
    </row>
    <row r="57" spans="1:5" x14ac:dyDescent="0.2">
      <c r="A57" s="10">
        <f>'2019_Download_5-1-1'!C66</f>
        <v>2014</v>
      </c>
      <c r="B57" s="38" t="s">
        <v>761</v>
      </c>
      <c r="C57" s="10" t="str">
        <f>'2019_Download_5-1-1'!$F$8</f>
        <v>Insgesamt</v>
      </c>
      <c r="D57" s="37" t="s">
        <v>87</v>
      </c>
      <c r="E57" s="40" t="s">
        <v>776</v>
      </c>
    </row>
    <row r="58" spans="1:5" x14ac:dyDescent="0.2">
      <c r="A58" s="10">
        <f>'2019_Download_5-1-1'!C67</f>
        <v>2014</v>
      </c>
      <c r="B58" s="38" t="s">
        <v>54</v>
      </c>
      <c r="C58" s="10" t="str">
        <f>'2019_Download_5-1-1'!$F$8</f>
        <v>Insgesamt</v>
      </c>
      <c r="D58" s="37" t="s">
        <v>87</v>
      </c>
      <c r="E58" s="40" t="s">
        <v>499</v>
      </c>
    </row>
    <row r="59" spans="1:5" x14ac:dyDescent="0.2">
      <c r="A59" s="10">
        <f>'2019_Download_5-1-1'!C68</f>
        <v>2014</v>
      </c>
      <c r="B59" s="38" t="s">
        <v>762</v>
      </c>
      <c r="C59" s="10" t="str">
        <f>'2019_Download_5-1-1'!$F$8</f>
        <v>Insgesamt</v>
      </c>
      <c r="D59" s="37" t="s">
        <v>87</v>
      </c>
      <c r="E59" s="40" t="s">
        <v>777</v>
      </c>
    </row>
    <row r="60" spans="1:5" x14ac:dyDescent="0.2">
      <c r="A60" s="10">
        <f>'2019_Download_5-1-1'!C69</f>
        <v>2014</v>
      </c>
      <c r="B60" s="38" t="s">
        <v>56</v>
      </c>
      <c r="C60" s="10" t="str">
        <f>'2019_Download_5-1-1'!$F$8</f>
        <v>Insgesamt</v>
      </c>
      <c r="D60" s="37" t="s">
        <v>87</v>
      </c>
      <c r="E60" s="40" t="s">
        <v>500</v>
      </c>
    </row>
    <row r="61" spans="1:5" x14ac:dyDescent="0.2">
      <c r="A61" s="10">
        <f>'2019_Download_5-1-1'!C70</f>
        <v>2014</v>
      </c>
      <c r="B61" s="38" t="s">
        <v>763</v>
      </c>
      <c r="C61" s="10" t="str">
        <f>'2019_Download_5-1-1'!$F$8</f>
        <v>Insgesamt</v>
      </c>
      <c r="D61" s="37" t="s">
        <v>87</v>
      </c>
      <c r="E61" s="40" t="s">
        <v>501</v>
      </c>
    </row>
    <row r="62" spans="1:5" x14ac:dyDescent="0.2">
      <c r="A62" s="10">
        <f>'2019_Download_5-1-1'!C71</f>
        <v>2014</v>
      </c>
      <c r="B62" s="38" t="s">
        <v>58</v>
      </c>
      <c r="C62" s="10" t="str">
        <f>'2019_Download_5-1-1'!$F$8</f>
        <v>Insgesamt</v>
      </c>
      <c r="D62" s="37" t="s">
        <v>87</v>
      </c>
      <c r="E62" s="40" t="s">
        <v>502</v>
      </c>
    </row>
    <row r="63" spans="1:5" x14ac:dyDescent="0.2">
      <c r="A63" s="10">
        <f>'2019_Download_5-1-1'!C72</f>
        <v>2014</v>
      </c>
      <c r="B63" s="38" t="s">
        <v>59</v>
      </c>
      <c r="C63" s="10" t="str">
        <f>'2019_Download_5-1-1'!$F$8</f>
        <v>Insgesamt</v>
      </c>
      <c r="D63" s="37" t="s">
        <v>87</v>
      </c>
      <c r="E63" s="40" t="s">
        <v>503</v>
      </c>
    </row>
    <row r="64" spans="1:5" x14ac:dyDescent="0.2">
      <c r="A64" s="10">
        <f>'2019_Download_5-1-1'!C73</f>
        <v>2014</v>
      </c>
      <c r="B64" s="38" t="s">
        <v>764</v>
      </c>
      <c r="C64" s="10" t="str">
        <f>'2019_Download_5-1-1'!$F$8</f>
        <v>Insgesamt</v>
      </c>
      <c r="D64" s="37" t="s">
        <v>87</v>
      </c>
      <c r="E64" s="40" t="s">
        <v>504</v>
      </c>
    </row>
    <row r="65" spans="1:5" x14ac:dyDescent="0.2">
      <c r="A65" s="10">
        <f>'2019_Download_5-1-1'!C74</f>
        <v>2014</v>
      </c>
      <c r="B65" s="38" t="s">
        <v>765</v>
      </c>
      <c r="C65" s="10" t="str">
        <f>'2019_Download_5-1-1'!$F$8</f>
        <v>Insgesamt</v>
      </c>
      <c r="D65" s="37" t="s">
        <v>87</v>
      </c>
      <c r="E65" s="40" t="s">
        <v>505</v>
      </c>
    </row>
    <row r="66" spans="1:5" x14ac:dyDescent="0.2">
      <c r="A66" s="10">
        <f>'2019_Download_5-1-1'!C75</f>
        <v>2014</v>
      </c>
      <c r="B66" s="38" t="s">
        <v>766</v>
      </c>
      <c r="C66" s="10" t="str">
        <f>'2019_Download_5-1-1'!$F$8</f>
        <v>Insgesamt</v>
      </c>
      <c r="D66" s="37" t="s">
        <v>87</v>
      </c>
      <c r="E66" s="40" t="s">
        <v>506</v>
      </c>
    </row>
    <row r="67" spans="1:5" x14ac:dyDescent="0.2">
      <c r="A67" s="10">
        <f>'2019_Download_5-1-1'!C76</f>
        <v>2014</v>
      </c>
      <c r="B67" s="38" t="s">
        <v>63</v>
      </c>
      <c r="C67" s="10" t="str">
        <f>'2019_Download_5-1-1'!$F$8</f>
        <v>Insgesamt</v>
      </c>
      <c r="D67" s="37" t="s">
        <v>87</v>
      </c>
      <c r="E67" s="40" t="s">
        <v>507</v>
      </c>
    </row>
    <row r="68" spans="1:5" x14ac:dyDescent="0.2">
      <c r="A68" s="10">
        <f>'2019_Download_5-1-1'!C77</f>
        <v>2013</v>
      </c>
      <c r="B68" s="38" t="s">
        <v>761</v>
      </c>
      <c r="C68" s="10" t="str">
        <f>'2019_Download_5-1-1'!$F$8</f>
        <v>Insgesamt</v>
      </c>
      <c r="D68" s="37" t="s">
        <v>87</v>
      </c>
      <c r="E68" s="40" t="s">
        <v>778</v>
      </c>
    </row>
    <row r="69" spans="1:5" x14ac:dyDescent="0.2">
      <c r="A69" s="10">
        <f>'2019_Download_5-1-1'!C78</f>
        <v>2013</v>
      </c>
      <c r="B69" s="38" t="s">
        <v>54</v>
      </c>
      <c r="C69" s="10" t="str">
        <f>'2019_Download_5-1-1'!$F$8</f>
        <v>Insgesamt</v>
      </c>
      <c r="D69" s="37" t="s">
        <v>87</v>
      </c>
      <c r="E69" s="40" t="s">
        <v>508</v>
      </c>
    </row>
    <row r="70" spans="1:5" x14ac:dyDescent="0.2">
      <c r="A70" s="10">
        <f>'2019_Download_5-1-1'!C79</f>
        <v>2013</v>
      </c>
      <c r="B70" s="38" t="s">
        <v>762</v>
      </c>
      <c r="C70" s="10" t="str">
        <f>'2019_Download_5-1-1'!$F$8</f>
        <v>Insgesamt</v>
      </c>
      <c r="D70" s="37" t="s">
        <v>87</v>
      </c>
      <c r="E70" s="40" t="s">
        <v>779</v>
      </c>
    </row>
    <row r="71" spans="1:5" x14ac:dyDescent="0.2">
      <c r="A71" s="10">
        <f>'2019_Download_5-1-1'!C80</f>
        <v>2013</v>
      </c>
      <c r="B71" s="38" t="s">
        <v>56</v>
      </c>
      <c r="C71" s="10" t="str">
        <f>'2019_Download_5-1-1'!$F$8</f>
        <v>Insgesamt</v>
      </c>
      <c r="D71" s="37" t="s">
        <v>87</v>
      </c>
      <c r="E71" s="40" t="s">
        <v>509</v>
      </c>
    </row>
    <row r="72" spans="1:5" x14ac:dyDescent="0.2">
      <c r="A72" s="10">
        <f>'2019_Download_5-1-1'!C81</f>
        <v>2013</v>
      </c>
      <c r="B72" s="38" t="s">
        <v>763</v>
      </c>
      <c r="C72" s="10" t="str">
        <f>'2019_Download_5-1-1'!$F$8</f>
        <v>Insgesamt</v>
      </c>
      <c r="D72" s="37" t="s">
        <v>87</v>
      </c>
      <c r="E72" s="40" t="s">
        <v>510</v>
      </c>
    </row>
    <row r="73" spans="1:5" x14ac:dyDescent="0.2">
      <c r="A73" s="10">
        <f>'2019_Download_5-1-1'!C82</f>
        <v>2013</v>
      </c>
      <c r="B73" s="38" t="s">
        <v>58</v>
      </c>
      <c r="C73" s="10" t="str">
        <f>'2019_Download_5-1-1'!$F$8</f>
        <v>Insgesamt</v>
      </c>
      <c r="D73" s="37" t="s">
        <v>87</v>
      </c>
      <c r="E73" s="40" t="s">
        <v>511</v>
      </c>
    </row>
    <row r="74" spans="1:5" x14ac:dyDescent="0.2">
      <c r="A74" s="10">
        <f>'2019_Download_5-1-1'!C83</f>
        <v>2013</v>
      </c>
      <c r="B74" s="38" t="s">
        <v>59</v>
      </c>
      <c r="C74" s="10" t="str">
        <f>'2019_Download_5-1-1'!$F$8</f>
        <v>Insgesamt</v>
      </c>
      <c r="D74" s="37" t="s">
        <v>87</v>
      </c>
      <c r="E74" s="40" t="s">
        <v>512</v>
      </c>
    </row>
    <row r="75" spans="1:5" x14ac:dyDescent="0.2">
      <c r="A75" s="10">
        <f>'2019_Download_5-1-1'!C84</f>
        <v>2013</v>
      </c>
      <c r="B75" s="38" t="s">
        <v>764</v>
      </c>
      <c r="C75" s="10" t="str">
        <f>'2019_Download_5-1-1'!$F$8</f>
        <v>Insgesamt</v>
      </c>
      <c r="D75" s="37" t="s">
        <v>87</v>
      </c>
      <c r="E75" s="40" t="s">
        <v>513</v>
      </c>
    </row>
    <row r="76" spans="1:5" x14ac:dyDescent="0.2">
      <c r="A76" s="10">
        <f>'2019_Download_5-1-1'!C85</f>
        <v>2013</v>
      </c>
      <c r="B76" s="38" t="s">
        <v>765</v>
      </c>
      <c r="C76" s="10" t="str">
        <f>'2019_Download_5-1-1'!$F$8</f>
        <v>Insgesamt</v>
      </c>
      <c r="D76" s="37" t="s">
        <v>87</v>
      </c>
      <c r="E76" s="40" t="s">
        <v>514</v>
      </c>
    </row>
    <row r="77" spans="1:5" x14ac:dyDescent="0.2">
      <c r="A77" s="10">
        <f>'2019_Download_5-1-1'!C86</f>
        <v>2013</v>
      </c>
      <c r="B77" s="38" t="s">
        <v>766</v>
      </c>
      <c r="C77" s="10" t="str">
        <f>'2019_Download_5-1-1'!$F$8</f>
        <v>Insgesamt</v>
      </c>
      <c r="D77" s="37" t="s">
        <v>87</v>
      </c>
      <c r="E77" s="40" t="s">
        <v>515</v>
      </c>
    </row>
    <row r="78" spans="1:5" x14ac:dyDescent="0.2">
      <c r="A78" s="10">
        <f>'2019_Download_5-1-1'!C87</f>
        <v>2013</v>
      </c>
      <c r="B78" s="38" t="s">
        <v>63</v>
      </c>
      <c r="C78" s="10" t="str">
        <f>'2019_Download_5-1-1'!$F$8</f>
        <v>Insgesamt</v>
      </c>
      <c r="D78" s="37" t="s">
        <v>87</v>
      </c>
      <c r="E78" s="40" t="s">
        <v>516</v>
      </c>
    </row>
    <row r="79" spans="1:5" x14ac:dyDescent="0.2">
      <c r="A79" s="10">
        <f>'2019_Download_5-1-1'!C88</f>
        <v>2012</v>
      </c>
      <c r="B79" s="38" t="s">
        <v>761</v>
      </c>
      <c r="C79" s="10" t="str">
        <f>'2019_Download_5-1-1'!$F$8</f>
        <v>Insgesamt</v>
      </c>
      <c r="D79" s="37" t="s">
        <v>87</v>
      </c>
      <c r="E79" s="40" t="s">
        <v>780</v>
      </c>
    </row>
    <row r="80" spans="1:5" x14ac:dyDescent="0.2">
      <c r="A80" s="10">
        <f>'2019_Download_5-1-1'!C89</f>
        <v>2012</v>
      </c>
      <c r="B80" s="38" t="s">
        <v>54</v>
      </c>
      <c r="C80" s="10" t="str">
        <f>'2019_Download_5-1-1'!$F$8</f>
        <v>Insgesamt</v>
      </c>
      <c r="D80" s="37" t="s">
        <v>87</v>
      </c>
      <c r="E80" s="40" t="s">
        <v>517</v>
      </c>
    </row>
    <row r="81" spans="1:5" x14ac:dyDescent="0.2">
      <c r="A81" s="10">
        <f>'2019_Download_5-1-1'!C90</f>
        <v>2012</v>
      </c>
      <c r="B81" s="38" t="s">
        <v>762</v>
      </c>
      <c r="C81" s="10" t="str">
        <f>'2019_Download_5-1-1'!$F$8</f>
        <v>Insgesamt</v>
      </c>
      <c r="D81" s="37" t="s">
        <v>87</v>
      </c>
      <c r="E81" s="40" t="s">
        <v>781</v>
      </c>
    </row>
    <row r="82" spans="1:5" x14ac:dyDescent="0.2">
      <c r="A82" s="10">
        <f>'2019_Download_5-1-1'!C91</f>
        <v>2012</v>
      </c>
      <c r="B82" s="38" t="s">
        <v>56</v>
      </c>
      <c r="C82" s="10" t="str">
        <f>'2019_Download_5-1-1'!$F$8</f>
        <v>Insgesamt</v>
      </c>
      <c r="D82" s="37" t="s">
        <v>87</v>
      </c>
      <c r="E82" s="40" t="s">
        <v>518</v>
      </c>
    </row>
    <row r="83" spans="1:5" x14ac:dyDescent="0.2">
      <c r="A83" s="10">
        <f>'2019_Download_5-1-1'!C92</f>
        <v>2012</v>
      </c>
      <c r="B83" s="38" t="s">
        <v>763</v>
      </c>
      <c r="C83" s="10" t="str">
        <f>'2019_Download_5-1-1'!$F$8</f>
        <v>Insgesamt</v>
      </c>
      <c r="D83" s="37" t="s">
        <v>87</v>
      </c>
      <c r="E83" s="40" t="s">
        <v>519</v>
      </c>
    </row>
    <row r="84" spans="1:5" x14ac:dyDescent="0.2">
      <c r="A84" s="10">
        <f>'2019_Download_5-1-1'!C93</f>
        <v>2012</v>
      </c>
      <c r="B84" s="38" t="s">
        <v>58</v>
      </c>
      <c r="C84" s="10" t="str">
        <f>'2019_Download_5-1-1'!$F$8</f>
        <v>Insgesamt</v>
      </c>
      <c r="D84" s="37" t="s">
        <v>87</v>
      </c>
      <c r="E84" s="40" t="s">
        <v>520</v>
      </c>
    </row>
    <row r="85" spans="1:5" x14ac:dyDescent="0.2">
      <c r="A85" s="10">
        <f>'2019_Download_5-1-1'!C94</f>
        <v>2012</v>
      </c>
      <c r="B85" s="38" t="s">
        <v>59</v>
      </c>
      <c r="C85" s="10" t="str">
        <f>'2019_Download_5-1-1'!$F$8</f>
        <v>Insgesamt</v>
      </c>
      <c r="D85" s="37" t="s">
        <v>87</v>
      </c>
      <c r="E85" s="40" t="s">
        <v>521</v>
      </c>
    </row>
    <row r="86" spans="1:5" x14ac:dyDescent="0.2">
      <c r="A86" s="10">
        <f>'2019_Download_5-1-1'!C95</f>
        <v>2012</v>
      </c>
      <c r="B86" s="38" t="s">
        <v>764</v>
      </c>
      <c r="C86" s="10" t="str">
        <f>'2019_Download_5-1-1'!$F$8</f>
        <v>Insgesamt</v>
      </c>
      <c r="D86" s="37" t="s">
        <v>87</v>
      </c>
      <c r="E86" s="40" t="s">
        <v>522</v>
      </c>
    </row>
    <row r="87" spans="1:5" x14ac:dyDescent="0.2">
      <c r="A87" s="10">
        <f>'2019_Download_5-1-1'!C96</f>
        <v>2012</v>
      </c>
      <c r="B87" s="38" t="s">
        <v>767</v>
      </c>
      <c r="C87" s="10" t="str">
        <f>'2019_Download_5-1-1'!$F$8</f>
        <v>Insgesamt</v>
      </c>
      <c r="D87" s="37" t="s">
        <v>87</v>
      </c>
      <c r="E87" s="40" t="s">
        <v>523</v>
      </c>
    </row>
    <row r="88" spans="1:5" x14ac:dyDescent="0.2">
      <c r="A88" s="10">
        <f>'2019_Download_5-1-1'!C97</f>
        <v>2012</v>
      </c>
      <c r="B88" s="38" t="s">
        <v>766</v>
      </c>
      <c r="C88" s="10" t="str">
        <f>'2019_Download_5-1-1'!$F$8</f>
        <v>Insgesamt</v>
      </c>
      <c r="D88" s="37" t="s">
        <v>87</v>
      </c>
      <c r="E88" s="40" t="s">
        <v>524</v>
      </c>
    </row>
    <row r="89" spans="1:5" x14ac:dyDescent="0.2">
      <c r="A89" s="10">
        <f>'2019_Download_5-1-1'!C98</f>
        <v>2012</v>
      </c>
      <c r="B89" s="38" t="s">
        <v>63</v>
      </c>
      <c r="C89" s="10" t="str">
        <f>'2019_Download_5-1-1'!$F$8</f>
        <v>Insgesamt</v>
      </c>
      <c r="D89" s="37" t="s">
        <v>87</v>
      </c>
      <c r="E89" s="40" t="s">
        <v>525</v>
      </c>
    </row>
    <row r="90" spans="1:5" x14ac:dyDescent="0.2">
      <c r="A90" s="10">
        <f>'2019_Download_5-1-1'!C99</f>
        <v>2011</v>
      </c>
      <c r="B90" s="38" t="s">
        <v>761</v>
      </c>
      <c r="C90" s="10" t="str">
        <f>'2019_Download_5-1-1'!$F$8</f>
        <v>Insgesamt</v>
      </c>
      <c r="D90" s="37" t="s">
        <v>87</v>
      </c>
      <c r="E90" s="40" t="s">
        <v>782</v>
      </c>
    </row>
    <row r="91" spans="1:5" x14ac:dyDescent="0.2">
      <c r="A91" s="10">
        <f>'2019_Download_5-1-1'!C100</f>
        <v>2011</v>
      </c>
      <c r="B91" s="38" t="s">
        <v>54</v>
      </c>
      <c r="C91" s="10" t="str">
        <f>'2019_Download_5-1-1'!$F$8</f>
        <v>Insgesamt</v>
      </c>
      <c r="D91" s="37" t="s">
        <v>87</v>
      </c>
      <c r="E91" s="40" t="s">
        <v>526</v>
      </c>
    </row>
    <row r="92" spans="1:5" x14ac:dyDescent="0.2">
      <c r="A92" s="10">
        <f>'2019_Download_5-1-1'!C101</f>
        <v>2011</v>
      </c>
      <c r="B92" s="38" t="s">
        <v>762</v>
      </c>
      <c r="C92" s="10" t="str">
        <f>'2019_Download_5-1-1'!$F$8</f>
        <v>Insgesamt</v>
      </c>
      <c r="D92" s="37" t="s">
        <v>87</v>
      </c>
      <c r="E92" s="40" t="s">
        <v>783</v>
      </c>
    </row>
    <row r="93" spans="1:5" x14ac:dyDescent="0.2">
      <c r="A93" s="10">
        <f>'2019_Download_5-1-1'!C102</f>
        <v>2011</v>
      </c>
      <c r="B93" s="38" t="s">
        <v>56</v>
      </c>
      <c r="C93" s="10" t="str">
        <f>'2019_Download_5-1-1'!$F$8</f>
        <v>Insgesamt</v>
      </c>
      <c r="D93" s="37" t="s">
        <v>87</v>
      </c>
      <c r="E93" s="40" t="s">
        <v>527</v>
      </c>
    </row>
    <row r="94" spans="1:5" x14ac:dyDescent="0.2">
      <c r="A94" s="10">
        <f>'2019_Download_5-1-1'!C103</f>
        <v>2011</v>
      </c>
      <c r="B94" s="38" t="s">
        <v>763</v>
      </c>
      <c r="C94" s="10" t="str">
        <f>'2019_Download_5-1-1'!$F$8</f>
        <v>Insgesamt</v>
      </c>
      <c r="D94" s="37" t="s">
        <v>87</v>
      </c>
      <c r="E94" s="40" t="s">
        <v>528</v>
      </c>
    </row>
    <row r="95" spans="1:5" x14ac:dyDescent="0.2">
      <c r="A95" s="10">
        <f>'2019_Download_5-1-1'!C104</f>
        <v>2011</v>
      </c>
      <c r="B95" s="38" t="s">
        <v>58</v>
      </c>
      <c r="C95" s="10" t="str">
        <f>'2019_Download_5-1-1'!$F$8</f>
        <v>Insgesamt</v>
      </c>
      <c r="D95" s="37" t="s">
        <v>87</v>
      </c>
      <c r="E95" s="40" t="s">
        <v>529</v>
      </c>
    </row>
    <row r="96" spans="1:5" x14ac:dyDescent="0.2">
      <c r="A96" s="10">
        <f>'2019_Download_5-1-1'!C105</f>
        <v>2011</v>
      </c>
      <c r="B96" s="38" t="s">
        <v>59</v>
      </c>
      <c r="C96" s="10" t="str">
        <f>'2019_Download_5-1-1'!$F$8</f>
        <v>Insgesamt</v>
      </c>
      <c r="D96" s="37" t="s">
        <v>87</v>
      </c>
      <c r="E96" s="40" t="s">
        <v>530</v>
      </c>
    </row>
    <row r="97" spans="1:5" x14ac:dyDescent="0.2">
      <c r="A97" s="10">
        <f>'2019_Download_5-1-1'!C106</f>
        <v>2011</v>
      </c>
      <c r="B97" s="38" t="s">
        <v>764</v>
      </c>
      <c r="C97" s="10" t="str">
        <f>'2019_Download_5-1-1'!$F$8</f>
        <v>Insgesamt</v>
      </c>
      <c r="D97" s="37" t="s">
        <v>87</v>
      </c>
      <c r="E97" s="40" t="s">
        <v>531</v>
      </c>
    </row>
    <row r="98" spans="1:5" x14ac:dyDescent="0.2">
      <c r="A98" s="10">
        <f>'2019_Download_5-1-1'!C107</f>
        <v>2011</v>
      </c>
      <c r="B98" s="38" t="s">
        <v>767</v>
      </c>
      <c r="C98" s="10" t="str">
        <f>'2019_Download_5-1-1'!$F$8</f>
        <v>Insgesamt</v>
      </c>
      <c r="D98" s="37" t="s">
        <v>87</v>
      </c>
      <c r="E98" s="40" t="s">
        <v>532</v>
      </c>
    </row>
    <row r="99" spans="1:5" x14ac:dyDescent="0.2">
      <c r="A99" s="10">
        <f>'2019_Download_5-1-1'!C108</f>
        <v>2011</v>
      </c>
      <c r="B99" s="38" t="s">
        <v>766</v>
      </c>
      <c r="C99" s="10" t="str">
        <f>'2019_Download_5-1-1'!$F$8</f>
        <v>Insgesamt</v>
      </c>
      <c r="D99" s="37" t="s">
        <v>87</v>
      </c>
      <c r="E99" s="40" t="s">
        <v>533</v>
      </c>
    </row>
    <row r="100" spans="1:5" x14ac:dyDescent="0.2">
      <c r="A100" s="10">
        <f>'2019_Download_5-1-1'!C109</f>
        <v>2011</v>
      </c>
      <c r="B100" s="38" t="s">
        <v>63</v>
      </c>
      <c r="C100" s="10" t="str">
        <f>'2019_Download_5-1-1'!$F$8</f>
        <v>Insgesamt</v>
      </c>
      <c r="D100" s="37" t="s">
        <v>87</v>
      </c>
      <c r="E100" s="40" t="s">
        <v>534</v>
      </c>
    </row>
    <row r="101" spans="1:5" x14ac:dyDescent="0.2">
      <c r="A101" s="10">
        <f>'2019_Download_5-1-1'!C110</f>
        <v>2010</v>
      </c>
      <c r="B101" s="38" t="s">
        <v>761</v>
      </c>
      <c r="C101" s="10" t="str">
        <f>'2019_Download_5-1-1'!$F$8</f>
        <v>Insgesamt</v>
      </c>
      <c r="D101" s="37" t="s">
        <v>87</v>
      </c>
      <c r="E101" s="40" t="s">
        <v>784</v>
      </c>
    </row>
    <row r="102" spans="1:5" x14ac:dyDescent="0.2">
      <c r="A102" s="10">
        <f>'2019_Download_5-1-1'!C111</f>
        <v>2010</v>
      </c>
      <c r="B102" s="38" t="s">
        <v>54</v>
      </c>
      <c r="C102" s="10" t="str">
        <f>'2019_Download_5-1-1'!$F$8</f>
        <v>Insgesamt</v>
      </c>
      <c r="D102" s="37" t="s">
        <v>87</v>
      </c>
      <c r="E102" s="40" t="s">
        <v>535</v>
      </c>
    </row>
    <row r="103" spans="1:5" x14ac:dyDescent="0.2">
      <c r="A103" s="10">
        <f>'2019_Download_5-1-1'!C112</f>
        <v>2010</v>
      </c>
      <c r="B103" s="38" t="s">
        <v>762</v>
      </c>
      <c r="C103" s="10" t="str">
        <f>'2019_Download_5-1-1'!$F$8</f>
        <v>Insgesamt</v>
      </c>
      <c r="D103" s="37" t="s">
        <v>87</v>
      </c>
      <c r="E103" s="40" t="s">
        <v>785</v>
      </c>
    </row>
    <row r="104" spans="1:5" x14ac:dyDescent="0.2">
      <c r="A104" s="10">
        <f>'2019_Download_5-1-1'!C113</f>
        <v>2010</v>
      </c>
      <c r="B104" s="38" t="s">
        <v>56</v>
      </c>
      <c r="C104" s="10" t="str">
        <f>'2019_Download_5-1-1'!$F$8</f>
        <v>Insgesamt</v>
      </c>
      <c r="D104" s="37" t="s">
        <v>87</v>
      </c>
      <c r="E104" s="40" t="s">
        <v>536</v>
      </c>
    </row>
    <row r="105" spans="1:5" x14ac:dyDescent="0.2">
      <c r="A105" s="10">
        <f>'2019_Download_5-1-1'!C114</f>
        <v>2010</v>
      </c>
      <c r="B105" s="38" t="s">
        <v>763</v>
      </c>
      <c r="C105" s="10" t="str">
        <f>'2019_Download_5-1-1'!$F$8</f>
        <v>Insgesamt</v>
      </c>
      <c r="D105" s="37" t="s">
        <v>87</v>
      </c>
      <c r="E105" s="40" t="s">
        <v>537</v>
      </c>
    </row>
    <row r="106" spans="1:5" x14ac:dyDescent="0.2">
      <c r="A106" s="10">
        <f>'2019_Download_5-1-1'!C115</f>
        <v>2010</v>
      </c>
      <c r="B106" s="38" t="s">
        <v>58</v>
      </c>
      <c r="C106" s="10" t="str">
        <f>'2019_Download_5-1-1'!$F$8</f>
        <v>Insgesamt</v>
      </c>
      <c r="D106" s="37" t="s">
        <v>87</v>
      </c>
      <c r="E106" s="40" t="s">
        <v>538</v>
      </c>
    </row>
    <row r="107" spans="1:5" x14ac:dyDescent="0.2">
      <c r="A107" s="10">
        <f>'2019_Download_5-1-1'!C116</f>
        <v>2010</v>
      </c>
      <c r="B107" s="38" t="s">
        <v>59</v>
      </c>
      <c r="C107" s="10" t="str">
        <f>'2019_Download_5-1-1'!$F$8</f>
        <v>Insgesamt</v>
      </c>
      <c r="D107" s="37" t="s">
        <v>87</v>
      </c>
      <c r="E107" s="40" t="s">
        <v>539</v>
      </c>
    </row>
    <row r="108" spans="1:5" x14ac:dyDescent="0.2">
      <c r="A108" s="10">
        <f>'2019_Download_5-1-1'!C117</f>
        <v>2010</v>
      </c>
      <c r="B108" s="38" t="s">
        <v>764</v>
      </c>
      <c r="C108" s="10" t="str">
        <f>'2019_Download_5-1-1'!$F$8</f>
        <v>Insgesamt</v>
      </c>
      <c r="D108" s="37" t="s">
        <v>87</v>
      </c>
      <c r="E108" s="40" t="s">
        <v>540</v>
      </c>
    </row>
    <row r="109" spans="1:5" x14ac:dyDescent="0.2">
      <c r="A109" s="10">
        <f>'2019_Download_5-1-1'!C118</f>
        <v>2010</v>
      </c>
      <c r="B109" s="38" t="s">
        <v>767</v>
      </c>
      <c r="C109" s="10" t="str">
        <f>'2019_Download_5-1-1'!$F$8</f>
        <v>Insgesamt</v>
      </c>
      <c r="D109" s="37" t="s">
        <v>87</v>
      </c>
      <c r="E109" s="40" t="s">
        <v>541</v>
      </c>
    </row>
    <row r="110" spans="1:5" x14ac:dyDescent="0.2">
      <c r="A110" s="10">
        <f>'2019_Download_5-1-1'!C119</f>
        <v>2010</v>
      </c>
      <c r="B110" s="38" t="s">
        <v>766</v>
      </c>
      <c r="C110" s="10" t="str">
        <f>'2019_Download_5-1-1'!$F$8</f>
        <v>Insgesamt</v>
      </c>
      <c r="D110" s="37" t="s">
        <v>87</v>
      </c>
      <c r="E110" s="40" t="s">
        <v>542</v>
      </c>
    </row>
    <row r="111" spans="1:5" x14ac:dyDescent="0.2">
      <c r="A111" s="10">
        <f>'2019_Download_5-1-1'!C120</f>
        <v>2010</v>
      </c>
      <c r="B111" s="38" t="s">
        <v>63</v>
      </c>
      <c r="C111" s="10" t="str">
        <f>'2019_Download_5-1-1'!$F$8</f>
        <v>Insgesamt</v>
      </c>
      <c r="D111" s="37" t="s">
        <v>87</v>
      </c>
      <c r="E111" s="40" t="s">
        <v>543</v>
      </c>
    </row>
    <row r="112" spans="1:5" x14ac:dyDescent="0.2">
      <c r="A112" s="10">
        <f>'2019_Download_5-1-1'!C121</f>
        <v>2005</v>
      </c>
      <c r="B112" s="38" t="s">
        <v>66</v>
      </c>
      <c r="C112" s="10" t="str">
        <f>'2019_Download_5-1-1'!$F$8</f>
        <v>Insgesamt</v>
      </c>
      <c r="D112" s="37" t="s">
        <v>87</v>
      </c>
      <c r="E112" s="40" t="s">
        <v>544</v>
      </c>
    </row>
    <row r="113" spans="1:5" x14ac:dyDescent="0.2">
      <c r="A113" s="10">
        <f>'2019_Download_5-1-1'!C122</f>
        <v>2005</v>
      </c>
      <c r="B113" s="38" t="s">
        <v>54</v>
      </c>
      <c r="C113" s="10" t="str">
        <f>'2019_Download_5-1-1'!$F$8</f>
        <v>Insgesamt</v>
      </c>
      <c r="D113" s="37" t="s">
        <v>87</v>
      </c>
      <c r="E113" s="40" t="s">
        <v>545</v>
      </c>
    </row>
    <row r="114" spans="1:5" x14ac:dyDescent="0.2">
      <c r="A114" s="10">
        <f>'2019_Download_5-1-1'!C123</f>
        <v>2005</v>
      </c>
      <c r="B114" s="38" t="s">
        <v>67</v>
      </c>
      <c r="C114" s="10" t="str">
        <f>'2019_Download_5-1-1'!$F$8</f>
        <v>Insgesamt</v>
      </c>
      <c r="D114" s="37" t="s">
        <v>87</v>
      </c>
      <c r="E114" s="40" t="s">
        <v>64</v>
      </c>
    </row>
    <row r="115" spans="1:5" x14ac:dyDescent="0.2">
      <c r="A115" s="10">
        <f>'2019_Download_5-1-1'!C124</f>
        <v>2005</v>
      </c>
      <c r="B115" s="38" t="s">
        <v>56</v>
      </c>
      <c r="C115" s="10" t="str">
        <f>'2019_Download_5-1-1'!$F$8</f>
        <v>Insgesamt</v>
      </c>
      <c r="D115" s="37" t="s">
        <v>87</v>
      </c>
      <c r="E115" s="40" t="s">
        <v>546</v>
      </c>
    </row>
    <row r="116" spans="1:5" x14ac:dyDescent="0.2">
      <c r="A116" s="10">
        <f>'2019_Download_5-1-1'!C125</f>
        <v>2005</v>
      </c>
      <c r="B116" s="38" t="s">
        <v>68</v>
      </c>
      <c r="C116" s="10" t="str">
        <f>'2019_Download_5-1-1'!$F$8</f>
        <v>Insgesamt</v>
      </c>
      <c r="D116" s="37" t="s">
        <v>87</v>
      </c>
      <c r="E116" s="40" t="s">
        <v>547</v>
      </c>
    </row>
    <row r="117" spans="1:5" x14ac:dyDescent="0.2">
      <c r="A117" s="10">
        <f>'2019_Download_5-1-1'!C126</f>
        <v>2005</v>
      </c>
      <c r="B117" s="38" t="s">
        <v>59</v>
      </c>
      <c r="C117" s="10" t="str">
        <f>'2019_Download_5-1-1'!$F$8</f>
        <v>Insgesamt</v>
      </c>
      <c r="D117" s="37" t="s">
        <v>87</v>
      </c>
      <c r="E117" s="40" t="s">
        <v>548</v>
      </c>
    </row>
    <row r="118" spans="1:5" x14ac:dyDescent="0.2">
      <c r="A118" s="10">
        <f>'2019_Download_5-1-1'!C127</f>
        <v>2005</v>
      </c>
      <c r="B118" s="38" t="s">
        <v>69</v>
      </c>
      <c r="C118" s="10" t="str">
        <f>'2019_Download_5-1-1'!$F$8</f>
        <v>Insgesamt</v>
      </c>
      <c r="D118" s="37" t="s">
        <v>87</v>
      </c>
      <c r="E118" s="40" t="s">
        <v>549</v>
      </c>
    </row>
    <row r="119" spans="1:5" x14ac:dyDescent="0.2">
      <c r="A119" s="10">
        <f>'2019_Download_5-1-1'!C128</f>
        <v>2005</v>
      </c>
      <c r="B119" s="38" t="s">
        <v>768</v>
      </c>
      <c r="C119" s="10" t="str">
        <f>'2019_Download_5-1-1'!$F$8</f>
        <v>Insgesamt</v>
      </c>
      <c r="D119" s="37" t="s">
        <v>87</v>
      </c>
      <c r="E119" s="40" t="s">
        <v>550</v>
      </c>
    </row>
    <row r="120" spans="1:5" x14ac:dyDescent="0.2">
      <c r="A120" s="10">
        <f>'2019_Download_5-1-1'!C129</f>
        <v>2005</v>
      </c>
      <c r="B120" s="38" t="s">
        <v>769</v>
      </c>
      <c r="C120" s="10" t="str">
        <f>'2019_Download_5-1-1'!$F$8</f>
        <v>Insgesamt</v>
      </c>
      <c r="D120" s="37" t="s">
        <v>87</v>
      </c>
      <c r="E120" s="40" t="s">
        <v>551</v>
      </c>
    </row>
    <row r="121" spans="1:5" x14ac:dyDescent="0.2">
      <c r="A121" s="10">
        <f>'2019_Download_5-1-1'!C130</f>
        <v>2005</v>
      </c>
      <c r="B121" s="38" t="s">
        <v>72</v>
      </c>
      <c r="C121" s="10" t="str">
        <f>'2019_Download_5-1-1'!$F$8</f>
        <v>Insgesamt</v>
      </c>
      <c r="D121" s="37" t="s">
        <v>87</v>
      </c>
      <c r="E121" s="40" t="s">
        <v>552</v>
      </c>
    </row>
    <row r="122" spans="1:5" x14ac:dyDescent="0.2">
      <c r="A122" s="10">
        <f>'2019_Download_5-1-1'!C131</f>
        <v>2005</v>
      </c>
      <c r="B122" s="38" t="s">
        <v>63</v>
      </c>
      <c r="C122" s="10" t="str">
        <f>'2019_Download_5-1-1'!$F$8</f>
        <v>Insgesamt</v>
      </c>
      <c r="D122" s="37" t="s">
        <v>87</v>
      </c>
      <c r="E122" s="40" t="s">
        <v>553</v>
      </c>
    </row>
    <row r="123" spans="1:5" x14ac:dyDescent="0.2">
      <c r="A123" s="10">
        <f>'2019_Download_5-1-1'!C11</f>
        <v>2019</v>
      </c>
      <c r="B123" s="38" t="s">
        <v>761</v>
      </c>
      <c r="C123" s="10" t="str">
        <f>'2019_Download_5-1-1'!$D$8</f>
        <v>Männer</v>
      </c>
      <c r="D123" s="37" t="s">
        <v>87</v>
      </c>
      <c r="E123" s="40" t="s">
        <v>786</v>
      </c>
    </row>
    <row r="124" spans="1:5" x14ac:dyDescent="0.2">
      <c r="A124" s="10">
        <f>'2019_Download_5-1-1'!C12</f>
        <v>2019</v>
      </c>
      <c r="B124" s="38" t="s">
        <v>54</v>
      </c>
      <c r="C124" s="10" t="str">
        <f>'2019_Download_5-1-1'!$D$8</f>
        <v>Männer</v>
      </c>
      <c r="D124" s="37" t="s">
        <v>87</v>
      </c>
      <c r="E124" s="40" t="s">
        <v>554</v>
      </c>
    </row>
    <row r="125" spans="1:5" x14ac:dyDescent="0.2">
      <c r="A125" s="10">
        <f>'2019_Download_5-1-1'!C13</f>
        <v>2019</v>
      </c>
      <c r="B125" s="38" t="s">
        <v>762</v>
      </c>
      <c r="C125" s="10" t="str">
        <f>'2019_Download_5-1-1'!$D$8</f>
        <v>Männer</v>
      </c>
      <c r="D125" s="37" t="s">
        <v>87</v>
      </c>
      <c r="E125" s="40" t="s">
        <v>787</v>
      </c>
    </row>
    <row r="126" spans="1:5" x14ac:dyDescent="0.2">
      <c r="A126" s="10">
        <f>'2019_Download_5-1-1'!C14</f>
        <v>2019</v>
      </c>
      <c r="B126" s="38" t="s">
        <v>56</v>
      </c>
      <c r="C126" s="10" t="str">
        <f>'2019_Download_5-1-1'!$D$8</f>
        <v>Männer</v>
      </c>
      <c r="D126" s="37" t="s">
        <v>87</v>
      </c>
      <c r="E126" s="40" t="s">
        <v>555</v>
      </c>
    </row>
    <row r="127" spans="1:5" x14ac:dyDescent="0.2">
      <c r="A127" s="10">
        <f>'2019_Download_5-1-1'!C15</f>
        <v>2019</v>
      </c>
      <c r="B127" s="38" t="s">
        <v>763</v>
      </c>
      <c r="C127" s="10" t="str">
        <f>'2019_Download_5-1-1'!$D$8</f>
        <v>Männer</v>
      </c>
      <c r="D127" s="37" t="s">
        <v>87</v>
      </c>
      <c r="E127" s="40" t="s">
        <v>556</v>
      </c>
    </row>
    <row r="128" spans="1:5" x14ac:dyDescent="0.2">
      <c r="A128" s="10">
        <f>'2019_Download_5-1-1'!C16</f>
        <v>2019</v>
      </c>
      <c r="B128" s="38" t="s">
        <v>58</v>
      </c>
      <c r="C128" s="10" t="str">
        <f>'2019_Download_5-1-1'!$D$8</f>
        <v>Männer</v>
      </c>
      <c r="D128" s="37" t="s">
        <v>87</v>
      </c>
      <c r="E128" s="40" t="s">
        <v>557</v>
      </c>
    </row>
    <row r="129" spans="1:5" x14ac:dyDescent="0.2">
      <c r="A129" s="10">
        <f>'2019_Download_5-1-1'!C17</f>
        <v>2019</v>
      </c>
      <c r="B129" s="38" t="s">
        <v>59</v>
      </c>
      <c r="C129" s="10" t="str">
        <f>'2019_Download_5-1-1'!$D$8</f>
        <v>Männer</v>
      </c>
      <c r="D129" s="37" t="s">
        <v>87</v>
      </c>
      <c r="E129" s="40" t="s">
        <v>558</v>
      </c>
    </row>
    <row r="130" spans="1:5" x14ac:dyDescent="0.2">
      <c r="A130" s="10">
        <f>'2019_Download_5-1-1'!C18</f>
        <v>2019</v>
      </c>
      <c r="B130" s="38" t="s">
        <v>764</v>
      </c>
      <c r="C130" s="10" t="str">
        <f>'2019_Download_5-1-1'!$D$8</f>
        <v>Männer</v>
      </c>
      <c r="D130" s="37" t="s">
        <v>87</v>
      </c>
      <c r="E130" s="40" t="s">
        <v>559</v>
      </c>
    </row>
    <row r="131" spans="1:5" x14ac:dyDescent="0.2">
      <c r="A131" s="10">
        <f>'2019_Download_5-1-1'!C19</f>
        <v>2019</v>
      </c>
      <c r="B131" s="38" t="s">
        <v>765</v>
      </c>
      <c r="C131" s="10" t="str">
        <f>'2019_Download_5-1-1'!$D$8</f>
        <v>Männer</v>
      </c>
      <c r="D131" s="37" t="s">
        <v>87</v>
      </c>
      <c r="E131" s="40" t="s">
        <v>560</v>
      </c>
    </row>
    <row r="132" spans="1:5" x14ac:dyDescent="0.2">
      <c r="A132" s="10">
        <f>'2019_Download_5-1-1'!C20</f>
        <v>2019</v>
      </c>
      <c r="B132" s="38" t="s">
        <v>766</v>
      </c>
      <c r="C132" s="10" t="str">
        <f>'2019_Download_5-1-1'!$D$8</f>
        <v>Männer</v>
      </c>
      <c r="D132" s="37" t="s">
        <v>87</v>
      </c>
      <c r="E132" s="40" t="s">
        <v>561</v>
      </c>
    </row>
    <row r="133" spans="1:5" x14ac:dyDescent="0.2">
      <c r="A133" s="10">
        <f>'2019_Download_5-1-1'!C21</f>
        <v>2019</v>
      </c>
      <c r="B133" s="38" t="s">
        <v>63</v>
      </c>
      <c r="C133" s="10" t="str">
        <f>'2019_Download_5-1-1'!$D$8</f>
        <v>Männer</v>
      </c>
      <c r="D133" s="37" t="s">
        <v>87</v>
      </c>
      <c r="E133" s="40" t="s">
        <v>788</v>
      </c>
    </row>
    <row r="134" spans="1:5" x14ac:dyDescent="0.2">
      <c r="A134" s="10">
        <f>'2019_Download_5-1-1'!C22</f>
        <v>2018</v>
      </c>
      <c r="B134" s="38" t="s">
        <v>761</v>
      </c>
      <c r="C134" s="10" t="str">
        <f>'2019_Download_5-1-1'!$D$8</f>
        <v>Männer</v>
      </c>
      <c r="D134" s="37" t="s">
        <v>87</v>
      </c>
      <c r="E134" s="40" t="s">
        <v>789</v>
      </c>
    </row>
    <row r="135" spans="1:5" x14ac:dyDescent="0.2">
      <c r="A135" s="10">
        <f>'2019_Download_5-1-1'!C23</f>
        <v>2018</v>
      </c>
      <c r="B135" s="38" t="s">
        <v>54</v>
      </c>
      <c r="C135" s="10" t="str">
        <f>'2019_Download_5-1-1'!$D$8</f>
        <v>Männer</v>
      </c>
      <c r="D135" s="37" t="s">
        <v>87</v>
      </c>
      <c r="E135" s="40" t="s">
        <v>562</v>
      </c>
    </row>
    <row r="136" spans="1:5" x14ac:dyDescent="0.2">
      <c r="A136" s="10">
        <f>'2019_Download_5-1-1'!C24</f>
        <v>2018</v>
      </c>
      <c r="B136" s="38" t="s">
        <v>762</v>
      </c>
      <c r="C136" s="10" t="str">
        <f>'2019_Download_5-1-1'!$D$8</f>
        <v>Männer</v>
      </c>
      <c r="D136" s="37" t="s">
        <v>87</v>
      </c>
      <c r="E136" s="40" t="s">
        <v>790</v>
      </c>
    </row>
    <row r="137" spans="1:5" x14ac:dyDescent="0.2">
      <c r="A137" s="10">
        <f>'2019_Download_5-1-1'!C25</f>
        <v>2018</v>
      </c>
      <c r="B137" s="38" t="s">
        <v>56</v>
      </c>
      <c r="C137" s="10" t="str">
        <f>'2019_Download_5-1-1'!$D$8</f>
        <v>Männer</v>
      </c>
      <c r="D137" s="37" t="s">
        <v>87</v>
      </c>
      <c r="E137" s="40" t="s">
        <v>563</v>
      </c>
    </row>
    <row r="138" spans="1:5" x14ac:dyDescent="0.2">
      <c r="A138" s="10">
        <f>'2019_Download_5-1-1'!C26</f>
        <v>2018</v>
      </c>
      <c r="B138" s="38" t="s">
        <v>763</v>
      </c>
      <c r="C138" s="10" t="str">
        <f>'2019_Download_5-1-1'!$D$8</f>
        <v>Männer</v>
      </c>
      <c r="D138" s="37" t="s">
        <v>87</v>
      </c>
      <c r="E138" s="40" t="s">
        <v>564</v>
      </c>
    </row>
    <row r="139" spans="1:5" x14ac:dyDescent="0.2">
      <c r="A139" s="10">
        <f>'2019_Download_5-1-1'!C27</f>
        <v>2018</v>
      </c>
      <c r="B139" s="38" t="s">
        <v>58</v>
      </c>
      <c r="C139" s="10" t="str">
        <f>'2019_Download_5-1-1'!$D$8</f>
        <v>Männer</v>
      </c>
      <c r="D139" s="37" t="s">
        <v>87</v>
      </c>
      <c r="E139" s="40" t="s">
        <v>565</v>
      </c>
    </row>
    <row r="140" spans="1:5" x14ac:dyDescent="0.2">
      <c r="A140" s="10">
        <f>'2019_Download_5-1-1'!C28</f>
        <v>2018</v>
      </c>
      <c r="B140" s="38" t="s">
        <v>59</v>
      </c>
      <c r="C140" s="10" t="str">
        <f>'2019_Download_5-1-1'!$D$8</f>
        <v>Männer</v>
      </c>
      <c r="D140" s="37" t="s">
        <v>87</v>
      </c>
      <c r="E140" s="40" t="s">
        <v>566</v>
      </c>
    </row>
    <row r="141" spans="1:5" x14ac:dyDescent="0.2">
      <c r="A141" s="10">
        <f>'2019_Download_5-1-1'!C29</f>
        <v>2018</v>
      </c>
      <c r="B141" s="38" t="s">
        <v>764</v>
      </c>
      <c r="C141" s="10" t="str">
        <f>'2019_Download_5-1-1'!$D$8</f>
        <v>Männer</v>
      </c>
      <c r="D141" s="37" t="s">
        <v>87</v>
      </c>
      <c r="E141" s="40" t="s">
        <v>567</v>
      </c>
    </row>
    <row r="142" spans="1:5" x14ac:dyDescent="0.2">
      <c r="A142" s="10">
        <f>'2019_Download_5-1-1'!C30</f>
        <v>2018</v>
      </c>
      <c r="B142" s="38" t="s">
        <v>765</v>
      </c>
      <c r="C142" s="10" t="str">
        <f>'2019_Download_5-1-1'!$D$8</f>
        <v>Männer</v>
      </c>
      <c r="D142" s="37" t="s">
        <v>87</v>
      </c>
      <c r="E142" s="40" t="s">
        <v>568</v>
      </c>
    </row>
    <row r="143" spans="1:5" x14ac:dyDescent="0.2">
      <c r="A143" s="10">
        <f>'2019_Download_5-1-1'!C31</f>
        <v>2018</v>
      </c>
      <c r="B143" s="38" t="s">
        <v>766</v>
      </c>
      <c r="C143" s="10" t="str">
        <f>'2019_Download_5-1-1'!$D$8</f>
        <v>Männer</v>
      </c>
      <c r="D143" s="37" t="s">
        <v>87</v>
      </c>
      <c r="E143" s="40" t="s">
        <v>569</v>
      </c>
    </row>
    <row r="144" spans="1:5" x14ac:dyDescent="0.2">
      <c r="A144" s="10">
        <f>'2019_Download_5-1-1'!C32</f>
        <v>2018</v>
      </c>
      <c r="B144" s="38" t="s">
        <v>63</v>
      </c>
      <c r="C144" s="10" t="str">
        <f>'2019_Download_5-1-1'!$D$8</f>
        <v>Männer</v>
      </c>
      <c r="D144" s="37" t="s">
        <v>87</v>
      </c>
      <c r="E144" s="40" t="s">
        <v>570</v>
      </c>
    </row>
    <row r="145" spans="1:5" x14ac:dyDescent="0.2">
      <c r="A145" s="10">
        <f>'2019_Download_5-1-1'!C33</f>
        <v>2017</v>
      </c>
      <c r="B145" s="38" t="s">
        <v>761</v>
      </c>
      <c r="C145" s="10" t="str">
        <f>'2019_Download_5-1-1'!$D$8</f>
        <v>Männer</v>
      </c>
      <c r="D145" s="37" t="s">
        <v>87</v>
      </c>
      <c r="E145" s="40" t="s">
        <v>791</v>
      </c>
    </row>
    <row r="146" spans="1:5" x14ac:dyDescent="0.2">
      <c r="A146" s="10">
        <f>'2019_Download_5-1-1'!C34</f>
        <v>2017</v>
      </c>
      <c r="B146" s="38" t="s">
        <v>54</v>
      </c>
      <c r="C146" s="10" t="str">
        <f>'2019_Download_5-1-1'!$D$8</f>
        <v>Männer</v>
      </c>
      <c r="D146" s="37" t="s">
        <v>87</v>
      </c>
      <c r="E146" s="40" t="s">
        <v>571</v>
      </c>
    </row>
    <row r="147" spans="1:5" x14ac:dyDescent="0.2">
      <c r="A147" s="10">
        <f>'2019_Download_5-1-1'!C35</f>
        <v>2017</v>
      </c>
      <c r="B147" s="38" t="s">
        <v>762</v>
      </c>
      <c r="C147" s="10" t="str">
        <f>'2019_Download_5-1-1'!$D$8</f>
        <v>Männer</v>
      </c>
      <c r="D147" s="37" t="s">
        <v>87</v>
      </c>
      <c r="E147" s="40" t="s">
        <v>792</v>
      </c>
    </row>
    <row r="148" spans="1:5" x14ac:dyDescent="0.2">
      <c r="A148" s="10">
        <f>'2019_Download_5-1-1'!C36</f>
        <v>2017</v>
      </c>
      <c r="B148" s="38" t="s">
        <v>56</v>
      </c>
      <c r="C148" s="10" t="str">
        <f>'2019_Download_5-1-1'!$D$8</f>
        <v>Männer</v>
      </c>
      <c r="D148" s="37" t="s">
        <v>87</v>
      </c>
      <c r="E148" s="40" t="s">
        <v>572</v>
      </c>
    </row>
    <row r="149" spans="1:5" x14ac:dyDescent="0.2">
      <c r="A149" s="10">
        <f>'2019_Download_5-1-1'!C37</f>
        <v>2017</v>
      </c>
      <c r="B149" s="38" t="s">
        <v>763</v>
      </c>
      <c r="C149" s="10" t="str">
        <f>'2019_Download_5-1-1'!$D$8</f>
        <v>Männer</v>
      </c>
      <c r="D149" s="37" t="s">
        <v>87</v>
      </c>
      <c r="E149" s="40" t="s">
        <v>573</v>
      </c>
    </row>
    <row r="150" spans="1:5" x14ac:dyDescent="0.2">
      <c r="A150" s="10">
        <f>'2019_Download_5-1-1'!C38</f>
        <v>2017</v>
      </c>
      <c r="B150" s="38" t="s">
        <v>58</v>
      </c>
      <c r="C150" s="10" t="str">
        <f>'2019_Download_5-1-1'!$D$8</f>
        <v>Männer</v>
      </c>
      <c r="D150" s="37" t="s">
        <v>87</v>
      </c>
      <c r="E150" s="40" t="s">
        <v>574</v>
      </c>
    </row>
    <row r="151" spans="1:5" x14ac:dyDescent="0.2">
      <c r="A151" s="10">
        <f>'2019_Download_5-1-1'!C39</f>
        <v>2017</v>
      </c>
      <c r="B151" s="38" t="s">
        <v>59</v>
      </c>
      <c r="C151" s="10" t="str">
        <f>'2019_Download_5-1-1'!$D$8</f>
        <v>Männer</v>
      </c>
      <c r="D151" s="37" t="s">
        <v>87</v>
      </c>
      <c r="E151" s="40" t="s">
        <v>575</v>
      </c>
    </row>
    <row r="152" spans="1:5" x14ac:dyDescent="0.2">
      <c r="A152" s="10">
        <f>'2019_Download_5-1-1'!C40</f>
        <v>2017</v>
      </c>
      <c r="B152" s="38" t="s">
        <v>764</v>
      </c>
      <c r="C152" s="10" t="str">
        <f>'2019_Download_5-1-1'!$D$8</f>
        <v>Männer</v>
      </c>
      <c r="D152" s="37" t="s">
        <v>87</v>
      </c>
      <c r="E152" s="40" t="s">
        <v>576</v>
      </c>
    </row>
    <row r="153" spans="1:5" x14ac:dyDescent="0.2">
      <c r="A153" s="10">
        <f>'2019_Download_5-1-1'!C41</f>
        <v>2017</v>
      </c>
      <c r="B153" s="38" t="s">
        <v>765</v>
      </c>
      <c r="C153" s="10" t="str">
        <f>'2019_Download_5-1-1'!$D$8</f>
        <v>Männer</v>
      </c>
      <c r="D153" s="37" t="s">
        <v>87</v>
      </c>
      <c r="E153" s="40" t="s">
        <v>577</v>
      </c>
    </row>
    <row r="154" spans="1:5" x14ac:dyDescent="0.2">
      <c r="A154" s="10">
        <f>'2019_Download_5-1-1'!C42</f>
        <v>2017</v>
      </c>
      <c r="B154" s="38" t="s">
        <v>766</v>
      </c>
      <c r="C154" s="10" t="str">
        <f>'2019_Download_5-1-1'!$D$8</f>
        <v>Männer</v>
      </c>
      <c r="D154" s="37" t="s">
        <v>87</v>
      </c>
      <c r="E154" s="40" t="s">
        <v>578</v>
      </c>
    </row>
    <row r="155" spans="1:5" x14ac:dyDescent="0.2">
      <c r="A155" s="10">
        <f>'2019_Download_5-1-1'!C43</f>
        <v>2017</v>
      </c>
      <c r="B155" s="38" t="s">
        <v>63</v>
      </c>
      <c r="C155" s="10" t="str">
        <f>'2019_Download_5-1-1'!$D$8</f>
        <v>Männer</v>
      </c>
      <c r="D155" s="37" t="s">
        <v>87</v>
      </c>
      <c r="E155" s="40" t="s">
        <v>579</v>
      </c>
    </row>
    <row r="156" spans="1:5" x14ac:dyDescent="0.2">
      <c r="A156" s="10">
        <f>'2019_Download_5-1-1'!C44</f>
        <v>2016</v>
      </c>
      <c r="B156" s="38" t="s">
        <v>761</v>
      </c>
      <c r="C156" s="10" t="str">
        <f>'2019_Download_5-1-1'!$D$8</f>
        <v>Männer</v>
      </c>
      <c r="D156" s="37" t="s">
        <v>87</v>
      </c>
      <c r="E156" s="40" t="s">
        <v>793</v>
      </c>
    </row>
    <row r="157" spans="1:5" x14ac:dyDescent="0.2">
      <c r="A157" s="10">
        <f>'2019_Download_5-1-1'!C45</f>
        <v>2016</v>
      </c>
      <c r="B157" s="38" t="s">
        <v>54</v>
      </c>
      <c r="C157" s="10" t="str">
        <f>'2019_Download_5-1-1'!$D$8</f>
        <v>Männer</v>
      </c>
      <c r="D157" s="37" t="s">
        <v>87</v>
      </c>
      <c r="E157" s="40" t="s">
        <v>580</v>
      </c>
    </row>
    <row r="158" spans="1:5" x14ac:dyDescent="0.2">
      <c r="A158" s="10">
        <f>'2019_Download_5-1-1'!C46</f>
        <v>2016</v>
      </c>
      <c r="B158" s="38" t="s">
        <v>762</v>
      </c>
      <c r="C158" s="10" t="str">
        <f>'2019_Download_5-1-1'!$D$8</f>
        <v>Männer</v>
      </c>
      <c r="D158" s="37" t="s">
        <v>87</v>
      </c>
      <c r="E158" s="40" t="s">
        <v>794</v>
      </c>
    </row>
    <row r="159" spans="1:5" x14ac:dyDescent="0.2">
      <c r="A159" s="10">
        <f>'2019_Download_5-1-1'!C47</f>
        <v>2016</v>
      </c>
      <c r="B159" s="38" t="s">
        <v>56</v>
      </c>
      <c r="C159" s="10" t="str">
        <f>'2019_Download_5-1-1'!$D$8</f>
        <v>Männer</v>
      </c>
      <c r="D159" s="37" t="s">
        <v>87</v>
      </c>
      <c r="E159" s="40" t="s">
        <v>581</v>
      </c>
    </row>
    <row r="160" spans="1:5" x14ac:dyDescent="0.2">
      <c r="A160" s="10">
        <f>'2019_Download_5-1-1'!C48</f>
        <v>2016</v>
      </c>
      <c r="B160" s="38" t="s">
        <v>763</v>
      </c>
      <c r="C160" s="10" t="str">
        <f>'2019_Download_5-1-1'!$D$8</f>
        <v>Männer</v>
      </c>
      <c r="D160" s="37" t="s">
        <v>87</v>
      </c>
      <c r="E160" s="40" t="s">
        <v>582</v>
      </c>
    </row>
    <row r="161" spans="1:5" x14ac:dyDescent="0.2">
      <c r="A161" s="10">
        <f>'2019_Download_5-1-1'!C49</f>
        <v>2016</v>
      </c>
      <c r="B161" s="38" t="s">
        <v>58</v>
      </c>
      <c r="C161" s="10" t="str">
        <f>'2019_Download_5-1-1'!$D$8</f>
        <v>Männer</v>
      </c>
      <c r="D161" s="37" t="s">
        <v>87</v>
      </c>
      <c r="E161" s="40" t="s">
        <v>583</v>
      </c>
    </row>
    <row r="162" spans="1:5" x14ac:dyDescent="0.2">
      <c r="A162" s="10">
        <f>'2019_Download_5-1-1'!C50</f>
        <v>2016</v>
      </c>
      <c r="B162" s="38" t="s">
        <v>59</v>
      </c>
      <c r="C162" s="10" t="str">
        <f>'2019_Download_5-1-1'!$D$8</f>
        <v>Männer</v>
      </c>
      <c r="D162" s="37" t="s">
        <v>87</v>
      </c>
      <c r="E162" s="40" t="s">
        <v>584</v>
      </c>
    </row>
    <row r="163" spans="1:5" x14ac:dyDescent="0.2">
      <c r="A163" s="10">
        <f>'2019_Download_5-1-1'!C51</f>
        <v>2016</v>
      </c>
      <c r="B163" s="38" t="s">
        <v>764</v>
      </c>
      <c r="C163" s="10" t="str">
        <f>'2019_Download_5-1-1'!$D$8</f>
        <v>Männer</v>
      </c>
      <c r="D163" s="37" t="s">
        <v>87</v>
      </c>
      <c r="E163" s="40" t="s">
        <v>585</v>
      </c>
    </row>
    <row r="164" spans="1:5" x14ac:dyDescent="0.2">
      <c r="A164" s="10">
        <f>'2019_Download_5-1-1'!C52</f>
        <v>2016</v>
      </c>
      <c r="B164" s="38" t="s">
        <v>765</v>
      </c>
      <c r="C164" s="10" t="str">
        <f>'2019_Download_5-1-1'!$D$8</f>
        <v>Männer</v>
      </c>
      <c r="D164" s="37" t="s">
        <v>87</v>
      </c>
      <c r="E164" s="40" t="s">
        <v>586</v>
      </c>
    </row>
    <row r="165" spans="1:5" x14ac:dyDescent="0.2">
      <c r="A165" s="10">
        <f>'2019_Download_5-1-1'!C53</f>
        <v>2016</v>
      </c>
      <c r="B165" s="38" t="s">
        <v>766</v>
      </c>
      <c r="C165" s="10" t="str">
        <f>'2019_Download_5-1-1'!$D$8</f>
        <v>Männer</v>
      </c>
      <c r="D165" s="37" t="s">
        <v>87</v>
      </c>
      <c r="E165" s="40" t="s">
        <v>795</v>
      </c>
    </row>
    <row r="166" spans="1:5" x14ac:dyDescent="0.2">
      <c r="A166" s="10">
        <f>'2019_Download_5-1-1'!C54</f>
        <v>2016</v>
      </c>
      <c r="B166" s="38" t="s">
        <v>63</v>
      </c>
      <c r="C166" s="10" t="str">
        <f>'2019_Download_5-1-1'!$D$8</f>
        <v>Männer</v>
      </c>
      <c r="D166" s="37" t="s">
        <v>87</v>
      </c>
      <c r="E166" s="40" t="s">
        <v>587</v>
      </c>
    </row>
    <row r="167" spans="1:5" x14ac:dyDescent="0.2">
      <c r="A167" s="10">
        <f>'2019_Download_5-1-1'!C55</f>
        <v>2015</v>
      </c>
      <c r="B167" s="38" t="s">
        <v>761</v>
      </c>
      <c r="C167" s="10" t="str">
        <f>'2019_Download_5-1-1'!$D$8</f>
        <v>Männer</v>
      </c>
      <c r="D167" s="37" t="s">
        <v>87</v>
      </c>
      <c r="E167" s="40" t="s">
        <v>796</v>
      </c>
    </row>
    <row r="168" spans="1:5" x14ac:dyDescent="0.2">
      <c r="A168" s="10">
        <f>'2019_Download_5-1-1'!C56</f>
        <v>2015</v>
      </c>
      <c r="B168" s="38" t="s">
        <v>54</v>
      </c>
      <c r="C168" s="10" t="str">
        <f>'2019_Download_5-1-1'!$D$8</f>
        <v>Männer</v>
      </c>
      <c r="D168" s="37" t="s">
        <v>87</v>
      </c>
      <c r="E168" s="40" t="s">
        <v>588</v>
      </c>
    </row>
    <row r="169" spans="1:5" x14ac:dyDescent="0.2">
      <c r="A169" s="10">
        <f>'2019_Download_5-1-1'!C57</f>
        <v>2015</v>
      </c>
      <c r="B169" s="38" t="s">
        <v>762</v>
      </c>
      <c r="C169" s="10" t="str">
        <f>'2019_Download_5-1-1'!$D$8</f>
        <v>Männer</v>
      </c>
      <c r="D169" s="37" t="s">
        <v>87</v>
      </c>
      <c r="E169" s="40" t="s">
        <v>797</v>
      </c>
    </row>
    <row r="170" spans="1:5" x14ac:dyDescent="0.2">
      <c r="A170" s="10">
        <f>'2019_Download_5-1-1'!C58</f>
        <v>2015</v>
      </c>
      <c r="B170" s="38" t="s">
        <v>56</v>
      </c>
      <c r="C170" s="10" t="str">
        <f>'2019_Download_5-1-1'!$D$8</f>
        <v>Männer</v>
      </c>
      <c r="D170" s="37" t="s">
        <v>87</v>
      </c>
      <c r="E170" s="40" t="s">
        <v>589</v>
      </c>
    </row>
    <row r="171" spans="1:5" x14ac:dyDescent="0.2">
      <c r="A171" s="10">
        <f>'2019_Download_5-1-1'!C59</f>
        <v>2015</v>
      </c>
      <c r="B171" s="38" t="s">
        <v>763</v>
      </c>
      <c r="C171" s="10" t="str">
        <f>'2019_Download_5-1-1'!$D$8</f>
        <v>Männer</v>
      </c>
      <c r="D171" s="37" t="s">
        <v>87</v>
      </c>
      <c r="E171" s="40" t="s">
        <v>590</v>
      </c>
    </row>
    <row r="172" spans="1:5" x14ac:dyDescent="0.2">
      <c r="A172" s="10">
        <f>'2019_Download_5-1-1'!C60</f>
        <v>2015</v>
      </c>
      <c r="B172" s="38" t="s">
        <v>58</v>
      </c>
      <c r="C172" s="10" t="str">
        <f>'2019_Download_5-1-1'!$D$8</f>
        <v>Männer</v>
      </c>
      <c r="D172" s="37" t="s">
        <v>87</v>
      </c>
      <c r="E172" s="40" t="s">
        <v>591</v>
      </c>
    </row>
    <row r="173" spans="1:5" x14ac:dyDescent="0.2">
      <c r="A173" s="10">
        <f>'2019_Download_5-1-1'!C61</f>
        <v>2015</v>
      </c>
      <c r="B173" s="38" t="s">
        <v>59</v>
      </c>
      <c r="C173" s="10" t="str">
        <f>'2019_Download_5-1-1'!$D$8</f>
        <v>Männer</v>
      </c>
      <c r="D173" s="37" t="s">
        <v>87</v>
      </c>
      <c r="E173" s="40" t="s">
        <v>592</v>
      </c>
    </row>
    <row r="174" spans="1:5" x14ac:dyDescent="0.2">
      <c r="A174" s="10">
        <f>'2019_Download_5-1-1'!C62</f>
        <v>2015</v>
      </c>
      <c r="B174" s="38" t="s">
        <v>764</v>
      </c>
      <c r="C174" s="10" t="str">
        <f>'2019_Download_5-1-1'!$D$8</f>
        <v>Männer</v>
      </c>
      <c r="D174" s="37" t="s">
        <v>87</v>
      </c>
      <c r="E174" s="40" t="s">
        <v>593</v>
      </c>
    </row>
    <row r="175" spans="1:5" x14ac:dyDescent="0.2">
      <c r="A175" s="10">
        <f>'2019_Download_5-1-1'!C63</f>
        <v>2015</v>
      </c>
      <c r="B175" s="38" t="s">
        <v>767</v>
      </c>
      <c r="C175" s="10" t="str">
        <f>'2019_Download_5-1-1'!$D$8</f>
        <v>Männer</v>
      </c>
      <c r="D175" s="37" t="s">
        <v>87</v>
      </c>
      <c r="E175" s="40" t="s">
        <v>594</v>
      </c>
    </row>
    <row r="176" spans="1:5" x14ac:dyDescent="0.2">
      <c r="A176" s="10">
        <f>'2019_Download_5-1-1'!C64</f>
        <v>2015</v>
      </c>
      <c r="B176" s="38" t="s">
        <v>766</v>
      </c>
      <c r="C176" s="10" t="str">
        <f>'2019_Download_5-1-1'!$D$8</f>
        <v>Männer</v>
      </c>
      <c r="D176" s="37" t="s">
        <v>87</v>
      </c>
      <c r="E176" s="40" t="s">
        <v>595</v>
      </c>
    </row>
    <row r="177" spans="1:5" x14ac:dyDescent="0.2">
      <c r="A177" s="10">
        <f>'2019_Download_5-1-1'!C65</f>
        <v>2015</v>
      </c>
      <c r="B177" s="38" t="s">
        <v>63</v>
      </c>
      <c r="C177" s="10" t="str">
        <f>'2019_Download_5-1-1'!$D$8</f>
        <v>Männer</v>
      </c>
      <c r="D177" s="37" t="s">
        <v>87</v>
      </c>
      <c r="E177" s="40" t="s">
        <v>596</v>
      </c>
    </row>
    <row r="178" spans="1:5" x14ac:dyDescent="0.2">
      <c r="A178" s="10">
        <f>'2019_Download_5-1-1'!C66</f>
        <v>2014</v>
      </c>
      <c r="B178" s="38" t="s">
        <v>761</v>
      </c>
      <c r="C178" s="10" t="str">
        <f>'2019_Download_5-1-1'!$D$8</f>
        <v>Männer</v>
      </c>
      <c r="D178" s="37" t="s">
        <v>87</v>
      </c>
      <c r="E178" s="40" t="s">
        <v>798</v>
      </c>
    </row>
    <row r="179" spans="1:5" x14ac:dyDescent="0.2">
      <c r="A179" s="10">
        <f>'2019_Download_5-1-1'!C67</f>
        <v>2014</v>
      </c>
      <c r="B179" s="38" t="s">
        <v>54</v>
      </c>
      <c r="C179" s="10" t="str">
        <f>'2019_Download_5-1-1'!$D$8</f>
        <v>Männer</v>
      </c>
      <c r="D179" s="37" t="s">
        <v>87</v>
      </c>
      <c r="E179" s="40" t="s">
        <v>597</v>
      </c>
    </row>
    <row r="180" spans="1:5" x14ac:dyDescent="0.2">
      <c r="A180" s="10">
        <f>'2019_Download_5-1-1'!C68</f>
        <v>2014</v>
      </c>
      <c r="B180" s="38" t="s">
        <v>762</v>
      </c>
      <c r="C180" s="10" t="str">
        <f>'2019_Download_5-1-1'!$D$8</f>
        <v>Männer</v>
      </c>
      <c r="D180" s="37" t="s">
        <v>87</v>
      </c>
      <c r="E180" s="40" t="s">
        <v>799</v>
      </c>
    </row>
    <row r="181" spans="1:5" x14ac:dyDescent="0.2">
      <c r="A181" s="10">
        <f>'2019_Download_5-1-1'!C69</f>
        <v>2014</v>
      </c>
      <c r="B181" s="38" t="s">
        <v>56</v>
      </c>
      <c r="C181" s="10" t="str">
        <f>'2019_Download_5-1-1'!$D$8</f>
        <v>Männer</v>
      </c>
      <c r="D181" s="37" t="s">
        <v>87</v>
      </c>
      <c r="E181" s="40" t="s">
        <v>598</v>
      </c>
    </row>
    <row r="182" spans="1:5" x14ac:dyDescent="0.2">
      <c r="A182" s="10">
        <f>'2019_Download_5-1-1'!C70</f>
        <v>2014</v>
      </c>
      <c r="B182" s="38" t="s">
        <v>763</v>
      </c>
      <c r="C182" s="10" t="str">
        <f>'2019_Download_5-1-1'!$D$8</f>
        <v>Männer</v>
      </c>
      <c r="D182" s="37" t="s">
        <v>87</v>
      </c>
      <c r="E182" s="40" t="s">
        <v>599</v>
      </c>
    </row>
    <row r="183" spans="1:5" x14ac:dyDescent="0.2">
      <c r="A183" s="10">
        <f>'2019_Download_5-1-1'!C71</f>
        <v>2014</v>
      </c>
      <c r="B183" s="38" t="s">
        <v>58</v>
      </c>
      <c r="C183" s="10" t="str">
        <f>'2019_Download_5-1-1'!$D$8</f>
        <v>Männer</v>
      </c>
      <c r="D183" s="37" t="s">
        <v>87</v>
      </c>
      <c r="E183" s="40" t="s">
        <v>600</v>
      </c>
    </row>
    <row r="184" spans="1:5" x14ac:dyDescent="0.2">
      <c r="A184" s="10">
        <f>'2019_Download_5-1-1'!C72</f>
        <v>2014</v>
      </c>
      <c r="B184" s="38" t="s">
        <v>59</v>
      </c>
      <c r="C184" s="10" t="str">
        <f>'2019_Download_5-1-1'!$D$8</f>
        <v>Männer</v>
      </c>
      <c r="D184" s="37" t="s">
        <v>87</v>
      </c>
      <c r="E184" s="40" t="s">
        <v>601</v>
      </c>
    </row>
    <row r="185" spans="1:5" x14ac:dyDescent="0.2">
      <c r="A185" s="10">
        <f>'2019_Download_5-1-1'!C73</f>
        <v>2014</v>
      </c>
      <c r="B185" s="38" t="s">
        <v>764</v>
      </c>
      <c r="C185" s="10" t="str">
        <f>'2019_Download_5-1-1'!$D$8</f>
        <v>Männer</v>
      </c>
      <c r="D185" s="37" t="s">
        <v>87</v>
      </c>
      <c r="E185" s="40" t="s">
        <v>602</v>
      </c>
    </row>
    <row r="186" spans="1:5" x14ac:dyDescent="0.2">
      <c r="A186" s="10">
        <f>'2019_Download_5-1-1'!C74</f>
        <v>2014</v>
      </c>
      <c r="B186" s="38" t="s">
        <v>765</v>
      </c>
      <c r="C186" s="10" t="str">
        <f>'2019_Download_5-1-1'!$D$8</f>
        <v>Männer</v>
      </c>
      <c r="D186" s="37" t="s">
        <v>87</v>
      </c>
      <c r="E186" s="40" t="s">
        <v>603</v>
      </c>
    </row>
    <row r="187" spans="1:5" x14ac:dyDescent="0.2">
      <c r="A187" s="10">
        <f>'2019_Download_5-1-1'!C75</f>
        <v>2014</v>
      </c>
      <c r="B187" s="38" t="s">
        <v>766</v>
      </c>
      <c r="C187" s="10" t="str">
        <f>'2019_Download_5-1-1'!$D$8</f>
        <v>Männer</v>
      </c>
      <c r="D187" s="37" t="s">
        <v>87</v>
      </c>
      <c r="E187" s="40" t="s">
        <v>604</v>
      </c>
    </row>
    <row r="188" spans="1:5" x14ac:dyDescent="0.2">
      <c r="A188" s="10">
        <f>'2019_Download_5-1-1'!C76</f>
        <v>2014</v>
      </c>
      <c r="B188" s="38" t="s">
        <v>63</v>
      </c>
      <c r="C188" s="10" t="str">
        <f>'2019_Download_5-1-1'!$D$8</f>
        <v>Männer</v>
      </c>
      <c r="D188" s="37" t="s">
        <v>87</v>
      </c>
      <c r="E188" s="40" t="s">
        <v>605</v>
      </c>
    </row>
    <row r="189" spans="1:5" x14ac:dyDescent="0.2">
      <c r="A189" s="10">
        <f>'2019_Download_5-1-1'!C77</f>
        <v>2013</v>
      </c>
      <c r="B189" s="38" t="s">
        <v>761</v>
      </c>
      <c r="C189" s="10" t="str">
        <f>'2019_Download_5-1-1'!$D$8</f>
        <v>Männer</v>
      </c>
      <c r="D189" s="37" t="s">
        <v>87</v>
      </c>
      <c r="E189" s="40" t="s">
        <v>800</v>
      </c>
    </row>
    <row r="190" spans="1:5" x14ac:dyDescent="0.2">
      <c r="A190" s="10">
        <f>'2019_Download_5-1-1'!C78</f>
        <v>2013</v>
      </c>
      <c r="B190" s="38" t="s">
        <v>54</v>
      </c>
      <c r="C190" s="10" t="str">
        <f>'2019_Download_5-1-1'!$D$8</f>
        <v>Männer</v>
      </c>
      <c r="D190" s="37" t="s">
        <v>87</v>
      </c>
      <c r="E190" s="40" t="s">
        <v>606</v>
      </c>
    </row>
    <row r="191" spans="1:5" x14ac:dyDescent="0.2">
      <c r="A191" s="10">
        <f>'2019_Download_5-1-1'!C79</f>
        <v>2013</v>
      </c>
      <c r="B191" s="38" t="s">
        <v>762</v>
      </c>
      <c r="C191" s="10" t="str">
        <f>'2019_Download_5-1-1'!$D$8</f>
        <v>Männer</v>
      </c>
      <c r="D191" s="37" t="s">
        <v>87</v>
      </c>
      <c r="E191" s="40" t="s">
        <v>801</v>
      </c>
    </row>
    <row r="192" spans="1:5" x14ac:dyDescent="0.2">
      <c r="A192" s="10">
        <f>'2019_Download_5-1-1'!C80</f>
        <v>2013</v>
      </c>
      <c r="B192" s="38" t="s">
        <v>56</v>
      </c>
      <c r="C192" s="10" t="str">
        <f>'2019_Download_5-1-1'!$D$8</f>
        <v>Männer</v>
      </c>
      <c r="D192" s="37" t="s">
        <v>87</v>
      </c>
      <c r="E192" s="40" t="s">
        <v>607</v>
      </c>
    </row>
    <row r="193" spans="1:5" x14ac:dyDescent="0.2">
      <c r="A193" s="10">
        <f>'2019_Download_5-1-1'!C81</f>
        <v>2013</v>
      </c>
      <c r="B193" s="38" t="s">
        <v>763</v>
      </c>
      <c r="C193" s="10" t="str">
        <f>'2019_Download_5-1-1'!$D$8</f>
        <v>Männer</v>
      </c>
      <c r="D193" s="37" t="s">
        <v>87</v>
      </c>
      <c r="E193" s="40" t="s">
        <v>608</v>
      </c>
    </row>
    <row r="194" spans="1:5" x14ac:dyDescent="0.2">
      <c r="A194" s="10">
        <f>'2019_Download_5-1-1'!C82</f>
        <v>2013</v>
      </c>
      <c r="B194" s="38" t="s">
        <v>58</v>
      </c>
      <c r="C194" s="10" t="str">
        <f>'2019_Download_5-1-1'!$D$8</f>
        <v>Männer</v>
      </c>
      <c r="D194" s="37" t="s">
        <v>87</v>
      </c>
      <c r="E194" s="40" t="s">
        <v>609</v>
      </c>
    </row>
    <row r="195" spans="1:5" x14ac:dyDescent="0.2">
      <c r="A195" s="10">
        <f>'2019_Download_5-1-1'!C83</f>
        <v>2013</v>
      </c>
      <c r="B195" s="38" t="s">
        <v>59</v>
      </c>
      <c r="C195" s="10" t="str">
        <f>'2019_Download_5-1-1'!$D$8</f>
        <v>Männer</v>
      </c>
      <c r="D195" s="37" t="s">
        <v>87</v>
      </c>
      <c r="E195" s="40" t="s">
        <v>610</v>
      </c>
    </row>
    <row r="196" spans="1:5" x14ac:dyDescent="0.2">
      <c r="A196" s="10">
        <f>'2019_Download_5-1-1'!C84</f>
        <v>2013</v>
      </c>
      <c r="B196" s="38" t="s">
        <v>764</v>
      </c>
      <c r="C196" s="10" t="str">
        <f>'2019_Download_5-1-1'!$D$8</f>
        <v>Männer</v>
      </c>
      <c r="D196" s="37" t="s">
        <v>87</v>
      </c>
      <c r="E196" s="40" t="s">
        <v>611</v>
      </c>
    </row>
    <row r="197" spans="1:5" x14ac:dyDescent="0.2">
      <c r="A197" s="10">
        <f>'2019_Download_5-1-1'!C85</f>
        <v>2013</v>
      </c>
      <c r="B197" s="38" t="s">
        <v>765</v>
      </c>
      <c r="C197" s="10" t="str">
        <f>'2019_Download_5-1-1'!$D$8</f>
        <v>Männer</v>
      </c>
      <c r="D197" s="37" t="s">
        <v>87</v>
      </c>
      <c r="E197" s="40" t="s">
        <v>612</v>
      </c>
    </row>
    <row r="198" spans="1:5" x14ac:dyDescent="0.2">
      <c r="A198" s="10">
        <f>'2019_Download_5-1-1'!C86</f>
        <v>2013</v>
      </c>
      <c r="B198" s="38" t="s">
        <v>766</v>
      </c>
      <c r="C198" s="10" t="str">
        <f>'2019_Download_5-1-1'!$D$8</f>
        <v>Männer</v>
      </c>
      <c r="D198" s="37" t="s">
        <v>87</v>
      </c>
      <c r="E198" s="40" t="s">
        <v>613</v>
      </c>
    </row>
    <row r="199" spans="1:5" x14ac:dyDescent="0.2">
      <c r="A199" s="10">
        <f>'2019_Download_5-1-1'!C87</f>
        <v>2013</v>
      </c>
      <c r="B199" s="38" t="s">
        <v>63</v>
      </c>
      <c r="C199" s="10" t="str">
        <f>'2019_Download_5-1-1'!$D$8</f>
        <v>Männer</v>
      </c>
      <c r="D199" s="37" t="s">
        <v>87</v>
      </c>
      <c r="E199" s="40" t="s">
        <v>614</v>
      </c>
    </row>
    <row r="200" spans="1:5" x14ac:dyDescent="0.2">
      <c r="A200" s="10">
        <f>'2019_Download_5-1-1'!C88</f>
        <v>2012</v>
      </c>
      <c r="B200" s="38" t="s">
        <v>761</v>
      </c>
      <c r="C200" s="10" t="str">
        <f>'2019_Download_5-1-1'!$D$8</f>
        <v>Männer</v>
      </c>
      <c r="D200" s="37" t="s">
        <v>87</v>
      </c>
      <c r="E200" s="40" t="s">
        <v>802</v>
      </c>
    </row>
    <row r="201" spans="1:5" x14ac:dyDescent="0.2">
      <c r="A201" s="10">
        <f>'2019_Download_5-1-1'!C89</f>
        <v>2012</v>
      </c>
      <c r="B201" s="38" t="s">
        <v>54</v>
      </c>
      <c r="C201" s="10" t="str">
        <f>'2019_Download_5-1-1'!$D$8</f>
        <v>Männer</v>
      </c>
      <c r="D201" s="37" t="s">
        <v>87</v>
      </c>
      <c r="E201" s="40" t="s">
        <v>615</v>
      </c>
    </row>
    <row r="202" spans="1:5" x14ac:dyDescent="0.2">
      <c r="A202" s="10">
        <f>'2019_Download_5-1-1'!C90</f>
        <v>2012</v>
      </c>
      <c r="B202" s="38" t="s">
        <v>762</v>
      </c>
      <c r="C202" s="10" t="str">
        <f>'2019_Download_5-1-1'!$D$8</f>
        <v>Männer</v>
      </c>
      <c r="D202" s="37" t="s">
        <v>87</v>
      </c>
      <c r="E202" s="40" t="s">
        <v>803</v>
      </c>
    </row>
    <row r="203" spans="1:5" x14ac:dyDescent="0.2">
      <c r="A203" s="10">
        <f>'2019_Download_5-1-1'!C91</f>
        <v>2012</v>
      </c>
      <c r="B203" s="38" t="s">
        <v>56</v>
      </c>
      <c r="C203" s="10" t="str">
        <f>'2019_Download_5-1-1'!$D$8</f>
        <v>Männer</v>
      </c>
      <c r="D203" s="37" t="s">
        <v>87</v>
      </c>
      <c r="E203" s="40" t="s">
        <v>616</v>
      </c>
    </row>
    <row r="204" spans="1:5" x14ac:dyDescent="0.2">
      <c r="A204" s="10">
        <f>'2019_Download_5-1-1'!C92</f>
        <v>2012</v>
      </c>
      <c r="B204" s="38" t="s">
        <v>763</v>
      </c>
      <c r="C204" s="10" t="str">
        <f>'2019_Download_5-1-1'!$D$8</f>
        <v>Männer</v>
      </c>
      <c r="D204" s="37" t="s">
        <v>87</v>
      </c>
      <c r="E204" s="40" t="s">
        <v>617</v>
      </c>
    </row>
    <row r="205" spans="1:5" x14ac:dyDescent="0.2">
      <c r="A205" s="10">
        <f>'2019_Download_5-1-1'!C93</f>
        <v>2012</v>
      </c>
      <c r="B205" s="38" t="s">
        <v>58</v>
      </c>
      <c r="C205" s="10" t="str">
        <f>'2019_Download_5-1-1'!$D$8</f>
        <v>Männer</v>
      </c>
      <c r="D205" s="37" t="s">
        <v>87</v>
      </c>
      <c r="E205" s="40" t="s">
        <v>618</v>
      </c>
    </row>
    <row r="206" spans="1:5" x14ac:dyDescent="0.2">
      <c r="A206" s="10">
        <f>'2019_Download_5-1-1'!C94</f>
        <v>2012</v>
      </c>
      <c r="B206" s="38" t="s">
        <v>59</v>
      </c>
      <c r="C206" s="10" t="str">
        <f>'2019_Download_5-1-1'!$D$8</f>
        <v>Männer</v>
      </c>
      <c r="D206" s="37" t="s">
        <v>87</v>
      </c>
      <c r="E206" s="40" t="s">
        <v>619</v>
      </c>
    </row>
    <row r="207" spans="1:5" x14ac:dyDescent="0.2">
      <c r="A207" s="10">
        <f>'2019_Download_5-1-1'!C95</f>
        <v>2012</v>
      </c>
      <c r="B207" s="38" t="s">
        <v>764</v>
      </c>
      <c r="C207" s="10" t="str">
        <f>'2019_Download_5-1-1'!$D$8</f>
        <v>Männer</v>
      </c>
      <c r="D207" s="37" t="s">
        <v>87</v>
      </c>
      <c r="E207" s="40" t="s">
        <v>620</v>
      </c>
    </row>
    <row r="208" spans="1:5" x14ac:dyDescent="0.2">
      <c r="A208" s="10">
        <f>'2019_Download_5-1-1'!C96</f>
        <v>2012</v>
      </c>
      <c r="B208" s="38" t="s">
        <v>767</v>
      </c>
      <c r="C208" s="10" t="str">
        <f>'2019_Download_5-1-1'!$D$8</f>
        <v>Männer</v>
      </c>
      <c r="D208" s="37" t="s">
        <v>87</v>
      </c>
      <c r="E208" s="40" t="s">
        <v>621</v>
      </c>
    </row>
    <row r="209" spans="1:5" x14ac:dyDescent="0.2">
      <c r="A209" s="10">
        <f>'2019_Download_5-1-1'!C97</f>
        <v>2012</v>
      </c>
      <c r="B209" s="38" t="s">
        <v>766</v>
      </c>
      <c r="C209" s="10" t="str">
        <f>'2019_Download_5-1-1'!$D$8</f>
        <v>Männer</v>
      </c>
      <c r="D209" s="37" t="s">
        <v>87</v>
      </c>
      <c r="E209" s="40" t="s">
        <v>622</v>
      </c>
    </row>
    <row r="210" spans="1:5" x14ac:dyDescent="0.2">
      <c r="A210" s="10">
        <f>'2019_Download_5-1-1'!C98</f>
        <v>2012</v>
      </c>
      <c r="B210" s="38" t="s">
        <v>63</v>
      </c>
      <c r="C210" s="10" t="str">
        <f>'2019_Download_5-1-1'!$D$8</f>
        <v>Männer</v>
      </c>
      <c r="D210" s="37" t="s">
        <v>87</v>
      </c>
      <c r="E210" s="40" t="s">
        <v>623</v>
      </c>
    </row>
    <row r="211" spans="1:5" x14ac:dyDescent="0.2">
      <c r="A211" s="10">
        <f>'2019_Download_5-1-1'!C99</f>
        <v>2011</v>
      </c>
      <c r="B211" s="38" t="s">
        <v>761</v>
      </c>
      <c r="C211" s="10" t="str">
        <f>'2019_Download_5-1-1'!$D$8</f>
        <v>Männer</v>
      </c>
      <c r="D211" s="37" t="s">
        <v>87</v>
      </c>
      <c r="E211" s="40" t="s">
        <v>804</v>
      </c>
    </row>
    <row r="212" spans="1:5" x14ac:dyDescent="0.2">
      <c r="A212" s="10">
        <f>'2019_Download_5-1-1'!C100</f>
        <v>2011</v>
      </c>
      <c r="B212" s="38" t="s">
        <v>54</v>
      </c>
      <c r="C212" s="10" t="str">
        <f>'2019_Download_5-1-1'!$D$8</f>
        <v>Männer</v>
      </c>
      <c r="D212" s="37" t="s">
        <v>87</v>
      </c>
      <c r="E212" s="40" t="s">
        <v>624</v>
      </c>
    </row>
    <row r="213" spans="1:5" x14ac:dyDescent="0.2">
      <c r="A213" s="10">
        <f>'2019_Download_5-1-1'!C101</f>
        <v>2011</v>
      </c>
      <c r="B213" s="38" t="s">
        <v>762</v>
      </c>
      <c r="C213" s="10" t="str">
        <f>'2019_Download_5-1-1'!$D$8</f>
        <v>Männer</v>
      </c>
      <c r="D213" s="37" t="s">
        <v>87</v>
      </c>
      <c r="E213" s="40" t="s">
        <v>805</v>
      </c>
    </row>
    <row r="214" spans="1:5" x14ac:dyDescent="0.2">
      <c r="A214" s="10">
        <f>'2019_Download_5-1-1'!C102</f>
        <v>2011</v>
      </c>
      <c r="B214" s="38" t="s">
        <v>56</v>
      </c>
      <c r="C214" s="10" t="str">
        <f>'2019_Download_5-1-1'!$D$8</f>
        <v>Männer</v>
      </c>
      <c r="D214" s="37" t="s">
        <v>87</v>
      </c>
      <c r="E214" s="40" t="s">
        <v>625</v>
      </c>
    </row>
    <row r="215" spans="1:5" x14ac:dyDescent="0.2">
      <c r="A215" s="10">
        <f>'2019_Download_5-1-1'!C103</f>
        <v>2011</v>
      </c>
      <c r="B215" s="38" t="s">
        <v>763</v>
      </c>
      <c r="C215" s="10" t="str">
        <f>'2019_Download_5-1-1'!$D$8</f>
        <v>Männer</v>
      </c>
      <c r="D215" s="37" t="s">
        <v>87</v>
      </c>
      <c r="E215" s="40" t="s">
        <v>626</v>
      </c>
    </row>
    <row r="216" spans="1:5" x14ac:dyDescent="0.2">
      <c r="A216" s="10">
        <f>'2019_Download_5-1-1'!C104</f>
        <v>2011</v>
      </c>
      <c r="B216" s="38" t="s">
        <v>58</v>
      </c>
      <c r="C216" s="10" t="str">
        <f>'2019_Download_5-1-1'!$D$8</f>
        <v>Männer</v>
      </c>
      <c r="D216" s="37" t="s">
        <v>87</v>
      </c>
      <c r="E216" s="40" t="s">
        <v>627</v>
      </c>
    </row>
    <row r="217" spans="1:5" x14ac:dyDescent="0.2">
      <c r="A217" s="10">
        <f>'2019_Download_5-1-1'!C105</f>
        <v>2011</v>
      </c>
      <c r="B217" s="38" t="s">
        <v>59</v>
      </c>
      <c r="C217" s="10" t="str">
        <f>'2019_Download_5-1-1'!$D$8</f>
        <v>Männer</v>
      </c>
      <c r="D217" s="37" t="s">
        <v>87</v>
      </c>
      <c r="E217" s="40" t="s">
        <v>628</v>
      </c>
    </row>
    <row r="218" spans="1:5" x14ac:dyDescent="0.2">
      <c r="A218" s="10">
        <f>'2019_Download_5-1-1'!C106</f>
        <v>2011</v>
      </c>
      <c r="B218" s="38" t="s">
        <v>764</v>
      </c>
      <c r="C218" s="10" t="str">
        <f>'2019_Download_5-1-1'!$D$8</f>
        <v>Männer</v>
      </c>
      <c r="D218" s="37" t="s">
        <v>87</v>
      </c>
      <c r="E218" s="40" t="s">
        <v>629</v>
      </c>
    </row>
    <row r="219" spans="1:5" x14ac:dyDescent="0.2">
      <c r="A219" s="10">
        <f>'2019_Download_5-1-1'!C107</f>
        <v>2011</v>
      </c>
      <c r="B219" s="38" t="s">
        <v>767</v>
      </c>
      <c r="C219" s="10" t="str">
        <f>'2019_Download_5-1-1'!$D$8</f>
        <v>Männer</v>
      </c>
      <c r="D219" s="37" t="s">
        <v>87</v>
      </c>
      <c r="E219" s="40" t="s">
        <v>630</v>
      </c>
    </row>
    <row r="220" spans="1:5" x14ac:dyDescent="0.2">
      <c r="A220" s="10">
        <f>'2019_Download_5-1-1'!C108</f>
        <v>2011</v>
      </c>
      <c r="B220" s="38" t="s">
        <v>766</v>
      </c>
      <c r="C220" s="10" t="str">
        <f>'2019_Download_5-1-1'!$D$8</f>
        <v>Männer</v>
      </c>
      <c r="D220" s="37" t="s">
        <v>87</v>
      </c>
      <c r="E220" s="40" t="s">
        <v>806</v>
      </c>
    </row>
    <row r="221" spans="1:5" x14ac:dyDescent="0.2">
      <c r="A221" s="10">
        <f>'2019_Download_5-1-1'!C109</f>
        <v>2011</v>
      </c>
      <c r="B221" s="38" t="s">
        <v>63</v>
      </c>
      <c r="C221" s="10" t="str">
        <f>'2019_Download_5-1-1'!$D$8</f>
        <v>Männer</v>
      </c>
      <c r="D221" s="37" t="s">
        <v>87</v>
      </c>
      <c r="E221" s="40" t="s">
        <v>631</v>
      </c>
    </row>
    <row r="222" spans="1:5" x14ac:dyDescent="0.2">
      <c r="A222" s="10">
        <f>'2019_Download_5-1-1'!C110</f>
        <v>2010</v>
      </c>
      <c r="B222" s="38" t="s">
        <v>761</v>
      </c>
      <c r="C222" s="10" t="str">
        <f>'2019_Download_5-1-1'!$D$8</f>
        <v>Männer</v>
      </c>
      <c r="D222" s="37" t="s">
        <v>87</v>
      </c>
      <c r="E222" s="40" t="s">
        <v>807</v>
      </c>
    </row>
    <row r="223" spans="1:5" x14ac:dyDescent="0.2">
      <c r="A223" s="10">
        <f>'2019_Download_5-1-1'!C111</f>
        <v>2010</v>
      </c>
      <c r="B223" s="38" t="s">
        <v>54</v>
      </c>
      <c r="C223" s="10" t="str">
        <f>'2019_Download_5-1-1'!$D$8</f>
        <v>Männer</v>
      </c>
      <c r="D223" s="37" t="s">
        <v>87</v>
      </c>
      <c r="E223" s="40" t="s">
        <v>632</v>
      </c>
    </row>
    <row r="224" spans="1:5" x14ac:dyDescent="0.2">
      <c r="A224" s="10">
        <f>'2019_Download_5-1-1'!C112</f>
        <v>2010</v>
      </c>
      <c r="B224" s="38" t="s">
        <v>762</v>
      </c>
      <c r="C224" s="10" t="str">
        <f>'2019_Download_5-1-1'!$D$8</f>
        <v>Männer</v>
      </c>
      <c r="D224" s="37" t="s">
        <v>87</v>
      </c>
      <c r="E224" s="40" t="s">
        <v>64</v>
      </c>
    </row>
    <row r="225" spans="1:5" x14ac:dyDescent="0.2">
      <c r="A225" s="10">
        <f>'2019_Download_5-1-1'!C113</f>
        <v>2010</v>
      </c>
      <c r="B225" s="38" t="s">
        <v>56</v>
      </c>
      <c r="C225" s="10" t="str">
        <f>'2019_Download_5-1-1'!$D$8</f>
        <v>Männer</v>
      </c>
      <c r="D225" s="37" t="s">
        <v>87</v>
      </c>
      <c r="E225" s="40" t="s">
        <v>633</v>
      </c>
    </row>
    <row r="226" spans="1:5" x14ac:dyDescent="0.2">
      <c r="A226" s="10">
        <f>'2019_Download_5-1-1'!C114</f>
        <v>2010</v>
      </c>
      <c r="B226" s="38" t="s">
        <v>763</v>
      </c>
      <c r="C226" s="10" t="str">
        <f>'2019_Download_5-1-1'!$D$8</f>
        <v>Männer</v>
      </c>
      <c r="D226" s="37" t="s">
        <v>87</v>
      </c>
      <c r="E226" s="40" t="s">
        <v>634</v>
      </c>
    </row>
    <row r="227" spans="1:5" x14ac:dyDescent="0.2">
      <c r="A227" s="10">
        <f>'2019_Download_5-1-1'!C115</f>
        <v>2010</v>
      </c>
      <c r="B227" s="38" t="s">
        <v>58</v>
      </c>
      <c r="C227" s="10" t="str">
        <f>'2019_Download_5-1-1'!$D$8</f>
        <v>Männer</v>
      </c>
      <c r="D227" s="37" t="s">
        <v>87</v>
      </c>
      <c r="E227" s="40" t="s">
        <v>635</v>
      </c>
    </row>
    <row r="228" spans="1:5" x14ac:dyDescent="0.2">
      <c r="A228" s="10">
        <f>'2019_Download_5-1-1'!C116</f>
        <v>2010</v>
      </c>
      <c r="B228" s="38" t="s">
        <v>59</v>
      </c>
      <c r="C228" s="10" t="str">
        <f>'2019_Download_5-1-1'!$D$8</f>
        <v>Männer</v>
      </c>
      <c r="D228" s="37" t="s">
        <v>87</v>
      </c>
      <c r="E228" s="40" t="s">
        <v>636</v>
      </c>
    </row>
    <row r="229" spans="1:5" x14ac:dyDescent="0.2">
      <c r="A229" s="10">
        <f>'2019_Download_5-1-1'!C117</f>
        <v>2010</v>
      </c>
      <c r="B229" s="38" t="s">
        <v>764</v>
      </c>
      <c r="C229" s="10" t="str">
        <f>'2019_Download_5-1-1'!$D$8</f>
        <v>Männer</v>
      </c>
      <c r="D229" s="37" t="s">
        <v>87</v>
      </c>
      <c r="E229" s="40" t="s">
        <v>637</v>
      </c>
    </row>
    <row r="230" spans="1:5" x14ac:dyDescent="0.2">
      <c r="A230" s="10">
        <f>'2019_Download_5-1-1'!C118</f>
        <v>2010</v>
      </c>
      <c r="B230" s="38" t="s">
        <v>767</v>
      </c>
      <c r="C230" s="10" t="str">
        <f>'2019_Download_5-1-1'!$D$8</f>
        <v>Männer</v>
      </c>
      <c r="D230" s="37" t="s">
        <v>87</v>
      </c>
      <c r="E230" s="40" t="s">
        <v>638</v>
      </c>
    </row>
    <row r="231" spans="1:5" x14ac:dyDescent="0.2">
      <c r="A231" s="10">
        <f>'2019_Download_5-1-1'!C119</f>
        <v>2010</v>
      </c>
      <c r="B231" s="38" t="s">
        <v>766</v>
      </c>
      <c r="C231" s="10" t="str">
        <f>'2019_Download_5-1-1'!$D$8</f>
        <v>Männer</v>
      </c>
      <c r="D231" s="37" t="s">
        <v>87</v>
      </c>
      <c r="E231" s="40" t="s">
        <v>808</v>
      </c>
    </row>
    <row r="232" spans="1:5" x14ac:dyDescent="0.2">
      <c r="A232" s="10">
        <f>'2019_Download_5-1-1'!C120</f>
        <v>2010</v>
      </c>
      <c r="B232" s="38" t="s">
        <v>63</v>
      </c>
      <c r="C232" s="10" t="str">
        <f>'2019_Download_5-1-1'!$D$8</f>
        <v>Männer</v>
      </c>
      <c r="D232" s="37" t="s">
        <v>87</v>
      </c>
      <c r="E232" s="40" t="s">
        <v>639</v>
      </c>
    </row>
    <row r="233" spans="1:5" x14ac:dyDescent="0.2">
      <c r="A233" s="10">
        <f>'2019_Download_5-1-1'!C121</f>
        <v>2005</v>
      </c>
      <c r="B233" s="38" t="s">
        <v>66</v>
      </c>
      <c r="C233" s="10" t="str">
        <f>'2019_Download_5-1-1'!$D$8</f>
        <v>Männer</v>
      </c>
      <c r="D233" s="37" t="s">
        <v>87</v>
      </c>
      <c r="E233" s="40" t="s">
        <v>809</v>
      </c>
    </row>
    <row r="234" spans="1:5" x14ac:dyDescent="0.2">
      <c r="A234" s="10">
        <f>'2019_Download_5-1-1'!C122</f>
        <v>2005</v>
      </c>
      <c r="B234" s="38" t="s">
        <v>54</v>
      </c>
      <c r="C234" s="10" t="str">
        <f>'2019_Download_5-1-1'!$D$8</f>
        <v>Männer</v>
      </c>
      <c r="D234" s="37" t="s">
        <v>87</v>
      </c>
      <c r="E234" s="40" t="s">
        <v>640</v>
      </c>
    </row>
    <row r="235" spans="1:5" x14ac:dyDescent="0.2">
      <c r="A235" s="10">
        <f>'2019_Download_5-1-1'!C123</f>
        <v>2005</v>
      </c>
      <c r="B235" s="38" t="s">
        <v>67</v>
      </c>
      <c r="C235" s="10" t="str">
        <f>'2019_Download_5-1-1'!$D$8</f>
        <v>Männer</v>
      </c>
      <c r="D235" s="37" t="s">
        <v>87</v>
      </c>
      <c r="E235" s="40" t="s">
        <v>64</v>
      </c>
    </row>
    <row r="236" spans="1:5" x14ac:dyDescent="0.2">
      <c r="A236" s="10">
        <f>'2019_Download_5-1-1'!C124</f>
        <v>2005</v>
      </c>
      <c r="B236" s="38" t="s">
        <v>56</v>
      </c>
      <c r="C236" s="10" t="str">
        <f>'2019_Download_5-1-1'!$D$8</f>
        <v>Männer</v>
      </c>
      <c r="D236" s="37" t="s">
        <v>87</v>
      </c>
      <c r="E236" s="40" t="s">
        <v>641</v>
      </c>
    </row>
    <row r="237" spans="1:5" x14ac:dyDescent="0.2">
      <c r="A237" s="10">
        <f>'2019_Download_5-1-1'!C125</f>
        <v>2005</v>
      </c>
      <c r="B237" s="38" t="s">
        <v>68</v>
      </c>
      <c r="C237" s="10" t="str">
        <f>'2019_Download_5-1-1'!$D$8</f>
        <v>Männer</v>
      </c>
      <c r="D237" s="37" t="s">
        <v>87</v>
      </c>
      <c r="E237" s="40" t="s">
        <v>642</v>
      </c>
    </row>
    <row r="238" spans="1:5" x14ac:dyDescent="0.2">
      <c r="A238" s="10">
        <f>'2019_Download_5-1-1'!C126</f>
        <v>2005</v>
      </c>
      <c r="B238" s="38" t="s">
        <v>59</v>
      </c>
      <c r="C238" s="10" t="str">
        <f>'2019_Download_5-1-1'!$D$8</f>
        <v>Männer</v>
      </c>
      <c r="D238" s="37" t="s">
        <v>87</v>
      </c>
      <c r="E238" s="40" t="s">
        <v>643</v>
      </c>
    </row>
    <row r="239" spans="1:5" x14ac:dyDescent="0.2">
      <c r="A239" s="10">
        <f>'2019_Download_5-1-1'!C127</f>
        <v>2005</v>
      </c>
      <c r="B239" s="38" t="s">
        <v>69</v>
      </c>
      <c r="C239" s="10" t="str">
        <f>'2019_Download_5-1-1'!$D$8</f>
        <v>Männer</v>
      </c>
      <c r="D239" s="37" t="s">
        <v>87</v>
      </c>
      <c r="E239" s="40" t="s">
        <v>644</v>
      </c>
    </row>
    <row r="240" spans="1:5" x14ac:dyDescent="0.2">
      <c r="A240" s="10">
        <f>'2019_Download_5-1-1'!C128</f>
        <v>2005</v>
      </c>
      <c r="B240" s="38" t="s">
        <v>768</v>
      </c>
      <c r="C240" s="10" t="str">
        <f>'2019_Download_5-1-1'!$D$8</f>
        <v>Männer</v>
      </c>
      <c r="D240" s="37" t="s">
        <v>87</v>
      </c>
      <c r="E240" s="40" t="s">
        <v>645</v>
      </c>
    </row>
    <row r="241" spans="1:5" x14ac:dyDescent="0.2">
      <c r="A241" s="10">
        <f>'2019_Download_5-1-1'!C129</f>
        <v>2005</v>
      </c>
      <c r="B241" s="38" t="s">
        <v>769</v>
      </c>
      <c r="C241" s="10" t="str">
        <f>'2019_Download_5-1-1'!$D$8</f>
        <v>Männer</v>
      </c>
      <c r="D241" s="37" t="s">
        <v>87</v>
      </c>
      <c r="E241" s="40" t="s">
        <v>646</v>
      </c>
    </row>
    <row r="242" spans="1:5" x14ac:dyDescent="0.2">
      <c r="A242" s="10">
        <f>'2019_Download_5-1-1'!C130</f>
        <v>2005</v>
      </c>
      <c r="B242" s="38" t="s">
        <v>72</v>
      </c>
      <c r="C242" s="10" t="str">
        <f>'2019_Download_5-1-1'!$D$8</f>
        <v>Männer</v>
      </c>
      <c r="D242" s="37" t="s">
        <v>87</v>
      </c>
      <c r="E242" s="40" t="s">
        <v>647</v>
      </c>
    </row>
    <row r="243" spans="1:5" x14ac:dyDescent="0.2">
      <c r="A243" s="10">
        <f>'2019_Download_5-1-1'!C131</f>
        <v>2005</v>
      </c>
      <c r="B243" s="38" t="s">
        <v>63</v>
      </c>
      <c r="C243" s="10" t="str">
        <f>'2019_Download_5-1-1'!$D$8</f>
        <v>Männer</v>
      </c>
      <c r="D243" s="37" t="s">
        <v>87</v>
      </c>
      <c r="E243" s="40" t="s">
        <v>648</v>
      </c>
    </row>
    <row r="244" spans="1:5" x14ac:dyDescent="0.2">
      <c r="A244" s="10">
        <f>'2019_Download_5-1-1'!C11</f>
        <v>2019</v>
      </c>
      <c r="B244" s="38" t="s">
        <v>761</v>
      </c>
      <c r="C244" s="10" t="str">
        <f>'2019_Download_5-1-1'!$E$8</f>
        <v>Frauen</v>
      </c>
      <c r="D244" s="37" t="s">
        <v>87</v>
      </c>
      <c r="E244" s="40" t="s">
        <v>810</v>
      </c>
    </row>
    <row r="245" spans="1:5" x14ac:dyDescent="0.2">
      <c r="A245" s="10">
        <f>'2019_Download_5-1-1'!C12</f>
        <v>2019</v>
      </c>
      <c r="B245" s="38" t="s">
        <v>54</v>
      </c>
      <c r="C245" s="10" t="str">
        <f>'2019_Download_5-1-1'!$E$8</f>
        <v>Frauen</v>
      </c>
      <c r="D245" s="37" t="s">
        <v>87</v>
      </c>
      <c r="E245" s="40" t="s">
        <v>649</v>
      </c>
    </row>
    <row r="246" spans="1:5" x14ac:dyDescent="0.2">
      <c r="A246" s="10">
        <f>'2019_Download_5-1-1'!C13</f>
        <v>2019</v>
      </c>
      <c r="B246" s="38" t="s">
        <v>762</v>
      </c>
      <c r="C246" s="10" t="str">
        <f>'2019_Download_5-1-1'!$E$8</f>
        <v>Frauen</v>
      </c>
      <c r="D246" s="37" t="s">
        <v>87</v>
      </c>
      <c r="E246" s="40" t="s">
        <v>811</v>
      </c>
    </row>
    <row r="247" spans="1:5" x14ac:dyDescent="0.2">
      <c r="A247" s="10">
        <f>'2019_Download_5-1-1'!C14</f>
        <v>2019</v>
      </c>
      <c r="B247" s="38" t="s">
        <v>56</v>
      </c>
      <c r="C247" s="10" t="str">
        <f>'2019_Download_5-1-1'!$E$8</f>
        <v>Frauen</v>
      </c>
      <c r="D247" s="37" t="s">
        <v>87</v>
      </c>
      <c r="E247" s="40" t="s">
        <v>812</v>
      </c>
    </row>
    <row r="248" spans="1:5" x14ac:dyDescent="0.2">
      <c r="A248" s="10">
        <f>'2019_Download_5-1-1'!C15</f>
        <v>2019</v>
      </c>
      <c r="B248" s="38" t="s">
        <v>763</v>
      </c>
      <c r="C248" s="10" t="str">
        <f>'2019_Download_5-1-1'!$E$8</f>
        <v>Frauen</v>
      </c>
      <c r="D248" s="37" t="s">
        <v>87</v>
      </c>
      <c r="E248" s="40" t="s">
        <v>650</v>
      </c>
    </row>
    <row r="249" spans="1:5" x14ac:dyDescent="0.2">
      <c r="A249" s="10">
        <f>'2019_Download_5-1-1'!C16</f>
        <v>2019</v>
      </c>
      <c r="B249" s="38" t="s">
        <v>58</v>
      </c>
      <c r="C249" s="10" t="str">
        <f>'2019_Download_5-1-1'!$E$8</f>
        <v>Frauen</v>
      </c>
      <c r="D249" s="37" t="s">
        <v>87</v>
      </c>
      <c r="E249" s="40" t="s">
        <v>651</v>
      </c>
    </row>
    <row r="250" spans="1:5" x14ac:dyDescent="0.2">
      <c r="A250" s="10">
        <f>'2019_Download_5-1-1'!C17</f>
        <v>2019</v>
      </c>
      <c r="B250" s="38" t="s">
        <v>59</v>
      </c>
      <c r="C250" s="10" t="str">
        <f>'2019_Download_5-1-1'!$E$8</f>
        <v>Frauen</v>
      </c>
      <c r="D250" s="37" t="s">
        <v>87</v>
      </c>
      <c r="E250" s="40" t="s">
        <v>652</v>
      </c>
    </row>
    <row r="251" spans="1:5" x14ac:dyDescent="0.2">
      <c r="A251" s="10">
        <f>'2019_Download_5-1-1'!C18</f>
        <v>2019</v>
      </c>
      <c r="B251" s="38" t="s">
        <v>764</v>
      </c>
      <c r="C251" s="10" t="str">
        <f>'2019_Download_5-1-1'!$E$8</f>
        <v>Frauen</v>
      </c>
      <c r="D251" s="37" t="s">
        <v>87</v>
      </c>
      <c r="E251" s="40" t="s">
        <v>653</v>
      </c>
    </row>
    <row r="252" spans="1:5" x14ac:dyDescent="0.2">
      <c r="A252" s="10">
        <f>'2019_Download_5-1-1'!C19</f>
        <v>2019</v>
      </c>
      <c r="B252" s="38" t="s">
        <v>765</v>
      </c>
      <c r="C252" s="10" t="str">
        <f>'2019_Download_5-1-1'!$E$8</f>
        <v>Frauen</v>
      </c>
      <c r="D252" s="37" t="s">
        <v>87</v>
      </c>
      <c r="E252" s="40" t="s">
        <v>654</v>
      </c>
    </row>
    <row r="253" spans="1:5" x14ac:dyDescent="0.2">
      <c r="A253" s="10">
        <f>'2019_Download_5-1-1'!C20</f>
        <v>2019</v>
      </c>
      <c r="B253" s="38" t="s">
        <v>766</v>
      </c>
      <c r="C253" s="10" t="str">
        <f>'2019_Download_5-1-1'!$E$8</f>
        <v>Frauen</v>
      </c>
      <c r="D253" s="37" t="s">
        <v>87</v>
      </c>
      <c r="E253" s="40" t="s">
        <v>655</v>
      </c>
    </row>
    <row r="254" spans="1:5" x14ac:dyDescent="0.2">
      <c r="A254" s="10">
        <f>'2019_Download_5-1-1'!C21</f>
        <v>2019</v>
      </c>
      <c r="B254" s="38" t="s">
        <v>63</v>
      </c>
      <c r="C254" s="10" t="str">
        <f>'2019_Download_5-1-1'!$E$8</f>
        <v>Frauen</v>
      </c>
      <c r="D254" s="37" t="s">
        <v>87</v>
      </c>
      <c r="E254" s="40" t="s">
        <v>813</v>
      </c>
    </row>
    <row r="255" spans="1:5" x14ac:dyDescent="0.2">
      <c r="A255" s="10">
        <f>'2019_Download_5-1-1'!C22</f>
        <v>2018</v>
      </c>
      <c r="B255" s="38" t="s">
        <v>761</v>
      </c>
      <c r="C255" s="10" t="str">
        <f>'2019_Download_5-1-1'!$E$8</f>
        <v>Frauen</v>
      </c>
      <c r="D255" s="37" t="s">
        <v>87</v>
      </c>
      <c r="E255" s="40" t="s">
        <v>814</v>
      </c>
    </row>
    <row r="256" spans="1:5" x14ac:dyDescent="0.2">
      <c r="A256" s="10">
        <f>'2019_Download_5-1-1'!C23</f>
        <v>2018</v>
      </c>
      <c r="B256" s="38" t="s">
        <v>54</v>
      </c>
      <c r="C256" s="10" t="str">
        <f>'2019_Download_5-1-1'!$E$8</f>
        <v>Frauen</v>
      </c>
      <c r="D256" s="37" t="s">
        <v>87</v>
      </c>
      <c r="E256" s="40" t="s">
        <v>656</v>
      </c>
    </row>
    <row r="257" spans="1:5" x14ac:dyDescent="0.2">
      <c r="A257" s="10">
        <f>'2019_Download_5-1-1'!C24</f>
        <v>2018</v>
      </c>
      <c r="B257" s="38" t="s">
        <v>762</v>
      </c>
      <c r="C257" s="10" t="str">
        <f>'2019_Download_5-1-1'!$E$8</f>
        <v>Frauen</v>
      </c>
      <c r="D257" s="37" t="s">
        <v>87</v>
      </c>
      <c r="E257" s="40" t="s">
        <v>815</v>
      </c>
    </row>
    <row r="258" spans="1:5" x14ac:dyDescent="0.2">
      <c r="A258" s="10">
        <f>'2019_Download_5-1-1'!C25</f>
        <v>2018</v>
      </c>
      <c r="B258" s="38" t="s">
        <v>56</v>
      </c>
      <c r="C258" s="10" t="str">
        <f>'2019_Download_5-1-1'!$E$8</f>
        <v>Frauen</v>
      </c>
      <c r="D258" s="37" t="s">
        <v>87</v>
      </c>
      <c r="E258" s="40" t="s">
        <v>816</v>
      </c>
    </row>
    <row r="259" spans="1:5" x14ac:dyDescent="0.2">
      <c r="A259" s="10">
        <f>'2019_Download_5-1-1'!C26</f>
        <v>2018</v>
      </c>
      <c r="B259" s="38" t="s">
        <v>763</v>
      </c>
      <c r="C259" s="10" t="str">
        <f>'2019_Download_5-1-1'!$E$8</f>
        <v>Frauen</v>
      </c>
      <c r="D259" s="37" t="s">
        <v>87</v>
      </c>
      <c r="E259" s="40" t="s">
        <v>657</v>
      </c>
    </row>
    <row r="260" spans="1:5" x14ac:dyDescent="0.2">
      <c r="A260" s="10">
        <f>'2019_Download_5-1-1'!C27</f>
        <v>2018</v>
      </c>
      <c r="B260" s="38" t="s">
        <v>58</v>
      </c>
      <c r="C260" s="10" t="str">
        <f>'2019_Download_5-1-1'!$E$8</f>
        <v>Frauen</v>
      </c>
      <c r="D260" s="37" t="s">
        <v>87</v>
      </c>
      <c r="E260" s="40" t="s">
        <v>658</v>
      </c>
    </row>
    <row r="261" spans="1:5" x14ac:dyDescent="0.2">
      <c r="A261" s="10">
        <f>'2019_Download_5-1-1'!C28</f>
        <v>2018</v>
      </c>
      <c r="B261" s="38" t="s">
        <v>59</v>
      </c>
      <c r="C261" s="10" t="str">
        <f>'2019_Download_5-1-1'!$E$8</f>
        <v>Frauen</v>
      </c>
      <c r="D261" s="37" t="s">
        <v>87</v>
      </c>
      <c r="E261" s="40" t="s">
        <v>659</v>
      </c>
    </row>
    <row r="262" spans="1:5" x14ac:dyDescent="0.2">
      <c r="A262" s="10">
        <f>'2019_Download_5-1-1'!C29</f>
        <v>2018</v>
      </c>
      <c r="B262" s="38" t="s">
        <v>764</v>
      </c>
      <c r="C262" s="10" t="str">
        <f>'2019_Download_5-1-1'!$E$8</f>
        <v>Frauen</v>
      </c>
      <c r="D262" s="37" t="s">
        <v>87</v>
      </c>
      <c r="E262" s="40" t="s">
        <v>660</v>
      </c>
    </row>
    <row r="263" spans="1:5" x14ac:dyDescent="0.2">
      <c r="A263" s="10">
        <f>'2019_Download_5-1-1'!C30</f>
        <v>2018</v>
      </c>
      <c r="B263" s="38" t="s">
        <v>765</v>
      </c>
      <c r="C263" s="10" t="str">
        <f>'2019_Download_5-1-1'!$E$8</f>
        <v>Frauen</v>
      </c>
      <c r="D263" s="37" t="s">
        <v>87</v>
      </c>
      <c r="E263" s="40" t="s">
        <v>661</v>
      </c>
    </row>
    <row r="264" spans="1:5" x14ac:dyDescent="0.2">
      <c r="A264" s="10">
        <f>'2019_Download_5-1-1'!C31</f>
        <v>2018</v>
      </c>
      <c r="B264" s="38" t="s">
        <v>766</v>
      </c>
      <c r="C264" s="10" t="str">
        <f>'2019_Download_5-1-1'!$E$8</f>
        <v>Frauen</v>
      </c>
      <c r="D264" s="37" t="s">
        <v>87</v>
      </c>
      <c r="E264" s="40" t="s">
        <v>662</v>
      </c>
    </row>
    <row r="265" spans="1:5" x14ac:dyDescent="0.2">
      <c r="A265" s="10">
        <f>'2019_Download_5-1-1'!C32</f>
        <v>2018</v>
      </c>
      <c r="B265" s="38" t="s">
        <v>63</v>
      </c>
      <c r="C265" s="10" t="str">
        <f>'2019_Download_5-1-1'!$E$8</f>
        <v>Frauen</v>
      </c>
      <c r="D265" s="37" t="s">
        <v>87</v>
      </c>
      <c r="E265" s="40" t="s">
        <v>663</v>
      </c>
    </row>
    <row r="266" spans="1:5" x14ac:dyDescent="0.2">
      <c r="A266" s="10">
        <f>'2019_Download_5-1-1'!C33</f>
        <v>2017</v>
      </c>
      <c r="B266" s="38" t="s">
        <v>761</v>
      </c>
      <c r="C266" s="10" t="str">
        <f>'2019_Download_5-1-1'!$E$8</f>
        <v>Frauen</v>
      </c>
      <c r="D266" s="37" t="s">
        <v>87</v>
      </c>
      <c r="E266" s="40" t="s">
        <v>817</v>
      </c>
    </row>
    <row r="267" spans="1:5" x14ac:dyDescent="0.2">
      <c r="A267" s="10">
        <f>'2019_Download_5-1-1'!C34</f>
        <v>2017</v>
      </c>
      <c r="B267" s="38" t="s">
        <v>54</v>
      </c>
      <c r="C267" s="10" t="str">
        <f>'2019_Download_5-1-1'!$E$8</f>
        <v>Frauen</v>
      </c>
      <c r="D267" s="37" t="s">
        <v>87</v>
      </c>
      <c r="E267" s="40" t="s">
        <v>664</v>
      </c>
    </row>
    <row r="268" spans="1:5" x14ac:dyDescent="0.2">
      <c r="A268" s="10">
        <f>'2019_Download_5-1-1'!C35</f>
        <v>2017</v>
      </c>
      <c r="B268" s="38" t="s">
        <v>762</v>
      </c>
      <c r="C268" s="10" t="str">
        <f>'2019_Download_5-1-1'!$E$8</f>
        <v>Frauen</v>
      </c>
      <c r="D268" s="37" t="s">
        <v>87</v>
      </c>
      <c r="E268" s="40" t="s">
        <v>818</v>
      </c>
    </row>
    <row r="269" spans="1:5" x14ac:dyDescent="0.2">
      <c r="A269" s="10">
        <f>'2019_Download_5-1-1'!C36</f>
        <v>2017</v>
      </c>
      <c r="B269" s="38" t="s">
        <v>56</v>
      </c>
      <c r="C269" s="10" t="str">
        <f>'2019_Download_5-1-1'!$E$8</f>
        <v>Frauen</v>
      </c>
      <c r="D269" s="37" t="s">
        <v>87</v>
      </c>
      <c r="E269" s="40" t="s">
        <v>819</v>
      </c>
    </row>
    <row r="270" spans="1:5" x14ac:dyDescent="0.2">
      <c r="A270" s="10">
        <f>'2019_Download_5-1-1'!C37</f>
        <v>2017</v>
      </c>
      <c r="B270" s="38" t="s">
        <v>763</v>
      </c>
      <c r="C270" s="10" t="str">
        <f>'2019_Download_5-1-1'!$E$8</f>
        <v>Frauen</v>
      </c>
      <c r="D270" s="37" t="s">
        <v>87</v>
      </c>
      <c r="E270" s="40" t="s">
        <v>665</v>
      </c>
    </row>
    <row r="271" spans="1:5" x14ac:dyDescent="0.2">
      <c r="A271" s="10">
        <f>'2019_Download_5-1-1'!C38</f>
        <v>2017</v>
      </c>
      <c r="B271" s="38" t="s">
        <v>58</v>
      </c>
      <c r="C271" s="10" t="str">
        <f>'2019_Download_5-1-1'!$E$8</f>
        <v>Frauen</v>
      </c>
      <c r="D271" s="37" t="s">
        <v>87</v>
      </c>
      <c r="E271" s="40" t="s">
        <v>666</v>
      </c>
    </row>
    <row r="272" spans="1:5" x14ac:dyDescent="0.2">
      <c r="A272" s="10">
        <f>'2019_Download_5-1-1'!C39</f>
        <v>2017</v>
      </c>
      <c r="B272" s="38" t="s">
        <v>59</v>
      </c>
      <c r="C272" s="10" t="str">
        <f>'2019_Download_5-1-1'!$E$8</f>
        <v>Frauen</v>
      </c>
      <c r="D272" s="37" t="s">
        <v>87</v>
      </c>
      <c r="E272" s="40" t="s">
        <v>667</v>
      </c>
    </row>
    <row r="273" spans="1:5" x14ac:dyDescent="0.2">
      <c r="A273" s="10">
        <f>'2019_Download_5-1-1'!C40</f>
        <v>2017</v>
      </c>
      <c r="B273" s="38" t="s">
        <v>764</v>
      </c>
      <c r="C273" s="10" t="str">
        <f>'2019_Download_5-1-1'!$E$8</f>
        <v>Frauen</v>
      </c>
      <c r="D273" s="37" t="s">
        <v>87</v>
      </c>
      <c r="E273" s="40" t="s">
        <v>668</v>
      </c>
    </row>
    <row r="274" spans="1:5" x14ac:dyDescent="0.2">
      <c r="A274" s="10">
        <f>'2019_Download_5-1-1'!C41</f>
        <v>2017</v>
      </c>
      <c r="B274" s="38" t="s">
        <v>765</v>
      </c>
      <c r="C274" s="10" t="str">
        <f>'2019_Download_5-1-1'!$E$8</f>
        <v>Frauen</v>
      </c>
      <c r="D274" s="37" t="s">
        <v>87</v>
      </c>
      <c r="E274" s="40" t="s">
        <v>669</v>
      </c>
    </row>
    <row r="275" spans="1:5" x14ac:dyDescent="0.2">
      <c r="A275" s="10">
        <f>'2019_Download_5-1-1'!C42</f>
        <v>2017</v>
      </c>
      <c r="B275" s="38" t="s">
        <v>766</v>
      </c>
      <c r="C275" s="10" t="str">
        <f>'2019_Download_5-1-1'!$E$8</f>
        <v>Frauen</v>
      </c>
      <c r="D275" s="37" t="s">
        <v>87</v>
      </c>
      <c r="E275" s="40" t="s">
        <v>670</v>
      </c>
    </row>
    <row r="276" spans="1:5" x14ac:dyDescent="0.2">
      <c r="A276" s="10">
        <f>'2019_Download_5-1-1'!C43</f>
        <v>2017</v>
      </c>
      <c r="B276" s="38" t="s">
        <v>63</v>
      </c>
      <c r="C276" s="10" t="str">
        <f>'2019_Download_5-1-1'!$E$8</f>
        <v>Frauen</v>
      </c>
      <c r="D276" s="37" t="s">
        <v>87</v>
      </c>
      <c r="E276" s="40" t="s">
        <v>671</v>
      </c>
    </row>
    <row r="277" spans="1:5" x14ac:dyDescent="0.2">
      <c r="A277" s="10">
        <f>'2019_Download_5-1-1'!C44</f>
        <v>2016</v>
      </c>
      <c r="B277" s="38" t="s">
        <v>761</v>
      </c>
      <c r="C277" s="10" t="str">
        <f>'2019_Download_5-1-1'!$E$8</f>
        <v>Frauen</v>
      </c>
      <c r="D277" s="37" t="s">
        <v>87</v>
      </c>
      <c r="E277" s="40" t="s">
        <v>820</v>
      </c>
    </row>
    <row r="278" spans="1:5" x14ac:dyDescent="0.2">
      <c r="A278" s="10">
        <f>'2019_Download_5-1-1'!C45</f>
        <v>2016</v>
      </c>
      <c r="B278" s="38" t="s">
        <v>54</v>
      </c>
      <c r="C278" s="10" t="str">
        <f>'2019_Download_5-1-1'!$E$8</f>
        <v>Frauen</v>
      </c>
      <c r="D278" s="37" t="s">
        <v>87</v>
      </c>
      <c r="E278" s="40" t="s">
        <v>672</v>
      </c>
    </row>
    <row r="279" spans="1:5" x14ac:dyDescent="0.2">
      <c r="A279" s="10">
        <f>'2019_Download_5-1-1'!C46</f>
        <v>2016</v>
      </c>
      <c r="B279" s="38" t="s">
        <v>762</v>
      </c>
      <c r="C279" s="10" t="str">
        <f>'2019_Download_5-1-1'!$E$8</f>
        <v>Frauen</v>
      </c>
      <c r="D279" s="37" t="s">
        <v>87</v>
      </c>
      <c r="E279" s="40" t="s">
        <v>821</v>
      </c>
    </row>
    <row r="280" spans="1:5" x14ac:dyDescent="0.2">
      <c r="A280" s="10">
        <f>'2019_Download_5-1-1'!C47</f>
        <v>2016</v>
      </c>
      <c r="B280" s="38" t="s">
        <v>56</v>
      </c>
      <c r="C280" s="10" t="str">
        <f>'2019_Download_5-1-1'!$E$8</f>
        <v>Frauen</v>
      </c>
      <c r="D280" s="37" t="s">
        <v>87</v>
      </c>
      <c r="E280" s="40" t="s">
        <v>822</v>
      </c>
    </row>
    <row r="281" spans="1:5" x14ac:dyDescent="0.2">
      <c r="A281" s="10">
        <f>'2019_Download_5-1-1'!C48</f>
        <v>2016</v>
      </c>
      <c r="B281" s="38" t="s">
        <v>763</v>
      </c>
      <c r="C281" s="10" t="str">
        <f>'2019_Download_5-1-1'!$E$8</f>
        <v>Frauen</v>
      </c>
      <c r="D281" s="37" t="s">
        <v>87</v>
      </c>
      <c r="E281" s="40" t="s">
        <v>673</v>
      </c>
    </row>
    <row r="282" spans="1:5" x14ac:dyDescent="0.2">
      <c r="A282" s="10">
        <f>'2019_Download_5-1-1'!C49</f>
        <v>2016</v>
      </c>
      <c r="B282" s="38" t="s">
        <v>58</v>
      </c>
      <c r="C282" s="10" t="str">
        <f>'2019_Download_5-1-1'!$E$8</f>
        <v>Frauen</v>
      </c>
      <c r="D282" s="37" t="s">
        <v>87</v>
      </c>
      <c r="E282" s="40" t="s">
        <v>674</v>
      </c>
    </row>
    <row r="283" spans="1:5" x14ac:dyDescent="0.2">
      <c r="A283" s="10">
        <f>'2019_Download_5-1-1'!C50</f>
        <v>2016</v>
      </c>
      <c r="B283" s="38" t="s">
        <v>59</v>
      </c>
      <c r="C283" s="10" t="str">
        <f>'2019_Download_5-1-1'!$E$8</f>
        <v>Frauen</v>
      </c>
      <c r="D283" s="37" t="s">
        <v>87</v>
      </c>
      <c r="E283" s="40" t="s">
        <v>675</v>
      </c>
    </row>
    <row r="284" spans="1:5" x14ac:dyDescent="0.2">
      <c r="A284" s="10">
        <f>'2019_Download_5-1-1'!C51</f>
        <v>2016</v>
      </c>
      <c r="B284" s="38" t="s">
        <v>764</v>
      </c>
      <c r="C284" s="10" t="str">
        <f>'2019_Download_5-1-1'!$E$8</f>
        <v>Frauen</v>
      </c>
      <c r="D284" s="37" t="s">
        <v>87</v>
      </c>
      <c r="E284" s="40" t="s">
        <v>676</v>
      </c>
    </row>
    <row r="285" spans="1:5" x14ac:dyDescent="0.2">
      <c r="A285" s="10">
        <f>'2019_Download_5-1-1'!C52</f>
        <v>2016</v>
      </c>
      <c r="B285" s="38" t="s">
        <v>765</v>
      </c>
      <c r="C285" s="10" t="str">
        <f>'2019_Download_5-1-1'!$E$8</f>
        <v>Frauen</v>
      </c>
      <c r="D285" s="37" t="s">
        <v>87</v>
      </c>
      <c r="E285" s="40" t="s">
        <v>677</v>
      </c>
    </row>
    <row r="286" spans="1:5" x14ac:dyDescent="0.2">
      <c r="A286" s="10">
        <f>'2019_Download_5-1-1'!C53</f>
        <v>2016</v>
      </c>
      <c r="B286" s="38" t="s">
        <v>766</v>
      </c>
      <c r="C286" s="10" t="str">
        <f>'2019_Download_5-1-1'!$E$8</f>
        <v>Frauen</v>
      </c>
      <c r="D286" s="37" t="s">
        <v>87</v>
      </c>
      <c r="E286" s="40" t="s">
        <v>678</v>
      </c>
    </row>
    <row r="287" spans="1:5" x14ac:dyDescent="0.2">
      <c r="A287" s="10">
        <f>'2019_Download_5-1-1'!C54</f>
        <v>2016</v>
      </c>
      <c r="B287" s="38" t="s">
        <v>63</v>
      </c>
      <c r="C287" s="10" t="str">
        <f>'2019_Download_5-1-1'!$E$8</f>
        <v>Frauen</v>
      </c>
      <c r="D287" s="37" t="s">
        <v>87</v>
      </c>
      <c r="E287" s="40" t="s">
        <v>679</v>
      </c>
    </row>
    <row r="288" spans="1:5" x14ac:dyDescent="0.2">
      <c r="A288" s="10">
        <f>'2019_Download_5-1-1'!C55</f>
        <v>2015</v>
      </c>
      <c r="B288" s="38" t="s">
        <v>761</v>
      </c>
      <c r="C288" s="10" t="str">
        <f>'2019_Download_5-1-1'!$E$8</f>
        <v>Frauen</v>
      </c>
      <c r="D288" s="37" t="s">
        <v>87</v>
      </c>
      <c r="E288" s="40" t="s">
        <v>823</v>
      </c>
    </row>
    <row r="289" spans="1:5" x14ac:dyDescent="0.2">
      <c r="A289" s="10">
        <f>'2019_Download_5-1-1'!C56</f>
        <v>2015</v>
      </c>
      <c r="B289" s="38" t="s">
        <v>54</v>
      </c>
      <c r="C289" s="10" t="str">
        <f>'2019_Download_5-1-1'!$E$8</f>
        <v>Frauen</v>
      </c>
      <c r="D289" s="37" t="s">
        <v>87</v>
      </c>
      <c r="E289" s="40" t="s">
        <v>680</v>
      </c>
    </row>
    <row r="290" spans="1:5" x14ac:dyDescent="0.2">
      <c r="A290" s="10">
        <f>'2019_Download_5-1-1'!C57</f>
        <v>2015</v>
      </c>
      <c r="B290" s="38" t="s">
        <v>762</v>
      </c>
      <c r="C290" s="10" t="str">
        <f>'2019_Download_5-1-1'!$E$8</f>
        <v>Frauen</v>
      </c>
      <c r="D290" s="37" t="s">
        <v>87</v>
      </c>
      <c r="E290" s="40" t="s">
        <v>824</v>
      </c>
    </row>
    <row r="291" spans="1:5" x14ac:dyDescent="0.2">
      <c r="A291" s="10">
        <f>'2019_Download_5-1-1'!C58</f>
        <v>2015</v>
      </c>
      <c r="B291" s="38" t="s">
        <v>56</v>
      </c>
      <c r="C291" s="10" t="str">
        <f>'2019_Download_5-1-1'!$E$8</f>
        <v>Frauen</v>
      </c>
      <c r="D291" s="37" t="s">
        <v>87</v>
      </c>
      <c r="E291" s="40" t="s">
        <v>825</v>
      </c>
    </row>
    <row r="292" spans="1:5" x14ac:dyDescent="0.2">
      <c r="A292" s="10">
        <f>'2019_Download_5-1-1'!C59</f>
        <v>2015</v>
      </c>
      <c r="B292" s="38" t="s">
        <v>763</v>
      </c>
      <c r="C292" s="10" t="str">
        <f>'2019_Download_5-1-1'!$E$8</f>
        <v>Frauen</v>
      </c>
      <c r="D292" s="37" t="s">
        <v>87</v>
      </c>
      <c r="E292" s="40" t="s">
        <v>681</v>
      </c>
    </row>
    <row r="293" spans="1:5" x14ac:dyDescent="0.2">
      <c r="A293" s="10">
        <f>'2019_Download_5-1-1'!C60</f>
        <v>2015</v>
      </c>
      <c r="B293" s="38" t="s">
        <v>58</v>
      </c>
      <c r="C293" s="10" t="str">
        <f>'2019_Download_5-1-1'!$E$8</f>
        <v>Frauen</v>
      </c>
      <c r="D293" s="37" t="s">
        <v>87</v>
      </c>
      <c r="E293" s="40" t="s">
        <v>826</v>
      </c>
    </row>
    <row r="294" spans="1:5" x14ac:dyDescent="0.2">
      <c r="A294" s="10">
        <f>'2019_Download_5-1-1'!C61</f>
        <v>2015</v>
      </c>
      <c r="B294" s="38" t="s">
        <v>59</v>
      </c>
      <c r="C294" s="10" t="str">
        <f>'2019_Download_5-1-1'!$E$8</f>
        <v>Frauen</v>
      </c>
      <c r="D294" s="37" t="s">
        <v>87</v>
      </c>
      <c r="E294" s="40" t="s">
        <v>682</v>
      </c>
    </row>
    <row r="295" spans="1:5" x14ac:dyDescent="0.2">
      <c r="A295" s="10">
        <f>'2019_Download_5-1-1'!C62</f>
        <v>2015</v>
      </c>
      <c r="B295" s="38" t="s">
        <v>764</v>
      </c>
      <c r="C295" s="10" t="str">
        <f>'2019_Download_5-1-1'!$E$8</f>
        <v>Frauen</v>
      </c>
      <c r="D295" s="37" t="s">
        <v>87</v>
      </c>
      <c r="E295" s="40" t="s">
        <v>683</v>
      </c>
    </row>
    <row r="296" spans="1:5" x14ac:dyDescent="0.2">
      <c r="A296" s="10">
        <f>'2019_Download_5-1-1'!C63</f>
        <v>2015</v>
      </c>
      <c r="B296" s="38" t="s">
        <v>767</v>
      </c>
      <c r="C296" s="10" t="str">
        <f>'2019_Download_5-1-1'!$E$8</f>
        <v>Frauen</v>
      </c>
      <c r="D296" s="37" t="s">
        <v>87</v>
      </c>
      <c r="E296" s="40" t="s">
        <v>684</v>
      </c>
    </row>
    <row r="297" spans="1:5" x14ac:dyDescent="0.2">
      <c r="A297" s="10">
        <f>'2019_Download_5-1-1'!C64</f>
        <v>2015</v>
      </c>
      <c r="B297" s="38" t="s">
        <v>766</v>
      </c>
      <c r="C297" s="10" t="str">
        <f>'2019_Download_5-1-1'!$E$8</f>
        <v>Frauen</v>
      </c>
      <c r="D297" s="37" t="s">
        <v>87</v>
      </c>
      <c r="E297" s="40" t="s">
        <v>685</v>
      </c>
    </row>
    <row r="298" spans="1:5" x14ac:dyDescent="0.2">
      <c r="A298" s="10">
        <f>'2019_Download_5-1-1'!C65</f>
        <v>2015</v>
      </c>
      <c r="B298" s="38" t="s">
        <v>63</v>
      </c>
      <c r="C298" s="10" t="str">
        <f>'2019_Download_5-1-1'!$E$8</f>
        <v>Frauen</v>
      </c>
      <c r="D298" s="37" t="s">
        <v>87</v>
      </c>
      <c r="E298" s="40" t="s">
        <v>686</v>
      </c>
    </row>
    <row r="299" spans="1:5" x14ac:dyDescent="0.2">
      <c r="A299" s="10">
        <f>'2019_Download_5-1-1'!C66</f>
        <v>2014</v>
      </c>
      <c r="B299" s="38" t="s">
        <v>761</v>
      </c>
      <c r="C299" s="10" t="str">
        <f>'2019_Download_5-1-1'!$E$8</f>
        <v>Frauen</v>
      </c>
      <c r="D299" s="37" t="s">
        <v>87</v>
      </c>
      <c r="E299" s="40" t="s">
        <v>827</v>
      </c>
    </row>
    <row r="300" spans="1:5" x14ac:dyDescent="0.2">
      <c r="A300" s="10">
        <f>'2019_Download_5-1-1'!C67</f>
        <v>2014</v>
      </c>
      <c r="B300" s="38" t="s">
        <v>54</v>
      </c>
      <c r="C300" s="10" t="str">
        <f>'2019_Download_5-1-1'!$E$8</f>
        <v>Frauen</v>
      </c>
      <c r="D300" s="37" t="s">
        <v>87</v>
      </c>
      <c r="E300" s="40" t="s">
        <v>687</v>
      </c>
    </row>
    <row r="301" spans="1:5" x14ac:dyDescent="0.2">
      <c r="A301" s="10">
        <f>'2019_Download_5-1-1'!C68</f>
        <v>2014</v>
      </c>
      <c r="B301" s="38" t="s">
        <v>762</v>
      </c>
      <c r="C301" s="10" t="str">
        <f>'2019_Download_5-1-1'!$E$8</f>
        <v>Frauen</v>
      </c>
      <c r="D301" s="37" t="s">
        <v>87</v>
      </c>
      <c r="E301" s="40" t="s">
        <v>828</v>
      </c>
    </row>
    <row r="302" spans="1:5" x14ac:dyDescent="0.2">
      <c r="A302" s="10">
        <f>'2019_Download_5-1-1'!C69</f>
        <v>2014</v>
      </c>
      <c r="B302" s="38" t="s">
        <v>56</v>
      </c>
      <c r="C302" s="10" t="str">
        <f>'2019_Download_5-1-1'!$E$8</f>
        <v>Frauen</v>
      </c>
      <c r="D302" s="37" t="s">
        <v>87</v>
      </c>
      <c r="E302" s="40" t="s">
        <v>829</v>
      </c>
    </row>
    <row r="303" spans="1:5" x14ac:dyDescent="0.2">
      <c r="A303" s="10">
        <f>'2019_Download_5-1-1'!C70</f>
        <v>2014</v>
      </c>
      <c r="B303" s="38" t="s">
        <v>763</v>
      </c>
      <c r="C303" s="10" t="str">
        <f>'2019_Download_5-1-1'!$E$8</f>
        <v>Frauen</v>
      </c>
      <c r="D303" s="37" t="s">
        <v>87</v>
      </c>
      <c r="E303" s="40" t="s">
        <v>688</v>
      </c>
    </row>
    <row r="304" spans="1:5" x14ac:dyDescent="0.2">
      <c r="A304" s="10">
        <f>'2019_Download_5-1-1'!C71</f>
        <v>2014</v>
      </c>
      <c r="B304" s="38" t="s">
        <v>58</v>
      </c>
      <c r="C304" s="10" t="str">
        <f>'2019_Download_5-1-1'!$E$8</f>
        <v>Frauen</v>
      </c>
      <c r="D304" s="37" t="s">
        <v>87</v>
      </c>
      <c r="E304" s="40" t="s">
        <v>830</v>
      </c>
    </row>
    <row r="305" spans="1:5" x14ac:dyDescent="0.2">
      <c r="A305" s="10">
        <f>'2019_Download_5-1-1'!C72</f>
        <v>2014</v>
      </c>
      <c r="B305" s="38" t="s">
        <v>59</v>
      </c>
      <c r="C305" s="10" t="str">
        <f>'2019_Download_5-1-1'!$E$8</f>
        <v>Frauen</v>
      </c>
      <c r="D305" s="37" t="s">
        <v>87</v>
      </c>
      <c r="E305" s="40" t="s">
        <v>689</v>
      </c>
    </row>
    <row r="306" spans="1:5" x14ac:dyDescent="0.2">
      <c r="A306" s="10">
        <f>'2019_Download_5-1-1'!C73</f>
        <v>2014</v>
      </c>
      <c r="B306" s="38" t="s">
        <v>764</v>
      </c>
      <c r="C306" s="10" t="str">
        <f>'2019_Download_5-1-1'!$E$8</f>
        <v>Frauen</v>
      </c>
      <c r="D306" s="37" t="s">
        <v>87</v>
      </c>
      <c r="E306" s="40" t="s">
        <v>690</v>
      </c>
    </row>
    <row r="307" spans="1:5" x14ac:dyDescent="0.2">
      <c r="A307" s="10">
        <f>'2019_Download_5-1-1'!C74</f>
        <v>2014</v>
      </c>
      <c r="B307" s="38" t="s">
        <v>765</v>
      </c>
      <c r="C307" s="10" t="str">
        <f>'2019_Download_5-1-1'!$E$8</f>
        <v>Frauen</v>
      </c>
      <c r="D307" s="37" t="s">
        <v>87</v>
      </c>
      <c r="E307" s="40" t="s">
        <v>691</v>
      </c>
    </row>
    <row r="308" spans="1:5" x14ac:dyDescent="0.2">
      <c r="A308" s="10">
        <f>'2019_Download_5-1-1'!C75</f>
        <v>2014</v>
      </c>
      <c r="B308" s="38" t="s">
        <v>766</v>
      </c>
      <c r="C308" s="10" t="str">
        <f>'2019_Download_5-1-1'!$E$8</f>
        <v>Frauen</v>
      </c>
      <c r="D308" s="37" t="s">
        <v>87</v>
      </c>
      <c r="E308" s="40" t="s">
        <v>692</v>
      </c>
    </row>
    <row r="309" spans="1:5" x14ac:dyDescent="0.2">
      <c r="A309" s="10">
        <f>'2019_Download_5-1-1'!C76</f>
        <v>2014</v>
      </c>
      <c r="B309" s="38" t="s">
        <v>63</v>
      </c>
      <c r="C309" s="10" t="str">
        <f>'2019_Download_5-1-1'!$E$8</f>
        <v>Frauen</v>
      </c>
      <c r="D309" s="37" t="s">
        <v>87</v>
      </c>
      <c r="E309" s="40" t="s">
        <v>693</v>
      </c>
    </row>
    <row r="310" spans="1:5" x14ac:dyDescent="0.2">
      <c r="A310" s="10">
        <f>'2019_Download_5-1-1'!C77</f>
        <v>2013</v>
      </c>
      <c r="B310" s="38" t="s">
        <v>761</v>
      </c>
      <c r="C310" s="10" t="str">
        <f>'2019_Download_5-1-1'!$E$8</f>
        <v>Frauen</v>
      </c>
      <c r="D310" s="37" t="s">
        <v>87</v>
      </c>
      <c r="E310" s="40" t="s">
        <v>831</v>
      </c>
    </row>
    <row r="311" spans="1:5" x14ac:dyDescent="0.2">
      <c r="A311" s="10">
        <f>'2019_Download_5-1-1'!C78</f>
        <v>2013</v>
      </c>
      <c r="B311" s="38" t="s">
        <v>54</v>
      </c>
      <c r="C311" s="10" t="str">
        <f>'2019_Download_5-1-1'!$E$8</f>
        <v>Frauen</v>
      </c>
      <c r="D311" s="37" t="s">
        <v>87</v>
      </c>
      <c r="E311" s="40" t="s">
        <v>694</v>
      </c>
    </row>
    <row r="312" spans="1:5" x14ac:dyDescent="0.2">
      <c r="A312" s="10">
        <f>'2019_Download_5-1-1'!C79</f>
        <v>2013</v>
      </c>
      <c r="B312" s="38" t="s">
        <v>762</v>
      </c>
      <c r="C312" s="10" t="str">
        <f>'2019_Download_5-1-1'!$E$8</f>
        <v>Frauen</v>
      </c>
      <c r="D312" s="37" t="s">
        <v>87</v>
      </c>
      <c r="E312" s="40" t="s">
        <v>832</v>
      </c>
    </row>
    <row r="313" spans="1:5" x14ac:dyDescent="0.2">
      <c r="A313" s="10">
        <f>'2019_Download_5-1-1'!C80</f>
        <v>2013</v>
      </c>
      <c r="B313" s="38" t="s">
        <v>56</v>
      </c>
      <c r="C313" s="10" t="str">
        <f>'2019_Download_5-1-1'!$E$8</f>
        <v>Frauen</v>
      </c>
      <c r="D313" s="37" t="s">
        <v>87</v>
      </c>
      <c r="E313" s="40" t="s">
        <v>833</v>
      </c>
    </row>
    <row r="314" spans="1:5" x14ac:dyDescent="0.2">
      <c r="A314" s="10">
        <f>'2019_Download_5-1-1'!C81</f>
        <v>2013</v>
      </c>
      <c r="B314" s="38" t="s">
        <v>763</v>
      </c>
      <c r="C314" s="10" t="str">
        <f>'2019_Download_5-1-1'!$E$8</f>
        <v>Frauen</v>
      </c>
      <c r="D314" s="37" t="s">
        <v>87</v>
      </c>
      <c r="E314" s="40" t="s">
        <v>695</v>
      </c>
    </row>
    <row r="315" spans="1:5" x14ac:dyDescent="0.2">
      <c r="A315" s="10">
        <f>'2019_Download_5-1-1'!C82</f>
        <v>2013</v>
      </c>
      <c r="B315" s="38" t="s">
        <v>58</v>
      </c>
      <c r="C315" s="10" t="str">
        <f>'2019_Download_5-1-1'!$E$8</f>
        <v>Frauen</v>
      </c>
      <c r="D315" s="37" t="s">
        <v>87</v>
      </c>
      <c r="E315" s="40" t="s">
        <v>834</v>
      </c>
    </row>
    <row r="316" spans="1:5" x14ac:dyDescent="0.2">
      <c r="A316" s="10">
        <f>'2019_Download_5-1-1'!C83</f>
        <v>2013</v>
      </c>
      <c r="B316" s="38" t="s">
        <v>59</v>
      </c>
      <c r="C316" s="10" t="str">
        <f>'2019_Download_5-1-1'!$E$8</f>
        <v>Frauen</v>
      </c>
      <c r="D316" s="37" t="s">
        <v>87</v>
      </c>
      <c r="E316" s="40" t="s">
        <v>696</v>
      </c>
    </row>
    <row r="317" spans="1:5" x14ac:dyDescent="0.2">
      <c r="A317" s="10">
        <f>'2019_Download_5-1-1'!C84</f>
        <v>2013</v>
      </c>
      <c r="B317" s="38" t="s">
        <v>764</v>
      </c>
      <c r="C317" s="10" t="str">
        <f>'2019_Download_5-1-1'!$E$8</f>
        <v>Frauen</v>
      </c>
      <c r="D317" s="37" t="s">
        <v>87</v>
      </c>
      <c r="E317" s="40" t="s">
        <v>697</v>
      </c>
    </row>
    <row r="318" spans="1:5" x14ac:dyDescent="0.2">
      <c r="A318" s="10">
        <f>'2019_Download_5-1-1'!C85</f>
        <v>2013</v>
      </c>
      <c r="B318" s="38" t="s">
        <v>765</v>
      </c>
      <c r="C318" s="10" t="str">
        <f>'2019_Download_5-1-1'!$E$8</f>
        <v>Frauen</v>
      </c>
      <c r="D318" s="37" t="s">
        <v>87</v>
      </c>
      <c r="E318" s="40" t="s">
        <v>698</v>
      </c>
    </row>
    <row r="319" spans="1:5" x14ac:dyDescent="0.2">
      <c r="A319" s="10">
        <f>'2019_Download_5-1-1'!C86</f>
        <v>2013</v>
      </c>
      <c r="B319" s="38" t="s">
        <v>766</v>
      </c>
      <c r="C319" s="10" t="str">
        <f>'2019_Download_5-1-1'!$E$8</f>
        <v>Frauen</v>
      </c>
      <c r="D319" s="37" t="s">
        <v>87</v>
      </c>
      <c r="E319" s="40" t="s">
        <v>699</v>
      </c>
    </row>
    <row r="320" spans="1:5" x14ac:dyDescent="0.2">
      <c r="A320" s="10">
        <f>'2019_Download_5-1-1'!C87</f>
        <v>2013</v>
      </c>
      <c r="B320" s="38" t="s">
        <v>63</v>
      </c>
      <c r="C320" s="10" t="str">
        <f>'2019_Download_5-1-1'!$E$8</f>
        <v>Frauen</v>
      </c>
      <c r="D320" s="37" t="s">
        <v>87</v>
      </c>
      <c r="E320" s="40" t="s">
        <v>700</v>
      </c>
    </row>
    <row r="321" spans="1:5" x14ac:dyDescent="0.2">
      <c r="A321" s="10">
        <f>'2019_Download_5-1-1'!C88</f>
        <v>2012</v>
      </c>
      <c r="B321" s="38" t="s">
        <v>761</v>
      </c>
      <c r="C321" s="10" t="str">
        <f>'2019_Download_5-1-1'!$E$8</f>
        <v>Frauen</v>
      </c>
      <c r="D321" s="37" t="s">
        <v>87</v>
      </c>
      <c r="E321" s="40" t="s">
        <v>835</v>
      </c>
    </row>
    <row r="322" spans="1:5" x14ac:dyDescent="0.2">
      <c r="A322" s="10">
        <f>'2019_Download_5-1-1'!C89</f>
        <v>2012</v>
      </c>
      <c r="B322" s="38" t="s">
        <v>54</v>
      </c>
      <c r="C322" s="10" t="str">
        <f>'2019_Download_5-1-1'!$E$8</f>
        <v>Frauen</v>
      </c>
      <c r="D322" s="37" t="s">
        <v>87</v>
      </c>
      <c r="E322" s="40" t="s">
        <v>701</v>
      </c>
    </row>
    <row r="323" spans="1:5" x14ac:dyDescent="0.2">
      <c r="A323" s="10">
        <f>'2019_Download_5-1-1'!C90</f>
        <v>2012</v>
      </c>
      <c r="B323" s="38" t="s">
        <v>762</v>
      </c>
      <c r="C323" s="10" t="str">
        <f>'2019_Download_5-1-1'!$E$8</f>
        <v>Frauen</v>
      </c>
      <c r="D323" s="37" t="s">
        <v>87</v>
      </c>
      <c r="E323" s="40" t="s">
        <v>836</v>
      </c>
    </row>
    <row r="324" spans="1:5" x14ac:dyDescent="0.2">
      <c r="A324" s="10">
        <f>'2019_Download_5-1-1'!C91</f>
        <v>2012</v>
      </c>
      <c r="B324" s="38" t="s">
        <v>56</v>
      </c>
      <c r="C324" s="10" t="str">
        <f>'2019_Download_5-1-1'!$E$8</f>
        <v>Frauen</v>
      </c>
      <c r="D324" s="37" t="s">
        <v>87</v>
      </c>
      <c r="E324" s="40" t="s">
        <v>837</v>
      </c>
    </row>
    <row r="325" spans="1:5" x14ac:dyDescent="0.2">
      <c r="A325" s="10">
        <f>'2019_Download_5-1-1'!C92</f>
        <v>2012</v>
      </c>
      <c r="B325" s="38" t="s">
        <v>763</v>
      </c>
      <c r="C325" s="10" t="str">
        <f>'2019_Download_5-1-1'!$E$8</f>
        <v>Frauen</v>
      </c>
      <c r="D325" s="37" t="s">
        <v>87</v>
      </c>
      <c r="E325" s="40" t="s">
        <v>702</v>
      </c>
    </row>
    <row r="326" spans="1:5" x14ac:dyDescent="0.2">
      <c r="A326" s="10">
        <f>'2019_Download_5-1-1'!C93</f>
        <v>2012</v>
      </c>
      <c r="B326" s="38" t="s">
        <v>58</v>
      </c>
      <c r="C326" s="10" t="str">
        <f>'2019_Download_5-1-1'!$E$8</f>
        <v>Frauen</v>
      </c>
      <c r="D326" s="37" t="s">
        <v>87</v>
      </c>
      <c r="E326" s="40" t="s">
        <v>838</v>
      </c>
    </row>
    <row r="327" spans="1:5" x14ac:dyDescent="0.2">
      <c r="A327" s="10">
        <f>'2019_Download_5-1-1'!C94</f>
        <v>2012</v>
      </c>
      <c r="B327" s="38" t="s">
        <v>59</v>
      </c>
      <c r="C327" s="10" t="str">
        <f>'2019_Download_5-1-1'!$E$8</f>
        <v>Frauen</v>
      </c>
      <c r="D327" s="37" t="s">
        <v>87</v>
      </c>
      <c r="E327" s="40" t="s">
        <v>703</v>
      </c>
    </row>
    <row r="328" spans="1:5" x14ac:dyDescent="0.2">
      <c r="A328" s="10">
        <f>'2019_Download_5-1-1'!C95</f>
        <v>2012</v>
      </c>
      <c r="B328" s="38" t="s">
        <v>764</v>
      </c>
      <c r="C328" s="10" t="str">
        <f>'2019_Download_5-1-1'!$E$8</f>
        <v>Frauen</v>
      </c>
      <c r="D328" s="37" t="s">
        <v>87</v>
      </c>
      <c r="E328" s="40" t="s">
        <v>704</v>
      </c>
    </row>
    <row r="329" spans="1:5" x14ac:dyDescent="0.2">
      <c r="A329" s="10">
        <f>'2019_Download_5-1-1'!C96</f>
        <v>2012</v>
      </c>
      <c r="B329" s="38" t="s">
        <v>767</v>
      </c>
      <c r="C329" s="10" t="str">
        <f>'2019_Download_5-1-1'!$E$8</f>
        <v>Frauen</v>
      </c>
      <c r="D329" s="37" t="s">
        <v>87</v>
      </c>
      <c r="E329" s="40" t="s">
        <v>705</v>
      </c>
    </row>
    <row r="330" spans="1:5" x14ac:dyDescent="0.2">
      <c r="A330" s="10">
        <f>'2019_Download_5-1-1'!C97</f>
        <v>2012</v>
      </c>
      <c r="B330" s="38" t="s">
        <v>766</v>
      </c>
      <c r="C330" s="10" t="str">
        <f>'2019_Download_5-1-1'!$E$8</f>
        <v>Frauen</v>
      </c>
      <c r="D330" s="37" t="s">
        <v>87</v>
      </c>
      <c r="E330" s="40" t="s">
        <v>706</v>
      </c>
    </row>
    <row r="331" spans="1:5" x14ac:dyDescent="0.2">
      <c r="A331" s="10">
        <f>'2019_Download_5-1-1'!C98</f>
        <v>2012</v>
      </c>
      <c r="B331" s="38" t="s">
        <v>63</v>
      </c>
      <c r="C331" s="10" t="str">
        <f>'2019_Download_5-1-1'!$E$8</f>
        <v>Frauen</v>
      </c>
      <c r="D331" s="37" t="s">
        <v>87</v>
      </c>
      <c r="E331" s="40" t="s">
        <v>707</v>
      </c>
    </row>
    <row r="332" spans="1:5" x14ac:dyDescent="0.2">
      <c r="A332" s="10">
        <f>'2019_Download_5-1-1'!C99</f>
        <v>2011</v>
      </c>
      <c r="B332" s="38" t="s">
        <v>761</v>
      </c>
      <c r="C332" s="10" t="str">
        <f>'2019_Download_5-1-1'!$E$8</f>
        <v>Frauen</v>
      </c>
      <c r="D332" s="37" t="s">
        <v>87</v>
      </c>
      <c r="E332" s="40" t="s">
        <v>839</v>
      </c>
    </row>
    <row r="333" spans="1:5" x14ac:dyDescent="0.2">
      <c r="A333" s="10">
        <f>'2019_Download_5-1-1'!C100</f>
        <v>2011</v>
      </c>
      <c r="B333" s="38" t="s">
        <v>54</v>
      </c>
      <c r="C333" s="10" t="str">
        <f>'2019_Download_5-1-1'!$E$8</f>
        <v>Frauen</v>
      </c>
      <c r="D333" s="37" t="s">
        <v>87</v>
      </c>
      <c r="E333" s="40" t="s">
        <v>708</v>
      </c>
    </row>
    <row r="334" spans="1:5" x14ac:dyDescent="0.2">
      <c r="A334" s="10">
        <f>'2019_Download_5-1-1'!C101</f>
        <v>2011</v>
      </c>
      <c r="B334" s="38" t="s">
        <v>762</v>
      </c>
      <c r="C334" s="10" t="str">
        <f>'2019_Download_5-1-1'!$E$8</f>
        <v>Frauen</v>
      </c>
      <c r="D334" s="37" t="s">
        <v>87</v>
      </c>
      <c r="E334" s="40" t="s">
        <v>840</v>
      </c>
    </row>
    <row r="335" spans="1:5" x14ac:dyDescent="0.2">
      <c r="A335" s="10">
        <f>'2019_Download_5-1-1'!C102</f>
        <v>2011</v>
      </c>
      <c r="B335" s="38" t="s">
        <v>56</v>
      </c>
      <c r="C335" s="10" t="str">
        <f>'2019_Download_5-1-1'!$E$8</f>
        <v>Frauen</v>
      </c>
      <c r="D335" s="37" t="s">
        <v>87</v>
      </c>
      <c r="E335" s="40" t="s">
        <v>841</v>
      </c>
    </row>
    <row r="336" spans="1:5" x14ac:dyDescent="0.2">
      <c r="A336" s="10">
        <f>'2019_Download_5-1-1'!C103</f>
        <v>2011</v>
      </c>
      <c r="B336" s="38" t="s">
        <v>763</v>
      </c>
      <c r="C336" s="10" t="str">
        <f>'2019_Download_5-1-1'!$E$8</f>
        <v>Frauen</v>
      </c>
      <c r="D336" s="37" t="s">
        <v>87</v>
      </c>
      <c r="E336" s="40" t="s">
        <v>709</v>
      </c>
    </row>
    <row r="337" spans="1:5" x14ac:dyDescent="0.2">
      <c r="A337" s="10">
        <f>'2019_Download_5-1-1'!C104</f>
        <v>2011</v>
      </c>
      <c r="B337" s="38" t="s">
        <v>58</v>
      </c>
      <c r="C337" s="10" t="str">
        <f>'2019_Download_5-1-1'!$E$8</f>
        <v>Frauen</v>
      </c>
      <c r="D337" s="37" t="s">
        <v>87</v>
      </c>
      <c r="E337" s="40" t="s">
        <v>842</v>
      </c>
    </row>
    <row r="338" spans="1:5" x14ac:dyDescent="0.2">
      <c r="A338" s="10">
        <f>'2019_Download_5-1-1'!C105</f>
        <v>2011</v>
      </c>
      <c r="B338" s="38" t="s">
        <v>59</v>
      </c>
      <c r="C338" s="10" t="str">
        <f>'2019_Download_5-1-1'!$E$8</f>
        <v>Frauen</v>
      </c>
      <c r="D338" s="37" t="s">
        <v>87</v>
      </c>
      <c r="E338" s="40" t="s">
        <v>710</v>
      </c>
    </row>
    <row r="339" spans="1:5" x14ac:dyDescent="0.2">
      <c r="A339" s="10">
        <f>'2019_Download_5-1-1'!C106</f>
        <v>2011</v>
      </c>
      <c r="B339" s="38" t="s">
        <v>764</v>
      </c>
      <c r="C339" s="10" t="str">
        <f>'2019_Download_5-1-1'!$E$8</f>
        <v>Frauen</v>
      </c>
      <c r="D339" s="37" t="s">
        <v>87</v>
      </c>
      <c r="E339" s="40" t="s">
        <v>711</v>
      </c>
    </row>
    <row r="340" spans="1:5" x14ac:dyDescent="0.2">
      <c r="A340" s="10">
        <f>'2019_Download_5-1-1'!C107</f>
        <v>2011</v>
      </c>
      <c r="B340" s="38" t="s">
        <v>767</v>
      </c>
      <c r="C340" s="10" t="str">
        <f>'2019_Download_5-1-1'!$E$8</f>
        <v>Frauen</v>
      </c>
      <c r="D340" s="37" t="s">
        <v>87</v>
      </c>
      <c r="E340" s="40" t="s">
        <v>712</v>
      </c>
    </row>
    <row r="341" spans="1:5" x14ac:dyDescent="0.2">
      <c r="A341" s="10">
        <f>'2019_Download_5-1-1'!C108</f>
        <v>2011</v>
      </c>
      <c r="B341" s="38" t="s">
        <v>766</v>
      </c>
      <c r="C341" s="10" t="str">
        <f>'2019_Download_5-1-1'!$E$8</f>
        <v>Frauen</v>
      </c>
      <c r="D341" s="37" t="s">
        <v>87</v>
      </c>
      <c r="E341" s="40" t="s">
        <v>713</v>
      </c>
    </row>
    <row r="342" spans="1:5" x14ac:dyDescent="0.2">
      <c r="A342" s="10">
        <f>'2019_Download_5-1-1'!C109</f>
        <v>2011</v>
      </c>
      <c r="B342" s="38" t="s">
        <v>63</v>
      </c>
      <c r="C342" s="10" t="str">
        <f>'2019_Download_5-1-1'!$E$8</f>
        <v>Frauen</v>
      </c>
      <c r="D342" s="37" t="s">
        <v>87</v>
      </c>
      <c r="E342" s="40" t="s">
        <v>714</v>
      </c>
    </row>
    <row r="343" spans="1:5" x14ac:dyDescent="0.2">
      <c r="A343" s="10">
        <f>'2019_Download_5-1-1'!C110</f>
        <v>2010</v>
      </c>
      <c r="B343" s="38" t="s">
        <v>761</v>
      </c>
      <c r="C343" s="10" t="str">
        <f>'2019_Download_5-1-1'!$E$8</f>
        <v>Frauen</v>
      </c>
      <c r="D343" s="37" t="s">
        <v>87</v>
      </c>
      <c r="E343" s="40" t="s">
        <v>64</v>
      </c>
    </row>
    <row r="344" spans="1:5" x14ac:dyDescent="0.2">
      <c r="A344" s="10">
        <f>'2019_Download_5-1-1'!C111</f>
        <v>2010</v>
      </c>
      <c r="B344" s="38" t="s">
        <v>54</v>
      </c>
      <c r="C344" s="10" t="str">
        <f>'2019_Download_5-1-1'!$E$8</f>
        <v>Frauen</v>
      </c>
      <c r="D344" s="37" t="s">
        <v>87</v>
      </c>
      <c r="E344" s="40" t="s">
        <v>715</v>
      </c>
    </row>
    <row r="345" spans="1:5" x14ac:dyDescent="0.2">
      <c r="A345" s="10">
        <f>'2019_Download_5-1-1'!C112</f>
        <v>2010</v>
      </c>
      <c r="B345" s="38" t="s">
        <v>762</v>
      </c>
      <c r="C345" s="10" t="str">
        <f>'2019_Download_5-1-1'!$E$8</f>
        <v>Frauen</v>
      </c>
      <c r="D345" s="37" t="s">
        <v>87</v>
      </c>
      <c r="E345" s="40" t="s">
        <v>64</v>
      </c>
    </row>
    <row r="346" spans="1:5" x14ac:dyDescent="0.2">
      <c r="A346" s="10">
        <f>'2019_Download_5-1-1'!C113</f>
        <v>2010</v>
      </c>
      <c r="B346" s="38" t="s">
        <v>56</v>
      </c>
      <c r="C346" s="10" t="str">
        <f>'2019_Download_5-1-1'!$E$8</f>
        <v>Frauen</v>
      </c>
      <c r="D346" s="37" t="s">
        <v>87</v>
      </c>
      <c r="E346" s="40" t="s">
        <v>64</v>
      </c>
    </row>
    <row r="347" spans="1:5" x14ac:dyDescent="0.2">
      <c r="A347" s="10">
        <f>'2019_Download_5-1-1'!C114</f>
        <v>2010</v>
      </c>
      <c r="B347" s="38" t="s">
        <v>763</v>
      </c>
      <c r="C347" s="10" t="str">
        <f>'2019_Download_5-1-1'!$E$8</f>
        <v>Frauen</v>
      </c>
      <c r="D347" s="37" t="s">
        <v>87</v>
      </c>
      <c r="E347" s="40" t="s">
        <v>716</v>
      </c>
    </row>
    <row r="348" spans="1:5" x14ac:dyDescent="0.2">
      <c r="A348" s="10">
        <f>'2019_Download_5-1-1'!C115</f>
        <v>2010</v>
      </c>
      <c r="B348" s="38" t="s">
        <v>58</v>
      </c>
      <c r="C348" s="10" t="str">
        <f>'2019_Download_5-1-1'!$E$8</f>
        <v>Frauen</v>
      </c>
      <c r="D348" s="37" t="s">
        <v>87</v>
      </c>
      <c r="E348" s="40" t="s">
        <v>843</v>
      </c>
    </row>
    <row r="349" spans="1:5" x14ac:dyDescent="0.2">
      <c r="A349" s="10">
        <f>'2019_Download_5-1-1'!C116</f>
        <v>2010</v>
      </c>
      <c r="B349" s="38" t="s">
        <v>59</v>
      </c>
      <c r="C349" s="10" t="str">
        <f>'2019_Download_5-1-1'!$E$8</f>
        <v>Frauen</v>
      </c>
      <c r="D349" s="37" t="s">
        <v>87</v>
      </c>
      <c r="E349" s="40" t="s">
        <v>717</v>
      </c>
    </row>
    <row r="350" spans="1:5" x14ac:dyDescent="0.2">
      <c r="A350" s="10">
        <f>'2019_Download_5-1-1'!C117</f>
        <v>2010</v>
      </c>
      <c r="B350" s="38" t="s">
        <v>764</v>
      </c>
      <c r="C350" s="10" t="str">
        <f>'2019_Download_5-1-1'!$E$8</f>
        <v>Frauen</v>
      </c>
      <c r="D350" s="37" t="s">
        <v>87</v>
      </c>
      <c r="E350" s="40" t="s">
        <v>718</v>
      </c>
    </row>
    <row r="351" spans="1:5" x14ac:dyDescent="0.2">
      <c r="A351" s="10">
        <f>'2019_Download_5-1-1'!C118</f>
        <v>2010</v>
      </c>
      <c r="B351" s="38" t="s">
        <v>767</v>
      </c>
      <c r="C351" s="10" t="str">
        <f>'2019_Download_5-1-1'!$E$8</f>
        <v>Frauen</v>
      </c>
      <c r="D351" s="37" t="s">
        <v>87</v>
      </c>
      <c r="E351" s="40" t="s">
        <v>719</v>
      </c>
    </row>
    <row r="352" spans="1:5" x14ac:dyDescent="0.2">
      <c r="A352" s="10">
        <f>'2019_Download_5-1-1'!C119</f>
        <v>2010</v>
      </c>
      <c r="B352" s="38" t="s">
        <v>766</v>
      </c>
      <c r="C352" s="10" t="str">
        <f>'2019_Download_5-1-1'!$E$8</f>
        <v>Frauen</v>
      </c>
      <c r="D352" s="37" t="s">
        <v>87</v>
      </c>
      <c r="E352" s="40" t="s">
        <v>720</v>
      </c>
    </row>
    <row r="353" spans="1:5" x14ac:dyDescent="0.2">
      <c r="A353" s="10">
        <f>'2019_Download_5-1-1'!C120</f>
        <v>2010</v>
      </c>
      <c r="B353" s="38" t="s">
        <v>63</v>
      </c>
      <c r="C353" s="10" t="str">
        <f>'2019_Download_5-1-1'!$E$8</f>
        <v>Frauen</v>
      </c>
      <c r="D353" s="37" t="s">
        <v>87</v>
      </c>
      <c r="E353" s="40" t="s">
        <v>721</v>
      </c>
    </row>
    <row r="354" spans="1:5" x14ac:dyDescent="0.2">
      <c r="A354" s="10">
        <f>'2019_Download_5-1-1'!C121</f>
        <v>2005</v>
      </c>
      <c r="B354" s="38" t="s">
        <v>66</v>
      </c>
      <c r="C354" s="10" t="str">
        <f>'2019_Download_5-1-1'!$E$8</f>
        <v>Frauen</v>
      </c>
      <c r="D354" s="37" t="s">
        <v>87</v>
      </c>
      <c r="E354" s="40" t="s">
        <v>64</v>
      </c>
    </row>
    <row r="355" spans="1:5" x14ac:dyDescent="0.2">
      <c r="A355" s="10">
        <f>'2019_Download_5-1-1'!C122</f>
        <v>2005</v>
      </c>
      <c r="B355" s="38" t="s">
        <v>54</v>
      </c>
      <c r="C355" s="10" t="str">
        <f>'2019_Download_5-1-1'!$E$8</f>
        <v>Frauen</v>
      </c>
      <c r="D355" s="37" t="s">
        <v>87</v>
      </c>
      <c r="E355" s="40" t="s">
        <v>722</v>
      </c>
    </row>
    <row r="356" spans="1:5" x14ac:dyDescent="0.2">
      <c r="A356" s="10">
        <f>'2019_Download_5-1-1'!C123</f>
        <v>2005</v>
      </c>
      <c r="B356" s="38" t="s">
        <v>67</v>
      </c>
      <c r="C356" s="10" t="str">
        <f>'2019_Download_5-1-1'!$E$8</f>
        <v>Frauen</v>
      </c>
      <c r="D356" s="37" t="s">
        <v>87</v>
      </c>
      <c r="E356" s="40" t="s">
        <v>64</v>
      </c>
    </row>
    <row r="357" spans="1:5" x14ac:dyDescent="0.2">
      <c r="A357" s="10">
        <f>'2019_Download_5-1-1'!C124</f>
        <v>2005</v>
      </c>
      <c r="B357" s="38" t="s">
        <v>56</v>
      </c>
      <c r="C357" s="10" t="str">
        <f>'2019_Download_5-1-1'!$E$8</f>
        <v>Frauen</v>
      </c>
      <c r="D357" s="37" t="s">
        <v>87</v>
      </c>
      <c r="E357" s="40" t="s">
        <v>64</v>
      </c>
    </row>
    <row r="358" spans="1:5" x14ac:dyDescent="0.2">
      <c r="A358" s="10">
        <f>'2019_Download_5-1-1'!C125</f>
        <v>2005</v>
      </c>
      <c r="B358" s="38" t="s">
        <v>68</v>
      </c>
      <c r="C358" s="10" t="str">
        <f>'2019_Download_5-1-1'!$E$8</f>
        <v>Frauen</v>
      </c>
      <c r="D358" s="37" t="s">
        <v>87</v>
      </c>
      <c r="E358" s="40" t="s">
        <v>722</v>
      </c>
    </row>
    <row r="359" spans="1:5" x14ac:dyDescent="0.2">
      <c r="A359" s="10">
        <f>'2019_Download_5-1-1'!C126</f>
        <v>2005</v>
      </c>
      <c r="B359" s="38" t="s">
        <v>59</v>
      </c>
      <c r="C359" s="10" t="str">
        <f>'2019_Download_5-1-1'!$E$8</f>
        <v>Frauen</v>
      </c>
      <c r="D359" s="37" t="s">
        <v>87</v>
      </c>
      <c r="E359" s="40" t="s">
        <v>723</v>
      </c>
    </row>
    <row r="360" spans="1:5" x14ac:dyDescent="0.2">
      <c r="A360" s="10">
        <f>'2019_Download_5-1-1'!C127</f>
        <v>2005</v>
      </c>
      <c r="B360" s="38" t="s">
        <v>69</v>
      </c>
      <c r="C360" s="10" t="str">
        <f>'2019_Download_5-1-1'!$E$8</f>
        <v>Frauen</v>
      </c>
      <c r="D360" s="37" t="s">
        <v>87</v>
      </c>
      <c r="E360" s="40" t="s">
        <v>64</v>
      </c>
    </row>
    <row r="361" spans="1:5" x14ac:dyDescent="0.2">
      <c r="A361" s="10">
        <f>'2019_Download_5-1-1'!C128</f>
        <v>2005</v>
      </c>
      <c r="B361" s="38" t="s">
        <v>768</v>
      </c>
      <c r="C361" s="10" t="str">
        <f>'2019_Download_5-1-1'!$E$8</f>
        <v>Frauen</v>
      </c>
      <c r="D361" s="37" t="s">
        <v>87</v>
      </c>
      <c r="E361" s="40" t="s">
        <v>723</v>
      </c>
    </row>
    <row r="362" spans="1:5" x14ac:dyDescent="0.2">
      <c r="A362" s="10">
        <f>'2019_Download_5-1-1'!C129</f>
        <v>2005</v>
      </c>
      <c r="B362" s="38" t="s">
        <v>769</v>
      </c>
      <c r="C362" s="10" t="str">
        <f>'2019_Download_5-1-1'!$E$8</f>
        <v>Frauen</v>
      </c>
      <c r="D362" s="37" t="s">
        <v>87</v>
      </c>
      <c r="E362" s="40" t="s">
        <v>724</v>
      </c>
    </row>
    <row r="363" spans="1:5" x14ac:dyDescent="0.2">
      <c r="A363" s="10">
        <f>'2019_Download_5-1-1'!C130</f>
        <v>2005</v>
      </c>
      <c r="B363" s="38" t="s">
        <v>72</v>
      </c>
      <c r="C363" s="10" t="str">
        <f>'2019_Download_5-1-1'!$E$8</f>
        <v>Frauen</v>
      </c>
      <c r="D363" s="37" t="s">
        <v>87</v>
      </c>
      <c r="E363" s="40" t="s">
        <v>725</v>
      </c>
    </row>
    <row r="364" spans="1:5" x14ac:dyDescent="0.2">
      <c r="A364" s="10">
        <f>'2019_Download_5-1-1'!C131</f>
        <v>2005</v>
      </c>
      <c r="B364" s="38" t="s">
        <v>63</v>
      </c>
      <c r="C364" s="10" t="str">
        <f>'2019_Download_5-1-1'!$E$8</f>
        <v>Frauen</v>
      </c>
      <c r="D364" s="37" t="s">
        <v>87</v>
      </c>
      <c r="E364" s="40" t="s">
        <v>726</v>
      </c>
    </row>
    <row r="365" spans="1:5" x14ac:dyDescent="0.2">
      <c r="A365" s="10"/>
      <c r="B365" s="38"/>
      <c r="C365" s="10"/>
      <c r="D365" s="37"/>
      <c r="E365" s="40" t="s">
        <v>1</v>
      </c>
    </row>
    <row r="366" spans="1:5" x14ac:dyDescent="0.2">
      <c r="A366" s="10"/>
      <c r="B366" s="38"/>
      <c r="C366" s="10"/>
      <c r="D366" s="37"/>
      <c r="E366" s="40" t="s">
        <v>1</v>
      </c>
    </row>
    <row r="367" spans="1:5" x14ac:dyDescent="0.2">
      <c r="E367" s="43" t="s">
        <v>1</v>
      </c>
    </row>
    <row r="368" spans="1:5" x14ac:dyDescent="0.2">
      <c r="E368" s="43" t="s">
        <v>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K22"/>
  <sheetViews>
    <sheetView workbookViewId="0">
      <selection sqref="A1:K1"/>
    </sheetView>
  </sheetViews>
  <sheetFormatPr baseColWidth="10" defaultRowHeight="12" customHeight="1" x14ac:dyDescent="0.2"/>
  <cols>
    <col min="1" max="1" width="82.7109375" bestFit="1" customWidth="1"/>
    <col min="2" max="2" width="5.7109375" bestFit="1" customWidth="1"/>
    <col min="3" max="11" width="16.7109375" bestFit="1" customWidth="1"/>
  </cols>
  <sheetData>
    <row r="1" spans="1:11" ht="15.95" customHeight="1" x14ac:dyDescent="0.25">
      <c r="A1" s="62" t="s">
        <v>0</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5</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1" t="s">
        <v>7</v>
      </c>
      <c r="D6" s="1" t="s">
        <v>8</v>
      </c>
      <c r="E6" s="1" t="s">
        <v>3</v>
      </c>
      <c r="F6" s="1" t="s">
        <v>7</v>
      </c>
      <c r="G6" s="1" t="s">
        <v>8</v>
      </c>
      <c r="H6" s="1" t="s">
        <v>3</v>
      </c>
      <c r="I6" s="1" t="s">
        <v>7</v>
      </c>
      <c r="J6" s="1" t="s">
        <v>8</v>
      </c>
      <c r="K6" s="1" t="s">
        <v>3</v>
      </c>
    </row>
    <row r="7" spans="1:11" ht="42.95" customHeight="1" x14ac:dyDescent="0.2">
      <c r="A7" s="65"/>
      <c r="B7" s="65"/>
      <c r="C7" s="2" t="s">
        <v>9</v>
      </c>
      <c r="D7" s="2" t="s">
        <v>9</v>
      </c>
      <c r="E7" s="2" t="s">
        <v>9</v>
      </c>
      <c r="F7" s="2" t="s">
        <v>9</v>
      </c>
      <c r="G7" s="2" t="s">
        <v>9</v>
      </c>
      <c r="H7" s="2" t="s">
        <v>9</v>
      </c>
      <c r="I7" s="2" t="s">
        <v>9</v>
      </c>
      <c r="J7" s="2" t="s">
        <v>9</v>
      </c>
      <c r="K7" s="2"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70159.850000000006</v>
      </c>
      <c r="D9" s="5">
        <v>30052.639999999999</v>
      </c>
      <c r="E9" s="5">
        <v>100212.49</v>
      </c>
      <c r="F9" s="5">
        <v>63169.04</v>
      </c>
      <c r="G9" s="5">
        <v>27206.44</v>
      </c>
      <c r="H9" s="5">
        <v>90375.49</v>
      </c>
      <c r="I9" s="5">
        <v>6990.81</v>
      </c>
      <c r="J9" s="5">
        <v>2846.19</v>
      </c>
      <c r="K9" s="5">
        <v>9837.01</v>
      </c>
    </row>
    <row r="10" spans="1:11" ht="29.1" customHeight="1" x14ac:dyDescent="0.2">
      <c r="A10" s="6" t="s">
        <v>14</v>
      </c>
      <c r="B10" s="3" t="s">
        <v>13</v>
      </c>
      <c r="C10" s="5">
        <v>521674</v>
      </c>
      <c r="D10" s="5">
        <v>169080.51</v>
      </c>
      <c r="E10" s="5">
        <v>690754.52</v>
      </c>
      <c r="F10" s="5">
        <v>424591.96</v>
      </c>
      <c r="G10" s="5">
        <v>138907.92000000001</v>
      </c>
      <c r="H10" s="5">
        <v>563499.89</v>
      </c>
      <c r="I10" s="5">
        <v>97082.04</v>
      </c>
      <c r="J10" s="5">
        <v>30172.59</v>
      </c>
      <c r="K10" s="5">
        <v>127254.63</v>
      </c>
    </row>
    <row r="11" spans="1:11" ht="29.1" customHeight="1" x14ac:dyDescent="0.2">
      <c r="A11" s="6" t="s">
        <v>15</v>
      </c>
      <c r="B11" s="3" t="s">
        <v>13</v>
      </c>
      <c r="C11" s="5">
        <v>51783.09</v>
      </c>
      <c r="D11" s="5">
        <v>13300.24</v>
      </c>
      <c r="E11" s="5">
        <v>65083.32</v>
      </c>
      <c r="F11" s="5">
        <v>45531.93</v>
      </c>
      <c r="G11" s="5">
        <v>12113.5</v>
      </c>
      <c r="H11" s="5">
        <v>57645.43</v>
      </c>
      <c r="I11" s="5">
        <v>6251.16</v>
      </c>
      <c r="J11" s="5">
        <v>1186.74</v>
      </c>
      <c r="K11" s="5">
        <v>7437.89</v>
      </c>
    </row>
    <row r="12" spans="1:11" ht="14.1" customHeight="1" x14ac:dyDescent="0.2">
      <c r="A12" s="3" t="s">
        <v>16</v>
      </c>
      <c r="B12" s="3" t="s">
        <v>13</v>
      </c>
      <c r="C12" s="5">
        <v>199303.31</v>
      </c>
      <c r="D12" s="5">
        <v>34081.160000000003</v>
      </c>
      <c r="E12" s="5">
        <v>233384.47</v>
      </c>
      <c r="F12" s="5">
        <v>161870.92000000001</v>
      </c>
      <c r="G12" s="5">
        <v>30121.97</v>
      </c>
      <c r="H12" s="5">
        <v>191992.89</v>
      </c>
      <c r="I12" s="5">
        <v>37432.39</v>
      </c>
      <c r="J12" s="5">
        <v>3959.19</v>
      </c>
      <c r="K12" s="5">
        <v>41391.58</v>
      </c>
    </row>
    <row r="13" spans="1:11" ht="14.1" customHeight="1" x14ac:dyDescent="0.2">
      <c r="A13" s="3" t="s">
        <v>17</v>
      </c>
      <c r="B13" s="3" t="s">
        <v>13</v>
      </c>
      <c r="C13" s="5">
        <v>271261.48</v>
      </c>
      <c r="D13" s="5">
        <v>294800.01</v>
      </c>
      <c r="E13" s="5">
        <v>566061.49</v>
      </c>
      <c r="F13" s="5">
        <v>227162.16</v>
      </c>
      <c r="G13" s="5">
        <v>252406.22</v>
      </c>
      <c r="H13" s="5">
        <v>479568.38</v>
      </c>
      <c r="I13" s="5">
        <v>44099.32</v>
      </c>
      <c r="J13" s="5">
        <v>42393.8</v>
      </c>
      <c r="K13" s="5">
        <v>86493.11</v>
      </c>
    </row>
    <row r="14" spans="1:11" ht="14.1" customHeight="1" x14ac:dyDescent="0.2">
      <c r="A14" s="3" t="s">
        <v>18</v>
      </c>
      <c r="B14" s="3" t="s">
        <v>13</v>
      </c>
      <c r="C14" s="5">
        <v>186693.63</v>
      </c>
      <c r="D14" s="5">
        <v>66005.899999999994</v>
      </c>
      <c r="E14" s="5">
        <v>252699.53</v>
      </c>
      <c r="F14" s="5">
        <v>158240.76</v>
      </c>
      <c r="G14" s="5">
        <v>58815.49</v>
      </c>
      <c r="H14" s="5">
        <v>217056.25</v>
      </c>
      <c r="I14" s="5">
        <v>28452.87</v>
      </c>
      <c r="J14" s="5">
        <v>7190.41</v>
      </c>
      <c r="K14" s="5">
        <v>35643.279999999999</v>
      </c>
    </row>
    <row r="15" spans="1:11" ht="14.1" customHeight="1" x14ac:dyDescent="0.2">
      <c r="A15" s="3" t="s">
        <v>19</v>
      </c>
      <c r="B15" s="3" t="s">
        <v>13</v>
      </c>
      <c r="C15" s="5">
        <v>49434.74</v>
      </c>
      <c r="D15" s="5">
        <v>75257.509999999995</v>
      </c>
      <c r="E15" s="5">
        <v>124692.25</v>
      </c>
      <c r="F15" s="5">
        <v>27732.560000000001</v>
      </c>
      <c r="G15" s="5">
        <v>53499.18</v>
      </c>
      <c r="H15" s="5">
        <v>81231.75</v>
      </c>
      <c r="I15" s="5">
        <v>21702.17</v>
      </c>
      <c r="J15" s="5">
        <v>21758.33</v>
      </c>
      <c r="K15" s="5">
        <v>43460.5</v>
      </c>
    </row>
    <row r="16" spans="1:11" ht="42.95" customHeight="1" x14ac:dyDescent="0.2">
      <c r="A16" s="6" t="s">
        <v>20</v>
      </c>
      <c r="B16" s="3" t="s">
        <v>13</v>
      </c>
      <c r="C16" s="5">
        <v>251274.59</v>
      </c>
      <c r="D16" s="5">
        <v>239886.38</v>
      </c>
      <c r="E16" s="5">
        <v>491160.97</v>
      </c>
      <c r="F16" s="5">
        <v>223013.11</v>
      </c>
      <c r="G16" s="5">
        <v>202377.82</v>
      </c>
      <c r="H16" s="5">
        <v>425390.92</v>
      </c>
      <c r="I16" s="5">
        <v>28261.49</v>
      </c>
      <c r="J16" s="5">
        <v>37508.559999999998</v>
      </c>
      <c r="K16" s="5">
        <v>65770.05</v>
      </c>
    </row>
    <row r="17" spans="1:11" ht="29.1" customHeight="1" x14ac:dyDescent="0.2">
      <c r="A17" s="6" t="s">
        <v>21</v>
      </c>
      <c r="B17" s="3" t="s">
        <v>13</v>
      </c>
      <c r="C17" s="5">
        <v>338625.21</v>
      </c>
      <c r="D17" s="5">
        <v>653172.81000000006</v>
      </c>
      <c r="E17" s="5">
        <v>991798.02</v>
      </c>
      <c r="F17" s="5">
        <v>313397.19</v>
      </c>
      <c r="G17" s="5">
        <v>576744.43999999994</v>
      </c>
      <c r="H17" s="5">
        <v>890141.63</v>
      </c>
      <c r="I17" s="5">
        <v>25228.02</v>
      </c>
      <c r="J17" s="5">
        <v>76428.37</v>
      </c>
      <c r="K17" s="5">
        <v>101656.39</v>
      </c>
    </row>
    <row r="18" spans="1:11" ht="29.1" customHeight="1" x14ac:dyDescent="0.2">
      <c r="A18" s="6" t="s">
        <v>22</v>
      </c>
      <c r="B18" s="3" t="s">
        <v>13</v>
      </c>
      <c r="C18" s="5">
        <v>53140.32</v>
      </c>
      <c r="D18" s="5">
        <v>91007.92</v>
      </c>
      <c r="E18" s="5">
        <v>144148.25</v>
      </c>
      <c r="F18" s="5">
        <v>45427.72</v>
      </c>
      <c r="G18" s="5">
        <v>74828.73</v>
      </c>
      <c r="H18" s="5">
        <v>120256.45</v>
      </c>
      <c r="I18" s="5">
        <v>7712.6</v>
      </c>
      <c r="J18" s="5">
        <v>16179.19</v>
      </c>
      <c r="K18" s="5">
        <v>23891.8</v>
      </c>
    </row>
    <row r="19" spans="1:11" ht="29.1" customHeight="1" x14ac:dyDescent="0.2">
      <c r="A19" s="6" t="s">
        <v>23</v>
      </c>
      <c r="B19" s="3" t="s">
        <v>13</v>
      </c>
      <c r="C19" s="5">
        <v>3088.16</v>
      </c>
      <c r="D19" s="5">
        <v>25875.040000000001</v>
      </c>
      <c r="E19" s="5">
        <v>28963.200000000001</v>
      </c>
      <c r="F19" s="5">
        <v>2675.44</v>
      </c>
      <c r="G19" s="5">
        <v>20429.66</v>
      </c>
      <c r="H19" s="5">
        <v>23105.11</v>
      </c>
      <c r="I19" s="5">
        <v>412.72</v>
      </c>
      <c r="J19" s="5">
        <v>5445.37</v>
      </c>
      <c r="K19" s="5">
        <v>5858.09</v>
      </c>
    </row>
    <row r="20" spans="1:11" ht="14.1" customHeight="1" x14ac:dyDescent="0.2">
      <c r="A20" s="3" t="s">
        <v>24</v>
      </c>
      <c r="B20" s="3" t="s">
        <v>13</v>
      </c>
      <c r="C20" s="5">
        <v>1996438.39</v>
      </c>
      <c r="D20" s="5">
        <v>1692520.12</v>
      </c>
      <c r="E20" s="5">
        <v>3688958.51</v>
      </c>
      <c r="F20" s="5">
        <v>1692812.8</v>
      </c>
      <c r="G20" s="5">
        <v>1447451.38</v>
      </c>
      <c r="H20" s="5">
        <v>3140264.18</v>
      </c>
      <c r="I20" s="5">
        <v>303625.59000000003</v>
      </c>
      <c r="J20" s="5">
        <v>245068.74</v>
      </c>
      <c r="K20" s="5">
        <v>548694.32999999996</v>
      </c>
    </row>
    <row r="22" spans="1:11" ht="14.1" customHeight="1" x14ac:dyDescent="0.2">
      <c r="A22" s="64" t="s">
        <v>25</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K22"/>
  <sheetViews>
    <sheetView workbookViewId="0">
      <selection sqref="A1:K1"/>
    </sheetView>
  </sheetViews>
  <sheetFormatPr baseColWidth="10" defaultRowHeight="12" customHeight="1" x14ac:dyDescent="0.2"/>
  <cols>
    <col min="1" max="1" width="82.7109375" bestFit="1" customWidth="1"/>
    <col min="2" max="2" width="5.7109375" bestFit="1" customWidth="1"/>
    <col min="3" max="11" width="16.7109375" bestFit="1" customWidth="1"/>
  </cols>
  <sheetData>
    <row r="1" spans="1:11" ht="15.95" customHeight="1" x14ac:dyDescent="0.25">
      <c r="A1" s="62" t="s">
        <v>26</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5</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1" t="s">
        <v>7</v>
      </c>
      <c r="D6" s="1" t="s">
        <v>8</v>
      </c>
      <c r="E6" s="1" t="s">
        <v>3</v>
      </c>
      <c r="F6" s="1" t="s">
        <v>7</v>
      </c>
      <c r="G6" s="1" t="s">
        <v>8</v>
      </c>
      <c r="H6" s="1" t="s">
        <v>3</v>
      </c>
      <c r="I6" s="1" t="s">
        <v>7</v>
      </c>
      <c r="J6" s="1" t="s">
        <v>8</v>
      </c>
      <c r="K6" s="1" t="s">
        <v>3</v>
      </c>
    </row>
    <row r="7" spans="1:11" ht="42.95" customHeight="1" x14ac:dyDescent="0.2">
      <c r="A7" s="65"/>
      <c r="B7" s="65"/>
      <c r="C7" s="2" t="s">
        <v>9</v>
      </c>
      <c r="D7" s="2" t="s">
        <v>9</v>
      </c>
      <c r="E7" s="2" t="s">
        <v>9</v>
      </c>
      <c r="F7" s="2" t="s">
        <v>9</v>
      </c>
      <c r="G7" s="2" t="s">
        <v>9</v>
      </c>
      <c r="H7" s="2" t="s">
        <v>9</v>
      </c>
      <c r="I7" s="2" t="s">
        <v>9</v>
      </c>
      <c r="J7" s="2" t="s">
        <v>9</v>
      </c>
      <c r="K7" s="2"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68385.850000000006</v>
      </c>
      <c r="D9" s="5">
        <v>31350.02</v>
      </c>
      <c r="E9" s="5">
        <v>99735.86</v>
      </c>
      <c r="F9" s="5">
        <v>63637.4</v>
      </c>
      <c r="G9" s="5">
        <v>28995.52</v>
      </c>
      <c r="H9" s="5">
        <v>92632.91</v>
      </c>
      <c r="I9" s="5">
        <v>4748.45</v>
      </c>
      <c r="J9" s="5">
        <v>2354.5</v>
      </c>
      <c r="K9" s="5">
        <v>7102.95</v>
      </c>
    </row>
    <row r="10" spans="1:11" ht="29.1" customHeight="1" x14ac:dyDescent="0.2">
      <c r="A10" s="6" t="s">
        <v>14</v>
      </c>
      <c r="B10" s="3" t="s">
        <v>13</v>
      </c>
      <c r="C10" s="5">
        <v>525226.12</v>
      </c>
      <c r="D10" s="5">
        <v>163841.25</v>
      </c>
      <c r="E10" s="5">
        <v>689067.37</v>
      </c>
      <c r="F10" s="5">
        <v>421955.93</v>
      </c>
      <c r="G10" s="5">
        <v>135444.07999999999</v>
      </c>
      <c r="H10" s="5">
        <v>557400.01</v>
      </c>
      <c r="I10" s="5">
        <v>103270.19</v>
      </c>
      <c r="J10" s="5">
        <v>28397.17</v>
      </c>
      <c r="K10" s="5">
        <v>131667.35999999999</v>
      </c>
    </row>
    <row r="11" spans="1:11" ht="29.1" customHeight="1" x14ac:dyDescent="0.2">
      <c r="A11" s="6" t="s">
        <v>15</v>
      </c>
      <c r="B11" s="3" t="s">
        <v>13</v>
      </c>
      <c r="C11" s="5">
        <v>48707.5</v>
      </c>
      <c r="D11" s="5">
        <v>12622.33</v>
      </c>
      <c r="E11" s="5">
        <v>61329.84</v>
      </c>
      <c r="F11" s="5">
        <v>44048.4</v>
      </c>
      <c r="G11" s="5">
        <v>10573.78</v>
      </c>
      <c r="H11" s="5">
        <v>54622.18</v>
      </c>
      <c r="I11" s="5">
        <v>4659.1000000000004</v>
      </c>
      <c r="J11" s="5">
        <v>2048.5500000000002</v>
      </c>
      <c r="K11" s="5">
        <v>6707.66</v>
      </c>
    </row>
    <row r="12" spans="1:11" ht="14.1" customHeight="1" x14ac:dyDescent="0.2">
      <c r="A12" s="3" t="s">
        <v>16</v>
      </c>
      <c r="B12" s="3" t="s">
        <v>13</v>
      </c>
      <c r="C12" s="5">
        <v>209755.56</v>
      </c>
      <c r="D12" s="5">
        <v>34999.96</v>
      </c>
      <c r="E12" s="5">
        <v>244755.52</v>
      </c>
      <c r="F12" s="5">
        <v>172858.03</v>
      </c>
      <c r="G12" s="5">
        <v>31467.8</v>
      </c>
      <c r="H12" s="5">
        <v>204325.83</v>
      </c>
      <c r="I12" s="5">
        <v>36897.53</v>
      </c>
      <c r="J12" s="5">
        <v>3532.16</v>
      </c>
      <c r="K12" s="5">
        <v>40429.69</v>
      </c>
    </row>
    <row r="13" spans="1:11" ht="14.1" customHeight="1" x14ac:dyDescent="0.2">
      <c r="A13" s="3" t="s">
        <v>17</v>
      </c>
      <c r="B13" s="3" t="s">
        <v>13</v>
      </c>
      <c r="C13" s="5">
        <v>275569.03000000003</v>
      </c>
      <c r="D13" s="5">
        <v>286488.28999999998</v>
      </c>
      <c r="E13" s="5">
        <v>562057.31999999995</v>
      </c>
      <c r="F13" s="5">
        <v>232780.62</v>
      </c>
      <c r="G13" s="5">
        <v>245874.19</v>
      </c>
      <c r="H13" s="5">
        <v>478654.81</v>
      </c>
      <c r="I13" s="5">
        <v>42788.41</v>
      </c>
      <c r="J13" s="5">
        <v>40614.1</v>
      </c>
      <c r="K13" s="5">
        <v>83402.509999999995</v>
      </c>
    </row>
    <row r="14" spans="1:11" ht="14.1" customHeight="1" x14ac:dyDescent="0.2">
      <c r="A14" s="3" t="s">
        <v>18</v>
      </c>
      <c r="B14" s="3" t="s">
        <v>13</v>
      </c>
      <c r="C14" s="5">
        <v>193234.88</v>
      </c>
      <c r="D14" s="5">
        <v>64911.69</v>
      </c>
      <c r="E14" s="5">
        <v>258146.57</v>
      </c>
      <c r="F14" s="5">
        <v>162393.49</v>
      </c>
      <c r="G14" s="5">
        <v>56243.46</v>
      </c>
      <c r="H14" s="5">
        <v>218636.96</v>
      </c>
      <c r="I14" s="5">
        <v>30841.38</v>
      </c>
      <c r="J14" s="5">
        <v>8668.23</v>
      </c>
      <c r="K14" s="5">
        <v>39509.61</v>
      </c>
    </row>
    <row r="15" spans="1:11" ht="14.1" customHeight="1" x14ac:dyDescent="0.2">
      <c r="A15" s="3" t="s">
        <v>19</v>
      </c>
      <c r="B15" s="3" t="s">
        <v>13</v>
      </c>
      <c r="C15" s="5">
        <v>51298.6</v>
      </c>
      <c r="D15" s="5">
        <v>78721.240000000005</v>
      </c>
      <c r="E15" s="5">
        <v>130019.84</v>
      </c>
      <c r="F15" s="5">
        <v>29654.5</v>
      </c>
      <c r="G15" s="5">
        <v>55017.07</v>
      </c>
      <c r="H15" s="5">
        <v>84671.57</v>
      </c>
      <c r="I15" s="5">
        <v>21644.1</v>
      </c>
      <c r="J15" s="5">
        <v>23704.17</v>
      </c>
      <c r="K15" s="5">
        <v>45348.27</v>
      </c>
    </row>
    <row r="16" spans="1:11" ht="42.95" customHeight="1" x14ac:dyDescent="0.2">
      <c r="A16" s="6" t="s">
        <v>20</v>
      </c>
      <c r="B16" s="3" t="s">
        <v>13</v>
      </c>
      <c r="C16" s="5">
        <v>246734.52</v>
      </c>
      <c r="D16" s="5">
        <v>236431.73</v>
      </c>
      <c r="E16" s="5">
        <v>483166.24</v>
      </c>
      <c r="F16" s="5">
        <v>216302.7</v>
      </c>
      <c r="G16" s="5">
        <v>202025.49</v>
      </c>
      <c r="H16" s="5">
        <v>418328.19</v>
      </c>
      <c r="I16" s="5">
        <v>30431.82</v>
      </c>
      <c r="J16" s="5">
        <v>34406.230000000003</v>
      </c>
      <c r="K16" s="5">
        <v>64838.05</v>
      </c>
    </row>
    <row r="17" spans="1:11" ht="29.1" customHeight="1" x14ac:dyDescent="0.2">
      <c r="A17" s="6" t="s">
        <v>21</v>
      </c>
      <c r="B17" s="3" t="s">
        <v>13</v>
      </c>
      <c r="C17" s="5">
        <v>339742.28</v>
      </c>
      <c r="D17" s="5">
        <v>672619.6</v>
      </c>
      <c r="E17" s="5">
        <v>1012361.88</v>
      </c>
      <c r="F17" s="5">
        <v>311892.43</v>
      </c>
      <c r="G17" s="5">
        <v>592741.97</v>
      </c>
      <c r="H17" s="5">
        <v>904634.4</v>
      </c>
      <c r="I17" s="5">
        <v>27849.85</v>
      </c>
      <c r="J17" s="5">
        <v>79877.62</v>
      </c>
      <c r="K17" s="5">
        <v>107727.47</v>
      </c>
    </row>
    <row r="18" spans="1:11" ht="29.1" customHeight="1" x14ac:dyDescent="0.2">
      <c r="A18" s="6" t="s">
        <v>22</v>
      </c>
      <c r="B18" s="3" t="s">
        <v>13</v>
      </c>
      <c r="C18" s="5">
        <v>56705.35</v>
      </c>
      <c r="D18" s="5">
        <v>108991.96</v>
      </c>
      <c r="E18" s="5">
        <v>165697.31</v>
      </c>
      <c r="F18" s="5">
        <v>46680.05</v>
      </c>
      <c r="G18" s="5">
        <v>87949.26</v>
      </c>
      <c r="H18" s="5">
        <v>134629.31</v>
      </c>
      <c r="I18" s="5">
        <v>10025.290000000001</v>
      </c>
      <c r="J18" s="5">
        <v>21042.7</v>
      </c>
      <c r="K18" s="5">
        <v>31068</v>
      </c>
    </row>
    <row r="19" spans="1:11" ht="29.1" customHeight="1" x14ac:dyDescent="0.2">
      <c r="A19" s="6" t="s">
        <v>23</v>
      </c>
      <c r="B19" s="3" t="s">
        <v>13</v>
      </c>
      <c r="C19" s="5">
        <v>2700.29</v>
      </c>
      <c r="D19" s="5">
        <v>23625.74</v>
      </c>
      <c r="E19" s="5">
        <v>26326.03</v>
      </c>
      <c r="F19" s="5">
        <v>1569.08</v>
      </c>
      <c r="G19" s="5">
        <v>16928.41</v>
      </c>
      <c r="H19" s="5">
        <v>18497.5</v>
      </c>
      <c r="I19" s="5">
        <v>1131.2</v>
      </c>
      <c r="J19" s="5">
        <v>6697.33</v>
      </c>
      <c r="K19" s="5">
        <v>7828.54</v>
      </c>
    </row>
    <row r="20" spans="1:11" ht="14.1" customHeight="1" x14ac:dyDescent="0.2">
      <c r="A20" s="3" t="s">
        <v>24</v>
      </c>
      <c r="B20" s="3" t="s">
        <v>13</v>
      </c>
      <c r="C20" s="5">
        <v>2018059.97</v>
      </c>
      <c r="D20" s="5">
        <v>1714603.81</v>
      </c>
      <c r="E20" s="5">
        <v>3732663.78</v>
      </c>
      <c r="F20" s="5">
        <v>1703772.63</v>
      </c>
      <c r="G20" s="5">
        <v>1463261.04</v>
      </c>
      <c r="H20" s="5">
        <v>3167033.67</v>
      </c>
      <c r="I20" s="5">
        <v>314287.34000000003</v>
      </c>
      <c r="J20" s="5">
        <v>251342.77</v>
      </c>
      <c r="K20" s="5">
        <v>565630.11</v>
      </c>
    </row>
    <row r="22" spans="1:11" ht="14.1" customHeight="1" x14ac:dyDescent="0.2">
      <c r="A22" s="64" t="s">
        <v>27</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K22"/>
  <sheetViews>
    <sheetView workbookViewId="0">
      <selection sqref="A1:K1"/>
    </sheetView>
  </sheetViews>
  <sheetFormatPr baseColWidth="10" defaultRowHeight="12" customHeight="1" x14ac:dyDescent="0.2"/>
  <cols>
    <col min="1" max="1" width="82.7109375" style="9" bestFit="1" customWidth="1"/>
    <col min="2" max="2" width="5.7109375" style="9" bestFit="1" customWidth="1"/>
    <col min="3" max="11" width="16.7109375" style="9" bestFit="1" customWidth="1"/>
    <col min="12" max="16384" width="11.42578125" style="9"/>
  </cols>
  <sheetData>
    <row r="1" spans="1:11" ht="15.95" customHeight="1" x14ac:dyDescent="0.25">
      <c r="A1" s="62" t="s">
        <v>28</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5</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7" t="s">
        <v>7</v>
      </c>
      <c r="D6" s="7" t="s">
        <v>8</v>
      </c>
      <c r="E6" s="7" t="s">
        <v>3</v>
      </c>
      <c r="F6" s="7" t="s">
        <v>7</v>
      </c>
      <c r="G6" s="7" t="s">
        <v>8</v>
      </c>
      <c r="H6" s="7" t="s">
        <v>3</v>
      </c>
      <c r="I6" s="7" t="s">
        <v>7</v>
      </c>
      <c r="J6" s="7" t="s">
        <v>8</v>
      </c>
      <c r="K6" s="7" t="s">
        <v>3</v>
      </c>
    </row>
    <row r="7" spans="1:11" ht="42.95" customHeight="1" x14ac:dyDescent="0.2">
      <c r="A7" s="65"/>
      <c r="B7" s="65"/>
      <c r="C7" s="8" t="s">
        <v>9</v>
      </c>
      <c r="D7" s="8" t="s">
        <v>9</v>
      </c>
      <c r="E7" s="8" t="s">
        <v>9</v>
      </c>
      <c r="F7" s="8" t="s">
        <v>9</v>
      </c>
      <c r="G7" s="8" t="s">
        <v>9</v>
      </c>
      <c r="H7" s="8" t="s">
        <v>9</v>
      </c>
      <c r="I7" s="8" t="s">
        <v>9</v>
      </c>
      <c r="J7" s="8" t="s">
        <v>9</v>
      </c>
      <c r="K7" s="8"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60840.21</v>
      </c>
      <c r="D9" s="5">
        <v>28733.599999999999</v>
      </c>
      <c r="E9" s="5">
        <v>89573.81</v>
      </c>
      <c r="F9" s="5">
        <v>55200.42</v>
      </c>
      <c r="G9" s="5">
        <v>26251.11</v>
      </c>
      <c r="H9" s="5">
        <v>81451.520000000004</v>
      </c>
      <c r="I9" s="5">
        <v>5639.79</v>
      </c>
      <c r="J9" s="5">
        <v>2482.5</v>
      </c>
      <c r="K9" s="5">
        <v>8122.29</v>
      </c>
    </row>
    <row r="10" spans="1:11" ht="29.1" customHeight="1" x14ac:dyDescent="0.2">
      <c r="A10" s="6" t="s">
        <v>14</v>
      </c>
      <c r="B10" s="3" t="s">
        <v>13</v>
      </c>
      <c r="C10" s="5">
        <v>506688.74</v>
      </c>
      <c r="D10" s="5">
        <v>171895.95</v>
      </c>
      <c r="E10" s="5">
        <v>678584.69</v>
      </c>
      <c r="F10" s="5">
        <v>408807.17</v>
      </c>
      <c r="G10" s="5">
        <v>140436.46</v>
      </c>
      <c r="H10" s="5">
        <v>549243.63</v>
      </c>
      <c r="I10" s="5">
        <v>97881.57</v>
      </c>
      <c r="J10" s="5">
        <v>31459.49</v>
      </c>
      <c r="K10" s="5">
        <v>129341.06</v>
      </c>
    </row>
    <row r="11" spans="1:11" ht="29.1" customHeight="1" x14ac:dyDescent="0.2">
      <c r="A11" s="6" t="s">
        <v>15</v>
      </c>
      <c r="B11" s="3" t="s">
        <v>13</v>
      </c>
      <c r="C11" s="5">
        <v>43797.06</v>
      </c>
      <c r="D11" s="5">
        <v>12855.82</v>
      </c>
      <c r="E11" s="5">
        <v>56652.88</v>
      </c>
      <c r="F11" s="5">
        <v>38764.17</v>
      </c>
      <c r="G11" s="5">
        <v>10411.84</v>
      </c>
      <c r="H11" s="5">
        <v>49176.01</v>
      </c>
      <c r="I11" s="5">
        <v>5032.8999999999996</v>
      </c>
      <c r="J11" s="5">
        <v>2443.98</v>
      </c>
      <c r="K11" s="5">
        <v>7476.87</v>
      </c>
    </row>
    <row r="12" spans="1:11" ht="14.1" customHeight="1" x14ac:dyDescent="0.2">
      <c r="A12" s="3" t="s">
        <v>16</v>
      </c>
      <c r="B12" s="3" t="s">
        <v>13</v>
      </c>
      <c r="C12" s="5">
        <v>219213.6</v>
      </c>
      <c r="D12" s="5">
        <v>33993.11</v>
      </c>
      <c r="E12" s="5">
        <v>253206.71</v>
      </c>
      <c r="F12" s="5">
        <v>178860.1</v>
      </c>
      <c r="G12" s="5">
        <v>29925.72</v>
      </c>
      <c r="H12" s="5">
        <v>208785.82</v>
      </c>
      <c r="I12" s="5">
        <v>40353.5</v>
      </c>
      <c r="J12" s="5">
        <v>4067.39</v>
      </c>
      <c r="K12" s="5">
        <v>44420.89</v>
      </c>
    </row>
    <row r="13" spans="1:11" ht="14.1" customHeight="1" x14ac:dyDescent="0.2">
      <c r="A13" s="3" t="s">
        <v>17</v>
      </c>
      <c r="B13" s="3" t="s">
        <v>13</v>
      </c>
      <c r="C13" s="5">
        <v>316368.69</v>
      </c>
      <c r="D13" s="5">
        <v>306594.53999999998</v>
      </c>
      <c r="E13" s="5">
        <v>622963.22</v>
      </c>
      <c r="F13" s="5">
        <v>260031.2</v>
      </c>
      <c r="G13" s="5">
        <v>260845.37</v>
      </c>
      <c r="H13" s="5">
        <v>520876.57</v>
      </c>
      <c r="I13" s="5">
        <v>56337.49</v>
      </c>
      <c r="J13" s="5">
        <v>45749.17</v>
      </c>
      <c r="K13" s="5">
        <v>102086.66</v>
      </c>
    </row>
    <row r="14" spans="1:11" ht="14.1" customHeight="1" x14ac:dyDescent="0.2">
      <c r="A14" s="3" t="s">
        <v>18</v>
      </c>
      <c r="B14" s="3" t="s">
        <v>13</v>
      </c>
      <c r="C14" s="5">
        <v>189110.07</v>
      </c>
      <c r="D14" s="5">
        <v>70820.039999999994</v>
      </c>
      <c r="E14" s="5">
        <v>259930.11</v>
      </c>
      <c r="F14" s="5">
        <v>156647.23000000001</v>
      </c>
      <c r="G14" s="5">
        <v>60827.87</v>
      </c>
      <c r="H14" s="5">
        <v>217475.11</v>
      </c>
      <c r="I14" s="5">
        <v>32462.83</v>
      </c>
      <c r="J14" s="5">
        <v>9992.16</v>
      </c>
      <c r="K14" s="5">
        <v>42455</v>
      </c>
    </row>
    <row r="15" spans="1:11" ht="14.1" customHeight="1" x14ac:dyDescent="0.2">
      <c r="A15" s="3" t="s">
        <v>19</v>
      </c>
      <c r="B15" s="3" t="s">
        <v>13</v>
      </c>
      <c r="C15" s="5">
        <v>52804.9</v>
      </c>
      <c r="D15" s="5">
        <v>76624.41</v>
      </c>
      <c r="E15" s="5">
        <v>129429.31</v>
      </c>
      <c r="F15" s="5">
        <v>28124.48</v>
      </c>
      <c r="G15" s="5">
        <v>53465.75</v>
      </c>
      <c r="H15" s="5">
        <v>81590.23</v>
      </c>
      <c r="I15" s="5">
        <v>24680.42</v>
      </c>
      <c r="J15" s="5">
        <v>23158.66</v>
      </c>
      <c r="K15" s="5">
        <v>47839.08</v>
      </c>
    </row>
    <row r="16" spans="1:11" ht="42.95" customHeight="1" x14ac:dyDescent="0.2">
      <c r="A16" s="6" t="s">
        <v>20</v>
      </c>
      <c r="B16" s="3" t="s">
        <v>13</v>
      </c>
      <c r="C16" s="5">
        <v>241279.48</v>
      </c>
      <c r="D16" s="5">
        <v>243783.7</v>
      </c>
      <c r="E16" s="5">
        <v>485063.17</v>
      </c>
      <c r="F16" s="5">
        <v>211003.08</v>
      </c>
      <c r="G16" s="5">
        <v>202942.43</v>
      </c>
      <c r="H16" s="5">
        <v>413945.5</v>
      </c>
      <c r="I16" s="5">
        <v>30276.400000000001</v>
      </c>
      <c r="J16" s="5">
        <v>40841.269999999997</v>
      </c>
      <c r="K16" s="5">
        <v>71117.67</v>
      </c>
    </row>
    <row r="17" spans="1:11" ht="29.1" customHeight="1" x14ac:dyDescent="0.2">
      <c r="A17" s="6" t="s">
        <v>21</v>
      </c>
      <c r="B17" s="3" t="s">
        <v>13</v>
      </c>
      <c r="C17" s="5">
        <v>336496.76</v>
      </c>
      <c r="D17" s="5">
        <v>678760.5</v>
      </c>
      <c r="E17" s="5">
        <v>1015257.26</v>
      </c>
      <c r="F17" s="5">
        <v>308192.74</v>
      </c>
      <c r="G17" s="5">
        <v>595441.92000000004</v>
      </c>
      <c r="H17" s="5">
        <v>903634.65</v>
      </c>
      <c r="I17" s="5">
        <v>28304.02</v>
      </c>
      <c r="J17" s="5">
        <v>83318.58</v>
      </c>
      <c r="K17" s="5">
        <v>111622.61</v>
      </c>
    </row>
    <row r="18" spans="1:11" ht="29.1" customHeight="1" x14ac:dyDescent="0.2">
      <c r="A18" s="6" t="s">
        <v>22</v>
      </c>
      <c r="B18" s="3" t="s">
        <v>13</v>
      </c>
      <c r="C18" s="5">
        <v>57631.89</v>
      </c>
      <c r="D18" s="5">
        <v>106272.41</v>
      </c>
      <c r="E18" s="5">
        <v>163904.29999999999</v>
      </c>
      <c r="F18" s="5">
        <v>47102.82</v>
      </c>
      <c r="G18" s="5">
        <v>86472.95</v>
      </c>
      <c r="H18" s="5">
        <v>133575.76</v>
      </c>
      <c r="I18" s="5">
        <v>10529.07</v>
      </c>
      <c r="J18" s="5">
        <v>19799.46</v>
      </c>
      <c r="K18" s="5">
        <v>30328.54</v>
      </c>
    </row>
    <row r="19" spans="1:11" ht="29.1" customHeight="1" x14ac:dyDescent="0.2">
      <c r="A19" s="6" t="s">
        <v>23</v>
      </c>
      <c r="B19" s="3" t="s">
        <v>13</v>
      </c>
      <c r="C19" s="5">
        <v>1598.71</v>
      </c>
      <c r="D19" s="5">
        <v>23042.41</v>
      </c>
      <c r="E19" s="5">
        <v>24641.119999999999</v>
      </c>
      <c r="F19" s="5">
        <v>1164.77</v>
      </c>
      <c r="G19" s="5">
        <v>17307.71</v>
      </c>
      <c r="H19" s="5">
        <v>18472.48</v>
      </c>
      <c r="I19" s="5">
        <v>433.94</v>
      </c>
      <c r="J19" s="5">
        <v>5734.71</v>
      </c>
      <c r="K19" s="5">
        <v>6168.64</v>
      </c>
    </row>
    <row r="20" spans="1:11" ht="14.1" customHeight="1" x14ac:dyDescent="0.2">
      <c r="A20" s="3" t="s">
        <v>24</v>
      </c>
      <c r="B20" s="3" t="s">
        <v>13</v>
      </c>
      <c r="C20" s="5">
        <v>2025830.11</v>
      </c>
      <c r="D20" s="5">
        <v>1753376.48</v>
      </c>
      <c r="E20" s="5">
        <v>3779206.59</v>
      </c>
      <c r="F20" s="5">
        <v>1693898.17</v>
      </c>
      <c r="G20" s="5">
        <v>1484329.11</v>
      </c>
      <c r="H20" s="5">
        <v>3178227.28</v>
      </c>
      <c r="I20" s="5">
        <v>331931.94</v>
      </c>
      <c r="J20" s="5">
        <v>269047.37</v>
      </c>
      <c r="K20" s="5">
        <v>600979.31000000006</v>
      </c>
    </row>
    <row r="22" spans="1:11" ht="14.1" customHeight="1" x14ac:dyDescent="0.2">
      <c r="A22" s="64" t="s">
        <v>30</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K22"/>
  <sheetViews>
    <sheetView workbookViewId="0">
      <selection sqref="A1:K1"/>
    </sheetView>
  </sheetViews>
  <sheetFormatPr baseColWidth="10" defaultRowHeight="12" customHeight="1" x14ac:dyDescent="0.2"/>
  <cols>
    <col min="1" max="1" width="82.7109375" bestFit="1" customWidth="1"/>
    <col min="2" max="2" width="5.7109375" bestFit="1" customWidth="1"/>
    <col min="3" max="11" width="16.7109375" bestFit="1" customWidth="1"/>
  </cols>
  <sheetData>
    <row r="1" spans="1:11" ht="15.95" customHeight="1" x14ac:dyDescent="0.25">
      <c r="A1" s="62" t="s">
        <v>31</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5</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1" t="s">
        <v>7</v>
      </c>
      <c r="D6" s="1" t="s">
        <v>8</v>
      </c>
      <c r="E6" s="1" t="s">
        <v>3</v>
      </c>
      <c r="F6" s="1" t="s">
        <v>7</v>
      </c>
      <c r="G6" s="1" t="s">
        <v>8</v>
      </c>
      <c r="H6" s="1" t="s">
        <v>3</v>
      </c>
      <c r="I6" s="1" t="s">
        <v>7</v>
      </c>
      <c r="J6" s="1" t="s">
        <v>8</v>
      </c>
      <c r="K6" s="1" t="s">
        <v>3</v>
      </c>
    </row>
    <row r="7" spans="1:11" ht="42.95" customHeight="1" x14ac:dyDescent="0.2">
      <c r="A7" s="65"/>
      <c r="B7" s="65"/>
      <c r="C7" s="2" t="s">
        <v>9</v>
      </c>
      <c r="D7" s="2" t="s">
        <v>9</v>
      </c>
      <c r="E7" s="2" t="s">
        <v>9</v>
      </c>
      <c r="F7" s="2" t="s">
        <v>9</v>
      </c>
      <c r="G7" s="2" t="s">
        <v>9</v>
      </c>
      <c r="H7" s="2" t="s">
        <v>9</v>
      </c>
      <c r="I7" s="2" t="s">
        <v>9</v>
      </c>
      <c r="J7" s="2" t="s">
        <v>9</v>
      </c>
      <c r="K7" s="2"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64506.18</v>
      </c>
      <c r="D9" s="5">
        <v>30911.98</v>
      </c>
      <c r="E9" s="5">
        <v>95418.16</v>
      </c>
      <c r="F9" s="5">
        <v>58170.11</v>
      </c>
      <c r="G9" s="5">
        <v>27629.97</v>
      </c>
      <c r="H9" s="5">
        <v>85800.08</v>
      </c>
      <c r="I9" s="5">
        <v>6336.07</v>
      </c>
      <c r="J9" s="5">
        <v>3282.02</v>
      </c>
      <c r="K9" s="5">
        <v>9618.09</v>
      </c>
    </row>
    <row r="10" spans="1:11" ht="29.1" customHeight="1" x14ac:dyDescent="0.2">
      <c r="A10" s="6" t="s">
        <v>14</v>
      </c>
      <c r="B10" s="3" t="s">
        <v>13</v>
      </c>
      <c r="C10" s="5">
        <v>521045.13</v>
      </c>
      <c r="D10" s="5">
        <v>180211.86</v>
      </c>
      <c r="E10" s="5">
        <v>701256.99</v>
      </c>
      <c r="F10" s="5">
        <v>419264.39</v>
      </c>
      <c r="G10" s="5">
        <v>147613.9</v>
      </c>
      <c r="H10" s="5">
        <v>566878.28</v>
      </c>
      <c r="I10" s="5">
        <v>101780.74</v>
      </c>
      <c r="J10" s="5">
        <v>32597.96</v>
      </c>
      <c r="K10" s="5">
        <v>134378.70000000001</v>
      </c>
    </row>
    <row r="11" spans="1:11" ht="29.1" customHeight="1" x14ac:dyDescent="0.2">
      <c r="A11" s="6" t="s">
        <v>15</v>
      </c>
      <c r="B11" s="3" t="s">
        <v>13</v>
      </c>
      <c r="C11" s="5">
        <v>46418.38</v>
      </c>
      <c r="D11" s="5">
        <v>12237.58</v>
      </c>
      <c r="E11" s="5">
        <v>58655.96</v>
      </c>
      <c r="F11" s="5">
        <v>41103</v>
      </c>
      <c r="G11" s="5">
        <v>10691.76</v>
      </c>
      <c r="H11" s="5">
        <v>51794.76</v>
      </c>
      <c r="I11" s="5">
        <v>5315.38</v>
      </c>
      <c r="J11" s="5">
        <v>1545.82</v>
      </c>
      <c r="K11" s="5">
        <v>6861.2</v>
      </c>
    </row>
    <row r="12" spans="1:11" ht="14.1" customHeight="1" x14ac:dyDescent="0.2">
      <c r="A12" s="3" t="s">
        <v>16</v>
      </c>
      <c r="B12" s="3" t="s">
        <v>13</v>
      </c>
      <c r="C12" s="5">
        <v>219751.99</v>
      </c>
      <c r="D12" s="5">
        <v>37571.46</v>
      </c>
      <c r="E12" s="5">
        <v>257323.45</v>
      </c>
      <c r="F12" s="5">
        <v>176249.91</v>
      </c>
      <c r="G12" s="5">
        <v>33908.86</v>
      </c>
      <c r="H12" s="5">
        <v>210158.77</v>
      </c>
      <c r="I12" s="5">
        <v>43502.07</v>
      </c>
      <c r="J12" s="5">
        <v>3662.6</v>
      </c>
      <c r="K12" s="5">
        <v>47164.67</v>
      </c>
    </row>
    <row r="13" spans="1:11" ht="14.1" customHeight="1" x14ac:dyDescent="0.2">
      <c r="A13" s="3" t="s">
        <v>17</v>
      </c>
      <c r="B13" s="3" t="s">
        <v>13</v>
      </c>
      <c r="C13" s="5">
        <v>303831.08</v>
      </c>
      <c r="D13" s="5">
        <v>298198.82</v>
      </c>
      <c r="E13" s="5">
        <v>602029.9</v>
      </c>
      <c r="F13" s="5">
        <v>249638.48</v>
      </c>
      <c r="G13" s="5">
        <v>253982.06</v>
      </c>
      <c r="H13" s="5">
        <v>503620.53</v>
      </c>
      <c r="I13" s="5">
        <v>54192.61</v>
      </c>
      <c r="J13" s="5">
        <v>44216.76</v>
      </c>
      <c r="K13" s="5">
        <v>98409.37</v>
      </c>
    </row>
    <row r="14" spans="1:11" ht="14.1" customHeight="1" x14ac:dyDescent="0.2">
      <c r="A14" s="3" t="s">
        <v>18</v>
      </c>
      <c r="B14" s="3" t="s">
        <v>13</v>
      </c>
      <c r="C14" s="5">
        <v>189693.45</v>
      </c>
      <c r="D14" s="5">
        <v>71110.559999999998</v>
      </c>
      <c r="E14" s="5">
        <v>260804.01</v>
      </c>
      <c r="F14" s="5">
        <v>157421.48000000001</v>
      </c>
      <c r="G14" s="5">
        <v>61588.7</v>
      </c>
      <c r="H14" s="5">
        <v>219010.19</v>
      </c>
      <c r="I14" s="5">
        <v>32271.96</v>
      </c>
      <c r="J14" s="5">
        <v>9521.86</v>
      </c>
      <c r="K14" s="5">
        <v>41793.82</v>
      </c>
    </row>
    <row r="15" spans="1:11" ht="14.1" customHeight="1" x14ac:dyDescent="0.2">
      <c r="A15" s="3" t="s">
        <v>19</v>
      </c>
      <c r="B15" s="3" t="s">
        <v>13</v>
      </c>
      <c r="C15" s="5">
        <v>49482.080000000002</v>
      </c>
      <c r="D15" s="5">
        <v>68038.460000000006</v>
      </c>
      <c r="E15" s="5">
        <v>117520.54</v>
      </c>
      <c r="F15" s="5">
        <v>27327.11</v>
      </c>
      <c r="G15" s="5">
        <v>46617.25</v>
      </c>
      <c r="H15" s="5">
        <v>73944.36</v>
      </c>
      <c r="I15" s="5">
        <v>22154.98</v>
      </c>
      <c r="J15" s="5">
        <v>21421.21</v>
      </c>
      <c r="K15" s="5">
        <v>43576.18</v>
      </c>
    </row>
    <row r="16" spans="1:11" ht="42.95" customHeight="1" x14ac:dyDescent="0.2">
      <c r="A16" s="6" t="s">
        <v>20</v>
      </c>
      <c r="B16" s="3" t="s">
        <v>13</v>
      </c>
      <c r="C16" s="5">
        <v>237208.19</v>
      </c>
      <c r="D16" s="5">
        <v>241985.63</v>
      </c>
      <c r="E16" s="5">
        <v>479193.82</v>
      </c>
      <c r="F16" s="5">
        <v>207823.35999999999</v>
      </c>
      <c r="G16" s="5">
        <v>203859.76</v>
      </c>
      <c r="H16" s="5">
        <v>411683.12</v>
      </c>
      <c r="I16" s="5">
        <v>29384.83</v>
      </c>
      <c r="J16" s="5">
        <v>38125.86</v>
      </c>
      <c r="K16" s="5">
        <v>67510.69</v>
      </c>
    </row>
    <row r="17" spans="1:11" ht="29.1" customHeight="1" x14ac:dyDescent="0.2">
      <c r="A17" s="6" t="s">
        <v>21</v>
      </c>
      <c r="B17" s="3" t="s">
        <v>13</v>
      </c>
      <c r="C17" s="5">
        <v>345932.73</v>
      </c>
      <c r="D17" s="5">
        <v>691372.98</v>
      </c>
      <c r="E17" s="5">
        <v>1037305.71</v>
      </c>
      <c r="F17" s="5">
        <v>316744.94</v>
      </c>
      <c r="G17" s="5">
        <v>604746.39</v>
      </c>
      <c r="H17" s="5">
        <v>921491.34</v>
      </c>
      <c r="I17" s="5">
        <v>29187.79</v>
      </c>
      <c r="J17" s="5">
        <v>86626.58</v>
      </c>
      <c r="K17" s="5">
        <v>115814.37</v>
      </c>
    </row>
    <row r="18" spans="1:11" ht="29.1" customHeight="1" x14ac:dyDescent="0.2">
      <c r="A18" s="6" t="s">
        <v>22</v>
      </c>
      <c r="B18" s="3" t="s">
        <v>13</v>
      </c>
      <c r="C18" s="5">
        <v>57619.33</v>
      </c>
      <c r="D18" s="5">
        <v>101841.08</v>
      </c>
      <c r="E18" s="5">
        <v>159460.41</v>
      </c>
      <c r="F18" s="5">
        <v>47119.95</v>
      </c>
      <c r="G18" s="5">
        <v>83758.3</v>
      </c>
      <c r="H18" s="5">
        <v>130878.25</v>
      </c>
      <c r="I18" s="5">
        <v>10499.38</v>
      </c>
      <c r="J18" s="5">
        <v>18082.78</v>
      </c>
      <c r="K18" s="5">
        <v>28582.16</v>
      </c>
    </row>
    <row r="19" spans="1:11" ht="29.1" customHeight="1" x14ac:dyDescent="0.2">
      <c r="A19" s="6" t="s">
        <v>23</v>
      </c>
      <c r="B19" s="3" t="s">
        <v>13</v>
      </c>
      <c r="C19" s="5">
        <v>2394.83</v>
      </c>
      <c r="D19" s="5">
        <v>23113.29</v>
      </c>
      <c r="E19" s="5">
        <v>25508.12</v>
      </c>
      <c r="F19" s="5">
        <v>1538.32</v>
      </c>
      <c r="G19" s="5">
        <v>18262.05</v>
      </c>
      <c r="H19" s="5">
        <v>19800.37</v>
      </c>
      <c r="I19" s="5">
        <v>856.51</v>
      </c>
      <c r="J19" s="5">
        <v>4851.24</v>
      </c>
      <c r="K19" s="5">
        <v>5707.75</v>
      </c>
    </row>
    <row r="20" spans="1:11" ht="14.1" customHeight="1" x14ac:dyDescent="0.2">
      <c r="A20" s="3" t="s">
        <v>24</v>
      </c>
      <c r="B20" s="3" t="s">
        <v>13</v>
      </c>
      <c r="C20" s="5">
        <v>2037883.36</v>
      </c>
      <c r="D20" s="5">
        <v>1756593.69</v>
      </c>
      <c r="E20" s="5">
        <v>3794477.05</v>
      </c>
      <c r="F20" s="5">
        <v>1702401.06</v>
      </c>
      <c r="G20" s="5">
        <v>1492658.99</v>
      </c>
      <c r="H20" s="5">
        <v>3195060.05</v>
      </c>
      <c r="I20" s="5">
        <v>335482.3</v>
      </c>
      <c r="J20" s="5">
        <v>263934.7</v>
      </c>
      <c r="K20" s="5">
        <v>599417</v>
      </c>
    </row>
    <row r="22" spans="1:11" ht="14.1" customHeight="1" x14ac:dyDescent="0.2">
      <c r="A22" s="64" t="s">
        <v>32</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5"/>
  <dimension ref="A1:K22"/>
  <sheetViews>
    <sheetView workbookViewId="0">
      <selection sqref="A1:K1"/>
    </sheetView>
  </sheetViews>
  <sheetFormatPr baseColWidth="10" defaultRowHeight="12" customHeight="1" x14ac:dyDescent="0.2"/>
  <cols>
    <col min="1" max="1" width="82.7109375" bestFit="1" customWidth="1"/>
    <col min="2" max="2" width="5.7109375" bestFit="1" customWidth="1"/>
    <col min="3" max="11" width="16.7109375" bestFit="1" customWidth="1"/>
  </cols>
  <sheetData>
    <row r="1" spans="1:11" ht="15.95" customHeight="1" x14ac:dyDescent="0.25">
      <c r="A1" s="62" t="s">
        <v>33</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5</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1" t="s">
        <v>7</v>
      </c>
      <c r="D6" s="1" t="s">
        <v>8</v>
      </c>
      <c r="E6" s="1" t="s">
        <v>3</v>
      </c>
      <c r="F6" s="1" t="s">
        <v>7</v>
      </c>
      <c r="G6" s="1" t="s">
        <v>8</v>
      </c>
      <c r="H6" s="1" t="s">
        <v>3</v>
      </c>
      <c r="I6" s="1" t="s">
        <v>7</v>
      </c>
      <c r="J6" s="1" t="s">
        <v>8</v>
      </c>
      <c r="K6" s="1" t="s">
        <v>3</v>
      </c>
    </row>
    <row r="7" spans="1:11" ht="42.95" customHeight="1" x14ac:dyDescent="0.2">
      <c r="A7" s="65"/>
      <c r="B7" s="65"/>
      <c r="C7" s="2" t="s">
        <v>9</v>
      </c>
      <c r="D7" s="2" t="s">
        <v>9</v>
      </c>
      <c r="E7" s="2" t="s">
        <v>9</v>
      </c>
      <c r="F7" s="2" t="s">
        <v>9</v>
      </c>
      <c r="G7" s="2" t="s">
        <v>9</v>
      </c>
      <c r="H7" s="2" t="s">
        <v>9</v>
      </c>
      <c r="I7" s="2" t="s">
        <v>9</v>
      </c>
      <c r="J7" s="2" t="s">
        <v>9</v>
      </c>
      <c r="K7" s="2"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61962.55</v>
      </c>
      <c r="D9" s="5">
        <v>26658.6</v>
      </c>
      <c r="E9" s="5">
        <v>88621.15</v>
      </c>
      <c r="F9" s="5">
        <v>54505.34</v>
      </c>
      <c r="G9" s="5">
        <v>24114.14</v>
      </c>
      <c r="H9" s="5">
        <v>78619.48</v>
      </c>
      <c r="I9" s="5">
        <v>7457.21</v>
      </c>
      <c r="J9" s="5">
        <v>2544.46</v>
      </c>
      <c r="K9" s="5">
        <v>10001.67</v>
      </c>
    </row>
    <row r="10" spans="1:11" ht="29.1" customHeight="1" x14ac:dyDescent="0.2">
      <c r="A10" s="6" t="s">
        <v>14</v>
      </c>
      <c r="B10" s="3" t="s">
        <v>13</v>
      </c>
      <c r="C10" s="5">
        <v>542204.43000000005</v>
      </c>
      <c r="D10" s="5">
        <v>185165.09</v>
      </c>
      <c r="E10" s="5">
        <v>727369.52</v>
      </c>
      <c r="F10" s="5">
        <v>435589.27</v>
      </c>
      <c r="G10" s="5">
        <v>150296.32000000001</v>
      </c>
      <c r="H10" s="5">
        <v>585885.59</v>
      </c>
      <c r="I10" s="5">
        <v>106615.16</v>
      </c>
      <c r="J10" s="5">
        <v>34868.78</v>
      </c>
      <c r="K10" s="5">
        <v>141483.93</v>
      </c>
    </row>
    <row r="11" spans="1:11" ht="29.1" customHeight="1" x14ac:dyDescent="0.2">
      <c r="A11" s="6" t="s">
        <v>15</v>
      </c>
      <c r="B11" s="3" t="s">
        <v>13</v>
      </c>
      <c r="C11" s="5">
        <v>46780.07</v>
      </c>
      <c r="D11" s="5">
        <v>11722.07</v>
      </c>
      <c r="E11" s="5">
        <v>58502.14</v>
      </c>
      <c r="F11" s="5">
        <v>41740.639999999999</v>
      </c>
      <c r="G11" s="5">
        <v>9962.91</v>
      </c>
      <c r="H11" s="5">
        <v>51703.55</v>
      </c>
      <c r="I11" s="5">
        <v>5039.43</v>
      </c>
      <c r="J11" s="5">
        <v>1759.16</v>
      </c>
      <c r="K11" s="5">
        <v>6798.59</v>
      </c>
    </row>
    <row r="12" spans="1:11" ht="14.1" customHeight="1" x14ac:dyDescent="0.2">
      <c r="A12" s="3" t="s">
        <v>16</v>
      </c>
      <c r="B12" s="3" t="s">
        <v>13</v>
      </c>
      <c r="C12" s="5">
        <v>216421.94</v>
      </c>
      <c r="D12" s="5">
        <v>32574.95</v>
      </c>
      <c r="E12" s="5">
        <v>248996.89</v>
      </c>
      <c r="F12" s="5">
        <v>174245.59</v>
      </c>
      <c r="G12" s="5">
        <v>29353.16</v>
      </c>
      <c r="H12" s="5">
        <v>203598.75</v>
      </c>
      <c r="I12" s="5">
        <v>42176.35</v>
      </c>
      <c r="J12" s="5">
        <v>3221.79</v>
      </c>
      <c r="K12" s="5">
        <v>45398.13</v>
      </c>
    </row>
    <row r="13" spans="1:11" ht="14.1" customHeight="1" x14ac:dyDescent="0.2">
      <c r="A13" s="3" t="s">
        <v>17</v>
      </c>
      <c r="B13" s="3" t="s">
        <v>13</v>
      </c>
      <c r="C13" s="5">
        <v>301522.71999999997</v>
      </c>
      <c r="D13" s="5">
        <v>303227.95</v>
      </c>
      <c r="E13" s="5">
        <v>604750.67000000004</v>
      </c>
      <c r="F13" s="5">
        <v>244216.77</v>
      </c>
      <c r="G13" s="5">
        <v>259604.48000000001</v>
      </c>
      <c r="H13" s="5">
        <v>503821.25</v>
      </c>
      <c r="I13" s="5">
        <v>57305.95</v>
      </c>
      <c r="J13" s="5">
        <v>43623.47</v>
      </c>
      <c r="K13" s="5">
        <v>100929.42</v>
      </c>
    </row>
    <row r="14" spans="1:11" ht="14.1" customHeight="1" x14ac:dyDescent="0.2">
      <c r="A14" s="3" t="s">
        <v>18</v>
      </c>
      <c r="B14" s="3" t="s">
        <v>13</v>
      </c>
      <c r="C14" s="5">
        <v>193847.58</v>
      </c>
      <c r="D14" s="5">
        <v>66826.05</v>
      </c>
      <c r="E14" s="5">
        <v>260673.64</v>
      </c>
      <c r="F14" s="5">
        <v>158303.75</v>
      </c>
      <c r="G14" s="5">
        <v>57524.38</v>
      </c>
      <c r="H14" s="5">
        <v>215828.14</v>
      </c>
      <c r="I14" s="5">
        <v>35543.83</v>
      </c>
      <c r="J14" s="5">
        <v>9301.67</v>
      </c>
      <c r="K14" s="5">
        <v>44845.5</v>
      </c>
    </row>
    <row r="15" spans="1:11" ht="14.1" customHeight="1" x14ac:dyDescent="0.2">
      <c r="A15" s="3" t="s">
        <v>19</v>
      </c>
      <c r="B15" s="3" t="s">
        <v>13</v>
      </c>
      <c r="C15" s="5">
        <v>51362.63</v>
      </c>
      <c r="D15" s="5">
        <v>77107.72</v>
      </c>
      <c r="E15" s="5">
        <v>128470.35</v>
      </c>
      <c r="F15" s="5">
        <v>27077.49</v>
      </c>
      <c r="G15" s="5">
        <v>53368.94</v>
      </c>
      <c r="H15" s="5">
        <v>80446.44</v>
      </c>
      <c r="I15" s="5">
        <v>24285.13</v>
      </c>
      <c r="J15" s="5">
        <v>23738.78</v>
      </c>
      <c r="K15" s="5">
        <v>48023.91</v>
      </c>
    </row>
    <row r="16" spans="1:11" ht="42.95" customHeight="1" x14ac:dyDescent="0.2">
      <c r="A16" s="6" t="s">
        <v>20</v>
      </c>
      <c r="B16" s="3" t="s">
        <v>13</v>
      </c>
      <c r="C16" s="5">
        <v>242399.95</v>
      </c>
      <c r="D16" s="5">
        <v>248582.55</v>
      </c>
      <c r="E16" s="5">
        <v>490982.5</v>
      </c>
      <c r="F16" s="5">
        <v>213237.02</v>
      </c>
      <c r="G16" s="5">
        <v>209616.49</v>
      </c>
      <c r="H16" s="5">
        <v>422853.51</v>
      </c>
      <c r="I16" s="5">
        <v>29162.93</v>
      </c>
      <c r="J16" s="5">
        <v>38966.06</v>
      </c>
      <c r="K16" s="5">
        <v>68128.98</v>
      </c>
    </row>
    <row r="17" spans="1:11" ht="29.1" customHeight="1" x14ac:dyDescent="0.2">
      <c r="A17" s="6" t="s">
        <v>21</v>
      </c>
      <c r="B17" s="3" t="s">
        <v>13</v>
      </c>
      <c r="C17" s="5">
        <v>340506.87</v>
      </c>
      <c r="D17" s="5">
        <v>716046.54</v>
      </c>
      <c r="E17" s="5">
        <v>1056553.4099999999</v>
      </c>
      <c r="F17" s="5">
        <v>311201.36</v>
      </c>
      <c r="G17" s="5">
        <v>627116.98</v>
      </c>
      <c r="H17" s="5">
        <v>938318.34</v>
      </c>
      <c r="I17" s="5">
        <v>29305.51</v>
      </c>
      <c r="J17" s="5">
        <v>88929.56</v>
      </c>
      <c r="K17" s="5">
        <v>118235.08</v>
      </c>
    </row>
    <row r="18" spans="1:11" ht="29.1" customHeight="1" x14ac:dyDescent="0.2">
      <c r="A18" s="6" t="s">
        <v>22</v>
      </c>
      <c r="B18" s="3" t="s">
        <v>13</v>
      </c>
      <c r="C18" s="5">
        <v>57401.14</v>
      </c>
      <c r="D18" s="5">
        <v>98927.9</v>
      </c>
      <c r="E18" s="5">
        <v>156329.04</v>
      </c>
      <c r="F18" s="5">
        <v>46536.68</v>
      </c>
      <c r="G18" s="5">
        <v>81108.38</v>
      </c>
      <c r="H18" s="5">
        <v>127645.06</v>
      </c>
      <c r="I18" s="5">
        <v>10864.46</v>
      </c>
      <c r="J18" s="5">
        <v>17819.52</v>
      </c>
      <c r="K18" s="5">
        <v>28683.98</v>
      </c>
    </row>
    <row r="19" spans="1:11" ht="29.1" customHeight="1" x14ac:dyDescent="0.2">
      <c r="A19" s="6" t="s">
        <v>23</v>
      </c>
      <c r="B19" s="3" t="s">
        <v>13</v>
      </c>
      <c r="C19" s="5">
        <v>1962.47</v>
      </c>
      <c r="D19" s="5">
        <v>19403.650000000001</v>
      </c>
      <c r="E19" s="5">
        <v>21366.12</v>
      </c>
      <c r="F19" s="5">
        <v>1177.1199999999999</v>
      </c>
      <c r="G19" s="5">
        <v>15408.57</v>
      </c>
      <c r="H19" s="5">
        <v>16585.689999999999</v>
      </c>
      <c r="I19" s="5">
        <v>785.35</v>
      </c>
      <c r="J19" s="5">
        <v>3995.08</v>
      </c>
      <c r="K19" s="5">
        <v>4780.43</v>
      </c>
    </row>
    <row r="20" spans="1:11" ht="14.1" customHeight="1" x14ac:dyDescent="0.2">
      <c r="A20" s="3" t="s">
        <v>24</v>
      </c>
      <c r="B20" s="3" t="s">
        <v>13</v>
      </c>
      <c r="C20" s="5">
        <v>2056372.35</v>
      </c>
      <c r="D20" s="5">
        <v>1786243.07</v>
      </c>
      <c r="E20" s="5">
        <v>3842615.42</v>
      </c>
      <c r="F20" s="5">
        <v>1707831.05</v>
      </c>
      <c r="G20" s="5">
        <v>1517474.74</v>
      </c>
      <c r="H20" s="5">
        <v>3225305.79</v>
      </c>
      <c r="I20" s="5">
        <v>348541.3</v>
      </c>
      <c r="J20" s="5">
        <v>268768.33</v>
      </c>
      <c r="K20" s="5">
        <v>617309.63</v>
      </c>
    </row>
    <row r="22" spans="1:11" ht="14.1" customHeight="1" x14ac:dyDescent="0.2">
      <c r="A22" s="64" t="s">
        <v>34</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dimension ref="A1:K22"/>
  <sheetViews>
    <sheetView workbookViewId="0">
      <selection sqref="A1:K1"/>
    </sheetView>
  </sheetViews>
  <sheetFormatPr baseColWidth="10" defaultRowHeight="12" customHeight="1" x14ac:dyDescent="0.2"/>
  <cols>
    <col min="1" max="1" width="82.7109375" bestFit="1" customWidth="1"/>
    <col min="2" max="2" width="5.7109375" bestFit="1" customWidth="1"/>
    <col min="3" max="11" width="16.7109375" bestFit="1" customWidth="1"/>
  </cols>
  <sheetData>
    <row r="1" spans="1:11" ht="15.95" customHeight="1" x14ac:dyDescent="0.25">
      <c r="A1" s="62" t="s">
        <v>35</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5</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1" t="s">
        <v>7</v>
      </c>
      <c r="D6" s="1" t="s">
        <v>8</v>
      </c>
      <c r="E6" s="1" t="s">
        <v>3</v>
      </c>
      <c r="F6" s="1" t="s">
        <v>7</v>
      </c>
      <c r="G6" s="1" t="s">
        <v>8</v>
      </c>
      <c r="H6" s="1" t="s">
        <v>3</v>
      </c>
      <c r="I6" s="1" t="s">
        <v>7</v>
      </c>
      <c r="J6" s="1" t="s">
        <v>8</v>
      </c>
      <c r="K6" s="1" t="s">
        <v>3</v>
      </c>
    </row>
    <row r="7" spans="1:11" ht="42.95" customHeight="1" x14ac:dyDescent="0.2">
      <c r="A7" s="65"/>
      <c r="B7" s="65"/>
      <c r="C7" s="2" t="s">
        <v>9</v>
      </c>
      <c r="D7" s="2" t="s">
        <v>9</v>
      </c>
      <c r="E7" s="2" t="s">
        <v>9</v>
      </c>
      <c r="F7" s="2" t="s">
        <v>9</v>
      </c>
      <c r="G7" s="2" t="s">
        <v>9</v>
      </c>
      <c r="H7" s="2" t="s">
        <v>9</v>
      </c>
      <c r="I7" s="2" t="s">
        <v>9</v>
      </c>
      <c r="J7" s="2" t="s">
        <v>9</v>
      </c>
      <c r="K7" s="2"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57443.199999999997</v>
      </c>
      <c r="D9" s="5">
        <v>21440.23</v>
      </c>
      <c r="E9" s="5">
        <v>78883.429999999993</v>
      </c>
      <c r="F9" s="5">
        <v>49044.93</v>
      </c>
      <c r="G9" s="5">
        <v>18412.099999999999</v>
      </c>
      <c r="H9" s="5">
        <v>67457.03</v>
      </c>
      <c r="I9" s="5">
        <v>8398.2800000000007</v>
      </c>
      <c r="J9" s="5">
        <v>3028.13</v>
      </c>
      <c r="K9" s="5">
        <v>11426.41</v>
      </c>
    </row>
    <row r="10" spans="1:11" ht="29.1" customHeight="1" x14ac:dyDescent="0.2">
      <c r="A10" s="6" t="s">
        <v>14</v>
      </c>
      <c r="B10" s="3" t="s">
        <v>13</v>
      </c>
      <c r="C10" s="5">
        <v>556839.69999999995</v>
      </c>
      <c r="D10" s="5">
        <v>184376.92</v>
      </c>
      <c r="E10" s="5">
        <v>741216.62</v>
      </c>
      <c r="F10" s="5">
        <v>432949.06</v>
      </c>
      <c r="G10" s="5">
        <v>146214</v>
      </c>
      <c r="H10" s="5">
        <v>579163.06000000006</v>
      </c>
      <c r="I10" s="5">
        <v>123890.64</v>
      </c>
      <c r="J10" s="5">
        <v>38162.910000000003</v>
      </c>
      <c r="K10" s="5">
        <v>162053.56</v>
      </c>
    </row>
    <row r="11" spans="1:11" ht="29.1" customHeight="1" x14ac:dyDescent="0.2">
      <c r="A11" s="6" t="s">
        <v>15</v>
      </c>
      <c r="B11" s="3" t="s">
        <v>13</v>
      </c>
      <c r="C11" s="5">
        <v>43221.55</v>
      </c>
      <c r="D11" s="5">
        <v>10415.65</v>
      </c>
      <c r="E11" s="5">
        <v>53637.21</v>
      </c>
      <c r="F11" s="5">
        <v>38047.269999999997</v>
      </c>
      <c r="G11" s="5">
        <v>9172.18</v>
      </c>
      <c r="H11" s="5">
        <v>47219.45</v>
      </c>
      <c r="I11" s="5">
        <v>5174.29</v>
      </c>
      <c r="J11" s="5">
        <v>1243.47</v>
      </c>
      <c r="K11" s="5">
        <v>6417.76</v>
      </c>
    </row>
    <row r="12" spans="1:11" ht="14.1" customHeight="1" x14ac:dyDescent="0.2">
      <c r="A12" s="3" t="s">
        <v>16</v>
      </c>
      <c r="B12" s="3" t="s">
        <v>13</v>
      </c>
      <c r="C12" s="5">
        <v>221336.25</v>
      </c>
      <c r="D12" s="5">
        <v>40428.57</v>
      </c>
      <c r="E12" s="5">
        <v>261764.82</v>
      </c>
      <c r="F12" s="5">
        <v>174316.07</v>
      </c>
      <c r="G12" s="5">
        <v>34835.57</v>
      </c>
      <c r="H12" s="5">
        <v>209151.64</v>
      </c>
      <c r="I12" s="5">
        <v>47020.18</v>
      </c>
      <c r="J12" s="5">
        <v>5593</v>
      </c>
      <c r="K12" s="5">
        <v>52613.18</v>
      </c>
    </row>
    <row r="13" spans="1:11" ht="14.1" customHeight="1" x14ac:dyDescent="0.2">
      <c r="A13" s="3" t="s">
        <v>17</v>
      </c>
      <c r="B13" s="3" t="s">
        <v>13</v>
      </c>
      <c r="C13" s="5">
        <v>307823.43</v>
      </c>
      <c r="D13" s="5">
        <v>305336.90000000002</v>
      </c>
      <c r="E13" s="5">
        <v>613160.32999999996</v>
      </c>
      <c r="F13" s="5">
        <v>248813.12</v>
      </c>
      <c r="G13" s="5">
        <v>257567.55</v>
      </c>
      <c r="H13" s="5">
        <v>506380.67</v>
      </c>
      <c r="I13" s="5">
        <v>59010.31</v>
      </c>
      <c r="J13" s="5">
        <v>47769.35</v>
      </c>
      <c r="K13" s="5">
        <v>106779.66</v>
      </c>
    </row>
    <row r="14" spans="1:11" ht="14.1" customHeight="1" x14ac:dyDescent="0.2">
      <c r="A14" s="3" t="s">
        <v>18</v>
      </c>
      <c r="B14" s="3" t="s">
        <v>13</v>
      </c>
      <c r="C14" s="5">
        <v>204195.24</v>
      </c>
      <c r="D14" s="5">
        <v>70134.52</v>
      </c>
      <c r="E14" s="5">
        <v>274329.75</v>
      </c>
      <c r="F14" s="5">
        <v>164337.75</v>
      </c>
      <c r="G14" s="5">
        <v>59493.09</v>
      </c>
      <c r="H14" s="5">
        <v>223830.85</v>
      </c>
      <c r="I14" s="5">
        <v>39857.480000000003</v>
      </c>
      <c r="J14" s="5">
        <v>10641.42</v>
      </c>
      <c r="K14" s="5">
        <v>50498.9</v>
      </c>
    </row>
    <row r="15" spans="1:11" ht="14.1" customHeight="1" x14ac:dyDescent="0.2">
      <c r="A15" s="3" t="s">
        <v>19</v>
      </c>
      <c r="B15" s="3" t="s">
        <v>13</v>
      </c>
      <c r="C15" s="5">
        <v>51262.91</v>
      </c>
      <c r="D15" s="5">
        <v>74559.83</v>
      </c>
      <c r="E15" s="5">
        <v>125822.74</v>
      </c>
      <c r="F15" s="5">
        <v>25287.9</v>
      </c>
      <c r="G15" s="5">
        <v>51993.95</v>
      </c>
      <c r="H15" s="5">
        <v>77281.850000000006</v>
      </c>
      <c r="I15" s="5">
        <v>25975.01</v>
      </c>
      <c r="J15" s="5">
        <v>22565.88</v>
      </c>
      <c r="K15" s="5">
        <v>48540.9</v>
      </c>
    </row>
    <row r="16" spans="1:11" ht="42.95" customHeight="1" x14ac:dyDescent="0.2">
      <c r="A16" s="6" t="s">
        <v>20</v>
      </c>
      <c r="B16" s="3" t="s">
        <v>13</v>
      </c>
      <c r="C16" s="5">
        <v>251177.96</v>
      </c>
      <c r="D16" s="5">
        <v>253149.09</v>
      </c>
      <c r="E16" s="5">
        <v>504327.05</v>
      </c>
      <c r="F16" s="5">
        <v>216463.51</v>
      </c>
      <c r="G16" s="5">
        <v>211891.65</v>
      </c>
      <c r="H16" s="5">
        <v>428355.15</v>
      </c>
      <c r="I16" s="5">
        <v>34714.449999999997</v>
      </c>
      <c r="J16" s="5">
        <v>41257.449999999997</v>
      </c>
      <c r="K16" s="5">
        <v>75971.899999999994</v>
      </c>
    </row>
    <row r="17" spans="1:11" ht="29.1" customHeight="1" x14ac:dyDescent="0.2">
      <c r="A17" s="6" t="s">
        <v>21</v>
      </c>
      <c r="B17" s="3" t="s">
        <v>13</v>
      </c>
      <c r="C17" s="5">
        <v>348118.08</v>
      </c>
      <c r="D17" s="5">
        <v>709742.2</v>
      </c>
      <c r="E17" s="5">
        <v>1057860.28</v>
      </c>
      <c r="F17" s="5">
        <v>312492.15000000002</v>
      </c>
      <c r="G17" s="5">
        <v>617606.78</v>
      </c>
      <c r="H17" s="5">
        <v>930098.92</v>
      </c>
      <c r="I17" s="5">
        <v>35625.93</v>
      </c>
      <c r="J17" s="5">
        <v>92135.42</v>
      </c>
      <c r="K17" s="5">
        <v>127761.36</v>
      </c>
    </row>
    <row r="18" spans="1:11" ht="29.1" customHeight="1" x14ac:dyDescent="0.2">
      <c r="A18" s="6" t="s">
        <v>22</v>
      </c>
      <c r="B18" s="3" t="s">
        <v>13</v>
      </c>
      <c r="C18" s="5">
        <v>61157.36</v>
      </c>
      <c r="D18" s="5">
        <v>103873.22</v>
      </c>
      <c r="E18" s="5">
        <v>165030.59</v>
      </c>
      <c r="F18" s="5">
        <v>51405.7</v>
      </c>
      <c r="G18" s="5">
        <v>85947.28</v>
      </c>
      <c r="H18" s="5">
        <v>137352.98000000001</v>
      </c>
      <c r="I18" s="5">
        <v>9751.66</v>
      </c>
      <c r="J18" s="5">
        <v>17925.939999999999</v>
      </c>
      <c r="K18" s="5">
        <v>27677.61</v>
      </c>
    </row>
    <row r="19" spans="1:11" ht="29.1" customHeight="1" x14ac:dyDescent="0.2">
      <c r="A19" s="6" t="s">
        <v>23</v>
      </c>
      <c r="B19" s="3" t="s">
        <v>13</v>
      </c>
      <c r="C19" s="5">
        <v>853.05</v>
      </c>
      <c r="D19" s="5">
        <v>23097.68</v>
      </c>
      <c r="E19" s="5">
        <v>23950.73</v>
      </c>
      <c r="F19" s="5">
        <v>611.08000000000004</v>
      </c>
      <c r="G19" s="5">
        <v>15917.31</v>
      </c>
      <c r="H19" s="5">
        <v>16528.39</v>
      </c>
      <c r="I19" s="5">
        <v>241.97</v>
      </c>
      <c r="J19" s="5">
        <v>7180.36</v>
      </c>
      <c r="K19" s="5">
        <v>7422.34</v>
      </c>
    </row>
    <row r="20" spans="1:11" ht="14.1" customHeight="1" x14ac:dyDescent="0.2">
      <c r="A20" s="3" t="s">
        <v>24</v>
      </c>
      <c r="B20" s="3" t="s">
        <v>13</v>
      </c>
      <c r="C20" s="5">
        <v>2103428.7400000002</v>
      </c>
      <c r="D20" s="5">
        <v>1796554.81</v>
      </c>
      <c r="E20" s="5">
        <v>3899983.55</v>
      </c>
      <c r="F20" s="5">
        <v>1713768.53</v>
      </c>
      <c r="G20" s="5">
        <v>1509051.45</v>
      </c>
      <c r="H20" s="5">
        <v>3222819.98</v>
      </c>
      <c r="I20" s="5">
        <v>389660.21</v>
      </c>
      <c r="J20" s="5">
        <v>287503.34999999998</v>
      </c>
      <c r="K20" s="5">
        <v>677163.57</v>
      </c>
    </row>
    <row r="22" spans="1:11" ht="14.1" customHeight="1" x14ac:dyDescent="0.2">
      <c r="A22" s="64" t="s">
        <v>36</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dimension ref="A1:K22"/>
  <sheetViews>
    <sheetView workbookViewId="0">
      <selection sqref="A1:K1"/>
    </sheetView>
  </sheetViews>
  <sheetFormatPr baseColWidth="10" defaultRowHeight="12" customHeight="1" x14ac:dyDescent="0.2"/>
  <cols>
    <col min="1" max="1" width="82.7109375" bestFit="1" customWidth="1"/>
    <col min="2" max="2" width="5.7109375" bestFit="1" customWidth="1"/>
    <col min="3" max="11" width="16.7109375" bestFit="1" customWidth="1"/>
  </cols>
  <sheetData>
    <row r="1" spans="1:11" ht="15.95" customHeight="1" x14ac:dyDescent="0.25">
      <c r="A1" s="62" t="s">
        <v>37</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29</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1" t="s">
        <v>7</v>
      </c>
      <c r="D6" s="1" t="s">
        <v>8</v>
      </c>
      <c r="E6" s="1" t="s">
        <v>3</v>
      </c>
      <c r="F6" s="1" t="s">
        <v>7</v>
      </c>
      <c r="G6" s="1" t="s">
        <v>8</v>
      </c>
      <c r="H6" s="1" t="s">
        <v>3</v>
      </c>
      <c r="I6" s="1" t="s">
        <v>7</v>
      </c>
      <c r="J6" s="1" t="s">
        <v>8</v>
      </c>
      <c r="K6" s="1" t="s">
        <v>3</v>
      </c>
    </row>
    <row r="7" spans="1:11" ht="42.95" customHeight="1" x14ac:dyDescent="0.2">
      <c r="A7" s="65"/>
      <c r="B7" s="65"/>
      <c r="C7" s="2" t="s">
        <v>9</v>
      </c>
      <c r="D7" s="2" t="s">
        <v>9</v>
      </c>
      <c r="E7" s="2" t="s">
        <v>9</v>
      </c>
      <c r="F7" s="2" t="s">
        <v>9</v>
      </c>
      <c r="G7" s="2" t="s">
        <v>9</v>
      </c>
      <c r="H7" s="2" t="s">
        <v>9</v>
      </c>
      <c r="I7" s="2" t="s">
        <v>9</v>
      </c>
      <c r="J7" s="2" t="s">
        <v>9</v>
      </c>
      <c r="K7" s="2"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58007.4</v>
      </c>
      <c r="D9" s="5">
        <v>23470.09</v>
      </c>
      <c r="E9" s="5">
        <v>81477.490000000005</v>
      </c>
      <c r="F9" s="5">
        <v>49643.040000000001</v>
      </c>
      <c r="G9" s="5">
        <v>20410.02</v>
      </c>
      <c r="H9" s="5">
        <v>70053.05</v>
      </c>
      <c r="I9" s="5">
        <v>8364.36</v>
      </c>
      <c r="J9" s="5">
        <v>3060.07</v>
      </c>
      <c r="K9" s="5">
        <v>11424.43</v>
      </c>
    </row>
    <row r="10" spans="1:11" ht="29.1" customHeight="1" x14ac:dyDescent="0.2">
      <c r="A10" s="6" t="s">
        <v>14</v>
      </c>
      <c r="B10" s="3" t="s">
        <v>13</v>
      </c>
      <c r="C10" s="5">
        <v>561524.47999999998</v>
      </c>
      <c r="D10" s="5">
        <v>182713.48</v>
      </c>
      <c r="E10" s="5">
        <v>744237.96</v>
      </c>
      <c r="F10" s="5">
        <v>418087.87</v>
      </c>
      <c r="G10" s="5">
        <v>141105.01999999999</v>
      </c>
      <c r="H10" s="5">
        <v>559192.9</v>
      </c>
      <c r="I10" s="5">
        <v>143436.60999999999</v>
      </c>
      <c r="J10" s="5">
        <v>41608.449999999997</v>
      </c>
      <c r="K10" s="5">
        <v>185045.06</v>
      </c>
    </row>
    <row r="11" spans="1:11" ht="29.1" customHeight="1" x14ac:dyDescent="0.2">
      <c r="A11" s="6" t="s">
        <v>15</v>
      </c>
      <c r="B11" s="3" t="s">
        <v>13</v>
      </c>
      <c r="C11" s="5">
        <v>45785.89</v>
      </c>
      <c r="D11" s="5">
        <v>11226.41</v>
      </c>
      <c r="E11" s="5">
        <v>57012.3</v>
      </c>
      <c r="F11" s="5">
        <v>39307.56</v>
      </c>
      <c r="G11" s="5">
        <v>9442.7999999999993</v>
      </c>
      <c r="H11" s="5">
        <v>48750.36</v>
      </c>
      <c r="I11" s="5">
        <v>6478.33</v>
      </c>
      <c r="J11" s="5">
        <v>1783.6</v>
      </c>
      <c r="K11" s="5">
        <v>8261.93</v>
      </c>
    </row>
    <row r="12" spans="1:11" ht="14.1" customHeight="1" x14ac:dyDescent="0.2">
      <c r="A12" s="3" t="s">
        <v>16</v>
      </c>
      <c r="B12" s="3" t="s">
        <v>13</v>
      </c>
      <c r="C12" s="5">
        <v>234713.11</v>
      </c>
      <c r="D12" s="5">
        <v>42501.25</v>
      </c>
      <c r="E12" s="5">
        <v>277214.37</v>
      </c>
      <c r="F12" s="5">
        <v>177610.79</v>
      </c>
      <c r="G12" s="5">
        <v>36030.910000000003</v>
      </c>
      <c r="H12" s="5">
        <v>213641.69</v>
      </c>
      <c r="I12" s="5">
        <v>57102.33</v>
      </c>
      <c r="J12" s="5">
        <v>6470.35</v>
      </c>
      <c r="K12" s="5">
        <v>63572.68</v>
      </c>
    </row>
    <row r="13" spans="1:11" ht="14.1" customHeight="1" x14ac:dyDescent="0.2">
      <c r="A13" s="3" t="s">
        <v>17</v>
      </c>
      <c r="B13" s="3" t="s">
        <v>13</v>
      </c>
      <c r="C13" s="5">
        <v>312154.25</v>
      </c>
      <c r="D13" s="5">
        <v>305953.28999999998</v>
      </c>
      <c r="E13" s="5">
        <v>618107.54</v>
      </c>
      <c r="F13" s="5">
        <v>246402.75</v>
      </c>
      <c r="G13" s="5">
        <v>245823.39</v>
      </c>
      <c r="H13" s="5">
        <v>492226.14</v>
      </c>
      <c r="I13" s="5">
        <v>65751.5</v>
      </c>
      <c r="J13" s="5">
        <v>60129.89</v>
      </c>
      <c r="K13" s="5">
        <v>125881.4</v>
      </c>
    </row>
    <row r="14" spans="1:11" ht="14.1" customHeight="1" x14ac:dyDescent="0.2">
      <c r="A14" s="3" t="s">
        <v>18</v>
      </c>
      <c r="B14" s="3" t="s">
        <v>13</v>
      </c>
      <c r="C14" s="5">
        <v>203254.35</v>
      </c>
      <c r="D14" s="5">
        <v>77161.279999999999</v>
      </c>
      <c r="E14" s="5">
        <v>280415.62</v>
      </c>
      <c r="F14" s="5">
        <v>154926.9</v>
      </c>
      <c r="G14" s="5">
        <v>64551.95</v>
      </c>
      <c r="H14" s="5">
        <v>219478.84</v>
      </c>
      <c r="I14" s="5">
        <v>48327.45</v>
      </c>
      <c r="J14" s="5">
        <v>12609.33</v>
      </c>
      <c r="K14" s="5">
        <v>60936.78</v>
      </c>
    </row>
    <row r="15" spans="1:11" ht="14.1" customHeight="1" x14ac:dyDescent="0.2">
      <c r="A15" s="3" t="s">
        <v>19</v>
      </c>
      <c r="B15" s="3" t="s">
        <v>13</v>
      </c>
      <c r="C15" s="5">
        <v>51421</v>
      </c>
      <c r="D15" s="5">
        <v>74898.95</v>
      </c>
      <c r="E15" s="5">
        <v>126319.95</v>
      </c>
      <c r="F15" s="5">
        <v>24724.78</v>
      </c>
      <c r="G15" s="5">
        <v>49956.85</v>
      </c>
      <c r="H15" s="5">
        <v>74681.62</v>
      </c>
      <c r="I15" s="5">
        <v>26696.22</v>
      </c>
      <c r="J15" s="5">
        <v>24942.1</v>
      </c>
      <c r="K15" s="5">
        <v>51638.32</v>
      </c>
    </row>
    <row r="16" spans="1:11" ht="42.95" customHeight="1" x14ac:dyDescent="0.2">
      <c r="A16" s="6" t="s">
        <v>20</v>
      </c>
      <c r="B16" s="3" t="s">
        <v>13</v>
      </c>
      <c r="C16" s="5">
        <v>249192.27</v>
      </c>
      <c r="D16" s="5">
        <v>249046.01</v>
      </c>
      <c r="E16" s="5">
        <v>498238.28</v>
      </c>
      <c r="F16" s="5">
        <v>210029.15</v>
      </c>
      <c r="G16" s="5">
        <v>204462.98</v>
      </c>
      <c r="H16" s="5">
        <v>414492.13</v>
      </c>
      <c r="I16" s="5">
        <v>39163.120000000003</v>
      </c>
      <c r="J16" s="5">
        <v>44583.03</v>
      </c>
      <c r="K16" s="5">
        <v>83746.149999999994</v>
      </c>
    </row>
    <row r="17" spans="1:11" ht="29.1" customHeight="1" x14ac:dyDescent="0.2">
      <c r="A17" s="6" t="s">
        <v>21</v>
      </c>
      <c r="B17" s="3" t="s">
        <v>13</v>
      </c>
      <c r="C17" s="5">
        <v>345135.69</v>
      </c>
      <c r="D17" s="5">
        <v>722029.51</v>
      </c>
      <c r="E17" s="5">
        <v>1067165.21</v>
      </c>
      <c r="F17" s="5">
        <v>300928.13</v>
      </c>
      <c r="G17" s="5">
        <v>612264.80000000005</v>
      </c>
      <c r="H17" s="5">
        <v>913192.93</v>
      </c>
      <c r="I17" s="5">
        <v>44207.56</v>
      </c>
      <c r="J17" s="5">
        <v>109764.72</v>
      </c>
      <c r="K17" s="5">
        <v>153972.28</v>
      </c>
    </row>
    <row r="18" spans="1:11" ht="29.1" customHeight="1" x14ac:dyDescent="0.2">
      <c r="A18" s="6" t="s">
        <v>22</v>
      </c>
      <c r="B18" s="3" t="s">
        <v>13</v>
      </c>
      <c r="C18" s="5">
        <v>59503.5</v>
      </c>
      <c r="D18" s="5">
        <v>106718.79</v>
      </c>
      <c r="E18" s="5">
        <v>166222.29</v>
      </c>
      <c r="F18" s="5">
        <v>47133.72</v>
      </c>
      <c r="G18" s="5">
        <v>84963.67</v>
      </c>
      <c r="H18" s="5">
        <v>132097.39000000001</v>
      </c>
      <c r="I18" s="5">
        <v>12369.78</v>
      </c>
      <c r="J18" s="5">
        <v>21755.119999999999</v>
      </c>
      <c r="K18" s="5">
        <v>34124.910000000003</v>
      </c>
    </row>
    <row r="19" spans="1:11" ht="29.1" customHeight="1" x14ac:dyDescent="0.2">
      <c r="A19" s="6" t="s">
        <v>23</v>
      </c>
      <c r="B19" s="3" t="s">
        <v>13</v>
      </c>
      <c r="C19" s="5">
        <v>1305.54</v>
      </c>
      <c r="D19" s="5">
        <v>24694.76</v>
      </c>
      <c r="E19" s="5">
        <v>26000.29</v>
      </c>
      <c r="F19" s="5">
        <v>836.95</v>
      </c>
      <c r="G19" s="5">
        <v>17646.75</v>
      </c>
      <c r="H19" s="5">
        <v>18483.7</v>
      </c>
      <c r="I19" s="5">
        <v>468.59</v>
      </c>
      <c r="J19" s="5">
        <v>7048.01</v>
      </c>
      <c r="K19" s="5">
        <v>7516.6</v>
      </c>
    </row>
    <row r="20" spans="1:11" ht="14.1" customHeight="1" x14ac:dyDescent="0.2">
      <c r="A20" s="3" t="s">
        <v>24</v>
      </c>
      <c r="B20" s="3" t="s">
        <v>13</v>
      </c>
      <c r="C20" s="5">
        <v>2121997.48</v>
      </c>
      <c r="D20" s="5">
        <v>1820413.82</v>
      </c>
      <c r="E20" s="5">
        <v>3942411.29</v>
      </c>
      <c r="F20" s="5">
        <v>1669631.63</v>
      </c>
      <c r="G20" s="5">
        <v>1486659.13</v>
      </c>
      <c r="H20" s="5">
        <v>3156290.76</v>
      </c>
      <c r="I20" s="5">
        <v>452365.85</v>
      </c>
      <c r="J20" s="5">
        <v>333754.69</v>
      </c>
      <c r="K20" s="5">
        <v>786120.54</v>
      </c>
    </row>
    <row r="22" spans="1:11" ht="14.1" customHeight="1" x14ac:dyDescent="0.2">
      <c r="A22" s="64" t="s">
        <v>38</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dimension ref="A1:K22"/>
  <sheetViews>
    <sheetView workbookViewId="0">
      <selection sqref="A1:K1"/>
    </sheetView>
  </sheetViews>
  <sheetFormatPr baseColWidth="10" defaultRowHeight="12" customHeight="1" x14ac:dyDescent="0.2"/>
  <cols>
    <col min="1" max="1" width="82.7109375" bestFit="1" customWidth="1"/>
    <col min="2" max="2" width="5.7109375" bestFit="1" customWidth="1"/>
    <col min="3" max="11" width="16.7109375" bestFit="1" customWidth="1"/>
  </cols>
  <sheetData>
    <row r="1" spans="1:11" ht="15.95" customHeight="1" x14ac:dyDescent="0.25">
      <c r="A1" s="62" t="s">
        <v>39</v>
      </c>
      <c r="B1" s="63"/>
      <c r="C1" s="63"/>
      <c r="D1" s="63"/>
      <c r="E1" s="63"/>
      <c r="F1" s="63"/>
      <c r="G1" s="63"/>
      <c r="H1" s="63"/>
      <c r="I1" s="63"/>
      <c r="J1" s="63"/>
      <c r="K1" s="63"/>
    </row>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29</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1" t="s">
        <v>7</v>
      </c>
      <c r="D6" s="1" t="s">
        <v>8</v>
      </c>
      <c r="E6" s="1" t="s">
        <v>3</v>
      </c>
      <c r="F6" s="1" t="s">
        <v>7</v>
      </c>
      <c r="G6" s="1" t="s">
        <v>8</v>
      </c>
      <c r="H6" s="1" t="s">
        <v>3</v>
      </c>
      <c r="I6" s="1" t="s">
        <v>7</v>
      </c>
      <c r="J6" s="1" t="s">
        <v>8</v>
      </c>
      <c r="K6" s="1" t="s">
        <v>3</v>
      </c>
    </row>
    <row r="7" spans="1:11" ht="42.95" customHeight="1" x14ac:dyDescent="0.2">
      <c r="A7" s="65"/>
      <c r="B7" s="65"/>
      <c r="C7" s="2" t="s">
        <v>9</v>
      </c>
      <c r="D7" s="2" t="s">
        <v>9</v>
      </c>
      <c r="E7" s="2" t="s">
        <v>9</v>
      </c>
      <c r="F7" s="2" t="s">
        <v>9</v>
      </c>
      <c r="G7" s="2" t="s">
        <v>9</v>
      </c>
      <c r="H7" s="2" t="s">
        <v>9</v>
      </c>
      <c r="I7" s="2" t="s">
        <v>9</v>
      </c>
      <c r="J7" s="2" t="s">
        <v>9</v>
      </c>
      <c r="K7" s="2"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t="s">
        <v>77</v>
      </c>
      <c r="D9" s="5">
        <v>26379.200000000001</v>
      </c>
      <c r="E9" s="5">
        <v>90104.56</v>
      </c>
      <c r="F9" s="5">
        <v>54488.08</v>
      </c>
      <c r="G9" s="5">
        <v>21466.87</v>
      </c>
      <c r="H9" s="5">
        <v>75954.95</v>
      </c>
      <c r="I9" s="5">
        <v>9237.2800000000007</v>
      </c>
      <c r="J9" s="5">
        <v>4912.33</v>
      </c>
      <c r="K9" s="5">
        <v>14149.61</v>
      </c>
    </row>
    <row r="10" spans="1:11" ht="29.1" customHeight="1" x14ac:dyDescent="0.2">
      <c r="A10" s="6" t="s">
        <v>14</v>
      </c>
      <c r="B10" s="3" t="s">
        <v>13</v>
      </c>
      <c r="C10" s="5">
        <v>565900.88</v>
      </c>
      <c r="D10" s="5">
        <v>191457.52</v>
      </c>
      <c r="E10" s="5">
        <v>757358.4</v>
      </c>
      <c r="F10" s="5">
        <v>424047.07</v>
      </c>
      <c r="G10" s="5">
        <v>145627.57999999999</v>
      </c>
      <c r="H10" s="5">
        <v>569674.65</v>
      </c>
      <c r="I10" s="5">
        <v>141853.81</v>
      </c>
      <c r="J10" s="5">
        <v>45829.94</v>
      </c>
      <c r="K10" s="5">
        <v>187683.75</v>
      </c>
    </row>
    <row r="11" spans="1:11" ht="29.1" customHeight="1" x14ac:dyDescent="0.2">
      <c r="A11" s="6" t="s">
        <v>15</v>
      </c>
      <c r="B11" s="3" t="s">
        <v>13</v>
      </c>
      <c r="C11" s="5">
        <v>47416.94</v>
      </c>
      <c r="D11" s="5">
        <v>12962.81</v>
      </c>
      <c r="E11" s="5">
        <v>60379.75</v>
      </c>
      <c r="F11" s="5">
        <v>40487.53</v>
      </c>
      <c r="G11" s="5">
        <v>10967.02</v>
      </c>
      <c r="H11" s="5">
        <v>51454.55</v>
      </c>
      <c r="I11" s="5">
        <v>6929.41</v>
      </c>
      <c r="J11" s="5">
        <v>1995.79</v>
      </c>
      <c r="K11" s="5">
        <v>8925.2000000000007</v>
      </c>
    </row>
    <row r="12" spans="1:11" ht="14.1" customHeight="1" x14ac:dyDescent="0.2">
      <c r="A12" s="3" t="s">
        <v>16</v>
      </c>
      <c r="B12" s="3" t="s">
        <v>13</v>
      </c>
      <c r="C12" s="5">
        <v>228778.12</v>
      </c>
      <c r="D12" s="5">
        <v>41828.9</v>
      </c>
      <c r="E12" s="5">
        <v>270607.03000000003</v>
      </c>
      <c r="F12" s="5">
        <v>170135.26</v>
      </c>
      <c r="G12" s="5">
        <v>35281.550000000003</v>
      </c>
      <c r="H12" s="5">
        <v>205416.81</v>
      </c>
      <c r="I12" s="5">
        <v>58642.86</v>
      </c>
      <c r="J12" s="5">
        <v>6547.35</v>
      </c>
      <c r="K12" s="5">
        <v>65190.22</v>
      </c>
    </row>
    <row r="13" spans="1:11" ht="14.1" customHeight="1" x14ac:dyDescent="0.2">
      <c r="A13" s="3" t="s">
        <v>17</v>
      </c>
      <c r="B13" s="3" t="s">
        <v>13</v>
      </c>
      <c r="C13" s="5">
        <v>305144.71000000002</v>
      </c>
      <c r="D13" s="5">
        <v>297633.3</v>
      </c>
      <c r="E13" s="5">
        <v>602778</v>
      </c>
      <c r="F13" s="5">
        <v>237316.08</v>
      </c>
      <c r="G13" s="5">
        <v>235543.7</v>
      </c>
      <c r="H13" s="5">
        <v>472859.78</v>
      </c>
      <c r="I13" s="5">
        <v>67828.63</v>
      </c>
      <c r="J13" s="5">
        <v>62089.59</v>
      </c>
      <c r="K13" s="5">
        <v>129918.22</v>
      </c>
    </row>
    <row r="14" spans="1:11" ht="14.1" customHeight="1" x14ac:dyDescent="0.2">
      <c r="A14" s="3" t="s">
        <v>18</v>
      </c>
      <c r="B14" s="3" t="s">
        <v>13</v>
      </c>
      <c r="C14" s="5">
        <v>213251.12</v>
      </c>
      <c r="D14" s="5">
        <v>77161.55</v>
      </c>
      <c r="E14" s="5">
        <v>290412.67</v>
      </c>
      <c r="F14" s="5">
        <v>163078.88</v>
      </c>
      <c r="G14" s="5">
        <v>65649.02</v>
      </c>
      <c r="H14" s="5">
        <v>228727.9</v>
      </c>
      <c r="I14" s="5">
        <v>50172.24</v>
      </c>
      <c r="J14" s="5">
        <v>11512.53</v>
      </c>
      <c r="K14" s="5">
        <v>61684.77</v>
      </c>
    </row>
    <row r="15" spans="1:11" ht="14.1" customHeight="1" x14ac:dyDescent="0.2">
      <c r="A15" s="3" t="s">
        <v>19</v>
      </c>
      <c r="B15" s="3" t="s">
        <v>13</v>
      </c>
      <c r="C15" s="5">
        <v>55241.43</v>
      </c>
      <c r="D15" s="5">
        <v>80039.210000000006</v>
      </c>
      <c r="E15" s="5">
        <v>135280.64000000001</v>
      </c>
      <c r="F15" s="5">
        <v>23799.78</v>
      </c>
      <c r="G15" s="5">
        <v>53289.05</v>
      </c>
      <c r="H15" s="5">
        <v>77088.83</v>
      </c>
      <c r="I15" s="5">
        <v>31441.65</v>
      </c>
      <c r="J15" s="5">
        <v>26750.16</v>
      </c>
      <c r="K15" s="5">
        <v>58191.81</v>
      </c>
    </row>
    <row r="16" spans="1:11" ht="42.95" customHeight="1" x14ac:dyDescent="0.2">
      <c r="A16" s="6" t="s">
        <v>20</v>
      </c>
      <c r="B16" s="3" t="s">
        <v>13</v>
      </c>
      <c r="C16" s="5">
        <v>244475.38</v>
      </c>
      <c r="D16" s="5">
        <v>250922.54</v>
      </c>
      <c r="E16" s="5">
        <v>495397.92</v>
      </c>
      <c r="F16" s="5">
        <v>203988.12</v>
      </c>
      <c r="G16" s="5">
        <v>204171.99</v>
      </c>
      <c r="H16" s="5">
        <v>408160.11</v>
      </c>
      <c r="I16" s="5">
        <v>40487.26</v>
      </c>
      <c r="J16" s="5">
        <v>46750.559999999998</v>
      </c>
      <c r="K16" s="5">
        <v>87237.81</v>
      </c>
    </row>
    <row r="17" spans="1:11" ht="29.1" customHeight="1" x14ac:dyDescent="0.2">
      <c r="A17" s="6" t="s">
        <v>21</v>
      </c>
      <c r="B17" s="3" t="s">
        <v>13</v>
      </c>
      <c r="C17" s="5">
        <v>347743.03</v>
      </c>
      <c r="D17" s="5">
        <v>743965.8</v>
      </c>
      <c r="E17" s="5">
        <v>1091708.8400000001</v>
      </c>
      <c r="F17" s="5">
        <v>305413.46000000002</v>
      </c>
      <c r="G17" s="5">
        <v>630359.06999999995</v>
      </c>
      <c r="H17" s="5">
        <v>935772.53</v>
      </c>
      <c r="I17" s="5">
        <v>42329.57</v>
      </c>
      <c r="J17" s="5">
        <v>113606.74</v>
      </c>
      <c r="K17" s="5">
        <v>155936.31</v>
      </c>
    </row>
    <row r="18" spans="1:11" ht="29.1" customHeight="1" x14ac:dyDescent="0.2">
      <c r="A18" s="6" t="s">
        <v>22</v>
      </c>
      <c r="B18" s="3" t="s">
        <v>13</v>
      </c>
      <c r="C18" s="5">
        <v>55585.7</v>
      </c>
      <c r="D18" s="5">
        <v>98349.440000000002</v>
      </c>
      <c r="E18" s="5">
        <v>153935.14000000001</v>
      </c>
      <c r="F18" s="5">
        <v>43978.68</v>
      </c>
      <c r="G18" s="5">
        <v>78803.289999999994</v>
      </c>
      <c r="H18" s="5">
        <v>122781.98</v>
      </c>
      <c r="I18" s="5">
        <v>11607.02</v>
      </c>
      <c r="J18" s="5">
        <v>19546.150000000001</v>
      </c>
      <c r="K18" s="5">
        <v>31153.17</v>
      </c>
    </row>
    <row r="19" spans="1:11" ht="29.1" customHeight="1" x14ac:dyDescent="0.2">
      <c r="A19" s="6" t="s">
        <v>23</v>
      </c>
      <c r="B19" s="3" t="s">
        <v>13</v>
      </c>
      <c r="C19" s="5">
        <v>1731.8</v>
      </c>
      <c r="D19" s="5">
        <v>20997.25</v>
      </c>
      <c r="E19" s="5">
        <v>22729.05</v>
      </c>
      <c r="F19" s="5">
        <v>1525.35</v>
      </c>
      <c r="G19" s="5">
        <v>15362.28</v>
      </c>
      <c r="H19" s="5">
        <v>16887.64</v>
      </c>
      <c r="I19" s="5">
        <v>206.44</v>
      </c>
      <c r="J19" s="5">
        <v>5634.97</v>
      </c>
      <c r="K19" s="5">
        <v>5841.41</v>
      </c>
    </row>
    <row r="20" spans="1:11" ht="14.1" customHeight="1" x14ac:dyDescent="0.2">
      <c r="A20" s="3" t="s">
        <v>24</v>
      </c>
      <c r="B20" s="3" t="s">
        <v>13</v>
      </c>
      <c r="C20" s="5">
        <v>2128994.4700000002</v>
      </c>
      <c r="D20" s="5">
        <v>1841697.52</v>
      </c>
      <c r="E20" s="5">
        <v>3970691.99</v>
      </c>
      <c r="F20" s="5">
        <v>1668258.3</v>
      </c>
      <c r="G20" s="5">
        <v>1496521.42</v>
      </c>
      <c r="H20" s="5">
        <v>3164779.72</v>
      </c>
      <c r="I20" s="5">
        <v>460736.17</v>
      </c>
      <c r="J20" s="5">
        <v>345176.1</v>
      </c>
      <c r="K20" s="5">
        <v>805912.27</v>
      </c>
    </row>
    <row r="22" spans="1:11" ht="14.1" customHeight="1" x14ac:dyDescent="0.2">
      <c r="A22" s="64" t="s">
        <v>40</v>
      </c>
      <c r="B22" s="63"/>
      <c r="C22" s="63"/>
      <c r="D22" s="63"/>
      <c r="E22" s="63"/>
      <c r="F22" s="63"/>
      <c r="G22" s="63"/>
      <c r="H22" s="63"/>
      <c r="I22" s="63"/>
      <c r="J22" s="63"/>
      <c r="K22" s="63"/>
    </row>
  </sheetData>
  <mergeCells count="10">
    <mergeCell ref="A1:K1"/>
    <mergeCell ref="A22:K22"/>
    <mergeCell ref="A3:B7"/>
    <mergeCell ref="C3:K3"/>
    <mergeCell ref="C4:E4"/>
    <mergeCell ref="F4:H4"/>
    <mergeCell ref="I4:K4"/>
    <mergeCell ref="C5:E5"/>
    <mergeCell ref="F5:H5"/>
    <mergeCell ref="I5:K5"/>
  </mergeCells>
  <pageMargins left="0.05" right="0.05" top="0.5" bottom="0.5" header="0" footer="0"/>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7B057-35DC-44C6-8EB9-1BB424F58087}">
  <sheetPr codeName="Tabelle13"/>
  <dimension ref="A1:K23"/>
  <sheetViews>
    <sheetView workbookViewId="0">
      <selection activeCell="C20" sqref="C20"/>
    </sheetView>
  </sheetViews>
  <sheetFormatPr baseColWidth="10" defaultRowHeight="12.75" x14ac:dyDescent="0.2"/>
  <cols>
    <col min="1" max="1" width="82.7109375" style="31" bestFit="1" customWidth="1"/>
    <col min="2" max="2" width="5.7109375" style="31" bestFit="1" customWidth="1"/>
    <col min="3" max="11" width="16.7109375" style="31" bestFit="1" customWidth="1"/>
    <col min="12" max="16384" width="11.42578125" style="31"/>
  </cols>
  <sheetData>
    <row r="1" spans="1:11" ht="13.5" x14ac:dyDescent="0.25">
      <c r="A1" s="62" t="s">
        <v>78</v>
      </c>
      <c r="B1" s="63"/>
      <c r="C1" s="63"/>
      <c r="D1" s="63"/>
      <c r="E1" s="63"/>
      <c r="F1" s="63"/>
      <c r="G1" s="63"/>
      <c r="H1" s="63"/>
      <c r="I1" s="63"/>
      <c r="J1" s="63"/>
      <c r="K1" s="63"/>
    </row>
    <row r="2" spans="1:11" ht="12" customHeight="1" x14ac:dyDescent="0.2"/>
    <row r="3" spans="1:11" ht="14.1" customHeight="1" x14ac:dyDescent="0.2">
      <c r="A3" s="65" t="s">
        <v>1</v>
      </c>
      <c r="B3" s="65"/>
      <c r="C3" s="66" t="s">
        <v>2</v>
      </c>
      <c r="D3" s="66"/>
      <c r="E3" s="66"/>
      <c r="F3" s="66"/>
      <c r="G3" s="66"/>
      <c r="H3" s="66"/>
      <c r="I3" s="66"/>
      <c r="J3" s="66"/>
      <c r="K3" s="66"/>
    </row>
    <row r="4" spans="1:11" ht="29.1" customHeight="1" x14ac:dyDescent="0.2">
      <c r="A4" s="65"/>
      <c r="B4" s="65"/>
      <c r="C4" s="66" t="s">
        <v>3</v>
      </c>
      <c r="D4" s="66"/>
      <c r="E4" s="66"/>
      <c r="F4" s="66" t="s">
        <v>4</v>
      </c>
      <c r="G4" s="66"/>
      <c r="H4" s="66"/>
      <c r="I4" s="67" t="s">
        <v>29</v>
      </c>
      <c r="J4" s="67"/>
      <c r="K4" s="67"/>
    </row>
    <row r="5" spans="1:11" ht="14.1" customHeight="1" x14ac:dyDescent="0.2">
      <c r="A5" s="65"/>
      <c r="B5" s="65"/>
      <c r="C5" s="66" t="s">
        <v>6</v>
      </c>
      <c r="D5" s="66"/>
      <c r="E5" s="66"/>
      <c r="F5" s="66" t="s">
        <v>6</v>
      </c>
      <c r="G5" s="66"/>
      <c r="H5" s="66"/>
      <c r="I5" s="66" t="s">
        <v>6</v>
      </c>
      <c r="J5" s="66"/>
      <c r="K5" s="66"/>
    </row>
    <row r="6" spans="1:11" ht="14.1" customHeight="1" x14ac:dyDescent="0.2">
      <c r="A6" s="65"/>
      <c r="B6" s="65"/>
      <c r="C6" s="32" t="s">
        <v>7</v>
      </c>
      <c r="D6" s="32" t="s">
        <v>8</v>
      </c>
      <c r="E6" s="32" t="s">
        <v>3</v>
      </c>
      <c r="F6" s="32" t="s">
        <v>7</v>
      </c>
      <c r="G6" s="32" t="s">
        <v>8</v>
      </c>
      <c r="H6" s="32" t="s">
        <v>3</v>
      </c>
      <c r="I6" s="32" t="s">
        <v>7</v>
      </c>
      <c r="J6" s="32" t="s">
        <v>8</v>
      </c>
      <c r="K6" s="32" t="s">
        <v>3</v>
      </c>
    </row>
    <row r="7" spans="1:11" ht="38.25" x14ac:dyDescent="0.2">
      <c r="A7" s="65"/>
      <c r="B7" s="65"/>
      <c r="C7" s="33" t="s">
        <v>9</v>
      </c>
      <c r="D7" s="33" t="s">
        <v>9</v>
      </c>
      <c r="E7" s="33" t="s">
        <v>9</v>
      </c>
      <c r="F7" s="33" t="s">
        <v>9</v>
      </c>
      <c r="G7" s="33" t="s">
        <v>9</v>
      </c>
      <c r="H7" s="33" t="s">
        <v>9</v>
      </c>
      <c r="I7" s="33" t="s">
        <v>9</v>
      </c>
      <c r="J7" s="33" t="s">
        <v>9</v>
      </c>
      <c r="K7" s="33" t="s">
        <v>9</v>
      </c>
    </row>
    <row r="8" spans="1:11" ht="14.1" customHeight="1" x14ac:dyDescent="0.2">
      <c r="A8" s="3" t="s">
        <v>10</v>
      </c>
      <c r="B8" s="3" t="s">
        <v>11</v>
      </c>
      <c r="C8" s="4" t="s">
        <v>1</v>
      </c>
      <c r="D8" s="4" t="s">
        <v>1</v>
      </c>
      <c r="E8" s="4" t="s">
        <v>1</v>
      </c>
      <c r="F8" s="4" t="s">
        <v>1</v>
      </c>
      <c r="G8" s="4" t="s">
        <v>1</v>
      </c>
      <c r="H8" s="4" t="s">
        <v>1</v>
      </c>
      <c r="I8" s="4" t="s">
        <v>1</v>
      </c>
      <c r="J8" s="4" t="s">
        <v>1</v>
      </c>
      <c r="K8" s="4" t="s">
        <v>1</v>
      </c>
    </row>
    <row r="9" spans="1:11" ht="14.1" customHeight="1" x14ac:dyDescent="0.2">
      <c r="A9" s="3" t="s">
        <v>12</v>
      </c>
      <c r="B9" s="3" t="s">
        <v>13</v>
      </c>
      <c r="C9" s="5">
        <v>59720.02</v>
      </c>
      <c r="D9" s="5">
        <v>27178.74</v>
      </c>
      <c r="E9" s="5">
        <v>86898.77</v>
      </c>
      <c r="F9" s="5">
        <v>51622.97</v>
      </c>
      <c r="G9" s="5">
        <v>23852.12</v>
      </c>
      <c r="H9" s="5">
        <v>75475.09</v>
      </c>
      <c r="I9" s="5">
        <v>8097.06</v>
      </c>
      <c r="J9" s="5">
        <v>3326.62</v>
      </c>
      <c r="K9" s="5">
        <v>11423.68</v>
      </c>
    </row>
    <row r="10" spans="1:11" ht="25.5" x14ac:dyDescent="0.2">
      <c r="A10" s="6" t="s">
        <v>14</v>
      </c>
      <c r="B10" s="3" t="s">
        <v>13</v>
      </c>
      <c r="C10" s="5">
        <v>568070.84</v>
      </c>
      <c r="D10" s="5">
        <v>184981.2</v>
      </c>
      <c r="E10" s="5">
        <v>753052.04</v>
      </c>
      <c r="F10" s="5">
        <v>430830.89</v>
      </c>
      <c r="G10" s="5">
        <v>141168.51</v>
      </c>
      <c r="H10" s="5">
        <v>571999.41</v>
      </c>
      <c r="I10" s="5">
        <v>137239.95000000001</v>
      </c>
      <c r="J10" s="5">
        <v>43812.69</v>
      </c>
      <c r="K10" s="5">
        <v>181052.64</v>
      </c>
    </row>
    <row r="11" spans="1:11" ht="25.5" x14ac:dyDescent="0.2">
      <c r="A11" s="6" t="s">
        <v>15</v>
      </c>
      <c r="B11" s="3" t="s">
        <v>13</v>
      </c>
      <c r="C11" s="5">
        <v>46354.97</v>
      </c>
      <c r="D11" s="5">
        <v>13468.56</v>
      </c>
      <c r="E11" s="5">
        <v>59823.53</v>
      </c>
      <c r="F11" s="5">
        <v>40484.43</v>
      </c>
      <c r="G11" s="5">
        <v>11492.55</v>
      </c>
      <c r="H11" s="5">
        <v>51976.98</v>
      </c>
      <c r="I11" s="5">
        <v>5870.54</v>
      </c>
      <c r="J11" s="5">
        <v>1976.01</v>
      </c>
      <c r="K11" s="5">
        <v>7846.55</v>
      </c>
    </row>
    <row r="12" spans="1:11" ht="14.1" customHeight="1" x14ac:dyDescent="0.2">
      <c r="A12" s="3" t="s">
        <v>16</v>
      </c>
      <c r="B12" s="3" t="s">
        <v>13</v>
      </c>
      <c r="C12" s="5">
        <v>241058.39</v>
      </c>
      <c r="D12" s="5">
        <v>42552.01</v>
      </c>
      <c r="E12" s="5">
        <v>283610.40000000002</v>
      </c>
      <c r="F12" s="5">
        <v>179635.15</v>
      </c>
      <c r="G12" s="5">
        <v>35162.620000000003</v>
      </c>
      <c r="H12" s="5">
        <v>214797.77</v>
      </c>
      <c r="I12" s="5">
        <v>61423.24</v>
      </c>
      <c r="J12" s="5">
        <v>7389.39</v>
      </c>
      <c r="K12" s="5">
        <v>68812.63</v>
      </c>
    </row>
    <row r="13" spans="1:11" ht="14.1" customHeight="1" x14ac:dyDescent="0.2">
      <c r="A13" s="3" t="s">
        <v>17</v>
      </c>
      <c r="B13" s="3" t="s">
        <v>13</v>
      </c>
      <c r="C13" s="5">
        <v>303390.26</v>
      </c>
      <c r="D13" s="5">
        <v>299253.25</v>
      </c>
      <c r="E13" s="5">
        <v>602643.51</v>
      </c>
      <c r="F13" s="5">
        <v>233096.14</v>
      </c>
      <c r="G13" s="5">
        <v>238647.54</v>
      </c>
      <c r="H13" s="5">
        <v>471743.68</v>
      </c>
      <c r="I13" s="5">
        <v>70294.12</v>
      </c>
      <c r="J13" s="5">
        <v>60605.71</v>
      </c>
      <c r="K13" s="5">
        <v>130899.83</v>
      </c>
    </row>
    <row r="14" spans="1:11" ht="14.1" customHeight="1" x14ac:dyDescent="0.2">
      <c r="A14" s="3" t="s">
        <v>18</v>
      </c>
      <c r="B14" s="3" t="s">
        <v>13</v>
      </c>
      <c r="C14" s="5">
        <v>220539.32</v>
      </c>
      <c r="D14" s="5">
        <v>79429.37</v>
      </c>
      <c r="E14" s="5">
        <v>299968.7</v>
      </c>
      <c r="F14" s="5">
        <v>166114.34</v>
      </c>
      <c r="G14" s="5">
        <v>66690.42</v>
      </c>
      <c r="H14" s="5">
        <v>232804.76</v>
      </c>
      <c r="I14" s="5">
        <v>54424.98</v>
      </c>
      <c r="J14" s="5">
        <v>12738.96</v>
      </c>
      <c r="K14" s="5">
        <v>67163.94</v>
      </c>
    </row>
    <row r="15" spans="1:11" ht="14.1" customHeight="1" x14ac:dyDescent="0.2">
      <c r="A15" s="3" t="s">
        <v>19</v>
      </c>
      <c r="B15" s="3" t="s">
        <v>13</v>
      </c>
      <c r="C15" s="5">
        <v>56995.79</v>
      </c>
      <c r="D15" s="5">
        <v>75727.490000000005</v>
      </c>
      <c r="E15" s="5">
        <v>132723.28</v>
      </c>
      <c r="F15" s="5">
        <v>25266.87</v>
      </c>
      <c r="G15" s="5">
        <v>49876.14</v>
      </c>
      <c r="H15" s="5">
        <v>75143.02</v>
      </c>
      <c r="I15" s="5">
        <v>31728.92</v>
      </c>
      <c r="J15" s="5">
        <v>25851.34</v>
      </c>
      <c r="K15" s="5">
        <v>57580.26</v>
      </c>
    </row>
    <row r="16" spans="1:11" ht="38.25" x14ac:dyDescent="0.2">
      <c r="A16" s="6" t="s">
        <v>20</v>
      </c>
      <c r="B16" s="3" t="s">
        <v>13</v>
      </c>
      <c r="C16" s="5">
        <v>246923.04</v>
      </c>
      <c r="D16" s="5">
        <v>259139.56</v>
      </c>
      <c r="E16" s="5">
        <v>506062.59</v>
      </c>
      <c r="F16" s="5">
        <v>203076.44</v>
      </c>
      <c r="G16" s="5">
        <v>210650.47</v>
      </c>
      <c r="H16" s="5">
        <v>413726.91</v>
      </c>
      <c r="I16" s="5">
        <v>43846.6</v>
      </c>
      <c r="J16" s="5">
        <v>48489.09</v>
      </c>
      <c r="K16" s="5">
        <v>92335.679999999993</v>
      </c>
    </row>
    <row r="17" spans="1:11" ht="25.5" x14ac:dyDescent="0.2">
      <c r="A17" s="6" t="s">
        <v>21</v>
      </c>
      <c r="B17" s="3" t="s">
        <v>13</v>
      </c>
      <c r="C17" s="5">
        <v>352292.6</v>
      </c>
      <c r="D17" s="5">
        <v>758994.96</v>
      </c>
      <c r="E17" s="5">
        <v>1111287.56</v>
      </c>
      <c r="F17" s="5">
        <v>308902.68</v>
      </c>
      <c r="G17" s="5">
        <v>641705.01</v>
      </c>
      <c r="H17" s="5">
        <v>950607.7</v>
      </c>
      <c r="I17" s="5">
        <v>43389.919999999998</v>
      </c>
      <c r="J17" s="5">
        <v>117289.95</v>
      </c>
      <c r="K17" s="5">
        <v>160679.87</v>
      </c>
    </row>
    <row r="18" spans="1:11" ht="25.5" x14ac:dyDescent="0.2">
      <c r="A18" s="6" t="s">
        <v>22</v>
      </c>
      <c r="B18" s="3" t="s">
        <v>13</v>
      </c>
      <c r="C18" s="5">
        <v>56790.99</v>
      </c>
      <c r="D18" s="5">
        <v>98550.13</v>
      </c>
      <c r="E18" s="5">
        <v>155341.12</v>
      </c>
      <c r="F18" s="5">
        <v>43230.239999999998</v>
      </c>
      <c r="G18" s="5">
        <v>79213.100000000006</v>
      </c>
      <c r="H18" s="5">
        <v>122443.34</v>
      </c>
      <c r="I18" s="5">
        <v>13560.75</v>
      </c>
      <c r="J18" s="5">
        <v>19337.03</v>
      </c>
      <c r="K18" s="5">
        <v>32897.78</v>
      </c>
    </row>
    <row r="19" spans="1:11" ht="25.5" x14ac:dyDescent="0.2">
      <c r="A19" s="6" t="s">
        <v>23</v>
      </c>
      <c r="B19" s="3" t="s">
        <v>13</v>
      </c>
      <c r="C19" s="5">
        <v>1375.86</v>
      </c>
      <c r="D19" s="5">
        <v>23811.439999999999</v>
      </c>
      <c r="E19" s="5">
        <v>25187.3</v>
      </c>
      <c r="F19" s="5">
        <v>1074.77</v>
      </c>
      <c r="G19" s="5">
        <v>16461.86</v>
      </c>
      <c r="H19" s="5">
        <v>17536.63</v>
      </c>
      <c r="I19" s="5">
        <v>301.08999999999997</v>
      </c>
      <c r="J19" s="5">
        <v>7349.58</v>
      </c>
      <c r="K19" s="5">
        <v>7650.67</v>
      </c>
    </row>
    <row r="20" spans="1:11" ht="14.1" customHeight="1" x14ac:dyDescent="0.2">
      <c r="A20" s="3" t="s">
        <v>24</v>
      </c>
      <c r="B20" s="3" t="s">
        <v>13</v>
      </c>
      <c r="C20" s="5">
        <v>2153512.09</v>
      </c>
      <c r="D20" s="5">
        <v>1863086.71</v>
      </c>
      <c r="E20" s="5">
        <v>4016598.8</v>
      </c>
      <c r="F20" s="5">
        <v>1683334.94</v>
      </c>
      <c r="G20" s="5">
        <v>1514920.35</v>
      </c>
      <c r="H20" s="5">
        <v>3198255.29</v>
      </c>
      <c r="I20" s="5">
        <v>470177.16</v>
      </c>
      <c r="J20" s="5">
        <v>348166.36</v>
      </c>
      <c r="K20" s="5">
        <v>818343.51</v>
      </c>
    </row>
    <row r="21" spans="1:11" ht="12" customHeight="1" x14ac:dyDescent="0.2"/>
    <row r="22" spans="1:11" ht="14.1" customHeight="1" x14ac:dyDescent="0.2">
      <c r="A22" s="64" t="s">
        <v>79</v>
      </c>
      <c r="B22" s="63"/>
      <c r="C22" s="63"/>
      <c r="D22" s="63"/>
      <c r="E22" s="63"/>
      <c r="F22" s="63"/>
      <c r="G22" s="63"/>
      <c r="H22" s="63"/>
      <c r="I22" s="63"/>
      <c r="J22" s="63"/>
      <c r="K22" s="63"/>
    </row>
    <row r="23" spans="1:11" ht="12" customHeight="1" x14ac:dyDescent="0.2"/>
  </sheetData>
  <mergeCells count="10">
    <mergeCell ref="A22:K22"/>
    <mergeCell ref="A1:K1"/>
    <mergeCell ref="A3:B7"/>
    <mergeCell ref="C3:K3"/>
    <mergeCell ref="C4:E4"/>
    <mergeCell ref="F4:H4"/>
    <mergeCell ref="I4:K4"/>
    <mergeCell ref="C5:E5"/>
    <mergeCell ref="F5:H5"/>
    <mergeCell ref="I5:K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14</vt:i4>
      </vt:variant>
    </vt:vector>
  </HeadingPairs>
  <TitlesOfParts>
    <vt:vector size="14" baseType="lpstr">
      <vt:lpstr>2019_Zeitreihe_C1</vt:lpstr>
      <vt:lpstr>2019_Download_5-1-1</vt:lpstr>
      <vt:lpstr>2019_5-1-1_CSV_Vorbereitung_tes</vt:lpstr>
      <vt:lpstr>2019_5-1-1_CSV_Vorbereitung</vt:lpstr>
      <vt:lpstr>2019_5-1-1_CSV_Export</vt:lpstr>
      <vt:lpstr> 2011</vt:lpstr>
      <vt:lpstr> 2012</vt:lpstr>
      <vt:lpstr> 2013</vt:lpstr>
      <vt:lpstr> 2014</vt:lpstr>
      <vt:lpstr> 2015</vt:lpstr>
      <vt:lpstr> 2016</vt:lpstr>
      <vt:lpstr> 2017</vt:lpstr>
      <vt:lpstr> 2018</vt:lpstr>
      <vt:lpstr> 2019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 SAS System</dc:title>
  <dc:creator>BiesterChristophLSN</dc:creator>
  <cp:lastModifiedBy>Biester, Christoph (LSN)</cp:lastModifiedBy>
  <cp:revision>1</cp:revision>
  <dcterms:created xsi:type="dcterms:W3CDTF">2019-11-11T14:54:20Z</dcterms:created>
  <dcterms:modified xsi:type="dcterms:W3CDTF">2021-10-04T13:35:01Z</dcterms:modified>
</cp:coreProperties>
</file>